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465" windowWidth="20730" windowHeight="11760" firstSheet="6" activeTab="8"/>
  </bookViews>
  <sheets>
    <sheet name="Data" sheetId="26" r:id="rId1"/>
    <sheet name="Original Correlation" sheetId="27" r:id="rId2"/>
    <sheet name="Correlation Matrix(Selected)" sheetId="29" r:id="rId3"/>
    <sheet name="Variance Covariance matrix " sheetId="30" r:id="rId4"/>
    <sheet name="Single-Index Variance-Covarianc" sheetId="31" r:id="rId5"/>
    <sheet name="Constant Correlation Model" sheetId="32" r:id="rId6"/>
    <sheet name="Shrinkage Matrix" sheetId="33" r:id="rId7"/>
    <sheet name=" Short Sale " sheetId="34" r:id="rId8"/>
    <sheet name="Black Litterman" sheetId="36" r:id="rId9"/>
    <sheet name="3 opinions changed" sheetId="37" r:id="rId10"/>
  </sheets>
  <functionGroups builtInGroupCount="17"/>
  <externalReferences>
    <externalReference r:id="rId11"/>
  </externalReferences>
  <definedNames>
    <definedName name="_xlnm._FilterDatabase" localSheetId="6" hidden="1">'Shrinkage Matrix'!#REF!</definedName>
    <definedName name="means">'[1]Questions 1-3'!$M$4:$M$13</definedName>
    <definedName name="port1">#REF!</definedName>
    <definedName name="port2">#REF!</definedName>
    <definedName name="solver_adj" localSheetId="7" hidden="1">' Short Sale '!$F$49:$F$88</definedName>
    <definedName name="solver_cvg" localSheetId="7" hidden="1">0.0001</definedName>
    <definedName name="solver_drv" localSheetId="7" hidden="1">1</definedName>
    <definedName name="solver_eng" localSheetId="7" hidden="1">1</definedName>
    <definedName name="solver_est" localSheetId="7" hidden="1">1</definedName>
    <definedName name="solver_itr" localSheetId="7" hidden="1">2147483647</definedName>
    <definedName name="solver_lhs1" localSheetId="7" hidden="1">' Short Sale '!$F$49:$F$88</definedName>
    <definedName name="solver_lhs2" localSheetId="7" hidden="1">' Short Sale '!$F$89</definedName>
    <definedName name="solver_lin" localSheetId="7" hidden="1">2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2</definedName>
    <definedName name="solver_nod" localSheetId="7" hidden="1">2147483647</definedName>
    <definedName name="solver_num" localSheetId="7" hidden="1">2</definedName>
    <definedName name="solver_nwt" localSheetId="7" hidden="1">1</definedName>
    <definedName name="solver_opt" localSheetId="7" hidden="1">' Short Sale '!$B$94</definedName>
    <definedName name="solver_pre" localSheetId="7" hidden="1">0.000001</definedName>
    <definedName name="solver_rbv" localSheetId="7" hidden="1">1</definedName>
    <definedName name="solver_rel1" localSheetId="7" hidden="1">3</definedName>
    <definedName name="solver_rel2" localSheetId="7" hidden="1">2</definedName>
    <definedName name="solver_rhs1" localSheetId="7" hidden="1">0.005</definedName>
    <definedName name="solver_rhs2" localSheetId="7" hidden="1">1</definedName>
    <definedName name="solver_rlx" localSheetId="7" hidden="1">1</definedName>
    <definedName name="solver_rsd" localSheetId="7" hidden="1">0</definedName>
    <definedName name="solver_scl" localSheetId="7" hidden="1">2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1</definedName>
    <definedName name="solver_val" localSheetId="7" hidden="1">0</definedName>
    <definedName name="solver_ver" localSheetId="7" hidden="1">3</definedName>
    <definedName name="tracking">'3 opinions changed'!$B$4:$AO$43</definedName>
    <definedName name="varcov">'3 opinions changed'!$B$90:$AO$129</definedName>
  </definedNames>
  <calcPr calcId="145621"/>
</workbook>
</file>

<file path=xl/calcChain.xml><?xml version="1.0" encoding="utf-8"?>
<calcChain xmlns="http://schemas.openxmlformats.org/spreadsheetml/2006/main">
  <c r="B92" i="34" l="1" a="1"/>
  <c r="B92" i="34" s="1"/>
  <c r="C94" i="34"/>
  <c r="C93" i="34" a="1"/>
  <c r="C93" i="34" s="1"/>
  <c r="C92" i="34" a="1"/>
  <c r="C92" i="34" s="1"/>
  <c r="G89" i="34"/>
  <c r="H87" i="37" l="1"/>
  <c r="C72" i="37"/>
  <c r="C59" i="37"/>
  <c r="B13" i="36" l="1" a="1"/>
  <c r="B13" i="36" s="1"/>
  <c r="E13" i="36"/>
  <c r="G13" i="36"/>
  <c r="H13" i="36"/>
  <c r="I13" i="36"/>
  <c r="K13" i="36"/>
  <c r="L13" i="36"/>
  <c r="M13" i="36"/>
  <c r="O13" i="36"/>
  <c r="P13" i="36"/>
  <c r="Q13" i="36"/>
  <c r="S13" i="36"/>
  <c r="T13" i="36"/>
  <c r="U13" i="36"/>
  <c r="W13" i="36"/>
  <c r="X13" i="36"/>
  <c r="Y13" i="36"/>
  <c r="AA13" i="36"/>
  <c r="AB13" i="36"/>
  <c r="AC13" i="36"/>
  <c r="AE13" i="36"/>
  <c r="AF13" i="36"/>
  <c r="AG13" i="36"/>
  <c r="AI13" i="36"/>
  <c r="AJ13" i="36"/>
  <c r="AK13" i="36"/>
  <c r="AM13" i="36"/>
  <c r="AN13" i="36"/>
  <c r="AO13" i="36"/>
  <c r="C14" i="36"/>
  <c r="D14" i="36"/>
  <c r="E14" i="36"/>
  <c r="G14" i="36"/>
  <c r="H14" i="36"/>
  <c r="I14" i="36"/>
  <c r="K14" i="36"/>
  <c r="L14" i="36"/>
  <c r="M14" i="36"/>
  <c r="O14" i="36"/>
  <c r="P14" i="36"/>
  <c r="Q14" i="36"/>
  <c r="S14" i="36"/>
  <c r="T14" i="36"/>
  <c r="U14" i="36"/>
  <c r="W14" i="36"/>
  <c r="X14" i="36"/>
  <c r="Y14" i="36"/>
  <c r="AA14" i="36"/>
  <c r="AB14" i="36"/>
  <c r="AC14" i="36"/>
  <c r="AE14" i="36"/>
  <c r="AF14" i="36"/>
  <c r="AG14" i="36"/>
  <c r="AI14" i="36"/>
  <c r="AJ14" i="36"/>
  <c r="AK14" i="36"/>
  <c r="AM14" i="36"/>
  <c r="AN14" i="36"/>
  <c r="AO14" i="36"/>
  <c r="C15" i="36"/>
  <c r="D15" i="36"/>
  <c r="E15" i="36"/>
  <c r="G15" i="36"/>
  <c r="H15" i="36"/>
  <c r="I15" i="36"/>
  <c r="K15" i="36"/>
  <c r="L15" i="36"/>
  <c r="M15" i="36"/>
  <c r="O15" i="36"/>
  <c r="P15" i="36"/>
  <c r="Q15" i="36"/>
  <c r="S15" i="36"/>
  <c r="T15" i="36"/>
  <c r="U15" i="36"/>
  <c r="W15" i="36"/>
  <c r="X15" i="36"/>
  <c r="Y15" i="36"/>
  <c r="AA15" i="36"/>
  <c r="AB15" i="36"/>
  <c r="AC15" i="36"/>
  <c r="AE15" i="36"/>
  <c r="AF15" i="36"/>
  <c r="AG15" i="36"/>
  <c r="AI15" i="36"/>
  <c r="AJ15" i="36"/>
  <c r="AK15" i="36"/>
  <c r="AM15" i="36"/>
  <c r="AN15" i="36"/>
  <c r="AO15" i="36"/>
  <c r="C16" i="36"/>
  <c r="D16" i="36"/>
  <c r="E16" i="36"/>
  <c r="G16" i="36"/>
  <c r="H16" i="36"/>
  <c r="I16" i="36"/>
  <c r="K16" i="36"/>
  <c r="L16" i="36"/>
  <c r="M16" i="36"/>
  <c r="O16" i="36"/>
  <c r="P16" i="36"/>
  <c r="Q16" i="36"/>
  <c r="S16" i="36"/>
  <c r="T16" i="36"/>
  <c r="U16" i="36"/>
  <c r="W16" i="36"/>
  <c r="X16" i="36"/>
  <c r="Y16" i="36"/>
  <c r="AA16" i="36"/>
  <c r="AB16" i="36"/>
  <c r="AC16" i="36"/>
  <c r="AE16" i="36"/>
  <c r="AF16" i="36"/>
  <c r="AG16" i="36"/>
  <c r="AI16" i="36"/>
  <c r="AJ16" i="36"/>
  <c r="AK16" i="36"/>
  <c r="AM16" i="36"/>
  <c r="AN16" i="36"/>
  <c r="AO16" i="36"/>
  <c r="C17" i="36"/>
  <c r="D17" i="36"/>
  <c r="E17" i="36"/>
  <c r="G17" i="36"/>
  <c r="H17" i="36"/>
  <c r="I17" i="36"/>
  <c r="K17" i="36"/>
  <c r="L17" i="36"/>
  <c r="M17" i="36"/>
  <c r="O17" i="36"/>
  <c r="P17" i="36"/>
  <c r="Q17" i="36"/>
  <c r="S17" i="36"/>
  <c r="T17" i="36"/>
  <c r="U17" i="36"/>
  <c r="W17" i="36"/>
  <c r="X17" i="36"/>
  <c r="Y17" i="36"/>
  <c r="AA17" i="36"/>
  <c r="AB17" i="36"/>
  <c r="AC17" i="36"/>
  <c r="AE17" i="36"/>
  <c r="AF17" i="36"/>
  <c r="AG17" i="36"/>
  <c r="AI17" i="36"/>
  <c r="AJ17" i="36"/>
  <c r="AK17" i="36"/>
  <c r="AM17" i="36"/>
  <c r="AN17" i="36"/>
  <c r="AO17" i="36"/>
  <c r="C18" i="36"/>
  <c r="D18" i="36"/>
  <c r="E18" i="36"/>
  <c r="G18" i="36"/>
  <c r="H18" i="36"/>
  <c r="I18" i="36"/>
  <c r="K18" i="36"/>
  <c r="L18" i="36"/>
  <c r="M18" i="36"/>
  <c r="O18" i="36"/>
  <c r="P18" i="36"/>
  <c r="Q18" i="36"/>
  <c r="S18" i="36"/>
  <c r="T18" i="36"/>
  <c r="U18" i="36"/>
  <c r="W18" i="36"/>
  <c r="X18" i="36"/>
  <c r="Y18" i="36"/>
  <c r="AA18" i="36"/>
  <c r="AB18" i="36"/>
  <c r="AC18" i="36"/>
  <c r="AE18" i="36"/>
  <c r="AF18" i="36"/>
  <c r="AG18" i="36"/>
  <c r="AI18" i="36"/>
  <c r="AJ18" i="36"/>
  <c r="AK18" i="36"/>
  <c r="AM18" i="36"/>
  <c r="AN18" i="36"/>
  <c r="AO18" i="36"/>
  <c r="C19" i="36"/>
  <c r="D19" i="36"/>
  <c r="E19" i="36"/>
  <c r="G19" i="36"/>
  <c r="H19" i="36"/>
  <c r="I19" i="36"/>
  <c r="K19" i="36"/>
  <c r="L19" i="36"/>
  <c r="M19" i="36"/>
  <c r="O19" i="36"/>
  <c r="P19" i="36"/>
  <c r="Q19" i="36"/>
  <c r="S19" i="36"/>
  <c r="T19" i="36"/>
  <c r="U19" i="36"/>
  <c r="W19" i="36"/>
  <c r="X19" i="36"/>
  <c r="Y19" i="36"/>
  <c r="AA19" i="36"/>
  <c r="AB19" i="36"/>
  <c r="AC19" i="36"/>
  <c r="AE19" i="36"/>
  <c r="AF19" i="36"/>
  <c r="AG19" i="36"/>
  <c r="AI19" i="36"/>
  <c r="AJ19" i="36"/>
  <c r="AK19" i="36"/>
  <c r="AM19" i="36"/>
  <c r="AN19" i="36"/>
  <c r="AO19" i="36"/>
  <c r="C20" i="36"/>
  <c r="D20" i="36"/>
  <c r="E20" i="36"/>
  <c r="G20" i="36"/>
  <c r="H20" i="36"/>
  <c r="I20" i="36"/>
  <c r="K20" i="36"/>
  <c r="L20" i="36"/>
  <c r="M20" i="36"/>
  <c r="O20" i="36"/>
  <c r="P20" i="36"/>
  <c r="Q20" i="36"/>
  <c r="S20" i="36"/>
  <c r="T20" i="36"/>
  <c r="U20" i="36"/>
  <c r="W20" i="36"/>
  <c r="X20" i="36"/>
  <c r="Y20" i="36"/>
  <c r="AA20" i="36"/>
  <c r="AB20" i="36"/>
  <c r="AC20" i="36"/>
  <c r="AE20" i="36"/>
  <c r="AF20" i="36"/>
  <c r="AG20" i="36"/>
  <c r="AI20" i="36"/>
  <c r="AJ20" i="36"/>
  <c r="AK20" i="36"/>
  <c r="AM20" i="36"/>
  <c r="AN20" i="36"/>
  <c r="AO20" i="36"/>
  <c r="C21" i="36"/>
  <c r="D21" i="36"/>
  <c r="E21" i="36"/>
  <c r="G21" i="36"/>
  <c r="H21" i="36"/>
  <c r="I21" i="36"/>
  <c r="K21" i="36"/>
  <c r="L21" i="36"/>
  <c r="M21" i="36"/>
  <c r="O21" i="36"/>
  <c r="P21" i="36"/>
  <c r="Q21" i="36"/>
  <c r="S21" i="36"/>
  <c r="T21" i="36"/>
  <c r="U21" i="36"/>
  <c r="V21" i="36"/>
  <c r="W21" i="36"/>
  <c r="X21" i="36"/>
  <c r="Y21" i="36"/>
  <c r="Z21" i="36"/>
  <c r="AA21" i="36"/>
  <c r="AB21" i="36"/>
  <c r="AC21" i="36"/>
  <c r="AD21" i="36"/>
  <c r="AE21" i="36"/>
  <c r="AF21" i="36"/>
  <c r="AG21" i="36"/>
  <c r="AH21" i="36"/>
  <c r="AI21" i="36"/>
  <c r="AJ21" i="36"/>
  <c r="AK21" i="36"/>
  <c r="AL21" i="36"/>
  <c r="AM21" i="36"/>
  <c r="AN21" i="36"/>
  <c r="AO21" i="36"/>
  <c r="B22" i="36"/>
  <c r="C22" i="36"/>
  <c r="D22" i="36"/>
  <c r="E22" i="36"/>
  <c r="F22" i="36"/>
  <c r="G22" i="36"/>
  <c r="H22" i="36"/>
  <c r="I22" i="36"/>
  <c r="J22" i="36"/>
  <c r="K22" i="36"/>
  <c r="L22" i="36"/>
  <c r="M22" i="36"/>
  <c r="N22" i="36"/>
  <c r="O22" i="36"/>
  <c r="P22" i="36"/>
  <c r="Q22" i="36"/>
  <c r="R22" i="36"/>
  <c r="S22" i="36"/>
  <c r="T22" i="36"/>
  <c r="U22" i="36"/>
  <c r="V22" i="36"/>
  <c r="W22" i="36"/>
  <c r="X22" i="36"/>
  <c r="Y22" i="36"/>
  <c r="Z22" i="36"/>
  <c r="AA22" i="36"/>
  <c r="AB22" i="36"/>
  <c r="AC22" i="36"/>
  <c r="AD22" i="36"/>
  <c r="AE22" i="36"/>
  <c r="AF22" i="36"/>
  <c r="AG22" i="36"/>
  <c r="AH22" i="36"/>
  <c r="AI22" i="36"/>
  <c r="AJ22" i="36"/>
  <c r="AK22" i="36"/>
  <c r="AL22" i="36"/>
  <c r="AM22" i="36"/>
  <c r="AN22" i="36"/>
  <c r="AO22" i="36"/>
  <c r="B23" i="36"/>
  <c r="C23" i="36"/>
  <c r="D23" i="36"/>
  <c r="E23" i="36"/>
  <c r="F23" i="36"/>
  <c r="G23" i="36"/>
  <c r="H23" i="36"/>
  <c r="I23" i="36"/>
  <c r="J23" i="36"/>
  <c r="K23" i="36"/>
  <c r="L23" i="36"/>
  <c r="M23" i="36"/>
  <c r="N23" i="36"/>
  <c r="O23" i="36"/>
  <c r="P23" i="36"/>
  <c r="Q23" i="36"/>
  <c r="R23" i="36"/>
  <c r="S23" i="36"/>
  <c r="T23" i="36"/>
  <c r="U23" i="36"/>
  <c r="V23" i="36"/>
  <c r="W23" i="36"/>
  <c r="X23" i="36"/>
  <c r="Y23" i="36"/>
  <c r="Z23" i="36"/>
  <c r="AA23" i="36"/>
  <c r="AB23" i="36"/>
  <c r="AC23" i="36"/>
  <c r="AD23" i="36"/>
  <c r="AE23" i="36"/>
  <c r="AF23" i="36"/>
  <c r="AG23" i="36"/>
  <c r="AH23" i="36"/>
  <c r="AI23" i="36"/>
  <c r="AJ23" i="36"/>
  <c r="AK23" i="36"/>
  <c r="AL23" i="36"/>
  <c r="AM23" i="36"/>
  <c r="AN23" i="36"/>
  <c r="AO23" i="36"/>
  <c r="B24" i="36"/>
  <c r="C24" i="36"/>
  <c r="D24" i="36"/>
  <c r="E24" i="36"/>
  <c r="F24" i="36"/>
  <c r="G24" i="36"/>
  <c r="H24" i="36"/>
  <c r="I24" i="36"/>
  <c r="J24" i="36"/>
  <c r="K24" i="36"/>
  <c r="L24" i="36"/>
  <c r="M24" i="36"/>
  <c r="N24" i="36"/>
  <c r="O24" i="36"/>
  <c r="P24" i="36"/>
  <c r="Q24" i="36"/>
  <c r="R24" i="36"/>
  <c r="S24" i="36"/>
  <c r="T24" i="36"/>
  <c r="U24" i="36"/>
  <c r="V24" i="36"/>
  <c r="W24" i="36"/>
  <c r="X24" i="36"/>
  <c r="Y24" i="36"/>
  <c r="Z24" i="36"/>
  <c r="AA24" i="36"/>
  <c r="AB24" i="36"/>
  <c r="AC24" i="36"/>
  <c r="AD24" i="36"/>
  <c r="AE24" i="36"/>
  <c r="AF24" i="36"/>
  <c r="AG24" i="36"/>
  <c r="AH24" i="36"/>
  <c r="AI24" i="36"/>
  <c r="AJ24" i="36"/>
  <c r="AK24" i="36"/>
  <c r="AL24" i="36"/>
  <c r="AM24" i="36"/>
  <c r="AN24" i="36"/>
  <c r="AO24" i="36"/>
  <c r="B25" i="36"/>
  <c r="C25" i="36"/>
  <c r="D25" i="36"/>
  <c r="E25" i="36"/>
  <c r="F25" i="36"/>
  <c r="G25" i="36"/>
  <c r="H25" i="36"/>
  <c r="I25" i="36"/>
  <c r="J25" i="36"/>
  <c r="K25" i="36"/>
  <c r="L25" i="36"/>
  <c r="M25" i="36"/>
  <c r="N25" i="36"/>
  <c r="O25" i="36"/>
  <c r="P25" i="36"/>
  <c r="Q25" i="36"/>
  <c r="R25" i="36"/>
  <c r="S25" i="36"/>
  <c r="T25" i="36"/>
  <c r="U25" i="36"/>
  <c r="V25" i="36"/>
  <c r="W25" i="36"/>
  <c r="X25" i="36"/>
  <c r="Y25" i="36"/>
  <c r="Z25" i="36"/>
  <c r="AA25" i="36"/>
  <c r="AB25" i="36"/>
  <c r="AC25" i="36"/>
  <c r="AD25" i="36"/>
  <c r="AE25" i="36"/>
  <c r="AF25" i="36"/>
  <c r="AG25" i="36"/>
  <c r="AH25" i="36"/>
  <c r="AI25" i="36"/>
  <c r="AJ25" i="36"/>
  <c r="AK25" i="36"/>
  <c r="AL25" i="36"/>
  <c r="AM25" i="36"/>
  <c r="AN25" i="36"/>
  <c r="AO25" i="36"/>
  <c r="B26" i="36"/>
  <c r="C26" i="36"/>
  <c r="D26" i="36"/>
  <c r="E26" i="36"/>
  <c r="F26" i="36"/>
  <c r="G26" i="36"/>
  <c r="H26" i="36"/>
  <c r="I26" i="36"/>
  <c r="J26" i="36"/>
  <c r="K26" i="36"/>
  <c r="L26" i="36"/>
  <c r="M26" i="36"/>
  <c r="N26" i="36"/>
  <c r="O26" i="36"/>
  <c r="P26" i="36"/>
  <c r="Q26" i="36"/>
  <c r="R26" i="36"/>
  <c r="S26" i="36"/>
  <c r="T26" i="36"/>
  <c r="U26" i="36"/>
  <c r="V26" i="36"/>
  <c r="W26" i="36"/>
  <c r="X26" i="36"/>
  <c r="Y26" i="36"/>
  <c r="Z26" i="36"/>
  <c r="AA26" i="36"/>
  <c r="AB26" i="36"/>
  <c r="AC26" i="36"/>
  <c r="AD26" i="36"/>
  <c r="AE26" i="36"/>
  <c r="AF26" i="36"/>
  <c r="AG26" i="36"/>
  <c r="AH26" i="36"/>
  <c r="AI26" i="36"/>
  <c r="AJ26" i="36"/>
  <c r="AK26" i="36"/>
  <c r="AL26" i="36"/>
  <c r="AM26" i="36"/>
  <c r="AN26" i="36"/>
  <c r="AO26" i="36"/>
  <c r="B27" i="36"/>
  <c r="C27" i="36"/>
  <c r="D27" i="36"/>
  <c r="E27" i="36"/>
  <c r="F27" i="36"/>
  <c r="G27" i="36"/>
  <c r="H27" i="36"/>
  <c r="I27" i="36"/>
  <c r="J27" i="36"/>
  <c r="K27" i="36"/>
  <c r="L27" i="36"/>
  <c r="M27" i="36"/>
  <c r="N27" i="36"/>
  <c r="O27" i="36"/>
  <c r="P27" i="36"/>
  <c r="Q27" i="36"/>
  <c r="R27" i="36"/>
  <c r="S27" i="36"/>
  <c r="T27" i="36"/>
  <c r="U27" i="36"/>
  <c r="V27" i="36"/>
  <c r="W27" i="36"/>
  <c r="X27" i="36"/>
  <c r="Y27" i="36"/>
  <c r="Z27" i="36"/>
  <c r="AA27" i="36"/>
  <c r="AB27" i="36"/>
  <c r="AC27" i="36"/>
  <c r="AD27" i="36"/>
  <c r="AE27" i="36"/>
  <c r="AF27" i="36"/>
  <c r="AG27" i="36"/>
  <c r="AH27" i="36"/>
  <c r="AI27" i="36"/>
  <c r="AJ27" i="36"/>
  <c r="AK27" i="36"/>
  <c r="AL27" i="36"/>
  <c r="AM27" i="36"/>
  <c r="AN27" i="36"/>
  <c r="AO27" i="36"/>
  <c r="B28" i="36"/>
  <c r="C28" i="36"/>
  <c r="D28" i="36"/>
  <c r="E28" i="36"/>
  <c r="F28" i="36"/>
  <c r="G28" i="36"/>
  <c r="H28" i="36"/>
  <c r="I28" i="36"/>
  <c r="J28" i="36"/>
  <c r="K28" i="36"/>
  <c r="L28" i="36"/>
  <c r="M28" i="36"/>
  <c r="N28" i="36"/>
  <c r="O28" i="36"/>
  <c r="P28" i="36"/>
  <c r="Q28" i="36"/>
  <c r="R28" i="36"/>
  <c r="S28" i="36"/>
  <c r="T28" i="36"/>
  <c r="U28" i="36"/>
  <c r="V28" i="36"/>
  <c r="W28" i="36"/>
  <c r="X28" i="36"/>
  <c r="Y28" i="36"/>
  <c r="Z28" i="36"/>
  <c r="AA28" i="36"/>
  <c r="AB28" i="36"/>
  <c r="AC28" i="36"/>
  <c r="AD28" i="36"/>
  <c r="AE28" i="36"/>
  <c r="AF28" i="36"/>
  <c r="AG28" i="36"/>
  <c r="AH28" i="36"/>
  <c r="AI28" i="36"/>
  <c r="AJ28" i="36"/>
  <c r="AK28" i="36"/>
  <c r="AL28" i="36"/>
  <c r="AM28" i="36"/>
  <c r="AN28" i="36"/>
  <c r="AO28" i="36"/>
  <c r="B29" i="36"/>
  <c r="C29" i="36"/>
  <c r="D29" i="36"/>
  <c r="E29" i="36"/>
  <c r="F29" i="36"/>
  <c r="G29" i="36"/>
  <c r="H29" i="36"/>
  <c r="I29" i="36"/>
  <c r="J29" i="36"/>
  <c r="K29" i="36"/>
  <c r="L29" i="36"/>
  <c r="M29" i="36"/>
  <c r="N29" i="36"/>
  <c r="O29" i="36"/>
  <c r="P29" i="36"/>
  <c r="Q29" i="36"/>
  <c r="R29" i="36"/>
  <c r="S29" i="36"/>
  <c r="T29" i="36"/>
  <c r="U29" i="36"/>
  <c r="V29" i="36"/>
  <c r="W29" i="36"/>
  <c r="X29" i="36"/>
  <c r="Y29" i="36"/>
  <c r="Z29" i="36"/>
  <c r="AA29" i="36"/>
  <c r="AB29" i="36"/>
  <c r="AC29" i="36"/>
  <c r="AD29" i="36"/>
  <c r="AE29" i="36"/>
  <c r="AF29" i="36"/>
  <c r="AG29" i="36"/>
  <c r="AH29" i="36"/>
  <c r="AI29" i="36"/>
  <c r="AJ29" i="36"/>
  <c r="AK29" i="36"/>
  <c r="AL29" i="36"/>
  <c r="AM29" i="36"/>
  <c r="AN29" i="36"/>
  <c r="AO29" i="36"/>
  <c r="B30" i="36"/>
  <c r="C30" i="36"/>
  <c r="D30" i="36"/>
  <c r="E30" i="36"/>
  <c r="F30" i="36"/>
  <c r="G30" i="36"/>
  <c r="H30" i="36"/>
  <c r="I30" i="36"/>
  <c r="J30" i="36"/>
  <c r="K30" i="36"/>
  <c r="L30" i="36"/>
  <c r="M30" i="36"/>
  <c r="N30" i="36"/>
  <c r="O30" i="36"/>
  <c r="P30" i="36"/>
  <c r="Q30" i="36"/>
  <c r="R30" i="36"/>
  <c r="S30" i="36"/>
  <c r="T30" i="36"/>
  <c r="U30" i="36"/>
  <c r="V30" i="36"/>
  <c r="W30" i="36"/>
  <c r="X30" i="36"/>
  <c r="Y30" i="36"/>
  <c r="Z30" i="36"/>
  <c r="AA30" i="36"/>
  <c r="AB30" i="36"/>
  <c r="AC30" i="36"/>
  <c r="AD30" i="36"/>
  <c r="AE30" i="36"/>
  <c r="AF30" i="36"/>
  <c r="AG30" i="36"/>
  <c r="AH30" i="36"/>
  <c r="AI30" i="36"/>
  <c r="AJ30" i="36"/>
  <c r="AK30" i="36"/>
  <c r="AL30" i="36"/>
  <c r="AM30" i="36"/>
  <c r="AN30" i="36"/>
  <c r="AO30" i="36"/>
  <c r="B31" i="36"/>
  <c r="C31" i="36"/>
  <c r="D31" i="36"/>
  <c r="E31" i="36"/>
  <c r="F31" i="36"/>
  <c r="G31" i="36"/>
  <c r="H31" i="36"/>
  <c r="I31" i="36"/>
  <c r="J31" i="36"/>
  <c r="K31" i="36"/>
  <c r="L31" i="36"/>
  <c r="M31" i="36"/>
  <c r="N31" i="36"/>
  <c r="O31" i="36"/>
  <c r="P31" i="36"/>
  <c r="Q31" i="36"/>
  <c r="R31" i="36"/>
  <c r="S31" i="36"/>
  <c r="T31" i="36"/>
  <c r="U31" i="36"/>
  <c r="V31" i="36"/>
  <c r="W31" i="36"/>
  <c r="X31" i="36"/>
  <c r="Y31" i="36"/>
  <c r="Z31" i="36"/>
  <c r="AA31" i="36"/>
  <c r="AB31" i="36"/>
  <c r="AC31" i="36"/>
  <c r="AD31" i="36"/>
  <c r="AE31" i="36"/>
  <c r="AF31" i="36"/>
  <c r="AG31" i="36"/>
  <c r="AH31" i="36"/>
  <c r="AI31" i="36"/>
  <c r="AJ31" i="36"/>
  <c r="AK31" i="36"/>
  <c r="AL31" i="36"/>
  <c r="AM31" i="36"/>
  <c r="AN31" i="36"/>
  <c r="AO31" i="36"/>
  <c r="B32" i="36"/>
  <c r="C32" i="36"/>
  <c r="D32" i="36"/>
  <c r="E32" i="36"/>
  <c r="F32" i="36"/>
  <c r="G32" i="36"/>
  <c r="H32" i="36"/>
  <c r="I32" i="36"/>
  <c r="J32" i="36"/>
  <c r="K32" i="36"/>
  <c r="L32" i="36"/>
  <c r="M32" i="36"/>
  <c r="N32" i="36"/>
  <c r="O32" i="36"/>
  <c r="P32" i="36"/>
  <c r="Q32" i="36"/>
  <c r="R32" i="36"/>
  <c r="S32" i="36"/>
  <c r="T32" i="36"/>
  <c r="U32" i="36"/>
  <c r="V32" i="36"/>
  <c r="W32" i="36"/>
  <c r="X32" i="36"/>
  <c r="Y32" i="36"/>
  <c r="Z32" i="36"/>
  <c r="AA32" i="36"/>
  <c r="AB32" i="36"/>
  <c r="AC32" i="36"/>
  <c r="AD32" i="36"/>
  <c r="AE32" i="36"/>
  <c r="AF32" i="36"/>
  <c r="AG32" i="36"/>
  <c r="AH32" i="36"/>
  <c r="AI32" i="36"/>
  <c r="AJ32" i="36"/>
  <c r="AK32" i="36"/>
  <c r="AL32" i="36"/>
  <c r="AM32" i="36"/>
  <c r="AN32" i="36"/>
  <c r="AO32" i="36"/>
  <c r="B33" i="36"/>
  <c r="C33" i="36"/>
  <c r="D33" i="36"/>
  <c r="E33" i="36"/>
  <c r="F33" i="36"/>
  <c r="G33" i="36"/>
  <c r="H33" i="36"/>
  <c r="I33" i="36"/>
  <c r="J33" i="36"/>
  <c r="K33" i="36"/>
  <c r="L33" i="36"/>
  <c r="M33" i="36"/>
  <c r="N33" i="36"/>
  <c r="O33" i="36"/>
  <c r="P33" i="36"/>
  <c r="Q33" i="36"/>
  <c r="R33" i="36"/>
  <c r="S33" i="36"/>
  <c r="T33" i="36"/>
  <c r="U33" i="36"/>
  <c r="V33" i="36"/>
  <c r="W33" i="36"/>
  <c r="X33" i="36"/>
  <c r="Y33" i="36"/>
  <c r="Z33" i="36"/>
  <c r="AA33" i="36"/>
  <c r="AB33" i="36"/>
  <c r="AC33" i="36"/>
  <c r="AD33" i="36"/>
  <c r="AE33" i="36"/>
  <c r="AF33" i="36"/>
  <c r="AG33" i="36"/>
  <c r="AH33" i="36"/>
  <c r="AI33" i="36"/>
  <c r="AJ33" i="36"/>
  <c r="AK33" i="36"/>
  <c r="AL33" i="36"/>
  <c r="AM33" i="36"/>
  <c r="AN33" i="36"/>
  <c r="AO33" i="36"/>
  <c r="B34" i="36"/>
  <c r="C34" i="36"/>
  <c r="D34" i="36"/>
  <c r="E34" i="36"/>
  <c r="F34" i="36"/>
  <c r="G34" i="36"/>
  <c r="H34" i="36"/>
  <c r="I34" i="36"/>
  <c r="J34" i="36"/>
  <c r="K34" i="36"/>
  <c r="L34" i="36"/>
  <c r="M34" i="36"/>
  <c r="N34" i="36"/>
  <c r="O34" i="36"/>
  <c r="P34" i="36"/>
  <c r="Q34" i="36"/>
  <c r="R34" i="36"/>
  <c r="S34" i="36"/>
  <c r="T34" i="36"/>
  <c r="U34" i="36"/>
  <c r="V34" i="36"/>
  <c r="W34" i="36"/>
  <c r="X34" i="36"/>
  <c r="Y34" i="36"/>
  <c r="Z34" i="36"/>
  <c r="AA34" i="36"/>
  <c r="AB34" i="36"/>
  <c r="AC34" i="36"/>
  <c r="AD34" i="36"/>
  <c r="AE34" i="36"/>
  <c r="AF34" i="36"/>
  <c r="AG34" i="36"/>
  <c r="AH34" i="36"/>
  <c r="AI34" i="36"/>
  <c r="AJ34" i="36"/>
  <c r="AK34" i="36"/>
  <c r="AL34" i="36"/>
  <c r="AM34" i="36"/>
  <c r="AN34" i="36"/>
  <c r="AO34" i="36"/>
  <c r="B35" i="36"/>
  <c r="C35" i="36"/>
  <c r="D35" i="36"/>
  <c r="E35" i="36"/>
  <c r="F35" i="36"/>
  <c r="G35" i="36"/>
  <c r="H35" i="36"/>
  <c r="I35" i="36"/>
  <c r="J35" i="36"/>
  <c r="K35" i="36"/>
  <c r="L35" i="36"/>
  <c r="M35" i="36"/>
  <c r="N35" i="36"/>
  <c r="O35" i="36"/>
  <c r="P35" i="36"/>
  <c r="Q35" i="36"/>
  <c r="R35" i="36"/>
  <c r="S35" i="36"/>
  <c r="T35" i="36"/>
  <c r="U35" i="36"/>
  <c r="V35" i="36"/>
  <c r="W35" i="36"/>
  <c r="X35" i="36"/>
  <c r="Y35" i="36"/>
  <c r="Z35" i="36"/>
  <c r="AA35" i="36"/>
  <c r="AB35" i="36"/>
  <c r="AC35" i="36"/>
  <c r="AD35" i="36"/>
  <c r="AE35" i="36"/>
  <c r="AF35" i="36"/>
  <c r="AG35" i="36"/>
  <c r="AH35" i="36"/>
  <c r="AI35" i="36"/>
  <c r="AJ35" i="36"/>
  <c r="AK35" i="36"/>
  <c r="AL35" i="36"/>
  <c r="AM35" i="36"/>
  <c r="AN35" i="36"/>
  <c r="AO35" i="36"/>
  <c r="B36" i="36"/>
  <c r="C36" i="36"/>
  <c r="D36" i="36"/>
  <c r="E36" i="36"/>
  <c r="F36" i="36"/>
  <c r="G36" i="36"/>
  <c r="H36" i="36"/>
  <c r="I36" i="36"/>
  <c r="J36" i="36"/>
  <c r="K36" i="36"/>
  <c r="L36" i="36"/>
  <c r="M36" i="36"/>
  <c r="N36" i="36"/>
  <c r="O36" i="36"/>
  <c r="P36" i="36"/>
  <c r="Q36" i="36"/>
  <c r="R36" i="36"/>
  <c r="S36" i="36"/>
  <c r="T36" i="36"/>
  <c r="U36" i="36"/>
  <c r="V36" i="36"/>
  <c r="W36" i="36"/>
  <c r="X36" i="36"/>
  <c r="Y36" i="36"/>
  <c r="Z36" i="36"/>
  <c r="AA36" i="36"/>
  <c r="AB36" i="36"/>
  <c r="AC36" i="36"/>
  <c r="AD36" i="36"/>
  <c r="AE36" i="36"/>
  <c r="AF36" i="36"/>
  <c r="AG36" i="36"/>
  <c r="AH36" i="36"/>
  <c r="AI36" i="36"/>
  <c r="AJ36" i="36"/>
  <c r="AK36" i="36"/>
  <c r="AL36" i="36"/>
  <c r="AM36" i="36"/>
  <c r="AN36" i="36"/>
  <c r="AO36" i="36"/>
  <c r="B37" i="36"/>
  <c r="C37" i="36"/>
  <c r="D37" i="36"/>
  <c r="E37" i="36"/>
  <c r="F37" i="36"/>
  <c r="G37" i="36"/>
  <c r="H37" i="36"/>
  <c r="I37" i="36"/>
  <c r="J37" i="36"/>
  <c r="K37" i="36"/>
  <c r="L37" i="36"/>
  <c r="M37" i="36"/>
  <c r="N37" i="36"/>
  <c r="O37" i="36"/>
  <c r="P37" i="36"/>
  <c r="Q37" i="36"/>
  <c r="R37" i="36"/>
  <c r="S37" i="36"/>
  <c r="T37" i="36"/>
  <c r="U37" i="36"/>
  <c r="V37" i="36"/>
  <c r="W37" i="36"/>
  <c r="X37" i="36"/>
  <c r="Y37" i="36"/>
  <c r="Z37" i="36"/>
  <c r="AA37" i="36"/>
  <c r="AB37" i="36"/>
  <c r="AC37" i="36"/>
  <c r="AD37" i="36"/>
  <c r="AE37" i="36"/>
  <c r="AF37" i="36"/>
  <c r="AG37" i="36"/>
  <c r="AH37" i="36"/>
  <c r="AI37" i="36"/>
  <c r="AJ37" i="36"/>
  <c r="AK37" i="36"/>
  <c r="AL37" i="36"/>
  <c r="AM37" i="36"/>
  <c r="AN37" i="36"/>
  <c r="AO37" i="36"/>
  <c r="B38" i="36"/>
  <c r="C38" i="36"/>
  <c r="D38" i="36"/>
  <c r="E38" i="36"/>
  <c r="F38" i="36"/>
  <c r="G38" i="36"/>
  <c r="H38" i="36"/>
  <c r="I38" i="36"/>
  <c r="J38" i="36"/>
  <c r="K38" i="36"/>
  <c r="L38" i="36"/>
  <c r="M38" i="36"/>
  <c r="N38" i="36"/>
  <c r="O38" i="36"/>
  <c r="P38" i="36"/>
  <c r="Q38" i="36"/>
  <c r="R38" i="36"/>
  <c r="S38" i="36"/>
  <c r="T38" i="36"/>
  <c r="U38" i="36"/>
  <c r="V38" i="36"/>
  <c r="W38" i="36"/>
  <c r="X38" i="36"/>
  <c r="Y38" i="36"/>
  <c r="Z38" i="36"/>
  <c r="AA38" i="36"/>
  <c r="AB38" i="36"/>
  <c r="AC38" i="36"/>
  <c r="AD38" i="36"/>
  <c r="AE38" i="36"/>
  <c r="AF38" i="36"/>
  <c r="AG38" i="36"/>
  <c r="AH38" i="36"/>
  <c r="AI38" i="36"/>
  <c r="AJ38" i="36"/>
  <c r="AK38" i="36"/>
  <c r="AL38" i="36"/>
  <c r="AM38" i="36"/>
  <c r="AN38" i="36"/>
  <c r="AO38" i="36"/>
  <c r="B39" i="36"/>
  <c r="C39" i="36"/>
  <c r="D39" i="36"/>
  <c r="E39" i="36"/>
  <c r="F39" i="36"/>
  <c r="G39" i="36"/>
  <c r="H39" i="36"/>
  <c r="I39" i="36"/>
  <c r="J39" i="36"/>
  <c r="K39" i="36"/>
  <c r="L39" i="36"/>
  <c r="M39" i="36"/>
  <c r="N39" i="36"/>
  <c r="O39" i="36"/>
  <c r="P39" i="36"/>
  <c r="Q39" i="36"/>
  <c r="R39" i="36"/>
  <c r="S39" i="36"/>
  <c r="T39" i="36"/>
  <c r="U39" i="36"/>
  <c r="V39" i="36"/>
  <c r="W39" i="36"/>
  <c r="X39" i="36"/>
  <c r="Y39" i="36"/>
  <c r="Z39" i="36"/>
  <c r="AA39" i="36"/>
  <c r="AB39" i="36"/>
  <c r="AC39" i="36"/>
  <c r="AD39" i="36"/>
  <c r="AE39" i="36"/>
  <c r="AF39" i="36"/>
  <c r="AG39" i="36"/>
  <c r="AH39" i="36"/>
  <c r="AI39" i="36"/>
  <c r="AJ39" i="36"/>
  <c r="AK39" i="36"/>
  <c r="AL39" i="36"/>
  <c r="AM39" i="36"/>
  <c r="AN39" i="36"/>
  <c r="AO39" i="36"/>
  <c r="B40" i="36"/>
  <c r="C40" i="36"/>
  <c r="D40" i="36"/>
  <c r="E40" i="36"/>
  <c r="F40" i="36"/>
  <c r="G40" i="36"/>
  <c r="H40" i="36"/>
  <c r="I40" i="36"/>
  <c r="J40" i="36"/>
  <c r="K40" i="36"/>
  <c r="L40" i="36"/>
  <c r="M40" i="36"/>
  <c r="N40" i="36"/>
  <c r="O40" i="36"/>
  <c r="P40" i="36"/>
  <c r="Q40" i="36"/>
  <c r="R40" i="36"/>
  <c r="S40" i="36"/>
  <c r="T40" i="36"/>
  <c r="U40" i="36"/>
  <c r="V40" i="36"/>
  <c r="W40" i="36"/>
  <c r="X40" i="36"/>
  <c r="Y40" i="36"/>
  <c r="Z40" i="36"/>
  <c r="AA40" i="36"/>
  <c r="AB40" i="36"/>
  <c r="AC40" i="36"/>
  <c r="AD40" i="36"/>
  <c r="AE40" i="36"/>
  <c r="AF40" i="36"/>
  <c r="AG40" i="36"/>
  <c r="AH40" i="36"/>
  <c r="AI40" i="36"/>
  <c r="AJ40" i="36"/>
  <c r="AK40" i="36"/>
  <c r="AL40" i="36"/>
  <c r="AM40" i="36"/>
  <c r="AN40" i="36"/>
  <c r="AO40" i="36"/>
  <c r="B41" i="36"/>
  <c r="C41" i="36"/>
  <c r="D41" i="36"/>
  <c r="E41" i="36"/>
  <c r="F41" i="36"/>
  <c r="G41" i="36"/>
  <c r="H41" i="36"/>
  <c r="I41" i="36"/>
  <c r="J41" i="36"/>
  <c r="K41" i="36"/>
  <c r="L41" i="36"/>
  <c r="M41" i="36"/>
  <c r="N41" i="36"/>
  <c r="O41" i="36"/>
  <c r="P41" i="36"/>
  <c r="Q41" i="36"/>
  <c r="R41" i="36"/>
  <c r="S41" i="36"/>
  <c r="T41" i="36"/>
  <c r="U41" i="36"/>
  <c r="V41" i="36"/>
  <c r="W41" i="36"/>
  <c r="X41" i="36"/>
  <c r="Y41" i="36"/>
  <c r="Z41" i="36"/>
  <c r="AA41" i="36"/>
  <c r="AB41" i="36"/>
  <c r="AC41" i="36"/>
  <c r="AD41" i="36"/>
  <c r="AE41" i="36"/>
  <c r="AF41" i="36"/>
  <c r="AG41" i="36"/>
  <c r="AH41" i="36"/>
  <c r="AI41" i="36"/>
  <c r="AJ41" i="36"/>
  <c r="AK41" i="36"/>
  <c r="AL41" i="36"/>
  <c r="AM41" i="36"/>
  <c r="AN41" i="36"/>
  <c r="AO41" i="36"/>
  <c r="B42" i="36"/>
  <c r="C42" i="36"/>
  <c r="D42" i="36"/>
  <c r="E42" i="36"/>
  <c r="F42" i="36"/>
  <c r="G42" i="36"/>
  <c r="H42" i="36"/>
  <c r="I42" i="36"/>
  <c r="J42" i="36"/>
  <c r="K42" i="36"/>
  <c r="L42" i="36"/>
  <c r="M42" i="36"/>
  <c r="N42" i="36"/>
  <c r="O42" i="36"/>
  <c r="P42" i="36"/>
  <c r="Q42" i="36"/>
  <c r="R42" i="36"/>
  <c r="S42" i="36"/>
  <c r="T42" i="36"/>
  <c r="U42" i="36"/>
  <c r="V42" i="36"/>
  <c r="W42" i="36"/>
  <c r="X42" i="36"/>
  <c r="Y42" i="36"/>
  <c r="Z42" i="36"/>
  <c r="AA42" i="36"/>
  <c r="AB42" i="36"/>
  <c r="AC42" i="36"/>
  <c r="AD42" i="36"/>
  <c r="AE42" i="36"/>
  <c r="AF42" i="36"/>
  <c r="AG42" i="36"/>
  <c r="AH42" i="36"/>
  <c r="AI42" i="36"/>
  <c r="AJ42" i="36"/>
  <c r="AK42" i="36"/>
  <c r="AL42" i="36"/>
  <c r="AM42" i="36"/>
  <c r="AN42" i="36"/>
  <c r="AO42" i="36"/>
  <c r="B43" i="36"/>
  <c r="C43" i="36"/>
  <c r="D43" i="36"/>
  <c r="E43" i="36"/>
  <c r="F43" i="36"/>
  <c r="G43" i="36"/>
  <c r="H43" i="36"/>
  <c r="I43" i="36"/>
  <c r="J43" i="36"/>
  <c r="K43" i="36"/>
  <c r="L43" i="36"/>
  <c r="M43" i="36"/>
  <c r="N43" i="36"/>
  <c r="O43" i="36"/>
  <c r="P43" i="36"/>
  <c r="Q43" i="36"/>
  <c r="R43" i="36"/>
  <c r="S43" i="36"/>
  <c r="T43" i="36"/>
  <c r="U43" i="36"/>
  <c r="V43" i="36"/>
  <c r="W43" i="36"/>
  <c r="X43" i="36"/>
  <c r="Y43" i="36"/>
  <c r="Z43" i="36"/>
  <c r="AA43" i="36"/>
  <c r="AB43" i="36"/>
  <c r="AC43" i="36"/>
  <c r="AD43" i="36"/>
  <c r="AE43" i="36"/>
  <c r="AF43" i="36"/>
  <c r="AG43" i="36"/>
  <c r="AH43" i="36"/>
  <c r="AI43" i="36"/>
  <c r="AJ43" i="36"/>
  <c r="AK43" i="36"/>
  <c r="AL43" i="36"/>
  <c r="AM43" i="36"/>
  <c r="AN43" i="36"/>
  <c r="AO43" i="36"/>
  <c r="B44" i="36"/>
  <c r="C44" i="36"/>
  <c r="D44" i="36"/>
  <c r="E44" i="36"/>
  <c r="F44" i="36"/>
  <c r="G44" i="36"/>
  <c r="H44" i="36"/>
  <c r="I44" i="36"/>
  <c r="J44" i="36"/>
  <c r="K44" i="36"/>
  <c r="L44" i="36"/>
  <c r="M44" i="36"/>
  <c r="N44" i="36"/>
  <c r="O44" i="36"/>
  <c r="P44" i="36"/>
  <c r="Q44" i="36"/>
  <c r="R44" i="36"/>
  <c r="S44" i="36"/>
  <c r="T44" i="36"/>
  <c r="U44" i="36"/>
  <c r="V44" i="36"/>
  <c r="W44" i="36"/>
  <c r="X44" i="36"/>
  <c r="Y44" i="36"/>
  <c r="Z44" i="36"/>
  <c r="AA44" i="36"/>
  <c r="AB44" i="36"/>
  <c r="AC44" i="36"/>
  <c r="AD44" i="36"/>
  <c r="AE44" i="36"/>
  <c r="AF44" i="36"/>
  <c r="AG44" i="36"/>
  <c r="AH44" i="36"/>
  <c r="AI44" i="36"/>
  <c r="AJ44" i="36"/>
  <c r="AK44" i="36"/>
  <c r="AL44" i="36"/>
  <c r="AM44" i="36"/>
  <c r="AN44" i="36"/>
  <c r="AO44" i="36"/>
  <c r="B45" i="36"/>
  <c r="C45" i="36"/>
  <c r="D45" i="36"/>
  <c r="E45" i="36"/>
  <c r="F45" i="36"/>
  <c r="G45" i="36"/>
  <c r="H45" i="36"/>
  <c r="I45" i="36"/>
  <c r="J45" i="36"/>
  <c r="K45" i="36"/>
  <c r="L45" i="36"/>
  <c r="M45" i="36"/>
  <c r="N45" i="36"/>
  <c r="O45" i="36"/>
  <c r="P45" i="36"/>
  <c r="Q45" i="36"/>
  <c r="R45" i="36"/>
  <c r="S45" i="36"/>
  <c r="T45" i="36"/>
  <c r="U45" i="36"/>
  <c r="V45" i="36"/>
  <c r="W45" i="36"/>
  <c r="X45" i="36"/>
  <c r="Y45" i="36"/>
  <c r="Z45" i="36"/>
  <c r="AA45" i="36"/>
  <c r="AB45" i="36"/>
  <c r="AC45" i="36"/>
  <c r="AD45" i="36"/>
  <c r="AE45" i="36"/>
  <c r="AF45" i="36"/>
  <c r="AG45" i="36"/>
  <c r="AH45" i="36"/>
  <c r="AI45" i="36"/>
  <c r="AJ45" i="36"/>
  <c r="AK45" i="36"/>
  <c r="AL45" i="36"/>
  <c r="AM45" i="36"/>
  <c r="AN45" i="36"/>
  <c r="AO45" i="36"/>
  <c r="B46" i="36"/>
  <c r="C46" i="36"/>
  <c r="D46" i="36"/>
  <c r="E46" i="36"/>
  <c r="F46" i="36"/>
  <c r="G46" i="36"/>
  <c r="H46" i="36"/>
  <c r="I46" i="36"/>
  <c r="J46" i="36"/>
  <c r="K46" i="36"/>
  <c r="L46" i="36"/>
  <c r="M46" i="36"/>
  <c r="N46" i="36"/>
  <c r="O46" i="36"/>
  <c r="P46" i="36"/>
  <c r="Q46" i="36"/>
  <c r="R46" i="36"/>
  <c r="S46" i="36"/>
  <c r="T46" i="36"/>
  <c r="U46" i="36"/>
  <c r="V46" i="36"/>
  <c r="W46" i="36"/>
  <c r="X46" i="36"/>
  <c r="Y46" i="36"/>
  <c r="Z46" i="36"/>
  <c r="AA46" i="36"/>
  <c r="AB46" i="36"/>
  <c r="AC46" i="36"/>
  <c r="AD46" i="36"/>
  <c r="AE46" i="36"/>
  <c r="AF46" i="36"/>
  <c r="AG46" i="36"/>
  <c r="AH46" i="36"/>
  <c r="AI46" i="36"/>
  <c r="AJ46" i="36"/>
  <c r="AK46" i="36"/>
  <c r="AL46" i="36"/>
  <c r="AM46" i="36"/>
  <c r="AN46" i="36"/>
  <c r="AO46" i="36"/>
  <c r="B47" i="36"/>
  <c r="C47" i="36"/>
  <c r="D47" i="36"/>
  <c r="E47" i="36"/>
  <c r="F47" i="36"/>
  <c r="G47" i="36"/>
  <c r="H47" i="36"/>
  <c r="I47" i="36"/>
  <c r="J47" i="36"/>
  <c r="K47" i="36"/>
  <c r="L47" i="36"/>
  <c r="M47" i="36"/>
  <c r="N47" i="36"/>
  <c r="O47" i="36"/>
  <c r="P47" i="36"/>
  <c r="Q47" i="36"/>
  <c r="R47" i="36"/>
  <c r="S47" i="36"/>
  <c r="T47" i="36"/>
  <c r="U47" i="36"/>
  <c r="V47" i="36"/>
  <c r="W47" i="36"/>
  <c r="X47" i="36"/>
  <c r="Y47" i="36"/>
  <c r="Z47" i="36"/>
  <c r="AA47" i="36"/>
  <c r="AB47" i="36"/>
  <c r="AC47" i="36"/>
  <c r="AD47" i="36"/>
  <c r="AE47" i="36"/>
  <c r="AF47" i="36"/>
  <c r="AG47" i="36"/>
  <c r="AH47" i="36"/>
  <c r="AI47" i="36"/>
  <c r="AJ47" i="36"/>
  <c r="AK47" i="36"/>
  <c r="AL47" i="36"/>
  <c r="AM47" i="36"/>
  <c r="AN47" i="36"/>
  <c r="AO47" i="36"/>
  <c r="B48" i="36"/>
  <c r="C48" i="36"/>
  <c r="D48" i="36"/>
  <c r="E48" i="36"/>
  <c r="F48" i="36"/>
  <c r="G48" i="36"/>
  <c r="H48" i="36"/>
  <c r="I48" i="36"/>
  <c r="J48" i="36"/>
  <c r="K48" i="36"/>
  <c r="L48" i="36"/>
  <c r="M48" i="36"/>
  <c r="N48" i="36"/>
  <c r="O48" i="36"/>
  <c r="P48" i="36"/>
  <c r="Q48" i="36"/>
  <c r="R48" i="36"/>
  <c r="S48" i="36"/>
  <c r="T48" i="36"/>
  <c r="U48" i="36"/>
  <c r="V48" i="36"/>
  <c r="W48" i="36"/>
  <c r="X48" i="36"/>
  <c r="Y48" i="36"/>
  <c r="Z48" i="36"/>
  <c r="AA48" i="36"/>
  <c r="AB48" i="36"/>
  <c r="AC48" i="36"/>
  <c r="AD48" i="36"/>
  <c r="AE48" i="36"/>
  <c r="AF48" i="36"/>
  <c r="AG48" i="36"/>
  <c r="AH48" i="36"/>
  <c r="AI48" i="36"/>
  <c r="AJ48" i="36"/>
  <c r="AK48" i="36"/>
  <c r="AL48" i="36"/>
  <c r="AM48" i="36"/>
  <c r="AN48" i="36"/>
  <c r="AO48" i="36"/>
  <c r="B49" i="36"/>
  <c r="C49" i="36"/>
  <c r="D49" i="36"/>
  <c r="E49" i="36"/>
  <c r="F49" i="36"/>
  <c r="G49" i="36"/>
  <c r="H49" i="36"/>
  <c r="I49" i="36"/>
  <c r="J49" i="36"/>
  <c r="K49" i="36"/>
  <c r="L49" i="36"/>
  <c r="M49" i="36"/>
  <c r="N49" i="36"/>
  <c r="O49" i="36"/>
  <c r="P49" i="36"/>
  <c r="Q49" i="36"/>
  <c r="R49" i="36"/>
  <c r="S49" i="36"/>
  <c r="T49" i="36"/>
  <c r="U49" i="36"/>
  <c r="V49" i="36"/>
  <c r="W49" i="36"/>
  <c r="X49" i="36"/>
  <c r="Y49" i="36"/>
  <c r="Z49" i="36"/>
  <c r="AA49" i="36"/>
  <c r="AB49" i="36"/>
  <c r="AC49" i="36"/>
  <c r="AD49" i="36"/>
  <c r="AE49" i="36"/>
  <c r="AF49" i="36"/>
  <c r="AG49" i="36"/>
  <c r="AH49" i="36"/>
  <c r="AI49" i="36"/>
  <c r="AJ49" i="36"/>
  <c r="AK49" i="36"/>
  <c r="AL49" i="36"/>
  <c r="AM49" i="36"/>
  <c r="AN49" i="36"/>
  <c r="AO49" i="36"/>
  <c r="B50" i="36"/>
  <c r="C50" i="36"/>
  <c r="D50" i="36"/>
  <c r="E50" i="36"/>
  <c r="F50" i="36"/>
  <c r="G50" i="36"/>
  <c r="H50" i="36"/>
  <c r="I50" i="36"/>
  <c r="J50" i="36"/>
  <c r="K50" i="36"/>
  <c r="L50" i="36"/>
  <c r="M50" i="36"/>
  <c r="N50" i="36"/>
  <c r="O50" i="36"/>
  <c r="P50" i="36"/>
  <c r="Q50" i="36"/>
  <c r="R50" i="36"/>
  <c r="S50" i="36"/>
  <c r="T50" i="36"/>
  <c r="U50" i="36"/>
  <c r="V50" i="36"/>
  <c r="W50" i="36"/>
  <c r="X50" i="36"/>
  <c r="Y50" i="36"/>
  <c r="Z50" i="36"/>
  <c r="AA50" i="36"/>
  <c r="AB50" i="36"/>
  <c r="AC50" i="36"/>
  <c r="AD50" i="36"/>
  <c r="AE50" i="36"/>
  <c r="AF50" i="36"/>
  <c r="AG50" i="36"/>
  <c r="AH50" i="36"/>
  <c r="AI50" i="36"/>
  <c r="AJ50" i="36"/>
  <c r="AK50" i="36"/>
  <c r="AL50" i="36"/>
  <c r="AM50" i="36"/>
  <c r="AN50" i="36"/>
  <c r="AO50" i="36"/>
  <c r="B51" i="36"/>
  <c r="C51" i="36"/>
  <c r="D51" i="36"/>
  <c r="E51" i="36"/>
  <c r="F51" i="36"/>
  <c r="G51" i="36"/>
  <c r="H51" i="36"/>
  <c r="I51" i="36"/>
  <c r="J51" i="36"/>
  <c r="K51" i="36"/>
  <c r="L51" i="36"/>
  <c r="M51" i="36"/>
  <c r="N51" i="36"/>
  <c r="O51" i="36"/>
  <c r="P51" i="36"/>
  <c r="Q51" i="36"/>
  <c r="R51" i="36"/>
  <c r="S51" i="36"/>
  <c r="T51" i="36"/>
  <c r="U51" i="36"/>
  <c r="V51" i="36"/>
  <c r="W51" i="36"/>
  <c r="X51" i="36"/>
  <c r="Y51" i="36"/>
  <c r="Z51" i="36"/>
  <c r="AA51" i="36"/>
  <c r="AB51" i="36"/>
  <c r="AC51" i="36"/>
  <c r="AD51" i="36"/>
  <c r="AE51" i="36"/>
  <c r="AF51" i="36"/>
  <c r="AG51" i="36"/>
  <c r="AH51" i="36"/>
  <c r="AI51" i="36"/>
  <c r="AJ51" i="36"/>
  <c r="AK51" i="36"/>
  <c r="AL51" i="36"/>
  <c r="AM51" i="36"/>
  <c r="AN51" i="36"/>
  <c r="AO51" i="36"/>
  <c r="B52" i="36"/>
  <c r="C52" i="36"/>
  <c r="D52" i="36"/>
  <c r="E52" i="36"/>
  <c r="F52" i="36"/>
  <c r="G52" i="36"/>
  <c r="H52" i="36"/>
  <c r="I52" i="36"/>
  <c r="J52" i="36"/>
  <c r="K52" i="36"/>
  <c r="L52" i="36"/>
  <c r="M52" i="36"/>
  <c r="N52" i="36"/>
  <c r="O52" i="36"/>
  <c r="P52" i="36"/>
  <c r="Q52" i="36"/>
  <c r="R52" i="36"/>
  <c r="S52" i="36"/>
  <c r="T52" i="36"/>
  <c r="U52" i="36"/>
  <c r="V52" i="36"/>
  <c r="W52" i="36"/>
  <c r="X52" i="36"/>
  <c r="Y52" i="36"/>
  <c r="Z52" i="36"/>
  <c r="AA52" i="36"/>
  <c r="AB52" i="36"/>
  <c r="AC52" i="36"/>
  <c r="AD52" i="36"/>
  <c r="AE52" i="36"/>
  <c r="AF52" i="36"/>
  <c r="AG52" i="36"/>
  <c r="AH52" i="36"/>
  <c r="AI52" i="36"/>
  <c r="AJ52" i="36"/>
  <c r="AK52" i="36"/>
  <c r="AL52" i="36"/>
  <c r="AM52" i="36"/>
  <c r="AN52" i="36"/>
  <c r="AO52" i="36"/>
  <c r="B4" i="37" a="1"/>
  <c r="B4" i="37" l="1"/>
  <c r="F4" i="37"/>
  <c r="J4" i="37"/>
  <c r="N4" i="37"/>
  <c r="R4" i="37"/>
  <c r="V4" i="37"/>
  <c r="Z4" i="37"/>
  <c r="AD4" i="37"/>
  <c r="AH4" i="37"/>
  <c r="AL4" i="37"/>
  <c r="B5" i="37"/>
  <c r="F5" i="37"/>
  <c r="J5" i="37"/>
  <c r="N5" i="37"/>
  <c r="R5" i="37"/>
  <c r="V5" i="37"/>
  <c r="Z5" i="37"/>
  <c r="AD5" i="37"/>
  <c r="AH5" i="37"/>
  <c r="AL5" i="37"/>
  <c r="B6" i="37"/>
  <c r="F6" i="37"/>
  <c r="J6" i="37"/>
  <c r="N6" i="37"/>
  <c r="R6" i="37"/>
  <c r="V6" i="37"/>
  <c r="Z6" i="37"/>
  <c r="AD6" i="37"/>
  <c r="AH6" i="37"/>
  <c r="AL6" i="37"/>
  <c r="B7" i="37"/>
  <c r="F7" i="37"/>
  <c r="J7" i="37"/>
  <c r="N7" i="37"/>
  <c r="R7" i="37"/>
  <c r="V7" i="37"/>
  <c r="Z7" i="37"/>
  <c r="AD7" i="37"/>
  <c r="AH7" i="37"/>
  <c r="AL7" i="37"/>
  <c r="B8" i="37"/>
  <c r="F8" i="37"/>
  <c r="J8" i="37"/>
  <c r="N8" i="37"/>
  <c r="R8" i="37"/>
  <c r="V8" i="37"/>
  <c r="Z8" i="37"/>
  <c r="AD8" i="37"/>
  <c r="AH8" i="37"/>
  <c r="AL8" i="37"/>
  <c r="B9" i="37"/>
  <c r="F9" i="37"/>
  <c r="J9" i="37"/>
  <c r="N9" i="37"/>
  <c r="R9" i="37"/>
  <c r="V9" i="37"/>
  <c r="Z9" i="37"/>
  <c r="AD9" i="37"/>
  <c r="AH9" i="37"/>
  <c r="AL9" i="37"/>
  <c r="B10" i="37"/>
  <c r="F10" i="37"/>
  <c r="J10" i="37"/>
  <c r="N10" i="37"/>
  <c r="R10" i="37"/>
  <c r="V10" i="37"/>
  <c r="Z10" i="37"/>
  <c r="AD10" i="37"/>
  <c r="AH10" i="37"/>
  <c r="AL10" i="37"/>
  <c r="B11" i="37"/>
  <c r="F11" i="37"/>
  <c r="J11" i="37"/>
  <c r="N11" i="37"/>
  <c r="R11" i="37"/>
  <c r="V11" i="37"/>
  <c r="Z11" i="37"/>
  <c r="AD11" i="37"/>
  <c r="AH11" i="37"/>
  <c r="AL11" i="37"/>
  <c r="B12" i="37"/>
  <c r="F12" i="37"/>
  <c r="J12" i="37"/>
  <c r="N12" i="37"/>
  <c r="R12" i="37"/>
  <c r="C4" i="37"/>
  <c r="G4" i="37"/>
  <c r="K4" i="37"/>
  <c r="O4" i="37"/>
  <c r="S4" i="37"/>
  <c r="W4" i="37"/>
  <c r="AA4" i="37"/>
  <c r="AE4" i="37"/>
  <c r="AI4" i="37"/>
  <c r="AM4" i="37"/>
  <c r="C5" i="37"/>
  <c r="G5" i="37"/>
  <c r="K5" i="37"/>
  <c r="O5" i="37"/>
  <c r="S5" i="37"/>
  <c r="W5" i="37"/>
  <c r="AA5" i="37"/>
  <c r="AE5" i="37"/>
  <c r="AI5" i="37"/>
  <c r="AM5" i="37"/>
  <c r="C6" i="37"/>
  <c r="G6" i="37"/>
  <c r="K6" i="37"/>
  <c r="O6" i="37"/>
  <c r="S6" i="37"/>
  <c r="W6" i="37"/>
  <c r="AA6" i="37"/>
  <c r="AE6" i="37"/>
  <c r="AI6" i="37"/>
  <c r="AM6" i="37"/>
  <c r="C7" i="37"/>
  <c r="G7" i="37"/>
  <c r="K7" i="37"/>
  <c r="O7" i="37"/>
  <c r="S7" i="37"/>
  <c r="W7" i="37"/>
  <c r="AA7" i="37"/>
  <c r="AE7" i="37"/>
  <c r="AI7" i="37"/>
  <c r="AM7" i="37"/>
  <c r="C8" i="37"/>
  <c r="G8" i="37"/>
  <c r="K8" i="37"/>
  <c r="O8" i="37"/>
  <c r="S8" i="37"/>
  <c r="W8" i="37"/>
  <c r="AA8" i="37"/>
  <c r="AE8" i="37"/>
  <c r="AI8" i="37"/>
  <c r="AM8" i="37"/>
  <c r="C9" i="37"/>
  <c r="G9" i="37"/>
  <c r="K9" i="37"/>
  <c r="O9" i="37"/>
  <c r="S9" i="37"/>
  <c r="W9" i="37"/>
  <c r="AA9" i="37"/>
  <c r="AE9" i="37"/>
  <c r="AI9" i="37"/>
  <c r="AM9" i="37"/>
  <c r="C10" i="37"/>
  <c r="G10" i="37"/>
  <c r="K10" i="37"/>
  <c r="O10" i="37"/>
  <c r="S10" i="37"/>
  <c r="W10" i="37"/>
  <c r="AA10" i="37"/>
  <c r="AE10" i="37"/>
  <c r="AI10" i="37"/>
  <c r="AM10" i="37"/>
  <c r="C11" i="37"/>
  <c r="G11" i="37"/>
  <c r="K11" i="37"/>
  <c r="O11" i="37"/>
  <c r="S11" i="37"/>
  <c r="W11" i="37"/>
  <c r="D4" i="37"/>
  <c r="L4" i="37"/>
  <c r="T4" i="37"/>
  <c r="AB4" i="37"/>
  <c r="AJ4" i="37"/>
  <c r="D5" i="37"/>
  <c r="L5" i="37"/>
  <c r="T5" i="37"/>
  <c r="AB5" i="37"/>
  <c r="AJ5" i="37"/>
  <c r="D6" i="37"/>
  <c r="L6" i="37"/>
  <c r="T6" i="37"/>
  <c r="AB6" i="37"/>
  <c r="AJ6" i="37"/>
  <c r="D7" i="37"/>
  <c r="L7" i="37"/>
  <c r="T7" i="37"/>
  <c r="AB7" i="37"/>
  <c r="AJ7" i="37"/>
  <c r="D8" i="37"/>
  <c r="L8" i="37"/>
  <c r="T8" i="37"/>
  <c r="AB8" i="37"/>
  <c r="AJ8" i="37"/>
  <c r="D9" i="37"/>
  <c r="L9" i="37"/>
  <c r="T9" i="37"/>
  <c r="AB9" i="37"/>
  <c r="AJ9" i="37"/>
  <c r="D10" i="37"/>
  <c r="L10" i="37"/>
  <c r="T10" i="37"/>
  <c r="AB10" i="37"/>
  <c r="AJ10" i="37"/>
  <c r="D11" i="37"/>
  <c r="L11" i="37"/>
  <c r="T11" i="37"/>
  <c r="AA11" i="37"/>
  <c r="AF11" i="37"/>
  <c r="AK11" i="37"/>
  <c r="C12" i="37"/>
  <c r="H12" i="37"/>
  <c r="M12" i="37"/>
  <c r="S12" i="37"/>
  <c r="W12" i="37"/>
  <c r="AA12" i="37"/>
  <c r="AE12" i="37"/>
  <c r="AI12" i="37"/>
  <c r="AM12" i="37"/>
  <c r="C13" i="37"/>
  <c r="G13" i="37"/>
  <c r="K13" i="37"/>
  <c r="O13" i="37"/>
  <c r="S13" i="37"/>
  <c r="W13" i="37"/>
  <c r="AA13" i="37"/>
  <c r="AE13" i="37"/>
  <c r="AI13" i="37"/>
  <c r="AM13" i="37"/>
  <c r="C14" i="37"/>
  <c r="G14" i="37"/>
  <c r="K14" i="37"/>
  <c r="O14" i="37"/>
  <c r="S14" i="37"/>
  <c r="E4" i="37"/>
  <c r="M4" i="37"/>
  <c r="U4" i="37"/>
  <c r="AC4" i="37"/>
  <c r="AK4" i="37"/>
  <c r="E5" i="37"/>
  <c r="M5" i="37"/>
  <c r="U5" i="37"/>
  <c r="AC5" i="37"/>
  <c r="AK5" i="37"/>
  <c r="E6" i="37"/>
  <c r="M6" i="37"/>
  <c r="U6" i="37"/>
  <c r="AC6" i="37"/>
  <c r="AK6" i="37"/>
  <c r="E7" i="37"/>
  <c r="M7" i="37"/>
  <c r="U7" i="37"/>
  <c r="AC7" i="37"/>
  <c r="AK7" i="37"/>
  <c r="E8" i="37"/>
  <c r="M8" i="37"/>
  <c r="U8" i="37"/>
  <c r="AC8" i="37"/>
  <c r="AK8" i="37"/>
  <c r="E9" i="37"/>
  <c r="M9" i="37"/>
  <c r="U9" i="37"/>
  <c r="AC9" i="37"/>
  <c r="AK9" i="37"/>
  <c r="E10" i="37"/>
  <c r="M10" i="37"/>
  <c r="U10" i="37"/>
  <c r="AC10" i="37"/>
  <c r="AK10" i="37"/>
  <c r="E11" i="37"/>
  <c r="M11" i="37"/>
  <c r="U11" i="37"/>
  <c r="AB11" i="37"/>
  <c r="AG11" i="37"/>
  <c r="AM11" i="37"/>
  <c r="D12" i="37"/>
  <c r="I12" i="37"/>
  <c r="O12" i="37"/>
  <c r="T12" i="37"/>
  <c r="X12" i="37"/>
  <c r="AB12" i="37"/>
  <c r="AF12" i="37"/>
  <c r="AJ12" i="37"/>
  <c r="AN12" i="37"/>
  <c r="D13" i="37"/>
  <c r="H13" i="37"/>
  <c r="L13" i="37"/>
  <c r="P13" i="37"/>
  <c r="T13" i="37"/>
  <c r="X13" i="37"/>
  <c r="AB13" i="37"/>
  <c r="AF13" i="37"/>
  <c r="AJ13" i="37"/>
  <c r="AN13" i="37"/>
  <c r="D14" i="37"/>
  <c r="H14" i="37"/>
  <c r="L14" i="37"/>
  <c r="P14" i="37"/>
  <c r="T14" i="37"/>
  <c r="X14" i="37"/>
  <c r="AB14" i="37"/>
  <c r="AF14" i="37"/>
  <c r="AJ14" i="37"/>
  <c r="AN14" i="37"/>
  <c r="D15" i="37"/>
  <c r="H15" i="37"/>
  <c r="L15" i="37"/>
  <c r="P15" i="37"/>
  <c r="T15" i="37"/>
  <c r="X15" i="37"/>
  <c r="AB15" i="37"/>
  <c r="AF15" i="37"/>
  <c r="AJ15" i="37"/>
  <c r="AN15" i="37"/>
  <c r="D16" i="37"/>
  <c r="H16" i="37"/>
  <c r="L16" i="37"/>
  <c r="P16" i="37"/>
  <c r="T16" i="37"/>
  <c r="X16" i="37"/>
  <c r="AB16" i="37"/>
  <c r="AF16" i="37"/>
  <c r="AJ16" i="37"/>
  <c r="AN16" i="37"/>
  <c r="D17" i="37"/>
  <c r="H17" i="37"/>
  <c r="L17" i="37"/>
  <c r="P17" i="37"/>
  <c r="T17" i="37"/>
  <c r="X17" i="37"/>
  <c r="AB17" i="37"/>
  <c r="AF17" i="37"/>
  <c r="AJ17" i="37"/>
  <c r="AN17" i="37"/>
  <c r="D18" i="37"/>
  <c r="H18" i="37"/>
  <c r="L18" i="37"/>
  <c r="P18" i="37"/>
  <c r="T18" i="37"/>
  <c r="X18" i="37"/>
  <c r="AB18" i="37"/>
  <c r="AF18" i="37"/>
  <c r="AJ18" i="37"/>
  <c r="AN18" i="37"/>
  <c r="D19" i="37"/>
  <c r="H19" i="37"/>
  <c r="L19" i="37"/>
  <c r="P19" i="37"/>
  <c r="T19" i="37"/>
  <c r="X19" i="37"/>
  <c r="AB19" i="37"/>
  <c r="AF19" i="37"/>
  <c r="AJ19" i="37"/>
  <c r="AN19" i="37"/>
  <c r="D20" i="37"/>
  <c r="H20" i="37"/>
  <c r="L20" i="37"/>
  <c r="P20" i="37"/>
  <c r="T20" i="37"/>
  <c r="X20" i="37"/>
  <c r="AB20" i="37"/>
  <c r="AF20" i="37"/>
  <c r="AJ20" i="37"/>
  <c r="AN20" i="37"/>
  <c r="D21" i="37"/>
  <c r="H21" i="37"/>
  <c r="L21" i="37"/>
  <c r="P21" i="37"/>
  <c r="T21" i="37"/>
  <c r="X21" i="37"/>
  <c r="AB21" i="37"/>
  <c r="AF21" i="37"/>
  <c r="AJ21" i="37"/>
  <c r="AN21" i="37"/>
  <c r="H4" i="37"/>
  <c r="P4" i="37"/>
  <c r="X4" i="37"/>
  <c r="AF4" i="37"/>
  <c r="AN4" i="37"/>
  <c r="H5" i="37"/>
  <c r="P5" i="37"/>
  <c r="X5" i="37"/>
  <c r="AF5" i="37"/>
  <c r="AN5" i="37"/>
  <c r="H6" i="37"/>
  <c r="P6" i="37"/>
  <c r="X6" i="37"/>
  <c r="AF6" i="37"/>
  <c r="AN6" i="37"/>
  <c r="H7" i="37"/>
  <c r="P7" i="37"/>
  <c r="X7" i="37"/>
  <c r="AF7" i="37"/>
  <c r="AN7" i="37"/>
  <c r="H8" i="37"/>
  <c r="P8" i="37"/>
  <c r="X8" i="37"/>
  <c r="AF8" i="37"/>
  <c r="AN8" i="37"/>
  <c r="H9" i="37"/>
  <c r="P9" i="37"/>
  <c r="X9" i="37"/>
  <c r="AF9" i="37"/>
  <c r="AN9" i="37"/>
  <c r="H10" i="37"/>
  <c r="P10" i="37"/>
  <c r="X10" i="37"/>
  <c r="AF10" i="37"/>
  <c r="AN10" i="37"/>
  <c r="H11" i="37"/>
  <c r="P11" i="37"/>
  <c r="X11" i="37"/>
  <c r="AC11" i="37"/>
  <c r="AI11" i="37"/>
  <c r="AN11" i="37"/>
  <c r="E12" i="37"/>
  <c r="K12" i="37"/>
  <c r="P12" i="37"/>
  <c r="U12" i="37"/>
  <c r="Y12" i="37"/>
  <c r="AC12" i="37"/>
  <c r="AG12" i="37"/>
  <c r="AK12" i="37"/>
  <c r="AO12" i="37"/>
  <c r="E13" i="37"/>
  <c r="I13" i="37"/>
  <c r="M13" i="37"/>
  <c r="Q13" i="37"/>
  <c r="U13" i="37"/>
  <c r="Y13" i="37"/>
  <c r="AC13" i="37"/>
  <c r="AG13" i="37"/>
  <c r="AK13" i="37"/>
  <c r="AO13" i="37"/>
  <c r="E14" i="37"/>
  <c r="I14" i="37"/>
  <c r="M14" i="37"/>
  <c r="Q14" i="37"/>
  <c r="U14" i="37"/>
  <c r="Y14" i="37"/>
  <c r="AC14" i="37"/>
  <c r="AG14" i="37"/>
  <c r="AK14" i="37"/>
  <c r="AO14" i="37"/>
  <c r="E15" i="37"/>
  <c r="I15" i="37"/>
  <c r="M15" i="37"/>
  <c r="Q15" i="37"/>
  <c r="U15" i="37"/>
  <c r="Y15" i="37"/>
  <c r="AC15" i="37"/>
  <c r="AG15" i="37"/>
  <c r="AK15" i="37"/>
  <c r="AO15" i="37"/>
  <c r="E16" i="37"/>
  <c r="I16" i="37"/>
  <c r="M16" i="37"/>
  <c r="Q16" i="37"/>
  <c r="U16" i="37"/>
  <c r="I4" i="37"/>
  <c r="AO4" i="37"/>
  <c r="AG5" i="37"/>
  <c r="Y6" i="37"/>
  <c r="Q7" i="37"/>
  <c r="I8" i="37"/>
  <c r="AO8" i="37"/>
  <c r="AG9" i="37"/>
  <c r="Y10" i="37"/>
  <c r="Q11" i="37"/>
  <c r="AO11" i="37"/>
  <c r="V12" i="37"/>
  <c r="AL12" i="37"/>
  <c r="N13" i="37"/>
  <c r="AD13" i="37"/>
  <c r="F14" i="37"/>
  <c r="V14" i="37"/>
  <c r="AD14" i="37"/>
  <c r="AL14" i="37"/>
  <c r="F15" i="37"/>
  <c r="N15" i="37"/>
  <c r="V15" i="37"/>
  <c r="AD15" i="37"/>
  <c r="AL15" i="37"/>
  <c r="F16" i="37"/>
  <c r="N16" i="37"/>
  <c r="V16" i="37"/>
  <c r="AA16" i="37"/>
  <c r="AG16" i="37"/>
  <c r="AL16" i="37"/>
  <c r="C17" i="37"/>
  <c r="I17" i="37"/>
  <c r="N17" i="37"/>
  <c r="S17" i="37"/>
  <c r="Y17" i="37"/>
  <c r="AD17" i="37"/>
  <c r="AI17" i="37"/>
  <c r="AO17" i="37"/>
  <c r="F18" i="37"/>
  <c r="K18" i="37"/>
  <c r="Q18" i="37"/>
  <c r="V18" i="37"/>
  <c r="AA18" i="37"/>
  <c r="AG18" i="37"/>
  <c r="AL18" i="37"/>
  <c r="C19" i="37"/>
  <c r="I19" i="37"/>
  <c r="N19" i="37"/>
  <c r="S19" i="37"/>
  <c r="Y19" i="37"/>
  <c r="AD19" i="37"/>
  <c r="AI19" i="37"/>
  <c r="AO19" i="37"/>
  <c r="F20" i="37"/>
  <c r="K20" i="37"/>
  <c r="Q20" i="37"/>
  <c r="V20" i="37"/>
  <c r="AA20" i="37"/>
  <c r="AG20" i="37"/>
  <c r="AL20" i="37"/>
  <c r="C21" i="37"/>
  <c r="I21" i="37"/>
  <c r="N21" i="37"/>
  <c r="S21" i="37"/>
  <c r="Y21" i="37"/>
  <c r="AD21" i="37"/>
  <c r="AI21" i="37"/>
  <c r="AO21" i="37"/>
  <c r="E22" i="37"/>
  <c r="I22" i="37"/>
  <c r="M22" i="37"/>
  <c r="Q22" i="37"/>
  <c r="U22" i="37"/>
  <c r="Y22" i="37"/>
  <c r="AC22" i="37"/>
  <c r="AG22" i="37"/>
  <c r="AK22" i="37"/>
  <c r="AO22" i="37"/>
  <c r="E23" i="37"/>
  <c r="I23" i="37"/>
  <c r="M23" i="37"/>
  <c r="Q23" i="37"/>
  <c r="U23" i="37"/>
  <c r="Y23" i="37"/>
  <c r="AC23" i="37"/>
  <c r="Q4" i="37"/>
  <c r="I5" i="37"/>
  <c r="AO5" i="37"/>
  <c r="AG6" i="37"/>
  <c r="Y7" i="37"/>
  <c r="Q8" i="37"/>
  <c r="I9" i="37"/>
  <c r="AO9" i="37"/>
  <c r="AG10" i="37"/>
  <c r="Y11" i="37"/>
  <c r="G12" i="37"/>
  <c r="Z12" i="37"/>
  <c r="B13" i="37"/>
  <c r="R13" i="37"/>
  <c r="AH13" i="37"/>
  <c r="J14" i="37"/>
  <c r="W14" i="37"/>
  <c r="AE14" i="37"/>
  <c r="AM14" i="37"/>
  <c r="G15" i="37"/>
  <c r="O15" i="37"/>
  <c r="W15" i="37"/>
  <c r="AE15" i="37"/>
  <c r="AM15" i="37"/>
  <c r="G16" i="37"/>
  <c r="O16" i="37"/>
  <c r="W16" i="37"/>
  <c r="AC16" i="37"/>
  <c r="AH16" i="37"/>
  <c r="AM16" i="37"/>
  <c r="E17" i="37"/>
  <c r="J17" i="37"/>
  <c r="O17" i="37"/>
  <c r="U17" i="37"/>
  <c r="Z17" i="37"/>
  <c r="AE17" i="37"/>
  <c r="AK17" i="37"/>
  <c r="B18" i="37"/>
  <c r="G18" i="37"/>
  <c r="M18" i="37"/>
  <c r="R18" i="37"/>
  <c r="W18" i="37"/>
  <c r="AC18" i="37"/>
  <c r="AH18" i="37"/>
  <c r="AM18" i="37"/>
  <c r="E19" i="37"/>
  <c r="J19" i="37"/>
  <c r="O19" i="37"/>
  <c r="U19" i="37"/>
  <c r="Z19" i="37"/>
  <c r="AE19" i="37"/>
  <c r="AK19" i="37"/>
  <c r="B20" i="37"/>
  <c r="G20" i="37"/>
  <c r="M20" i="37"/>
  <c r="R20" i="37"/>
  <c r="W20" i="37"/>
  <c r="AC20" i="37"/>
  <c r="AH20" i="37"/>
  <c r="AM20" i="37"/>
  <c r="E21" i="37"/>
  <c r="J21" i="37"/>
  <c r="O21" i="37"/>
  <c r="U21" i="37"/>
  <c r="Z21" i="37"/>
  <c r="AE21" i="37"/>
  <c r="AK21" i="37"/>
  <c r="B22" i="37"/>
  <c r="F22" i="37"/>
  <c r="J22" i="37"/>
  <c r="N22" i="37"/>
  <c r="R22" i="37"/>
  <c r="V22" i="37"/>
  <c r="Z22" i="37"/>
  <c r="AD22" i="37"/>
  <c r="AH22" i="37"/>
  <c r="AL22" i="37"/>
  <c r="B23" i="37"/>
  <c r="F23" i="37"/>
  <c r="J23" i="37"/>
  <c r="N23" i="37"/>
  <c r="R23" i="37"/>
  <c r="V23" i="37"/>
  <c r="Z23" i="37"/>
  <c r="AD23" i="37"/>
  <c r="AH23" i="37"/>
  <c r="AL23" i="37"/>
  <c r="B24" i="37"/>
  <c r="F24" i="37"/>
  <c r="J24" i="37"/>
  <c r="N24" i="37"/>
  <c r="R24" i="37"/>
  <c r="V24" i="37"/>
  <c r="Z24" i="37"/>
  <c r="AD24" i="37"/>
  <c r="AH24" i="37"/>
  <c r="AL24" i="37"/>
  <c r="B25" i="37"/>
  <c r="F25" i="37"/>
  <c r="J25" i="37"/>
  <c r="N25" i="37"/>
  <c r="R25" i="37"/>
  <c r="V25" i="37"/>
  <c r="Z25" i="37"/>
  <c r="AD25" i="37"/>
  <c r="Y4" i="37"/>
  <c r="Q5" i="37"/>
  <c r="I6" i="37"/>
  <c r="AO6" i="37"/>
  <c r="AG7" i="37"/>
  <c r="Y8" i="37"/>
  <c r="Q9" i="37"/>
  <c r="I10" i="37"/>
  <c r="AO10" i="37"/>
  <c r="AE11" i="37"/>
  <c r="L12" i="37"/>
  <c r="AD12" i="37"/>
  <c r="F13" i="37"/>
  <c r="V13" i="37"/>
  <c r="AL13" i="37"/>
  <c r="N14" i="37"/>
  <c r="Z14" i="37"/>
  <c r="AG4" i="37"/>
  <c r="AO7" i="37"/>
  <c r="I11" i="37"/>
  <c r="J13" i="37"/>
  <c r="AA14" i="37"/>
  <c r="C15" i="37"/>
  <c r="S15" i="37"/>
  <c r="AI15" i="37"/>
  <c r="K16" i="37"/>
  <c r="Z16" i="37"/>
  <c r="AK16" i="37"/>
  <c r="G17" i="37"/>
  <c r="R17" i="37"/>
  <c r="AC17" i="37"/>
  <c r="AM17" i="37"/>
  <c r="J18" i="37"/>
  <c r="U18" i="37"/>
  <c r="AE18" i="37"/>
  <c r="B19" i="37"/>
  <c r="M19" i="37"/>
  <c r="W19" i="37"/>
  <c r="AH19" i="37"/>
  <c r="E20" i="37"/>
  <c r="O20" i="37"/>
  <c r="Z20" i="37"/>
  <c r="AK20" i="37"/>
  <c r="G21" i="37"/>
  <c r="R21" i="37"/>
  <c r="AC21" i="37"/>
  <c r="AM21" i="37"/>
  <c r="H22" i="37"/>
  <c r="P22" i="37"/>
  <c r="X22" i="37"/>
  <c r="AF22" i="37"/>
  <c r="AN22" i="37"/>
  <c r="H23" i="37"/>
  <c r="P23" i="37"/>
  <c r="X23" i="37"/>
  <c r="AF23" i="37"/>
  <c r="AK23" i="37"/>
  <c r="C24" i="37"/>
  <c r="H24" i="37"/>
  <c r="M24" i="37"/>
  <c r="S24" i="37"/>
  <c r="X24" i="37"/>
  <c r="AC24" i="37"/>
  <c r="AI24" i="37"/>
  <c r="AN24" i="37"/>
  <c r="E25" i="37"/>
  <c r="K25" i="37"/>
  <c r="P25" i="37"/>
  <c r="U25" i="37"/>
  <c r="AA25" i="37"/>
  <c r="AF25" i="37"/>
  <c r="AJ25" i="37"/>
  <c r="AN25" i="37"/>
  <c r="D26" i="37"/>
  <c r="H26" i="37"/>
  <c r="L26" i="37"/>
  <c r="P26" i="37"/>
  <c r="T26" i="37"/>
  <c r="X26" i="37"/>
  <c r="AB26" i="37"/>
  <c r="AF26" i="37"/>
  <c r="AJ26" i="37"/>
  <c r="AN26" i="37"/>
  <c r="D27" i="37"/>
  <c r="H27" i="37"/>
  <c r="L27" i="37"/>
  <c r="P27" i="37"/>
  <c r="T27" i="37"/>
  <c r="X27" i="37"/>
  <c r="AB27" i="37"/>
  <c r="AF27" i="37"/>
  <c r="AJ27" i="37"/>
  <c r="AN27" i="37"/>
  <c r="D28" i="37"/>
  <c r="H28" i="37"/>
  <c r="L28" i="37"/>
  <c r="P28" i="37"/>
  <c r="T28" i="37"/>
  <c r="X28" i="37"/>
  <c r="AB28" i="37"/>
  <c r="AF28" i="37"/>
  <c r="AJ28" i="37"/>
  <c r="AN28" i="37"/>
  <c r="Y5" i="37"/>
  <c r="AG8" i="37"/>
  <c r="AJ11" i="37"/>
  <c r="Z13" i="37"/>
  <c r="AH14" i="37"/>
  <c r="J15" i="37"/>
  <c r="Z15" i="37"/>
  <c r="B16" i="37"/>
  <c r="R16" i="37"/>
  <c r="AD16" i="37"/>
  <c r="AO16" i="37"/>
  <c r="K17" i="37"/>
  <c r="V17" i="37"/>
  <c r="AG17" i="37"/>
  <c r="C18" i="37"/>
  <c r="N18" i="37"/>
  <c r="Y18" i="37"/>
  <c r="AI18" i="37"/>
  <c r="F19" i="37"/>
  <c r="Q19" i="37"/>
  <c r="AA19" i="37"/>
  <c r="AL19" i="37"/>
  <c r="I20" i="37"/>
  <c r="S20" i="37"/>
  <c r="AD20" i="37"/>
  <c r="AO20" i="37"/>
  <c r="K21" i="37"/>
  <c r="V21" i="37"/>
  <c r="AG21" i="37"/>
  <c r="C22" i="37"/>
  <c r="K22" i="37"/>
  <c r="S22" i="37"/>
  <c r="AA22" i="37"/>
  <c r="AI22" i="37"/>
  <c r="C23" i="37"/>
  <c r="K23" i="37"/>
  <c r="S23" i="37"/>
  <c r="AA23" i="37"/>
  <c r="AG23" i="37"/>
  <c r="AM23" i="37"/>
  <c r="D24" i="37"/>
  <c r="I24" i="37"/>
  <c r="O24" i="37"/>
  <c r="T24" i="37"/>
  <c r="Y24" i="37"/>
  <c r="AE24" i="37"/>
  <c r="AJ24" i="37"/>
  <c r="AO24" i="37"/>
  <c r="G25" i="37"/>
  <c r="L25" i="37"/>
  <c r="Q25" i="37"/>
  <c r="W25" i="37"/>
  <c r="AB25" i="37"/>
  <c r="AG25" i="37"/>
  <c r="AK25" i="37"/>
  <c r="AO25" i="37"/>
  <c r="E26" i="37"/>
  <c r="I26" i="37"/>
  <c r="M26" i="37"/>
  <c r="Q26" i="37"/>
  <c r="U26" i="37"/>
  <c r="Y26" i="37"/>
  <c r="AC26" i="37"/>
  <c r="AG26" i="37"/>
  <c r="AK26" i="37"/>
  <c r="AO26" i="37"/>
  <c r="E27" i="37"/>
  <c r="I27" i="37"/>
  <c r="M27" i="37"/>
  <c r="Q27" i="37"/>
  <c r="U27" i="37"/>
  <c r="Y27" i="37"/>
  <c r="AC27" i="37"/>
  <c r="AG27" i="37"/>
  <c r="AK27" i="37"/>
  <c r="AO27" i="37"/>
  <c r="E28" i="37"/>
  <c r="I28" i="37"/>
  <c r="M28" i="37"/>
  <c r="Q28" i="37"/>
  <c r="U28" i="37"/>
  <c r="Y28" i="37"/>
  <c r="AC28" i="37"/>
  <c r="AG28" i="37"/>
  <c r="AK28" i="37"/>
  <c r="AO28" i="37"/>
  <c r="E29" i="37"/>
  <c r="I29" i="37"/>
  <c r="M29" i="37"/>
  <c r="Q29" i="37"/>
  <c r="U29" i="37"/>
  <c r="Y29" i="37"/>
  <c r="AC29" i="37"/>
  <c r="AG29" i="37"/>
  <c r="AK29" i="37"/>
  <c r="AO29" i="37"/>
  <c r="E30" i="37"/>
  <c r="I30" i="37"/>
  <c r="M30" i="37"/>
  <c r="Q30" i="37"/>
  <c r="U30" i="37"/>
  <c r="Y30" i="37"/>
  <c r="AC30" i="37"/>
  <c r="AG30" i="37"/>
  <c r="AK30" i="37"/>
  <c r="AO30" i="37"/>
  <c r="E31" i="37"/>
  <c r="I31" i="37"/>
  <c r="M31" i="37"/>
  <c r="Q31" i="37"/>
  <c r="U31" i="37"/>
  <c r="Y31" i="37"/>
  <c r="AC31" i="37"/>
  <c r="AG31" i="37"/>
  <c r="AK31" i="37"/>
  <c r="AO31" i="37"/>
  <c r="E32" i="37"/>
  <c r="I32" i="37"/>
  <c r="M32" i="37"/>
  <c r="Q6" i="37"/>
  <c r="Y9" i="37"/>
  <c r="Q12" i="37"/>
  <c r="B14" i="37"/>
  <c r="AI14" i="37"/>
  <c r="K15" i="37"/>
  <c r="AA15" i="37"/>
  <c r="C16" i="37"/>
  <c r="S16" i="37"/>
  <c r="AE16" i="37"/>
  <c r="B17" i="37"/>
  <c r="M17" i="37"/>
  <c r="W17" i="37"/>
  <c r="AH17" i="37"/>
  <c r="E18" i="37"/>
  <c r="O18" i="37"/>
  <c r="Z18" i="37"/>
  <c r="AK18" i="37"/>
  <c r="G19" i="37"/>
  <c r="R19" i="37"/>
  <c r="AC19" i="37"/>
  <c r="AM19" i="37"/>
  <c r="J20" i="37"/>
  <c r="U20" i="37"/>
  <c r="AE20" i="37"/>
  <c r="B21" i="37"/>
  <c r="M21" i="37"/>
  <c r="W21" i="37"/>
  <c r="AH21" i="37"/>
  <c r="D22" i="37"/>
  <c r="L22" i="37"/>
  <c r="T22" i="37"/>
  <c r="AB22" i="37"/>
  <c r="AJ22" i="37"/>
  <c r="D23" i="37"/>
  <c r="L23" i="37"/>
  <c r="T23" i="37"/>
  <c r="AB23" i="37"/>
  <c r="AI23" i="37"/>
  <c r="AN23" i="37"/>
  <c r="E24" i="37"/>
  <c r="K24" i="37"/>
  <c r="P24" i="37"/>
  <c r="U24" i="37"/>
  <c r="AA24" i="37"/>
  <c r="AF24" i="37"/>
  <c r="AK24" i="37"/>
  <c r="C25" i="37"/>
  <c r="H25" i="37"/>
  <c r="M25" i="37"/>
  <c r="S25" i="37"/>
  <c r="X25" i="37"/>
  <c r="AC25" i="37"/>
  <c r="AH25" i="37"/>
  <c r="AL25" i="37"/>
  <c r="B26" i="37"/>
  <c r="F26" i="37"/>
  <c r="J26" i="37"/>
  <c r="N26" i="37"/>
  <c r="R26" i="37"/>
  <c r="V26" i="37"/>
  <c r="Z26" i="37"/>
  <c r="AD26" i="37"/>
  <c r="AH26" i="37"/>
  <c r="AL26" i="37"/>
  <c r="B27" i="37"/>
  <c r="F27" i="37"/>
  <c r="J27" i="37"/>
  <c r="N27" i="37"/>
  <c r="R27" i="37"/>
  <c r="V27" i="37"/>
  <c r="Z27" i="37"/>
  <c r="AD27" i="37"/>
  <c r="AH27" i="37"/>
  <c r="AL27" i="37"/>
  <c r="B28" i="37"/>
  <c r="F28" i="37"/>
  <c r="J28" i="37"/>
  <c r="N28" i="37"/>
  <c r="R28" i="37"/>
  <c r="V28" i="37"/>
  <c r="Z28" i="37"/>
  <c r="AD28" i="37"/>
  <c r="AH28" i="37"/>
  <c r="AL28" i="37"/>
  <c r="B29" i="37"/>
  <c r="F29" i="37"/>
  <c r="J29" i="37"/>
  <c r="N29" i="37"/>
  <c r="R29" i="37"/>
  <c r="V29" i="37"/>
  <c r="Z29" i="37"/>
  <c r="AD29" i="37"/>
  <c r="AH29" i="37"/>
  <c r="AL29" i="37"/>
  <c r="B30" i="37"/>
  <c r="F30" i="37"/>
  <c r="J30" i="37"/>
  <c r="N30" i="37"/>
  <c r="R30" i="37"/>
  <c r="V30" i="37"/>
  <c r="Z30" i="37"/>
  <c r="AD30" i="37"/>
  <c r="AH30" i="37"/>
  <c r="AL30" i="37"/>
  <c r="B31" i="37"/>
  <c r="F31" i="37"/>
  <c r="J31" i="37"/>
  <c r="N31" i="37"/>
  <c r="R31" i="37"/>
  <c r="V31" i="37"/>
  <c r="Z31" i="37"/>
  <c r="AD31" i="37"/>
  <c r="AH31" i="37"/>
  <c r="AL31" i="37"/>
  <c r="B32" i="37"/>
  <c r="F32" i="37"/>
  <c r="J32" i="37"/>
  <c r="N32" i="37"/>
  <c r="I7" i="37"/>
  <c r="Q10" i="37"/>
  <c r="AH12" i="37"/>
  <c r="R14" i="37"/>
  <c r="B15" i="37"/>
  <c r="R15" i="37"/>
  <c r="AH15" i="37"/>
  <c r="J16" i="37"/>
  <c r="Y16" i="37"/>
  <c r="AI16" i="37"/>
  <c r="F17" i="37"/>
  <c r="Q17" i="37"/>
  <c r="AA17" i="37"/>
  <c r="AL17" i="37"/>
  <c r="I18" i="37"/>
  <c r="S18" i="37"/>
  <c r="AD18" i="37"/>
  <c r="AO18" i="37"/>
  <c r="K19" i="37"/>
  <c r="V19" i="37"/>
  <c r="AG19" i="37"/>
  <c r="C20" i="37"/>
  <c r="N20" i="37"/>
  <c r="Y20" i="37"/>
  <c r="AI20" i="37"/>
  <c r="F21" i="37"/>
  <c r="Q21" i="37"/>
  <c r="AA21" i="37"/>
  <c r="AL21" i="37"/>
  <c r="G22" i="37"/>
  <c r="O22" i="37"/>
  <c r="W22" i="37"/>
  <c r="AE22" i="37"/>
  <c r="AM22" i="37"/>
  <c r="G23" i="37"/>
  <c r="O23" i="37"/>
  <c r="W23" i="37"/>
  <c r="AE23" i="37"/>
  <c r="AJ23" i="37"/>
  <c r="AO23" i="37"/>
  <c r="G24" i="37"/>
  <c r="L24" i="37"/>
  <c r="Q24" i="37"/>
  <c r="W24" i="37"/>
  <c r="AB24" i="37"/>
  <c r="AG24" i="37"/>
  <c r="AM24" i="37"/>
  <c r="D25" i="37"/>
  <c r="I25" i="37"/>
  <c r="O25" i="37"/>
  <c r="T25" i="37"/>
  <c r="Y25" i="37"/>
  <c r="AE25" i="37"/>
  <c r="AI25" i="37"/>
  <c r="AM25" i="37"/>
  <c r="C26" i="37"/>
  <c r="G26" i="37"/>
  <c r="K26" i="37"/>
  <c r="O26" i="37"/>
  <c r="S26" i="37"/>
  <c r="W26" i="37"/>
  <c r="AA26" i="37"/>
  <c r="AE26" i="37"/>
  <c r="AI26" i="37"/>
  <c r="AM26" i="37"/>
  <c r="C27" i="37"/>
  <c r="G27" i="37"/>
  <c r="K27" i="37"/>
  <c r="O27" i="37"/>
  <c r="S27" i="37"/>
  <c r="W27" i="37"/>
  <c r="AA27" i="37"/>
  <c r="AE27" i="37"/>
  <c r="AI27" i="37"/>
  <c r="AM27" i="37"/>
  <c r="C28" i="37"/>
  <c r="G28" i="37"/>
  <c r="K28" i="37"/>
  <c r="O28" i="37"/>
  <c r="S28" i="37"/>
  <c r="W28" i="37"/>
  <c r="AA28" i="37"/>
  <c r="AE28" i="37"/>
  <c r="AI28" i="37"/>
  <c r="AM28" i="37"/>
  <c r="C29" i="37"/>
  <c r="K29" i="37"/>
  <c r="S29" i="37"/>
  <c r="AA29" i="37"/>
  <c r="AI29" i="37"/>
  <c r="C30" i="37"/>
  <c r="K30" i="37"/>
  <c r="S30" i="37"/>
  <c r="AA30" i="37"/>
  <c r="AI30" i="37"/>
  <c r="C31" i="37"/>
  <c r="K31" i="37"/>
  <c r="S31" i="37"/>
  <c r="AA31" i="37"/>
  <c r="AI31" i="37"/>
  <c r="C32" i="37"/>
  <c r="K32" i="37"/>
  <c r="Q32" i="37"/>
  <c r="U32" i="37"/>
  <c r="Y32" i="37"/>
  <c r="AC32" i="37"/>
  <c r="AG32" i="37"/>
  <c r="AK32" i="37"/>
  <c r="AO32" i="37"/>
  <c r="E33" i="37"/>
  <c r="I33" i="37"/>
  <c r="M33" i="37"/>
  <c r="Q33" i="37"/>
  <c r="U33" i="37"/>
  <c r="Y33" i="37"/>
  <c r="AC33" i="37"/>
  <c r="AG33" i="37"/>
  <c r="AK33" i="37"/>
  <c r="AO33" i="37"/>
  <c r="E34" i="37"/>
  <c r="I34" i="37"/>
  <c r="M34" i="37"/>
  <c r="Q34" i="37"/>
  <c r="U34" i="37"/>
  <c r="Y34" i="37"/>
  <c r="AC34" i="37"/>
  <c r="AG34" i="37"/>
  <c r="AK34" i="37"/>
  <c r="AO34" i="37"/>
  <c r="E35" i="37"/>
  <c r="I35" i="37"/>
  <c r="M35" i="37"/>
  <c r="Q35" i="37"/>
  <c r="U35" i="37"/>
  <c r="Y35" i="37"/>
  <c r="AC35" i="37"/>
  <c r="AG35" i="37"/>
  <c r="AK35" i="37"/>
  <c r="AO35" i="37"/>
  <c r="E36" i="37"/>
  <c r="I36" i="37"/>
  <c r="M36" i="37"/>
  <c r="Q36" i="37"/>
  <c r="U36" i="37"/>
  <c r="Y36" i="37"/>
  <c r="AC36" i="37"/>
  <c r="AG36" i="37"/>
  <c r="AK36" i="37"/>
  <c r="AO36" i="37"/>
  <c r="E37" i="37"/>
  <c r="I37" i="37"/>
  <c r="M37" i="37"/>
  <c r="Q37" i="37"/>
  <c r="U37" i="37"/>
  <c r="Y37" i="37"/>
  <c r="AC37" i="37"/>
  <c r="AG37" i="37"/>
  <c r="AK37" i="37"/>
  <c r="AO37" i="37"/>
  <c r="E38" i="37"/>
  <c r="I38" i="37"/>
  <c r="M38" i="37"/>
  <c r="Q38" i="37"/>
  <c r="U38" i="37"/>
  <c r="Y38" i="37"/>
  <c r="AC38" i="37"/>
  <c r="AG38" i="37"/>
  <c r="AK38" i="37"/>
  <c r="AO38" i="37"/>
  <c r="E39" i="37"/>
  <c r="I39" i="37"/>
  <c r="M39" i="37"/>
  <c r="Q39" i="37"/>
  <c r="U39" i="37"/>
  <c r="Y39" i="37"/>
  <c r="AC39" i="37"/>
  <c r="AG39" i="37"/>
  <c r="AK39" i="37"/>
  <c r="AO39" i="37"/>
  <c r="E40" i="37"/>
  <c r="I40" i="37"/>
  <c r="M40" i="37"/>
  <c r="Q40" i="37"/>
  <c r="U40" i="37"/>
  <c r="Y40" i="37"/>
  <c r="AC40" i="37"/>
  <c r="AG40" i="37"/>
  <c r="AK40" i="37"/>
  <c r="AO40" i="37"/>
  <c r="E41" i="37"/>
  <c r="I41" i="37"/>
  <c r="M41" i="37"/>
  <c r="Q41" i="37"/>
  <c r="U41" i="37"/>
  <c r="Y41" i="37"/>
  <c r="AC41" i="37"/>
  <c r="AG41" i="37"/>
  <c r="AK41" i="37"/>
  <c r="AO41" i="37"/>
  <c r="E42" i="37"/>
  <c r="I42" i="37"/>
  <c r="M42" i="37"/>
  <c r="Q42" i="37"/>
  <c r="U42" i="37"/>
  <c r="Y42" i="37"/>
  <c r="AC42" i="37"/>
  <c r="AG42" i="37"/>
  <c r="AK42" i="37"/>
  <c r="AO42" i="37"/>
  <c r="E43" i="37"/>
  <c r="I43" i="37"/>
  <c r="M43" i="37"/>
  <c r="Q43" i="37"/>
  <c r="U43" i="37"/>
  <c r="Y43" i="37"/>
  <c r="AC43" i="37"/>
  <c r="AG43" i="37"/>
  <c r="AK43" i="37"/>
  <c r="AO43" i="37"/>
  <c r="H29" i="37"/>
  <c r="AN29" i="37"/>
  <c r="P30" i="37"/>
  <c r="AF30" i="37"/>
  <c r="H31" i="37"/>
  <c r="X31" i="37"/>
  <c r="AN31" i="37"/>
  <c r="P32" i="37"/>
  <c r="X32" i="37"/>
  <c r="AF32" i="37"/>
  <c r="AN32" i="37"/>
  <c r="H33" i="37"/>
  <c r="T33" i="37"/>
  <c r="AB33" i="37"/>
  <c r="AJ33" i="37"/>
  <c r="H34" i="37"/>
  <c r="T34" i="37"/>
  <c r="AJ34" i="37"/>
  <c r="H35" i="37"/>
  <c r="T35" i="37"/>
  <c r="AJ35" i="37"/>
  <c r="H36" i="37"/>
  <c r="T36" i="37"/>
  <c r="AB36" i="37"/>
  <c r="D37" i="37"/>
  <c r="P37" i="37"/>
  <c r="AB37" i="37"/>
  <c r="AN37" i="37"/>
  <c r="P38" i="37"/>
  <c r="AB38" i="37"/>
  <c r="AN38" i="37"/>
  <c r="H39" i="37"/>
  <c r="X39" i="37"/>
  <c r="AN39" i="37"/>
  <c r="H40" i="37"/>
  <c r="X40" i="37"/>
  <c r="D29" i="37"/>
  <c r="L29" i="37"/>
  <c r="T29" i="37"/>
  <c r="AB29" i="37"/>
  <c r="AJ29" i="37"/>
  <c r="D30" i="37"/>
  <c r="L30" i="37"/>
  <c r="T30" i="37"/>
  <c r="AB30" i="37"/>
  <c r="AJ30" i="37"/>
  <c r="D31" i="37"/>
  <c r="L31" i="37"/>
  <c r="T31" i="37"/>
  <c r="AB31" i="37"/>
  <c r="AJ31" i="37"/>
  <c r="D32" i="37"/>
  <c r="L32" i="37"/>
  <c r="R32" i="37"/>
  <c r="V32" i="37"/>
  <c r="Z32" i="37"/>
  <c r="AD32" i="37"/>
  <c r="AH32" i="37"/>
  <c r="AL32" i="37"/>
  <c r="B33" i="37"/>
  <c r="F33" i="37"/>
  <c r="J33" i="37"/>
  <c r="N33" i="37"/>
  <c r="R33" i="37"/>
  <c r="V33" i="37"/>
  <c r="Z33" i="37"/>
  <c r="AD33" i="37"/>
  <c r="AH33" i="37"/>
  <c r="AL33" i="37"/>
  <c r="B34" i="37"/>
  <c r="F34" i="37"/>
  <c r="J34" i="37"/>
  <c r="N34" i="37"/>
  <c r="R34" i="37"/>
  <c r="V34" i="37"/>
  <c r="Z34" i="37"/>
  <c r="AD34" i="37"/>
  <c r="AH34" i="37"/>
  <c r="AL34" i="37"/>
  <c r="B35" i="37"/>
  <c r="F35" i="37"/>
  <c r="J35" i="37"/>
  <c r="N35" i="37"/>
  <c r="R35" i="37"/>
  <c r="V35" i="37"/>
  <c r="Z35" i="37"/>
  <c r="AD35" i="37"/>
  <c r="AH35" i="37"/>
  <c r="AL35" i="37"/>
  <c r="B36" i="37"/>
  <c r="F36" i="37"/>
  <c r="J36" i="37"/>
  <c r="N36" i="37"/>
  <c r="R36" i="37"/>
  <c r="V36" i="37"/>
  <c r="Z36" i="37"/>
  <c r="AD36" i="37"/>
  <c r="AH36" i="37"/>
  <c r="AL36" i="37"/>
  <c r="B37" i="37"/>
  <c r="F37" i="37"/>
  <c r="J37" i="37"/>
  <c r="N37" i="37"/>
  <c r="R37" i="37"/>
  <c r="V37" i="37"/>
  <c r="Z37" i="37"/>
  <c r="AD37" i="37"/>
  <c r="AH37" i="37"/>
  <c r="AL37" i="37"/>
  <c r="B38" i="37"/>
  <c r="F38" i="37"/>
  <c r="J38" i="37"/>
  <c r="N38" i="37"/>
  <c r="R38" i="37"/>
  <c r="V38" i="37"/>
  <c r="Z38" i="37"/>
  <c r="AD38" i="37"/>
  <c r="AH38" i="37"/>
  <c r="AL38" i="37"/>
  <c r="B39" i="37"/>
  <c r="F39" i="37"/>
  <c r="J39" i="37"/>
  <c r="N39" i="37"/>
  <c r="R39" i="37"/>
  <c r="V39" i="37"/>
  <c r="Z39" i="37"/>
  <c r="AD39" i="37"/>
  <c r="AH39" i="37"/>
  <c r="AL39" i="37"/>
  <c r="B40" i="37"/>
  <c r="F40" i="37"/>
  <c r="J40" i="37"/>
  <c r="N40" i="37"/>
  <c r="R40" i="37"/>
  <c r="V40" i="37"/>
  <c r="Z40" i="37"/>
  <c r="AD40" i="37"/>
  <c r="AH40" i="37"/>
  <c r="AL40" i="37"/>
  <c r="B41" i="37"/>
  <c r="F41" i="37"/>
  <c r="J41" i="37"/>
  <c r="N41" i="37"/>
  <c r="R41" i="37"/>
  <c r="V41" i="37"/>
  <c r="Z41" i="37"/>
  <c r="AD41" i="37"/>
  <c r="AH41" i="37"/>
  <c r="AL41" i="37"/>
  <c r="B42" i="37"/>
  <c r="F42" i="37"/>
  <c r="J42" i="37"/>
  <c r="N42" i="37"/>
  <c r="R42" i="37"/>
  <c r="V42" i="37"/>
  <c r="Z42" i="37"/>
  <c r="AD42" i="37"/>
  <c r="AH42" i="37"/>
  <c r="AL42" i="37"/>
  <c r="B43" i="37"/>
  <c r="F43" i="37"/>
  <c r="J43" i="37"/>
  <c r="N43" i="37"/>
  <c r="R43" i="37"/>
  <c r="V43" i="37"/>
  <c r="Z43" i="37"/>
  <c r="AD43" i="37"/>
  <c r="AH43" i="37"/>
  <c r="AL43" i="37"/>
  <c r="P29" i="37"/>
  <c r="AF29" i="37"/>
  <c r="H30" i="37"/>
  <c r="X30" i="37"/>
  <c r="AN30" i="37"/>
  <c r="P31" i="37"/>
  <c r="AF31" i="37"/>
  <c r="H32" i="37"/>
  <c r="T32" i="37"/>
  <c r="AB32" i="37"/>
  <c r="AJ32" i="37"/>
  <c r="D33" i="37"/>
  <c r="P33" i="37"/>
  <c r="X33" i="37"/>
  <c r="AN33" i="37"/>
  <c r="P34" i="37"/>
  <c r="AB34" i="37"/>
  <c r="D35" i="37"/>
  <c r="P35" i="37"/>
  <c r="AB35" i="37"/>
  <c r="D36" i="37"/>
  <c r="P36" i="37"/>
  <c r="AJ36" i="37"/>
  <c r="H37" i="37"/>
  <c r="T37" i="37"/>
  <c r="AJ37" i="37"/>
  <c r="H38" i="37"/>
  <c r="X38" i="37"/>
  <c r="AJ38" i="37"/>
  <c r="P39" i="37"/>
  <c r="AB39" i="37"/>
  <c r="AJ39" i="37"/>
  <c r="P40" i="37"/>
  <c r="AB40" i="37"/>
  <c r="G29" i="37"/>
  <c r="O29" i="37"/>
  <c r="W29" i="37"/>
  <c r="AE29" i="37"/>
  <c r="AM29" i="37"/>
  <c r="G30" i="37"/>
  <c r="O30" i="37"/>
  <c r="W30" i="37"/>
  <c r="AE30" i="37"/>
  <c r="AM30" i="37"/>
  <c r="G31" i="37"/>
  <c r="O31" i="37"/>
  <c r="W31" i="37"/>
  <c r="AE31" i="37"/>
  <c r="AM31" i="37"/>
  <c r="G32" i="37"/>
  <c r="O32" i="37"/>
  <c r="S32" i="37"/>
  <c r="W32" i="37"/>
  <c r="AA32" i="37"/>
  <c r="AE32" i="37"/>
  <c r="AI32" i="37"/>
  <c r="AM32" i="37"/>
  <c r="C33" i="37"/>
  <c r="G33" i="37"/>
  <c r="K33" i="37"/>
  <c r="O33" i="37"/>
  <c r="S33" i="37"/>
  <c r="W33" i="37"/>
  <c r="AA33" i="37"/>
  <c r="AE33" i="37"/>
  <c r="AI33" i="37"/>
  <c r="AM33" i="37"/>
  <c r="C34" i="37"/>
  <c r="G34" i="37"/>
  <c r="K34" i="37"/>
  <c r="O34" i="37"/>
  <c r="S34" i="37"/>
  <c r="W34" i="37"/>
  <c r="AA34" i="37"/>
  <c r="AE34" i="37"/>
  <c r="AI34" i="37"/>
  <c r="AM34" i="37"/>
  <c r="C35" i="37"/>
  <c r="G35" i="37"/>
  <c r="K35" i="37"/>
  <c r="O35" i="37"/>
  <c r="S35" i="37"/>
  <c r="W35" i="37"/>
  <c r="AA35" i="37"/>
  <c r="AE35" i="37"/>
  <c r="AI35" i="37"/>
  <c r="AM35" i="37"/>
  <c r="C36" i="37"/>
  <c r="G36" i="37"/>
  <c r="K36" i="37"/>
  <c r="O36" i="37"/>
  <c r="S36" i="37"/>
  <c r="W36" i="37"/>
  <c r="AA36" i="37"/>
  <c r="AE36" i="37"/>
  <c r="AI36" i="37"/>
  <c r="AM36" i="37"/>
  <c r="C37" i="37"/>
  <c r="G37" i="37"/>
  <c r="K37" i="37"/>
  <c r="O37" i="37"/>
  <c r="S37" i="37"/>
  <c r="W37" i="37"/>
  <c r="AA37" i="37"/>
  <c r="AE37" i="37"/>
  <c r="AI37" i="37"/>
  <c r="AM37" i="37"/>
  <c r="C38" i="37"/>
  <c r="G38" i="37"/>
  <c r="K38" i="37"/>
  <c r="O38" i="37"/>
  <c r="S38" i="37"/>
  <c r="W38" i="37"/>
  <c r="AA38" i="37"/>
  <c r="AE38" i="37"/>
  <c r="AI38" i="37"/>
  <c r="AM38" i="37"/>
  <c r="C39" i="37"/>
  <c r="G39" i="37"/>
  <c r="K39" i="37"/>
  <c r="O39" i="37"/>
  <c r="S39" i="37"/>
  <c r="W39" i="37"/>
  <c r="AA39" i="37"/>
  <c r="AE39" i="37"/>
  <c r="AI39" i="37"/>
  <c r="AM39" i="37"/>
  <c r="C40" i="37"/>
  <c r="G40" i="37"/>
  <c r="K40" i="37"/>
  <c r="O40" i="37"/>
  <c r="S40" i="37"/>
  <c r="W40" i="37"/>
  <c r="AA40" i="37"/>
  <c r="AE40" i="37"/>
  <c r="AI40" i="37"/>
  <c r="AM40" i="37"/>
  <c r="C41" i="37"/>
  <c r="G41" i="37"/>
  <c r="K41" i="37"/>
  <c r="O41" i="37"/>
  <c r="S41" i="37"/>
  <c r="W41" i="37"/>
  <c r="AA41" i="37"/>
  <c r="AE41" i="37"/>
  <c r="AI41" i="37"/>
  <c r="AM41" i="37"/>
  <c r="C42" i="37"/>
  <c r="G42" i="37"/>
  <c r="K42" i="37"/>
  <c r="O42" i="37"/>
  <c r="S42" i="37"/>
  <c r="W42" i="37"/>
  <c r="AA42" i="37"/>
  <c r="AE42" i="37"/>
  <c r="AI42" i="37"/>
  <c r="AM42" i="37"/>
  <c r="C43" i="37"/>
  <c r="G43" i="37"/>
  <c r="K43" i="37"/>
  <c r="O43" i="37"/>
  <c r="S43" i="37"/>
  <c r="W43" i="37"/>
  <c r="AA43" i="37"/>
  <c r="AE43" i="37"/>
  <c r="AI43" i="37"/>
  <c r="AM43" i="37"/>
  <c r="X29" i="37"/>
  <c r="L33" i="37"/>
  <c r="AF33" i="37"/>
  <c r="D34" i="37"/>
  <c r="L34" i="37"/>
  <c r="X34" i="37"/>
  <c r="AF34" i="37"/>
  <c r="AN34" i="37"/>
  <c r="L35" i="37"/>
  <c r="X35" i="37"/>
  <c r="AF35" i="37"/>
  <c r="AN35" i="37"/>
  <c r="L36" i="37"/>
  <c r="X36" i="37"/>
  <c r="AF36" i="37"/>
  <c r="AN36" i="37"/>
  <c r="L37" i="37"/>
  <c r="X37" i="37"/>
  <c r="AF37" i="37"/>
  <c r="D38" i="37"/>
  <c r="L38" i="37"/>
  <c r="T38" i="37"/>
  <c r="AF38" i="37"/>
  <c r="D39" i="37"/>
  <c r="L39" i="37"/>
  <c r="T39" i="37"/>
  <c r="AF39" i="37"/>
  <c r="D40" i="37"/>
  <c r="L40" i="37"/>
  <c r="T40" i="37"/>
  <c r="AF40" i="37"/>
  <c r="AN40" i="37"/>
  <c r="AJ40" i="37"/>
  <c r="P41" i="37"/>
  <c r="AF41" i="37"/>
  <c r="H42" i="37"/>
  <c r="X42" i="37"/>
  <c r="AN42" i="37"/>
  <c r="P43" i="37"/>
  <c r="AF43" i="37"/>
  <c r="D42" i="37"/>
  <c r="D41" i="37"/>
  <c r="T41" i="37"/>
  <c r="AJ41" i="37"/>
  <c r="L42" i="37"/>
  <c r="AB42" i="37"/>
  <c r="D43" i="37"/>
  <c r="T43" i="37"/>
  <c r="AJ43" i="37"/>
  <c r="AB41" i="37"/>
  <c r="H41" i="37"/>
  <c r="X41" i="37"/>
  <c r="AN41" i="37"/>
  <c r="P42" i="37"/>
  <c r="AF42" i="37"/>
  <c r="H43" i="37"/>
  <c r="X43" i="37"/>
  <c r="AN43" i="37"/>
  <c r="L41" i="37"/>
  <c r="T42" i="37"/>
  <c r="AJ42" i="37"/>
  <c r="L43" i="37"/>
  <c r="AB43" i="37"/>
  <c r="D13" i="36"/>
  <c r="C13" i="36"/>
  <c r="R21" i="36"/>
  <c r="N21" i="36"/>
  <c r="J21" i="36"/>
  <c r="F21" i="36"/>
  <c r="B21" i="36"/>
  <c r="AL20" i="36"/>
  <c r="AH20" i="36"/>
  <c r="AD20" i="36"/>
  <c r="Z20" i="36"/>
  <c r="V20" i="36"/>
  <c r="R20" i="36"/>
  <c r="N20" i="36"/>
  <c r="J20" i="36"/>
  <c r="F20" i="36"/>
  <c r="B20" i="36"/>
  <c r="AL19" i="36"/>
  <c r="AH19" i="36"/>
  <c r="AD19" i="36"/>
  <c r="Z19" i="36"/>
  <c r="V19" i="36"/>
  <c r="R19" i="36"/>
  <c r="N19" i="36"/>
  <c r="J19" i="36"/>
  <c r="F19" i="36"/>
  <c r="B19" i="36"/>
  <c r="AL18" i="36"/>
  <c r="AH18" i="36"/>
  <c r="AD18" i="36"/>
  <c r="Z18" i="36"/>
  <c r="V18" i="36"/>
  <c r="R18" i="36"/>
  <c r="N18" i="36"/>
  <c r="J18" i="36"/>
  <c r="F18" i="36"/>
  <c r="B18" i="36"/>
  <c r="AL17" i="36"/>
  <c r="AH17" i="36"/>
  <c r="AD17" i="36"/>
  <c r="Z17" i="36"/>
  <c r="V17" i="36"/>
  <c r="R17" i="36"/>
  <c r="N17" i="36"/>
  <c r="J17" i="36"/>
  <c r="F17" i="36"/>
  <c r="B17" i="36"/>
  <c r="AL16" i="36"/>
  <c r="AH16" i="36"/>
  <c r="AD16" i="36"/>
  <c r="Z16" i="36"/>
  <c r="V16" i="36"/>
  <c r="R16" i="36"/>
  <c r="N16" i="36"/>
  <c r="J16" i="36"/>
  <c r="F16" i="36"/>
  <c r="B16" i="36"/>
  <c r="AL15" i="36"/>
  <c r="AH15" i="36"/>
  <c r="AD15" i="36"/>
  <c r="Z15" i="36"/>
  <c r="V15" i="36"/>
  <c r="R15" i="36"/>
  <c r="N15" i="36"/>
  <c r="J15" i="36"/>
  <c r="F15" i="36"/>
  <c r="B15" i="36"/>
  <c r="AL14" i="36"/>
  <c r="AH14" i="36"/>
  <c r="AD14" i="36"/>
  <c r="Z14" i="36"/>
  <c r="V14" i="36"/>
  <c r="R14" i="36"/>
  <c r="N14" i="36"/>
  <c r="J14" i="36"/>
  <c r="F14" i="36"/>
  <c r="B14" i="36"/>
  <c r="AL13" i="36"/>
  <c r="AH13" i="36"/>
  <c r="AD13" i="36"/>
  <c r="Z13" i="36"/>
  <c r="V13" i="36"/>
  <c r="R13" i="36"/>
  <c r="N13" i="36"/>
  <c r="J13" i="36"/>
  <c r="F13" i="36"/>
  <c r="D8" i="36"/>
  <c r="E8" i="36"/>
  <c r="F8" i="36"/>
  <c r="G8" i="36"/>
  <c r="H8" i="36"/>
  <c r="I8" i="36"/>
  <c r="J8" i="36"/>
  <c r="K8" i="36"/>
  <c r="L8" i="36"/>
  <c r="M8" i="36"/>
  <c r="N8" i="36"/>
  <c r="O8" i="36"/>
  <c r="P8" i="36"/>
  <c r="Q8" i="36"/>
  <c r="R8" i="36"/>
  <c r="S8" i="36"/>
  <c r="T8" i="36"/>
  <c r="U8" i="36"/>
  <c r="V8" i="36"/>
  <c r="W8" i="36"/>
  <c r="X8" i="36"/>
  <c r="Y8" i="36"/>
  <c r="Z8" i="36"/>
  <c r="AA8" i="36"/>
  <c r="AB8" i="36"/>
  <c r="AC8" i="36"/>
  <c r="AD8" i="36"/>
  <c r="AE8" i="36"/>
  <c r="AF8" i="36"/>
  <c r="AG8" i="36"/>
  <c r="AH8" i="36"/>
  <c r="AI8" i="36"/>
  <c r="AJ8" i="36"/>
  <c r="AK8" i="36"/>
  <c r="AL8" i="36"/>
  <c r="AM8" i="36"/>
  <c r="AN8" i="36"/>
  <c r="AO8" i="36"/>
  <c r="C8" i="36"/>
  <c r="B8" i="36"/>
  <c r="B2" i="36"/>
  <c r="AQ191" i="26"/>
  <c r="E47" i="37" l="1" a="1"/>
  <c r="B45" i="34"/>
  <c r="E47" i="37" l="1"/>
  <c r="G47" i="37" s="1" a="1"/>
  <c r="E78" i="37"/>
  <c r="E85" i="37"/>
  <c r="E69" i="37"/>
  <c r="E53" i="37"/>
  <c r="E62" i="37"/>
  <c r="E76" i="37"/>
  <c r="E60" i="37"/>
  <c r="E58" i="37"/>
  <c r="E71" i="37"/>
  <c r="E55" i="37"/>
  <c r="E74" i="37"/>
  <c r="E81" i="37"/>
  <c r="E65" i="37"/>
  <c r="E49" i="37"/>
  <c r="E50" i="37"/>
  <c r="E72" i="37"/>
  <c r="E56" i="37"/>
  <c r="E83" i="37"/>
  <c r="E67" i="37"/>
  <c r="E51" i="37"/>
  <c r="E66" i="37"/>
  <c r="E77" i="37"/>
  <c r="E61" i="37"/>
  <c r="E82" i="37"/>
  <c r="E84" i="37"/>
  <c r="E68" i="37"/>
  <c r="E52" i="37"/>
  <c r="E79" i="37"/>
  <c r="E63" i="37"/>
  <c r="E86" i="37"/>
  <c r="E54" i="37"/>
  <c r="E73" i="37"/>
  <c r="E57" i="37"/>
  <c r="E70" i="37"/>
  <c r="E80" i="37"/>
  <c r="E64" i="37"/>
  <c r="E48" i="37"/>
  <c r="E75" i="37"/>
  <c r="E59" i="37"/>
  <c r="F89" i="34"/>
  <c r="G47" i="37" l="1"/>
  <c r="G52" i="37"/>
  <c r="G74" i="37"/>
  <c r="G58" i="37"/>
  <c r="G81" i="37"/>
  <c r="G65" i="37"/>
  <c r="G49" i="37"/>
  <c r="G72" i="37"/>
  <c r="G56" i="37"/>
  <c r="G75" i="37"/>
  <c r="G59" i="37"/>
  <c r="G86" i="37"/>
  <c r="G70" i="37"/>
  <c r="G54" i="37"/>
  <c r="G77" i="37"/>
  <c r="G61" i="37"/>
  <c r="G84" i="37"/>
  <c r="G68" i="37"/>
  <c r="G48" i="37"/>
  <c r="G71" i="37"/>
  <c r="G55" i="37"/>
  <c r="G82" i="37"/>
  <c r="G66" i="37"/>
  <c r="G50" i="37"/>
  <c r="G73" i="37"/>
  <c r="G57" i="37"/>
  <c r="G80" i="37"/>
  <c r="G64" i="37"/>
  <c r="G83" i="37"/>
  <c r="G67" i="37"/>
  <c r="G51" i="37"/>
  <c r="G78" i="37"/>
  <c r="G62" i="37"/>
  <c r="G85" i="37"/>
  <c r="G69" i="37"/>
  <c r="G53" i="37"/>
  <c r="G76" i="37"/>
  <c r="G60" i="37"/>
  <c r="G79" i="37"/>
  <c r="G63" i="37"/>
  <c r="B49" i="34" a="1"/>
  <c r="B49" i="34" s="1"/>
  <c r="G87" i="37" l="1"/>
  <c r="B88" i="34"/>
  <c r="B84" i="34"/>
  <c r="B80" i="34"/>
  <c r="B76" i="34"/>
  <c r="B72" i="34"/>
  <c r="B68" i="34"/>
  <c r="B64" i="34"/>
  <c r="B60" i="34"/>
  <c r="B56" i="34"/>
  <c r="B52" i="34"/>
  <c r="B87" i="34"/>
  <c r="B83" i="34"/>
  <c r="B79" i="34"/>
  <c r="B75" i="34"/>
  <c r="B71" i="34"/>
  <c r="B67" i="34"/>
  <c r="B63" i="34"/>
  <c r="B59" i="34"/>
  <c r="B55" i="34"/>
  <c r="B51" i="34"/>
  <c r="B86" i="34"/>
  <c r="B82" i="34"/>
  <c r="B78" i="34"/>
  <c r="B74" i="34"/>
  <c r="B70" i="34"/>
  <c r="B66" i="34"/>
  <c r="B62" i="34"/>
  <c r="B58" i="34"/>
  <c r="B54" i="34"/>
  <c r="B50" i="34"/>
  <c r="B85" i="34"/>
  <c r="B81" i="34"/>
  <c r="B77" i="34"/>
  <c r="B73" i="34"/>
  <c r="B69" i="34"/>
  <c r="B65" i="34"/>
  <c r="B61" i="34"/>
  <c r="B57" i="34"/>
  <c r="B53" i="34"/>
  <c r="B93" i="34" l="1" a="1"/>
  <c r="B93" i="34" s="1"/>
  <c r="B94" i="34" s="1"/>
  <c r="C189" i="26" l="1"/>
  <c r="C188" i="26"/>
  <c r="C187" i="26"/>
  <c r="C186" i="26"/>
  <c r="C185" i="26"/>
  <c r="C184" i="26"/>
  <c r="C183" i="26"/>
  <c r="C182" i="26"/>
  <c r="C181" i="26"/>
  <c r="C180" i="26"/>
  <c r="C179" i="26"/>
  <c r="C178" i="26"/>
  <c r="C177" i="26"/>
  <c r="C176" i="26"/>
  <c r="C175" i="26"/>
  <c r="C174" i="26"/>
  <c r="C173" i="26"/>
  <c r="C172" i="26"/>
  <c r="C171" i="26"/>
  <c r="C170" i="26"/>
  <c r="C169" i="26"/>
  <c r="C168" i="26"/>
  <c r="C167" i="26"/>
  <c r="C166" i="26"/>
  <c r="C165" i="26"/>
  <c r="C164" i="26"/>
  <c r="C163" i="26"/>
  <c r="C162" i="26"/>
  <c r="C161" i="26"/>
  <c r="C160" i="26"/>
  <c r="C159" i="26"/>
  <c r="C158" i="26"/>
  <c r="C157" i="26"/>
  <c r="C156" i="26"/>
  <c r="C155" i="26"/>
  <c r="C154" i="26"/>
  <c r="C153" i="26"/>
  <c r="C152" i="26"/>
  <c r="C151" i="26"/>
  <c r="C150" i="26"/>
  <c r="C149" i="26"/>
  <c r="C148" i="26"/>
  <c r="C147" i="26"/>
  <c r="C146" i="26"/>
  <c r="C145" i="26"/>
  <c r="C144" i="26"/>
  <c r="C143" i="26"/>
  <c r="C142" i="26"/>
  <c r="C141" i="26"/>
  <c r="C140" i="26"/>
  <c r="C139" i="26"/>
  <c r="C138" i="26"/>
  <c r="C137" i="26"/>
  <c r="C136" i="26"/>
  <c r="C135" i="26"/>
  <c r="C134" i="26"/>
  <c r="C133" i="26"/>
  <c r="C132" i="26"/>
  <c r="B8" i="33" l="1" a="1"/>
  <c r="C191" i="26"/>
  <c r="B52" i="33" s="1" a="1"/>
  <c r="L75" i="33" s="1"/>
  <c r="D191" i="26"/>
  <c r="E191" i="26"/>
  <c r="F191" i="26"/>
  <c r="G191" i="26"/>
  <c r="H191" i="26"/>
  <c r="I191" i="26"/>
  <c r="J191" i="26"/>
  <c r="K191" i="26"/>
  <c r="L191" i="26"/>
  <c r="M191" i="26"/>
  <c r="N191" i="26"/>
  <c r="O191" i="26"/>
  <c r="P191" i="26"/>
  <c r="Q191" i="26"/>
  <c r="R191" i="26"/>
  <c r="S191" i="26"/>
  <c r="T191" i="26"/>
  <c r="U191" i="26"/>
  <c r="V191" i="26"/>
  <c r="W191" i="26"/>
  <c r="X191" i="26"/>
  <c r="Y191" i="26"/>
  <c r="Z191" i="26"/>
  <c r="AA191" i="26"/>
  <c r="AB191" i="26"/>
  <c r="AC191" i="26"/>
  <c r="AD191" i="26"/>
  <c r="AE191" i="26"/>
  <c r="AF191" i="26"/>
  <c r="AG191" i="26"/>
  <c r="AH191" i="26"/>
  <c r="AI191" i="26"/>
  <c r="AJ191" i="26"/>
  <c r="AK191" i="26"/>
  <c r="AL191" i="26"/>
  <c r="AM191" i="26"/>
  <c r="AN191" i="26"/>
  <c r="AO191" i="26"/>
  <c r="B191" i="26"/>
  <c r="AQ133" i="26"/>
  <c r="AQ134" i="26"/>
  <c r="AQ135" i="26"/>
  <c r="AQ136" i="26"/>
  <c r="AQ137" i="26"/>
  <c r="AQ138" i="26"/>
  <c r="AQ139" i="26"/>
  <c r="AQ140" i="26"/>
  <c r="AQ141" i="26"/>
  <c r="AQ142" i="26"/>
  <c r="AQ143" i="26"/>
  <c r="AQ144" i="26"/>
  <c r="AQ145" i="26"/>
  <c r="AQ146" i="26"/>
  <c r="AQ147" i="26"/>
  <c r="AQ148" i="26"/>
  <c r="AQ149" i="26"/>
  <c r="AQ150" i="26"/>
  <c r="AQ151" i="26"/>
  <c r="AQ152" i="26"/>
  <c r="AQ153" i="26"/>
  <c r="AQ154" i="26"/>
  <c r="AQ155" i="26"/>
  <c r="AQ156" i="26"/>
  <c r="AQ157" i="26"/>
  <c r="AQ158" i="26"/>
  <c r="AQ159" i="26"/>
  <c r="AQ160" i="26"/>
  <c r="AQ161" i="26"/>
  <c r="AQ162" i="26"/>
  <c r="AQ163" i="26"/>
  <c r="AQ164" i="26"/>
  <c r="AQ165" i="26"/>
  <c r="AQ166" i="26"/>
  <c r="AQ167" i="26"/>
  <c r="AQ168" i="26"/>
  <c r="AQ169" i="26"/>
  <c r="AQ170" i="26"/>
  <c r="AQ171" i="26"/>
  <c r="AQ172" i="26"/>
  <c r="AQ173" i="26"/>
  <c r="AQ174" i="26"/>
  <c r="AQ175" i="26"/>
  <c r="AQ176" i="26"/>
  <c r="AQ177" i="26"/>
  <c r="AQ178" i="26"/>
  <c r="AQ179" i="26"/>
  <c r="AQ180" i="26"/>
  <c r="AQ181" i="26"/>
  <c r="AQ182" i="26"/>
  <c r="AQ183" i="26"/>
  <c r="AQ184" i="26"/>
  <c r="AQ185" i="26"/>
  <c r="AQ186" i="26"/>
  <c r="AQ187" i="26"/>
  <c r="AQ188" i="26"/>
  <c r="AQ189" i="26"/>
  <c r="AQ132" i="26"/>
  <c r="B91" i="29" a="1"/>
  <c r="B50" i="29" a="1"/>
  <c r="B3" i="31" a="1"/>
  <c r="B3" i="30" a="1"/>
  <c r="B3" i="29" a="1"/>
  <c r="B97" i="33" l="1" a="1"/>
  <c r="AD106" i="33" s="1"/>
  <c r="L91" i="33"/>
  <c r="AB89" i="33"/>
  <c r="D88" i="33"/>
  <c r="T86" i="33"/>
  <c r="T90" i="33"/>
  <c r="AJ88" i="33"/>
  <c r="L87" i="33"/>
  <c r="AB85" i="33"/>
  <c r="AJ90" i="33"/>
  <c r="L89" i="33"/>
  <c r="AB87" i="33"/>
  <c r="D86" i="33"/>
  <c r="AB91" i="33"/>
  <c r="D90" i="33"/>
  <c r="T88" i="33"/>
  <c r="AJ86" i="33"/>
  <c r="L85" i="33"/>
  <c r="AJ84" i="33"/>
  <c r="T84" i="33"/>
  <c r="D84" i="33"/>
  <c r="AB83" i="33"/>
  <c r="L83" i="33"/>
  <c r="AG82" i="33"/>
  <c r="L82" i="33"/>
  <c r="Y81" i="33"/>
  <c r="AG80" i="33"/>
  <c r="AO79" i="33"/>
  <c r="I79" i="33"/>
  <c r="Q78" i="33"/>
  <c r="Y77" i="33"/>
  <c r="AG76" i="33"/>
  <c r="AO75" i="33"/>
  <c r="AJ74" i="33"/>
  <c r="AN91" i="33"/>
  <c r="X91" i="33"/>
  <c r="H91" i="33"/>
  <c r="AF90" i="33"/>
  <c r="P90" i="33"/>
  <c r="AN89" i="33"/>
  <c r="X89" i="33"/>
  <c r="H89" i="33"/>
  <c r="AF88" i="33"/>
  <c r="P88" i="33"/>
  <c r="AN87" i="33"/>
  <c r="X87" i="33"/>
  <c r="H87" i="33"/>
  <c r="AF86" i="33"/>
  <c r="P86" i="33"/>
  <c r="AN85" i="33"/>
  <c r="X85" i="33"/>
  <c r="H85" i="33"/>
  <c r="AF84" i="33"/>
  <c r="P84" i="33"/>
  <c r="AN83" i="33"/>
  <c r="X83" i="33"/>
  <c r="H83" i="33"/>
  <c r="AB82" i="33"/>
  <c r="F82" i="33"/>
  <c r="Q81" i="33"/>
  <c r="Y80" i="33"/>
  <c r="AG79" i="33"/>
  <c r="AO78" i="33"/>
  <c r="I78" i="33"/>
  <c r="Q77" i="33"/>
  <c r="Y76" i="33"/>
  <c r="AG75" i="33"/>
  <c r="T74" i="33"/>
  <c r="AJ91" i="33"/>
  <c r="T91" i="33"/>
  <c r="D91" i="33"/>
  <c r="AB90" i="33"/>
  <c r="L90" i="33"/>
  <c r="AJ89" i="33"/>
  <c r="T89" i="33"/>
  <c r="D89" i="33"/>
  <c r="AB88" i="33"/>
  <c r="L88" i="33"/>
  <c r="AJ87" i="33"/>
  <c r="T87" i="33"/>
  <c r="D87" i="33"/>
  <c r="AB86" i="33"/>
  <c r="L86" i="33"/>
  <c r="AJ85" i="33"/>
  <c r="T85" i="33"/>
  <c r="D85" i="33"/>
  <c r="AB84" i="33"/>
  <c r="L84" i="33"/>
  <c r="AJ83" i="33"/>
  <c r="T83" i="33"/>
  <c r="D83" i="33"/>
  <c r="V82" i="33"/>
  <c r="AO81" i="33"/>
  <c r="I81" i="33"/>
  <c r="Q80" i="33"/>
  <c r="Y79" i="33"/>
  <c r="AG78" i="33"/>
  <c r="AO77" i="33"/>
  <c r="I77" i="33"/>
  <c r="Q76" i="33"/>
  <c r="Y75" i="33"/>
  <c r="D74" i="33"/>
  <c r="AF91" i="33"/>
  <c r="P91" i="33"/>
  <c r="AN90" i="33"/>
  <c r="X90" i="33"/>
  <c r="H90" i="33"/>
  <c r="AF89" i="33"/>
  <c r="P89" i="33"/>
  <c r="AN88" i="33"/>
  <c r="X88" i="33"/>
  <c r="H88" i="33"/>
  <c r="AF87" i="33"/>
  <c r="P87" i="33"/>
  <c r="AN86" i="33"/>
  <c r="X86" i="33"/>
  <c r="H86" i="33"/>
  <c r="AF85" i="33"/>
  <c r="P85" i="33"/>
  <c r="AN84" i="33"/>
  <c r="X84" i="33"/>
  <c r="H84" i="33"/>
  <c r="AF83" i="33"/>
  <c r="P83" i="33"/>
  <c r="AL82" i="33"/>
  <c r="Q82" i="33"/>
  <c r="AG81" i="33"/>
  <c r="AO80" i="33"/>
  <c r="I80" i="33"/>
  <c r="Q79" i="33"/>
  <c r="Y78" i="33"/>
  <c r="AG77" i="33"/>
  <c r="AO76" i="33"/>
  <c r="I76" i="33"/>
  <c r="B52" i="33"/>
  <c r="T52" i="33"/>
  <c r="AI52" i="33"/>
  <c r="H53" i="33"/>
  <c r="W53" i="33"/>
  <c r="AK53" i="33"/>
  <c r="K54" i="33"/>
  <c r="Y54" i="33"/>
  <c r="AN54" i="33"/>
  <c r="M55" i="33"/>
  <c r="AB55" i="33"/>
  <c r="C56" i="33"/>
  <c r="P56" i="33"/>
  <c r="AE56" i="33"/>
  <c r="E57" i="33"/>
  <c r="P57" i="33"/>
  <c r="X57" i="33"/>
  <c r="AG57" i="33"/>
  <c r="D58" i="33"/>
  <c r="M58" i="33"/>
  <c r="U58" i="33"/>
  <c r="AF58" i="33"/>
  <c r="AO58" i="33"/>
  <c r="K59" i="33"/>
  <c r="U59" i="33"/>
  <c r="AC59" i="33"/>
  <c r="AM59" i="33"/>
  <c r="I60" i="33"/>
  <c r="S60" i="33"/>
  <c r="Y60" i="33"/>
  <c r="AG60" i="33"/>
  <c r="AM60" i="33"/>
  <c r="D61" i="33"/>
  <c r="J61" i="33"/>
  <c r="O61" i="33"/>
  <c r="T61" i="33"/>
  <c r="Z61" i="33"/>
  <c r="AE61" i="33"/>
  <c r="AJ61" i="33"/>
  <c r="B62" i="33"/>
  <c r="G62" i="33"/>
  <c r="L62" i="33"/>
  <c r="R62" i="33"/>
  <c r="W62" i="33"/>
  <c r="AB62" i="33"/>
  <c r="AH62" i="33"/>
  <c r="AM62" i="33"/>
  <c r="D63" i="33"/>
  <c r="J63" i="33"/>
  <c r="O63" i="33"/>
  <c r="T63" i="33"/>
  <c r="Z63" i="33"/>
  <c r="AE63" i="33"/>
  <c r="AJ63" i="33"/>
  <c r="B64" i="33"/>
  <c r="G64" i="33"/>
  <c r="L64" i="33"/>
  <c r="R64" i="33"/>
  <c r="V64" i="33"/>
  <c r="Z64" i="33"/>
  <c r="AD64" i="33"/>
  <c r="AH64" i="33"/>
  <c r="AL64" i="33"/>
  <c r="B65" i="33"/>
  <c r="F65" i="33"/>
  <c r="J65" i="33"/>
  <c r="N65" i="33"/>
  <c r="R65" i="33"/>
  <c r="V65" i="33"/>
  <c r="Z65" i="33"/>
  <c r="AD65" i="33"/>
  <c r="AH65" i="33"/>
  <c r="AL65" i="33"/>
  <c r="B66" i="33"/>
  <c r="F66" i="33"/>
  <c r="J66" i="33"/>
  <c r="M52" i="33"/>
  <c r="AA52" i="33"/>
  <c r="AO52" i="33"/>
  <c r="P53" i="33"/>
  <c r="AC53" i="33"/>
  <c r="D54" i="33"/>
  <c r="S54" i="33"/>
  <c r="AF54" i="33"/>
  <c r="G55" i="33"/>
  <c r="U55" i="33"/>
  <c r="AI55" i="33"/>
  <c r="I56" i="33"/>
  <c r="X56" i="33"/>
  <c r="AK56" i="33"/>
  <c r="K57" i="33"/>
  <c r="S57" i="33"/>
  <c r="AC57" i="33"/>
  <c r="AM57" i="33"/>
  <c r="H58" i="33"/>
  <c r="S58" i="33"/>
  <c r="AA58" i="33"/>
  <c r="AJ58" i="33"/>
  <c r="G59" i="33"/>
  <c r="P59" i="33"/>
  <c r="X59" i="33"/>
  <c r="AI59" i="33"/>
  <c r="D60" i="33"/>
  <c r="M60" i="33"/>
  <c r="W60" i="33"/>
  <c r="AC60" i="33"/>
  <c r="AJ60" i="33"/>
  <c r="B61" i="33"/>
  <c r="G61" i="33"/>
  <c r="L61" i="33"/>
  <c r="R61" i="33"/>
  <c r="W61" i="33"/>
  <c r="AB61" i="33"/>
  <c r="AH61" i="33"/>
  <c r="AM61" i="33"/>
  <c r="D62" i="33"/>
  <c r="J62" i="33"/>
  <c r="O62" i="33"/>
  <c r="T62" i="33"/>
  <c r="Z62" i="33"/>
  <c r="AE62" i="33"/>
  <c r="AJ62" i="33"/>
  <c r="B63" i="33"/>
  <c r="G63" i="33"/>
  <c r="L63" i="33"/>
  <c r="R63" i="33"/>
  <c r="W63" i="33"/>
  <c r="AB63" i="33"/>
  <c r="AH63" i="33"/>
  <c r="AM63" i="33"/>
  <c r="D64" i="33"/>
  <c r="J64" i="33"/>
  <c r="O64" i="33"/>
  <c r="T64" i="33"/>
  <c r="X64" i="33"/>
  <c r="AB64" i="33"/>
  <c r="AF64" i="33"/>
  <c r="AJ64" i="33"/>
  <c r="AN64" i="33"/>
  <c r="D65" i="33"/>
  <c r="H65" i="33"/>
  <c r="L65" i="33"/>
  <c r="P65" i="33"/>
  <c r="T65" i="33"/>
  <c r="X65" i="33"/>
  <c r="AB65" i="33"/>
  <c r="AF65" i="33"/>
  <c r="AJ65" i="33"/>
  <c r="AN65" i="33"/>
  <c r="D66" i="33"/>
  <c r="H66" i="33"/>
  <c r="L66" i="33"/>
  <c r="P66" i="33"/>
  <c r="T66" i="33"/>
  <c r="X66" i="33"/>
  <c r="AB66" i="33"/>
  <c r="AF66" i="33"/>
  <c r="AJ66" i="33"/>
  <c r="AN66" i="33"/>
  <c r="D67" i="33"/>
  <c r="H67" i="33"/>
  <c r="AK52" i="33"/>
  <c r="AA53" i="33"/>
  <c r="O54" i="33"/>
  <c r="C55" i="33"/>
  <c r="AF55" i="33"/>
  <c r="T56" i="33"/>
  <c r="H57" i="33"/>
  <c r="AA57" i="33"/>
  <c r="E58" i="33"/>
  <c r="Y58" i="33"/>
  <c r="C59" i="33"/>
  <c r="W59" i="33"/>
  <c r="C60" i="33"/>
  <c r="T60" i="33"/>
  <c r="AI60" i="33"/>
  <c r="F61" i="33"/>
  <c r="P61" i="33"/>
  <c r="AA61" i="33"/>
  <c r="AL61" i="33"/>
  <c r="H62" i="33"/>
  <c r="S62" i="33"/>
  <c r="AD62" i="33"/>
  <c r="AN62" i="33"/>
  <c r="K63" i="33"/>
  <c r="V63" i="33"/>
  <c r="AF63" i="33"/>
  <c r="C64" i="33"/>
  <c r="N64" i="33"/>
  <c r="W64" i="33"/>
  <c r="AE64" i="33"/>
  <c r="AM64" i="33"/>
  <c r="G65" i="33"/>
  <c r="O65" i="33"/>
  <c r="W65" i="33"/>
  <c r="AE65" i="33"/>
  <c r="AM65" i="33"/>
  <c r="G66" i="33"/>
  <c r="N66" i="33"/>
  <c r="S66" i="33"/>
  <c r="Y66" i="33"/>
  <c r="AD66" i="33"/>
  <c r="AI66" i="33"/>
  <c r="AO66" i="33"/>
  <c r="F67" i="33"/>
  <c r="K67" i="33"/>
  <c r="O67" i="33"/>
  <c r="S67" i="33"/>
  <c r="W67" i="33"/>
  <c r="AA67" i="33"/>
  <c r="AE67" i="33"/>
  <c r="AI67" i="33"/>
  <c r="AM67" i="33"/>
  <c r="C68" i="33"/>
  <c r="G68" i="33"/>
  <c r="K68" i="33"/>
  <c r="O68" i="33"/>
  <c r="S68" i="33"/>
  <c r="W68" i="33"/>
  <c r="AA68" i="33"/>
  <c r="AE68" i="33"/>
  <c r="AI68" i="33"/>
  <c r="AM68" i="33"/>
  <c r="C69" i="33"/>
  <c r="G69" i="33"/>
  <c r="K69" i="33"/>
  <c r="O69" i="33"/>
  <c r="S69" i="33"/>
  <c r="W69" i="33"/>
  <c r="AA69" i="33"/>
  <c r="AE69" i="33"/>
  <c r="AI69" i="33"/>
  <c r="AM69" i="33"/>
  <c r="C70" i="33"/>
  <c r="G70" i="33"/>
  <c r="K70" i="33"/>
  <c r="O70" i="33"/>
  <c r="S70" i="33"/>
  <c r="W70" i="33"/>
  <c r="AA70" i="33"/>
  <c r="AE70" i="33"/>
  <c r="AI70" i="33"/>
  <c r="AM70" i="33"/>
  <c r="C71" i="33"/>
  <c r="G71" i="33"/>
  <c r="K71" i="33"/>
  <c r="P52" i="33"/>
  <c r="E53" i="33"/>
  <c r="AG53" i="33"/>
  <c r="U54" i="33"/>
  <c r="K55" i="33"/>
  <c r="AM55" i="33"/>
  <c r="AA56" i="33"/>
  <c r="L57" i="33"/>
  <c r="AF57" i="33"/>
  <c r="K58" i="33"/>
  <c r="AC58" i="33"/>
  <c r="H59" i="33"/>
  <c r="AB59" i="33"/>
  <c r="E60" i="33"/>
  <c r="X60" i="33"/>
  <c r="AL60" i="33"/>
  <c r="H61" i="33"/>
  <c r="S61" i="33"/>
  <c r="AD61" i="33"/>
  <c r="AN61" i="33"/>
  <c r="K62" i="33"/>
  <c r="V62" i="33"/>
  <c r="AF62" i="33"/>
  <c r="C63" i="33"/>
  <c r="N63" i="33"/>
  <c r="X63" i="33"/>
  <c r="AI63" i="33"/>
  <c r="F64" i="33"/>
  <c r="P64" i="33"/>
  <c r="Y64" i="33"/>
  <c r="AG64" i="33"/>
  <c r="AO64" i="33"/>
  <c r="I65" i="33"/>
  <c r="Q65" i="33"/>
  <c r="Y65" i="33"/>
  <c r="AG65" i="33"/>
  <c r="AO65" i="33"/>
  <c r="I66" i="33"/>
  <c r="O66" i="33"/>
  <c r="U66" i="33"/>
  <c r="Z66" i="33"/>
  <c r="AE66" i="33"/>
  <c r="AK66" i="33"/>
  <c r="B67" i="33"/>
  <c r="G67" i="33"/>
  <c r="L67" i="33"/>
  <c r="P67" i="33"/>
  <c r="T67" i="33"/>
  <c r="X67" i="33"/>
  <c r="AB67" i="33"/>
  <c r="AF67" i="33"/>
  <c r="AJ67" i="33"/>
  <c r="AN67" i="33"/>
  <c r="D68" i="33"/>
  <c r="H68" i="33"/>
  <c r="L68" i="33"/>
  <c r="P68" i="33"/>
  <c r="T68" i="33"/>
  <c r="X68" i="33"/>
  <c r="AB68" i="33"/>
  <c r="AF68" i="33"/>
  <c r="AJ68" i="33"/>
  <c r="AN68" i="33"/>
  <c r="D69" i="33"/>
  <c r="H69" i="33"/>
  <c r="L69" i="33"/>
  <c r="P69" i="33"/>
  <c r="T69" i="33"/>
  <c r="X69" i="33"/>
  <c r="AB69" i="33"/>
  <c r="AF69" i="33"/>
  <c r="AJ69" i="33"/>
  <c r="AN69" i="33"/>
  <c r="D70" i="33"/>
  <c r="H70" i="33"/>
  <c r="L70" i="33"/>
  <c r="P70" i="33"/>
  <c r="T70" i="33"/>
  <c r="X70" i="33"/>
  <c r="AB70" i="33"/>
  <c r="AF70" i="33"/>
  <c r="AJ70" i="33"/>
  <c r="AN70" i="33"/>
  <c r="D71" i="33"/>
  <c r="H71" i="33"/>
  <c r="S53" i="33"/>
  <c r="AJ54" i="33"/>
  <c r="M56" i="33"/>
  <c r="W57" i="33"/>
  <c r="T58" i="33"/>
  <c r="Q59" i="33"/>
  <c r="P60" i="33"/>
  <c r="C61" i="33"/>
  <c r="X61" i="33"/>
  <c r="F62" i="33"/>
  <c r="AA62" i="33"/>
  <c r="H63" i="33"/>
  <c r="AD63" i="33"/>
  <c r="K64" i="33"/>
  <c r="AC64" i="33"/>
  <c r="E65" i="33"/>
  <c r="U65" i="33"/>
  <c r="AK65" i="33"/>
  <c r="M66" i="33"/>
  <c r="W66" i="33"/>
  <c r="AH66" i="33"/>
  <c r="E67" i="33"/>
  <c r="N67" i="33"/>
  <c r="V67" i="33"/>
  <c r="AD67" i="33"/>
  <c r="AL67" i="33"/>
  <c r="F68" i="33"/>
  <c r="N68" i="33"/>
  <c r="V68" i="33"/>
  <c r="AD68" i="33"/>
  <c r="AL68" i="33"/>
  <c r="F69" i="33"/>
  <c r="N69" i="33"/>
  <c r="V69" i="33"/>
  <c r="AD69" i="33"/>
  <c r="AL69" i="33"/>
  <c r="F70" i="33"/>
  <c r="N70" i="33"/>
  <c r="V70" i="33"/>
  <c r="AD70" i="33"/>
  <c r="AL70" i="33"/>
  <c r="F71" i="33"/>
  <c r="M71" i="33"/>
  <c r="Q71" i="33"/>
  <c r="U71" i="33"/>
  <c r="Y71" i="33"/>
  <c r="AC71" i="33"/>
  <c r="AG71" i="33"/>
  <c r="AK71" i="33"/>
  <c r="AO71" i="33"/>
  <c r="E72" i="33"/>
  <c r="I72" i="33"/>
  <c r="M72" i="33"/>
  <c r="Q72" i="33"/>
  <c r="U72" i="33"/>
  <c r="Y72" i="33"/>
  <c r="AC72" i="33"/>
  <c r="AG72" i="33"/>
  <c r="AK72" i="33"/>
  <c r="AO72" i="33"/>
  <c r="E73" i="33"/>
  <c r="I73" i="33"/>
  <c r="M73" i="33"/>
  <c r="Q73" i="33"/>
  <c r="U73" i="33"/>
  <c r="Y73" i="33"/>
  <c r="AC73" i="33"/>
  <c r="AG73" i="33"/>
  <c r="AK73" i="33"/>
  <c r="AO73" i="33"/>
  <c r="E74" i="33"/>
  <c r="I74" i="33"/>
  <c r="M74" i="33"/>
  <c r="Q74" i="33"/>
  <c r="U74" i="33"/>
  <c r="Y74" i="33"/>
  <c r="AC74" i="33"/>
  <c r="AG74" i="33"/>
  <c r="AK74" i="33"/>
  <c r="AO74" i="33"/>
  <c r="E75" i="33"/>
  <c r="I75" i="33"/>
  <c r="M75" i="33"/>
  <c r="Q75" i="33"/>
  <c r="U75" i="33"/>
  <c r="X52" i="33"/>
  <c r="AN53" i="33"/>
  <c r="Q55" i="33"/>
  <c r="AI56" i="33"/>
  <c r="AK57" i="33"/>
  <c r="AI58" i="33"/>
  <c r="AF59" i="33"/>
  <c r="AB60" i="33"/>
  <c r="K61" i="33"/>
  <c r="AF61" i="33"/>
  <c r="N62" i="33"/>
  <c r="AI62" i="33"/>
  <c r="P63" i="33"/>
  <c r="AL63" i="33"/>
  <c r="S64" i="33"/>
  <c r="AI64" i="33"/>
  <c r="K65" i="33"/>
  <c r="AA65" i="33"/>
  <c r="C66" i="33"/>
  <c r="Q66" i="33"/>
  <c r="AA66" i="33"/>
  <c r="AL66" i="33"/>
  <c r="I67" i="33"/>
  <c r="Q67" i="33"/>
  <c r="Y67" i="33"/>
  <c r="AG67" i="33"/>
  <c r="AO67" i="33"/>
  <c r="I68" i="33"/>
  <c r="Q68" i="33"/>
  <c r="Y68" i="33"/>
  <c r="AG68" i="33"/>
  <c r="AO68" i="33"/>
  <c r="I69" i="33"/>
  <c r="Q69" i="33"/>
  <c r="Y69" i="33"/>
  <c r="AG69" i="33"/>
  <c r="AO69" i="33"/>
  <c r="I70" i="33"/>
  <c r="Q70" i="33"/>
  <c r="Y70" i="33"/>
  <c r="AG70" i="33"/>
  <c r="AO70" i="33"/>
  <c r="I71" i="33"/>
  <c r="N71" i="33"/>
  <c r="R71" i="33"/>
  <c r="V71" i="33"/>
  <c r="Z71" i="33"/>
  <c r="AD71" i="33"/>
  <c r="AH71" i="33"/>
  <c r="AL71" i="33"/>
  <c r="B72" i="33"/>
  <c r="F72" i="33"/>
  <c r="J72" i="33"/>
  <c r="N72" i="33"/>
  <c r="R72" i="33"/>
  <c r="V72" i="33"/>
  <c r="Z72" i="33"/>
  <c r="AD72" i="33"/>
  <c r="AH72" i="33"/>
  <c r="AL72" i="33"/>
  <c r="B73" i="33"/>
  <c r="F73" i="33"/>
  <c r="J73" i="33"/>
  <c r="N73" i="33"/>
  <c r="R73" i="33"/>
  <c r="V73" i="33"/>
  <c r="Z73" i="33"/>
  <c r="AD73" i="33"/>
  <c r="AH73" i="33"/>
  <c r="AL73" i="33"/>
  <c r="B74" i="33"/>
  <c r="F74" i="33"/>
  <c r="J74" i="33"/>
  <c r="N74" i="33"/>
  <c r="R74" i="33"/>
  <c r="V74" i="33"/>
  <c r="Z74" i="33"/>
  <c r="AD74" i="33"/>
  <c r="AH74" i="33"/>
  <c r="AL74" i="33"/>
  <c r="B75" i="33"/>
  <c r="F75" i="33"/>
  <c r="J75" i="33"/>
  <c r="N75" i="33"/>
  <c r="R75" i="33"/>
  <c r="V75" i="33"/>
  <c r="Z75" i="33"/>
  <c r="AD75" i="33"/>
  <c r="AH75" i="33"/>
  <c r="AL75" i="33"/>
  <c r="B76" i="33"/>
  <c r="F76" i="33"/>
  <c r="J76" i="33"/>
  <c r="N76" i="33"/>
  <c r="R76" i="33"/>
  <c r="V76" i="33"/>
  <c r="Z76" i="33"/>
  <c r="AD76" i="33"/>
  <c r="AH76" i="33"/>
  <c r="AL76" i="33"/>
  <c r="B77" i="33"/>
  <c r="F77" i="33"/>
  <c r="J77" i="33"/>
  <c r="N77" i="33"/>
  <c r="R77" i="33"/>
  <c r="V77" i="33"/>
  <c r="Z77" i="33"/>
  <c r="AD77" i="33"/>
  <c r="AH77" i="33"/>
  <c r="AL77" i="33"/>
  <c r="B78" i="33"/>
  <c r="F78" i="33"/>
  <c r="J78" i="33"/>
  <c r="N78" i="33"/>
  <c r="R78" i="33"/>
  <c r="V78" i="33"/>
  <c r="Z78" i="33"/>
  <c r="AD78" i="33"/>
  <c r="AH78" i="33"/>
  <c r="AL78" i="33"/>
  <c r="B79" i="33"/>
  <c r="F79" i="33"/>
  <c r="J79" i="33"/>
  <c r="N79" i="33"/>
  <c r="R79" i="33"/>
  <c r="V79" i="33"/>
  <c r="Z79" i="33"/>
  <c r="AD79" i="33"/>
  <c r="AH79" i="33"/>
  <c r="AL79" i="33"/>
  <c r="B80" i="33"/>
  <c r="F80" i="33"/>
  <c r="J80" i="33"/>
  <c r="N80" i="33"/>
  <c r="R80" i="33"/>
  <c r="V80" i="33"/>
  <c r="Z80" i="33"/>
  <c r="AD80" i="33"/>
  <c r="AH80" i="33"/>
  <c r="AL80" i="33"/>
  <c r="B81" i="33"/>
  <c r="F81" i="33"/>
  <c r="J81" i="33"/>
  <c r="N81" i="33"/>
  <c r="R81" i="33"/>
  <c r="V81" i="33"/>
  <c r="Z81" i="33"/>
  <c r="AD81" i="33"/>
  <c r="AH81" i="33"/>
  <c r="AL81" i="33"/>
  <c r="AE52" i="33"/>
  <c r="H54" i="33"/>
  <c r="X55" i="33"/>
  <c r="AO56" i="33"/>
  <c r="AN57" i="33"/>
  <c r="AN58" i="33"/>
  <c r="AK59" i="33"/>
  <c r="AE60" i="33"/>
  <c r="N61" i="33"/>
  <c r="AI61" i="33"/>
  <c r="P62" i="33"/>
  <c r="AL62" i="33"/>
  <c r="S63" i="33"/>
  <c r="AN63" i="33"/>
  <c r="U64" i="33"/>
  <c r="AK64" i="33"/>
  <c r="M65" i="33"/>
  <c r="AC65" i="33"/>
  <c r="E66" i="33"/>
  <c r="R66" i="33"/>
  <c r="AC66" i="33"/>
  <c r="AM66" i="33"/>
  <c r="J67" i="33"/>
  <c r="R67" i="33"/>
  <c r="Z67" i="33"/>
  <c r="AH67" i="33"/>
  <c r="B68" i="33"/>
  <c r="J68" i="33"/>
  <c r="R68" i="33"/>
  <c r="Z68" i="33"/>
  <c r="AH68" i="33"/>
  <c r="B69" i="33"/>
  <c r="J69" i="33"/>
  <c r="R69" i="33"/>
  <c r="Z69" i="33"/>
  <c r="AH69" i="33"/>
  <c r="B70" i="33"/>
  <c r="J70" i="33"/>
  <c r="R70" i="33"/>
  <c r="Z70" i="33"/>
  <c r="AH70" i="33"/>
  <c r="B71" i="33"/>
  <c r="J71" i="33"/>
  <c r="O71" i="33"/>
  <c r="S71" i="33"/>
  <c r="W71" i="33"/>
  <c r="AA71" i="33"/>
  <c r="AE71" i="33"/>
  <c r="AI71" i="33"/>
  <c r="AM71" i="33"/>
  <c r="C72" i="33"/>
  <c r="G72" i="33"/>
  <c r="K72" i="33"/>
  <c r="O72" i="33"/>
  <c r="S72" i="33"/>
  <c r="W72" i="33"/>
  <c r="AA72" i="33"/>
  <c r="AE72" i="33"/>
  <c r="AI72" i="33"/>
  <c r="AM72" i="33"/>
  <c r="C73" i="33"/>
  <c r="G73" i="33"/>
  <c r="K73" i="33"/>
  <c r="O73" i="33"/>
  <c r="S73" i="33"/>
  <c r="W73" i="33"/>
  <c r="AA73" i="33"/>
  <c r="AE73" i="33"/>
  <c r="AI73" i="33"/>
  <c r="AM73" i="33"/>
  <c r="C74" i="33"/>
  <c r="G74" i="33"/>
  <c r="K74" i="33"/>
  <c r="O74" i="33"/>
  <c r="S74" i="33"/>
  <c r="W74" i="33"/>
  <c r="AA74" i="33"/>
  <c r="AE74" i="33"/>
  <c r="AI74" i="33"/>
  <c r="AM74" i="33"/>
  <c r="C75" i="33"/>
  <c r="G75" i="33"/>
  <c r="K75" i="33"/>
  <c r="O75" i="33"/>
  <c r="S75" i="33"/>
  <c r="W75" i="33"/>
  <c r="AA75" i="33"/>
  <c r="AE75" i="33"/>
  <c r="AI75" i="33"/>
  <c r="AM75" i="33"/>
  <c r="C76" i="33"/>
  <c r="G76" i="33"/>
  <c r="K76" i="33"/>
  <c r="O76" i="33"/>
  <c r="S76" i="33"/>
  <c r="W76" i="33"/>
  <c r="AA76" i="33"/>
  <c r="AE76" i="33"/>
  <c r="AI76" i="33"/>
  <c r="AM76" i="33"/>
  <c r="C77" i="33"/>
  <c r="G77" i="33"/>
  <c r="K77" i="33"/>
  <c r="O77" i="33"/>
  <c r="S77" i="33"/>
  <c r="W77" i="33"/>
  <c r="AA77" i="33"/>
  <c r="AE77" i="33"/>
  <c r="AI77" i="33"/>
  <c r="AM77" i="33"/>
  <c r="C78" i="33"/>
  <c r="G78" i="33"/>
  <c r="K78" i="33"/>
  <c r="O78" i="33"/>
  <c r="S78" i="33"/>
  <c r="W78" i="33"/>
  <c r="AA78" i="33"/>
  <c r="AE78" i="33"/>
  <c r="AI78" i="33"/>
  <c r="AM78" i="33"/>
  <c r="C79" i="33"/>
  <c r="G79" i="33"/>
  <c r="K79" i="33"/>
  <c r="O79" i="33"/>
  <c r="S79" i="33"/>
  <c r="W79" i="33"/>
  <c r="AA79" i="33"/>
  <c r="AE79" i="33"/>
  <c r="AI79" i="33"/>
  <c r="AM79" i="33"/>
  <c r="C80" i="33"/>
  <c r="G80" i="33"/>
  <c r="K80" i="33"/>
  <c r="O80" i="33"/>
  <c r="S80" i="33"/>
  <c r="W80" i="33"/>
  <c r="AA80" i="33"/>
  <c r="AE80" i="33"/>
  <c r="AI80" i="33"/>
  <c r="AM80" i="33"/>
  <c r="C81" i="33"/>
  <c r="G81" i="33"/>
  <c r="K81" i="33"/>
  <c r="O81" i="33"/>
  <c r="S81" i="33"/>
  <c r="W81" i="33"/>
  <c r="AA81" i="33"/>
  <c r="AE81" i="33"/>
  <c r="AI81" i="33"/>
  <c r="AM81" i="33"/>
  <c r="C82" i="33"/>
  <c r="G82" i="33"/>
  <c r="K82" i="33"/>
  <c r="O82" i="33"/>
  <c r="S82" i="33"/>
  <c r="W82" i="33"/>
  <c r="AA82" i="33"/>
  <c r="AE82" i="33"/>
  <c r="AI82" i="33"/>
  <c r="AM82" i="33"/>
  <c r="C83" i="33"/>
  <c r="AM91" i="33"/>
  <c r="AI91" i="33"/>
  <c r="AE91" i="33"/>
  <c r="AA91" i="33"/>
  <c r="W91" i="33"/>
  <c r="S91" i="33"/>
  <c r="O91" i="33"/>
  <c r="K91" i="33"/>
  <c r="G91" i="33"/>
  <c r="C91" i="33"/>
  <c r="AM90" i="33"/>
  <c r="AI90" i="33"/>
  <c r="AE90" i="33"/>
  <c r="AA90" i="33"/>
  <c r="W90" i="33"/>
  <c r="S90" i="33"/>
  <c r="O90" i="33"/>
  <c r="K90" i="33"/>
  <c r="G90" i="33"/>
  <c r="C90" i="33"/>
  <c r="AM89" i="33"/>
  <c r="AI89" i="33"/>
  <c r="AE89" i="33"/>
  <c r="AA89" i="33"/>
  <c r="W89" i="33"/>
  <c r="S89" i="33"/>
  <c r="O89" i="33"/>
  <c r="K89" i="33"/>
  <c r="G89" i="33"/>
  <c r="C89" i="33"/>
  <c r="AM88" i="33"/>
  <c r="AI88" i="33"/>
  <c r="AE88" i="33"/>
  <c r="AA88" i="33"/>
  <c r="W88" i="33"/>
  <c r="S88" i="33"/>
  <c r="O88" i="33"/>
  <c r="K88" i="33"/>
  <c r="G88" i="33"/>
  <c r="C88" i="33"/>
  <c r="AM87" i="33"/>
  <c r="AI87" i="33"/>
  <c r="AE87" i="33"/>
  <c r="AA87" i="33"/>
  <c r="W87" i="33"/>
  <c r="S87" i="33"/>
  <c r="O87" i="33"/>
  <c r="K87" i="33"/>
  <c r="G87" i="33"/>
  <c r="C87" i="33"/>
  <c r="AM86" i="33"/>
  <c r="AI86" i="33"/>
  <c r="AE86" i="33"/>
  <c r="AA86" i="33"/>
  <c r="W86" i="33"/>
  <c r="S86" i="33"/>
  <c r="O86" i="33"/>
  <c r="K86" i="33"/>
  <c r="G86" i="33"/>
  <c r="C86" i="33"/>
  <c r="AM85" i="33"/>
  <c r="AI85" i="33"/>
  <c r="AE85" i="33"/>
  <c r="AA85" i="33"/>
  <c r="W85" i="33"/>
  <c r="S85" i="33"/>
  <c r="O85" i="33"/>
  <c r="K85" i="33"/>
  <c r="G85" i="33"/>
  <c r="C85" i="33"/>
  <c r="AM84" i="33"/>
  <c r="AI84" i="33"/>
  <c r="AE84" i="33"/>
  <c r="AA84" i="33"/>
  <c r="W84" i="33"/>
  <c r="S84" i="33"/>
  <c r="O84" i="33"/>
  <c r="K84" i="33"/>
  <c r="G84" i="33"/>
  <c r="C84" i="33"/>
  <c r="AM83" i="33"/>
  <c r="AI83" i="33"/>
  <c r="AE83" i="33"/>
  <c r="AA83" i="33"/>
  <c r="W83" i="33"/>
  <c r="S83" i="33"/>
  <c r="O83" i="33"/>
  <c r="K83" i="33"/>
  <c r="G83" i="33"/>
  <c r="B83" i="33"/>
  <c r="AK82" i="33"/>
  <c r="AF82" i="33"/>
  <c r="Z82" i="33"/>
  <c r="U82" i="33"/>
  <c r="P82" i="33"/>
  <c r="J82" i="33"/>
  <c r="E82" i="33"/>
  <c r="AN81" i="33"/>
  <c r="AF81" i="33"/>
  <c r="X81" i="33"/>
  <c r="P81" i="33"/>
  <c r="H81" i="33"/>
  <c r="AN80" i="33"/>
  <c r="AF80" i="33"/>
  <c r="X80" i="33"/>
  <c r="P80" i="33"/>
  <c r="H80" i="33"/>
  <c r="AN79" i="33"/>
  <c r="AF79" i="33"/>
  <c r="X79" i="33"/>
  <c r="P79" i="33"/>
  <c r="H79" i="33"/>
  <c r="AN78" i="33"/>
  <c r="AF78" i="33"/>
  <c r="X78" i="33"/>
  <c r="P78" i="33"/>
  <c r="H78" i="33"/>
  <c r="AN77" i="33"/>
  <c r="AF77" i="33"/>
  <c r="X77" i="33"/>
  <c r="P77" i="33"/>
  <c r="H77" i="33"/>
  <c r="AN76" i="33"/>
  <c r="AF76" i="33"/>
  <c r="X76" i="33"/>
  <c r="P76" i="33"/>
  <c r="H76" i="33"/>
  <c r="AN75" i="33"/>
  <c r="AF75" i="33"/>
  <c r="X75" i="33"/>
  <c r="H75" i="33"/>
  <c r="AF74" i="33"/>
  <c r="P74" i="33"/>
  <c r="AN73" i="33"/>
  <c r="X73" i="33"/>
  <c r="H73" i="33"/>
  <c r="AF72" i="33"/>
  <c r="P72" i="33"/>
  <c r="AN71" i="33"/>
  <c r="X71" i="33"/>
  <c r="E71" i="33"/>
  <c r="M70" i="33"/>
  <c r="U69" i="33"/>
  <c r="AC68" i="33"/>
  <c r="AK67" i="33"/>
  <c r="C67" i="33"/>
  <c r="AI65" i="33"/>
  <c r="H64" i="33"/>
  <c r="C62" i="33"/>
  <c r="M59" i="33"/>
  <c r="AC54" i="33"/>
  <c r="AL91" i="33"/>
  <c r="AH91" i="33"/>
  <c r="AD91" i="33"/>
  <c r="Z91" i="33"/>
  <c r="V91" i="33"/>
  <c r="R91" i="33"/>
  <c r="N91" i="33"/>
  <c r="J91" i="33"/>
  <c r="F91" i="33"/>
  <c r="B91" i="33"/>
  <c r="AL90" i="33"/>
  <c r="AH90" i="33"/>
  <c r="AD90" i="33"/>
  <c r="Z90" i="33"/>
  <c r="V90" i="33"/>
  <c r="R90" i="33"/>
  <c r="N90" i="33"/>
  <c r="J90" i="33"/>
  <c r="F90" i="33"/>
  <c r="B90" i="33"/>
  <c r="AL89" i="33"/>
  <c r="AH89" i="33"/>
  <c r="AD89" i="33"/>
  <c r="Z89" i="33"/>
  <c r="V89" i="33"/>
  <c r="R89" i="33"/>
  <c r="N89" i="33"/>
  <c r="J89" i="33"/>
  <c r="F89" i="33"/>
  <c r="B89" i="33"/>
  <c r="AL88" i="33"/>
  <c r="AH88" i="33"/>
  <c r="AD88" i="33"/>
  <c r="Z88" i="33"/>
  <c r="V88" i="33"/>
  <c r="R88" i="33"/>
  <c r="N88" i="33"/>
  <c r="J88" i="33"/>
  <c r="F88" i="33"/>
  <c r="B88" i="33"/>
  <c r="AL87" i="33"/>
  <c r="AH87" i="33"/>
  <c r="AD87" i="33"/>
  <c r="Z87" i="33"/>
  <c r="V87" i="33"/>
  <c r="R87" i="33"/>
  <c r="N87" i="33"/>
  <c r="J87" i="33"/>
  <c r="F87" i="33"/>
  <c r="B87" i="33"/>
  <c r="AL86" i="33"/>
  <c r="AH86" i="33"/>
  <c r="AD86" i="33"/>
  <c r="Z86" i="33"/>
  <c r="V86" i="33"/>
  <c r="R86" i="33"/>
  <c r="N86" i="33"/>
  <c r="J86" i="33"/>
  <c r="F86" i="33"/>
  <c r="B86" i="33"/>
  <c r="AL85" i="33"/>
  <c r="AH85" i="33"/>
  <c r="AD85" i="33"/>
  <c r="Z85" i="33"/>
  <c r="V85" i="33"/>
  <c r="R85" i="33"/>
  <c r="N85" i="33"/>
  <c r="J85" i="33"/>
  <c r="F85" i="33"/>
  <c r="B85" i="33"/>
  <c r="AL84" i="33"/>
  <c r="AH84" i="33"/>
  <c r="AD84" i="33"/>
  <c r="Z84" i="33"/>
  <c r="V84" i="33"/>
  <c r="R84" i="33"/>
  <c r="N84" i="33"/>
  <c r="J84" i="33"/>
  <c r="F84" i="33"/>
  <c r="B84" i="33"/>
  <c r="AL83" i="33"/>
  <c r="AH83" i="33"/>
  <c r="AD83" i="33"/>
  <c r="Z83" i="33"/>
  <c r="V83" i="33"/>
  <c r="R83" i="33"/>
  <c r="N83" i="33"/>
  <c r="J83" i="33"/>
  <c r="F83" i="33"/>
  <c r="AO82" i="33"/>
  <c r="AJ82" i="33"/>
  <c r="AD82" i="33"/>
  <c r="Y82" i="33"/>
  <c r="T82" i="33"/>
  <c r="N82" i="33"/>
  <c r="I82" i="33"/>
  <c r="D82" i="33"/>
  <c r="AK81" i="33"/>
  <c r="AC81" i="33"/>
  <c r="U81" i="33"/>
  <c r="M81" i="33"/>
  <c r="E81" i="33"/>
  <c r="AK80" i="33"/>
  <c r="AC80" i="33"/>
  <c r="U80" i="33"/>
  <c r="M80" i="33"/>
  <c r="E80" i="33"/>
  <c r="AK79" i="33"/>
  <c r="AC79" i="33"/>
  <c r="U79" i="33"/>
  <c r="M79" i="33"/>
  <c r="E79" i="33"/>
  <c r="AK78" i="33"/>
  <c r="AC78" i="33"/>
  <c r="U78" i="33"/>
  <c r="M78" i="33"/>
  <c r="E78" i="33"/>
  <c r="AK77" i="33"/>
  <c r="AC77" i="33"/>
  <c r="U77" i="33"/>
  <c r="M77" i="33"/>
  <c r="E77" i="33"/>
  <c r="AK76" i="33"/>
  <c r="AC76" i="33"/>
  <c r="U76" i="33"/>
  <c r="M76" i="33"/>
  <c r="E76" i="33"/>
  <c r="AK75" i="33"/>
  <c r="AC75" i="33"/>
  <c r="T75" i="33"/>
  <c r="D75" i="33"/>
  <c r="AB74" i="33"/>
  <c r="L74" i="33"/>
  <c r="AJ73" i="33"/>
  <c r="T73" i="33"/>
  <c r="D73" i="33"/>
  <c r="AB72" i="33"/>
  <c r="L72" i="33"/>
  <c r="AJ71" i="33"/>
  <c r="T71" i="33"/>
  <c r="AK70" i="33"/>
  <c r="E70" i="33"/>
  <c r="M69" i="33"/>
  <c r="U68" i="33"/>
  <c r="AC67" i="33"/>
  <c r="AG66" i="33"/>
  <c r="S65" i="33"/>
  <c r="AA63" i="33"/>
  <c r="V61" i="33"/>
  <c r="O58" i="33"/>
  <c r="L53" i="33"/>
  <c r="AB73" i="33"/>
  <c r="L73" i="33"/>
  <c r="AJ72" i="33"/>
  <c r="T72" i="33"/>
  <c r="D72" i="33"/>
  <c r="AB71" i="33"/>
  <c r="L71" i="33"/>
  <c r="U70" i="33"/>
  <c r="AC69" i="33"/>
  <c r="AK68" i="33"/>
  <c r="E68" i="33"/>
  <c r="M67" i="33"/>
  <c r="K66" i="33"/>
  <c r="AA64" i="33"/>
  <c r="X62" i="33"/>
  <c r="K60" i="33"/>
  <c r="E56" i="33"/>
  <c r="AO91" i="33"/>
  <c r="AK91" i="33"/>
  <c r="AG91" i="33"/>
  <c r="AC91" i="33"/>
  <c r="Y91" i="33"/>
  <c r="U91" i="33"/>
  <c r="Q91" i="33"/>
  <c r="M91" i="33"/>
  <c r="I91" i="33"/>
  <c r="E91" i="33"/>
  <c r="AO90" i="33"/>
  <c r="AK90" i="33"/>
  <c r="AG90" i="33"/>
  <c r="AC90" i="33"/>
  <c r="Y90" i="33"/>
  <c r="U90" i="33"/>
  <c r="Q90" i="33"/>
  <c r="M90" i="33"/>
  <c r="I90" i="33"/>
  <c r="E90" i="33"/>
  <c r="AO89" i="33"/>
  <c r="AK89" i="33"/>
  <c r="AG89" i="33"/>
  <c r="AC89" i="33"/>
  <c r="Y89" i="33"/>
  <c r="U89" i="33"/>
  <c r="Q89" i="33"/>
  <c r="M89" i="33"/>
  <c r="I89" i="33"/>
  <c r="E89" i="33"/>
  <c r="AO88" i="33"/>
  <c r="AK88" i="33"/>
  <c r="AG88" i="33"/>
  <c r="AC88" i="33"/>
  <c r="Y88" i="33"/>
  <c r="U88" i="33"/>
  <c r="Q88" i="33"/>
  <c r="M88" i="33"/>
  <c r="I88" i="33"/>
  <c r="E88" i="33"/>
  <c r="AO87" i="33"/>
  <c r="AK87" i="33"/>
  <c r="AG87" i="33"/>
  <c r="AC87" i="33"/>
  <c r="Y87" i="33"/>
  <c r="U87" i="33"/>
  <c r="Q87" i="33"/>
  <c r="M87" i="33"/>
  <c r="I87" i="33"/>
  <c r="E87" i="33"/>
  <c r="AO86" i="33"/>
  <c r="AK86" i="33"/>
  <c r="AG86" i="33"/>
  <c r="AC86" i="33"/>
  <c r="Y86" i="33"/>
  <c r="U86" i="33"/>
  <c r="Q86" i="33"/>
  <c r="M86" i="33"/>
  <c r="I86" i="33"/>
  <c r="E86" i="33"/>
  <c r="AO85" i="33"/>
  <c r="AK85" i="33"/>
  <c r="AG85" i="33"/>
  <c r="AC85" i="33"/>
  <c r="Y85" i="33"/>
  <c r="U85" i="33"/>
  <c r="Q85" i="33"/>
  <c r="M85" i="33"/>
  <c r="I85" i="33"/>
  <c r="E85" i="33"/>
  <c r="AO84" i="33"/>
  <c r="AK84" i="33"/>
  <c r="AG84" i="33"/>
  <c r="AC84" i="33"/>
  <c r="Y84" i="33"/>
  <c r="U84" i="33"/>
  <c r="Q84" i="33"/>
  <c r="M84" i="33"/>
  <c r="I84" i="33"/>
  <c r="E84" i="33"/>
  <c r="AO83" i="33"/>
  <c r="AK83" i="33"/>
  <c r="AG83" i="33"/>
  <c r="AC83" i="33"/>
  <c r="Y83" i="33"/>
  <c r="U83" i="33"/>
  <c r="Q83" i="33"/>
  <c r="M83" i="33"/>
  <c r="I83" i="33"/>
  <c r="E83" i="33"/>
  <c r="AN82" i="33"/>
  <c r="AH82" i="33"/>
  <c r="AC82" i="33"/>
  <c r="X82" i="33"/>
  <c r="R82" i="33"/>
  <c r="M82" i="33"/>
  <c r="H82" i="33"/>
  <c r="B82" i="33"/>
  <c r="AJ81" i="33"/>
  <c r="AB81" i="33"/>
  <c r="T81" i="33"/>
  <c r="L81" i="33"/>
  <c r="D81" i="33"/>
  <c r="AJ80" i="33"/>
  <c r="AB80" i="33"/>
  <c r="T80" i="33"/>
  <c r="L80" i="33"/>
  <c r="D80" i="33"/>
  <c r="AJ79" i="33"/>
  <c r="AB79" i="33"/>
  <c r="T79" i="33"/>
  <c r="L79" i="33"/>
  <c r="D79" i="33"/>
  <c r="AJ78" i="33"/>
  <c r="AB78" i="33"/>
  <c r="T78" i="33"/>
  <c r="L78" i="33"/>
  <c r="D78" i="33"/>
  <c r="AJ77" i="33"/>
  <c r="AB77" i="33"/>
  <c r="T77" i="33"/>
  <c r="L77" i="33"/>
  <c r="D77" i="33"/>
  <c r="AJ76" i="33"/>
  <c r="AB76" i="33"/>
  <c r="T76" i="33"/>
  <c r="L76" i="33"/>
  <c r="D76" i="33"/>
  <c r="AJ75" i="33"/>
  <c r="AB75" i="33"/>
  <c r="P75" i="33"/>
  <c r="AN74" i="33"/>
  <c r="X74" i="33"/>
  <c r="H74" i="33"/>
  <c r="AF73" i="33"/>
  <c r="P73" i="33"/>
  <c r="AN72" i="33"/>
  <c r="X72" i="33"/>
  <c r="H72" i="33"/>
  <c r="AF71" i="33"/>
  <c r="P71" i="33"/>
  <c r="AC70" i="33"/>
  <c r="AK69" i="33"/>
  <c r="E69" i="33"/>
  <c r="M68" i="33"/>
  <c r="U67" i="33"/>
  <c r="V66" i="33"/>
  <c r="C65" i="33"/>
  <c r="F63" i="33"/>
  <c r="AN60" i="33"/>
  <c r="Q57" i="33"/>
  <c r="C57" i="33"/>
  <c r="AJ56" i="33"/>
  <c r="AC56" i="33"/>
  <c r="U56" i="33"/>
  <c r="O56" i="33"/>
  <c r="H56" i="33"/>
  <c r="AN55" i="33"/>
  <c r="AG55" i="33"/>
  <c r="AA55" i="33"/>
  <c r="S55" i="33"/>
  <c r="L55" i="33"/>
  <c r="E55" i="33"/>
  <c r="AK54" i="33"/>
  <c r="AE54" i="33"/>
  <c r="X54" i="33"/>
  <c r="P54" i="33"/>
  <c r="I54" i="33"/>
  <c r="C54" i="33"/>
  <c r="AI53" i="33"/>
  <c r="AB53" i="33"/>
  <c r="U53" i="33"/>
  <c r="M53" i="33"/>
  <c r="G53" i="33"/>
  <c r="AN52" i="33"/>
  <c r="AF52" i="33"/>
  <c r="Y52" i="33"/>
  <c r="S52" i="33"/>
  <c r="I52" i="33"/>
  <c r="Q64" i="33"/>
  <c r="M64" i="33"/>
  <c r="I64" i="33"/>
  <c r="E64" i="33"/>
  <c r="AO63" i="33"/>
  <c r="AK63" i="33"/>
  <c r="AG63" i="33"/>
  <c r="AC63" i="33"/>
  <c r="Y63" i="33"/>
  <c r="U63" i="33"/>
  <c r="Q63" i="33"/>
  <c r="M63" i="33"/>
  <c r="I63" i="33"/>
  <c r="E63" i="33"/>
  <c r="AO62" i="33"/>
  <c r="AK62" i="33"/>
  <c r="AG62" i="33"/>
  <c r="AC62" i="33"/>
  <c r="Y62" i="33"/>
  <c r="U62" i="33"/>
  <c r="Q62" i="33"/>
  <c r="M62" i="33"/>
  <c r="I62" i="33"/>
  <c r="E62" i="33"/>
  <c r="AO61" i="33"/>
  <c r="AK61" i="33"/>
  <c r="AG61" i="33"/>
  <c r="AC61" i="33"/>
  <c r="Y61" i="33"/>
  <c r="U61" i="33"/>
  <c r="Q61" i="33"/>
  <c r="M61" i="33"/>
  <c r="I61" i="33"/>
  <c r="E61" i="33"/>
  <c r="AO60" i="33"/>
  <c r="AK60" i="33"/>
  <c r="AF60" i="33"/>
  <c r="AA60" i="33"/>
  <c r="U60" i="33"/>
  <c r="O60" i="33"/>
  <c r="H60" i="33"/>
  <c r="AN59" i="33"/>
  <c r="AG59" i="33"/>
  <c r="AA59" i="33"/>
  <c r="S59" i="33"/>
  <c r="L59" i="33"/>
  <c r="E59" i="33"/>
  <c r="AK58" i="33"/>
  <c r="AE58" i="33"/>
  <c r="X58" i="33"/>
  <c r="P58" i="33"/>
  <c r="I58" i="33"/>
  <c r="C58" i="33"/>
  <c r="AI57" i="33"/>
  <c r="AB57" i="33"/>
  <c r="U57" i="33"/>
  <c r="M57" i="33"/>
  <c r="G57" i="33"/>
  <c r="AN56" i="33"/>
  <c r="AF56" i="33"/>
  <c r="Y56" i="33"/>
  <c r="S56" i="33"/>
  <c r="K56" i="33"/>
  <c r="D56" i="33"/>
  <c r="AK55" i="33"/>
  <c r="AC55" i="33"/>
  <c r="W55" i="33"/>
  <c r="P55" i="33"/>
  <c r="H55" i="33"/>
  <c r="AO54" i="33"/>
  <c r="AI54" i="33"/>
  <c r="AA54" i="33"/>
  <c r="T54" i="33"/>
  <c r="M54" i="33"/>
  <c r="E54" i="33"/>
  <c r="AM53" i="33"/>
  <c r="AF53" i="33"/>
  <c r="X53" i="33"/>
  <c r="Q53" i="33"/>
  <c r="K53" i="33"/>
  <c r="C53" i="33"/>
  <c r="AJ52" i="33"/>
  <c r="AC52" i="33"/>
  <c r="U52" i="33"/>
  <c r="O52" i="33"/>
  <c r="AD17" i="33"/>
  <c r="E52" i="33"/>
  <c r="AH60" i="33"/>
  <c r="AD60" i="33"/>
  <c r="Z60" i="33"/>
  <c r="V60" i="33"/>
  <c r="Q60" i="33"/>
  <c r="L60" i="33"/>
  <c r="G60" i="33"/>
  <c r="AO59" i="33"/>
  <c r="AJ59" i="33"/>
  <c r="AE59" i="33"/>
  <c r="Y59" i="33"/>
  <c r="T59" i="33"/>
  <c r="O59" i="33"/>
  <c r="I59" i="33"/>
  <c r="D59" i="33"/>
  <c r="AM58" i="33"/>
  <c r="AG58" i="33"/>
  <c r="AB58" i="33"/>
  <c r="W58" i="33"/>
  <c r="Q58" i="33"/>
  <c r="L58" i="33"/>
  <c r="G58" i="33"/>
  <c r="AO57" i="33"/>
  <c r="AJ57" i="33"/>
  <c r="AE57" i="33"/>
  <c r="Y57" i="33"/>
  <c r="T57" i="33"/>
  <c r="O57" i="33"/>
  <c r="I57" i="33"/>
  <c r="D57" i="33"/>
  <c r="AM56" i="33"/>
  <c r="AG56" i="33"/>
  <c r="AB56" i="33"/>
  <c r="W56" i="33"/>
  <c r="Q56" i="33"/>
  <c r="L56" i="33"/>
  <c r="G56" i="33"/>
  <c r="AO55" i="33"/>
  <c r="AJ55" i="33"/>
  <c r="AE55" i="33"/>
  <c r="Y55" i="33"/>
  <c r="T55" i="33"/>
  <c r="O55" i="33"/>
  <c r="I55" i="33"/>
  <c r="D55" i="33"/>
  <c r="AM54" i="33"/>
  <c r="AG54" i="33"/>
  <c r="AB54" i="33"/>
  <c r="W54" i="33"/>
  <c r="Q54" i="33"/>
  <c r="L54" i="33"/>
  <c r="G54" i="33"/>
  <c r="AO53" i="33"/>
  <c r="AJ53" i="33"/>
  <c r="AE53" i="33"/>
  <c r="Y53" i="33"/>
  <c r="T53" i="33"/>
  <c r="O53" i="33"/>
  <c r="I53" i="33"/>
  <c r="D53" i="33"/>
  <c r="AM52" i="33"/>
  <c r="AG52" i="33"/>
  <c r="AB52" i="33"/>
  <c r="W52" i="33"/>
  <c r="Q52" i="33"/>
  <c r="L52" i="33"/>
  <c r="H52" i="33"/>
  <c r="D52" i="33"/>
  <c r="K52" i="33"/>
  <c r="G52" i="33"/>
  <c r="C52" i="33"/>
  <c r="R60" i="33"/>
  <c r="N60" i="33"/>
  <c r="J60" i="33"/>
  <c r="F60" i="33"/>
  <c r="B60" i="33"/>
  <c r="AL59" i="33"/>
  <c r="AH59" i="33"/>
  <c r="AD59" i="33"/>
  <c r="Z59" i="33"/>
  <c r="V59" i="33"/>
  <c r="R59" i="33"/>
  <c r="N59" i="33"/>
  <c r="J59" i="33"/>
  <c r="F59" i="33"/>
  <c r="B59" i="33"/>
  <c r="AL58" i="33"/>
  <c r="AH58" i="33"/>
  <c r="AD58" i="33"/>
  <c r="Z58" i="33"/>
  <c r="V58" i="33"/>
  <c r="R58" i="33"/>
  <c r="N58" i="33"/>
  <c r="J58" i="33"/>
  <c r="F58" i="33"/>
  <c r="B58" i="33"/>
  <c r="AL57" i="33"/>
  <c r="AH57" i="33"/>
  <c r="AD57" i="33"/>
  <c r="Z57" i="33"/>
  <c r="V57" i="33"/>
  <c r="R57" i="33"/>
  <c r="N57" i="33"/>
  <c r="J57" i="33"/>
  <c r="F57" i="33"/>
  <c r="B57" i="33"/>
  <c r="AL56" i="33"/>
  <c r="AH56" i="33"/>
  <c r="AD56" i="33"/>
  <c r="Z56" i="33"/>
  <c r="V56" i="33"/>
  <c r="R56" i="33"/>
  <c r="N56" i="33"/>
  <c r="J56" i="33"/>
  <c r="F56" i="33"/>
  <c r="B56" i="33"/>
  <c r="AL55" i="33"/>
  <c r="AH55" i="33"/>
  <c r="AD55" i="33"/>
  <c r="Z55" i="33"/>
  <c r="V55" i="33"/>
  <c r="R55" i="33"/>
  <c r="N55" i="33"/>
  <c r="J55" i="33"/>
  <c r="F55" i="33"/>
  <c r="B55" i="33"/>
  <c r="AL54" i="33"/>
  <c r="AH54" i="33"/>
  <c r="AD54" i="33"/>
  <c r="Z54" i="33"/>
  <c r="V54" i="33"/>
  <c r="R54" i="33"/>
  <c r="N54" i="33"/>
  <c r="J54" i="33"/>
  <c r="F54" i="33"/>
  <c r="B54" i="33"/>
  <c r="AL53" i="33"/>
  <c r="AH53" i="33"/>
  <c r="AD53" i="33"/>
  <c r="Z53" i="33"/>
  <c r="V53" i="33"/>
  <c r="R53" i="33"/>
  <c r="N53" i="33"/>
  <c r="J53" i="33"/>
  <c r="F53" i="33"/>
  <c r="B53" i="33"/>
  <c r="AL52" i="33"/>
  <c r="AH52" i="33"/>
  <c r="AD52" i="33"/>
  <c r="Z52" i="33"/>
  <c r="V52" i="33"/>
  <c r="R52" i="33"/>
  <c r="N52" i="33"/>
  <c r="J52" i="33"/>
  <c r="F52" i="33"/>
  <c r="O134" i="33"/>
  <c r="AA132" i="33"/>
  <c r="P125" i="33"/>
  <c r="P36" i="33" s="1"/>
  <c r="AN126" i="33"/>
  <c r="AN37" i="33" s="1"/>
  <c r="M128" i="33"/>
  <c r="Q110" i="33"/>
  <c r="Q21" i="33" s="1"/>
  <c r="J126" i="33"/>
  <c r="B127" i="33"/>
  <c r="B38" i="33" s="1"/>
  <c r="AG120" i="33"/>
  <c r="AG31" i="33" s="1"/>
  <c r="AI119" i="33"/>
  <c r="AI30" i="33" s="1"/>
  <c r="I106" i="33"/>
  <c r="L124" i="33"/>
  <c r="T121" i="33"/>
  <c r="D121" i="33"/>
  <c r="R119" i="33"/>
  <c r="R30" i="33" s="1"/>
  <c r="AH118" i="33"/>
  <c r="AH29" i="33" s="1"/>
  <c r="J116" i="33"/>
  <c r="J27" i="33" s="1"/>
  <c r="R115" i="33"/>
  <c r="R26" i="33" s="1"/>
  <c r="D109" i="33"/>
  <c r="D20" i="33" s="1"/>
  <c r="J107" i="33"/>
  <c r="J18" i="33" s="1"/>
  <c r="Q119" i="33"/>
  <c r="Q30" i="33" s="1"/>
  <c r="E119" i="33"/>
  <c r="AG117" i="33"/>
  <c r="AG28" i="33" s="1"/>
  <c r="U117" i="33"/>
  <c r="I116" i="33"/>
  <c r="I27" i="33" s="1"/>
  <c r="AK115" i="33"/>
  <c r="J113" i="33"/>
  <c r="R112" i="33"/>
  <c r="B110" i="33"/>
  <c r="B21" i="33" s="1"/>
  <c r="AF109" i="33"/>
  <c r="AF20" i="33" s="1"/>
  <c r="AK107" i="33"/>
  <c r="AK18" i="33" s="1"/>
  <c r="V107" i="33"/>
  <c r="V18" i="33" s="1"/>
  <c r="C100" i="33"/>
  <c r="C11" i="33" s="1"/>
  <c r="X98" i="33"/>
  <c r="T119" i="33"/>
  <c r="P119" i="33"/>
  <c r="P30" i="33" s="1"/>
  <c r="AB118" i="33"/>
  <c r="X118" i="33"/>
  <c r="AJ117" i="33"/>
  <c r="AF117" i="33"/>
  <c r="AF28" i="33" s="1"/>
  <c r="D117" i="33"/>
  <c r="AN116" i="33"/>
  <c r="L116" i="33"/>
  <c r="H116" i="33"/>
  <c r="F115" i="33"/>
  <c r="F26" i="33" s="1"/>
  <c r="AL114" i="33"/>
  <c r="T113" i="33"/>
  <c r="T24" i="33" s="1"/>
  <c r="I113" i="33"/>
  <c r="I24" i="33" s="1"/>
  <c r="N111" i="33"/>
  <c r="N22" i="33" s="1"/>
  <c r="D111" i="33"/>
  <c r="I109" i="33"/>
  <c r="AL108" i="33"/>
  <c r="R106" i="33"/>
  <c r="R17" i="33" s="1"/>
  <c r="U105" i="33"/>
  <c r="U16" i="33" s="1"/>
  <c r="AA97" i="33"/>
  <c r="AG115" i="33"/>
  <c r="AG26" i="33" s="1"/>
  <c r="E115" i="33"/>
  <c r="E26" i="33" s="1"/>
  <c r="AO114" i="33"/>
  <c r="AO25" i="33" s="1"/>
  <c r="M114" i="33"/>
  <c r="M25" i="33" s="1"/>
  <c r="I114" i="33"/>
  <c r="I25" i="33" s="1"/>
  <c r="R113" i="33"/>
  <c r="R24" i="33" s="1"/>
  <c r="M113" i="33"/>
  <c r="P112" i="33"/>
  <c r="P23" i="33" s="1"/>
  <c r="J112" i="33"/>
  <c r="J23" i="33" s="1"/>
  <c r="M111" i="33"/>
  <c r="H111" i="33"/>
  <c r="J110" i="33"/>
  <c r="E110" i="33"/>
  <c r="H109" i="33"/>
  <c r="H20" i="33" s="1"/>
  <c r="B109" i="33"/>
  <c r="E108" i="33"/>
  <c r="E19" i="33" s="1"/>
  <c r="AN107" i="33"/>
  <c r="AN18" i="33" s="1"/>
  <c r="N106" i="33"/>
  <c r="N17" i="33" s="1"/>
  <c r="AK105" i="33"/>
  <c r="AK16" i="33" s="1"/>
  <c r="E101" i="33"/>
  <c r="M100" i="33"/>
  <c r="X115" i="33"/>
  <c r="X26" i="33" s="1"/>
  <c r="T115" i="33"/>
  <c r="T26" i="33" s="1"/>
  <c r="AF114" i="33"/>
  <c r="AF25" i="33" s="1"/>
  <c r="AB114" i="33"/>
  <c r="AB25" i="33" s="1"/>
  <c r="AN113" i="33"/>
  <c r="AN24" i="33" s="1"/>
  <c r="AJ113" i="33"/>
  <c r="AJ24" i="33" s="1"/>
  <c r="AO112" i="33"/>
  <c r="AO23" i="33" s="1"/>
  <c r="AJ112" i="33"/>
  <c r="I112" i="33"/>
  <c r="D112" i="33"/>
  <c r="D23" i="33" s="1"/>
  <c r="AL111" i="33"/>
  <c r="AB111" i="33"/>
  <c r="AB22" i="33" s="1"/>
  <c r="V111" i="33"/>
  <c r="V22" i="33" s="1"/>
  <c r="Q111" i="33"/>
  <c r="Q22" i="33" s="1"/>
  <c r="F111" i="33"/>
  <c r="AO110" i="33"/>
  <c r="AJ110" i="33"/>
  <c r="AJ21" i="33" s="1"/>
  <c r="Y110" i="33"/>
  <c r="Y21" i="33" s="1"/>
  <c r="T110" i="33"/>
  <c r="T21" i="33" s="1"/>
  <c r="N110" i="33"/>
  <c r="N21" i="33" s="1"/>
  <c r="D110" i="33"/>
  <c r="D21" i="33" s="1"/>
  <c r="AL109" i="33"/>
  <c r="AG109" i="33"/>
  <c r="AG20" i="33" s="1"/>
  <c r="V109" i="33"/>
  <c r="Q109" i="33"/>
  <c r="L109" i="33"/>
  <c r="L20" i="33" s="1"/>
  <c r="AO108" i="33"/>
  <c r="AO19" i="33" s="1"/>
  <c r="AJ108" i="33"/>
  <c r="AD108" i="33"/>
  <c r="AD19" i="33" s="1"/>
  <c r="T108" i="33"/>
  <c r="N108" i="33"/>
  <c r="I108" i="33"/>
  <c r="AL107" i="33"/>
  <c r="AL18" i="33" s="1"/>
  <c r="AG107" i="33"/>
  <c r="Z107" i="33"/>
  <c r="Z18" i="33" s="1"/>
  <c r="E107" i="33"/>
  <c r="E18" i="33" s="1"/>
  <c r="AH106" i="33"/>
  <c r="V106" i="33"/>
  <c r="V17" i="33" s="1"/>
  <c r="AG105" i="33"/>
  <c r="E105" i="33"/>
  <c r="E16" i="33" s="1"/>
  <c r="S104" i="33"/>
  <c r="AN102" i="33"/>
  <c r="M102" i="33"/>
  <c r="AA101" i="33"/>
  <c r="AA12" i="33" s="1"/>
  <c r="H100" i="33"/>
  <c r="H11" i="33" s="1"/>
  <c r="U99" i="33"/>
  <c r="AC98" i="33"/>
  <c r="AC9" i="33" s="1"/>
  <c r="P97" i="33"/>
  <c r="AA113" i="33"/>
  <c r="AA24" i="33" s="1"/>
  <c r="W113" i="33"/>
  <c r="W24" i="33" s="1"/>
  <c r="O113" i="33"/>
  <c r="O24" i="33" s="1"/>
  <c r="K113" i="33"/>
  <c r="K24" i="33" s="1"/>
  <c r="G113" i="33"/>
  <c r="G24" i="33" s="1"/>
  <c r="AM112" i="33"/>
  <c r="AM23" i="33" s="1"/>
  <c r="AI112" i="33"/>
  <c r="AI23" i="33" s="1"/>
  <c r="AE112" i="33"/>
  <c r="AE23" i="33" s="1"/>
  <c r="W112" i="33"/>
  <c r="W23" i="33" s="1"/>
  <c r="S112" i="33"/>
  <c r="S23" i="33" s="1"/>
  <c r="O112" i="33"/>
  <c r="O23" i="33" s="1"/>
  <c r="G112" i="33"/>
  <c r="C112" i="33"/>
  <c r="C23" i="33" s="1"/>
  <c r="AM111" i="33"/>
  <c r="AM22" i="33" s="1"/>
  <c r="AE111" i="33"/>
  <c r="AE22" i="33" s="1"/>
  <c r="AA111" i="33"/>
  <c r="AA22" i="33" s="1"/>
  <c r="W111" i="33"/>
  <c r="W22" i="33" s="1"/>
  <c r="O111" i="33"/>
  <c r="O22" i="33" s="1"/>
  <c r="K111" i="33"/>
  <c r="G111" i="33"/>
  <c r="AM110" i="33"/>
  <c r="AM21" i="33" s="1"/>
  <c r="AI110" i="33"/>
  <c r="AE110" i="33"/>
  <c r="AE21" i="33" s="1"/>
  <c r="W110" i="33"/>
  <c r="S110" i="33"/>
  <c r="S21" i="33" s="1"/>
  <c r="O110" i="33"/>
  <c r="G110" i="33"/>
  <c r="G21" i="33" s="1"/>
  <c r="C110" i="33"/>
  <c r="AM109" i="33"/>
  <c r="AM20" i="33" s="1"/>
  <c r="AE109" i="33"/>
  <c r="AA109" i="33"/>
  <c r="W109" i="33"/>
  <c r="O109" i="33"/>
  <c r="O20" i="33" s="1"/>
  <c r="K109" i="33"/>
  <c r="K20" i="33" s="1"/>
  <c r="G109" i="33"/>
  <c r="G20" i="33" s="1"/>
  <c r="AM108" i="33"/>
  <c r="AM19" i="33" s="1"/>
  <c r="AI108" i="33"/>
  <c r="AI19" i="33" s="1"/>
  <c r="AE108" i="33"/>
  <c r="AE19" i="33" s="1"/>
  <c r="W108" i="33"/>
  <c r="S108" i="33"/>
  <c r="O108" i="33"/>
  <c r="G108" i="33"/>
  <c r="G19" i="33" s="1"/>
  <c r="C108" i="33"/>
  <c r="AM107" i="33"/>
  <c r="AM18" i="33" s="1"/>
  <c r="AE107" i="33"/>
  <c r="AE18" i="33" s="1"/>
  <c r="Y107" i="33"/>
  <c r="Q107" i="33"/>
  <c r="AO106" i="33"/>
  <c r="AO17" i="33" s="1"/>
  <c r="AG106" i="33"/>
  <c r="Y106" i="33"/>
  <c r="E106" i="33"/>
  <c r="AC105" i="33"/>
  <c r="K105" i="33"/>
  <c r="K16" i="33" s="1"/>
  <c r="H104" i="33"/>
  <c r="H15" i="33" s="1"/>
  <c r="AA103" i="33"/>
  <c r="AA14" i="33" s="1"/>
  <c r="E103" i="33"/>
  <c r="C102" i="33"/>
  <c r="C13" i="33" s="1"/>
  <c r="U101" i="33"/>
  <c r="U12" i="33" s="1"/>
  <c r="AN100" i="33"/>
  <c r="AN11" i="33" s="1"/>
  <c r="AK99" i="33"/>
  <c r="AK10" i="33" s="1"/>
  <c r="P99" i="33"/>
  <c r="P10" i="33" s="1"/>
  <c r="AI98" i="33"/>
  <c r="AI9" i="33" s="1"/>
  <c r="AF97" i="33"/>
  <c r="AF8" i="33" s="1"/>
  <c r="B97" i="33"/>
  <c r="B8" i="33" s="1"/>
  <c r="E97" i="33"/>
  <c r="Q97" i="33"/>
  <c r="W97" i="33"/>
  <c r="AB97" i="33"/>
  <c r="AM97" i="33"/>
  <c r="D98" i="33"/>
  <c r="I98" i="33"/>
  <c r="T98" i="33"/>
  <c r="Y98" i="33"/>
  <c r="AE98" i="33"/>
  <c r="AO98" i="33"/>
  <c r="G99" i="33"/>
  <c r="L99" i="33"/>
  <c r="W99" i="33"/>
  <c r="AB99" i="33"/>
  <c r="AG99" i="33"/>
  <c r="D100" i="33"/>
  <c r="I100" i="33"/>
  <c r="O100" i="33"/>
  <c r="Y100" i="33"/>
  <c r="AE100" i="33"/>
  <c r="AJ100" i="33"/>
  <c r="G101" i="33"/>
  <c r="L101" i="33"/>
  <c r="Q101" i="33"/>
  <c r="W101" i="33"/>
  <c r="AB101" i="33"/>
  <c r="AG101" i="33"/>
  <c r="AM101" i="33"/>
  <c r="D102" i="33"/>
  <c r="I102" i="33"/>
  <c r="O102" i="33"/>
  <c r="T102" i="33"/>
  <c r="Y102" i="33"/>
  <c r="AE102" i="33"/>
  <c r="AJ102" i="33"/>
  <c r="AO102" i="33"/>
  <c r="G103" i="33"/>
  <c r="L103" i="33"/>
  <c r="Q103" i="33"/>
  <c r="W103" i="33"/>
  <c r="AB103" i="33"/>
  <c r="AG103" i="33"/>
  <c r="AM103" i="33"/>
  <c r="D104" i="33"/>
  <c r="I104" i="33"/>
  <c r="O104" i="33"/>
  <c r="T104" i="33"/>
  <c r="Y104" i="33"/>
  <c r="AE104" i="33"/>
  <c r="AJ104" i="33"/>
  <c r="AO104" i="33"/>
  <c r="G105" i="33"/>
  <c r="L105" i="33"/>
  <c r="Q105" i="33"/>
  <c r="V105" i="33"/>
  <c r="Z105" i="33"/>
  <c r="AD105" i="33"/>
  <c r="AH105" i="33"/>
  <c r="AL105" i="33"/>
  <c r="B106" i="33"/>
  <c r="B17" i="33" s="1"/>
  <c r="F106" i="33"/>
  <c r="F17" i="33" s="1"/>
  <c r="J106" i="33"/>
  <c r="J17" i="33" s="1"/>
  <c r="H97" i="33"/>
  <c r="M97" i="33"/>
  <c r="M8" i="33" s="1"/>
  <c r="S97" i="33"/>
  <c r="S8" i="33" s="1"/>
  <c r="X97" i="33"/>
  <c r="X8" i="33" s="1"/>
  <c r="AC97" i="33"/>
  <c r="AC8" i="33" s="1"/>
  <c r="AI97" i="33"/>
  <c r="AI8" i="33" s="1"/>
  <c r="AN97" i="33"/>
  <c r="AN8" i="33" s="1"/>
  <c r="E98" i="33"/>
  <c r="E9" i="33" s="1"/>
  <c r="K98" i="33"/>
  <c r="K9" i="33" s="1"/>
  <c r="P98" i="33"/>
  <c r="P9" i="33" s="1"/>
  <c r="U98" i="33"/>
  <c r="AA98" i="33"/>
  <c r="AF98" i="33"/>
  <c r="AK98" i="33"/>
  <c r="C99" i="33"/>
  <c r="H99" i="33"/>
  <c r="H10" i="33" s="1"/>
  <c r="M99" i="33"/>
  <c r="S99" i="33"/>
  <c r="S10" i="33" s="1"/>
  <c r="X99" i="33"/>
  <c r="X10" i="33" s="1"/>
  <c r="AC99" i="33"/>
  <c r="AC10" i="33" s="1"/>
  <c r="AI99" i="33"/>
  <c r="AI10" i="33" s="1"/>
  <c r="AN99" i="33"/>
  <c r="AN10" i="33" s="1"/>
  <c r="E100" i="33"/>
  <c r="E11" i="33" s="1"/>
  <c r="K100" i="33"/>
  <c r="P100" i="33"/>
  <c r="P11" i="33" s="1"/>
  <c r="U100" i="33"/>
  <c r="AA100" i="33"/>
  <c r="AF100" i="33"/>
  <c r="AF11" i="33" s="1"/>
  <c r="AK100" i="33"/>
  <c r="C101" i="33"/>
  <c r="C12" i="33" s="1"/>
  <c r="H101" i="33"/>
  <c r="M101" i="33"/>
  <c r="M12" i="33" s="1"/>
  <c r="S101" i="33"/>
  <c r="X101" i="33"/>
  <c r="X12" i="33" s="1"/>
  <c r="AC101" i="33"/>
  <c r="AC12" i="33" s="1"/>
  <c r="AI101" i="33"/>
  <c r="AI12" i="33" s="1"/>
  <c r="AN101" i="33"/>
  <c r="AN12" i="33" s="1"/>
  <c r="E102" i="33"/>
  <c r="E13" i="33" s="1"/>
  <c r="K102" i="33"/>
  <c r="P102" i="33"/>
  <c r="P13" i="33" s="1"/>
  <c r="U102" i="33"/>
  <c r="U13" i="33" s="1"/>
  <c r="AA102" i="33"/>
  <c r="AA13" i="33" s="1"/>
  <c r="AF102" i="33"/>
  <c r="AK102" i="33"/>
  <c r="AK13" i="33" s="1"/>
  <c r="C103" i="33"/>
  <c r="H103" i="33"/>
  <c r="H14" i="33" s="1"/>
  <c r="M103" i="33"/>
  <c r="M14" i="33" s="1"/>
  <c r="S103" i="33"/>
  <c r="S14" i="33" s="1"/>
  <c r="X103" i="33"/>
  <c r="AC103" i="33"/>
  <c r="AC14" i="33" s="1"/>
  <c r="AI103" i="33"/>
  <c r="AN103" i="33"/>
  <c r="AN14" i="33" s="1"/>
  <c r="E104" i="33"/>
  <c r="E15" i="33" s="1"/>
  <c r="K104" i="33"/>
  <c r="K15" i="33" s="1"/>
  <c r="P104" i="33"/>
  <c r="P15" i="33" s="1"/>
  <c r="U104" i="33"/>
  <c r="U15" i="33" s="1"/>
  <c r="AA104" i="33"/>
  <c r="AA15" i="33" s="1"/>
  <c r="AF104" i="33"/>
  <c r="AF15" i="33" s="1"/>
  <c r="AK104" i="33"/>
  <c r="AK15" i="33" s="1"/>
  <c r="C105" i="33"/>
  <c r="C16" i="33" s="1"/>
  <c r="H105" i="33"/>
  <c r="M105" i="33"/>
  <c r="M16" i="33" s="1"/>
  <c r="S105" i="33"/>
  <c r="S16" i="33" s="1"/>
  <c r="W105" i="33"/>
  <c r="W16" i="33" s="1"/>
  <c r="AA105" i="33"/>
  <c r="AE105" i="33"/>
  <c r="AI105" i="33"/>
  <c r="AI16" i="33" s="1"/>
  <c r="AM105" i="33"/>
  <c r="AM16" i="33" s="1"/>
  <c r="C106" i="33"/>
  <c r="G106" i="33"/>
  <c r="G17" i="33" s="1"/>
  <c r="K106" i="33"/>
  <c r="K17" i="33" s="1"/>
  <c r="O106" i="33"/>
  <c r="S106" i="33"/>
  <c r="S17" i="33" s="1"/>
  <c r="W106" i="33"/>
  <c r="W17" i="33" s="1"/>
  <c r="AA106" i="33"/>
  <c r="AE106" i="33"/>
  <c r="AE17" i="33" s="1"/>
  <c r="AI106" i="33"/>
  <c r="AI17" i="33" s="1"/>
  <c r="AM106" i="33"/>
  <c r="AM17" i="33" s="1"/>
  <c r="C107" i="33"/>
  <c r="C18" i="33" s="1"/>
  <c r="G107" i="33"/>
  <c r="G18" i="33" s="1"/>
  <c r="K107" i="33"/>
  <c r="O107" i="33"/>
  <c r="S107" i="33"/>
  <c r="W107" i="33"/>
  <c r="W18" i="33" s="1"/>
  <c r="AA107" i="33"/>
  <c r="I97" i="33"/>
  <c r="I8" i="33" s="1"/>
  <c r="O97" i="33"/>
  <c r="T97" i="33"/>
  <c r="T8" i="33" s="1"/>
  <c r="Y97" i="33"/>
  <c r="AE97" i="33"/>
  <c r="AE8" i="33" s="1"/>
  <c r="AJ97" i="33"/>
  <c r="AO97" i="33"/>
  <c r="G98" i="33"/>
  <c r="G9" i="33" s="1"/>
  <c r="L98" i="33"/>
  <c r="L9" i="33" s="1"/>
  <c r="Q98" i="33"/>
  <c r="Q9" i="33" s="1"/>
  <c r="W98" i="33"/>
  <c r="W9" i="33" s="1"/>
  <c r="AB98" i="33"/>
  <c r="AB9" i="33" s="1"/>
  <c r="AG98" i="33"/>
  <c r="AG9" i="33" s="1"/>
  <c r="AM98" i="33"/>
  <c r="AM9" i="33" s="1"/>
  <c r="D99" i="33"/>
  <c r="D10" i="33" s="1"/>
  <c r="I99" i="33"/>
  <c r="O99" i="33"/>
  <c r="O10" i="33" s="1"/>
  <c r="T99" i="33"/>
  <c r="Y99" i="33"/>
  <c r="Y10" i="33" s="1"/>
  <c r="AE99" i="33"/>
  <c r="AJ99" i="33"/>
  <c r="AJ10" i="33" s="1"/>
  <c r="AO99" i="33"/>
  <c r="G100" i="33"/>
  <c r="G11" i="33" s="1"/>
  <c r="L100" i="33"/>
  <c r="L11" i="33" s="1"/>
  <c r="Q100" i="33"/>
  <c r="Q11" i="33" s="1"/>
  <c r="W100" i="33"/>
  <c r="W11" i="33" s="1"/>
  <c r="AB100" i="33"/>
  <c r="AG100" i="33"/>
  <c r="AG11" i="33" s="1"/>
  <c r="AM100" i="33"/>
  <c r="AM11" i="33" s="1"/>
  <c r="D101" i="33"/>
  <c r="D12" i="33" s="1"/>
  <c r="I101" i="33"/>
  <c r="I12" i="33" s="1"/>
  <c r="O101" i="33"/>
  <c r="T101" i="33"/>
  <c r="T12" i="33" s="1"/>
  <c r="Y101" i="33"/>
  <c r="AE101" i="33"/>
  <c r="AE12" i="33" s="1"/>
  <c r="AJ101" i="33"/>
  <c r="AO101" i="33"/>
  <c r="G102" i="33"/>
  <c r="L102" i="33"/>
  <c r="L13" i="33" s="1"/>
  <c r="Q102" i="33"/>
  <c r="Q13" i="33" s="1"/>
  <c r="W102" i="33"/>
  <c r="W13" i="33" s="1"/>
  <c r="AB102" i="33"/>
  <c r="AB13" i="33" s="1"/>
  <c r="AG102" i="33"/>
  <c r="AG13" i="33" s="1"/>
  <c r="AM102" i="33"/>
  <c r="D103" i="33"/>
  <c r="D14" i="33" s="1"/>
  <c r="I103" i="33"/>
  <c r="I14" i="33" s="1"/>
  <c r="O103" i="33"/>
  <c r="O14" i="33" s="1"/>
  <c r="T103" i="33"/>
  <c r="T14" i="33" s="1"/>
  <c r="Y103" i="33"/>
  <c r="Y14" i="33" s="1"/>
  <c r="AE103" i="33"/>
  <c r="AJ103" i="33"/>
  <c r="AJ14" i="33" s="1"/>
  <c r="AO103" i="33"/>
  <c r="G104" i="33"/>
  <c r="G15" i="33" s="1"/>
  <c r="L104" i="33"/>
  <c r="Q104" i="33"/>
  <c r="Q15" i="33" s="1"/>
  <c r="W104" i="33"/>
  <c r="W15" i="33" s="1"/>
  <c r="AB104" i="33"/>
  <c r="AB15" i="33" s="1"/>
  <c r="AG104" i="33"/>
  <c r="AG15" i="33" s="1"/>
  <c r="AM104" i="33"/>
  <c r="D105" i="33"/>
  <c r="I105" i="33"/>
  <c r="I16" i="33" s="1"/>
  <c r="O105" i="33"/>
  <c r="O16" i="33" s="1"/>
  <c r="T105" i="33"/>
  <c r="X105" i="33"/>
  <c r="X16" i="33" s="1"/>
  <c r="AB105" i="33"/>
  <c r="AB16" i="33" s="1"/>
  <c r="AF105" i="33"/>
  <c r="AJ105" i="33"/>
  <c r="AN105" i="33"/>
  <c r="AN16" i="33" s="1"/>
  <c r="D106" i="33"/>
  <c r="D17" i="33" s="1"/>
  <c r="H106" i="33"/>
  <c r="L106" i="33"/>
  <c r="L17" i="33" s="1"/>
  <c r="P106" i="33"/>
  <c r="T106" i="33"/>
  <c r="T17" i="33" s="1"/>
  <c r="X106" i="33"/>
  <c r="X17" i="33" s="1"/>
  <c r="AB106" i="33"/>
  <c r="AB17" i="33" s="1"/>
  <c r="AF106" i="33"/>
  <c r="AJ106" i="33"/>
  <c r="AJ17" i="33" s="1"/>
  <c r="AN106" i="33"/>
  <c r="D107" i="33"/>
  <c r="D18" i="33" s="1"/>
  <c r="H107" i="33"/>
  <c r="H18" i="33" s="1"/>
  <c r="L107" i="33"/>
  <c r="P107" i="33"/>
  <c r="P18" i="33" s="1"/>
  <c r="T107" i="33"/>
  <c r="X107" i="33"/>
  <c r="X18" i="33" s="1"/>
  <c r="AB107" i="33"/>
  <c r="AB18" i="33" s="1"/>
  <c r="D97" i="33"/>
  <c r="G97" i="33"/>
  <c r="C97" i="33"/>
  <c r="R105" i="33"/>
  <c r="R16" i="33" s="1"/>
  <c r="N105" i="33"/>
  <c r="J105" i="33"/>
  <c r="F105" i="33"/>
  <c r="B105" i="33"/>
  <c r="B16" i="33" s="1"/>
  <c r="AL104" i="33"/>
  <c r="AH104" i="33"/>
  <c r="AD104" i="33"/>
  <c r="Z104" i="33"/>
  <c r="Z15" i="33" s="1"/>
  <c r="V104" i="33"/>
  <c r="R104" i="33"/>
  <c r="N104" i="33"/>
  <c r="J104" i="33"/>
  <c r="J15" i="33" s="1"/>
  <c r="F104" i="33"/>
  <c r="B104" i="33"/>
  <c r="AL103" i="33"/>
  <c r="AH103" i="33"/>
  <c r="AH14" i="33" s="1"/>
  <c r="AD103" i="33"/>
  <c r="Z103" i="33"/>
  <c r="V103" i="33"/>
  <c r="R103" i="33"/>
  <c r="R14" i="33" s="1"/>
  <c r="N103" i="33"/>
  <c r="J103" i="33"/>
  <c r="F103" i="33"/>
  <c r="B103" i="33"/>
  <c r="B14" i="33" s="1"/>
  <c r="AL102" i="33"/>
  <c r="AH102" i="33"/>
  <c r="AD102" i="33"/>
  <c r="Z102" i="33"/>
  <c r="Z13" i="33" s="1"/>
  <c r="V102" i="33"/>
  <c r="R102" i="33"/>
  <c r="N102" i="33"/>
  <c r="J102" i="33"/>
  <c r="J13" i="33" s="1"/>
  <c r="F102" i="33"/>
  <c r="B102" i="33"/>
  <c r="AL101" i="33"/>
  <c r="AH101" i="33"/>
  <c r="AH12" i="33" s="1"/>
  <c r="AD101" i="33"/>
  <c r="Z101" i="33"/>
  <c r="V101" i="33"/>
  <c r="R101" i="33"/>
  <c r="R12" i="33" s="1"/>
  <c r="N101" i="33"/>
  <c r="J101" i="33"/>
  <c r="F101" i="33"/>
  <c r="B101" i="33"/>
  <c r="B12" i="33" s="1"/>
  <c r="AL100" i="33"/>
  <c r="AH100" i="33"/>
  <c r="AD100" i="33"/>
  <c r="Z100" i="33"/>
  <c r="Z11" i="33" s="1"/>
  <c r="V100" i="33"/>
  <c r="R100" i="33"/>
  <c r="N100" i="33"/>
  <c r="J100" i="33"/>
  <c r="J11" i="33" s="1"/>
  <c r="F100" i="33"/>
  <c r="B100" i="33"/>
  <c r="AL99" i="33"/>
  <c r="AH99" i="33"/>
  <c r="AH10" i="33" s="1"/>
  <c r="AD99" i="33"/>
  <c r="Z99" i="33"/>
  <c r="V99" i="33"/>
  <c r="R99" i="33"/>
  <c r="R10" i="33" s="1"/>
  <c r="N99" i="33"/>
  <c r="J99" i="33"/>
  <c r="F99" i="33"/>
  <c r="B99" i="33"/>
  <c r="B10" i="33" s="1"/>
  <c r="AL98" i="33"/>
  <c r="AH98" i="33"/>
  <c r="AD98" i="33"/>
  <c r="Z98" i="33"/>
  <c r="Z9" i="33" s="1"/>
  <c r="V98" i="33"/>
  <c r="R98" i="33"/>
  <c r="N98" i="33"/>
  <c r="J98" i="33"/>
  <c r="J9" i="33" s="1"/>
  <c r="F98" i="33"/>
  <c r="B98" i="33"/>
  <c r="AL97" i="33"/>
  <c r="AH97" i="33"/>
  <c r="AH8" i="33" s="1"/>
  <c r="AD97" i="33"/>
  <c r="Z97" i="33"/>
  <c r="V97" i="33"/>
  <c r="R97" i="33"/>
  <c r="R8" i="33" s="1"/>
  <c r="N97" i="33"/>
  <c r="J97" i="33"/>
  <c r="F97" i="33"/>
  <c r="C3" i="31"/>
  <c r="G3" i="31"/>
  <c r="K3" i="31"/>
  <c r="O3" i="31"/>
  <c r="S3" i="31"/>
  <c r="W3" i="31"/>
  <c r="AA3" i="31"/>
  <c r="AE3" i="31"/>
  <c r="AI3" i="31"/>
  <c r="AM3" i="31"/>
  <c r="C4" i="31"/>
  <c r="G4" i="31"/>
  <c r="K4" i="31"/>
  <c r="O4" i="31"/>
  <c r="S4" i="31"/>
  <c r="W4" i="31"/>
  <c r="AA4" i="31"/>
  <c r="AE4" i="31"/>
  <c r="AI4" i="31"/>
  <c r="AM4" i="31"/>
  <c r="C5" i="31"/>
  <c r="G5" i="31"/>
  <c r="K5" i="31"/>
  <c r="O5" i="31"/>
  <c r="S5" i="31"/>
  <c r="W5" i="31"/>
  <c r="AA5" i="31"/>
  <c r="AE5" i="31"/>
  <c r="AI5" i="31"/>
  <c r="AM5" i="31"/>
  <c r="C6" i="31"/>
  <c r="G6" i="31"/>
  <c r="K6" i="31"/>
  <c r="O6" i="31"/>
  <c r="S6" i="31"/>
  <c r="W6" i="31"/>
  <c r="AA6" i="31"/>
  <c r="AE6" i="31"/>
  <c r="AI6" i="31"/>
  <c r="AM6" i="31"/>
  <c r="C7" i="31"/>
  <c r="G7" i="31"/>
  <c r="K7" i="31"/>
  <c r="O7" i="31"/>
  <c r="S7" i="31"/>
  <c r="W7" i="31"/>
  <c r="AA7" i="31"/>
  <c r="AE7" i="31"/>
  <c r="AI7" i="31"/>
  <c r="AM7" i="31"/>
  <c r="C8" i="31"/>
  <c r="G8" i="31"/>
  <c r="K8" i="31"/>
  <c r="O8" i="31"/>
  <c r="S8" i="31"/>
  <c r="W8" i="31"/>
  <c r="AA8" i="31"/>
  <c r="AE8" i="31"/>
  <c r="AI8" i="31"/>
  <c r="AM8" i="31"/>
  <c r="C9" i="31"/>
  <c r="G9" i="31"/>
  <c r="K9" i="31"/>
  <c r="O9" i="31"/>
  <c r="S9" i="31"/>
  <c r="W9" i="31"/>
  <c r="AA9" i="31"/>
  <c r="AE9" i="31"/>
  <c r="AI9" i="31"/>
  <c r="AM9" i="31"/>
  <c r="C10" i="31"/>
  <c r="G10" i="31"/>
  <c r="K10" i="31"/>
  <c r="O10" i="31"/>
  <c r="S10" i="31"/>
  <c r="W10" i="31"/>
  <c r="AA10" i="31"/>
  <c r="AE10" i="31"/>
  <c r="AI10" i="31"/>
  <c r="AM10" i="31"/>
  <c r="C11" i="31"/>
  <c r="G11" i="31"/>
  <c r="K11" i="31"/>
  <c r="O11" i="31"/>
  <c r="S11" i="31"/>
  <c r="B3" i="31"/>
  <c r="H3" i="31"/>
  <c r="M3" i="31"/>
  <c r="R3" i="31"/>
  <c r="X3" i="31"/>
  <c r="AC3" i="31"/>
  <c r="AH3" i="31"/>
  <c r="AN3" i="31"/>
  <c r="E4" i="31"/>
  <c r="J4" i="31"/>
  <c r="P4" i="31"/>
  <c r="U4" i="31"/>
  <c r="Z4" i="31"/>
  <c r="AF4" i="31"/>
  <c r="AK4" i="31"/>
  <c r="B5" i="31"/>
  <c r="H5" i="31"/>
  <c r="M5" i="31"/>
  <c r="R5" i="31"/>
  <c r="X5" i="31"/>
  <c r="AC5" i="31"/>
  <c r="AH5" i="31"/>
  <c r="AN5" i="31"/>
  <c r="E6" i="31"/>
  <c r="J6" i="31"/>
  <c r="P6" i="31"/>
  <c r="U6" i="31"/>
  <c r="Z6" i="31"/>
  <c r="AF6" i="31"/>
  <c r="AK6" i="31"/>
  <c r="B7" i="31"/>
  <c r="H7" i="31"/>
  <c r="M7" i="31"/>
  <c r="R7" i="31"/>
  <c r="X7" i="31"/>
  <c r="AC7" i="31"/>
  <c r="AH7" i="31"/>
  <c r="AN7" i="31"/>
  <c r="E8" i="31"/>
  <c r="J8" i="31"/>
  <c r="P8" i="31"/>
  <c r="U8" i="31"/>
  <c r="Z8" i="31"/>
  <c r="AF8" i="31"/>
  <c r="AK8" i="31"/>
  <c r="B9" i="31"/>
  <c r="H9" i="31"/>
  <c r="M9" i="31"/>
  <c r="R9" i="31"/>
  <c r="X9" i="31"/>
  <c r="AC9" i="31"/>
  <c r="AH9" i="31"/>
  <c r="AN9" i="31"/>
  <c r="E10" i="31"/>
  <c r="J10" i="31"/>
  <c r="P10" i="31"/>
  <c r="U10" i="31"/>
  <c r="Z10" i="31"/>
  <c r="AF10" i="31"/>
  <c r="AK10" i="31"/>
  <c r="B11" i="31"/>
  <c r="H11" i="31"/>
  <c r="M11" i="31"/>
  <c r="R11" i="31"/>
  <c r="W11" i="31"/>
  <c r="AA11" i="31"/>
  <c r="AE11" i="31"/>
  <c r="AI11" i="31"/>
  <c r="AM11" i="31"/>
  <c r="C12" i="31"/>
  <c r="G12" i="31"/>
  <c r="K12" i="31"/>
  <c r="O12" i="31"/>
  <c r="S12" i="31"/>
  <c r="W12" i="31"/>
  <c r="AA12" i="31"/>
  <c r="AE12" i="31"/>
  <c r="AI12" i="31"/>
  <c r="AM12" i="31"/>
  <c r="C13" i="31"/>
  <c r="G13" i="31"/>
  <c r="K13" i="31"/>
  <c r="O13" i="31"/>
  <c r="S13" i="31"/>
  <c r="W13" i="31"/>
  <c r="D3" i="31"/>
  <c r="I3" i="31"/>
  <c r="N3" i="31"/>
  <c r="E3" i="31"/>
  <c r="J3" i="31"/>
  <c r="P3" i="31"/>
  <c r="U3" i="31"/>
  <c r="Z3" i="31"/>
  <c r="AF3" i="31"/>
  <c r="AK3" i="31"/>
  <c r="B4" i="31"/>
  <c r="H4" i="31"/>
  <c r="M4" i="31"/>
  <c r="R4" i="31"/>
  <c r="X4" i="31"/>
  <c r="AC4" i="31"/>
  <c r="AH4" i="31"/>
  <c r="AN4" i="31"/>
  <c r="E5" i="31"/>
  <c r="J5" i="31"/>
  <c r="P5" i="31"/>
  <c r="U5" i="31"/>
  <c r="Z5" i="31"/>
  <c r="AF5" i="31"/>
  <c r="AK5" i="31"/>
  <c r="B6" i="31"/>
  <c r="H6" i="31"/>
  <c r="M6" i="31"/>
  <c r="R6" i="31"/>
  <c r="X6" i="31"/>
  <c r="AC6" i="31"/>
  <c r="AH6" i="31"/>
  <c r="AN6" i="31"/>
  <c r="E7" i="31"/>
  <c r="J7" i="31"/>
  <c r="P7" i="31"/>
  <c r="U7" i="31"/>
  <c r="Z7" i="31"/>
  <c r="AF7" i="31"/>
  <c r="AK7" i="31"/>
  <c r="B8" i="31"/>
  <c r="H8" i="31"/>
  <c r="M8" i="31"/>
  <c r="R8" i="31"/>
  <c r="F3" i="31"/>
  <c r="L3" i="31"/>
  <c r="Q3" i="31"/>
  <c r="V3" i="31"/>
  <c r="AB3" i="31"/>
  <c r="AG3" i="31"/>
  <c r="AL3" i="31"/>
  <c r="D4" i="31"/>
  <c r="I4" i="31"/>
  <c r="N4" i="31"/>
  <c r="T4" i="31"/>
  <c r="Y4" i="31"/>
  <c r="AD4" i="31"/>
  <c r="AJ4" i="31"/>
  <c r="AO4" i="31"/>
  <c r="F5" i="31"/>
  <c r="L5" i="31"/>
  <c r="Q5" i="31"/>
  <c r="V5" i="31"/>
  <c r="T3" i="31"/>
  <c r="AO3" i="31"/>
  <c r="V4" i="31"/>
  <c r="D5" i="31"/>
  <c r="Y5" i="31"/>
  <c r="AJ5" i="31"/>
  <c r="F6" i="31"/>
  <c r="Q6" i="31"/>
  <c r="AB6" i="31"/>
  <c r="AL6" i="31"/>
  <c r="I7" i="31"/>
  <c r="T7" i="31"/>
  <c r="AD7" i="31"/>
  <c r="AO7" i="31"/>
  <c r="L8" i="31"/>
  <c r="V8" i="31"/>
  <c r="AC8" i="31"/>
  <c r="AJ8" i="31"/>
  <c r="D9" i="31"/>
  <c r="J9" i="31"/>
  <c r="Q9" i="31"/>
  <c r="Y9" i="31"/>
  <c r="AF9" i="31"/>
  <c r="AL9" i="31"/>
  <c r="F10" i="31"/>
  <c r="M10" i="31"/>
  <c r="T10" i="31"/>
  <c r="AB10" i="31"/>
  <c r="AH10" i="31"/>
  <c r="AO10" i="31"/>
  <c r="I11" i="31"/>
  <c r="P11" i="31"/>
  <c r="V11" i="31"/>
  <c r="AB11" i="31"/>
  <c r="AG11" i="31"/>
  <c r="AL11" i="31"/>
  <c r="D12" i="31"/>
  <c r="I12" i="31"/>
  <c r="N12" i="31"/>
  <c r="T12" i="31"/>
  <c r="Y12" i="31"/>
  <c r="AD12" i="31"/>
  <c r="AJ12" i="31"/>
  <c r="AO12" i="31"/>
  <c r="F13" i="31"/>
  <c r="L13" i="31"/>
  <c r="Q13" i="31"/>
  <c r="V13" i="31"/>
  <c r="AA13" i="31"/>
  <c r="AE13" i="31"/>
  <c r="AI13" i="31"/>
  <c r="AM13" i="31"/>
  <c r="C14" i="31"/>
  <c r="G14" i="31"/>
  <c r="K14" i="31"/>
  <c r="O14" i="31"/>
  <c r="S14" i="31"/>
  <c r="W14" i="31"/>
  <c r="AA14" i="31"/>
  <c r="AE14" i="31"/>
  <c r="AI14" i="31"/>
  <c r="AM14" i="31"/>
  <c r="C15" i="31"/>
  <c r="G15" i="31"/>
  <c r="K15" i="31"/>
  <c r="O15" i="31"/>
  <c r="S15" i="31"/>
  <c r="W15" i="31"/>
  <c r="AA15" i="31"/>
  <c r="AE15" i="31"/>
  <c r="AI15" i="31"/>
  <c r="AM15" i="31"/>
  <c r="C16" i="31"/>
  <c r="G16" i="31"/>
  <c r="K16" i="31"/>
  <c r="O16" i="31"/>
  <c r="S16" i="31"/>
  <c r="W16" i="31"/>
  <c r="AA16" i="31"/>
  <c r="AE16" i="31"/>
  <c r="AI16" i="31"/>
  <c r="AM16" i="31"/>
  <c r="C17" i="31"/>
  <c r="G17" i="31"/>
  <c r="K17" i="31"/>
  <c r="O17" i="31"/>
  <c r="S17" i="31"/>
  <c r="W17" i="31"/>
  <c r="AA17" i="31"/>
  <c r="AE17" i="31"/>
  <c r="AI17" i="31"/>
  <c r="AM17" i="31"/>
  <c r="C18" i="31"/>
  <c r="G18" i="31"/>
  <c r="K18" i="31"/>
  <c r="O18" i="31"/>
  <c r="S18" i="31"/>
  <c r="W18" i="31"/>
  <c r="AA18" i="31"/>
  <c r="AE18" i="31"/>
  <c r="AI18" i="31"/>
  <c r="AM18" i="31"/>
  <c r="C19" i="31"/>
  <c r="G19" i="31"/>
  <c r="Y3" i="31"/>
  <c r="F4" i="31"/>
  <c r="AB4" i="31"/>
  <c r="I5" i="31"/>
  <c r="AB5" i="31"/>
  <c r="AL5" i="31"/>
  <c r="I6" i="31"/>
  <c r="T6" i="31"/>
  <c r="AD6" i="31"/>
  <c r="AO6" i="31"/>
  <c r="L7" i="31"/>
  <c r="V7" i="31"/>
  <c r="AG7" i="31"/>
  <c r="D8" i="31"/>
  <c r="N8" i="31"/>
  <c r="X8" i="31"/>
  <c r="AD8" i="31"/>
  <c r="AL8" i="31"/>
  <c r="E9" i="31"/>
  <c r="L9" i="31"/>
  <c r="T9" i="31"/>
  <c r="Z9" i="31"/>
  <c r="AG9" i="31"/>
  <c r="AO9" i="31"/>
  <c r="H10" i="31"/>
  <c r="N10" i="31"/>
  <c r="V10" i="31"/>
  <c r="AC10" i="31"/>
  <c r="AJ10" i="31"/>
  <c r="D11" i="31"/>
  <c r="J11" i="31"/>
  <c r="Q11" i="31"/>
  <c r="X11" i="31"/>
  <c r="AC11" i="31"/>
  <c r="AH11" i="31"/>
  <c r="AN11" i="31"/>
  <c r="E12" i="31"/>
  <c r="J12" i="31"/>
  <c r="P12" i="31"/>
  <c r="U12" i="31"/>
  <c r="Z12" i="31"/>
  <c r="AF12" i="31"/>
  <c r="AK12" i="31"/>
  <c r="B13" i="31"/>
  <c r="H13" i="31"/>
  <c r="M13" i="31"/>
  <c r="R13" i="31"/>
  <c r="X13" i="31"/>
  <c r="AB13" i="31"/>
  <c r="AF13" i="31"/>
  <c r="AJ13" i="31"/>
  <c r="AN13" i="31"/>
  <c r="D14" i="31"/>
  <c r="H14" i="31"/>
  <c r="L14" i="31"/>
  <c r="P14" i="31"/>
  <c r="T14" i="31"/>
  <c r="X14" i="31"/>
  <c r="AB14" i="31"/>
  <c r="AF14" i="31"/>
  <c r="AJ14" i="31"/>
  <c r="AN14" i="31"/>
  <c r="D15" i="31"/>
  <c r="H15" i="31"/>
  <c r="L15" i="31"/>
  <c r="P15" i="31"/>
  <c r="T15" i="31"/>
  <c r="X15" i="31"/>
  <c r="AB15" i="31"/>
  <c r="AF15" i="31"/>
  <c r="AJ15" i="31"/>
  <c r="AN15" i="31"/>
  <c r="D16" i="31"/>
  <c r="H16" i="31"/>
  <c r="L16" i="31"/>
  <c r="P16" i="31"/>
  <c r="T16" i="31"/>
  <c r="X16" i="31"/>
  <c r="AB16" i="31"/>
  <c r="AF16" i="31"/>
  <c r="AJ16" i="31"/>
  <c r="AN16" i="31"/>
  <c r="D17" i="31"/>
  <c r="H17" i="31"/>
  <c r="L17" i="31"/>
  <c r="AD3" i="31"/>
  <c r="L4" i="31"/>
  <c r="AG4" i="31"/>
  <c r="N5" i="31"/>
  <c r="AD5" i="31"/>
  <c r="AO5" i="31"/>
  <c r="L6" i="31"/>
  <c r="V6" i="31"/>
  <c r="AG6" i="31"/>
  <c r="D7" i="31"/>
  <c r="N7" i="31"/>
  <c r="AJ3" i="31"/>
  <c r="Q4" i="31"/>
  <c r="D6" i="31"/>
  <c r="F7" i="31"/>
  <c r="AJ7" i="31"/>
  <c r="Q8" i="31"/>
  <c r="AG8" i="31"/>
  <c r="F9" i="31"/>
  <c r="U9" i="31"/>
  <c r="AJ9" i="31"/>
  <c r="I10" i="31"/>
  <c r="X10" i="31"/>
  <c r="AL10" i="31"/>
  <c r="L11" i="31"/>
  <c r="Y11" i="31"/>
  <c r="AJ11" i="31"/>
  <c r="F12" i="31"/>
  <c r="Q12" i="31"/>
  <c r="AB12" i="31"/>
  <c r="AL12" i="31"/>
  <c r="I13" i="31"/>
  <c r="T13" i="31"/>
  <c r="AC13" i="31"/>
  <c r="AK13" i="31"/>
  <c r="E14" i="31"/>
  <c r="M14" i="31"/>
  <c r="U14" i="31"/>
  <c r="AC14" i="31"/>
  <c r="AK14" i="31"/>
  <c r="E15" i="31"/>
  <c r="M15" i="31"/>
  <c r="U15" i="31"/>
  <c r="AC15" i="31"/>
  <c r="AK15" i="31"/>
  <c r="E16" i="31"/>
  <c r="M16" i="31"/>
  <c r="U16" i="31"/>
  <c r="AC16" i="31"/>
  <c r="AK16" i="31"/>
  <c r="E17" i="31"/>
  <c r="M17" i="31"/>
  <c r="R17" i="31"/>
  <c r="X17" i="31"/>
  <c r="AC17" i="31"/>
  <c r="AH17" i="31"/>
  <c r="AN17" i="31"/>
  <c r="E18" i="31"/>
  <c r="J18" i="31"/>
  <c r="P18" i="31"/>
  <c r="U18" i="31"/>
  <c r="Z18" i="31"/>
  <c r="AF18" i="31"/>
  <c r="AK18" i="31"/>
  <c r="B19" i="31"/>
  <c r="H19" i="31"/>
  <c r="L19" i="31"/>
  <c r="P19" i="31"/>
  <c r="T19" i="31"/>
  <c r="X19" i="31"/>
  <c r="AB19" i="31"/>
  <c r="AF19" i="31"/>
  <c r="AJ19" i="31"/>
  <c r="AN19" i="31"/>
  <c r="D20" i="31"/>
  <c r="H20" i="31"/>
  <c r="L20" i="31"/>
  <c r="P20" i="31"/>
  <c r="T20" i="31"/>
  <c r="X20" i="31"/>
  <c r="AB20" i="31"/>
  <c r="AF20" i="31"/>
  <c r="AJ20" i="31"/>
  <c r="AN20" i="31"/>
  <c r="D21" i="31"/>
  <c r="H21" i="31"/>
  <c r="L21" i="31"/>
  <c r="P21" i="31"/>
  <c r="T21" i="31"/>
  <c r="X21" i="31"/>
  <c r="AB21" i="31"/>
  <c r="AF21" i="31"/>
  <c r="AJ21" i="31"/>
  <c r="AN21" i="31"/>
  <c r="D22" i="31"/>
  <c r="H22" i="31"/>
  <c r="L22" i="31"/>
  <c r="P22" i="31"/>
  <c r="T22" i="31"/>
  <c r="X22" i="31"/>
  <c r="AB22" i="31"/>
  <c r="AF22" i="31"/>
  <c r="AJ22" i="31"/>
  <c r="AN22" i="31"/>
  <c r="D23" i="31"/>
  <c r="H23" i="31"/>
  <c r="L23" i="31"/>
  <c r="P23" i="31"/>
  <c r="T23" i="31"/>
  <c r="X23" i="31"/>
  <c r="AB23" i="31"/>
  <c r="AF23" i="31"/>
  <c r="AJ23" i="31"/>
  <c r="AN23" i="31"/>
  <c r="D24" i="31"/>
  <c r="H24" i="31"/>
  <c r="L24" i="31"/>
  <c r="P24" i="31"/>
  <c r="T24" i="31"/>
  <c r="X24" i="31"/>
  <c r="AB24" i="31"/>
  <c r="AF24" i="31"/>
  <c r="AJ24" i="31"/>
  <c r="AN24" i="31"/>
  <c r="D25" i="31"/>
  <c r="H25" i="31"/>
  <c r="L25" i="31"/>
  <c r="P25" i="31"/>
  <c r="T25" i="31"/>
  <c r="X25" i="31"/>
  <c r="AB25" i="31"/>
  <c r="AF25" i="31"/>
  <c r="AJ25" i="31"/>
  <c r="AN25" i="31"/>
  <c r="D26" i="31"/>
  <c r="H26" i="31"/>
  <c r="L26" i="31"/>
  <c r="P26" i="31"/>
  <c r="T26" i="31"/>
  <c r="X26" i="31"/>
  <c r="AB26" i="31"/>
  <c r="AF26" i="31"/>
  <c r="AJ26" i="31"/>
  <c r="AN26" i="31"/>
  <c r="D27" i="31"/>
  <c r="H27" i="31"/>
  <c r="L27" i="31"/>
  <c r="P27" i="31"/>
  <c r="T27" i="31"/>
  <c r="X27" i="31"/>
  <c r="AB27" i="31"/>
  <c r="AF27" i="31"/>
  <c r="AJ27" i="31"/>
  <c r="AL4" i="31"/>
  <c r="N6" i="31"/>
  <c r="Q7" i="31"/>
  <c r="AL7" i="31"/>
  <c r="T8" i="31"/>
  <c r="AH8" i="31"/>
  <c r="I9" i="31"/>
  <c r="V9" i="31"/>
  <c r="AK9" i="31"/>
  <c r="L10" i="31"/>
  <c r="Y10" i="31"/>
  <c r="AN10" i="31"/>
  <c r="N11" i="31"/>
  <c r="Z11" i="31"/>
  <c r="AK11" i="31"/>
  <c r="H12" i="31"/>
  <c r="R12" i="31"/>
  <c r="AC12" i="31"/>
  <c r="AN12" i="31"/>
  <c r="J13" i="31"/>
  <c r="U13" i="31"/>
  <c r="AD13" i="31"/>
  <c r="AL13" i="31"/>
  <c r="F14" i="31"/>
  <c r="N14" i="31"/>
  <c r="V14" i="31"/>
  <c r="AD14" i="31"/>
  <c r="AL14" i="31"/>
  <c r="F15" i="31"/>
  <c r="N15" i="31"/>
  <c r="V15" i="31"/>
  <c r="AD15" i="31"/>
  <c r="AL15" i="31"/>
  <c r="F16" i="31"/>
  <c r="N16" i="31"/>
  <c r="V16" i="31"/>
  <c r="AD16" i="31"/>
  <c r="AL16" i="31"/>
  <c r="F17" i="31"/>
  <c r="N17" i="31"/>
  <c r="T17" i="31"/>
  <c r="Y17" i="31"/>
  <c r="AD17" i="31"/>
  <c r="AJ17" i="31"/>
  <c r="AO17" i="31"/>
  <c r="F18" i="31"/>
  <c r="L18" i="31"/>
  <c r="Q18" i="31"/>
  <c r="V18" i="31"/>
  <c r="AB18" i="31"/>
  <c r="AG18" i="31"/>
  <c r="AL18" i="31"/>
  <c r="D19" i="31"/>
  <c r="I19" i="31"/>
  <c r="M19" i="31"/>
  <c r="Q19" i="31"/>
  <c r="U19" i="31"/>
  <c r="Y19" i="31"/>
  <c r="AC19" i="31"/>
  <c r="AG19" i="31"/>
  <c r="AK19" i="31"/>
  <c r="AO19" i="31"/>
  <c r="E20" i="31"/>
  <c r="I20" i="31"/>
  <c r="M20" i="31"/>
  <c r="Q20" i="31"/>
  <c r="U20" i="31"/>
  <c r="Y20" i="31"/>
  <c r="AC20" i="31"/>
  <c r="AG20" i="31"/>
  <c r="AK20" i="31"/>
  <c r="AO20" i="31"/>
  <c r="E21" i="31"/>
  <c r="I21" i="31"/>
  <c r="M21" i="31"/>
  <c r="Q21" i="31"/>
  <c r="U21" i="31"/>
  <c r="Y21" i="31"/>
  <c r="AC21" i="31"/>
  <c r="AG21" i="31"/>
  <c r="AK21" i="31"/>
  <c r="AO21" i="31"/>
  <c r="E22" i="31"/>
  <c r="I22" i="31"/>
  <c r="M22" i="31"/>
  <c r="Q22" i="31"/>
  <c r="U22" i="31"/>
  <c r="Y22" i="31"/>
  <c r="AC22" i="31"/>
  <c r="AG22" i="31"/>
  <c r="AK22" i="31"/>
  <c r="AO22" i="31"/>
  <c r="E23" i="31"/>
  <c r="I23" i="31"/>
  <c r="M23" i="31"/>
  <c r="Q23" i="31"/>
  <c r="U23" i="31"/>
  <c r="Y23" i="31"/>
  <c r="AC23" i="31"/>
  <c r="AG23" i="31"/>
  <c r="AK23" i="31"/>
  <c r="AO23" i="31"/>
  <c r="E24" i="31"/>
  <c r="T5" i="31"/>
  <c r="Y6" i="31"/>
  <c r="Y7" i="31"/>
  <c r="F8" i="31"/>
  <c r="Y8" i="31"/>
  <c r="AN8" i="31"/>
  <c r="N9" i="31"/>
  <c r="AB9" i="31"/>
  <c r="B10" i="31"/>
  <c r="Q10" i="31"/>
  <c r="AD10" i="31"/>
  <c r="E11" i="31"/>
  <c r="T11" i="31"/>
  <c r="AD11" i="31"/>
  <c r="AO11" i="31"/>
  <c r="L12" i="31"/>
  <c r="V12" i="31"/>
  <c r="AG12" i="31"/>
  <c r="D13" i="31"/>
  <c r="N13" i="31"/>
  <c r="Y13" i="31"/>
  <c r="AG13" i="31"/>
  <c r="AO13" i="31"/>
  <c r="I14" i="31"/>
  <c r="Q14" i="31"/>
  <c r="Y14" i="31"/>
  <c r="AG14" i="31"/>
  <c r="AO14" i="31"/>
  <c r="I15" i="31"/>
  <c r="Q15" i="31"/>
  <c r="Y15" i="31"/>
  <c r="AG15" i="31"/>
  <c r="AO15" i="31"/>
  <c r="I16" i="31"/>
  <c r="Q16" i="31"/>
  <c r="Y16" i="31"/>
  <c r="AG16" i="31"/>
  <c r="AO16" i="31"/>
  <c r="I17" i="31"/>
  <c r="P17" i="31"/>
  <c r="U17" i="31"/>
  <c r="Z17" i="31"/>
  <c r="AF17" i="31"/>
  <c r="AK17" i="31"/>
  <c r="B18" i="31"/>
  <c r="H18" i="31"/>
  <c r="M18" i="31"/>
  <c r="R18" i="31"/>
  <c r="X18" i="31"/>
  <c r="AG5" i="31"/>
  <c r="AJ6" i="31"/>
  <c r="AB7" i="31"/>
  <c r="I8" i="31"/>
  <c r="AB8" i="31"/>
  <c r="AO8" i="31"/>
  <c r="P9" i="31"/>
  <c r="AD9" i="31"/>
  <c r="D10" i="31"/>
  <c r="R10" i="31"/>
  <c r="AG10" i="31"/>
  <c r="F11" i="31"/>
  <c r="U11" i="31"/>
  <c r="AF11" i="31"/>
  <c r="B12" i="31"/>
  <c r="M12" i="31"/>
  <c r="X12" i="31"/>
  <c r="AH12" i="31"/>
  <c r="E13" i="31"/>
  <c r="P13" i="31"/>
  <c r="Z13" i="31"/>
  <c r="AH13" i="31"/>
  <c r="B14" i="31"/>
  <c r="J14" i="31"/>
  <c r="R14" i="31"/>
  <c r="Z14" i="31"/>
  <c r="AH14" i="31"/>
  <c r="B15" i="31"/>
  <c r="J15" i="31"/>
  <c r="R15" i="31"/>
  <c r="Z15" i="31"/>
  <c r="AH15" i="31"/>
  <c r="B16" i="31"/>
  <c r="J16" i="31"/>
  <c r="R16" i="31"/>
  <c r="Z16" i="31"/>
  <c r="AH16" i="31"/>
  <c r="B17" i="31"/>
  <c r="J17" i="31"/>
  <c r="Q17" i="31"/>
  <c r="V17" i="31"/>
  <c r="AB17" i="31"/>
  <c r="AG17" i="31"/>
  <c r="AL17" i="31"/>
  <c r="D18" i="31"/>
  <c r="I18" i="31"/>
  <c r="N18" i="31"/>
  <c r="T18" i="31"/>
  <c r="Y18" i="31"/>
  <c r="AD18" i="31"/>
  <c r="AJ18" i="31"/>
  <c r="AO18" i="31"/>
  <c r="F19" i="31"/>
  <c r="K19" i="31"/>
  <c r="O19" i="31"/>
  <c r="S19" i="31"/>
  <c r="W19" i="31"/>
  <c r="AA19" i="31"/>
  <c r="AE19" i="31"/>
  <c r="AI19" i="31"/>
  <c r="AM19" i="31"/>
  <c r="C20" i="31"/>
  <c r="G20" i="31"/>
  <c r="K20" i="31"/>
  <c r="O20" i="31"/>
  <c r="S20" i="31"/>
  <c r="W20" i="31"/>
  <c r="AA20" i="31"/>
  <c r="AE20" i="31"/>
  <c r="AI20" i="31"/>
  <c r="AM20" i="31"/>
  <c r="C21" i="31"/>
  <c r="G21" i="31"/>
  <c r="K21" i="31"/>
  <c r="O21" i="31"/>
  <c r="S21" i="31"/>
  <c r="W21" i="31"/>
  <c r="AA21" i="31"/>
  <c r="AE21" i="31"/>
  <c r="AI21" i="31"/>
  <c r="AM21" i="31"/>
  <c r="C22" i="31"/>
  <c r="G22" i="31"/>
  <c r="K22" i="31"/>
  <c r="O22" i="31"/>
  <c r="AC18" i="31"/>
  <c r="J19" i="31"/>
  <c r="Z19" i="31"/>
  <c r="B20" i="31"/>
  <c r="R20" i="31"/>
  <c r="AH20" i="31"/>
  <c r="J21" i="31"/>
  <c r="Z21" i="31"/>
  <c r="B22" i="31"/>
  <c r="R22" i="31"/>
  <c r="Z22" i="31"/>
  <c r="AH22" i="31"/>
  <c r="B23" i="31"/>
  <c r="J23" i="31"/>
  <c r="R23" i="31"/>
  <c r="Z23" i="31"/>
  <c r="AH23" i="31"/>
  <c r="B24" i="31"/>
  <c r="I24" i="31"/>
  <c r="N24" i="31"/>
  <c r="S24" i="31"/>
  <c r="Y24" i="31"/>
  <c r="AD24" i="31"/>
  <c r="AI24" i="31"/>
  <c r="AO24" i="31"/>
  <c r="F25" i="31"/>
  <c r="K25" i="31"/>
  <c r="Q25" i="31"/>
  <c r="V25" i="31"/>
  <c r="AA25" i="31"/>
  <c r="AG25" i="31"/>
  <c r="AL25" i="31"/>
  <c r="C26" i="31"/>
  <c r="I26" i="31"/>
  <c r="N26" i="31"/>
  <c r="S26" i="31"/>
  <c r="Y26" i="31"/>
  <c r="AD26" i="31"/>
  <c r="AI26" i="31"/>
  <c r="AO26" i="31"/>
  <c r="F27" i="31"/>
  <c r="K27" i="31"/>
  <c r="Q27" i="31"/>
  <c r="V27" i="31"/>
  <c r="AA27" i="31"/>
  <c r="AG27" i="31"/>
  <c r="AL27" i="31"/>
  <c r="B28" i="31"/>
  <c r="F28" i="31"/>
  <c r="J28" i="31"/>
  <c r="N28" i="31"/>
  <c r="R28" i="31"/>
  <c r="V28" i="31"/>
  <c r="Z28" i="31"/>
  <c r="AD28" i="31"/>
  <c r="AH28" i="31"/>
  <c r="AL28" i="31"/>
  <c r="B29" i="31"/>
  <c r="F29" i="31"/>
  <c r="J29" i="31"/>
  <c r="N29" i="31"/>
  <c r="R29" i="31"/>
  <c r="V29" i="31"/>
  <c r="Z29" i="31"/>
  <c r="AD29" i="31"/>
  <c r="AH29" i="31"/>
  <c r="AL29" i="31"/>
  <c r="B30" i="31"/>
  <c r="F30" i="31"/>
  <c r="J30" i="31"/>
  <c r="N30" i="31"/>
  <c r="R30" i="31"/>
  <c r="V30" i="31"/>
  <c r="Z30" i="31"/>
  <c r="AD30" i="31"/>
  <c r="AH30" i="31"/>
  <c r="AL30" i="31"/>
  <c r="B31" i="31"/>
  <c r="F31" i="31"/>
  <c r="J31" i="31"/>
  <c r="N31" i="31"/>
  <c r="R31" i="31"/>
  <c r="V31" i="31"/>
  <c r="Z31" i="31"/>
  <c r="AD31" i="31"/>
  <c r="AH31" i="31"/>
  <c r="AL31" i="31"/>
  <c r="B32" i="31"/>
  <c r="F32" i="31"/>
  <c r="J32" i="31"/>
  <c r="N32" i="31"/>
  <c r="R32" i="31"/>
  <c r="V32" i="31"/>
  <c r="Z32" i="31"/>
  <c r="AD32" i="31"/>
  <c r="AH32" i="31"/>
  <c r="AL32" i="31"/>
  <c r="B33" i="31"/>
  <c r="F33" i="31"/>
  <c r="J33" i="31"/>
  <c r="N33" i="31"/>
  <c r="R33" i="31"/>
  <c r="V33" i="31"/>
  <c r="Z33" i="31"/>
  <c r="AD33" i="31"/>
  <c r="AH33" i="31"/>
  <c r="AL33" i="31"/>
  <c r="B34" i="31"/>
  <c r="F34" i="31"/>
  <c r="J34" i="31"/>
  <c r="N34" i="31"/>
  <c r="R34" i="31"/>
  <c r="V34" i="31"/>
  <c r="Z34" i="31"/>
  <c r="AD34" i="31"/>
  <c r="AH34" i="31"/>
  <c r="AL34" i="31"/>
  <c r="B35" i="31"/>
  <c r="F35" i="31"/>
  <c r="J35" i="31"/>
  <c r="N35" i="31"/>
  <c r="R35" i="31"/>
  <c r="V35" i="31"/>
  <c r="Z35" i="31"/>
  <c r="AD35" i="31"/>
  <c r="AH35" i="31"/>
  <c r="AL35" i="31"/>
  <c r="B36" i="31"/>
  <c r="F36" i="31"/>
  <c r="J36" i="31"/>
  <c r="N36" i="31"/>
  <c r="R36" i="31"/>
  <c r="V36" i="31"/>
  <c r="Z36" i="31"/>
  <c r="AD36" i="31"/>
  <c r="AH36" i="31"/>
  <c r="AL36" i="31"/>
  <c r="B37" i="31"/>
  <c r="F37" i="31"/>
  <c r="J37" i="31"/>
  <c r="N37" i="31"/>
  <c r="R37" i="31"/>
  <c r="V37" i="31"/>
  <c r="Z37" i="31"/>
  <c r="AD37" i="31"/>
  <c r="AH37" i="31"/>
  <c r="AL37" i="31"/>
  <c r="B38" i="31"/>
  <c r="F38" i="31"/>
  <c r="J38" i="31"/>
  <c r="N38" i="31"/>
  <c r="R38" i="31"/>
  <c r="V38" i="31"/>
  <c r="Z38" i="31"/>
  <c r="AD38" i="31"/>
  <c r="AH38" i="31"/>
  <c r="AL38" i="31"/>
  <c r="B39" i="31"/>
  <c r="F39" i="31"/>
  <c r="J39" i="31"/>
  <c r="N39" i="31"/>
  <c r="R39" i="31"/>
  <c r="V39" i="31"/>
  <c r="Z39" i="31"/>
  <c r="AD39" i="31"/>
  <c r="AH39" i="31"/>
  <c r="AL39" i="31"/>
  <c r="B40" i="31"/>
  <c r="F40" i="31"/>
  <c r="J40" i="31"/>
  <c r="AH18" i="31"/>
  <c r="N19" i="31"/>
  <c r="AD19" i="31"/>
  <c r="F20" i="31"/>
  <c r="V20" i="31"/>
  <c r="AL20" i="31"/>
  <c r="N21" i="31"/>
  <c r="AD21" i="31"/>
  <c r="F22" i="31"/>
  <c r="S22" i="31"/>
  <c r="AA22" i="31"/>
  <c r="AI22" i="31"/>
  <c r="C23" i="31"/>
  <c r="K23" i="31"/>
  <c r="S23" i="31"/>
  <c r="AA23" i="31"/>
  <c r="AI23" i="31"/>
  <c r="C24" i="31"/>
  <c r="J24" i="31"/>
  <c r="O24" i="31"/>
  <c r="U24" i="31"/>
  <c r="Z24" i="31"/>
  <c r="AE24" i="31"/>
  <c r="AK24" i="31"/>
  <c r="B25" i="31"/>
  <c r="G25" i="31"/>
  <c r="M25" i="31"/>
  <c r="R25" i="31"/>
  <c r="W25" i="31"/>
  <c r="AC25" i="31"/>
  <c r="AH25" i="31"/>
  <c r="AM25" i="31"/>
  <c r="E26" i="31"/>
  <c r="J26" i="31"/>
  <c r="O26" i="31"/>
  <c r="U26" i="31"/>
  <c r="Z26" i="31"/>
  <c r="AE26" i="31"/>
  <c r="AK26" i="31"/>
  <c r="B27" i="31"/>
  <c r="G27" i="31"/>
  <c r="M27" i="31"/>
  <c r="R27" i="31"/>
  <c r="W27" i="31"/>
  <c r="AC27" i="31"/>
  <c r="AH27" i="31"/>
  <c r="AM27" i="31"/>
  <c r="C28" i="31"/>
  <c r="G28" i="31"/>
  <c r="K28" i="31"/>
  <c r="O28" i="31"/>
  <c r="S28" i="31"/>
  <c r="W28" i="31"/>
  <c r="AA28" i="31"/>
  <c r="AE28" i="31"/>
  <c r="AI28" i="31"/>
  <c r="AM28" i="31"/>
  <c r="C29" i="31"/>
  <c r="G29" i="31"/>
  <c r="K29" i="31"/>
  <c r="O29" i="31"/>
  <c r="S29" i="31"/>
  <c r="W29" i="31"/>
  <c r="AA29" i="31"/>
  <c r="AE29" i="31"/>
  <c r="AI29" i="31"/>
  <c r="AM29" i="31"/>
  <c r="C30" i="31"/>
  <c r="G30" i="31"/>
  <c r="K30" i="31"/>
  <c r="O30" i="31"/>
  <c r="S30" i="31"/>
  <c r="W30" i="31"/>
  <c r="AA30" i="31"/>
  <c r="AE30" i="31"/>
  <c r="AI30" i="31"/>
  <c r="AM30" i="31"/>
  <c r="C31" i="31"/>
  <c r="G31" i="31"/>
  <c r="K31" i="31"/>
  <c r="O31" i="31"/>
  <c r="S31" i="31"/>
  <c r="W31" i="31"/>
  <c r="AA31" i="31"/>
  <c r="AE31" i="31"/>
  <c r="AI31" i="31"/>
  <c r="AM31" i="31"/>
  <c r="C32" i="31"/>
  <c r="G32" i="31"/>
  <c r="K32" i="31"/>
  <c r="O32" i="31"/>
  <c r="S32" i="31"/>
  <c r="W32" i="31"/>
  <c r="AA32" i="31"/>
  <c r="AE32" i="31"/>
  <c r="AI32" i="31"/>
  <c r="AN18" i="31"/>
  <c r="R19" i="31"/>
  <c r="AH19" i="31"/>
  <c r="J20" i="31"/>
  <c r="Z20" i="31"/>
  <c r="B21" i="31"/>
  <c r="R21" i="31"/>
  <c r="AH21" i="31"/>
  <c r="J22" i="31"/>
  <c r="V22" i="31"/>
  <c r="AD22" i="31"/>
  <c r="AL22" i="31"/>
  <c r="F23" i="31"/>
  <c r="N23" i="31"/>
  <c r="V23" i="31"/>
  <c r="AD23" i="31"/>
  <c r="AL23" i="31"/>
  <c r="F24" i="31"/>
  <c r="K24" i="31"/>
  <c r="Q24" i="31"/>
  <c r="V24" i="31"/>
  <c r="AA24" i="31"/>
  <c r="AG24" i="31"/>
  <c r="AL24" i="31"/>
  <c r="C25" i="31"/>
  <c r="I25" i="31"/>
  <c r="E19" i="31"/>
  <c r="AD20" i="31"/>
  <c r="N22" i="31"/>
  <c r="G23" i="31"/>
  <c r="AM23" i="31"/>
  <c r="W24" i="31"/>
  <c r="E25" i="31"/>
  <c r="S25" i="31"/>
  <c r="AD25" i="31"/>
  <c r="AO25" i="31"/>
  <c r="K26" i="31"/>
  <c r="V26" i="31"/>
  <c r="AG26" i="31"/>
  <c r="C27" i="31"/>
  <c r="N27" i="31"/>
  <c r="Y27" i="31"/>
  <c r="AI27" i="31"/>
  <c r="D28" i="31"/>
  <c r="L28" i="31"/>
  <c r="T28" i="31"/>
  <c r="AB28" i="31"/>
  <c r="AJ28" i="31"/>
  <c r="D29" i="31"/>
  <c r="L29" i="31"/>
  <c r="T29" i="31"/>
  <c r="AB29" i="31"/>
  <c r="AJ29" i="31"/>
  <c r="D30" i="31"/>
  <c r="L30" i="31"/>
  <c r="T30" i="31"/>
  <c r="AB30" i="31"/>
  <c r="AJ30" i="31"/>
  <c r="D31" i="31"/>
  <c r="L31" i="31"/>
  <c r="T31" i="31"/>
  <c r="AB31" i="31"/>
  <c r="AJ31" i="31"/>
  <c r="D32" i="31"/>
  <c r="L32" i="31"/>
  <c r="T32" i="31"/>
  <c r="AB32" i="31"/>
  <c r="AJ32" i="31"/>
  <c r="AO32" i="31"/>
  <c r="G33" i="31"/>
  <c r="L33" i="31"/>
  <c r="Q33" i="31"/>
  <c r="W33" i="31"/>
  <c r="AB33" i="31"/>
  <c r="AG33" i="31"/>
  <c r="AM33" i="31"/>
  <c r="D34" i="31"/>
  <c r="I34" i="31"/>
  <c r="O34" i="31"/>
  <c r="T34" i="31"/>
  <c r="Y34" i="31"/>
  <c r="AE34" i="31"/>
  <c r="AJ34" i="31"/>
  <c r="AO34" i="31"/>
  <c r="G35" i="31"/>
  <c r="L35" i="31"/>
  <c r="Q35" i="31"/>
  <c r="W35" i="31"/>
  <c r="AB35" i="31"/>
  <c r="AG35" i="31"/>
  <c r="AM35" i="31"/>
  <c r="D36" i="31"/>
  <c r="I36" i="31"/>
  <c r="O36" i="31"/>
  <c r="T36" i="31"/>
  <c r="Y36" i="31"/>
  <c r="AE36" i="31"/>
  <c r="AJ36" i="31"/>
  <c r="AO36" i="31"/>
  <c r="G37" i="31"/>
  <c r="L37" i="31"/>
  <c r="Q37" i="31"/>
  <c r="W37" i="31"/>
  <c r="AB37" i="31"/>
  <c r="AG37" i="31"/>
  <c r="AM37" i="31"/>
  <c r="D38" i="31"/>
  <c r="I38" i="31"/>
  <c r="O38" i="31"/>
  <c r="T38" i="31"/>
  <c r="Y38" i="31"/>
  <c r="AE38" i="31"/>
  <c r="AJ38" i="31"/>
  <c r="AO38" i="31"/>
  <c r="G39" i="31"/>
  <c r="L39" i="31"/>
  <c r="Q39" i="31"/>
  <c r="W39" i="31"/>
  <c r="AB39" i="31"/>
  <c r="AG39" i="31"/>
  <c r="AM39" i="31"/>
  <c r="D40" i="31"/>
  <c r="I40" i="31"/>
  <c r="N40" i="31"/>
  <c r="R40" i="31"/>
  <c r="V40" i="31"/>
  <c r="Z40" i="31"/>
  <c r="AD40" i="31"/>
  <c r="AH40" i="31"/>
  <c r="AL40" i="31"/>
  <c r="B41" i="31"/>
  <c r="F41" i="31"/>
  <c r="J41" i="31"/>
  <c r="N41" i="31"/>
  <c r="R41" i="31"/>
  <c r="V41" i="31"/>
  <c r="Z41" i="31"/>
  <c r="AD41" i="31"/>
  <c r="AH41" i="31"/>
  <c r="AL41" i="31"/>
  <c r="B42" i="31"/>
  <c r="F42" i="31"/>
  <c r="J42" i="31"/>
  <c r="N42" i="31"/>
  <c r="R42" i="31"/>
  <c r="V42" i="31"/>
  <c r="Z42" i="31"/>
  <c r="AD42" i="31"/>
  <c r="AH42" i="31"/>
  <c r="AL42" i="31"/>
  <c r="AN39" i="31"/>
  <c r="W40" i="31"/>
  <c r="AE40" i="31"/>
  <c r="AM40" i="31"/>
  <c r="G41" i="31"/>
  <c r="S41" i="31"/>
  <c r="AA41" i="31"/>
  <c r="AI41" i="31"/>
  <c r="C42" i="31"/>
  <c r="K42" i="31"/>
  <c r="S42" i="31"/>
  <c r="AA42" i="31"/>
  <c r="AI42" i="31"/>
  <c r="O33" i="31"/>
  <c r="AB34" i="31"/>
  <c r="I35" i="31"/>
  <c r="AE35" i="31"/>
  <c r="AO35" i="31"/>
  <c r="W36" i="31"/>
  <c r="AG36" i="31"/>
  <c r="I37" i="31"/>
  <c r="Y37" i="31"/>
  <c r="AJ37" i="31"/>
  <c r="L38" i="31"/>
  <c r="W38" i="31"/>
  <c r="AG38" i="31"/>
  <c r="I39" i="31"/>
  <c r="T39" i="31"/>
  <c r="AJ39" i="31"/>
  <c r="G40" i="31"/>
  <c r="P40" i="31"/>
  <c r="X40" i="31"/>
  <c r="AJ40" i="31"/>
  <c r="D41" i="31"/>
  <c r="L41" i="31"/>
  <c r="T41" i="31"/>
  <c r="AB41" i="31"/>
  <c r="AN41" i="31"/>
  <c r="H42" i="31"/>
  <c r="X42" i="31"/>
  <c r="AF42" i="31"/>
  <c r="AN42" i="31"/>
  <c r="AL21" i="31"/>
  <c r="AE23" i="31"/>
  <c r="AM24" i="31"/>
  <c r="Z25" i="31"/>
  <c r="G26" i="31"/>
  <c r="AC26" i="31"/>
  <c r="U27" i="31"/>
  <c r="I28" i="31"/>
  <c r="AO28" i="31"/>
  <c r="AG29" i="31"/>
  <c r="Y30" i="31"/>
  <c r="Y31" i="31"/>
  <c r="Q32" i="31"/>
  <c r="AN32" i="31"/>
  <c r="AA33" i="31"/>
  <c r="C34" i="31"/>
  <c r="X34" i="31"/>
  <c r="AN34" i="31"/>
  <c r="P35" i="31"/>
  <c r="AA35" i="31"/>
  <c r="H36" i="31"/>
  <c r="AC36" i="31"/>
  <c r="P37" i="31"/>
  <c r="AK37" i="31"/>
  <c r="X38" i="31"/>
  <c r="E39" i="31"/>
  <c r="U39" i="31"/>
  <c r="C40" i="31"/>
  <c r="Q40" i="31"/>
  <c r="V19" i="31"/>
  <c r="F21" i="31"/>
  <c r="W22" i="31"/>
  <c r="O23" i="31"/>
  <c r="G24" i="31"/>
  <c r="AC24" i="31"/>
  <c r="J25" i="31"/>
  <c r="U25" i="31"/>
  <c r="AE25" i="31"/>
  <c r="B26" i="31"/>
  <c r="M26" i="31"/>
  <c r="W26" i="31"/>
  <c r="AH26" i="31"/>
  <c r="E27" i="31"/>
  <c r="O27" i="31"/>
  <c r="Z27" i="31"/>
  <c r="AK27" i="31"/>
  <c r="E28" i="31"/>
  <c r="M28" i="31"/>
  <c r="U28" i="31"/>
  <c r="AC28" i="31"/>
  <c r="AK28" i="31"/>
  <c r="E29" i="31"/>
  <c r="M29" i="31"/>
  <c r="U29" i="31"/>
  <c r="AC29" i="31"/>
  <c r="AK29" i="31"/>
  <c r="E30" i="31"/>
  <c r="M30" i="31"/>
  <c r="U30" i="31"/>
  <c r="AC30" i="31"/>
  <c r="AK30" i="31"/>
  <c r="E31" i="31"/>
  <c r="M31" i="31"/>
  <c r="U31" i="31"/>
  <c r="AC31" i="31"/>
  <c r="AK31" i="31"/>
  <c r="E32" i="31"/>
  <c r="M32" i="31"/>
  <c r="U32" i="31"/>
  <c r="AC32" i="31"/>
  <c r="AK32" i="31"/>
  <c r="C33" i="31"/>
  <c r="H33" i="31"/>
  <c r="M33" i="31"/>
  <c r="S33" i="31"/>
  <c r="X33" i="31"/>
  <c r="AC33" i="31"/>
  <c r="AI33" i="31"/>
  <c r="AN33" i="31"/>
  <c r="E34" i="31"/>
  <c r="K34" i="31"/>
  <c r="P34" i="31"/>
  <c r="U34" i="31"/>
  <c r="AA34" i="31"/>
  <c r="AF34" i="31"/>
  <c r="AK34" i="31"/>
  <c r="C35" i="31"/>
  <c r="H35" i="31"/>
  <c r="M35" i="31"/>
  <c r="S35" i="31"/>
  <c r="X35" i="31"/>
  <c r="AC35" i="31"/>
  <c r="AI35" i="31"/>
  <c r="AN35" i="31"/>
  <c r="E36" i="31"/>
  <c r="K36" i="31"/>
  <c r="P36" i="31"/>
  <c r="U36" i="31"/>
  <c r="AA36" i="31"/>
  <c r="AF36" i="31"/>
  <c r="AK36" i="31"/>
  <c r="C37" i="31"/>
  <c r="H37" i="31"/>
  <c r="M37" i="31"/>
  <c r="S37" i="31"/>
  <c r="X37" i="31"/>
  <c r="AC37" i="31"/>
  <c r="AI37" i="31"/>
  <c r="AN37" i="31"/>
  <c r="E38" i="31"/>
  <c r="K38" i="31"/>
  <c r="P38" i="31"/>
  <c r="U38" i="31"/>
  <c r="AA38" i="31"/>
  <c r="AF38" i="31"/>
  <c r="AK38" i="31"/>
  <c r="C39" i="31"/>
  <c r="H39" i="31"/>
  <c r="M39" i="31"/>
  <c r="S39" i="31"/>
  <c r="X39" i="31"/>
  <c r="AC39" i="31"/>
  <c r="AI39" i="31"/>
  <c r="E40" i="31"/>
  <c r="K40" i="31"/>
  <c r="O40" i="31"/>
  <c r="S40" i="31"/>
  <c r="AA40" i="31"/>
  <c r="AI40" i="31"/>
  <c r="C41" i="31"/>
  <c r="K41" i="31"/>
  <c r="O41" i="31"/>
  <c r="W41" i="31"/>
  <c r="AE41" i="31"/>
  <c r="AM41" i="31"/>
  <c r="G42" i="31"/>
  <c r="O42" i="31"/>
  <c r="W42" i="31"/>
  <c r="AE42" i="31"/>
  <c r="AM42" i="31"/>
  <c r="T33" i="31"/>
  <c r="AG34" i="31"/>
  <c r="O35" i="31"/>
  <c r="Y35" i="31"/>
  <c r="G36" i="31"/>
  <c r="Q36" i="31"/>
  <c r="AB36" i="31"/>
  <c r="D37" i="31"/>
  <c r="O37" i="31"/>
  <c r="AE37" i="31"/>
  <c r="AO37" i="31"/>
  <c r="Q38" i="31"/>
  <c r="AB38" i="31"/>
  <c r="D39" i="31"/>
  <c r="O39" i="31"/>
  <c r="Y39" i="31"/>
  <c r="AO39" i="31"/>
  <c r="L40" i="31"/>
  <c r="T40" i="31"/>
  <c r="AF40" i="31"/>
  <c r="AN40" i="31"/>
  <c r="P41" i="31"/>
  <c r="X41" i="31"/>
  <c r="AF41" i="31"/>
  <c r="D42" i="31"/>
  <c r="L42" i="31"/>
  <c r="T42" i="31"/>
  <c r="AB42" i="31"/>
  <c r="N20" i="31"/>
  <c r="R24" i="31"/>
  <c r="O25" i="31"/>
  <c r="AK25" i="31"/>
  <c r="R26" i="31"/>
  <c r="AM26" i="31"/>
  <c r="AE27" i="31"/>
  <c r="Q28" i="31"/>
  <c r="I29" i="31"/>
  <c r="AO29" i="31"/>
  <c r="AG30" i="31"/>
  <c r="Q31" i="31"/>
  <c r="AO31" i="31"/>
  <c r="Y32" i="31"/>
  <c r="E33" i="31"/>
  <c r="P33" i="31"/>
  <c r="AK33" i="31"/>
  <c r="M34" i="31"/>
  <c r="AI34" i="31"/>
  <c r="K35" i="31"/>
  <c r="AK35" i="31"/>
  <c r="M36" i="31"/>
  <c r="AI36" i="31"/>
  <c r="E37" i="31"/>
  <c r="AA37" i="31"/>
  <c r="C38" i="31"/>
  <c r="S38" i="31"/>
  <c r="AI38" i="31"/>
  <c r="P39" i="31"/>
  <c r="AF39" i="31"/>
  <c r="M40" i="31"/>
  <c r="AL19" i="31"/>
  <c r="V21" i="31"/>
  <c r="AE22" i="31"/>
  <c r="W23" i="31"/>
  <c r="M24" i="31"/>
  <c r="AH24" i="31"/>
  <c r="N25" i="31"/>
  <c r="Y25" i="31"/>
  <c r="AI25" i="31"/>
  <c r="F26" i="31"/>
  <c r="Q26" i="31"/>
  <c r="AA26" i="31"/>
  <c r="AL26" i="31"/>
  <c r="I27" i="31"/>
  <c r="S27" i="31"/>
  <c r="AD27" i="31"/>
  <c r="AN27" i="31"/>
  <c r="H28" i="31"/>
  <c r="P28" i="31"/>
  <c r="X28" i="31"/>
  <c r="AF28" i="31"/>
  <c r="AN28" i="31"/>
  <c r="H29" i="31"/>
  <c r="P29" i="31"/>
  <c r="X29" i="31"/>
  <c r="AF29" i="31"/>
  <c r="AN29" i="31"/>
  <c r="H30" i="31"/>
  <c r="P30" i="31"/>
  <c r="X30" i="31"/>
  <c r="AF30" i="31"/>
  <c r="AN30" i="31"/>
  <c r="H31" i="31"/>
  <c r="P31" i="31"/>
  <c r="X31" i="31"/>
  <c r="AF31" i="31"/>
  <c r="AN31" i="31"/>
  <c r="H32" i="31"/>
  <c r="P32" i="31"/>
  <c r="X32" i="31"/>
  <c r="AF32" i="31"/>
  <c r="AM32" i="31"/>
  <c r="D33" i="31"/>
  <c r="I33" i="31"/>
  <c r="Y33" i="31"/>
  <c r="AE33" i="31"/>
  <c r="AJ33" i="31"/>
  <c r="AO33" i="31"/>
  <c r="G34" i="31"/>
  <c r="L34" i="31"/>
  <c r="Q34" i="31"/>
  <c r="W34" i="31"/>
  <c r="AM34" i="31"/>
  <c r="D35" i="31"/>
  <c r="T35" i="31"/>
  <c r="AJ35" i="31"/>
  <c r="L36" i="31"/>
  <c r="AM36" i="31"/>
  <c r="T37" i="31"/>
  <c r="G38" i="31"/>
  <c r="AM38" i="31"/>
  <c r="AE39" i="31"/>
  <c r="AB40" i="31"/>
  <c r="H41" i="31"/>
  <c r="AJ41" i="31"/>
  <c r="P42" i="31"/>
  <c r="AJ42" i="31"/>
  <c r="AM22" i="31"/>
  <c r="J27" i="31"/>
  <c r="AO27" i="31"/>
  <c r="Y28" i="31"/>
  <c r="AG28" i="31"/>
  <c r="Q29" i="31"/>
  <c r="Y29" i="31"/>
  <c r="I30" i="31"/>
  <c r="Q30" i="31"/>
  <c r="AO30" i="31"/>
  <c r="I31" i="31"/>
  <c r="AG31" i="31"/>
  <c r="I32" i="31"/>
  <c r="AG32" i="31"/>
  <c r="K33" i="31"/>
  <c r="U33" i="31"/>
  <c r="AF33" i="31"/>
  <c r="H34" i="31"/>
  <c r="S34" i="31"/>
  <c r="AC34" i="31"/>
  <c r="E35" i="31"/>
  <c r="U35" i="31"/>
  <c r="AF35" i="31"/>
  <c r="C36" i="31"/>
  <c r="S36" i="31"/>
  <c r="X36" i="31"/>
  <c r="AN36" i="31"/>
  <c r="K37" i="31"/>
  <c r="U37" i="31"/>
  <c r="AF37" i="31"/>
  <c r="H38" i="31"/>
  <c r="M38" i="31"/>
  <c r="AC38" i="31"/>
  <c r="AN38" i="31"/>
  <c r="K39" i="31"/>
  <c r="AA39" i="31"/>
  <c r="AK39" i="31"/>
  <c r="H40" i="31"/>
  <c r="U40" i="31"/>
  <c r="AC40" i="31"/>
  <c r="Y40" i="31"/>
  <c r="E41" i="31"/>
  <c r="U41" i="31"/>
  <c r="AK41" i="31"/>
  <c r="M42" i="31"/>
  <c r="AC42" i="31"/>
  <c r="AG40" i="31"/>
  <c r="I41" i="31"/>
  <c r="Y41" i="31"/>
  <c r="AO41" i="31"/>
  <c r="Q42" i="31"/>
  <c r="AG42" i="31"/>
  <c r="AK40" i="31"/>
  <c r="M41" i="31"/>
  <c r="AC41" i="31"/>
  <c r="E42" i="31"/>
  <c r="U42" i="31"/>
  <c r="AK42" i="31"/>
  <c r="Q41" i="31"/>
  <c r="AG41" i="31"/>
  <c r="I42" i="31"/>
  <c r="Y42" i="31"/>
  <c r="AO42" i="31"/>
  <c r="AO40" i="31"/>
  <c r="B3" i="30"/>
  <c r="F3" i="30"/>
  <c r="J3" i="30"/>
  <c r="N3" i="30"/>
  <c r="R3" i="30"/>
  <c r="V3" i="30"/>
  <c r="Z3" i="30"/>
  <c r="AD3" i="30"/>
  <c r="AH3" i="30"/>
  <c r="AL3" i="30"/>
  <c r="B4" i="30"/>
  <c r="F4" i="30"/>
  <c r="J4" i="30"/>
  <c r="N4" i="30"/>
  <c r="R4" i="30"/>
  <c r="V4" i="30"/>
  <c r="Z4" i="30"/>
  <c r="AD4" i="30"/>
  <c r="AH4" i="30"/>
  <c r="AL4" i="30"/>
  <c r="B5" i="30"/>
  <c r="F5" i="30"/>
  <c r="J5" i="30"/>
  <c r="N5" i="30"/>
  <c r="R5" i="30"/>
  <c r="V5" i="30"/>
  <c r="Z5" i="30"/>
  <c r="AD5" i="30"/>
  <c r="AH5" i="30"/>
  <c r="AL5" i="30"/>
  <c r="B6" i="30"/>
  <c r="F6" i="30"/>
  <c r="J6" i="30"/>
  <c r="N6" i="30"/>
  <c r="R6" i="30"/>
  <c r="V6" i="30"/>
  <c r="Z6" i="30"/>
  <c r="AD6" i="30"/>
  <c r="AH6" i="30"/>
  <c r="AL6" i="30"/>
  <c r="B7" i="30"/>
  <c r="F7" i="30"/>
  <c r="J7" i="30"/>
  <c r="N7" i="30"/>
  <c r="R7" i="30"/>
  <c r="V7" i="30"/>
  <c r="Z7" i="30"/>
  <c r="AD7" i="30"/>
  <c r="AH7" i="30"/>
  <c r="AL7" i="30"/>
  <c r="B8" i="30"/>
  <c r="F8" i="30"/>
  <c r="J8" i="30"/>
  <c r="N8" i="30"/>
  <c r="R8" i="30"/>
  <c r="V8" i="30"/>
  <c r="Z8" i="30"/>
  <c r="AD8" i="30"/>
  <c r="AH8" i="30"/>
  <c r="AL8" i="30"/>
  <c r="B9" i="30"/>
  <c r="F9" i="30"/>
  <c r="J9" i="30"/>
  <c r="N9" i="30"/>
  <c r="R9" i="30"/>
  <c r="V9" i="30"/>
  <c r="Z9" i="30"/>
  <c r="AD9" i="30"/>
  <c r="AH9" i="30"/>
  <c r="AL9" i="30"/>
  <c r="B10" i="30"/>
  <c r="F10" i="30"/>
  <c r="J10" i="30"/>
  <c r="N10" i="30"/>
  <c r="R10" i="30"/>
  <c r="V10" i="30"/>
  <c r="Z10" i="30"/>
  <c r="AD10" i="30"/>
  <c r="AH10" i="30"/>
  <c r="AL10" i="30"/>
  <c r="B11" i="30"/>
  <c r="F11" i="30"/>
  <c r="J11" i="30"/>
  <c r="N11" i="30"/>
  <c r="R11" i="30"/>
  <c r="C3" i="30"/>
  <c r="H3" i="30"/>
  <c r="M3" i="30"/>
  <c r="S3" i="30"/>
  <c r="X3" i="30"/>
  <c r="AC3" i="30"/>
  <c r="AI3" i="30"/>
  <c r="AN3" i="30"/>
  <c r="E4" i="30"/>
  <c r="K4" i="30"/>
  <c r="P4" i="30"/>
  <c r="U4" i="30"/>
  <c r="AA4" i="30"/>
  <c r="AF4" i="30"/>
  <c r="AK4" i="30"/>
  <c r="C5" i="30"/>
  <c r="H5" i="30"/>
  <c r="M5" i="30"/>
  <c r="S5" i="30"/>
  <c r="X5" i="30"/>
  <c r="AC5" i="30"/>
  <c r="AI5" i="30"/>
  <c r="AN5" i="30"/>
  <c r="E6" i="30"/>
  <c r="K6" i="30"/>
  <c r="P6" i="30"/>
  <c r="U6" i="30"/>
  <c r="AA6" i="30"/>
  <c r="AF6" i="30"/>
  <c r="AK6" i="30"/>
  <c r="C7" i="30"/>
  <c r="H7" i="30"/>
  <c r="M7" i="30"/>
  <c r="S7" i="30"/>
  <c r="X7" i="30"/>
  <c r="AC7" i="30"/>
  <c r="AI7" i="30"/>
  <c r="AN7" i="30"/>
  <c r="E8" i="30"/>
  <c r="K8" i="30"/>
  <c r="P8" i="30"/>
  <c r="U8" i="30"/>
  <c r="AA8" i="30"/>
  <c r="AF8" i="30"/>
  <c r="AK8" i="30"/>
  <c r="C9" i="30"/>
  <c r="H9" i="30"/>
  <c r="M9" i="30"/>
  <c r="S9" i="30"/>
  <c r="X9" i="30"/>
  <c r="AC9" i="30"/>
  <c r="AI9" i="30"/>
  <c r="AN9" i="30"/>
  <c r="E10" i="30"/>
  <c r="K10" i="30"/>
  <c r="P10" i="30"/>
  <c r="U10" i="30"/>
  <c r="AA10" i="30"/>
  <c r="AF10" i="30"/>
  <c r="AK10" i="30"/>
  <c r="C11" i="30"/>
  <c r="H11" i="30"/>
  <c r="M11" i="30"/>
  <c r="S11" i="30"/>
  <c r="W11" i="30"/>
  <c r="AA11" i="30"/>
  <c r="AE11" i="30"/>
  <c r="AI11" i="30"/>
  <c r="AM11" i="30"/>
  <c r="C12" i="30"/>
  <c r="G12" i="30"/>
  <c r="K12" i="30"/>
  <c r="O12" i="30"/>
  <c r="S12" i="30"/>
  <c r="W12" i="30"/>
  <c r="AA12" i="30"/>
  <c r="AE12" i="30"/>
  <c r="AI12" i="30"/>
  <c r="AM12" i="30"/>
  <c r="C13" i="30"/>
  <c r="G13" i="30"/>
  <c r="K13" i="30"/>
  <c r="O13" i="30"/>
  <c r="S13" i="30"/>
  <c r="W13" i="30"/>
  <c r="I3" i="30"/>
  <c r="P3" i="30"/>
  <c r="W3" i="30"/>
  <c r="AE3" i="30"/>
  <c r="AK3" i="30"/>
  <c r="D4" i="30"/>
  <c r="L4" i="30"/>
  <c r="S4" i="30"/>
  <c r="Y4" i="30"/>
  <c r="AG4" i="30"/>
  <c r="AN4" i="30"/>
  <c r="G5" i="30"/>
  <c r="O5" i="30"/>
  <c r="U5" i="30"/>
  <c r="AB5" i="30"/>
  <c r="AJ5" i="30"/>
  <c r="C6" i="30"/>
  <c r="I6" i="30"/>
  <c r="Q6" i="30"/>
  <c r="X6" i="30"/>
  <c r="AE6" i="30"/>
  <c r="AM6" i="30"/>
  <c r="E7" i="30"/>
  <c r="L7" i="30"/>
  <c r="T7" i="30"/>
  <c r="AA7" i="30"/>
  <c r="AG7" i="30"/>
  <c r="AO7" i="30"/>
  <c r="H8" i="30"/>
  <c r="O8" i="30"/>
  <c r="W8" i="30"/>
  <c r="AC8" i="30"/>
  <c r="AJ8" i="30"/>
  <c r="D9" i="30"/>
  <c r="K9" i="30"/>
  <c r="Q9" i="30"/>
  <c r="Y9" i="30"/>
  <c r="AF9" i="30"/>
  <c r="AM9" i="30"/>
  <c r="G10" i="30"/>
  <c r="M10" i="30"/>
  <c r="T10" i="30"/>
  <c r="AB10" i="30"/>
  <c r="AI10" i="30"/>
  <c r="AO10" i="30"/>
  <c r="I11" i="30"/>
  <c r="P11" i="30"/>
  <c r="V11" i="30"/>
  <c r="AB11" i="30"/>
  <c r="AG11" i="30"/>
  <c r="AL11" i="30"/>
  <c r="D12" i="30"/>
  <c r="I12" i="30"/>
  <c r="N12" i="30"/>
  <c r="T12" i="30"/>
  <c r="Y12" i="30"/>
  <c r="AD12" i="30"/>
  <c r="AJ12" i="30"/>
  <c r="AO12" i="30"/>
  <c r="F13" i="30"/>
  <c r="L13" i="30"/>
  <c r="Q13" i="30"/>
  <c r="V13" i="30"/>
  <c r="AA13" i="30"/>
  <c r="AE13" i="30"/>
  <c r="AI13" i="30"/>
  <c r="AM13" i="30"/>
  <c r="C14" i="30"/>
  <c r="G14" i="30"/>
  <c r="K14" i="30"/>
  <c r="O14" i="30"/>
  <c r="S14" i="30"/>
  <c r="W14" i="30"/>
  <c r="AA14" i="30"/>
  <c r="AE14" i="30"/>
  <c r="AI14" i="30"/>
  <c r="AM14" i="30"/>
  <c r="C15" i="30"/>
  <c r="G15" i="30"/>
  <c r="K15" i="30"/>
  <c r="O15" i="30"/>
  <c r="S15" i="30"/>
  <c r="W15" i="30"/>
  <c r="AA15" i="30"/>
  <c r="AE15" i="30"/>
  <c r="D3" i="30"/>
  <c r="L3" i="30"/>
  <c r="U3" i="30"/>
  <c r="AF3" i="30"/>
  <c r="AO3" i="30"/>
  <c r="I4" i="30"/>
  <c r="T4" i="30"/>
  <c r="AC4" i="30"/>
  <c r="AM4" i="30"/>
  <c r="I5" i="30"/>
  <c r="Q5" i="30"/>
  <c r="AA5" i="30"/>
  <c r="AK5" i="30"/>
  <c r="G6" i="30"/>
  <c r="O6" i="30"/>
  <c r="Y6" i="30"/>
  <c r="AI6" i="30"/>
  <c r="D7" i="30"/>
  <c r="O7" i="30"/>
  <c r="W7" i="30"/>
  <c r="AF7" i="30"/>
  <c r="C8" i="30"/>
  <c r="L8" i="30"/>
  <c r="T8" i="30"/>
  <c r="AE8" i="30"/>
  <c r="AN8" i="30"/>
  <c r="I9" i="30"/>
  <c r="T9" i="30"/>
  <c r="AB9" i="30"/>
  <c r="AK9" i="30"/>
  <c r="H10" i="30"/>
  <c r="Q10" i="30"/>
  <c r="Y10" i="30"/>
  <c r="AJ10" i="30"/>
  <c r="E11" i="30"/>
  <c r="O11" i="30"/>
  <c r="X11" i="30"/>
  <c r="AD11" i="30"/>
  <c r="AK11" i="30"/>
  <c r="E12" i="30"/>
  <c r="L12" i="30"/>
  <c r="R12" i="30"/>
  <c r="Z12" i="30"/>
  <c r="AG12" i="30"/>
  <c r="AN12" i="30"/>
  <c r="H13" i="30"/>
  <c r="N13" i="30"/>
  <c r="U13" i="30"/>
  <c r="AB13" i="30"/>
  <c r="AG13" i="30"/>
  <c r="AL13" i="30"/>
  <c r="D14" i="30"/>
  <c r="I14" i="30"/>
  <c r="N14" i="30"/>
  <c r="T14" i="30"/>
  <c r="Y14" i="30"/>
  <c r="AD14" i="30"/>
  <c r="AJ14" i="30"/>
  <c r="AO14" i="30"/>
  <c r="F15" i="30"/>
  <c r="L15" i="30"/>
  <c r="Q15" i="30"/>
  <c r="V15" i="30"/>
  <c r="AB15" i="30"/>
  <c r="AG15" i="30"/>
  <c r="AK15" i="30"/>
  <c r="AO15" i="30"/>
  <c r="E16" i="30"/>
  <c r="I16" i="30"/>
  <c r="M16" i="30"/>
  <c r="Q16" i="30"/>
  <c r="G3" i="30"/>
  <c r="Q3" i="30"/>
  <c r="AA3" i="30"/>
  <c r="AJ3" i="30"/>
  <c r="G4" i="30"/>
  <c r="O4" i="30"/>
  <c r="X4" i="30"/>
  <c r="AI4" i="30"/>
  <c r="D5" i="30"/>
  <c r="L5" i="30"/>
  <c r="W5" i="30"/>
  <c r="AF5" i="30"/>
  <c r="AO5" i="30"/>
  <c r="L6" i="30"/>
  <c r="T6" i="30"/>
  <c r="AC6" i="30"/>
  <c r="AN6" i="30"/>
  <c r="I7" i="30"/>
  <c r="Q7" i="30"/>
  <c r="AB7" i="30"/>
  <c r="AK7" i="30"/>
  <c r="G8" i="30"/>
  <c r="Q8" i="30"/>
  <c r="Y8" i="30"/>
  <c r="AI8" i="30"/>
  <c r="E9" i="30"/>
  <c r="O9" i="30"/>
  <c r="W9" i="30"/>
  <c r="AG9" i="30"/>
  <c r="C10" i="30"/>
  <c r="L10" i="30"/>
  <c r="W10" i="30"/>
  <c r="AE10" i="30"/>
  <c r="AN10" i="30"/>
  <c r="K11" i="30"/>
  <c r="T11" i="30"/>
  <c r="Z11" i="30"/>
  <c r="AH11" i="30"/>
  <c r="AO11" i="30"/>
  <c r="H12" i="30"/>
  <c r="P12" i="30"/>
  <c r="V12" i="30"/>
  <c r="AC12" i="30"/>
  <c r="AK12" i="30"/>
  <c r="D13" i="30"/>
  <c r="J13" i="30"/>
  <c r="R13" i="30"/>
  <c r="Y13" i="30"/>
  <c r="AD13" i="30"/>
  <c r="AJ13" i="30"/>
  <c r="AO13" i="30"/>
  <c r="F14" i="30"/>
  <c r="L14" i="30"/>
  <c r="Q14" i="30"/>
  <c r="V14" i="30"/>
  <c r="AB14" i="30"/>
  <c r="AG14" i="30"/>
  <c r="AL14" i="30"/>
  <c r="D15" i="30"/>
  <c r="I15" i="30"/>
  <c r="N15" i="30"/>
  <c r="T15" i="30"/>
  <c r="Y15" i="30"/>
  <c r="AD15" i="30"/>
  <c r="AI15" i="30"/>
  <c r="AM15" i="30"/>
  <c r="C16" i="30"/>
  <c r="G16" i="30"/>
  <c r="K16" i="30"/>
  <c r="O16" i="30"/>
  <c r="S16" i="30"/>
  <c r="W16" i="30"/>
  <c r="AA16" i="30"/>
  <c r="AE16" i="30"/>
  <c r="AI16" i="30"/>
  <c r="AM16" i="30"/>
  <c r="C17" i="30"/>
  <c r="G17" i="30"/>
  <c r="K17" i="30"/>
  <c r="O17" i="30"/>
  <c r="S17" i="30"/>
  <c r="W17" i="30"/>
  <c r="AA17" i="30"/>
  <c r="AE17" i="30"/>
  <c r="AI17" i="30"/>
  <c r="E3" i="30"/>
  <c r="Y3" i="30"/>
  <c r="C4" i="30"/>
  <c r="W4" i="30"/>
  <c r="AO4" i="30"/>
  <c r="T5" i="30"/>
  <c r="AM5" i="30"/>
  <c r="S6" i="30"/>
  <c r="AJ6" i="30"/>
  <c r="P7" i="30"/>
  <c r="AJ7" i="30"/>
  <c r="M8" i="30"/>
  <c r="AG8" i="30"/>
  <c r="L9" i="30"/>
  <c r="AE9" i="30"/>
  <c r="I10" i="30"/>
  <c r="AC10" i="30"/>
  <c r="G11" i="30"/>
  <c r="Y11" i="30"/>
  <c r="AN11" i="30"/>
  <c r="M12" i="30"/>
  <c r="AB12" i="30"/>
  <c r="B13" i="30"/>
  <c r="P13" i="30"/>
  <c r="AC13" i="30"/>
  <c r="AN13" i="30"/>
  <c r="J14" i="30"/>
  <c r="U14" i="30"/>
  <c r="AF14" i="30"/>
  <c r="B15" i="30"/>
  <c r="M15" i="30"/>
  <c r="X15" i="30"/>
  <c r="AH15" i="30"/>
  <c r="B16" i="30"/>
  <c r="J16" i="30"/>
  <c r="R16" i="30"/>
  <c r="X16" i="30"/>
  <c r="AC16" i="30"/>
  <c r="AH16" i="30"/>
  <c r="AN16" i="30"/>
  <c r="E17" i="30"/>
  <c r="J17" i="30"/>
  <c r="P17" i="30"/>
  <c r="U17" i="30"/>
  <c r="Z17" i="30"/>
  <c r="AF17" i="30"/>
  <c r="AK17" i="30"/>
  <c r="AO17" i="30"/>
  <c r="E18" i="30"/>
  <c r="I18" i="30"/>
  <c r="M18" i="30"/>
  <c r="Q18" i="30"/>
  <c r="U18" i="30"/>
  <c r="Y18" i="30"/>
  <c r="AC18" i="30"/>
  <c r="AG18" i="30"/>
  <c r="AK18" i="30"/>
  <c r="AO18" i="30"/>
  <c r="E19" i="30"/>
  <c r="I19" i="30"/>
  <c r="M19" i="30"/>
  <c r="Q19" i="30"/>
  <c r="U19" i="30"/>
  <c r="Y19" i="30"/>
  <c r="AC19" i="30"/>
  <c r="AG19" i="30"/>
  <c r="AK19" i="30"/>
  <c r="AO19" i="30"/>
  <c r="E20" i="30"/>
  <c r="I20" i="30"/>
  <c r="M20" i="30"/>
  <c r="Q20" i="30"/>
  <c r="U20" i="30"/>
  <c r="Y20" i="30"/>
  <c r="AC20" i="30"/>
  <c r="AG20" i="30"/>
  <c r="AK20" i="30"/>
  <c r="AO20" i="30"/>
  <c r="E21" i="30"/>
  <c r="I21" i="30"/>
  <c r="M21" i="30"/>
  <c r="Q21" i="30"/>
  <c r="U21" i="30"/>
  <c r="Y21" i="30"/>
  <c r="AC21" i="30"/>
  <c r="AG21" i="30"/>
  <c r="AK21" i="30"/>
  <c r="AO21" i="30"/>
  <c r="E22" i="30"/>
  <c r="I22" i="30"/>
  <c r="M22" i="30"/>
  <c r="Q22" i="30"/>
  <c r="U22" i="30"/>
  <c r="Y22" i="30"/>
  <c r="AC22" i="30"/>
  <c r="AG22" i="30"/>
  <c r="AK22" i="30"/>
  <c r="AO22" i="30"/>
  <c r="E23" i="30"/>
  <c r="I23" i="30"/>
  <c r="M23" i="30"/>
  <c r="Q23" i="30"/>
  <c r="U23" i="30"/>
  <c r="Y23" i="30"/>
  <c r="AC23" i="30"/>
  <c r="AG23" i="30"/>
  <c r="AK23" i="30"/>
  <c r="AO23" i="30"/>
  <c r="E24" i="30"/>
  <c r="I24" i="30"/>
  <c r="M24" i="30"/>
  <c r="Q24" i="30"/>
  <c r="U24" i="30"/>
  <c r="Y24" i="30"/>
  <c r="AC24" i="30"/>
  <c r="AG24" i="30"/>
  <c r="AK24" i="30"/>
  <c r="AO24" i="30"/>
  <c r="E25" i="30"/>
  <c r="I25" i="30"/>
  <c r="M25" i="30"/>
  <c r="Q25" i="30"/>
  <c r="U25" i="30"/>
  <c r="Y25" i="30"/>
  <c r="AC25" i="30"/>
  <c r="AG25" i="30"/>
  <c r="AK25" i="30"/>
  <c r="AO25" i="30"/>
  <c r="E26" i="30"/>
  <c r="I26" i="30"/>
  <c r="M26" i="30"/>
  <c r="Q26" i="30"/>
  <c r="U26" i="30"/>
  <c r="Y26" i="30"/>
  <c r="AC26" i="30"/>
  <c r="AG26" i="30"/>
  <c r="AK26" i="30"/>
  <c r="AO26" i="30"/>
  <c r="E27" i="30"/>
  <c r="I27" i="30"/>
  <c r="M27" i="30"/>
  <c r="Q27" i="30"/>
  <c r="U27" i="30"/>
  <c r="Y27" i="30"/>
  <c r="AC27" i="30"/>
  <c r="AG27" i="30"/>
  <c r="AK27" i="30"/>
  <c r="AO27" i="30"/>
  <c r="E28" i="30"/>
  <c r="I28" i="30"/>
  <c r="M28" i="30"/>
  <c r="Q28" i="30"/>
  <c r="U28" i="30"/>
  <c r="Y28" i="30"/>
  <c r="AC28" i="30"/>
  <c r="AG28" i="30"/>
  <c r="AK28" i="30"/>
  <c r="AO28" i="30"/>
  <c r="E29" i="30"/>
  <c r="I29" i="30"/>
  <c r="M29" i="30"/>
  <c r="Q29" i="30"/>
  <c r="U29" i="30"/>
  <c r="Y29" i="30"/>
  <c r="AC29" i="30"/>
  <c r="AG29" i="30"/>
  <c r="AK29" i="30"/>
  <c r="AO29" i="30"/>
  <c r="E30" i="30"/>
  <c r="I30" i="30"/>
  <c r="K3" i="30"/>
  <c r="AG3" i="30"/>
  <c r="Q4" i="30"/>
  <c r="E5" i="30"/>
  <c r="AE5" i="30"/>
  <c r="M6" i="30"/>
  <c r="AO6" i="30"/>
  <c r="Y7" i="30"/>
  <c r="I8" i="30"/>
  <c r="AM8" i="30"/>
  <c r="U9" i="30"/>
  <c r="D10" i="30"/>
  <c r="AG10" i="30"/>
  <c r="Q11" i="30"/>
  <c r="AJ11" i="30"/>
  <c r="Q12" i="30"/>
  <c r="AH12" i="30"/>
  <c r="M13" i="30"/>
  <c r="AF13" i="30"/>
  <c r="E14" i="30"/>
  <c r="R14" i="30"/>
  <c r="AH14" i="30"/>
  <c r="H15" i="30"/>
  <c r="U15" i="30"/>
  <c r="AJ15" i="30"/>
  <c r="F16" i="30"/>
  <c r="P16" i="30"/>
  <c r="Y16" i="30"/>
  <c r="AF16" i="30"/>
  <c r="AL16" i="30"/>
  <c r="F17" i="30"/>
  <c r="M17" i="30"/>
  <c r="T17" i="30"/>
  <c r="AB17" i="30"/>
  <c r="AH17" i="30"/>
  <c r="AN17" i="30"/>
  <c r="F18" i="30"/>
  <c r="K18" i="30"/>
  <c r="P18" i="30"/>
  <c r="V18" i="30"/>
  <c r="AA18" i="30"/>
  <c r="AF18" i="30"/>
  <c r="AL18" i="30"/>
  <c r="C19" i="30"/>
  <c r="H19" i="30"/>
  <c r="N19" i="30"/>
  <c r="S19" i="30"/>
  <c r="X19" i="30"/>
  <c r="AD19" i="30"/>
  <c r="AI19" i="30"/>
  <c r="AN19" i="30"/>
  <c r="F20" i="30"/>
  <c r="K20" i="30"/>
  <c r="P20" i="30"/>
  <c r="V20" i="30"/>
  <c r="AA20" i="30"/>
  <c r="AF20" i="30"/>
  <c r="AL20" i="30"/>
  <c r="C21" i="30"/>
  <c r="H21" i="30"/>
  <c r="N21" i="30"/>
  <c r="S21" i="30"/>
  <c r="X21" i="30"/>
  <c r="AD21" i="30"/>
  <c r="AI21" i="30"/>
  <c r="AN21" i="30"/>
  <c r="F22" i="30"/>
  <c r="K22" i="30"/>
  <c r="P22" i="30"/>
  <c r="V22" i="30"/>
  <c r="AA22" i="30"/>
  <c r="AF22" i="30"/>
  <c r="AL22" i="30"/>
  <c r="C23" i="30"/>
  <c r="H23" i="30"/>
  <c r="N23" i="30"/>
  <c r="S23" i="30"/>
  <c r="X23" i="30"/>
  <c r="AD23" i="30"/>
  <c r="AI23" i="30"/>
  <c r="AN23" i="30"/>
  <c r="F24" i="30"/>
  <c r="K24" i="30"/>
  <c r="P24" i="30"/>
  <c r="V24" i="30"/>
  <c r="AA24" i="30"/>
  <c r="AF24" i="30"/>
  <c r="AL24" i="30"/>
  <c r="C25" i="30"/>
  <c r="H25" i="30"/>
  <c r="N25" i="30"/>
  <c r="S25" i="30"/>
  <c r="X25" i="30"/>
  <c r="AD25" i="30"/>
  <c r="AI25" i="30"/>
  <c r="AN25" i="30"/>
  <c r="F26" i="30"/>
  <c r="K26" i="30"/>
  <c r="P26" i="30"/>
  <c r="V26" i="30"/>
  <c r="AA26" i="30"/>
  <c r="AF26" i="30"/>
  <c r="AL26" i="30"/>
  <c r="C27" i="30"/>
  <c r="H27" i="30"/>
  <c r="N27" i="30"/>
  <c r="S27" i="30"/>
  <c r="X27" i="30"/>
  <c r="AD27" i="30"/>
  <c r="AI27" i="30"/>
  <c r="AN27" i="30"/>
  <c r="F28" i="30"/>
  <c r="K28" i="30"/>
  <c r="P28" i="30"/>
  <c r="V28" i="30"/>
  <c r="AA28" i="30"/>
  <c r="AF28" i="30"/>
  <c r="AL28" i="30"/>
  <c r="C29" i="30"/>
  <c r="H29" i="30"/>
  <c r="N29" i="30"/>
  <c r="S29" i="30"/>
  <c r="X29" i="30"/>
  <c r="AD29" i="30"/>
  <c r="AI29" i="30"/>
  <c r="AN29" i="30"/>
  <c r="F30" i="30"/>
  <c r="K30" i="30"/>
  <c r="O30" i="30"/>
  <c r="S30" i="30"/>
  <c r="W30" i="30"/>
  <c r="AA30" i="30"/>
  <c r="AE30" i="30"/>
  <c r="AI30" i="30"/>
  <c r="AM30" i="30"/>
  <c r="C31" i="30"/>
  <c r="G31" i="30"/>
  <c r="K31" i="30"/>
  <c r="O31" i="30"/>
  <c r="S31" i="30"/>
  <c r="W31" i="30"/>
  <c r="AA31" i="30"/>
  <c r="AE31" i="30"/>
  <c r="AI31" i="30"/>
  <c r="AM31" i="30"/>
  <c r="C32" i="30"/>
  <c r="G32" i="30"/>
  <c r="K32" i="30"/>
  <c r="O32" i="30"/>
  <c r="S32" i="30"/>
  <c r="W32" i="30"/>
  <c r="AA32" i="30"/>
  <c r="AE32" i="30"/>
  <c r="AI32" i="30"/>
  <c r="AM32" i="30"/>
  <c r="C33" i="30"/>
  <c r="G33" i="30"/>
  <c r="K33" i="30"/>
  <c r="O33" i="30"/>
  <c r="S33" i="30"/>
  <c r="W33" i="30"/>
  <c r="AA33" i="30"/>
  <c r="AE33" i="30"/>
  <c r="AI33" i="30"/>
  <c r="AM33" i="30"/>
  <c r="C34" i="30"/>
  <c r="G34" i="30"/>
  <c r="K34" i="30"/>
  <c r="O34" i="30"/>
  <c r="S34" i="30"/>
  <c r="W34" i="30"/>
  <c r="AA34" i="30"/>
  <c r="AE34" i="30"/>
  <c r="AI34" i="30"/>
  <c r="AM34" i="30"/>
  <c r="C35" i="30"/>
  <c r="G35" i="30"/>
  <c r="K35" i="30"/>
  <c r="O35" i="30"/>
  <c r="S35" i="30"/>
  <c r="W35" i="30"/>
  <c r="AA35" i="30"/>
  <c r="AE35" i="30"/>
  <c r="AI35" i="30"/>
  <c r="AM35" i="30"/>
  <c r="C36" i="30"/>
  <c r="G36" i="30"/>
  <c r="K36" i="30"/>
  <c r="O36" i="30"/>
  <c r="S36" i="30"/>
  <c r="W36" i="30"/>
  <c r="AA36" i="30"/>
  <c r="AE36" i="30"/>
  <c r="AI36" i="30"/>
  <c r="AM36" i="30"/>
  <c r="C37" i="30"/>
  <c r="G37" i="30"/>
  <c r="K37" i="30"/>
  <c r="O37" i="30"/>
  <c r="S37" i="30"/>
  <c r="W37" i="30"/>
  <c r="AA37" i="30"/>
  <c r="AE37" i="30"/>
  <c r="AI37" i="30"/>
  <c r="AM37" i="30"/>
  <c r="C38" i="30"/>
  <c r="G38" i="30"/>
  <c r="K38" i="30"/>
  <c r="O38" i="30"/>
  <c r="S38" i="30"/>
  <c r="W38" i="30"/>
  <c r="AA38" i="30"/>
  <c r="AE38" i="30"/>
  <c r="AI38" i="30"/>
  <c r="AM38" i="30"/>
  <c r="C39" i="30"/>
  <c r="G39" i="30"/>
  <c r="K39" i="30"/>
  <c r="O39" i="30"/>
  <c r="S39" i="30"/>
  <c r="W39" i="30"/>
  <c r="AA39" i="30"/>
  <c r="AE39" i="30"/>
  <c r="AI39" i="30"/>
  <c r="AM39" i="30"/>
  <c r="C40" i="30"/>
  <c r="G40" i="30"/>
  <c r="K40" i="30"/>
  <c r="O40" i="30"/>
  <c r="S40" i="30"/>
  <c r="W40" i="30"/>
  <c r="AA40" i="30"/>
  <c r="AE40" i="30"/>
  <c r="AI40" i="30"/>
  <c r="AM40" i="30"/>
  <c r="C41" i="30"/>
  <c r="G41" i="30"/>
  <c r="K41" i="30"/>
  <c r="O41" i="30"/>
  <c r="S41" i="30"/>
  <c r="W41" i="30"/>
  <c r="AA41" i="30"/>
  <c r="AE41" i="30"/>
  <c r="AI41" i="30"/>
  <c r="AM41" i="30"/>
  <c r="C42" i="30"/>
  <c r="G42" i="30"/>
  <c r="K42" i="30"/>
  <c r="O42" i="30"/>
  <c r="S42" i="30"/>
  <c r="W42" i="30"/>
  <c r="AA42" i="30"/>
  <c r="AE42" i="30"/>
  <c r="AI42" i="30"/>
  <c r="AM42" i="30"/>
  <c r="O3" i="30"/>
  <c r="AM3" i="30"/>
  <c r="AB4" i="30"/>
  <c r="K5" i="30"/>
  <c r="AG5" i="30"/>
  <c r="W6" i="30"/>
  <c r="G7" i="30"/>
  <c r="AE7" i="30"/>
  <c r="S8" i="30"/>
  <c r="AO8" i="30"/>
  <c r="AA9" i="30"/>
  <c r="O10" i="30"/>
  <c r="AM10" i="30"/>
  <c r="U11" i="30"/>
  <c r="B12" i="30"/>
  <c r="U12" i="30"/>
  <c r="AL12" i="30"/>
  <c r="T13" i="30"/>
  <c r="AH13" i="30"/>
  <c r="H14" i="30"/>
  <c r="X14" i="30"/>
  <c r="AK14" i="30"/>
  <c r="J15" i="30"/>
  <c r="Z15" i="30"/>
  <c r="AL15" i="30"/>
  <c r="H16" i="30"/>
  <c r="T16" i="30"/>
  <c r="Z16" i="30"/>
  <c r="AG16" i="30"/>
  <c r="AO16" i="30"/>
  <c r="H17" i="30"/>
  <c r="N17" i="30"/>
  <c r="V17" i="30"/>
  <c r="AC17" i="30"/>
  <c r="AJ17" i="30"/>
  <c r="B18" i="30"/>
  <c r="G18" i="30"/>
  <c r="L18" i="30"/>
  <c r="R18" i="30"/>
  <c r="W18" i="30"/>
  <c r="AB18" i="30"/>
  <c r="AH18" i="30"/>
  <c r="AM18" i="30"/>
  <c r="D19" i="30"/>
  <c r="J19" i="30"/>
  <c r="O19" i="30"/>
  <c r="T19" i="30"/>
  <c r="Z19" i="30"/>
  <c r="AE19" i="30"/>
  <c r="AJ19" i="30"/>
  <c r="B20" i="30"/>
  <c r="G20" i="30"/>
  <c r="L20" i="30"/>
  <c r="R20" i="30"/>
  <c r="W20" i="30"/>
  <c r="AB20" i="30"/>
  <c r="AH20" i="30"/>
  <c r="AM20" i="30"/>
  <c r="D21" i="30"/>
  <c r="J21" i="30"/>
  <c r="O21" i="30"/>
  <c r="T21" i="30"/>
  <c r="Z21" i="30"/>
  <c r="AE21" i="30"/>
  <c r="AJ21" i="30"/>
  <c r="B22" i="30"/>
  <c r="G22" i="30"/>
  <c r="L22" i="30"/>
  <c r="R22" i="30"/>
  <c r="W22" i="30"/>
  <c r="AB22" i="30"/>
  <c r="AH22" i="30"/>
  <c r="AM22" i="30"/>
  <c r="D23" i="30"/>
  <c r="J23" i="30"/>
  <c r="O23" i="30"/>
  <c r="T23" i="30"/>
  <c r="Z23" i="30"/>
  <c r="AE23" i="30"/>
  <c r="AJ23" i="30"/>
  <c r="B24" i="30"/>
  <c r="G24" i="30"/>
  <c r="L24" i="30"/>
  <c r="R24" i="30"/>
  <c r="W24" i="30"/>
  <c r="AB24" i="30"/>
  <c r="M4" i="30"/>
  <c r="Y5" i="30"/>
  <c r="AG6" i="30"/>
  <c r="D8" i="30"/>
  <c r="P9" i="30"/>
  <c r="X10" i="30"/>
  <c r="AF11" i="30"/>
  <c r="AF12" i="30"/>
  <c r="Z13" i="30"/>
  <c r="P14" i="30"/>
  <c r="E15" i="30"/>
  <c r="AF15" i="30"/>
  <c r="N16" i="30"/>
  <c r="AD16" i="30"/>
  <c r="D17" i="30"/>
  <c r="R17" i="30"/>
  <c r="AG17" i="30"/>
  <c r="D18" i="30"/>
  <c r="O18" i="30"/>
  <c r="Z18" i="30"/>
  <c r="AJ18" i="30"/>
  <c r="G19" i="30"/>
  <c r="R19" i="30"/>
  <c r="AB19" i="30"/>
  <c r="AM19" i="30"/>
  <c r="J20" i="30"/>
  <c r="T20" i="30"/>
  <c r="AE20" i="30"/>
  <c r="B21" i="30"/>
  <c r="L21" i="30"/>
  <c r="W21" i="30"/>
  <c r="AH21" i="30"/>
  <c r="D22" i="30"/>
  <c r="O22" i="30"/>
  <c r="Z22" i="30"/>
  <c r="AJ22" i="30"/>
  <c r="G23" i="30"/>
  <c r="R23" i="30"/>
  <c r="AB23" i="30"/>
  <c r="AM23" i="30"/>
  <c r="J24" i="30"/>
  <c r="T24" i="30"/>
  <c r="AE24" i="30"/>
  <c r="AM24" i="30"/>
  <c r="F25" i="30"/>
  <c r="L25" i="30"/>
  <c r="T25" i="30"/>
  <c r="AA25" i="30"/>
  <c r="AH25" i="30"/>
  <c r="B26" i="30"/>
  <c r="H26" i="30"/>
  <c r="O26" i="30"/>
  <c r="W26" i="30"/>
  <c r="AD26" i="30"/>
  <c r="AJ26" i="30"/>
  <c r="D27" i="30"/>
  <c r="K27" i="30"/>
  <c r="R27" i="30"/>
  <c r="Z27" i="30"/>
  <c r="AF27" i="30"/>
  <c r="AM27" i="30"/>
  <c r="G28" i="30"/>
  <c r="N28" i="30"/>
  <c r="T28" i="30"/>
  <c r="AB28" i="30"/>
  <c r="AI28" i="30"/>
  <c r="B29" i="30"/>
  <c r="J29" i="30"/>
  <c r="P29" i="30"/>
  <c r="W29" i="30"/>
  <c r="AE29" i="30"/>
  <c r="AL29" i="30"/>
  <c r="D30" i="30"/>
  <c r="L30" i="30"/>
  <c r="Q30" i="30"/>
  <c r="V30" i="30"/>
  <c r="AB30" i="30"/>
  <c r="AG30" i="30"/>
  <c r="AL30" i="30"/>
  <c r="D31" i="30"/>
  <c r="I31" i="30"/>
  <c r="N31" i="30"/>
  <c r="T31" i="30"/>
  <c r="Y31" i="30"/>
  <c r="AD31" i="30"/>
  <c r="AJ31" i="30"/>
  <c r="AO31" i="30"/>
  <c r="F32" i="30"/>
  <c r="L32" i="30"/>
  <c r="Q32" i="30"/>
  <c r="V32" i="30"/>
  <c r="AB32" i="30"/>
  <c r="AG32" i="30"/>
  <c r="AL32" i="30"/>
  <c r="D33" i="30"/>
  <c r="I33" i="30"/>
  <c r="N33" i="30"/>
  <c r="T33" i="30"/>
  <c r="Y33" i="30"/>
  <c r="AD33" i="30"/>
  <c r="AJ33" i="30"/>
  <c r="AO33" i="30"/>
  <c r="F34" i="30"/>
  <c r="L34" i="30"/>
  <c r="Q34" i="30"/>
  <c r="V34" i="30"/>
  <c r="AB34" i="30"/>
  <c r="AG34" i="30"/>
  <c r="AL34" i="30"/>
  <c r="D35" i="30"/>
  <c r="I35" i="30"/>
  <c r="N35" i="30"/>
  <c r="T35" i="30"/>
  <c r="Y35" i="30"/>
  <c r="AD35" i="30"/>
  <c r="AJ35" i="30"/>
  <c r="AO35" i="30"/>
  <c r="F36" i="30"/>
  <c r="L36" i="30"/>
  <c r="Q36" i="30"/>
  <c r="V36" i="30"/>
  <c r="AB36" i="30"/>
  <c r="AG36" i="30"/>
  <c r="AL36" i="30"/>
  <c r="D37" i="30"/>
  <c r="I37" i="30"/>
  <c r="N37" i="30"/>
  <c r="T37" i="30"/>
  <c r="Y37" i="30"/>
  <c r="AD37" i="30"/>
  <c r="AJ37" i="30"/>
  <c r="AO37" i="30"/>
  <c r="F38" i="30"/>
  <c r="L38" i="30"/>
  <c r="Q38" i="30"/>
  <c r="V38" i="30"/>
  <c r="AB38" i="30"/>
  <c r="AG38" i="30"/>
  <c r="AL38" i="30"/>
  <c r="D39" i="30"/>
  <c r="I39" i="30"/>
  <c r="N39" i="30"/>
  <c r="T39" i="30"/>
  <c r="Y39" i="30"/>
  <c r="AD39" i="30"/>
  <c r="AJ39" i="30"/>
  <c r="AO39" i="30"/>
  <c r="F40" i="30"/>
  <c r="L40" i="30"/>
  <c r="Q40" i="30"/>
  <c r="V40" i="30"/>
  <c r="AB40" i="30"/>
  <c r="AG40" i="30"/>
  <c r="AL40" i="30"/>
  <c r="D41" i="30"/>
  <c r="I41" i="30"/>
  <c r="N41" i="30"/>
  <c r="T41" i="30"/>
  <c r="Y41" i="30"/>
  <c r="AD41" i="30"/>
  <c r="AJ41" i="30"/>
  <c r="AO41" i="30"/>
  <c r="F42" i="30"/>
  <c r="L42" i="30"/>
  <c r="Q42" i="30"/>
  <c r="V42" i="30"/>
  <c r="AB42" i="30"/>
  <c r="AG42" i="30"/>
  <c r="AL42" i="30"/>
  <c r="T3" i="30"/>
  <c r="AB3" i="30"/>
  <c r="P5" i="30"/>
  <c r="K7" i="30"/>
  <c r="AB8" i="30"/>
  <c r="S10" i="30"/>
  <c r="F12" i="30"/>
  <c r="I13" i="30"/>
  <c r="M14" i="30"/>
  <c r="P15" i="30"/>
  <c r="D16" i="30"/>
  <c r="AB16" i="30"/>
  <c r="I17" i="30"/>
  <c r="Y17" i="30"/>
  <c r="C18" i="30"/>
  <c r="S18" i="30"/>
  <c r="AE18" i="30"/>
  <c r="F19" i="30"/>
  <c r="V19" i="30"/>
  <c r="AH19" i="30"/>
  <c r="H20" i="30"/>
  <c r="X20" i="30"/>
  <c r="AJ20" i="30"/>
  <c r="K21" i="30"/>
  <c r="AA21" i="30"/>
  <c r="AM21" i="30"/>
  <c r="N22" i="30"/>
  <c r="AD22" i="30"/>
  <c r="B23" i="30"/>
  <c r="P23" i="30"/>
  <c r="AF23" i="30"/>
  <c r="D24" i="30"/>
  <c r="S24" i="30"/>
  <c r="AH24" i="30"/>
  <c r="B25" i="30"/>
  <c r="K25" i="30"/>
  <c r="V25" i="30"/>
  <c r="AE25" i="30"/>
  <c r="AM25" i="30"/>
  <c r="J26" i="30"/>
  <c r="S26" i="30"/>
  <c r="AB26" i="30"/>
  <c r="AM26" i="30"/>
  <c r="G27" i="30"/>
  <c r="P27" i="30"/>
  <c r="AA27" i="30"/>
  <c r="AJ27" i="30"/>
  <c r="D28" i="30"/>
  <c r="O28" i="30"/>
  <c r="X28" i="30"/>
  <c r="AH28" i="30"/>
  <c r="D29" i="30"/>
  <c r="L29" i="30"/>
  <c r="V29" i="30"/>
  <c r="AF29" i="30"/>
  <c r="B30" i="30"/>
  <c r="J30" i="30"/>
  <c r="R30" i="30"/>
  <c r="Y30" i="30"/>
  <c r="AF30" i="30"/>
  <c r="AN30" i="30"/>
  <c r="F31" i="30"/>
  <c r="M31" i="30"/>
  <c r="U31" i="30"/>
  <c r="AB31" i="30"/>
  <c r="AH31" i="30"/>
  <c r="B32" i="30"/>
  <c r="I32" i="30"/>
  <c r="P32" i="30"/>
  <c r="X32" i="30"/>
  <c r="AD32" i="30"/>
  <c r="AK32" i="30"/>
  <c r="E33" i="30"/>
  <c r="L33" i="30"/>
  <c r="R33" i="30"/>
  <c r="Z33" i="30"/>
  <c r="AG33" i="30"/>
  <c r="AN33" i="30"/>
  <c r="H34" i="30"/>
  <c r="N34" i="30"/>
  <c r="U34" i="30"/>
  <c r="AC34" i="30"/>
  <c r="AJ34" i="30"/>
  <c r="B35" i="30"/>
  <c r="J35" i="30"/>
  <c r="Q35" i="30"/>
  <c r="X35" i="30"/>
  <c r="AF35" i="30"/>
  <c r="AL35" i="30"/>
  <c r="E36" i="30"/>
  <c r="M36" i="30"/>
  <c r="T36" i="30"/>
  <c r="Z36" i="30"/>
  <c r="AH36" i="30"/>
  <c r="AO36" i="30"/>
  <c r="H37" i="30"/>
  <c r="P37" i="30"/>
  <c r="V37" i="30"/>
  <c r="AC37" i="30"/>
  <c r="AK37" i="30"/>
  <c r="D38" i="30"/>
  <c r="J38" i="30"/>
  <c r="R38" i="30"/>
  <c r="Y38" i="30"/>
  <c r="AF38" i="30"/>
  <c r="AN38" i="30"/>
  <c r="F39" i="30"/>
  <c r="M39" i="30"/>
  <c r="U39" i="30"/>
  <c r="AB39" i="30"/>
  <c r="AH39" i="30"/>
  <c r="B40" i="30"/>
  <c r="I40" i="30"/>
  <c r="P40" i="30"/>
  <c r="X40" i="30"/>
  <c r="AD40" i="30"/>
  <c r="AK40" i="30"/>
  <c r="E41" i="30"/>
  <c r="L41" i="30"/>
  <c r="R41" i="30"/>
  <c r="Z41" i="30"/>
  <c r="AG41" i="30"/>
  <c r="AN41" i="30"/>
  <c r="H42" i="30"/>
  <c r="N42" i="30"/>
  <c r="U42" i="30"/>
  <c r="AC42" i="30"/>
  <c r="AJ42" i="30"/>
  <c r="H4" i="30"/>
  <c r="D6" i="30"/>
  <c r="U7" i="30"/>
  <c r="G9" i="30"/>
  <c r="D11" i="30"/>
  <c r="J12" i="30"/>
  <c r="X13" i="30"/>
  <c r="Z14" i="30"/>
  <c r="R15" i="30"/>
  <c r="L16" i="30"/>
  <c r="AJ16" i="30"/>
  <c r="L17" i="30"/>
  <c r="AD17" i="30"/>
  <c r="H18" i="30"/>
  <c r="T18" i="30"/>
  <c r="AI18" i="30"/>
  <c r="K19" i="30"/>
  <c r="W19" i="30"/>
  <c r="AL19" i="30"/>
  <c r="N20" i="30"/>
  <c r="Z20" i="30"/>
  <c r="AN20" i="30"/>
  <c r="P21" i="30"/>
  <c r="AB21" i="30"/>
  <c r="C22" i="30"/>
  <c r="S22" i="30"/>
  <c r="AE22" i="30"/>
  <c r="F23" i="30"/>
  <c r="V23" i="30"/>
  <c r="AH23" i="30"/>
  <c r="H24" i="30"/>
  <c r="X24" i="30"/>
  <c r="AI24" i="30"/>
  <c r="D25" i="30"/>
  <c r="O25" i="30"/>
  <c r="W25" i="30"/>
  <c r="AF25" i="30"/>
  <c r="C26" i="30"/>
  <c r="L26" i="30"/>
  <c r="T26" i="30"/>
  <c r="AE26" i="30"/>
  <c r="AN26" i="30"/>
  <c r="J27" i="30"/>
  <c r="T27" i="30"/>
  <c r="AB27" i="30"/>
  <c r="AL27" i="30"/>
  <c r="H28" i="30"/>
  <c r="R28" i="30"/>
  <c r="Z28" i="30"/>
  <c r="AJ28" i="30"/>
  <c r="F29" i="30"/>
  <c r="O29" i="30"/>
  <c r="Z29" i="30"/>
  <c r="AH29" i="30"/>
  <c r="C30" i="30"/>
  <c r="M30" i="30"/>
  <c r="T30" i="30"/>
  <c r="Z30" i="30"/>
  <c r="AH30" i="30"/>
  <c r="AO30" i="30"/>
  <c r="H31" i="30"/>
  <c r="P31" i="30"/>
  <c r="V31" i="30"/>
  <c r="AC31" i="30"/>
  <c r="AK31" i="30"/>
  <c r="D32" i="30"/>
  <c r="J32" i="30"/>
  <c r="R32" i="30"/>
  <c r="Y32" i="30"/>
  <c r="AF32" i="30"/>
  <c r="AN32" i="30"/>
  <c r="F33" i="30"/>
  <c r="M33" i="30"/>
  <c r="U33" i="30"/>
  <c r="AB33" i="30"/>
  <c r="AH33" i="30"/>
  <c r="B34" i="30"/>
  <c r="I34" i="30"/>
  <c r="P34" i="30"/>
  <c r="X34" i="30"/>
  <c r="AD34" i="30"/>
  <c r="AK34" i="30"/>
  <c r="E35" i="30"/>
  <c r="L35" i="30"/>
  <c r="R35" i="30"/>
  <c r="Z35" i="30"/>
  <c r="AG35" i="30"/>
  <c r="AN35" i="30"/>
  <c r="H36" i="30"/>
  <c r="N36" i="30"/>
  <c r="U36" i="30"/>
  <c r="AC36" i="30"/>
  <c r="AJ36" i="30"/>
  <c r="B37" i="30"/>
  <c r="J37" i="30"/>
  <c r="Q37" i="30"/>
  <c r="X37" i="30"/>
  <c r="AF37" i="30"/>
  <c r="AL37" i="30"/>
  <c r="E38" i="30"/>
  <c r="M38" i="30"/>
  <c r="T38" i="30"/>
  <c r="Z38" i="30"/>
  <c r="AH38" i="30"/>
  <c r="AO38" i="30"/>
  <c r="H39" i="30"/>
  <c r="P39" i="30"/>
  <c r="V39" i="30"/>
  <c r="AC39" i="30"/>
  <c r="AK39" i="30"/>
  <c r="D40" i="30"/>
  <c r="J40" i="30"/>
  <c r="R40" i="30"/>
  <c r="Y40" i="30"/>
  <c r="AF40" i="30"/>
  <c r="AN40" i="30"/>
  <c r="F41" i="30"/>
  <c r="M41" i="30"/>
  <c r="U41" i="30"/>
  <c r="AB41" i="30"/>
  <c r="AH41" i="30"/>
  <c r="B42" i="30"/>
  <c r="I42" i="30"/>
  <c r="P42" i="30"/>
  <c r="X42" i="30"/>
  <c r="AD42" i="30"/>
  <c r="AK42" i="30"/>
  <c r="AE4" i="30"/>
  <c r="H6" i="30"/>
  <c r="AM7" i="30"/>
  <c r="AJ9" i="30"/>
  <c r="L11" i="30"/>
  <c r="X12" i="30"/>
  <c r="AK13" i="30"/>
  <c r="AC14" i="30"/>
  <c r="AC15" i="30"/>
  <c r="U16" i="30"/>
  <c r="AK16" i="30"/>
  <c r="Q17" i="30"/>
  <c r="AL17" i="30"/>
  <c r="J18" i="30"/>
  <c r="X18" i="30"/>
  <c r="AN18" i="30"/>
  <c r="L19" i="30"/>
  <c r="AA19" i="30"/>
  <c r="C20" i="30"/>
  <c r="O20" i="30"/>
  <c r="AD20" i="30"/>
  <c r="F21" i="30"/>
  <c r="R21" i="30"/>
  <c r="AF21" i="30"/>
  <c r="H22" i="30"/>
  <c r="T22" i="30"/>
  <c r="AI22" i="30"/>
  <c r="K23" i="30"/>
  <c r="W23" i="30"/>
  <c r="AL23" i="30"/>
  <c r="N24" i="30"/>
  <c r="Z24" i="30"/>
  <c r="AJ24" i="30"/>
  <c r="G25" i="30"/>
  <c r="P25" i="30"/>
  <c r="Z25" i="30"/>
  <c r="AJ25" i="30"/>
  <c r="D26" i="30"/>
  <c r="N26" i="30"/>
  <c r="X26" i="30"/>
  <c r="AH26" i="30"/>
  <c r="B27" i="30"/>
  <c r="L27" i="30"/>
  <c r="V27" i="30"/>
  <c r="AE27" i="30"/>
  <c r="B28" i="30"/>
  <c r="J28" i="30"/>
  <c r="S28" i="30"/>
  <c r="AD28" i="30"/>
  <c r="AM28" i="30"/>
  <c r="G29" i="30"/>
  <c r="R29" i="30"/>
  <c r="AA29" i="30"/>
  <c r="AJ29" i="30"/>
  <c r="G30" i="30"/>
  <c r="N30" i="30"/>
  <c r="U30" i="30"/>
  <c r="AC30" i="30"/>
  <c r="AJ30" i="30"/>
  <c r="B31" i="30"/>
  <c r="J31" i="30"/>
  <c r="Q31" i="30"/>
  <c r="X31" i="30"/>
  <c r="AF31" i="30"/>
  <c r="AL31" i="30"/>
  <c r="E32" i="30"/>
  <c r="M32" i="30"/>
  <c r="T32" i="30"/>
  <c r="Z32" i="30"/>
  <c r="AH32" i="30"/>
  <c r="AO32" i="30"/>
  <c r="H33" i="30"/>
  <c r="P33" i="30"/>
  <c r="V33" i="30"/>
  <c r="AC33" i="30"/>
  <c r="AK33" i="30"/>
  <c r="D34" i="30"/>
  <c r="J34" i="30"/>
  <c r="R34" i="30"/>
  <c r="Y34" i="30"/>
  <c r="AF34" i="30"/>
  <c r="AN34" i="30"/>
  <c r="F35" i="30"/>
  <c r="M35" i="30"/>
  <c r="U35" i="30"/>
  <c r="AB35" i="30"/>
  <c r="AH35" i="30"/>
  <c r="B36" i="30"/>
  <c r="I36" i="30"/>
  <c r="P36" i="30"/>
  <c r="X36" i="30"/>
  <c r="AD36" i="30"/>
  <c r="AK36" i="30"/>
  <c r="E37" i="30"/>
  <c r="L37" i="30"/>
  <c r="R37" i="30"/>
  <c r="Z37" i="30"/>
  <c r="AG37" i="30"/>
  <c r="AN37" i="30"/>
  <c r="H38" i="30"/>
  <c r="N38" i="30"/>
  <c r="U38" i="30"/>
  <c r="AC38" i="30"/>
  <c r="AJ38" i="30"/>
  <c r="B39" i="30"/>
  <c r="J39" i="30"/>
  <c r="Q39" i="30"/>
  <c r="X39" i="30"/>
  <c r="AF39" i="30"/>
  <c r="AL39" i="30"/>
  <c r="E40" i="30"/>
  <c r="M40" i="30"/>
  <c r="T40" i="30"/>
  <c r="Z40" i="30"/>
  <c r="AH40" i="30"/>
  <c r="AO40" i="30"/>
  <c r="H41" i="30"/>
  <c r="P41" i="30"/>
  <c r="V41" i="30"/>
  <c r="AC41" i="30"/>
  <c r="AK41" i="30"/>
  <c r="D42" i="30"/>
  <c r="J42" i="30"/>
  <c r="R42" i="30"/>
  <c r="Y42" i="30"/>
  <c r="AF42" i="30"/>
  <c r="AN42" i="30"/>
  <c r="AJ4" i="30"/>
  <c r="AB6" i="30"/>
  <c r="X8" i="30"/>
  <c r="AO9" i="30"/>
  <c r="AC11" i="30"/>
  <c r="E13" i="30"/>
  <c r="B14" i="30"/>
  <c r="AN14" i="30"/>
  <c r="AN15" i="30"/>
  <c r="V16" i="30"/>
  <c r="B17" i="30"/>
  <c r="X17" i="30"/>
  <c r="AM17" i="30"/>
  <c r="N18" i="30"/>
  <c r="AD18" i="30"/>
  <c r="B19" i="30"/>
  <c r="P19" i="30"/>
  <c r="AF19" i="30"/>
  <c r="D20" i="30"/>
  <c r="S20" i="30"/>
  <c r="AI20" i="30"/>
  <c r="G21" i="30"/>
  <c r="V21" i="30"/>
  <c r="AL21" i="30"/>
  <c r="J22" i="30"/>
  <c r="X22" i="30"/>
  <c r="AN22" i="30"/>
  <c r="L23" i="30"/>
  <c r="AA23" i="30"/>
  <c r="C24" i="30"/>
  <c r="O24" i="30"/>
  <c r="AD24" i="30"/>
  <c r="AN24" i="30"/>
  <c r="J25" i="30"/>
  <c r="R25" i="30"/>
  <c r="AB25" i="30"/>
  <c r="AL25" i="30"/>
  <c r="G26" i="30"/>
  <c r="R26" i="30"/>
  <c r="Z26" i="30"/>
  <c r="AI26" i="30"/>
  <c r="F27" i="30"/>
  <c r="O27" i="30"/>
  <c r="W27" i="30"/>
  <c r="AH27" i="30"/>
  <c r="C28" i="30"/>
  <c r="L28" i="30"/>
  <c r="W28" i="30"/>
  <c r="AE28" i="30"/>
  <c r="AN28" i="30"/>
  <c r="K29" i="30"/>
  <c r="T29" i="30"/>
  <c r="AB29" i="30"/>
  <c r="AM29" i="30"/>
  <c r="H30" i="30"/>
  <c r="P30" i="30"/>
  <c r="X30" i="30"/>
  <c r="AD30" i="30"/>
  <c r="AK30" i="30"/>
  <c r="E31" i="30"/>
  <c r="L31" i="30"/>
  <c r="R31" i="30"/>
  <c r="Z31" i="30"/>
  <c r="AG31" i="30"/>
  <c r="AN31" i="30"/>
  <c r="H32" i="30"/>
  <c r="N32" i="30"/>
  <c r="U32" i="30"/>
  <c r="AC32" i="30"/>
  <c r="AJ32" i="30"/>
  <c r="B33" i="30"/>
  <c r="J33" i="30"/>
  <c r="Q33" i="30"/>
  <c r="X33" i="30"/>
  <c r="AF33" i="30"/>
  <c r="AL33" i="30"/>
  <c r="E34" i="30"/>
  <c r="M34" i="30"/>
  <c r="T34" i="30"/>
  <c r="Z34" i="30"/>
  <c r="AH34" i="30"/>
  <c r="AO34" i="30"/>
  <c r="H35" i="30"/>
  <c r="P35" i="30"/>
  <c r="V35" i="30"/>
  <c r="AC35" i="30"/>
  <c r="AK35" i="30"/>
  <c r="D36" i="30"/>
  <c r="J36" i="30"/>
  <c r="R36" i="30"/>
  <c r="Y36" i="30"/>
  <c r="AF36" i="30"/>
  <c r="AN36" i="30"/>
  <c r="F37" i="30"/>
  <c r="M37" i="30"/>
  <c r="U37" i="30"/>
  <c r="AB37" i="30"/>
  <c r="AH37" i="30"/>
  <c r="B38" i="30"/>
  <c r="I38" i="30"/>
  <c r="P38" i="30"/>
  <c r="X38" i="30"/>
  <c r="AD38" i="30"/>
  <c r="AK38" i="30"/>
  <c r="E39" i="30"/>
  <c r="L39" i="30"/>
  <c r="R39" i="30"/>
  <c r="Z39" i="30"/>
  <c r="AG39" i="30"/>
  <c r="AN39" i="30"/>
  <c r="H40" i="30"/>
  <c r="N40" i="30"/>
  <c r="U40" i="30"/>
  <c r="AC40" i="30"/>
  <c r="AJ40" i="30"/>
  <c r="B41" i="30"/>
  <c r="J41" i="30"/>
  <c r="Q41" i="30"/>
  <c r="X41" i="30"/>
  <c r="AF41" i="30"/>
  <c r="AL41" i="30"/>
  <c r="E42" i="30"/>
  <c r="M42" i="30"/>
  <c r="T42" i="30"/>
  <c r="Z42" i="30"/>
  <c r="AH42" i="30"/>
  <c r="AO42" i="30"/>
  <c r="E3" i="29"/>
  <c r="I3" i="29"/>
  <c r="M3" i="29"/>
  <c r="Q3" i="29"/>
  <c r="U3" i="29"/>
  <c r="Y3" i="29"/>
  <c r="AC3" i="29"/>
  <c r="AG3" i="29"/>
  <c r="AK3" i="29"/>
  <c r="AO3" i="29"/>
  <c r="E4" i="29"/>
  <c r="I4" i="29"/>
  <c r="M4" i="29"/>
  <c r="Q4" i="29"/>
  <c r="U4" i="29"/>
  <c r="Y4" i="29"/>
  <c r="AC4" i="29"/>
  <c r="AG4" i="29"/>
  <c r="AK4" i="29"/>
  <c r="AO4" i="29"/>
  <c r="E5" i="29"/>
  <c r="I5" i="29"/>
  <c r="M5" i="29"/>
  <c r="Q5" i="29"/>
  <c r="U5" i="29"/>
  <c r="Y5" i="29"/>
  <c r="AC5" i="29"/>
  <c r="AG5" i="29"/>
  <c r="AK5" i="29"/>
  <c r="AO5" i="29"/>
  <c r="E6" i="29"/>
  <c r="I6" i="29"/>
  <c r="M6" i="29"/>
  <c r="Q6" i="29"/>
  <c r="U6" i="29"/>
  <c r="Y6" i="29"/>
  <c r="AC6" i="29"/>
  <c r="AG6" i="29"/>
  <c r="AK6" i="29"/>
  <c r="AO6" i="29"/>
  <c r="E7" i="29"/>
  <c r="I7" i="29"/>
  <c r="M7" i="29"/>
  <c r="Q7" i="29"/>
  <c r="U7" i="29"/>
  <c r="Y7" i="29"/>
  <c r="AC7" i="29"/>
  <c r="AG7" i="29"/>
  <c r="AK7" i="29"/>
  <c r="AO7" i="29"/>
  <c r="E8" i="29"/>
  <c r="I8" i="29"/>
  <c r="M8" i="29"/>
  <c r="Q8" i="29"/>
  <c r="U8" i="29"/>
  <c r="Y8" i="29"/>
  <c r="AC8" i="29"/>
  <c r="AG8" i="29"/>
  <c r="AK8" i="29"/>
  <c r="AO8" i="29"/>
  <c r="E9" i="29"/>
  <c r="I9" i="29"/>
  <c r="M9" i="29"/>
  <c r="Q9" i="29"/>
  <c r="U9" i="29"/>
  <c r="Y9" i="29"/>
  <c r="AC9" i="29"/>
  <c r="AG9" i="29"/>
  <c r="AK9" i="29"/>
  <c r="AO9" i="29"/>
  <c r="E10" i="29"/>
  <c r="I10" i="29"/>
  <c r="M10" i="29"/>
  <c r="Q10" i="29"/>
  <c r="U10" i="29"/>
  <c r="Y10" i="29"/>
  <c r="AC10" i="29"/>
  <c r="AG10" i="29"/>
  <c r="AK10" i="29"/>
  <c r="AO10" i="29"/>
  <c r="E11" i="29"/>
  <c r="I11" i="29"/>
  <c r="M11" i="29"/>
  <c r="Q11" i="29"/>
  <c r="B3" i="29"/>
  <c r="F3" i="29"/>
  <c r="J3" i="29"/>
  <c r="N3" i="29"/>
  <c r="R3" i="29"/>
  <c r="V3" i="29"/>
  <c r="Z3" i="29"/>
  <c r="AD3" i="29"/>
  <c r="AH3" i="29"/>
  <c r="AL3" i="29"/>
  <c r="B4" i="29"/>
  <c r="F4" i="29"/>
  <c r="J4" i="29"/>
  <c r="C3" i="29"/>
  <c r="K3" i="29"/>
  <c r="S3" i="29"/>
  <c r="AA3" i="29"/>
  <c r="AI3" i="29"/>
  <c r="C4" i="29"/>
  <c r="K4" i="29"/>
  <c r="P4" i="29"/>
  <c r="V4" i="29"/>
  <c r="AA4" i="29"/>
  <c r="AF4" i="29"/>
  <c r="AL4" i="29"/>
  <c r="C5" i="29"/>
  <c r="H5" i="29"/>
  <c r="N5" i="29"/>
  <c r="S5" i="29"/>
  <c r="X5" i="29"/>
  <c r="AD5" i="29"/>
  <c r="AI5" i="29"/>
  <c r="AN5" i="29"/>
  <c r="F6" i="29"/>
  <c r="K6" i="29"/>
  <c r="P6" i="29"/>
  <c r="V6" i="29"/>
  <c r="AA6" i="29"/>
  <c r="AF6" i="29"/>
  <c r="AL6" i="29"/>
  <c r="C7" i="29"/>
  <c r="H7" i="29"/>
  <c r="N7" i="29"/>
  <c r="S7" i="29"/>
  <c r="X7" i="29"/>
  <c r="AD7" i="29"/>
  <c r="AI7" i="29"/>
  <c r="AN7" i="29"/>
  <c r="F8" i="29"/>
  <c r="K8" i="29"/>
  <c r="P8" i="29"/>
  <c r="V8" i="29"/>
  <c r="AA8" i="29"/>
  <c r="AF8" i="29"/>
  <c r="AL8" i="29"/>
  <c r="C9" i="29"/>
  <c r="H9" i="29"/>
  <c r="N9" i="29"/>
  <c r="S9" i="29"/>
  <c r="X9" i="29"/>
  <c r="AD9" i="29"/>
  <c r="AI9" i="29"/>
  <c r="AN9" i="29"/>
  <c r="F10" i="29"/>
  <c r="K10" i="29"/>
  <c r="P10" i="29"/>
  <c r="V10" i="29"/>
  <c r="AA10" i="29"/>
  <c r="AF10" i="29"/>
  <c r="AL10" i="29"/>
  <c r="C11" i="29"/>
  <c r="H11" i="29"/>
  <c r="N11" i="29"/>
  <c r="S11" i="29"/>
  <c r="W11" i="29"/>
  <c r="AA11" i="29"/>
  <c r="AE11" i="29"/>
  <c r="AI11" i="29"/>
  <c r="AM11" i="29"/>
  <c r="C12" i="29"/>
  <c r="G12" i="29"/>
  <c r="K12" i="29"/>
  <c r="O12" i="29"/>
  <c r="S12" i="29"/>
  <c r="W12" i="29"/>
  <c r="AA12" i="29"/>
  <c r="AE12" i="29"/>
  <c r="D3" i="29"/>
  <c r="L3" i="29"/>
  <c r="T3" i="29"/>
  <c r="AB3" i="29"/>
  <c r="AJ3" i="29"/>
  <c r="D4" i="29"/>
  <c r="L4" i="29"/>
  <c r="R4" i="29"/>
  <c r="W4" i="29"/>
  <c r="AB4" i="29"/>
  <c r="AH4" i="29"/>
  <c r="AM4" i="29"/>
  <c r="D5" i="29"/>
  <c r="J5" i="29"/>
  <c r="O5" i="29"/>
  <c r="T5" i="29"/>
  <c r="Z5" i="29"/>
  <c r="AE5" i="29"/>
  <c r="AJ5" i="29"/>
  <c r="B6" i="29"/>
  <c r="G6" i="29"/>
  <c r="L6" i="29"/>
  <c r="R6" i="29"/>
  <c r="W6" i="29"/>
  <c r="AB6" i="29"/>
  <c r="AH6" i="29"/>
  <c r="AM6" i="29"/>
  <c r="D7" i="29"/>
  <c r="J7" i="29"/>
  <c r="O7" i="29"/>
  <c r="T7" i="29"/>
  <c r="Z7" i="29"/>
  <c r="AE7" i="29"/>
  <c r="AJ7" i="29"/>
  <c r="B8" i="29"/>
  <c r="G8" i="29"/>
  <c r="L8" i="29"/>
  <c r="R8" i="29"/>
  <c r="W8" i="29"/>
  <c r="AB8" i="29"/>
  <c r="AH8" i="29"/>
  <c r="G3" i="29"/>
  <c r="O3" i="29"/>
  <c r="W3" i="29"/>
  <c r="AE3" i="29"/>
  <c r="AM3" i="29"/>
  <c r="G4" i="29"/>
  <c r="N4" i="29"/>
  <c r="S4" i="29"/>
  <c r="X4" i="29"/>
  <c r="AD4" i="29"/>
  <c r="AI4" i="29"/>
  <c r="AN4" i="29"/>
  <c r="F5" i="29"/>
  <c r="K5" i="29"/>
  <c r="P5" i="29"/>
  <c r="V5" i="29"/>
  <c r="AA5" i="29"/>
  <c r="AF5" i="29"/>
  <c r="AL5" i="29"/>
  <c r="C6" i="29"/>
  <c r="H6" i="29"/>
  <c r="N6" i="29"/>
  <c r="S6" i="29"/>
  <c r="X6" i="29"/>
  <c r="AD6" i="29"/>
  <c r="AI6" i="29"/>
  <c r="AN6" i="29"/>
  <c r="F7" i="29"/>
  <c r="K7" i="29"/>
  <c r="P7" i="29"/>
  <c r="V7" i="29"/>
  <c r="AA7" i="29"/>
  <c r="AF7" i="29"/>
  <c r="AL7" i="29"/>
  <c r="C8" i="29"/>
  <c r="H8" i="29"/>
  <c r="N8" i="29"/>
  <c r="S8" i="29"/>
  <c r="X8" i="29"/>
  <c r="AD8" i="29"/>
  <c r="AI8" i="29"/>
  <c r="AN8" i="29"/>
  <c r="F9" i="29"/>
  <c r="K9" i="29"/>
  <c r="P9" i="29"/>
  <c r="V9" i="29"/>
  <c r="AA9" i="29"/>
  <c r="AF9" i="29"/>
  <c r="AL9" i="29"/>
  <c r="C10" i="29"/>
  <c r="H10" i="29"/>
  <c r="N10" i="29"/>
  <c r="S10" i="29"/>
  <c r="X10" i="29"/>
  <c r="AD10" i="29"/>
  <c r="AI10" i="29"/>
  <c r="AN10" i="29"/>
  <c r="F11" i="29"/>
  <c r="K11" i="29"/>
  <c r="P11" i="29"/>
  <c r="U11" i="29"/>
  <c r="Y11" i="29"/>
  <c r="AC11" i="29"/>
  <c r="AG11" i="29"/>
  <c r="AK11" i="29"/>
  <c r="AO11" i="29"/>
  <c r="E12" i="29"/>
  <c r="I12" i="29"/>
  <c r="M12" i="29"/>
  <c r="Q12" i="29"/>
  <c r="U12" i="29"/>
  <c r="Y12" i="29"/>
  <c r="AC12" i="29"/>
  <c r="AG12" i="29"/>
  <c r="AK12" i="29"/>
  <c r="AO12" i="29"/>
  <c r="E13" i="29"/>
  <c r="I13" i="29"/>
  <c r="M13" i="29"/>
  <c r="Q13" i="29"/>
  <c r="U13" i="29"/>
  <c r="Y13" i="29"/>
  <c r="AC13" i="29"/>
  <c r="AG13" i="29"/>
  <c r="AK13" i="29"/>
  <c r="H3" i="29"/>
  <c r="AN3" i="29"/>
  <c r="Z4" i="29"/>
  <c r="G5" i="29"/>
  <c r="AB5" i="29"/>
  <c r="J6" i="29"/>
  <c r="AE6" i="29"/>
  <c r="L7" i="29"/>
  <c r="AH7" i="29"/>
  <c r="O8" i="29"/>
  <c r="AJ8" i="29"/>
  <c r="G9" i="29"/>
  <c r="R9" i="29"/>
  <c r="AB9" i="29"/>
  <c r="AM9" i="29"/>
  <c r="J10" i="29"/>
  <c r="T10" i="29"/>
  <c r="AE10" i="29"/>
  <c r="B11" i="29"/>
  <c r="L11" i="29"/>
  <c r="V11" i="29"/>
  <c r="AD11" i="29"/>
  <c r="AL11" i="29"/>
  <c r="F12" i="29"/>
  <c r="N12" i="29"/>
  <c r="V12" i="29"/>
  <c r="AD12" i="29"/>
  <c r="AJ12" i="29"/>
  <c r="B13" i="29"/>
  <c r="G13" i="29"/>
  <c r="L13" i="29"/>
  <c r="R13" i="29"/>
  <c r="W13" i="29"/>
  <c r="AB13" i="29"/>
  <c r="AH13" i="29"/>
  <c r="AM13" i="29"/>
  <c r="C14" i="29"/>
  <c r="G14" i="29"/>
  <c r="K14" i="29"/>
  <c r="O14" i="29"/>
  <c r="S14" i="29"/>
  <c r="W14" i="29"/>
  <c r="AA14" i="29"/>
  <c r="AE14" i="29"/>
  <c r="AI14" i="29"/>
  <c r="AM14" i="29"/>
  <c r="C15" i="29"/>
  <c r="G15" i="29"/>
  <c r="K15" i="29"/>
  <c r="O15" i="29"/>
  <c r="S15" i="29"/>
  <c r="W15" i="29"/>
  <c r="AA15" i="29"/>
  <c r="AE15" i="29"/>
  <c r="AI15" i="29"/>
  <c r="AM15" i="29"/>
  <c r="C16" i="29"/>
  <c r="G16" i="29"/>
  <c r="K16" i="29"/>
  <c r="O16" i="29"/>
  <c r="S16" i="29"/>
  <c r="W16" i="29"/>
  <c r="AA16" i="29"/>
  <c r="AE16" i="29"/>
  <c r="AI16" i="29"/>
  <c r="AM16" i="29"/>
  <c r="C17" i="29"/>
  <c r="G17" i="29"/>
  <c r="K17" i="29"/>
  <c r="O17" i="29"/>
  <c r="S17" i="29"/>
  <c r="W17" i="29"/>
  <c r="AA17" i="29"/>
  <c r="AE17" i="29"/>
  <c r="AI17" i="29"/>
  <c r="AM17" i="29"/>
  <c r="C18" i="29"/>
  <c r="G18" i="29"/>
  <c r="K18" i="29"/>
  <c r="O18" i="29"/>
  <c r="S18" i="29"/>
  <c r="W18" i="29"/>
  <c r="AA18" i="29"/>
  <c r="AE18" i="29"/>
  <c r="AI18" i="29"/>
  <c r="AM18" i="29"/>
  <c r="C19" i="29"/>
  <c r="G19" i="29"/>
  <c r="K19" i="29"/>
  <c r="O19" i="29"/>
  <c r="S19" i="29"/>
  <c r="W19" i="29"/>
  <c r="AA19" i="29"/>
  <c r="AE19" i="29"/>
  <c r="AI19" i="29"/>
  <c r="AM19" i="29"/>
  <c r="C20" i="29"/>
  <c r="G20" i="29"/>
  <c r="K20" i="29"/>
  <c r="O20" i="29"/>
  <c r="S20" i="29"/>
  <c r="W20" i="29"/>
  <c r="AA20" i="29"/>
  <c r="AE20" i="29"/>
  <c r="AI20" i="29"/>
  <c r="AM20" i="29"/>
  <c r="C21" i="29"/>
  <c r="G21" i="29"/>
  <c r="K21" i="29"/>
  <c r="O21" i="29"/>
  <c r="S21" i="29"/>
  <c r="P3" i="29"/>
  <c r="H4" i="29"/>
  <c r="AE4" i="29"/>
  <c r="L5" i="29"/>
  <c r="AH5" i="29"/>
  <c r="O6" i="29"/>
  <c r="AJ6" i="29"/>
  <c r="R7" i="29"/>
  <c r="AM7" i="29"/>
  <c r="T8" i="29"/>
  <c r="AM8" i="29"/>
  <c r="J9" i="29"/>
  <c r="T9" i="29"/>
  <c r="AE9" i="29"/>
  <c r="B10" i="29"/>
  <c r="L10" i="29"/>
  <c r="W10" i="29"/>
  <c r="AH10" i="29"/>
  <c r="D11" i="29"/>
  <c r="O11" i="29"/>
  <c r="X11" i="29"/>
  <c r="AF11" i="29"/>
  <c r="AN11" i="29"/>
  <c r="H12" i="29"/>
  <c r="P12" i="29"/>
  <c r="X12" i="29"/>
  <c r="AF12" i="29"/>
  <c r="AL12" i="29"/>
  <c r="C13" i="29"/>
  <c r="H13" i="29"/>
  <c r="N13" i="29"/>
  <c r="S13" i="29"/>
  <c r="X13" i="29"/>
  <c r="AD13" i="29"/>
  <c r="AI13" i="29"/>
  <c r="AN13" i="29"/>
  <c r="D14" i="29"/>
  <c r="H14" i="29"/>
  <c r="L14" i="29"/>
  <c r="P14" i="29"/>
  <c r="T14" i="29"/>
  <c r="X14" i="29"/>
  <c r="AB14" i="29"/>
  <c r="AF14" i="29"/>
  <c r="AJ14" i="29"/>
  <c r="AN14" i="29"/>
  <c r="D15" i="29"/>
  <c r="H15" i="29"/>
  <c r="L15" i="29"/>
  <c r="P15" i="29"/>
  <c r="T15" i="29"/>
  <c r="X15" i="29"/>
  <c r="AB15" i="29"/>
  <c r="AF15" i="29"/>
  <c r="AJ15" i="29"/>
  <c r="AN15" i="29"/>
  <c r="D16" i="29"/>
  <c r="H16" i="29"/>
  <c r="L16" i="29"/>
  <c r="P16" i="29"/>
  <c r="T16" i="29"/>
  <c r="X16" i="29"/>
  <c r="AB16" i="29"/>
  <c r="AF16" i="29"/>
  <c r="AJ16" i="29"/>
  <c r="AN16" i="29"/>
  <c r="D17" i="29"/>
  <c r="H17" i="29"/>
  <c r="L17" i="29"/>
  <c r="P17" i="29"/>
  <c r="T17" i="29"/>
  <c r="X17" i="29"/>
  <c r="AB17" i="29"/>
  <c r="AF17" i="29"/>
  <c r="AJ17" i="29"/>
  <c r="AN17" i="29"/>
  <c r="D18" i="29"/>
  <c r="H18" i="29"/>
  <c r="L18" i="29"/>
  <c r="P18" i="29"/>
  <c r="T18" i="29"/>
  <c r="X18" i="29"/>
  <c r="AB18" i="29"/>
  <c r="AF18" i="29"/>
  <c r="AJ18" i="29"/>
  <c r="X3" i="29"/>
  <c r="O4" i="29"/>
  <c r="AJ4" i="29"/>
  <c r="R5" i="29"/>
  <c r="AM5" i="29"/>
  <c r="T6" i="29"/>
  <c r="B7" i="29"/>
  <c r="W7" i="29"/>
  <c r="D8" i="29"/>
  <c r="Z8" i="29"/>
  <c r="B9" i="29"/>
  <c r="L9" i="29"/>
  <c r="W9" i="29"/>
  <c r="AH9" i="29"/>
  <c r="D10" i="29"/>
  <c r="O10" i="29"/>
  <c r="Z10" i="29"/>
  <c r="AJ10" i="29"/>
  <c r="G11" i="29"/>
  <c r="R11" i="29"/>
  <c r="Z11" i="29"/>
  <c r="AH11" i="29"/>
  <c r="B12" i="29"/>
  <c r="J12" i="29"/>
  <c r="R12" i="29"/>
  <c r="Z12" i="29"/>
  <c r="AH12" i="29"/>
  <c r="AM12" i="29"/>
  <c r="D13" i="29"/>
  <c r="J13" i="29"/>
  <c r="O13" i="29"/>
  <c r="T13" i="29"/>
  <c r="Z13" i="29"/>
  <c r="AE13" i="29"/>
  <c r="AJ13" i="29"/>
  <c r="AO13" i="29"/>
  <c r="E14" i="29"/>
  <c r="I14" i="29"/>
  <c r="M14" i="29"/>
  <c r="Q14" i="29"/>
  <c r="U14" i="29"/>
  <c r="Y14" i="29"/>
  <c r="AC14" i="29"/>
  <c r="AG14" i="29"/>
  <c r="AK14" i="29"/>
  <c r="AO14" i="29"/>
  <c r="E15" i="29"/>
  <c r="I15" i="29"/>
  <c r="M15" i="29"/>
  <c r="Q15" i="29"/>
  <c r="U15" i="29"/>
  <c r="Y15" i="29"/>
  <c r="AC15" i="29"/>
  <c r="AG15" i="29"/>
  <c r="AK15" i="29"/>
  <c r="AO15" i="29"/>
  <c r="E16" i="29"/>
  <c r="I16" i="29"/>
  <c r="M16" i="29"/>
  <c r="Q16" i="29"/>
  <c r="U16" i="29"/>
  <c r="Y16" i="29"/>
  <c r="AC16" i="29"/>
  <c r="AG16" i="29"/>
  <c r="AK16" i="29"/>
  <c r="AO16" i="29"/>
  <c r="E17" i="29"/>
  <c r="I17" i="29"/>
  <c r="M17" i="29"/>
  <c r="Q17" i="29"/>
  <c r="U17" i="29"/>
  <c r="Y17" i="29"/>
  <c r="AC17" i="29"/>
  <c r="AG17" i="29"/>
  <c r="AK17" i="29"/>
  <c r="AO17" i="29"/>
  <c r="E18" i="29"/>
  <c r="I18" i="29"/>
  <c r="M18" i="29"/>
  <c r="Q18" i="29"/>
  <c r="U18" i="29"/>
  <c r="Y18" i="29"/>
  <c r="AC18" i="29"/>
  <c r="AG18" i="29"/>
  <c r="AK18" i="29"/>
  <c r="AO18" i="29"/>
  <c r="E19" i="29"/>
  <c r="I19" i="29"/>
  <c r="M19" i="29"/>
  <c r="Q19" i="29"/>
  <c r="U19" i="29"/>
  <c r="Y19" i="29"/>
  <c r="AC19" i="29"/>
  <c r="AG19" i="29"/>
  <c r="AK19" i="29"/>
  <c r="AO19" i="29"/>
  <c r="E20" i="29"/>
  <c r="I20" i="29"/>
  <c r="M20" i="29"/>
  <c r="Q20" i="29"/>
  <c r="U20" i="29"/>
  <c r="Y20" i="29"/>
  <c r="AC20" i="29"/>
  <c r="AG20" i="29"/>
  <c r="AK20" i="29"/>
  <c r="AO20" i="29"/>
  <c r="E21" i="29"/>
  <c r="I21" i="29"/>
  <c r="M21" i="29"/>
  <c r="Q21" i="29"/>
  <c r="U21" i="29"/>
  <c r="Y21" i="29"/>
  <c r="AC21" i="29"/>
  <c r="AF3" i="29"/>
  <c r="D6" i="29"/>
  <c r="J8" i="29"/>
  <c r="Z9" i="29"/>
  <c r="AB10" i="29"/>
  <c r="AB11" i="29"/>
  <c r="T12" i="29"/>
  <c r="F13" i="29"/>
  <c r="AA13" i="29"/>
  <c r="F14" i="29"/>
  <c r="V14" i="29"/>
  <c r="AL14" i="29"/>
  <c r="N15" i="29"/>
  <c r="AD15" i="29"/>
  <c r="F16" i="29"/>
  <c r="V16" i="29"/>
  <c r="AL16" i="29"/>
  <c r="N17" i="29"/>
  <c r="AD17" i="29"/>
  <c r="F18" i="29"/>
  <c r="V18" i="29"/>
  <c r="AL18" i="29"/>
  <c r="F19" i="29"/>
  <c r="N19" i="29"/>
  <c r="V19" i="29"/>
  <c r="AD19" i="29"/>
  <c r="AL19" i="29"/>
  <c r="F20" i="29"/>
  <c r="N20" i="29"/>
  <c r="V20" i="29"/>
  <c r="AD20" i="29"/>
  <c r="AL20" i="29"/>
  <c r="F21" i="29"/>
  <c r="N21" i="29"/>
  <c r="V21" i="29"/>
  <c r="AA21" i="29"/>
  <c r="AF21" i="29"/>
  <c r="AJ21" i="29"/>
  <c r="AN21" i="29"/>
  <c r="D22" i="29"/>
  <c r="H22" i="29"/>
  <c r="L22" i="29"/>
  <c r="P22" i="29"/>
  <c r="T22" i="29"/>
  <c r="X22" i="29"/>
  <c r="AB22" i="29"/>
  <c r="AF22" i="29"/>
  <c r="AJ22" i="29"/>
  <c r="AN22" i="29"/>
  <c r="D23" i="29"/>
  <c r="H23" i="29"/>
  <c r="L23" i="29"/>
  <c r="P23" i="29"/>
  <c r="T23" i="29"/>
  <c r="X23" i="29"/>
  <c r="AB23" i="29"/>
  <c r="AF23" i="29"/>
  <c r="AJ23" i="29"/>
  <c r="AN23" i="29"/>
  <c r="D24" i="29"/>
  <c r="H24" i="29"/>
  <c r="L24" i="29"/>
  <c r="P24" i="29"/>
  <c r="T24" i="29"/>
  <c r="X24" i="29"/>
  <c r="AB24" i="29"/>
  <c r="AF24" i="29"/>
  <c r="AJ24" i="29"/>
  <c r="AN24" i="29"/>
  <c r="D25" i="29"/>
  <c r="H25" i="29"/>
  <c r="L25" i="29"/>
  <c r="P25" i="29"/>
  <c r="T25" i="29"/>
  <c r="X25" i="29"/>
  <c r="AB25" i="29"/>
  <c r="AF25" i="29"/>
  <c r="AJ25" i="29"/>
  <c r="AN25" i="29"/>
  <c r="D26" i="29"/>
  <c r="H26" i="29"/>
  <c r="L26" i="29"/>
  <c r="P26" i="29"/>
  <c r="T26" i="29"/>
  <c r="X26" i="29"/>
  <c r="AB26" i="29"/>
  <c r="AF26" i="29"/>
  <c r="AJ26" i="29"/>
  <c r="AN26" i="29"/>
  <c r="D27" i="29"/>
  <c r="H27" i="29"/>
  <c r="L27" i="29"/>
  <c r="P27" i="29"/>
  <c r="T27" i="29"/>
  <c r="X27" i="29"/>
  <c r="AB27" i="29"/>
  <c r="AF27" i="29"/>
  <c r="AJ27" i="29"/>
  <c r="AN27" i="29"/>
  <c r="D28" i="29"/>
  <c r="H28" i="29"/>
  <c r="L28" i="29"/>
  <c r="P28" i="29"/>
  <c r="T28" i="29"/>
  <c r="X28" i="29"/>
  <c r="AB28" i="29"/>
  <c r="AF28" i="29"/>
  <c r="AJ28" i="29"/>
  <c r="AN28" i="29"/>
  <c r="D29" i="29"/>
  <c r="H29" i="29"/>
  <c r="L29" i="29"/>
  <c r="P29" i="29"/>
  <c r="T29" i="29"/>
  <c r="X29" i="29"/>
  <c r="AB29" i="29"/>
  <c r="AF29" i="29"/>
  <c r="AJ29" i="29"/>
  <c r="AN29" i="29"/>
  <c r="D30" i="29"/>
  <c r="H30" i="29"/>
  <c r="L30" i="29"/>
  <c r="P30" i="29"/>
  <c r="T30" i="29"/>
  <c r="X30" i="29"/>
  <c r="AB30" i="29"/>
  <c r="AF30" i="29"/>
  <c r="AJ30" i="29"/>
  <c r="AN30" i="29"/>
  <c r="D31" i="29"/>
  <c r="H31" i="29"/>
  <c r="L31" i="29"/>
  <c r="P31" i="29"/>
  <c r="T31" i="29"/>
  <c r="X31" i="29"/>
  <c r="AB31" i="29"/>
  <c r="AF31" i="29"/>
  <c r="AJ31" i="29"/>
  <c r="AN31" i="29"/>
  <c r="D32" i="29"/>
  <c r="H32" i="29"/>
  <c r="L32" i="29"/>
  <c r="P32" i="29"/>
  <c r="T32" i="29"/>
  <c r="X32" i="29"/>
  <c r="AB32" i="29"/>
  <c r="AF32" i="29"/>
  <c r="AJ32" i="29"/>
  <c r="AN32" i="29"/>
  <c r="D33" i="29"/>
  <c r="H33" i="29"/>
  <c r="L33" i="29"/>
  <c r="P33" i="29"/>
  <c r="T33" i="29"/>
  <c r="X33" i="29"/>
  <c r="AB33" i="29"/>
  <c r="AF33" i="29"/>
  <c r="AJ33" i="29"/>
  <c r="AN33" i="29"/>
  <c r="D34" i="29"/>
  <c r="H34" i="29"/>
  <c r="L34" i="29"/>
  <c r="P34" i="29"/>
  <c r="T34" i="29"/>
  <c r="T4" i="29"/>
  <c r="Z6" i="29"/>
  <c r="AE8" i="29"/>
  <c r="AJ9" i="29"/>
  <c r="AM10" i="29"/>
  <c r="AJ11" i="29"/>
  <c r="AB12" i="29"/>
  <c r="K13" i="29"/>
  <c r="AF13" i="29"/>
  <c r="J14" i="29"/>
  <c r="Z14" i="29"/>
  <c r="B15" i="29"/>
  <c r="R15" i="29"/>
  <c r="AH15" i="29"/>
  <c r="J16" i="29"/>
  <c r="Z16" i="29"/>
  <c r="B17" i="29"/>
  <c r="R17" i="29"/>
  <c r="AH17" i="29"/>
  <c r="J18" i="29"/>
  <c r="Z18" i="29"/>
  <c r="AN18" i="29"/>
  <c r="H19" i="29"/>
  <c r="P19" i="29"/>
  <c r="X19" i="29"/>
  <c r="AF19" i="29"/>
  <c r="AN19" i="29"/>
  <c r="H20" i="29"/>
  <c r="P20" i="29"/>
  <c r="X20" i="29"/>
  <c r="AF20" i="29"/>
  <c r="AN20" i="29"/>
  <c r="H21" i="29"/>
  <c r="P21" i="29"/>
  <c r="W21" i="29"/>
  <c r="AB21" i="29"/>
  <c r="AG21" i="29"/>
  <c r="AK21" i="29"/>
  <c r="AO21" i="29"/>
  <c r="E22" i="29"/>
  <c r="I22" i="29"/>
  <c r="M22" i="29"/>
  <c r="Q22" i="29"/>
  <c r="U22" i="29"/>
  <c r="Y22" i="29"/>
  <c r="AC22" i="29"/>
  <c r="AG22" i="29"/>
  <c r="AK22" i="29"/>
  <c r="AO22" i="29"/>
  <c r="E23" i="29"/>
  <c r="I23" i="29"/>
  <c r="M23" i="29"/>
  <c r="Q23" i="29"/>
  <c r="U23" i="29"/>
  <c r="Y23" i="29"/>
  <c r="AC23" i="29"/>
  <c r="AG23" i="29"/>
  <c r="AK23" i="29"/>
  <c r="AO23" i="29"/>
  <c r="E24" i="29"/>
  <c r="I24" i="29"/>
  <c r="M24" i="29"/>
  <c r="Q24" i="29"/>
  <c r="U24" i="29"/>
  <c r="Y24" i="29"/>
  <c r="AC24" i="29"/>
  <c r="AG24" i="29"/>
  <c r="AK24" i="29"/>
  <c r="AO24" i="29"/>
  <c r="E25" i="29"/>
  <c r="I25" i="29"/>
  <c r="M25" i="29"/>
  <c r="Q25" i="29"/>
  <c r="U25" i="29"/>
  <c r="Y25" i="29"/>
  <c r="AC25" i="29"/>
  <c r="AG25" i="29"/>
  <c r="AK25" i="29"/>
  <c r="AO25" i="29"/>
  <c r="E26" i="29"/>
  <c r="I26" i="29"/>
  <c r="M26" i="29"/>
  <c r="Q26" i="29"/>
  <c r="U26" i="29"/>
  <c r="Y26" i="29"/>
  <c r="AC26" i="29"/>
  <c r="AG26" i="29"/>
  <c r="AK26" i="29"/>
  <c r="AO26" i="29"/>
  <c r="E27" i="29"/>
  <c r="I27" i="29"/>
  <c r="M27" i="29"/>
  <c r="Q27" i="29"/>
  <c r="U27" i="29"/>
  <c r="Y27" i="29"/>
  <c r="AC27" i="29"/>
  <c r="AG27" i="29"/>
  <c r="AK27" i="29"/>
  <c r="AO27" i="29"/>
  <c r="E28" i="29"/>
  <c r="I28" i="29"/>
  <c r="M28" i="29"/>
  <c r="Q28" i="29"/>
  <c r="U28" i="29"/>
  <c r="Y28" i="29"/>
  <c r="AC28" i="29"/>
  <c r="AG28" i="29"/>
  <c r="AK28" i="29"/>
  <c r="AO28" i="29"/>
  <c r="E29" i="29"/>
  <c r="I29" i="29"/>
  <c r="M29" i="29"/>
  <c r="Q29" i="29"/>
  <c r="U29" i="29"/>
  <c r="Y29" i="29"/>
  <c r="AC29" i="29"/>
  <c r="AG29" i="29"/>
  <c r="AK29" i="29"/>
  <c r="AO29" i="29"/>
  <c r="E30" i="29"/>
  <c r="I30" i="29"/>
  <c r="M30" i="29"/>
  <c r="Q30" i="29"/>
  <c r="U30" i="29"/>
  <c r="Y30" i="29"/>
  <c r="AC30" i="29"/>
  <c r="AG30" i="29"/>
  <c r="AK30" i="29"/>
  <c r="AO30" i="29"/>
  <c r="E31" i="29"/>
  <c r="I31" i="29"/>
  <c r="M31" i="29"/>
  <c r="Q31" i="29"/>
  <c r="U31" i="29"/>
  <c r="Y31" i="29"/>
  <c r="AC31" i="29"/>
  <c r="AG31" i="29"/>
  <c r="AK31" i="29"/>
  <c r="AO31" i="29"/>
  <c r="B5" i="29"/>
  <c r="G7" i="29"/>
  <c r="D9" i="29"/>
  <c r="G10" i="29"/>
  <c r="J11" i="29"/>
  <c r="D12" i="29"/>
  <c r="AI12" i="29"/>
  <c r="P13" i="29"/>
  <c r="AL13" i="29"/>
  <c r="N14" i="29"/>
  <c r="AD14" i="29"/>
  <c r="F15" i="29"/>
  <c r="V15" i="29"/>
  <c r="AL15" i="29"/>
  <c r="N16" i="29"/>
  <c r="AD16" i="29"/>
  <c r="F17" i="29"/>
  <c r="V17" i="29"/>
  <c r="AL17" i="29"/>
  <c r="N18" i="29"/>
  <c r="AD18" i="29"/>
  <c r="B19" i="29"/>
  <c r="J19" i="29"/>
  <c r="R19" i="29"/>
  <c r="Z19" i="29"/>
  <c r="AH19" i="29"/>
  <c r="B20" i="29"/>
  <c r="J20" i="29"/>
  <c r="R20" i="29"/>
  <c r="Z20" i="29"/>
  <c r="AH20" i="29"/>
  <c r="B21" i="29"/>
  <c r="J21" i="29"/>
  <c r="R21" i="29"/>
  <c r="X21" i="29"/>
  <c r="AD21" i="29"/>
  <c r="AH21" i="29"/>
  <c r="AL21" i="29"/>
  <c r="B22" i="29"/>
  <c r="F22" i="29"/>
  <c r="J22" i="29"/>
  <c r="N22" i="29"/>
  <c r="R22" i="29"/>
  <c r="V22" i="29"/>
  <c r="Z22" i="29"/>
  <c r="AD22" i="29"/>
  <c r="AH22" i="29"/>
  <c r="AL22" i="29"/>
  <c r="B23" i="29"/>
  <c r="F23" i="29"/>
  <c r="J23" i="29"/>
  <c r="N23" i="29"/>
  <c r="R23" i="29"/>
  <c r="V23" i="29"/>
  <c r="Z23" i="29"/>
  <c r="AD23" i="29"/>
  <c r="AH23" i="29"/>
  <c r="AL23" i="29"/>
  <c r="B24" i="29"/>
  <c r="F24" i="29"/>
  <c r="J24" i="29"/>
  <c r="N24" i="29"/>
  <c r="R24" i="29"/>
  <c r="V24" i="29"/>
  <c r="Z24" i="29"/>
  <c r="AD24" i="29"/>
  <c r="AH24" i="29"/>
  <c r="AL24" i="29"/>
  <c r="B25" i="29"/>
  <c r="F25" i="29"/>
  <c r="J25" i="29"/>
  <c r="N25" i="29"/>
  <c r="R25" i="29"/>
  <c r="V25" i="29"/>
  <c r="Z25" i="29"/>
  <c r="AD25" i="29"/>
  <c r="AH25" i="29"/>
  <c r="AL25" i="29"/>
  <c r="B26" i="29"/>
  <c r="F26" i="29"/>
  <c r="J26" i="29"/>
  <c r="N26" i="29"/>
  <c r="R26" i="29"/>
  <c r="V26" i="29"/>
  <c r="Z26" i="29"/>
  <c r="AD26" i="29"/>
  <c r="AH26" i="29"/>
  <c r="AL26" i="29"/>
  <c r="B27" i="29"/>
  <c r="F27" i="29"/>
  <c r="J27" i="29"/>
  <c r="N27" i="29"/>
  <c r="R27" i="29"/>
  <c r="V27" i="29"/>
  <c r="Z27" i="29"/>
  <c r="AD27" i="29"/>
  <c r="AH27" i="29"/>
  <c r="AL27" i="29"/>
  <c r="B28" i="29"/>
  <c r="F28" i="29"/>
  <c r="J28" i="29"/>
  <c r="N28" i="29"/>
  <c r="R28" i="29"/>
  <c r="V28" i="29"/>
  <c r="Z28" i="29"/>
  <c r="AD28" i="29"/>
  <c r="AH28" i="29"/>
  <c r="AL28" i="29"/>
  <c r="B29" i="29"/>
  <c r="F29" i="29"/>
  <c r="J29" i="29"/>
  <c r="N29" i="29"/>
  <c r="R29" i="29"/>
  <c r="V29" i="29"/>
  <c r="Z29" i="29"/>
  <c r="AD29" i="29"/>
  <c r="AH29" i="29"/>
  <c r="AL29" i="29"/>
  <c r="B30" i="29"/>
  <c r="F30" i="29"/>
  <c r="J30" i="29"/>
  <c r="N30" i="29"/>
  <c r="R30" i="29"/>
  <c r="V30" i="29"/>
  <c r="Z30" i="29"/>
  <c r="AD30" i="29"/>
  <c r="AH30" i="29"/>
  <c r="AL30" i="29"/>
  <c r="B31" i="29"/>
  <c r="F31" i="29"/>
  <c r="J31" i="29"/>
  <c r="N31" i="29"/>
  <c r="R31" i="29"/>
  <c r="V31" i="29"/>
  <c r="Z31" i="29"/>
  <c r="AD31" i="29"/>
  <c r="AH31" i="29"/>
  <c r="AL31" i="29"/>
  <c r="B32" i="29"/>
  <c r="F32" i="29"/>
  <c r="J32" i="29"/>
  <c r="N32" i="29"/>
  <c r="R32" i="29"/>
  <c r="V32" i="29"/>
  <c r="Z32" i="29"/>
  <c r="AD32" i="29"/>
  <c r="AH32" i="29"/>
  <c r="AL32" i="29"/>
  <c r="B33" i="29"/>
  <c r="F33" i="29"/>
  <c r="J33" i="29"/>
  <c r="N33" i="29"/>
  <c r="R33" i="29"/>
  <c r="V33" i="29"/>
  <c r="Z33" i="29"/>
  <c r="AD33" i="29"/>
  <c r="AH33" i="29"/>
  <c r="AL33" i="29"/>
  <c r="B34" i="29"/>
  <c r="F34" i="29"/>
  <c r="J34" i="29"/>
  <c r="N34" i="29"/>
  <c r="R34" i="29"/>
  <c r="V34" i="29"/>
  <c r="Z34" i="29"/>
  <c r="AD34" i="29"/>
  <c r="AH34" i="29"/>
  <c r="AL34" i="29"/>
  <c r="B35" i="29"/>
  <c r="F35" i="29"/>
  <c r="W5" i="29"/>
  <c r="T11" i="29"/>
  <c r="B14" i="29"/>
  <c r="Z15" i="29"/>
  <c r="J17" i="29"/>
  <c r="AH18" i="29"/>
  <c r="AB19" i="29"/>
  <c r="T20" i="29"/>
  <c r="L21" i="29"/>
  <c r="AI21" i="29"/>
  <c r="K22" i="29"/>
  <c r="AA22" i="29"/>
  <c r="C23" i="29"/>
  <c r="S23" i="29"/>
  <c r="AI23" i="29"/>
  <c r="K24" i="29"/>
  <c r="AA24" i="29"/>
  <c r="C25" i="29"/>
  <c r="S25" i="29"/>
  <c r="AI25" i="29"/>
  <c r="K26" i="29"/>
  <c r="AA26" i="29"/>
  <c r="C27" i="29"/>
  <c r="S27" i="29"/>
  <c r="AI27" i="29"/>
  <c r="K28" i="29"/>
  <c r="AA28" i="29"/>
  <c r="C29" i="29"/>
  <c r="S29" i="29"/>
  <c r="AI29" i="29"/>
  <c r="K30" i="29"/>
  <c r="AA30" i="29"/>
  <c r="C31" i="29"/>
  <c r="S31" i="29"/>
  <c r="AI31" i="29"/>
  <c r="G32" i="29"/>
  <c r="O32" i="29"/>
  <c r="W32" i="29"/>
  <c r="AE32" i="29"/>
  <c r="AM32" i="29"/>
  <c r="G33" i="29"/>
  <c r="O33" i="29"/>
  <c r="W33" i="29"/>
  <c r="AE33" i="29"/>
  <c r="AM33" i="29"/>
  <c r="G34" i="29"/>
  <c r="O34" i="29"/>
  <c r="W34" i="29"/>
  <c r="AB34" i="29"/>
  <c r="AG34" i="29"/>
  <c r="AM34" i="29"/>
  <c r="D35" i="29"/>
  <c r="I35" i="29"/>
  <c r="M35" i="29"/>
  <c r="Q35" i="29"/>
  <c r="U35" i="29"/>
  <c r="Y35" i="29"/>
  <c r="AC35" i="29"/>
  <c r="AG35" i="29"/>
  <c r="AK35" i="29"/>
  <c r="AO35" i="29"/>
  <c r="E36" i="29"/>
  <c r="I36" i="29"/>
  <c r="M36" i="29"/>
  <c r="Q36" i="29"/>
  <c r="U36" i="29"/>
  <c r="Y36" i="29"/>
  <c r="AC36" i="29"/>
  <c r="AG36" i="29"/>
  <c r="AK36" i="29"/>
  <c r="AO36" i="29"/>
  <c r="E37" i="29"/>
  <c r="I37" i="29"/>
  <c r="M37" i="29"/>
  <c r="Q37" i="29"/>
  <c r="U37" i="29"/>
  <c r="Y37" i="29"/>
  <c r="AC37" i="29"/>
  <c r="AG37" i="29"/>
  <c r="AK37" i="29"/>
  <c r="AO37" i="29"/>
  <c r="E38" i="29"/>
  <c r="I38" i="29"/>
  <c r="M38" i="29"/>
  <c r="Q38" i="29"/>
  <c r="U38" i="29"/>
  <c r="Y38" i="29"/>
  <c r="AC38" i="29"/>
  <c r="AG38" i="29"/>
  <c r="AK38" i="29"/>
  <c r="AO38" i="29"/>
  <c r="E39" i="29"/>
  <c r="I39" i="29"/>
  <c r="M39" i="29"/>
  <c r="Q39" i="29"/>
  <c r="U39" i="29"/>
  <c r="Y39" i="29"/>
  <c r="AC39" i="29"/>
  <c r="AG39" i="29"/>
  <c r="AK39" i="29"/>
  <c r="AO39" i="29"/>
  <c r="E40" i="29"/>
  <c r="I40" i="29"/>
  <c r="M40" i="29"/>
  <c r="Q40" i="29"/>
  <c r="U40" i="29"/>
  <c r="Y40" i="29"/>
  <c r="AC40" i="29"/>
  <c r="AG40" i="29"/>
  <c r="AK40" i="29"/>
  <c r="AO40" i="29"/>
  <c r="E41" i="29"/>
  <c r="I41" i="29"/>
  <c r="M41" i="29"/>
  <c r="Q41" i="29"/>
  <c r="U41" i="29"/>
  <c r="Y41" i="29"/>
  <c r="AC41" i="29"/>
  <c r="AG41" i="29"/>
  <c r="AK41" i="29"/>
  <c r="AO41" i="29"/>
  <c r="E42" i="29"/>
  <c r="I42" i="29"/>
  <c r="M42" i="29"/>
  <c r="Q42" i="29"/>
  <c r="U42" i="29"/>
  <c r="Y42" i="29"/>
  <c r="AC42" i="29"/>
  <c r="AG42" i="29"/>
  <c r="AK42" i="29"/>
  <c r="AO42" i="29"/>
  <c r="B41" i="29"/>
  <c r="J41" i="29"/>
  <c r="V41" i="29"/>
  <c r="AD41" i="29"/>
  <c r="AL41" i="29"/>
  <c r="F42" i="29"/>
  <c r="N42" i="29"/>
  <c r="V42" i="29"/>
  <c r="AD42" i="29"/>
  <c r="AL42" i="29"/>
  <c r="J15" i="29"/>
  <c r="G22" i="29"/>
  <c r="G24" i="29"/>
  <c r="AM24" i="29"/>
  <c r="W26" i="29"/>
  <c r="O27" i="29"/>
  <c r="W28" i="29"/>
  <c r="O29" i="29"/>
  <c r="AM30" i="29"/>
  <c r="E32" i="29"/>
  <c r="U32" i="29"/>
  <c r="U33" i="29"/>
  <c r="E34" i="29"/>
  <c r="AA34" i="29"/>
  <c r="H35" i="29"/>
  <c r="T35" i="29"/>
  <c r="AB35" i="29"/>
  <c r="D36" i="29"/>
  <c r="P36" i="29"/>
  <c r="AF36" i="29"/>
  <c r="D37" i="29"/>
  <c r="T37" i="29"/>
  <c r="AB37" i="29"/>
  <c r="AN37" i="29"/>
  <c r="P38" i="29"/>
  <c r="X38" i="29"/>
  <c r="AN38" i="29"/>
  <c r="H39" i="29"/>
  <c r="X39" i="29"/>
  <c r="AB7" i="29"/>
  <c r="L12" i="29"/>
  <c r="R14" i="29"/>
  <c r="B16" i="29"/>
  <c r="Z17" i="29"/>
  <c r="D19" i="29"/>
  <c r="AJ19" i="29"/>
  <c r="AB20" i="29"/>
  <c r="T21" i="29"/>
  <c r="AM21" i="29"/>
  <c r="O22" i="29"/>
  <c r="AE22" i="29"/>
  <c r="G23" i="29"/>
  <c r="W23" i="29"/>
  <c r="AM23" i="29"/>
  <c r="O24" i="29"/>
  <c r="AE24" i="29"/>
  <c r="G25" i="29"/>
  <c r="W25" i="29"/>
  <c r="AM25" i="29"/>
  <c r="O26" i="29"/>
  <c r="AE26" i="29"/>
  <c r="G27" i="29"/>
  <c r="W27" i="29"/>
  <c r="AM27" i="29"/>
  <c r="O28" i="29"/>
  <c r="AE28" i="29"/>
  <c r="G29" i="29"/>
  <c r="W29" i="29"/>
  <c r="AM29" i="29"/>
  <c r="O30" i="29"/>
  <c r="AE30" i="29"/>
  <c r="G31" i="29"/>
  <c r="W31" i="29"/>
  <c r="AM31" i="29"/>
  <c r="I32" i="29"/>
  <c r="Q32" i="29"/>
  <c r="Y32" i="29"/>
  <c r="AG32" i="29"/>
  <c r="AO32" i="29"/>
  <c r="I33" i="29"/>
  <c r="Q33" i="29"/>
  <c r="Y33" i="29"/>
  <c r="AG33" i="29"/>
  <c r="AO33" i="29"/>
  <c r="I34" i="29"/>
  <c r="Q34" i="29"/>
  <c r="X34" i="29"/>
  <c r="AC34" i="29"/>
  <c r="AI34" i="29"/>
  <c r="AN34" i="29"/>
  <c r="E35" i="29"/>
  <c r="J35" i="29"/>
  <c r="N35" i="29"/>
  <c r="R35" i="29"/>
  <c r="V35" i="29"/>
  <c r="Z35" i="29"/>
  <c r="AD35" i="29"/>
  <c r="AH35" i="29"/>
  <c r="AL35" i="29"/>
  <c r="B36" i="29"/>
  <c r="F36" i="29"/>
  <c r="J36" i="29"/>
  <c r="N36" i="29"/>
  <c r="R36" i="29"/>
  <c r="V36" i="29"/>
  <c r="Z36" i="29"/>
  <c r="AD36" i="29"/>
  <c r="AH36" i="29"/>
  <c r="AL36" i="29"/>
  <c r="B37" i="29"/>
  <c r="F37" i="29"/>
  <c r="J37" i="29"/>
  <c r="N37" i="29"/>
  <c r="R37" i="29"/>
  <c r="V37" i="29"/>
  <c r="Z37" i="29"/>
  <c r="AD37" i="29"/>
  <c r="AH37" i="29"/>
  <c r="AL37" i="29"/>
  <c r="B38" i="29"/>
  <c r="F38" i="29"/>
  <c r="J38" i="29"/>
  <c r="N38" i="29"/>
  <c r="R38" i="29"/>
  <c r="V38" i="29"/>
  <c r="Z38" i="29"/>
  <c r="AD38" i="29"/>
  <c r="AH38" i="29"/>
  <c r="AL38" i="29"/>
  <c r="B39" i="29"/>
  <c r="F39" i="29"/>
  <c r="J39" i="29"/>
  <c r="N39" i="29"/>
  <c r="R39" i="29"/>
  <c r="V39" i="29"/>
  <c r="Z39" i="29"/>
  <c r="AD39" i="29"/>
  <c r="AH39" i="29"/>
  <c r="AL39" i="29"/>
  <c r="B40" i="29"/>
  <c r="F40" i="29"/>
  <c r="J40" i="29"/>
  <c r="N40" i="29"/>
  <c r="R40" i="29"/>
  <c r="V40" i="29"/>
  <c r="Z40" i="29"/>
  <c r="AD40" i="29"/>
  <c r="AH40" i="29"/>
  <c r="AL40" i="29"/>
  <c r="F41" i="29"/>
  <c r="N41" i="29"/>
  <c r="R41" i="29"/>
  <c r="Z41" i="29"/>
  <c r="AH41" i="29"/>
  <c r="B42" i="29"/>
  <c r="J42" i="29"/>
  <c r="R42" i="29"/>
  <c r="Z42" i="29"/>
  <c r="AH42" i="29"/>
  <c r="V13" i="29"/>
  <c r="W22" i="29"/>
  <c r="AE23" i="29"/>
  <c r="O25" i="29"/>
  <c r="G26" i="29"/>
  <c r="G28" i="29"/>
  <c r="AE29" i="29"/>
  <c r="W30" i="29"/>
  <c r="AE31" i="29"/>
  <c r="AC32" i="29"/>
  <c r="E33" i="29"/>
  <c r="AC33" i="29"/>
  <c r="M34" i="29"/>
  <c r="AF34" i="29"/>
  <c r="C35" i="29"/>
  <c r="P35" i="29"/>
  <c r="AF35" i="29"/>
  <c r="AN35" i="29"/>
  <c r="L36" i="29"/>
  <c r="X36" i="29"/>
  <c r="AJ36" i="29"/>
  <c r="H37" i="29"/>
  <c r="P37" i="29"/>
  <c r="AF37" i="29"/>
  <c r="D38" i="29"/>
  <c r="L38" i="29"/>
  <c r="AB38" i="29"/>
  <c r="AJ38" i="29"/>
  <c r="L39" i="29"/>
  <c r="T39" i="29"/>
  <c r="O9" i="29"/>
  <c r="AN12" i="29"/>
  <c r="AH14" i="29"/>
  <c r="R16" i="29"/>
  <c r="B18" i="29"/>
  <c r="L19" i="29"/>
  <c r="D20" i="29"/>
  <c r="AJ20" i="29"/>
  <c r="Z21" i="29"/>
  <c r="C22" i="29"/>
  <c r="S22" i="29"/>
  <c r="AI22" i="29"/>
  <c r="K23" i="29"/>
  <c r="AA23" i="29"/>
  <c r="C24" i="29"/>
  <c r="S24" i="29"/>
  <c r="AI24" i="29"/>
  <c r="K25" i="29"/>
  <c r="AA25" i="29"/>
  <c r="C26" i="29"/>
  <c r="S26" i="29"/>
  <c r="AI26" i="29"/>
  <c r="K27" i="29"/>
  <c r="AA27" i="29"/>
  <c r="C28" i="29"/>
  <c r="S28" i="29"/>
  <c r="AI28" i="29"/>
  <c r="K29" i="29"/>
  <c r="AA29" i="29"/>
  <c r="C30" i="29"/>
  <c r="S30" i="29"/>
  <c r="AI30" i="29"/>
  <c r="K31" i="29"/>
  <c r="AA31" i="29"/>
  <c r="C32" i="29"/>
  <c r="K32" i="29"/>
  <c r="S32" i="29"/>
  <c r="AA32" i="29"/>
  <c r="AI32" i="29"/>
  <c r="C33" i="29"/>
  <c r="K33" i="29"/>
  <c r="S33" i="29"/>
  <c r="AA33" i="29"/>
  <c r="AI33" i="29"/>
  <c r="C34" i="29"/>
  <c r="K34" i="29"/>
  <c r="S34" i="29"/>
  <c r="Y34" i="29"/>
  <c r="AE34" i="29"/>
  <c r="AJ34" i="29"/>
  <c r="AO34" i="29"/>
  <c r="G35" i="29"/>
  <c r="K35" i="29"/>
  <c r="O35" i="29"/>
  <c r="S35" i="29"/>
  <c r="W35" i="29"/>
  <c r="AA35" i="29"/>
  <c r="AE35" i="29"/>
  <c r="AI35" i="29"/>
  <c r="AM35" i="29"/>
  <c r="C36" i="29"/>
  <c r="G36" i="29"/>
  <c r="K36" i="29"/>
  <c r="O36" i="29"/>
  <c r="S36" i="29"/>
  <c r="W36" i="29"/>
  <c r="AA36" i="29"/>
  <c r="AE36" i="29"/>
  <c r="AI36" i="29"/>
  <c r="AM36" i="29"/>
  <c r="C37" i="29"/>
  <c r="G37" i="29"/>
  <c r="K37" i="29"/>
  <c r="O37" i="29"/>
  <c r="S37" i="29"/>
  <c r="W37" i="29"/>
  <c r="AA37" i="29"/>
  <c r="AE37" i="29"/>
  <c r="AI37" i="29"/>
  <c r="AM37" i="29"/>
  <c r="C38" i="29"/>
  <c r="G38" i="29"/>
  <c r="K38" i="29"/>
  <c r="O38" i="29"/>
  <c r="S38" i="29"/>
  <c r="W38" i="29"/>
  <c r="AA38" i="29"/>
  <c r="AE38" i="29"/>
  <c r="AI38" i="29"/>
  <c r="AM38" i="29"/>
  <c r="C39" i="29"/>
  <c r="G39" i="29"/>
  <c r="K39" i="29"/>
  <c r="O39" i="29"/>
  <c r="S39" i="29"/>
  <c r="W39" i="29"/>
  <c r="AA39" i="29"/>
  <c r="AE39" i="29"/>
  <c r="AI39" i="29"/>
  <c r="AM39" i="29"/>
  <c r="C40" i="29"/>
  <c r="G40" i="29"/>
  <c r="K40" i="29"/>
  <c r="O40" i="29"/>
  <c r="S40" i="29"/>
  <c r="W40" i="29"/>
  <c r="AA40" i="29"/>
  <c r="AE40" i="29"/>
  <c r="AI40" i="29"/>
  <c r="AM40" i="29"/>
  <c r="C41" i="29"/>
  <c r="G41" i="29"/>
  <c r="K41" i="29"/>
  <c r="O41" i="29"/>
  <c r="S41" i="29"/>
  <c r="W41" i="29"/>
  <c r="AA41" i="29"/>
  <c r="AE41" i="29"/>
  <c r="AI41" i="29"/>
  <c r="AM41" i="29"/>
  <c r="C42" i="29"/>
  <c r="G42" i="29"/>
  <c r="K42" i="29"/>
  <c r="O42" i="29"/>
  <c r="S42" i="29"/>
  <c r="W42" i="29"/>
  <c r="AA42" i="29"/>
  <c r="AE42" i="29"/>
  <c r="AI42" i="29"/>
  <c r="AM42" i="29"/>
  <c r="R10" i="29"/>
  <c r="AH16" i="29"/>
  <c r="R18" i="29"/>
  <c r="T19" i="29"/>
  <c r="L20" i="29"/>
  <c r="D21" i="29"/>
  <c r="AE21" i="29"/>
  <c r="AM22" i="29"/>
  <c r="O23" i="29"/>
  <c r="W24" i="29"/>
  <c r="AE25" i="29"/>
  <c r="AM26" i="29"/>
  <c r="AE27" i="29"/>
  <c r="AM28" i="29"/>
  <c r="G30" i="29"/>
  <c r="O31" i="29"/>
  <c r="M32" i="29"/>
  <c r="AK32" i="29"/>
  <c r="M33" i="29"/>
  <c r="AK33" i="29"/>
  <c r="U34" i="29"/>
  <c r="AK34" i="29"/>
  <c r="L35" i="29"/>
  <c r="X35" i="29"/>
  <c r="AJ35" i="29"/>
  <c r="H36" i="29"/>
  <c r="T36" i="29"/>
  <c r="AB36" i="29"/>
  <c r="AN36" i="29"/>
  <c r="L37" i="29"/>
  <c r="X37" i="29"/>
  <c r="AJ37" i="29"/>
  <c r="H38" i="29"/>
  <c r="T38" i="29"/>
  <c r="AF38" i="29"/>
  <c r="D39" i="29"/>
  <c r="P39" i="29"/>
  <c r="AB39" i="29"/>
  <c r="AF39" i="29"/>
  <c r="H40" i="29"/>
  <c r="X40" i="29"/>
  <c r="AN40" i="29"/>
  <c r="P41" i="29"/>
  <c r="AF41" i="29"/>
  <c r="H42" i="29"/>
  <c r="X42" i="29"/>
  <c r="AN42" i="29"/>
  <c r="AB40" i="29"/>
  <c r="D41" i="29"/>
  <c r="T41" i="29"/>
  <c r="AJ41" i="29"/>
  <c r="AB42" i="29"/>
  <c r="AJ39" i="29"/>
  <c r="L40" i="29"/>
  <c r="AN39" i="29"/>
  <c r="P40" i="29"/>
  <c r="AF40" i="29"/>
  <c r="H41" i="29"/>
  <c r="X41" i="29"/>
  <c r="AN41" i="29"/>
  <c r="P42" i="29"/>
  <c r="AF42" i="29"/>
  <c r="D40" i="29"/>
  <c r="T40" i="29"/>
  <c r="AJ40" i="29"/>
  <c r="L41" i="29"/>
  <c r="AB41" i="29"/>
  <c r="D42" i="29"/>
  <c r="T42" i="29"/>
  <c r="AJ42" i="29"/>
  <c r="L42" i="29"/>
  <c r="B50" i="29"/>
  <c r="F50" i="29"/>
  <c r="J50" i="29"/>
  <c r="N50" i="29"/>
  <c r="R50" i="29"/>
  <c r="V50" i="29"/>
  <c r="Z50" i="29"/>
  <c r="AD50" i="29"/>
  <c r="AH50" i="29"/>
  <c r="AL50" i="29"/>
  <c r="B51" i="29"/>
  <c r="F51" i="29"/>
  <c r="J51" i="29"/>
  <c r="N51" i="29"/>
  <c r="R51" i="29"/>
  <c r="V51" i="29"/>
  <c r="Z51" i="29"/>
  <c r="AD51" i="29"/>
  <c r="AH51" i="29"/>
  <c r="AL51" i="29"/>
  <c r="B52" i="29"/>
  <c r="F52" i="29"/>
  <c r="J52" i="29"/>
  <c r="N52" i="29"/>
  <c r="R52" i="29"/>
  <c r="V52" i="29"/>
  <c r="Z52" i="29"/>
  <c r="AD52" i="29"/>
  <c r="AH52" i="29"/>
  <c r="AL52" i="29"/>
  <c r="B53" i="29"/>
  <c r="F53" i="29"/>
  <c r="J53" i="29"/>
  <c r="N53" i="29"/>
  <c r="R53" i="29"/>
  <c r="V53" i="29"/>
  <c r="Z53" i="29"/>
  <c r="AD53" i="29"/>
  <c r="AH53" i="29"/>
  <c r="AL53" i="29"/>
  <c r="B54" i="29"/>
  <c r="F54" i="29"/>
  <c r="J54" i="29"/>
  <c r="N54" i="29"/>
  <c r="R54" i="29"/>
  <c r="V54" i="29"/>
  <c r="Z54" i="29"/>
  <c r="AD54" i="29"/>
  <c r="AH54" i="29"/>
  <c r="AL54" i="29"/>
  <c r="B55" i="29"/>
  <c r="F55" i="29"/>
  <c r="J55" i="29"/>
  <c r="N55" i="29"/>
  <c r="R55" i="29"/>
  <c r="V55" i="29"/>
  <c r="Z55" i="29"/>
  <c r="AD55" i="29"/>
  <c r="AH55" i="29"/>
  <c r="AL55" i="29"/>
  <c r="B56" i="29"/>
  <c r="F56" i="29"/>
  <c r="J56" i="29"/>
  <c r="N56" i="29"/>
  <c r="R56" i="29"/>
  <c r="V56" i="29"/>
  <c r="Z56" i="29"/>
  <c r="AD56" i="29"/>
  <c r="AH56" i="29"/>
  <c r="AL56" i="29"/>
  <c r="B57" i="29"/>
  <c r="F57" i="29"/>
  <c r="J57" i="29"/>
  <c r="N57" i="29"/>
  <c r="R57" i="29"/>
  <c r="V57" i="29"/>
  <c r="Z57" i="29"/>
  <c r="AD57" i="29"/>
  <c r="AH57" i="29"/>
  <c r="AL57" i="29"/>
  <c r="B58" i="29"/>
  <c r="F58" i="29"/>
  <c r="J58" i="29"/>
  <c r="N58" i="29"/>
  <c r="R58" i="29"/>
  <c r="C50" i="29"/>
  <c r="H50" i="29"/>
  <c r="M50" i="29"/>
  <c r="S50" i="29"/>
  <c r="X50" i="29"/>
  <c r="AC50" i="29"/>
  <c r="AI50" i="29"/>
  <c r="AN50" i="29"/>
  <c r="E51" i="29"/>
  <c r="K51" i="29"/>
  <c r="P51" i="29"/>
  <c r="U51" i="29"/>
  <c r="AA51" i="29"/>
  <c r="AF51" i="29"/>
  <c r="AK51" i="29"/>
  <c r="C52" i="29"/>
  <c r="H52" i="29"/>
  <c r="M52" i="29"/>
  <c r="S52" i="29"/>
  <c r="X52" i="29"/>
  <c r="AC52" i="29"/>
  <c r="AI52" i="29"/>
  <c r="AN52" i="29"/>
  <c r="E53" i="29"/>
  <c r="K53" i="29"/>
  <c r="P53" i="29"/>
  <c r="U53" i="29"/>
  <c r="AA53" i="29"/>
  <c r="AF53" i="29"/>
  <c r="AK53" i="29"/>
  <c r="C54" i="29"/>
  <c r="H54" i="29"/>
  <c r="M54" i="29"/>
  <c r="S54" i="29"/>
  <c r="X54" i="29"/>
  <c r="AC54" i="29"/>
  <c r="AI54" i="29"/>
  <c r="AN54" i="29"/>
  <c r="E55" i="29"/>
  <c r="K55" i="29"/>
  <c r="P55" i="29"/>
  <c r="U55" i="29"/>
  <c r="AA55" i="29"/>
  <c r="AF55" i="29"/>
  <c r="AK55" i="29"/>
  <c r="C56" i="29"/>
  <c r="H56" i="29"/>
  <c r="M56" i="29"/>
  <c r="S56" i="29"/>
  <c r="X56" i="29"/>
  <c r="AC56" i="29"/>
  <c r="AI56" i="29"/>
  <c r="AN56" i="29"/>
  <c r="E57" i="29"/>
  <c r="K57" i="29"/>
  <c r="P57" i="29"/>
  <c r="U57" i="29"/>
  <c r="AA57" i="29"/>
  <c r="AF57" i="29"/>
  <c r="AK57" i="29"/>
  <c r="C58" i="29"/>
  <c r="H58" i="29"/>
  <c r="M58" i="29"/>
  <c r="S58" i="29"/>
  <c r="W58" i="29"/>
  <c r="AA58" i="29"/>
  <c r="AE58" i="29"/>
  <c r="AI58" i="29"/>
  <c r="AM58" i="29"/>
  <c r="C59" i="29"/>
  <c r="G59" i="29"/>
  <c r="K59" i="29"/>
  <c r="O59" i="29"/>
  <c r="S59" i="29"/>
  <c r="W59" i="29"/>
  <c r="AA59" i="29"/>
  <c r="AE59" i="29"/>
  <c r="AI59" i="29"/>
  <c r="AM59" i="29"/>
  <c r="C60" i="29"/>
  <c r="G60" i="29"/>
  <c r="K60" i="29"/>
  <c r="O60" i="29"/>
  <c r="S60" i="29"/>
  <c r="W60" i="29"/>
  <c r="AA60" i="29"/>
  <c r="AE60" i="29"/>
  <c r="AI60" i="29"/>
  <c r="AM60" i="29"/>
  <c r="C61" i="29"/>
  <c r="G61" i="29"/>
  <c r="K61" i="29"/>
  <c r="O61" i="29"/>
  <c r="S61" i="29"/>
  <c r="W61" i="29"/>
  <c r="AA61" i="29"/>
  <c r="AE61" i="29"/>
  <c r="AI61" i="29"/>
  <c r="AM61" i="29"/>
  <c r="C62" i="29"/>
  <c r="G62" i="29"/>
  <c r="K62" i="29"/>
  <c r="O62" i="29"/>
  <c r="S62" i="29"/>
  <c r="W62" i="29"/>
  <c r="AA62" i="29"/>
  <c r="AE62" i="29"/>
  <c r="AI62" i="29"/>
  <c r="AM62" i="29"/>
  <c r="C63" i="29"/>
  <c r="G63" i="29"/>
  <c r="K63" i="29"/>
  <c r="O63" i="29"/>
  <c r="S63" i="29"/>
  <c r="W63" i="29"/>
  <c r="AA63" i="29"/>
  <c r="AE63" i="29"/>
  <c r="AI63" i="29"/>
  <c r="AM63" i="29"/>
  <c r="C64" i="29"/>
  <c r="G64" i="29"/>
  <c r="K64" i="29"/>
  <c r="O64" i="29"/>
  <c r="S64" i="29"/>
  <c r="W64" i="29"/>
  <c r="AA64" i="29"/>
  <c r="AE64" i="29"/>
  <c r="AI64" i="29"/>
  <c r="AM64" i="29"/>
  <c r="C65" i="29"/>
  <c r="G65" i="29"/>
  <c r="K65" i="29"/>
  <c r="O65" i="29"/>
  <c r="S65" i="29"/>
  <c r="W65" i="29"/>
  <c r="AA65" i="29"/>
  <c r="AE65" i="29"/>
  <c r="AI65" i="29"/>
  <c r="AM65" i="29"/>
  <c r="C66" i="29"/>
  <c r="G66" i="29"/>
  <c r="K66" i="29"/>
  <c r="O66" i="29"/>
  <c r="S66" i="29"/>
  <c r="W66" i="29"/>
  <c r="AA66" i="29"/>
  <c r="AE66" i="29"/>
  <c r="AI66" i="29"/>
  <c r="AM66" i="29"/>
  <c r="C67" i="29"/>
  <c r="G67" i="29"/>
  <c r="K67" i="29"/>
  <c r="O67" i="29"/>
  <c r="S67" i="29"/>
  <c r="W67" i="29"/>
  <c r="AA67" i="29"/>
  <c r="AE67" i="29"/>
  <c r="AI67" i="29"/>
  <c r="AM67" i="29"/>
  <c r="C68" i="29"/>
  <c r="G68" i="29"/>
  <c r="K68" i="29"/>
  <c r="O68" i="29"/>
  <c r="S68" i="29"/>
  <c r="W68" i="29"/>
  <c r="AA68" i="29"/>
  <c r="AE68" i="29"/>
  <c r="AI68" i="29"/>
  <c r="AM68" i="29"/>
  <c r="D50" i="29"/>
  <c r="I50" i="29"/>
  <c r="O50" i="29"/>
  <c r="T50" i="29"/>
  <c r="Y50" i="29"/>
  <c r="AE50" i="29"/>
  <c r="AJ50" i="29"/>
  <c r="AO50" i="29"/>
  <c r="G51" i="29"/>
  <c r="L51" i="29"/>
  <c r="Q51" i="29"/>
  <c r="W51" i="29"/>
  <c r="AB51" i="29"/>
  <c r="AG51" i="29"/>
  <c r="AM51" i="29"/>
  <c r="D52" i="29"/>
  <c r="I52" i="29"/>
  <c r="O52" i="29"/>
  <c r="T52" i="29"/>
  <c r="Y52" i="29"/>
  <c r="AE52" i="29"/>
  <c r="AJ52" i="29"/>
  <c r="AO52" i="29"/>
  <c r="G53" i="29"/>
  <c r="L53" i="29"/>
  <c r="Q53" i="29"/>
  <c r="W53" i="29"/>
  <c r="AB53" i="29"/>
  <c r="AG53" i="29"/>
  <c r="AM53" i="29"/>
  <c r="D54" i="29"/>
  <c r="I54" i="29"/>
  <c r="O54" i="29"/>
  <c r="T54" i="29"/>
  <c r="Y54" i="29"/>
  <c r="AE54" i="29"/>
  <c r="AJ54" i="29"/>
  <c r="AO54" i="29"/>
  <c r="G55" i="29"/>
  <c r="L55" i="29"/>
  <c r="Q55" i="29"/>
  <c r="W55" i="29"/>
  <c r="AB55" i="29"/>
  <c r="AG55" i="29"/>
  <c r="AM55" i="29"/>
  <c r="D56" i="29"/>
  <c r="I56" i="29"/>
  <c r="O56" i="29"/>
  <c r="T56" i="29"/>
  <c r="Y56" i="29"/>
  <c r="AE56" i="29"/>
  <c r="AJ56" i="29"/>
  <c r="AO56" i="29"/>
  <c r="G57" i="29"/>
  <c r="L57" i="29"/>
  <c r="Q57" i="29"/>
  <c r="W57" i="29"/>
  <c r="AB57" i="29"/>
  <c r="AG57" i="29"/>
  <c r="AM57" i="29"/>
  <c r="D58" i="29"/>
  <c r="I58" i="29"/>
  <c r="O58" i="29"/>
  <c r="T58" i="29"/>
  <c r="X58" i="29"/>
  <c r="AB58" i="29"/>
  <c r="AF58" i="29"/>
  <c r="AJ58" i="29"/>
  <c r="AN58" i="29"/>
  <c r="D59" i="29"/>
  <c r="H59" i="29"/>
  <c r="L59" i="29"/>
  <c r="P59" i="29"/>
  <c r="T59" i="29"/>
  <c r="X59" i="29"/>
  <c r="AB59" i="29"/>
  <c r="AF59" i="29"/>
  <c r="AJ59" i="29"/>
  <c r="AN59" i="29"/>
  <c r="D60" i="29"/>
  <c r="H60" i="29"/>
  <c r="L60" i="29"/>
  <c r="P60" i="29"/>
  <c r="T60" i="29"/>
  <c r="X60" i="29"/>
  <c r="E50" i="29"/>
  <c r="P50" i="29"/>
  <c r="AA50" i="29"/>
  <c r="AK50" i="29"/>
  <c r="H51" i="29"/>
  <c r="S51" i="29"/>
  <c r="AC51" i="29"/>
  <c r="AN51" i="29"/>
  <c r="K52" i="29"/>
  <c r="U52" i="29"/>
  <c r="AF52" i="29"/>
  <c r="C53" i="29"/>
  <c r="M53" i="29"/>
  <c r="X53" i="29"/>
  <c r="AI53" i="29"/>
  <c r="E54" i="29"/>
  <c r="P54" i="29"/>
  <c r="AA54" i="29"/>
  <c r="AK54" i="29"/>
  <c r="H55" i="29"/>
  <c r="S55" i="29"/>
  <c r="AC55" i="29"/>
  <c r="AN55" i="29"/>
  <c r="K56" i="29"/>
  <c r="U56" i="29"/>
  <c r="AF56" i="29"/>
  <c r="C57" i="29"/>
  <c r="M57" i="29"/>
  <c r="X57" i="29"/>
  <c r="AI57" i="29"/>
  <c r="E58" i="29"/>
  <c r="P58" i="29"/>
  <c r="Y58" i="29"/>
  <c r="AG58" i="29"/>
  <c r="AO58" i="29"/>
  <c r="I59" i="29"/>
  <c r="Q59" i="29"/>
  <c r="Y59" i="29"/>
  <c r="AG59" i="29"/>
  <c r="AO59" i="29"/>
  <c r="I60" i="29"/>
  <c r="Q60" i="29"/>
  <c r="Y60" i="29"/>
  <c r="AD60" i="29"/>
  <c r="AJ60" i="29"/>
  <c r="AO60" i="29"/>
  <c r="F61" i="29"/>
  <c r="L61" i="29"/>
  <c r="Q61" i="29"/>
  <c r="V61" i="29"/>
  <c r="AB61" i="29"/>
  <c r="AG61" i="29"/>
  <c r="AL61" i="29"/>
  <c r="D62" i="29"/>
  <c r="I62" i="29"/>
  <c r="N62" i="29"/>
  <c r="T62" i="29"/>
  <c r="Y62" i="29"/>
  <c r="AD62" i="29"/>
  <c r="AJ62" i="29"/>
  <c r="AO62" i="29"/>
  <c r="F63" i="29"/>
  <c r="L63" i="29"/>
  <c r="Q63" i="29"/>
  <c r="V63" i="29"/>
  <c r="AB63" i="29"/>
  <c r="AG63" i="29"/>
  <c r="AL63" i="29"/>
  <c r="D64" i="29"/>
  <c r="I64" i="29"/>
  <c r="N64" i="29"/>
  <c r="G50" i="29"/>
  <c r="Q50" i="29"/>
  <c r="AB50" i="29"/>
  <c r="AM50" i="29"/>
  <c r="I51" i="29"/>
  <c r="T51" i="29"/>
  <c r="AE51" i="29"/>
  <c r="AO51" i="29"/>
  <c r="L52" i="29"/>
  <c r="W52" i="29"/>
  <c r="AG52" i="29"/>
  <c r="D53" i="29"/>
  <c r="O53" i="29"/>
  <c r="Y53" i="29"/>
  <c r="AJ53" i="29"/>
  <c r="G54" i="29"/>
  <c r="Q54" i="29"/>
  <c r="AB54" i="29"/>
  <c r="AM54" i="29"/>
  <c r="I55" i="29"/>
  <c r="T55" i="29"/>
  <c r="AE55" i="29"/>
  <c r="AO55" i="29"/>
  <c r="L56" i="29"/>
  <c r="W56" i="29"/>
  <c r="AG56" i="29"/>
  <c r="D57" i="29"/>
  <c r="O57" i="29"/>
  <c r="Y57" i="29"/>
  <c r="AJ57" i="29"/>
  <c r="G58" i="29"/>
  <c r="Q58" i="29"/>
  <c r="Z58" i="29"/>
  <c r="AH58" i="29"/>
  <c r="B59" i="29"/>
  <c r="J59" i="29"/>
  <c r="R59" i="29"/>
  <c r="Z59" i="29"/>
  <c r="AH59" i="29"/>
  <c r="B60" i="29"/>
  <c r="J60" i="29"/>
  <c r="R60" i="29"/>
  <c r="Z60" i="29"/>
  <c r="AF60" i="29"/>
  <c r="AK60" i="29"/>
  <c r="B61" i="29"/>
  <c r="H61" i="29"/>
  <c r="M61" i="29"/>
  <c r="R61" i="29"/>
  <c r="X61" i="29"/>
  <c r="AC61" i="29"/>
  <c r="AH61" i="29"/>
  <c r="AN61" i="29"/>
  <c r="E62" i="29"/>
  <c r="J62" i="29"/>
  <c r="P62" i="29"/>
  <c r="U62" i="29"/>
  <c r="Z62" i="29"/>
  <c r="AF62" i="29"/>
  <c r="AK62" i="29"/>
  <c r="B63" i="29"/>
  <c r="H63" i="29"/>
  <c r="M63" i="29"/>
  <c r="R63" i="29"/>
  <c r="K50" i="29"/>
  <c r="U50" i="29"/>
  <c r="AF50" i="29"/>
  <c r="C51" i="29"/>
  <c r="M51" i="29"/>
  <c r="X51" i="29"/>
  <c r="AI51" i="29"/>
  <c r="E52" i="29"/>
  <c r="P52" i="29"/>
  <c r="AA52" i="29"/>
  <c r="AK52" i="29"/>
  <c r="H53" i="29"/>
  <c r="S53" i="29"/>
  <c r="AC53" i="29"/>
  <c r="AN53" i="29"/>
  <c r="K54" i="29"/>
  <c r="U54" i="29"/>
  <c r="AF54" i="29"/>
  <c r="C55" i="29"/>
  <c r="M55" i="29"/>
  <c r="X55" i="29"/>
  <c r="AI55" i="29"/>
  <c r="E56" i="29"/>
  <c r="P56" i="29"/>
  <c r="AA56" i="29"/>
  <c r="AK56" i="29"/>
  <c r="H57" i="29"/>
  <c r="S57" i="29"/>
  <c r="AC57" i="29"/>
  <c r="AN57" i="29"/>
  <c r="K58" i="29"/>
  <c r="U58" i="29"/>
  <c r="AC58" i="29"/>
  <c r="AK58" i="29"/>
  <c r="E59" i="29"/>
  <c r="M59" i="29"/>
  <c r="U59" i="29"/>
  <c r="AC59" i="29"/>
  <c r="AK59" i="29"/>
  <c r="E60" i="29"/>
  <c r="M60" i="29"/>
  <c r="U60" i="29"/>
  <c r="AB60" i="29"/>
  <c r="AG60" i="29"/>
  <c r="AL60" i="29"/>
  <c r="D61" i="29"/>
  <c r="I61" i="29"/>
  <c r="N61" i="29"/>
  <c r="T61" i="29"/>
  <c r="Y61" i="29"/>
  <c r="AD61" i="29"/>
  <c r="AJ61" i="29"/>
  <c r="AO61" i="29"/>
  <c r="F62" i="29"/>
  <c r="L62" i="29"/>
  <c r="Q62" i="29"/>
  <c r="V62" i="29"/>
  <c r="AB62" i="29"/>
  <c r="AG62" i="29"/>
  <c r="AL62" i="29"/>
  <c r="D63" i="29"/>
  <c r="I63" i="29"/>
  <c r="N63" i="29"/>
  <c r="T63" i="29"/>
  <c r="Y63" i="29"/>
  <c r="AD63" i="29"/>
  <c r="AJ63" i="29"/>
  <c r="AO63" i="29"/>
  <c r="F64" i="29"/>
  <c r="L64" i="29"/>
  <c r="Q64" i="29"/>
  <c r="V64" i="29"/>
  <c r="AB64" i="29"/>
  <c r="AG64" i="29"/>
  <c r="AL64" i="29"/>
  <c r="D65" i="29"/>
  <c r="I65" i="29"/>
  <c r="N65" i="29"/>
  <c r="T65" i="29"/>
  <c r="Y65" i="29"/>
  <c r="AD65" i="29"/>
  <c r="AJ65" i="29"/>
  <c r="AO65" i="29"/>
  <c r="F66" i="29"/>
  <c r="L66" i="29"/>
  <c r="L50" i="29"/>
  <c r="O51" i="29"/>
  <c r="Q52" i="29"/>
  <c r="T53" i="29"/>
  <c r="W54" i="29"/>
  <c r="Y55" i="29"/>
  <c r="AB56" i="29"/>
  <c r="AE57" i="29"/>
  <c r="AD58" i="29"/>
  <c r="V59" i="29"/>
  <c r="N60" i="29"/>
  <c r="AN60" i="29"/>
  <c r="U61" i="29"/>
  <c r="B62" i="29"/>
  <c r="X62" i="29"/>
  <c r="E63" i="29"/>
  <c r="X63" i="29"/>
  <c r="AH63" i="29"/>
  <c r="E64" i="29"/>
  <c r="P64" i="29"/>
  <c r="X64" i="29"/>
  <c r="AD64" i="29"/>
  <c r="AK64" i="29"/>
  <c r="E65" i="29"/>
  <c r="L65" i="29"/>
  <c r="R65" i="29"/>
  <c r="Z65" i="29"/>
  <c r="AG65" i="29"/>
  <c r="AN65" i="29"/>
  <c r="H66" i="29"/>
  <c r="N66" i="29"/>
  <c r="T66" i="29"/>
  <c r="Y66" i="29"/>
  <c r="AD66" i="29"/>
  <c r="AJ66" i="29"/>
  <c r="AO66" i="29"/>
  <c r="F67" i="29"/>
  <c r="L67" i="29"/>
  <c r="Q67" i="29"/>
  <c r="V67" i="29"/>
  <c r="AB67" i="29"/>
  <c r="AG67" i="29"/>
  <c r="AL67" i="29"/>
  <c r="D68" i="29"/>
  <c r="I68" i="29"/>
  <c r="N68" i="29"/>
  <c r="T68" i="29"/>
  <c r="Y68" i="29"/>
  <c r="AD68" i="29"/>
  <c r="AJ68" i="29"/>
  <c r="AO68" i="29"/>
  <c r="E69" i="29"/>
  <c r="I69" i="29"/>
  <c r="M69" i="29"/>
  <c r="Q69" i="29"/>
  <c r="U69" i="29"/>
  <c r="Y69" i="29"/>
  <c r="AC69" i="29"/>
  <c r="AG69" i="29"/>
  <c r="AK69" i="29"/>
  <c r="AO69" i="29"/>
  <c r="E70" i="29"/>
  <c r="I70" i="29"/>
  <c r="M70" i="29"/>
  <c r="Q70" i="29"/>
  <c r="U70" i="29"/>
  <c r="Y70" i="29"/>
  <c r="AC70" i="29"/>
  <c r="AG70" i="29"/>
  <c r="AK70" i="29"/>
  <c r="AO70" i="29"/>
  <c r="E71" i="29"/>
  <c r="I71" i="29"/>
  <c r="M71" i="29"/>
  <c r="Q71" i="29"/>
  <c r="U71" i="29"/>
  <c r="Y71" i="29"/>
  <c r="AC71" i="29"/>
  <c r="AG71" i="29"/>
  <c r="AK71" i="29"/>
  <c r="AO71" i="29"/>
  <c r="E72" i="29"/>
  <c r="I72" i="29"/>
  <c r="M72" i="29"/>
  <c r="Q72" i="29"/>
  <c r="U72" i="29"/>
  <c r="Y72" i="29"/>
  <c r="AC72" i="29"/>
  <c r="AG72" i="29"/>
  <c r="AK72" i="29"/>
  <c r="AO72" i="29"/>
  <c r="E73" i="29"/>
  <c r="I73" i="29"/>
  <c r="M73" i="29"/>
  <c r="Q73" i="29"/>
  <c r="U73" i="29"/>
  <c r="Y73" i="29"/>
  <c r="AC73" i="29"/>
  <c r="AG73" i="29"/>
  <c r="AK73" i="29"/>
  <c r="AO73" i="29"/>
  <c r="E74" i="29"/>
  <c r="I74" i="29"/>
  <c r="M74" i="29"/>
  <c r="Q74" i="29"/>
  <c r="U74" i="29"/>
  <c r="Y74" i="29"/>
  <c r="AC74" i="29"/>
  <c r="AG74" i="29"/>
  <c r="AK74" i="29"/>
  <c r="AO74" i="29"/>
  <c r="E75" i="29"/>
  <c r="I75" i="29"/>
  <c r="M75" i="29"/>
  <c r="Q75" i="29"/>
  <c r="U75" i="29"/>
  <c r="Y75" i="29"/>
  <c r="AC75" i="29"/>
  <c r="AG75" i="29"/>
  <c r="AK75" i="29"/>
  <c r="AO75" i="29"/>
  <c r="E76" i="29"/>
  <c r="I76" i="29"/>
  <c r="M76" i="29"/>
  <c r="Q76" i="29"/>
  <c r="U76" i="29"/>
  <c r="Y76" i="29"/>
  <c r="AC76" i="29"/>
  <c r="AG76" i="29"/>
  <c r="AK76" i="29"/>
  <c r="AO76" i="29"/>
  <c r="E77" i="29"/>
  <c r="I77" i="29"/>
  <c r="M77" i="29"/>
  <c r="Q77" i="29"/>
  <c r="U77" i="29"/>
  <c r="Y77" i="29"/>
  <c r="AC77" i="29"/>
  <c r="AG77" i="29"/>
  <c r="AK77" i="29"/>
  <c r="AO77" i="29"/>
  <c r="E78" i="29"/>
  <c r="I78" i="29"/>
  <c r="M78" i="29"/>
  <c r="Q78" i="29"/>
  <c r="U78" i="29"/>
  <c r="Y78" i="29"/>
  <c r="AC78" i="29"/>
  <c r="AG78" i="29"/>
  <c r="AK78" i="29"/>
  <c r="AO78" i="29"/>
  <c r="E79" i="29"/>
  <c r="I79" i="29"/>
  <c r="M79" i="29"/>
  <c r="Q79" i="29"/>
  <c r="U79" i="29"/>
  <c r="Y79" i="29"/>
  <c r="AC79" i="29"/>
  <c r="AG79" i="29"/>
  <c r="AK79" i="29"/>
  <c r="AO79" i="29"/>
  <c r="E80" i="29"/>
  <c r="I80" i="29"/>
  <c r="M80" i="29"/>
  <c r="Q80" i="29"/>
  <c r="U80" i="29"/>
  <c r="Y80" i="29"/>
  <c r="AC80" i="29"/>
  <c r="AG80" i="29"/>
  <c r="AK80" i="29"/>
  <c r="W50" i="29"/>
  <c r="Y51" i="29"/>
  <c r="AB52" i="29"/>
  <c r="AE53" i="29"/>
  <c r="AG54" i="29"/>
  <c r="AJ55" i="29"/>
  <c r="AM56" i="29"/>
  <c r="AO57" i="29"/>
  <c r="AL58" i="29"/>
  <c r="AD59" i="29"/>
  <c r="V60" i="29"/>
  <c r="E61" i="29"/>
  <c r="Z61" i="29"/>
  <c r="H62" i="29"/>
  <c r="AC62" i="29"/>
  <c r="J63" i="29"/>
  <c r="Z63" i="29"/>
  <c r="AK63" i="29"/>
  <c r="H64" i="29"/>
  <c r="R64" i="29"/>
  <c r="Y64" i="29"/>
  <c r="AF64" i="29"/>
  <c r="AN64" i="29"/>
  <c r="F65" i="29"/>
  <c r="M65" i="29"/>
  <c r="U65" i="29"/>
  <c r="AB65" i="29"/>
  <c r="AH65" i="29"/>
  <c r="B66" i="29"/>
  <c r="I66" i="29"/>
  <c r="P66" i="29"/>
  <c r="U66" i="29"/>
  <c r="Z66" i="29"/>
  <c r="AF66" i="29"/>
  <c r="AK66" i="29"/>
  <c r="B67" i="29"/>
  <c r="H67" i="29"/>
  <c r="M67" i="29"/>
  <c r="R67" i="29"/>
  <c r="X67" i="29"/>
  <c r="AC67" i="29"/>
  <c r="AH67" i="29"/>
  <c r="AN67" i="29"/>
  <c r="E68" i="29"/>
  <c r="J68" i="29"/>
  <c r="P68" i="29"/>
  <c r="U68" i="29"/>
  <c r="Z68" i="29"/>
  <c r="AF68" i="29"/>
  <c r="AK68" i="29"/>
  <c r="B69" i="29"/>
  <c r="F69" i="29"/>
  <c r="J69" i="29"/>
  <c r="N69" i="29"/>
  <c r="R69" i="29"/>
  <c r="V69" i="29"/>
  <c r="Z69" i="29"/>
  <c r="AD69" i="29"/>
  <c r="AH69" i="29"/>
  <c r="AL69" i="29"/>
  <c r="B70" i="29"/>
  <c r="F70" i="29"/>
  <c r="J70" i="29"/>
  <c r="N70" i="29"/>
  <c r="R70" i="29"/>
  <c r="V70" i="29"/>
  <c r="Z70" i="29"/>
  <c r="AD70" i="29"/>
  <c r="AH70" i="29"/>
  <c r="AL70" i="29"/>
  <c r="B71" i="29"/>
  <c r="F71" i="29"/>
  <c r="J71" i="29"/>
  <c r="N71" i="29"/>
  <c r="R71" i="29"/>
  <c r="V71" i="29"/>
  <c r="Z71" i="29"/>
  <c r="AD71" i="29"/>
  <c r="AH71" i="29"/>
  <c r="AL71" i="29"/>
  <c r="B72" i="29"/>
  <c r="F72" i="29"/>
  <c r="J72" i="29"/>
  <c r="N72" i="29"/>
  <c r="R72" i="29"/>
  <c r="V72" i="29"/>
  <c r="Z72" i="29"/>
  <c r="AD72" i="29"/>
  <c r="AH72" i="29"/>
  <c r="AL72" i="29"/>
  <c r="B73" i="29"/>
  <c r="F73" i="29"/>
  <c r="J73" i="29"/>
  <c r="N73" i="29"/>
  <c r="R73" i="29"/>
  <c r="V73" i="29"/>
  <c r="Z73" i="29"/>
  <c r="AD73" i="29"/>
  <c r="AH73" i="29"/>
  <c r="AL73" i="29"/>
  <c r="B74" i="29"/>
  <c r="F74" i="29"/>
  <c r="J74" i="29"/>
  <c r="N74" i="29"/>
  <c r="R74" i="29"/>
  <c r="V74" i="29"/>
  <c r="Z74" i="29"/>
  <c r="AD74" i="29"/>
  <c r="AH74" i="29"/>
  <c r="AL74" i="29"/>
  <c r="B75" i="29"/>
  <c r="F75" i="29"/>
  <c r="J75" i="29"/>
  <c r="N75" i="29"/>
  <c r="R75" i="29"/>
  <c r="V75" i="29"/>
  <c r="Z75" i="29"/>
  <c r="AD75" i="29"/>
  <c r="AH75" i="29"/>
  <c r="AL75" i="29"/>
  <c r="B76" i="29"/>
  <c r="AG50" i="29"/>
  <c r="AJ51" i="29"/>
  <c r="AM52" i="29"/>
  <c r="AO53" i="29"/>
  <c r="D55" i="29"/>
  <c r="G56" i="29"/>
  <c r="I57" i="29"/>
  <c r="L58" i="29"/>
  <c r="F59" i="29"/>
  <c r="AL59" i="29"/>
  <c r="AC60" i="29"/>
  <c r="J61" i="29"/>
  <c r="AF61" i="29"/>
  <c r="M62" i="29"/>
  <c r="AH62" i="29"/>
  <c r="P63" i="29"/>
  <c r="AC63" i="29"/>
  <c r="AN63" i="29"/>
  <c r="J64" i="29"/>
  <c r="T64" i="29"/>
  <c r="Z64" i="29"/>
  <c r="AH64" i="29"/>
  <c r="AO64" i="29"/>
  <c r="H65" i="29"/>
  <c r="P65" i="29"/>
  <c r="V65" i="29"/>
  <c r="AC65" i="29"/>
  <c r="AK65" i="29"/>
  <c r="D66" i="29"/>
  <c r="J66" i="29"/>
  <c r="Q66" i="29"/>
  <c r="V66" i="29"/>
  <c r="AB66" i="29"/>
  <c r="AG66" i="29"/>
  <c r="AL66" i="29"/>
  <c r="D67" i="29"/>
  <c r="I67" i="29"/>
  <c r="N67" i="29"/>
  <c r="T67" i="29"/>
  <c r="Y67" i="29"/>
  <c r="AD67" i="29"/>
  <c r="AJ67" i="29"/>
  <c r="AO67" i="29"/>
  <c r="F68" i="29"/>
  <c r="L68" i="29"/>
  <c r="Q68" i="29"/>
  <c r="V68" i="29"/>
  <c r="AB68" i="29"/>
  <c r="AG68" i="29"/>
  <c r="AL68" i="29"/>
  <c r="C69" i="29"/>
  <c r="G69" i="29"/>
  <c r="K69" i="29"/>
  <c r="O69" i="29"/>
  <c r="S69" i="29"/>
  <c r="W69" i="29"/>
  <c r="AA69" i="29"/>
  <c r="AE69" i="29"/>
  <c r="AI69" i="29"/>
  <c r="AM69" i="29"/>
  <c r="C70" i="29"/>
  <c r="G70" i="29"/>
  <c r="K70" i="29"/>
  <c r="O70" i="29"/>
  <c r="S70" i="29"/>
  <c r="W70" i="29"/>
  <c r="AA70" i="29"/>
  <c r="AE70" i="29"/>
  <c r="AI70" i="29"/>
  <c r="AM70" i="29"/>
  <c r="C71" i="29"/>
  <c r="G71" i="29"/>
  <c r="K71" i="29"/>
  <c r="O71" i="29"/>
  <c r="S71" i="29"/>
  <c r="W71" i="29"/>
  <c r="AA71" i="29"/>
  <c r="AE71" i="29"/>
  <c r="AI71" i="29"/>
  <c r="AM71" i="29"/>
  <c r="C72" i="29"/>
  <c r="G72" i="29"/>
  <c r="K72" i="29"/>
  <c r="O72" i="29"/>
  <c r="S72" i="29"/>
  <c r="W72" i="29"/>
  <c r="AA72" i="29"/>
  <c r="AE72" i="29"/>
  <c r="AI72" i="29"/>
  <c r="AM72" i="29"/>
  <c r="C73" i="29"/>
  <c r="G73" i="29"/>
  <c r="K73" i="29"/>
  <c r="O73" i="29"/>
  <c r="S73" i="29"/>
  <c r="W73" i="29"/>
  <c r="AA73" i="29"/>
  <c r="AE73" i="29"/>
  <c r="AI73" i="29"/>
  <c r="AM73" i="29"/>
  <c r="C74" i="29"/>
  <c r="G74" i="29"/>
  <c r="K74" i="29"/>
  <c r="O74" i="29"/>
  <c r="S74" i="29"/>
  <c r="W74" i="29"/>
  <c r="AA74" i="29"/>
  <c r="AE74" i="29"/>
  <c r="AI74" i="29"/>
  <c r="AM74" i="29"/>
  <c r="C75" i="29"/>
  <c r="G75" i="29"/>
  <c r="K75" i="29"/>
  <c r="O75" i="29"/>
  <c r="S75" i="29"/>
  <c r="W75" i="29"/>
  <c r="AA75" i="29"/>
  <c r="AE75" i="29"/>
  <c r="AI75" i="29"/>
  <c r="AM75" i="29"/>
  <c r="C76" i="29"/>
  <c r="G76" i="29"/>
  <c r="K76" i="29"/>
  <c r="O76" i="29"/>
  <c r="S76" i="29"/>
  <c r="W76" i="29"/>
  <c r="AA76" i="29"/>
  <c r="AE76" i="29"/>
  <c r="AI76" i="29"/>
  <c r="AM76" i="29"/>
  <c r="C77" i="29"/>
  <c r="G77" i="29"/>
  <c r="K77" i="29"/>
  <c r="O77" i="29"/>
  <c r="S77" i="29"/>
  <c r="W77" i="29"/>
  <c r="AA77" i="29"/>
  <c r="AE77" i="29"/>
  <c r="AI77" i="29"/>
  <c r="AM77" i="29"/>
  <c r="C78" i="29"/>
  <c r="G78" i="29"/>
  <c r="K78" i="29"/>
  <c r="O78" i="29"/>
  <c r="S78" i="29"/>
  <c r="W78" i="29"/>
  <c r="AA78" i="29"/>
  <c r="AE78" i="29"/>
  <c r="AI78" i="29"/>
  <c r="AM78" i="29"/>
  <c r="D51" i="29"/>
  <c r="O55" i="29"/>
  <c r="N59" i="29"/>
  <c r="AK61" i="29"/>
  <c r="AF63" i="29"/>
  <c r="AC64" i="29"/>
  <c r="Q65" i="29"/>
  <c r="E66" i="29"/>
  <c r="AC66" i="29"/>
  <c r="J67" i="29"/>
  <c r="AF67" i="29"/>
  <c r="M68" i="29"/>
  <c r="AH68" i="29"/>
  <c r="L69" i="29"/>
  <c r="AB69" i="29"/>
  <c r="D70" i="29"/>
  <c r="T70" i="29"/>
  <c r="AJ70" i="29"/>
  <c r="L71" i="29"/>
  <c r="AB71" i="29"/>
  <c r="D72" i="29"/>
  <c r="T72" i="29"/>
  <c r="AJ72" i="29"/>
  <c r="L73" i="29"/>
  <c r="AB73" i="29"/>
  <c r="D74" i="29"/>
  <c r="T74" i="29"/>
  <c r="AJ74" i="29"/>
  <c r="L75" i="29"/>
  <c r="AB75" i="29"/>
  <c r="D76" i="29"/>
  <c r="L76" i="29"/>
  <c r="T76" i="29"/>
  <c r="AB76" i="29"/>
  <c r="AJ76" i="29"/>
  <c r="D77" i="29"/>
  <c r="L77" i="29"/>
  <c r="T77" i="29"/>
  <c r="AB77" i="29"/>
  <c r="AJ77" i="29"/>
  <c r="D78" i="29"/>
  <c r="L78" i="29"/>
  <c r="T78" i="29"/>
  <c r="AB78" i="29"/>
  <c r="AJ78" i="29"/>
  <c r="C79" i="29"/>
  <c r="H79" i="29"/>
  <c r="N79" i="29"/>
  <c r="S79" i="29"/>
  <c r="X79" i="29"/>
  <c r="AD79" i="29"/>
  <c r="AI79" i="29"/>
  <c r="AN79" i="29"/>
  <c r="F80" i="29"/>
  <c r="K80" i="29"/>
  <c r="P80" i="29"/>
  <c r="V80" i="29"/>
  <c r="AA80" i="29"/>
  <c r="AF80" i="29"/>
  <c r="AL80" i="29"/>
  <c r="B81" i="29"/>
  <c r="F81" i="29"/>
  <c r="J81" i="29"/>
  <c r="N81" i="29"/>
  <c r="R81" i="29"/>
  <c r="V81" i="29"/>
  <c r="Z81" i="29"/>
  <c r="AD81" i="29"/>
  <c r="AH81" i="29"/>
  <c r="AL81" i="29"/>
  <c r="B82" i="29"/>
  <c r="F82" i="29"/>
  <c r="J82" i="29"/>
  <c r="N82" i="29"/>
  <c r="R82" i="29"/>
  <c r="V82" i="29"/>
  <c r="Z82" i="29"/>
  <c r="AD82" i="29"/>
  <c r="AH82" i="29"/>
  <c r="AL82" i="29"/>
  <c r="B83" i="29"/>
  <c r="F83" i="29"/>
  <c r="J83" i="29"/>
  <c r="N83" i="29"/>
  <c r="R83" i="29"/>
  <c r="V83" i="29"/>
  <c r="Z83" i="29"/>
  <c r="AD83" i="29"/>
  <c r="AH83" i="29"/>
  <c r="AL83" i="29"/>
  <c r="B84" i="29"/>
  <c r="F84" i="29"/>
  <c r="J84" i="29"/>
  <c r="N84" i="29"/>
  <c r="R84" i="29"/>
  <c r="V84" i="29"/>
  <c r="Z84" i="29"/>
  <c r="AD84" i="29"/>
  <c r="AH84" i="29"/>
  <c r="AL84" i="29"/>
  <c r="B85" i="29"/>
  <c r="F85" i="29"/>
  <c r="J85" i="29"/>
  <c r="N85" i="29"/>
  <c r="R85" i="29"/>
  <c r="V85" i="29"/>
  <c r="Z85" i="29"/>
  <c r="AD85" i="29"/>
  <c r="AH85" i="29"/>
  <c r="AL85" i="29"/>
  <c r="B86" i="29"/>
  <c r="F86" i="29"/>
  <c r="J86" i="29"/>
  <c r="N86" i="29"/>
  <c r="R86" i="29"/>
  <c r="V86" i="29"/>
  <c r="Z86" i="29"/>
  <c r="AD86" i="29"/>
  <c r="AH86" i="29"/>
  <c r="AL86" i="29"/>
  <c r="B87" i="29"/>
  <c r="F87" i="29"/>
  <c r="J87" i="29"/>
  <c r="N87" i="29"/>
  <c r="R87" i="29"/>
  <c r="V87" i="29"/>
  <c r="Z87" i="29"/>
  <c r="AD87" i="29"/>
  <c r="AH87" i="29"/>
  <c r="AL87" i="29"/>
  <c r="B88" i="29"/>
  <c r="F88" i="29"/>
  <c r="J88" i="29"/>
  <c r="N88" i="29"/>
  <c r="R88" i="29"/>
  <c r="V88" i="29"/>
  <c r="Z88" i="29"/>
  <c r="AD88" i="29"/>
  <c r="AH88" i="29"/>
  <c r="AL88" i="29"/>
  <c r="B89" i="29"/>
  <c r="F89" i="29"/>
  <c r="J89" i="29"/>
  <c r="N89" i="29"/>
  <c r="R89" i="29"/>
  <c r="V89" i="29"/>
  <c r="Z89" i="29"/>
  <c r="AD89" i="29"/>
  <c r="AH89" i="29"/>
  <c r="AL89" i="29"/>
  <c r="AM88" i="29"/>
  <c r="G89" i="29"/>
  <c r="K89" i="29"/>
  <c r="O89" i="29"/>
  <c r="S89" i="29"/>
  <c r="W89" i="29"/>
  <c r="AE89" i="29"/>
  <c r="AI89" i="29"/>
  <c r="AM89" i="29"/>
  <c r="V58" i="29"/>
  <c r="H69" i="29"/>
  <c r="P70" i="29"/>
  <c r="H71" i="29"/>
  <c r="AN71" i="29"/>
  <c r="AF72" i="29"/>
  <c r="X73" i="29"/>
  <c r="P74" i="29"/>
  <c r="H75" i="29"/>
  <c r="AN75" i="29"/>
  <c r="R76" i="29"/>
  <c r="G52" i="29"/>
  <c r="Q56" i="29"/>
  <c r="F60" i="29"/>
  <c r="R62" i="29"/>
  <c r="B64" i="29"/>
  <c r="AJ64" i="29"/>
  <c r="X65" i="29"/>
  <c r="M66" i="29"/>
  <c r="AH66" i="29"/>
  <c r="P67" i="29"/>
  <c r="AK67" i="29"/>
  <c r="R68" i="29"/>
  <c r="AN68" i="29"/>
  <c r="P69" i="29"/>
  <c r="AF69" i="29"/>
  <c r="H70" i="29"/>
  <c r="X70" i="29"/>
  <c r="AN70" i="29"/>
  <c r="P71" i="29"/>
  <c r="AF71" i="29"/>
  <c r="H72" i="29"/>
  <c r="X72" i="29"/>
  <c r="AN72" i="29"/>
  <c r="P73" i="29"/>
  <c r="AF73" i="29"/>
  <c r="H74" i="29"/>
  <c r="X74" i="29"/>
  <c r="AN74" i="29"/>
  <c r="P75" i="29"/>
  <c r="AF75" i="29"/>
  <c r="F76" i="29"/>
  <c r="N76" i="29"/>
  <c r="V76" i="29"/>
  <c r="AD76" i="29"/>
  <c r="AL76" i="29"/>
  <c r="F77" i="29"/>
  <c r="N77" i="29"/>
  <c r="V77" i="29"/>
  <c r="AD77" i="29"/>
  <c r="AL77" i="29"/>
  <c r="F78" i="29"/>
  <c r="N78" i="29"/>
  <c r="V78" i="29"/>
  <c r="AD78" i="29"/>
  <c r="AL78" i="29"/>
  <c r="D79" i="29"/>
  <c r="J79" i="29"/>
  <c r="O79" i="29"/>
  <c r="T79" i="29"/>
  <c r="Z79" i="29"/>
  <c r="AE79" i="29"/>
  <c r="AJ79" i="29"/>
  <c r="B80" i="29"/>
  <c r="G80" i="29"/>
  <c r="L80" i="29"/>
  <c r="R80" i="29"/>
  <c r="W80" i="29"/>
  <c r="AB80" i="29"/>
  <c r="AH80" i="29"/>
  <c r="AM80" i="29"/>
  <c r="C81" i="29"/>
  <c r="G81" i="29"/>
  <c r="K81" i="29"/>
  <c r="O81" i="29"/>
  <c r="S81" i="29"/>
  <c r="W81" i="29"/>
  <c r="AA81" i="29"/>
  <c r="AE81" i="29"/>
  <c r="AI81" i="29"/>
  <c r="AM81" i="29"/>
  <c r="C82" i="29"/>
  <c r="G82" i="29"/>
  <c r="K82" i="29"/>
  <c r="O82" i="29"/>
  <c r="S82" i="29"/>
  <c r="W82" i="29"/>
  <c r="AA82" i="29"/>
  <c r="AE82" i="29"/>
  <c r="AI82" i="29"/>
  <c r="AM82" i="29"/>
  <c r="C83" i="29"/>
  <c r="G83" i="29"/>
  <c r="K83" i="29"/>
  <c r="O83" i="29"/>
  <c r="S83" i="29"/>
  <c r="W83" i="29"/>
  <c r="AA83" i="29"/>
  <c r="AE83" i="29"/>
  <c r="AI83" i="29"/>
  <c r="AM83" i="29"/>
  <c r="C84" i="29"/>
  <c r="G84" i="29"/>
  <c r="K84" i="29"/>
  <c r="O84" i="29"/>
  <c r="S84" i="29"/>
  <c r="W84" i="29"/>
  <c r="AA84" i="29"/>
  <c r="AE84" i="29"/>
  <c r="AI84" i="29"/>
  <c r="AM84" i="29"/>
  <c r="C85" i="29"/>
  <c r="G85" i="29"/>
  <c r="K85" i="29"/>
  <c r="O85" i="29"/>
  <c r="S85" i="29"/>
  <c r="W85" i="29"/>
  <c r="AA85" i="29"/>
  <c r="AE85" i="29"/>
  <c r="AI85" i="29"/>
  <c r="AM85" i="29"/>
  <c r="C86" i="29"/>
  <c r="G86" i="29"/>
  <c r="K86" i="29"/>
  <c r="O86" i="29"/>
  <c r="S86" i="29"/>
  <c r="W86" i="29"/>
  <c r="AA86" i="29"/>
  <c r="AE86" i="29"/>
  <c r="AI86" i="29"/>
  <c r="AM86" i="29"/>
  <c r="C87" i="29"/>
  <c r="G87" i="29"/>
  <c r="K87" i="29"/>
  <c r="O87" i="29"/>
  <c r="S87" i="29"/>
  <c r="W87" i="29"/>
  <c r="AA87" i="29"/>
  <c r="AE87" i="29"/>
  <c r="AI87" i="29"/>
  <c r="AM87" i="29"/>
  <c r="C88" i="29"/>
  <c r="G88" i="29"/>
  <c r="K88" i="29"/>
  <c r="O88" i="29"/>
  <c r="S88" i="29"/>
  <c r="W88" i="29"/>
  <c r="AA88" i="29"/>
  <c r="AE88" i="29"/>
  <c r="AI88" i="29"/>
  <c r="C89" i="29"/>
  <c r="AA89" i="29"/>
  <c r="I53" i="29"/>
  <c r="T57" i="29"/>
  <c r="AH60" i="29"/>
  <c r="AN62" i="29"/>
  <c r="M64" i="29"/>
  <c r="B65" i="29"/>
  <c r="AF65" i="29"/>
  <c r="R66" i="29"/>
  <c r="AN66" i="29"/>
  <c r="U67" i="29"/>
  <c r="B68" i="29"/>
  <c r="X68" i="29"/>
  <c r="D69" i="29"/>
  <c r="T69" i="29"/>
  <c r="AJ69" i="29"/>
  <c r="L70" i="29"/>
  <c r="AB70" i="29"/>
  <c r="D71" i="29"/>
  <c r="T71" i="29"/>
  <c r="AJ71" i="29"/>
  <c r="L72" i="29"/>
  <c r="AB72" i="29"/>
  <c r="D73" i="29"/>
  <c r="T73" i="29"/>
  <c r="AJ73" i="29"/>
  <c r="L74" i="29"/>
  <c r="AB74" i="29"/>
  <c r="D75" i="29"/>
  <c r="T75" i="29"/>
  <c r="AJ75" i="29"/>
  <c r="H76" i="29"/>
  <c r="P76" i="29"/>
  <c r="X76" i="29"/>
  <c r="AF76" i="29"/>
  <c r="AN76" i="29"/>
  <c r="H77" i="29"/>
  <c r="P77" i="29"/>
  <c r="X77" i="29"/>
  <c r="AF77" i="29"/>
  <c r="AN77" i="29"/>
  <c r="H78" i="29"/>
  <c r="P78" i="29"/>
  <c r="X78" i="29"/>
  <c r="AF78" i="29"/>
  <c r="AN78" i="29"/>
  <c r="F79" i="29"/>
  <c r="K79" i="29"/>
  <c r="P79" i="29"/>
  <c r="V79" i="29"/>
  <c r="AA79" i="29"/>
  <c r="AF79" i="29"/>
  <c r="AL79" i="29"/>
  <c r="C80" i="29"/>
  <c r="H80" i="29"/>
  <c r="N80" i="29"/>
  <c r="S80" i="29"/>
  <c r="X80" i="29"/>
  <c r="AD80" i="29"/>
  <c r="AI80" i="29"/>
  <c r="AN80" i="29"/>
  <c r="D81" i="29"/>
  <c r="H81" i="29"/>
  <c r="L81" i="29"/>
  <c r="P81" i="29"/>
  <c r="T81" i="29"/>
  <c r="X81" i="29"/>
  <c r="AB81" i="29"/>
  <c r="AF81" i="29"/>
  <c r="AJ81" i="29"/>
  <c r="AN81" i="29"/>
  <c r="D82" i="29"/>
  <c r="H82" i="29"/>
  <c r="L82" i="29"/>
  <c r="P82" i="29"/>
  <c r="T82" i="29"/>
  <c r="X82" i="29"/>
  <c r="AB82" i="29"/>
  <c r="AF82" i="29"/>
  <c r="AJ82" i="29"/>
  <c r="AN82" i="29"/>
  <c r="D83" i="29"/>
  <c r="H83" i="29"/>
  <c r="L83" i="29"/>
  <c r="P83" i="29"/>
  <c r="T83" i="29"/>
  <c r="X83" i="29"/>
  <c r="AB83" i="29"/>
  <c r="AF83" i="29"/>
  <c r="AJ83" i="29"/>
  <c r="AN83" i="29"/>
  <c r="D84" i="29"/>
  <c r="H84" i="29"/>
  <c r="L84" i="29"/>
  <c r="P84" i="29"/>
  <c r="T84" i="29"/>
  <c r="X84" i="29"/>
  <c r="AB84" i="29"/>
  <c r="AF84" i="29"/>
  <c r="AJ84" i="29"/>
  <c r="AN84" i="29"/>
  <c r="D85" i="29"/>
  <c r="H85" i="29"/>
  <c r="L85" i="29"/>
  <c r="P85" i="29"/>
  <c r="T85" i="29"/>
  <c r="X85" i="29"/>
  <c r="AB85" i="29"/>
  <c r="AF85" i="29"/>
  <c r="AJ85" i="29"/>
  <c r="AN85" i="29"/>
  <c r="D86" i="29"/>
  <c r="H86" i="29"/>
  <c r="L86" i="29"/>
  <c r="P86" i="29"/>
  <c r="T86" i="29"/>
  <c r="X86" i="29"/>
  <c r="AB86" i="29"/>
  <c r="AF86" i="29"/>
  <c r="AJ86" i="29"/>
  <c r="AN86" i="29"/>
  <c r="D87" i="29"/>
  <c r="H87" i="29"/>
  <c r="L87" i="29"/>
  <c r="P87" i="29"/>
  <c r="T87" i="29"/>
  <c r="X87" i="29"/>
  <c r="AB87" i="29"/>
  <c r="AF87" i="29"/>
  <c r="AJ87" i="29"/>
  <c r="AN87" i="29"/>
  <c r="D88" i="29"/>
  <c r="H88" i="29"/>
  <c r="L88" i="29"/>
  <c r="P88" i="29"/>
  <c r="T88" i="29"/>
  <c r="X88" i="29"/>
  <c r="AB88" i="29"/>
  <c r="AF88" i="29"/>
  <c r="AJ88" i="29"/>
  <c r="AN88" i="29"/>
  <c r="D89" i="29"/>
  <c r="H89" i="29"/>
  <c r="L89" i="29"/>
  <c r="P89" i="29"/>
  <c r="T89" i="29"/>
  <c r="X89" i="29"/>
  <c r="AB89" i="29"/>
  <c r="AF89" i="29"/>
  <c r="AJ89" i="29"/>
  <c r="AN89" i="29"/>
  <c r="L54" i="29"/>
  <c r="P61" i="29"/>
  <c r="U63" i="29"/>
  <c r="U64" i="29"/>
  <c r="J65" i="29"/>
  <c r="AL65" i="29"/>
  <c r="X66" i="29"/>
  <c r="Z67" i="29"/>
  <c r="H68" i="29"/>
  <c r="AC68" i="29"/>
  <c r="X69" i="29"/>
  <c r="AN69" i="29"/>
  <c r="AF70" i="29"/>
  <c r="X71" i="29"/>
  <c r="P72" i="29"/>
  <c r="H73" i="29"/>
  <c r="AN73" i="29"/>
  <c r="AF74" i="29"/>
  <c r="X75" i="29"/>
  <c r="J76" i="29"/>
  <c r="E67" i="29"/>
  <c r="J77" i="29"/>
  <c r="B78" i="29"/>
  <c r="AH78" i="29"/>
  <c r="R79" i="29"/>
  <c r="AM79" i="29"/>
  <c r="T80" i="29"/>
  <c r="AO80" i="29"/>
  <c r="Q81" i="29"/>
  <c r="AG81" i="29"/>
  <c r="I82" i="29"/>
  <c r="Y82" i="29"/>
  <c r="AO82" i="29"/>
  <c r="Q83" i="29"/>
  <c r="AG83" i="29"/>
  <c r="I84" i="29"/>
  <c r="Y84" i="29"/>
  <c r="AO84" i="29"/>
  <c r="Q85" i="29"/>
  <c r="AG85" i="29"/>
  <c r="I86" i="29"/>
  <c r="Y86" i="29"/>
  <c r="AO86" i="29"/>
  <c r="Q87" i="29"/>
  <c r="AG87" i="29"/>
  <c r="I88" i="29"/>
  <c r="Y88" i="29"/>
  <c r="AO88" i="29"/>
  <c r="Q89" i="29"/>
  <c r="AG89" i="29"/>
  <c r="M88" i="29"/>
  <c r="E89" i="29"/>
  <c r="U89" i="29"/>
  <c r="AK89" i="29"/>
  <c r="AH76" i="29"/>
  <c r="Z77" i="29"/>
  <c r="R78" i="29"/>
  <c r="G79" i="29"/>
  <c r="AB79" i="29"/>
  <c r="J80" i="29"/>
  <c r="AE80" i="29"/>
  <c r="I81" i="29"/>
  <c r="AO81" i="29"/>
  <c r="Q82" i="29"/>
  <c r="AG82" i="29"/>
  <c r="I83" i="29"/>
  <c r="Y83" i="29"/>
  <c r="Q84" i="29"/>
  <c r="AG84" i="29"/>
  <c r="Y85" i="29"/>
  <c r="Q86" i="29"/>
  <c r="AG86" i="29"/>
  <c r="Y87" i="29"/>
  <c r="AO87" i="29"/>
  <c r="AG88" i="29"/>
  <c r="I89" i="29"/>
  <c r="B77" i="29"/>
  <c r="Z78" i="29"/>
  <c r="L79" i="29"/>
  <c r="AH79" i="29"/>
  <c r="AJ80" i="29"/>
  <c r="M81" i="29"/>
  <c r="E82" i="29"/>
  <c r="AK82" i="29"/>
  <c r="AC83" i="29"/>
  <c r="U84" i="29"/>
  <c r="M85" i="29"/>
  <c r="E86" i="29"/>
  <c r="AK86" i="29"/>
  <c r="M87" i="29"/>
  <c r="E88" i="29"/>
  <c r="AK88" i="29"/>
  <c r="M89" i="29"/>
  <c r="Z76" i="29"/>
  <c r="R77" i="29"/>
  <c r="J78" i="29"/>
  <c r="B79" i="29"/>
  <c r="W79" i="29"/>
  <c r="D80" i="29"/>
  <c r="Z80" i="29"/>
  <c r="E81" i="29"/>
  <c r="U81" i="29"/>
  <c r="AK81" i="29"/>
  <c r="M82" i="29"/>
  <c r="AC82" i="29"/>
  <c r="E83" i="29"/>
  <c r="U83" i="29"/>
  <c r="AK83" i="29"/>
  <c r="M84" i="29"/>
  <c r="AC84" i="29"/>
  <c r="E85" i="29"/>
  <c r="U85" i="29"/>
  <c r="AK85" i="29"/>
  <c r="M86" i="29"/>
  <c r="AC86" i="29"/>
  <c r="E87" i="29"/>
  <c r="U87" i="29"/>
  <c r="AK87" i="29"/>
  <c r="AC88" i="29"/>
  <c r="Y81" i="29"/>
  <c r="AO83" i="29"/>
  <c r="I85" i="29"/>
  <c r="AO85" i="29"/>
  <c r="I87" i="29"/>
  <c r="Q88" i="29"/>
  <c r="Y89" i="29"/>
  <c r="AH77" i="29"/>
  <c r="O80" i="29"/>
  <c r="AC81" i="29"/>
  <c r="U82" i="29"/>
  <c r="M83" i="29"/>
  <c r="E84" i="29"/>
  <c r="AK84" i="29"/>
  <c r="AC85" i="29"/>
  <c r="U86" i="29"/>
  <c r="AC87" i="29"/>
  <c r="U88" i="29"/>
  <c r="AC89" i="29"/>
  <c r="AO89" i="29"/>
  <c r="AO100" i="33" l="1"/>
  <c r="T100" i="33"/>
  <c r="AM99" i="33"/>
  <c r="Q99" i="33"/>
  <c r="Q10" i="33" s="1"/>
  <c r="AJ98" i="33"/>
  <c r="O98" i="33"/>
  <c r="AG97" i="33"/>
  <c r="L97" i="33"/>
  <c r="L8" i="33" s="1"/>
  <c r="M98" i="33"/>
  <c r="S100" i="33"/>
  <c r="X102" i="33"/>
  <c r="X13" i="33" s="1"/>
  <c r="AC104" i="33"/>
  <c r="AC15" i="33" s="1"/>
  <c r="Q106" i="33"/>
  <c r="Q17" i="33" s="1"/>
  <c r="I107" i="33"/>
  <c r="I18" i="33" s="1"/>
  <c r="AI107" i="33"/>
  <c r="AI18" i="33" s="1"/>
  <c r="K108" i="33"/>
  <c r="K19" i="33" s="1"/>
  <c r="AA108" i="33"/>
  <c r="C109" i="33"/>
  <c r="C20" i="33" s="1"/>
  <c r="S109" i="33"/>
  <c r="AI109" i="33"/>
  <c r="AI20" i="33" s="1"/>
  <c r="K110" i="33"/>
  <c r="K21" i="33" s="1"/>
  <c r="AA110" i="33"/>
  <c r="C111" i="33"/>
  <c r="S111" i="33"/>
  <c r="S22" i="33" s="1"/>
  <c r="AI111" i="33"/>
  <c r="K112" i="33"/>
  <c r="AA112" i="33"/>
  <c r="C113" i="33"/>
  <c r="S113" i="33"/>
  <c r="C98" i="33"/>
  <c r="AI100" i="33"/>
  <c r="AF103" i="33"/>
  <c r="AF14" i="33" s="1"/>
  <c r="M106" i="33"/>
  <c r="M17" i="33" s="1"/>
  <c r="N107" i="33"/>
  <c r="D108" i="33"/>
  <c r="D19" i="33" s="1"/>
  <c r="Y108" i="33"/>
  <c r="F109" i="33"/>
  <c r="AB109" i="33"/>
  <c r="AB20" i="33" s="1"/>
  <c r="I110" i="33"/>
  <c r="AD110" i="33"/>
  <c r="AD21" i="33" s="1"/>
  <c r="L111" i="33"/>
  <c r="L22" i="33" s="1"/>
  <c r="AG111" i="33"/>
  <c r="AG22" i="33" s="1"/>
  <c r="N112" i="33"/>
  <c r="Q113" i="33"/>
  <c r="Q24" i="33" s="1"/>
  <c r="L114" i="33"/>
  <c r="L25" i="33" s="1"/>
  <c r="D115" i="33"/>
  <c r="D26" i="33" s="1"/>
  <c r="U97" i="33"/>
  <c r="U8" i="33" s="1"/>
  <c r="K103" i="33"/>
  <c r="K14" i="33" s="1"/>
  <c r="F107" i="33"/>
  <c r="F18" i="33" s="1"/>
  <c r="U108" i="33"/>
  <c r="X109" i="33"/>
  <c r="Z110" i="33"/>
  <c r="Z21" i="33" s="1"/>
  <c r="AC111" i="33"/>
  <c r="AF112" i="33"/>
  <c r="AF23" i="33" s="1"/>
  <c r="AG113" i="33"/>
  <c r="Y114" i="33"/>
  <c r="Q115" i="33"/>
  <c r="AF99" i="33"/>
  <c r="AF10" i="33" s="1"/>
  <c r="AJ107" i="33"/>
  <c r="AO109" i="33"/>
  <c r="F112" i="33"/>
  <c r="F23" i="33" s="1"/>
  <c r="F114" i="33"/>
  <c r="AD115" i="33"/>
  <c r="X116" i="33"/>
  <c r="X27" i="33" s="1"/>
  <c r="P117" i="33"/>
  <c r="P28" i="33" s="1"/>
  <c r="H118" i="33"/>
  <c r="AN118" i="33"/>
  <c r="AN29" i="33" s="1"/>
  <c r="AF119" i="33"/>
  <c r="M104" i="33"/>
  <c r="M15" i="33" s="1"/>
  <c r="AC108" i="33"/>
  <c r="AC19" i="33" s="1"/>
  <c r="AH110" i="33"/>
  <c r="AH21" i="33" s="1"/>
  <c r="O114" i="33"/>
  <c r="O25" i="33" s="1"/>
  <c r="AC116" i="33"/>
  <c r="M118" i="33"/>
  <c r="AK119" i="33"/>
  <c r="AD111" i="33"/>
  <c r="AD22" i="33" s="1"/>
  <c r="J117" i="33"/>
  <c r="J28" i="33" s="1"/>
  <c r="L120" i="33"/>
  <c r="L31" i="33" s="1"/>
  <c r="AB122" i="33"/>
  <c r="P113" i="33"/>
  <c r="P24" i="33" s="1"/>
  <c r="I123" i="33"/>
  <c r="J123" i="33"/>
  <c r="J34" i="33" s="1"/>
  <c r="AK124" i="33"/>
  <c r="AJ109" i="33"/>
  <c r="AJ20" i="33" s="1"/>
  <c r="W117" i="33"/>
  <c r="T112" i="33"/>
  <c r="V113" i="33"/>
  <c r="V24" i="33" s="1"/>
  <c r="P114" i="33"/>
  <c r="P25" i="33" s="1"/>
  <c r="H115" i="33"/>
  <c r="H26" i="33" s="1"/>
  <c r="H98" i="33"/>
  <c r="H9" i="33" s="1"/>
  <c r="AK103" i="33"/>
  <c r="AK14" i="33" s="1"/>
  <c r="R107" i="33"/>
  <c r="R18" i="33" s="1"/>
  <c r="Z108" i="33"/>
  <c r="Z19" i="33" s="1"/>
  <c r="AC109" i="33"/>
  <c r="AF110" i="33"/>
  <c r="AF21" i="33" s="1"/>
  <c r="AH111" i="33"/>
  <c r="AH22" i="33" s="1"/>
  <c r="AK112" i="33"/>
  <c r="AK23" i="33" s="1"/>
  <c r="AK113" i="33"/>
  <c r="AK24" i="33" s="1"/>
  <c r="AC114" i="33"/>
  <c r="U115" i="33"/>
  <c r="U26" i="33" s="1"/>
  <c r="K101" i="33"/>
  <c r="F108" i="33"/>
  <c r="F19" i="33" s="1"/>
  <c r="L110" i="33"/>
  <c r="Q112" i="33"/>
  <c r="Q23" i="33" s="1"/>
  <c r="N114" i="33"/>
  <c r="N25" i="33" s="1"/>
  <c r="AJ115" i="33"/>
  <c r="AJ26" i="33" s="1"/>
  <c r="AB116" i="33"/>
  <c r="AB27" i="33" s="1"/>
  <c r="T117" i="33"/>
  <c r="T28" i="33" s="1"/>
  <c r="L118" i="33"/>
  <c r="L29" i="33" s="1"/>
  <c r="D119" i="33"/>
  <c r="D30" i="33" s="1"/>
  <c r="AJ119" i="33"/>
  <c r="AJ30" i="33" s="1"/>
  <c r="Y105" i="33"/>
  <c r="Y16" i="33" s="1"/>
  <c r="AN108" i="33"/>
  <c r="AN19" i="33" s="1"/>
  <c r="E111" i="33"/>
  <c r="E22" i="33" s="1"/>
  <c r="AM114" i="33"/>
  <c r="AM25" i="33" s="1"/>
  <c r="AO116" i="33"/>
  <c r="AO27" i="33" s="1"/>
  <c r="Y118" i="33"/>
  <c r="Y29" i="33" s="1"/>
  <c r="E99" i="33"/>
  <c r="N113" i="33"/>
  <c r="N24" i="33" s="1"/>
  <c r="AH117" i="33"/>
  <c r="AH28" i="33" s="1"/>
  <c r="X120" i="33"/>
  <c r="X31" i="33" s="1"/>
  <c r="D123" i="33"/>
  <c r="C115" i="33"/>
  <c r="AO123" i="33"/>
  <c r="AO34" i="33" s="1"/>
  <c r="Z121" i="33"/>
  <c r="Z32" i="33" s="1"/>
  <c r="G122" i="33"/>
  <c r="G33" i="33" s="1"/>
  <c r="G125" i="33"/>
  <c r="AN131" i="33"/>
  <c r="AN42" i="33" s="1"/>
  <c r="Y112" i="33"/>
  <c r="Y23" i="33" s="1"/>
  <c r="F113" i="33"/>
  <c r="AB113" i="33"/>
  <c r="D114" i="33"/>
  <c r="T114" i="33"/>
  <c r="AJ114" i="33"/>
  <c r="L115" i="33"/>
  <c r="AB115" i="33"/>
  <c r="AN98" i="33"/>
  <c r="AF101" i="33"/>
  <c r="AF12" i="33" s="1"/>
  <c r="X104" i="33"/>
  <c r="X15" i="33" s="1"/>
  <c r="Z106" i="33"/>
  <c r="Z17" i="33" s="1"/>
  <c r="AC107" i="33"/>
  <c r="J108" i="33"/>
  <c r="J19" i="33" s="1"/>
  <c r="AF108" i="33"/>
  <c r="M109" i="33"/>
  <c r="M20" i="33" s="1"/>
  <c r="AH109" i="33"/>
  <c r="P110" i="33"/>
  <c r="AK110" i="33"/>
  <c r="AK21" i="33" s="1"/>
  <c r="R111" i="33"/>
  <c r="R22" i="33" s="1"/>
  <c r="AN111" i="33"/>
  <c r="U112" i="33"/>
  <c r="B113" i="33"/>
  <c r="B24" i="33" s="1"/>
  <c r="X113" i="33"/>
  <c r="X24" i="33" s="1"/>
  <c r="AO113" i="33"/>
  <c r="AO24" i="33" s="1"/>
  <c r="Q114" i="33"/>
  <c r="AG114" i="33"/>
  <c r="AG25" i="33" s="1"/>
  <c r="I115" i="33"/>
  <c r="I26" i="33" s="1"/>
  <c r="Y115" i="33"/>
  <c r="Y26" i="33" s="1"/>
  <c r="S98" i="33"/>
  <c r="S9" i="33" s="1"/>
  <c r="AC102" i="33"/>
  <c r="AC13" i="33" s="1"/>
  <c r="AL106" i="33"/>
  <c r="AL17" i="33" s="1"/>
  <c r="Q108" i="33"/>
  <c r="T109" i="33"/>
  <c r="V110" i="33"/>
  <c r="V21" i="33" s="1"/>
  <c r="Y111" i="33"/>
  <c r="Y22" i="33" s="1"/>
  <c r="AB112" i="33"/>
  <c r="AB23" i="33" s="1"/>
  <c r="AD113" i="33"/>
  <c r="AD24" i="33" s="1"/>
  <c r="V114" i="33"/>
  <c r="V25" i="33" s="1"/>
  <c r="N115" i="33"/>
  <c r="N26" i="33" s="1"/>
  <c r="AN115" i="33"/>
  <c r="AN26" i="33" s="1"/>
  <c r="P116" i="33"/>
  <c r="AF116" i="33"/>
  <c r="H117" i="33"/>
  <c r="H28" i="33" s="1"/>
  <c r="X117" i="33"/>
  <c r="AN117" i="33"/>
  <c r="P118" i="33"/>
  <c r="AF118" i="33"/>
  <c r="AF29" i="33" s="1"/>
  <c r="H119" i="33"/>
  <c r="X119" i="33"/>
  <c r="AN119" i="33"/>
  <c r="P101" i="33"/>
  <c r="P12" i="33" s="1"/>
  <c r="U106" i="33"/>
  <c r="H108" i="33"/>
  <c r="J109" i="33"/>
  <c r="J20" i="33" s="1"/>
  <c r="M110" i="33"/>
  <c r="M21" i="33" s="1"/>
  <c r="P111" i="33"/>
  <c r="P22" i="33" s="1"/>
  <c r="U113" i="33"/>
  <c r="G115" i="33"/>
  <c r="M116" i="33"/>
  <c r="E117" i="33"/>
  <c r="AK117" i="33"/>
  <c r="AC118" i="33"/>
  <c r="U119" i="33"/>
  <c r="X100" i="33"/>
  <c r="X11" i="33" s="1"/>
  <c r="Y109" i="33"/>
  <c r="Y20" i="33" s="1"/>
  <c r="AH113" i="33"/>
  <c r="AH24" i="33" s="1"/>
  <c r="R116" i="33"/>
  <c r="R27" i="33" s="1"/>
  <c r="B118" i="33"/>
  <c r="B29" i="33" s="1"/>
  <c r="Z119" i="33"/>
  <c r="Z30" i="33" s="1"/>
  <c r="AB120" i="33"/>
  <c r="AJ121" i="33"/>
  <c r="T123" i="33"/>
  <c r="E109" i="33"/>
  <c r="E20" i="33" s="1"/>
  <c r="AA116" i="33"/>
  <c r="AA27" i="33" s="1"/>
  <c r="Y121" i="33"/>
  <c r="Y32" i="33" s="1"/>
  <c r="Z128" i="33"/>
  <c r="R125" i="33"/>
  <c r="AL119" i="33"/>
  <c r="AL30" i="33" s="1"/>
  <c r="U127" i="33"/>
  <c r="U38" i="33" s="1"/>
  <c r="AE117" i="33"/>
  <c r="AE28" i="33" s="1"/>
  <c r="F123" i="33"/>
  <c r="F34" i="33" s="1"/>
  <c r="S129" i="33"/>
  <c r="AJ135" i="33"/>
  <c r="AJ46" i="33" s="1"/>
  <c r="F132" i="33"/>
  <c r="F43" i="33" s="1"/>
  <c r="AD112" i="33"/>
  <c r="AD23" i="33" s="1"/>
  <c r="L113" i="33"/>
  <c r="L24" i="33" s="1"/>
  <c r="AF113" i="33"/>
  <c r="AF24" i="33" s="1"/>
  <c r="H114" i="33"/>
  <c r="X114" i="33"/>
  <c r="AN114" i="33"/>
  <c r="P115" i="33"/>
  <c r="P26" i="33" s="1"/>
  <c r="AF115" i="33"/>
  <c r="AA99" i="33"/>
  <c r="AA10" i="33" s="1"/>
  <c r="S102" i="33"/>
  <c r="S13" i="33" s="1"/>
  <c r="P105" i="33"/>
  <c r="P16" i="33" s="1"/>
  <c r="AK106" i="33"/>
  <c r="AH107" i="33"/>
  <c r="AH18" i="33" s="1"/>
  <c r="P108" i="33"/>
  <c r="P19" i="33" s="1"/>
  <c r="AK108" i="33"/>
  <c r="AK19" i="33" s="1"/>
  <c r="R109" i="33"/>
  <c r="R20" i="33" s="1"/>
  <c r="AN109" i="33"/>
  <c r="U110" i="33"/>
  <c r="U21" i="33" s="1"/>
  <c r="B111" i="33"/>
  <c r="B22" i="33" s="1"/>
  <c r="X111" i="33"/>
  <c r="E112" i="33"/>
  <c r="E23" i="33" s="1"/>
  <c r="Z112" i="33"/>
  <c r="H113" i="33"/>
  <c r="H24" i="33" s="1"/>
  <c r="AC113" i="33"/>
  <c r="E114" i="33"/>
  <c r="E25" i="33" s="1"/>
  <c r="U114" i="33"/>
  <c r="U25" i="33" s="1"/>
  <c r="AK114" i="33"/>
  <c r="AK25" i="33" s="1"/>
  <c r="M115" i="33"/>
  <c r="M26" i="33" s="1"/>
  <c r="AC115" i="33"/>
  <c r="AK97" i="33"/>
  <c r="AK8" i="33" s="1"/>
  <c r="C104" i="33"/>
  <c r="C15" i="33" s="1"/>
  <c r="U107" i="33"/>
  <c r="U18" i="33" s="1"/>
  <c r="AB108" i="33"/>
  <c r="AB19" i="33" s="1"/>
  <c r="AD109" i="33"/>
  <c r="AD20" i="33" s="1"/>
  <c r="AG110" i="33"/>
  <c r="AG21" i="33" s="1"/>
  <c r="AJ111" i="33"/>
  <c r="AJ22" i="33" s="1"/>
  <c r="AL112" i="33"/>
  <c r="AL23" i="33" s="1"/>
  <c r="AL113" i="33"/>
  <c r="AL24" i="33" s="1"/>
  <c r="AD114" i="33"/>
  <c r="AD25" i="33" s="1"/>
  <c r="V115" i="33"/>
  <c r="V26" i="33" s="1"/>
  <c r="D116" i="33"/>
  <c r="D27" i="33" s="1"/>
  <c r="T116" i="33"/>
  <c r="T27" i="33" s="1"/>
  <c r="AJ116" i="33"/>
  <c r="AJ27" i="33" s="1"/>
  <c r="L117" i="33"/>
  <c r="AB117" i="33"/>
  <c r="D118" i="33"/>
  <c r="D29" i="33" s="1"/>
  <c r="T118" i="33"/>
  <c r="T29" i="33" s="1"/>
  <c r="AJ118" i="33"/>
  <c r="L119" i="33"/>
  <c r="AB119" i="33"/>
  <c r="AB30" i="33" s="1"/>
  <c r="D120" i="33"/>
  <c r="D31" i="33" s="1"/>
  <c r="AI102" i="33"/>
  <c r="B107" i="33"/>
  <c r="B18" i="33" s="1"/>
  <c r="R108" i="33"/>
  <c r="R19" i="33" s="1"/>
  <c r="U109" i="33"/>
  <c r="U20" i="33" s="1"/>
  <c r="X110" i="33"/>
  <c r="X21" i="33" s="1"/>
  <c r="H112" i="33"/>
  <c r="H23" i="33" s="1"/>
  <c r="G114" i="33"/>
  <c r="G25" i="33" s="1"/>
  <c r="AE115" i="33"/>
  <c r="AE26" i="33" s="1"/>
  <c r="Y116" i="33"/>
  <c r="Y27" i="33" s="1"/>
  <c r="Q117" i="33"/>
  <c r="Q28" i="33" s="1"/>
  <c r="I118" i="33"/>
  <c r="I29" i="33" s="1"/>
  <c r="AO118" i="33"/>
  <c r="AO29" i="33" s="1"/>
  <c r="AG119" i="33"/>
  <c r="AG30" i="33" s="1"/>
  <c r="AO105" i="33"/>
  <c r="I111" i="33"/>
  <c r="I22" i="33" s="1"/>
  <c r="B115" i="33"/>
  <c r="B26" i="33" s="1"/>
  <c r="B117" i="33"/>
  <c r="B28" i="33" s="1"/>
  <c r="Z118" i="33"/>
  <c r="Z29" i="33" s="1"/>
  <c r="H120" i="33"/>
  <c r="AN120" i="33"/>
  <c r="AN31" i="33" s="1"/>
  <c r="L122" i="33"/>
  <c r="AJ123" i="33"/>
  <c r="J111" i="33"/>
  <c r="J22" i="33" s="1"/>
  <c r="K118" i="33"/>
  <c r="K29" i="33" s="1"/>
  <c r="Q122" i="33"/>
  <c r="AH127" i="33"/>
  <c r="Z124" i="33"/>
  <c r="AD116" i="33"/>
  <c r="AD27" i="33" s="1"/>
  <c r="U126" i="33"/>
  <c r="X128" i="33"/>
  <c r="AD119" i="33"/>
  <c r="C131" i="33"/>
  <c r="C42" i="33" s="1"/>
  <c r="AM119" i="33"/>
  <c r="AG131" i="33"/>
  <c r="AG42" i="33" s="1"/>
  <c r="Z111" i="33"/>
  <c r="AC112" i="33"/>
  <c r="AC23" i="33" s="1"/>
  <c r="AE113" i="33"/>
  <c r="AE24" i="33" s="1"/>
  <c r="W114" i="33"/>
  <c r="W25" i="33" s="1"/>
  <c r="O115" i="33"/>
  <c r="O26" i="33" s="1"/>
  <c r="AO115" i="33"/>
  <c r="AO26" i="33" s="1"/>
  <c r="Q116" i="33"/>
  <c r="AG116" i="33"/>
  <c r="AG27" i="33" s="1"/>
  <c r="I117" i="33"/>
  <c r="Y117" i="33"/>
  <c r="Y28" i="33" s="1"/>
  <c r="AO117" i="33"/>
  <c r="Q118" i="33"/>
  <c r="Q29" i="33" s="1"/>
  <c r="AG118" i="33"/>
  <c r="I119" i="33"/>
  <c r="Y119" i="33"/>
  <c r="AO119" i="33"/>
  <c r="AO30" i="33" s="1"/>
  <c r="K99" i="33"/>
  <c r="AO107" i="33"/>
  <c r="AO18" i="33" s="1"/>
  <c r="F110" i="33"/>
  <c r="F21" i="33" s="1"/>
  <c r="L112" i="33"/>
  <c r="L23" i="33" s="1"/>
  <c r="J114" i="33"/>
  <c r="AH115" i="33"/>
  <c r="Z116" i="33"/>
  <c r="R117" i="33"/>
  <c r="R28" i="33" s="1"/>
  <c r="J118" i="33"/>
  <c r="B119" i="33"/>
  <c r="B30" i="33" s="1"/>
  <c r="AH119" i="33"/>
  <c r="P120" i="33"/>
  <c r="P31" i="33" s="1"/>
  <c r="AF120" i="33"/>
  <c r="H121" i="33"/>
  <c r="H32" i="33" s="1"/>
  <c r="X121" i="33"/>
  <c r="AN121" i="33"/>
  <c r="AN32" i="33" s="1"/>
  <c r="P122" i="33"/>
  <c r="AF122" i="33"/>
  <c r="AF33" i="33" s="1"/>
  <c r="H123" i="33"/>
  <c r="X123" i="33"/>
  <c r="X34" i="33" s="1"/>
  <c r="AN123" i="33"/>
  <c r="P124" i="33"/>
  <c r="P35" i="33" s="1"/>
  <c r="M107" i="33"/>
  <c r="Z109" i="33"/>
  <c r="Z20" i="33" s="1"/>
  <c r="AF111" i="33"/>
  <c r="AF22" i="33" s="1"/>
  <c r="AI113" i="33"/>
  <c r="AI24" i="33" s="1"/>
  <c r="S115" i="33"/>
  <c r="S26" i="33" s="1"/>
  <c r="AI116" i="33"/>
  <c r="AI27" i="33" s="1"/>
  <c r="S118" i="33"/>
  <c r="S29" i="33" s="1"/>
  <c r="C120" i="33"/>
  <c r="C31" i="33" s="1"/>
  <c r="AK120" i="33"/>
  <c r="AK31" i="33" s="1"/>
  <c r="AC121" i="33"/>
  <c r="AC32" i="33" s="1"/>
  <c r="U122" i="33"/>
  <c r="U33" i="33" s="1"/>
  <c r="M123" i="33"/>
  <c r="M34" i="33" s="1"/>
  <c r="E124" i="33"/>
  <c r="E35" i="33" s="1"/>
  <c r="V128" i="33"/>
  <c r="V39" i="33" s="1"/>
  <c r="AD127" i="33"/>
  <c r="AD38" i="33" s="1"/>
  <c r="AL126" i="33"/>
  <c r="AL37" i="33" s="1"/>
  <c r="F126" i="33"/>
  <c r="F37" i="33" s="1"/>
  <c r="N125" i="33"/>
  <c r="N36" i="33" s="1"/>
  <c r="V124" i="33"/>
  <c r="V35" i="33" s="1"/>
  <c r="B123" i="33"/>
  <c r="B34" i="33" s="1"/>
  <c r="R121" i="33"/>
  <c r="R32" i="33" s="1"/>
  <c r="V119" i="33"/>
  <c r="V30" i="33" s="1"/>
  <c r="N116" i="33"/>
  <c r="N27" i="33" s="1"/>
  <c r="N109" i="33"/>
  <c r="N20" i="33" s="1"/>
  <c r="I128" i="33"/>
  <c r="I39" i="33" s="1"/>
  <c r="Q127" i="33"/>
  <c r="Q38" i="33" s="1"/>
  <c r="Q126" i="33"/>
  <c r="Q37" i="33" s="1"/>
  <c r="AG124" i="33"/>
  <c r="AG35" i="33" s="1"/>
  <c r="AM121" i="33"/>
  <c r="AM32" i="33" s="1"/>
  <c r="O117" i="33"/>
  <c r="O28" i="33" s="1"/>
  <c r="T128" i="33"/>
  <c r="T39" i="33" s="1"/>
  <c r="AJ126" i="33"/>
  <c r="AJ37" i="33" s="1"/>
  <c r="L125" i="33"/>
  <c r="L36" i="33" s="1"/>
  <c r="AL122" i="33"/>
  <c r="AL33" i="33" s="1"/>
  <c r="N119" i="33"/>
  <c r="N30" i="33" s="1"/>
  <c r="AG108" i="33"/>
  <c r="AG19" i="33" s="1"/>
  <c r="W125" i="33"/>
  <c r="W36" i="33" s="1"/>
  <c r="W129" i="33"/>
  <c r="W40" i="33" s="1"/>
  <c r="G131" i="33"/>
  <c r="G42" i="33" s="1"/>
  <c r="AE132" i="33"/>
  <c r="AE43" i="33" s="1"/>
  <c r="W134" i="33"/>
  <c r="W45" i="33" s="1"/>
  <c r="D136" i="33"/>
  <c r="D47" i="33" s="1"/>
  <c r="AA121" i="33"/>
  <c r="AA32" i="33" s="1"/>
  <c r="S120" i="33"/>
  <c r="S31" i="33" s="1"/>
  <c r="P132" i="33"/>
  <c r="P43" i="33" s="1"/>
  <c r="AH132" i="33"/>
  <c r="I132" i="33"/>
  <c r="I43" i="33" s="1"/>
  <c r="AK111" i="33"/>
  <c r="AK22" i="33" s="1"/>
  <c r="AN112" i="33"/>
  <c r="AM113" i="33"/>
  <c r="AE114" i="33"/>
  <c r="W115" i="33"/>
  <c r="W26" i="33" s="1"/>
  <c r="E116" i="33"/>
  <c r="E27" i="33" s="1"/>
  <c r="U116" i="33"/>
  <c r="U27" i="33" s="1"/>
  <c r="AK116" i="33"/>
  <c r="AK27" i="33" s="1"/>
  <c r="M117" i="33"/>
  <c r="M28" i="33" s="1"/>
  <c r="AC117" i="33"/>
  <c r="AC28" i="33" s="1"/>
  <c r="E118" i="33"/>
  <c r="E29" i="33" s="1"/>
  <c r="U118" i="33"/>
  <c r="U29" i="33" s="1"/>
  <c r="AK118" i="33"/>
  <c r="AK29" i="33" s="1"/>
  <c r="M119" i="33"/>
  <c r="M30" i="33" s="1"/>
  <c r="AC119" i="33"/>
  <c r="AC30" i="33" s="1"/>
  <c r="E120" i="33"/>
  <c r="E31" i="33" s="1"/>
  <c r="P103" i="33"/>
  <c r="P14" i="33" s="1"/>
  <c r="V108" i="33"/>
  <c r="AB110" i="33"/>
  <c r="AB21" i="33" s="1"/>
  <c r="AG112" i="33"/>
  <c r="Z114" i="33"/>
  <c r="Z25" i="33" s="1"/>
  <c r="B116" i="33"/>
  <c r="B27" i="33" s="1"/>
  <c r="AH116" i="33"/>
  <c r="AH27" i="33" s="1"/>
  <c r="Z117" i="33"/>
  <c r="Z28" i="33" s="1"/>
  <c r="R118" i="33"/>
  <c r="R29" i="33" s="1"/>
  <c r="J119" i="33"/>
  <c r="J30" i="33" s="1"/>
  <c r="B120" i="33"/>
  <c r="B31" i="33" s="1"/>
  <c r="T120" i="33"/>
  <c r="T31" i="33" s="1"/>
  <c r="AJ120" i="33"/>
  <c r="AJ31" i="33" s="1"/>
  <c r="L121" i="33"/>
  <c r="L32" i="33" s="1"/>
  <c r="AB121" i="33"/>
  <c r="D122" i="33"/>
  <c r="D33" i="33" s="1"/>
  <c r="T122" i="33"/>
  <c r="AJ122" i="33"/>
  <c r="AJ33" i="33" s="1"/>
  <c r="L123" i="33"/>
  <c r="L34" i="33" s="1"/>
  <c r="AB123" i="33"/>
  <c r="AB34" i="33" s="1"/>
  <c r="D124" i="33"/>
  <c r="D35" i="33" s="1"/>
  <c r="AC100" i="33"/>
  <c r="B108" i="33"/>
  <c r="B19" i="33" s="1"/>
  <c r="H110" i="33"/>
  <c r="H21" i="33" s="1"/>
  <c r="M112" i="33"/>
  <c r="M23" i="33" s="1"/>
  <c r="K114" i="33"/>
  <c r="AI115" i="33"/>
  <c r="AI26" i="33" s="1"/>
  <c r="S117" i="33"/>
  <c r="S28" i="33" s="1"/>
  <c r="C119" i="33"/>
  <c r="C30" i="33" s="1"/>
  <c r="Q120" i="33"/>
  <c r="I121" i="33"/>
  <c r="I32" i="33" s="1"/>
  <c r="AO121" i="33"/>
  <c r="AG122" i="33"/>
  <c r="AG33" i="33" s="1"/>
  <c r="Y123" i="33"/>
  <c r="Y34" i="33" s="1"/>
  <c r="Q124" i="33"/>
  <c r="Q35" i="33" s="1"/>
  <c r="J128" i="33"/>
  <c r="R127" i="33"/>
  <c r="R38" i="33" s="1"/>
  <c r="Z126" i="33"/>
  <c r="AH125" i="33"/>
  <c r="AH36" i="33" s="1"/>
  <c r="B125" i="33"/>
  <c r="B124" i="33"/>
  <c r="B35" i="33" s="1"/>
  <c r="R122" i="33"/>
  <c r="R33" i="33" s="1"/>
  <c r="AH120" i="33"/>
  <c r="AH31" i="33" s="1"/>
  <c r="N118" i="33"/>
  <c r="N29" i="33" s="1"/>
  <c r="R114" i="33"/>
  <c r="R25" i="33" s="1"/>
  <c r="AC128" i="33"/>
  <c r="AK127" i="33"/>
  <c r="AK38" i="33" s="1"/>
  <c r="E127" i="33"/>
  <c r="E38" i="33" s="1"/>
  <c r="AC125" i="33"/>
  <c r="AC36" i="33" s="1"/>
  <c r="AE123" i="33"/>
  <c r="AE34" i="33" s="1"/>
  <c r="W120" i="33"/>
  <c r="W31" i="33" s="1"/>
  <c r="E113" i="33"/>
  <c r="AF127" i="33"/>
  <c r="AF38" i="33" s="1"/>
  <c r="H126" i="33"/>
  <c r="H37" i="33" s="1"/>
  <c r="X124" i="33"/>
  <c r="X35" i="33" s="1"/>
  <c r="V121" i="33"/>
  <c r="V32" i="33" s="1"/>
  <c r="V116" i="33"/>
  <c r="V27" i="33" s="1"/>
  <c r="AE118" i="33"/>
  <c r="O128" i="33"/>
  <c r="O39" i="33" s="1"/>
  <c r="K130" i="33"/>
  <c r="AI131" i="33"/>
  <c r="AI42" i="33" s="1"/>
  <c r="S133" i="33"/>
  <c r="AM135" i="33"/>
  <c r="AM46" i="33" s="1"/>
  <c r="AC135" i="33"/>
  <c r="AD130" i="33"/>
  <c r="AD41" i="33" s="1"/>
  <c r="AF128" i="33"/>
  <c r="AF39" i="33" s="1"/>
  <c r="H135" i="33"/>
  <c r="H46" i="33" s="1"/>
  <c r="G128" i="33"/>
  <c r="AO134" i="33"/>
  <c r="AO45" i="33" s="1"/>
  <c r="P121" i="33"/>
  <c r="P32" i="33" s="1"/>
  <c r="AF121" i="33"/>
  <c r="AF32" i="33" s="1"/>
  <c r="H122" i="33"/>
  <c r="H33" i="33" s="1"/>
  <c r="X122" i="33"/>
  <c r="X33" i="33" s="1"/>
  <c r="AN122" i="33"/>
  <c r="AN33" i="33" s="1"/>
  <c r="P123" i="33"/>
  <c r="P34" i="33" s="1"/>
  <c r="AF123" i="33"/>
  <c r="AF34" i="33" s="1"/>
  <c r="H124" i="33"/>
  <c r="H35" i="33" s="1"/>
  <c r="U103" i="33"/>
  <c r="U14" i="33" s="1"/>
  <c r="X108" i="33"/>
  <c r="X19" i="33" s="1"/>
  <c r="AC110" i="33"/>
  <c r="AC21" i="33" s="1"/>
  <c r="AH112" i="33"/>
  <c r="AH23" i="33" s="1"/>
  <c r="AA114" i="33"/>
  <c r="C116" i="33"/>
  <c r="C27" i="33" s="1"/>
  <c r="AA117" i="33"/>
  <c r="AA28" i="33" s="1"/>
  <c r="K119" i="33"/>
  <c r="K30" i="33" s="1"/>
  <c r="U120" i="33"/>
  <c r="U31" i="33" s="1"/>
  <c r="M121" i="33"/>
  <c r="M32" i="33" s="1"/>
  <c r="E122" i="33"/>
  <c r="AK122" i="33"/>
  <c r="AK33" i="33" s="1"/>
  <c r="AC123" i="33"/>
  <c r="AK101" i="33"/>
  <c r="AK12" i="33" s="1"/>
  <c r="F128" i="33"/>
  <c r="F39" i="33" s="1"/>
  <c r="N127" i="33"/>
  <c r="N38" i="33" s="1"/>
  <c r="V126" i="33"/>
  <c r="AD125" i="33"/>
  <c r="AD36" i="33" s="1"/>
  <c r="AL124" i="33"/>
  <c r="AH123" i="33"/>
  <c r="AH34" i="33" s="1"/>
  <c r="J122" i="33"/>
  <c r="J33" i="33" s="1"/>
  <c r="Z120" i="33"/>
  <c r="Z31" i="33" s="1"/>
  <c r="AL117" i="33"/>
  <c r="AL28" i="33" s="1"/>
  <c r="Y113" i="33"/>
  <c r="Y128" i="33"/>
  <c r="Y39" i="33" s="1"/>
  <c r="AG127" i="33"/>
  <c r="AG38" i="33" s="1"/>
  <c r="AO126" i="33"/>
  <c r="AO37" i="33" s="1"/>
  <c r="Y125" i="33"/>
  <c r="Y36" i="33" s="1"/>
  <c r="W123" i="33"/>
  <c r="O120" i="33"/>
  <c r="O31" i="33" s="1"/>
  <c r="B112" i="33"/>
  <c r="AB127" i="33"/>
  <c r="AB38" i="33" s="1"/>
  <c r="D126" i="33"/>
  <c r="D37" i="33" s="1"/>
  <c r="T124" i="33"/>
  <c r="T35" i="33" s="1"/>
  <c r="N121" i="33"/>
  <c r="F116" i="33"/>
  <c r="F27" i="33" s="1"/>
  <c r="K120" i="33"/>
  <c r="K31" i="33" s="1"/>
  <c r="AE128" i="33"/>
  <c r="AE39" i="33" s="1"/>
  <c r="O130" i="33"/>
  <c r="AM131" i="33"/>
  <c r="AM42" i="33" s="1"/>
  <c r="W133" i="33"/>
  <c r="G136" i="33"/>
  <c r="G47" i="33" s="1"/>
  <c r="AK135" i="33"/>
  <c r="J131" i="33"/>
  <c r="H129" i="33"/>
  <c r="H40" i="33" s="1"/>
  <c r="S122" i="33"/>
  <c r="S33" i="33" s="1"/>
  <c r="AO128" i="33"/>
  <c r="AO39" i="33" s="1"/>
  <c r="AL134" i="33"/>
  <c r="AL45" i="33" s="1"/>
  <c r="AN17" i="33"/>
  <c r="AF16" i="33"/>
  <c r="AE14" i="33"/>
  <c r="Y12" i="33"/>
  <c r="T10" i="33"/>
  <c r="O8" i="33"/>
  <c r="S18" i="33"/>
  <c r="AI14" i="33"/>
  <c r="AA11" i="33"/>
  <c r="U9" i="33"/>
  <c r="AA19" i="33"/>
  <c r="AA21" i="33"/>
  <c r="K23" i="33"/>
  <c r="AA23" i="33"/>
  <c r="C24" i="33"/>
  <c r="S24" i="33"/>
  <c r="C9" i="33"/>
  <c r="Y19" i="33"/>
  <c r="F20" i="33"/>
  <c r="N23" i="33"/>
  <c r="AJ23" i="33"/>
  <c r="M11" i="33"/>
  <c r="AJ18" i="33"/>
  <c r="AL19" i="33"/>
  <c r="AO20" i="33"/>
  <c r="D22" i="33"/>
  <c r="AN27" i="33"/>
  <c r="X29" i="33"/>
  <c r="V19" i="33"/>
  <c r="AG23" i="33"/>
  <c r="K25" i="33"/>
  <c r="J39" i="33"/>
  <c r="AC39" i="33"/>
  <c r="AE29" i="33"/>
  <c r="L18" i="33"/>
  <c r="AO12" i="33"/>
  <c r="O18" i="33"/>
  <c r="AE16" i="33"/>
  <c r="U11" i="33"/>
  <c r="AK9" i="33"/>
  <c r="E14" i="33"/>
  <c r="Y17" i="33"/>
  <c r="Q18" i="33"/>
  <c r="O19" i="33"/>
  <c r="W20" i="33"/>
  <c r="O21" i="33"/>
  <c r="G22" i="33"/>
  <c r="S15" i="33"/>
  <c r="I19" i="33"/>
  <c r="AL22" i="33"/>
  <c r="T23" i="33"/>
  <c r="E12" i="33"/>
  <c r="AC20" i="33"/>
  <c r="J21" i="33"/>
  <c r="M22" i="33"/>
  <c r="AC25" i="33"/>
  <c r="AA8" i="33"/>
  <c r="L21" i="33"/>
  <c r="D28" i="33"/>
  <c r="AB29" i="33"/>
  <c r="T30" i="33"/>
  <c r="J24" i="33"/>
  <c r="H31" i="33"/>
  <c r="AA25" i="33"/>
  <c r="V37" i="33"/>
  <c r="AL35" i="33"/>
  <c r="Y24" i="33"/>
  <c r="W34" i="33"/>
  <c r="B23" i="33"/>
  <c r="N32" i="33"/>
  <c r="O41" i="33"/>
  <c r="W44" i="33"/>
  <c r="AK46" i="33"/>
  <c r="AF17" i="33"/>
  <c r="P17" i="33"/>
  <c r="AM13" i="33"/>
  <c r="O12" i="33"/>
  <c r="I10" i="33"/>
  <c r="AA18" i="33"/>
  <c r="H16" i="33"/>
  <c r="C14" i="33"/>
  <c r="AK11" i="33"/>
  <c r="AF9" i="33"/>
  <c r="AL16" i="33"/>
  <c r="AC16" i="33"/>
  <c r="C19" i="33"/>
  <c r="C21" i="33"/>
  <c r="AI21" i="33"/>
  <c r="K22" i="33"/>
  <c r="U10" i="33"/>
  <c r="M13" i="33"/>
  <c r="AH17" i="33"/>
  <c r="AG18" i="33"/>
  <c r="AJ19" i="33"/>
  <c r="Q20" i="33"/>
  <c r="F24" i="33"/>
  <c r="AB24" i="33"/>
  <c r="D25" i="33"/>
  <c r="T25" i="33"/>
  <c r="AJ25" i="33"/>
  <c r="L26" i="33"/>
  <c r="AB26" i="33"/>
  <c r="AN9" i="33"/>
  <c r="AH20" i="33"/>
  <c r="Q25" i="33"/>
  <c r="T20" i="33"/>
  <c r="AF27" i="33"/>
  <c r="P29" i="33"/>
  <c r="AN30" i="33"/>
  <c r="R23" i="33"/>
  <c r="U24" i="33"/>
  <c r="M27" i="33"/>
  <c r="AC27" i="33"/>
  <c r="E28" i="33"/>
  <c r="U28" i="33"/>
  <c r="AK28" i="33"/>
  <c r="M29" i="33"/>
  <c r="AC29" i="33"/>
  <c r="E30" i="33"/>
  <c r="U30" i="33"/>
  <c r="AK30" i="33"/>
  <c r="D32" i="33"/>
  <c r="AJ32" i="33"/>
  <c r="AB33" i="33"/>
  <c r="T34" i="33"/>
  <c r="L35" i="33"/>
  <c r="I17" i="33"/>
  <c r="C26" i="33"/>
  <c r="I34" i="33"/>
  <c r="Z39" i="33"/>
  <c r="AH38" i="33"/>
  <c r="M39" i="33"/>
  <c r="U37" i="33"/>
  <c r="AK35" i="33"/>
  <c r="X39" i="33"/>
  <c r="AD30" i="33"/>
  <c r="G36" i="33"/>
  <c r="O45" i="33"/>
  <c r="AM30" i="33"/>
  <c r="W28" i="33"/>
  <c r="K116" i="33"/>
  <c r="K27" i="33" s="1"/>
  <c r="C117" i="33"/>
  <c r="C28" i="33" s="1"/>
  <c r="AI117" i="33"/>
  <c r="AI28" i="33" s="1"/>
  <c r="AA118" i="33"/>
  <c r="AA29" i="33" s="1"/>
  <c r="S119" i="33"/>
  <c r="S30" i="33" s="1"/>
  <c r="I120" i="33"/>
  <c r="I31" i="33" s="1"/>
  <c r="Y120" i="33"/>
  <c r="AO120" i="33"/>
  <c r="AO31" i="33" s="1"/>
  <c r="Q121" i="33"/>
  <c r="Q32" i="33" s="1"/>
  <c r="AG121" i="33"/>
  <c r="AG32" i="33" s="1"/>
  <c r="I122" i="33"/>
  <c r="I33" i="33" s="1"/>
  <c r="Y122" i="33"/>
  <c r="Y33" i="33" s="1"/>
  <c r="AO122" i="33"/>
  <c r="AO33" i="33" s="1"/>
  <c r="Q123" i="33"/>
  <c r="Q34" i="33" s="1"/>
  <c r="AG123" i="33"/>
  <c r="I124" i="33"/>
  <c r="I35" i="33" s="1"/>
  <c r="AI104" i="33"/>
  <c r="AI15" i="33" s="1"/>
  <c r="R128" i="33"/>
  <c r="B128" i="33"/>
  <c r="B39" i="33" s="1"/>
  <c r="Z127" i="33"/>
  <c r="Z38" i="33" s="1"/>
  <c r="J127" i="33"/>
  <c r="AH126" i="33"/>
  <c r="AH37" i="33" s="1"/>
  <c r="R126" i="33"/>
  <c r="R37" i="33" s="1"/>
  <c r="B126" i="33"/>
  <c r="B37" i="33" s="1"/>
  <c r="Z125" i="33"/>
  <c r="Z36" i="33" s="1"/>
  <c r="J125" i="33"/>
  <c r="J36" i="33" s="1"/>
  <c r="AH124" i="33"/>
  <c r="AH35" i="33" s="1"/>
  <c r="R124" i="33"/>
  <c r="R35" i="33" s="1"/>
  <c r="Z123" i="33"/>
  <c r="Z34" i="33" s="1"/>
  <c r="AH122" i="33"/>
  <c r="AH33" i="33" s="1"/>
  <c r="B122" i="33"/>
  <c r="B33" i="33" s="1"/>
  <c r="J121" i="33"/>
  <c r="J32" i="33" s="1"/>
  <c r="R120" i="33"/>
  <c r="R31" i="33" s="1"/>
  <c r="F119" i="33"/>
  <c r="F30" i="33" s="1"/>
  <c r="V117" i="33"/>
  <c r="V28" i="33" s="1"/>
  <c r="AL115" i="33"/>
  <c r="AL26" i="33" s="1"/>
  <c r="V112" i="33"/>
  <c r="V23" i="33" s="1"/>
  <c r="L108" i="33"/>
  <c r="L19" i="33" s="1"/>
  <c r="U128" i="33"/>
  <c r="E128" i="33"/>
  <c r="E39" i="33" s="1"/>
  <c r="AC127" i="33"/>
  <c r="M127" i="33"/>
  <c r="M38" i="33" s="1"/>
  <c r="AK126" i="33"/>
  <c r="E126" i="33"/>
  <c r="E37" i="33" s="1"/>
  <c r="M125" i="33"/>
  <c r="U124" i="33"/>
  <c r="AM122" i="33"/>
  <c r="AM33" i="33" s="1"/>
  <c r="O121" i="33"/>
  <c r="O32" i="33" s="1"/>
  <c r="O119" i="33"/>
  <c r="O30" i="33" s="1"/>
  <c r="G116" i="33"/>
  <c r="G27" i="33" s="1"/>
  <c r="AH108" i="33"/>
  <c r="AH19" i="33" s="1"/>
  <c r="H128" i="33"/>
  <c r="H39" i="33" s="1"/>
  <c r="P127" i="33"/>
  <c r="P38" i="33" s="1"/>
  <c r="X126" i="33"/>
  <c r="X37" i="33" s="1"/>
  <c r="AF125" i="33"/>
  <c r="AN124" i="33"/>
  <c r="AN35" i="33" s="1"/>
  <c r="AL123" i="33"/>
  <c r="AL34" i="33" s="1"/>
  <c r="N122" i="33"/>
  <c r="N33" i="33" s="1"/>
  <c r="AD120" i="33"/>
  <c r="AD31" i="33" s="1"/>
  <c r="F118" i="33"/>
  <c r="F29" i="33" s="1"/>
  <c r="B114" i="33"/>
  <c r="B25" i="33" s="1"/>
  <c r="K97" i="33"/>
  <c r="K8" i="33" s="1"/>
  <c r="AA122" i="33"/>
  <c r="AA33" i="33" s="1"/>
  <c r="AE126" i="33"/>
  <c r="AE37" i="33" s="1"/>
  <c r="C129" i="33"/>
  <c r="AI129" i="33"/>
  <c r="AI40" i="33" s="1"/>
  <c r="AA130" i="33"/>
  <c r="S131" i="33"/>
  <c r="S42" i="33" s="1"/>
  <c r="K132" i="33"/>
  <c r="K43" i="33" s="1"/>
  <c r="C133" i="33"/>
  <c r="C44" i="33" s="1"/>
  <c r="AI133" i="33"/>
  <c r="G135" i="33"/>
  <c r="G46" i="33" s="1"/>
  <c r="AE136" i="33"/>
  <c r="AE47" i="33" s="1"/>
  <c r="AB136" i="33"/>
  <c r="AB47" i="33" s="1"/>
  <c r="U136" i="33"/>
  <c r="AA128" i="33"/>
  <c r="AA39" i="33" s="1"/>
  <c r="AD132" i="33"/>
  <c r="AD43" i="33" s="1"/>
  <c r="AI124" i="33"/>
  <c r="AI35" i="33" s="1"/>
  <c r="P130" i="33"/>
  <c r="P41" i="33" s="1"/>
  <c r="X133" i="33"/>
  <c r="X44" i="33" s="1"/>
  <c r="V129" i="33"/>
  <c r="V40" i="33" s="1"/>
  <c r="AM117" i="33"/>
  <c r="AM28" i="33" s="1"/>
  <c r="I130" i="33"/>
  <c r="I41" i="33" s="1"/>
  <c r="Q133" i="33"/>
  <c r="Q44" i="33" s="1"/>
  <c r="N135" i="33"/>
  <c r="N46" i="33" s="1"/>
  <c r="S116" i="33"/>
  <c r="S27" i="33" s="1"/>
  <c r="K117" i="33"/>
  <c r="C118" i="33"/>
  <c r="C29" i="33" s="1"/>
  <c r="AI118" i="33"/>
  <c r="AA119" i="33"/>
  <c r="AA30" i="33" s="1"/>
  <c r="M120" i="33"/>
  <c r="M31" i="33" s="1"/>
  <c r="AC120" i="33"/>
  <c r="AC31" i="33" s="1"/>
  <c r="E121" i="33"/>
  <c r="E32" i="33" s="1"/>
  <c r="U121" i="33"/>
  <c r="U32" i="33" s="1"/>
  <c r="AK121" i="33"/>
  <c r="AK32" i="33" s="1"/>
  <c r="M122" i="33"/>
  <c r="M33" i="33" s="1"/>
  <c r="AC122" i="33"/>
  <c r="AC33" i="33" s="1"/>
  <c r="E123" i="33"/>
  <c r="E34" i="33" s="1"/>
  <c r="U123" i="33"/>
  <c r="U34" i="33" s="1"/>
  <c r="AK123" i="33"/>
  <c r="AK34" i="33" s="1"/>
  <c r="M124" i="33"/>
  <c r="M35" i="33" s="1"/>
  <c r="AD128" i="33"/>
  <c r="AD39" i="33" s="1"/>
  <c r="N128" i="33"/>
  <c r="N39" i="33" s="1"/>
  <c r="AL127" i="33"/>
  <c r="AL38" i="33" s="1"/>
  <c r="V127" i="33"/>
  <c r="V38" i="33" s="1"/>
  <c r="F127" i="33"/>
  <c r="F38" i="33" s="1"/>
  <c r="AD126" i="33"/>
  <c r="AD37" i="33" s="1"/>
  <c r="N126" i="33"/>
  <c r="N37" i="33" s="1"/>
  <c r="AL125" i="33"/>
  <c r="AL36" i="33" s="1"/>
  <c r="V125" i="33"/>
  <c r="V36" i="33" s="1"/>
  <c r="F125" i="33"/>
  <c r="F36" i="33" s="1"/>
  <c r="AD124" i="33"/>
  <c r="AD35" i="33" s="1"/>
  <c r="J124" i="33"/>
  <c r="R123" i="33"/>
  <c r="R34" i="33" s="1"/>
  <c r="Z122" i="33"/>
  <c r="AH121" i="33"/>
  <c r="AH32" i="33" s="1"/>
  <c r="B121" i="33"/>
  <c r="B32" i="33" s="1"/>
  <c r="J120" i="33"/>
  <c r="J31" i="33" s="1"/>
  <c r="AD118" i="33"/>
  <c r="AD29" i="33" s="1"/>
  <c r="F117" i="33"/>
  <c r="F28" i="33" s="1"/>
  <c r="J115" i="33"/>
  <c r="J26" i="33" s="1"/>
  <c r="T111" i="33"/>
  <c r="T22" i="33" s="1"/>
  <c r="AC106" i="33"/>
  <c r="AC17" i="33" s="1"/>
  <c r="Q128" i="33"/>
  <c r="Q39" i="33" s="1"/>
  <c r="AO127" i="33"/>
  <c r="Y127" i="33"/>
  <c r="I127" i="33"/>
  <c r="I38" i="33" s="1"/>
  <c r="AG126" i="33"/>
  <c r="AG37" i="33" s="1"/>
  <c r="AO125" i="33"/>
  <c r="AO36" i="33" s="1"/>
  <c r="I125" i="33"/>
  <c r="I36" i="33" s="1"/>
  <c r="O124" i="33"/>
  <c r="O35" i="33" s="1"/>
  <c r="AE122" i="33"/>
  <c r="AE33" i="33" s="1"/>
  <c r="G121" i="33"/>
  <c r="G32" i="33" s="1"/>
  <c r="AM118" i="33"/>
  <c r="AM29" i="33" s="1"/>
  <c r="AA115" i="33"/>
  <c r="AA26" i="33" s="1"/>
  <c r="AF107" i="33"/>
  <c r="AF18" i="33" s="1"/>
  <c r="D128" i="33"/>
  <c r="D39" i="33" s="1"/>
  <c r="L127" i="33"/>
  <c r="L38" i="33" s="1"/>
  <c r="T126" i="33"/>
  <c r="T37" i="33" s="1"/>
  <c r="AB125" i="33"/>
  <c r="AB36" i="33" s="1"/>
  <c r="AJ124" i="33"/>
  <c r="AD123" i="33"/>
  <c r="AD34" i="33" s="1"/>
  <c r="F122" i="33"/>
  <c r="F33" i="33" s="1"/>
  <c r="V120" i="33"/>
  <c r="V31" i="33" s="1"/>
  <c r="AD117" i="33"/>
  <c r="AD28" i="33" s="1"/>
  <c r="D113" i="33"/>
  <c r="D24" i="33" s="1"/>
  <c r="U111" i="33"/>
  <c r="U22" i="33" s="1"/>
  <c r="S123" i="33"/>
  <c r="S34" i="33" s="1"/>
  <c r="G127" i="33"/>
  <c r="G38" i="33" s="1"/>
  <c r="G129" i="33"/>
  <c r="G40" i="33" s="1"/>
  <c r="AM129" i="33"/>
  <c r="AM40" i="33" s="1"/>
  <c r="AE130" i="33"/>
  <c r="AE41" i="33" s="1"/>
  <c r="W131" i="33"/>
  <c r="W42" i="33" s="1"/>
  <c r="O132" i="33"/>
  <c r="O43" i="33" s="1"/>
  <c r="G133" i="33"/>
  <c r="G44" i="33" s="1"/>
  <c r="AM133" i="33"/>
  <c r="AM44" i="33" s="1"/>
  <c r="O135" i="33"/>
  <c r="O46" i="33" s="1"/>
  <c r="AM136" i="33"/>
  <c r="AM47" i="33" s="1"/>
  <c r="AJ136" i="33"/>
  <c r="AJ47" i="33" s="1"/>
  <c r="AC136" i="33"/>
  <c r="AC47" i="33" s="1"/>
  <c r="J129" i="33"/>
  <c r="J40" i="33" s="1"/>
  <c r="J133" i="33"/>
  <c r="J44" i="33" s="1"/>
  <c r="AA125" i="33"/>
  <c r="AA36" i="33" s="1"/>
  <c r="AF130" i="33"/>
  <c r="AF41" i="33" s="1"/>
  <c r="AN133" i="33"/>
  <c r="AN44" i="33" s="1"/>
  <c r="F130" i="33"/>
  <c r="F41" i="33" s="1"/>
  <c r="K122" i="33"/>
  <c r="K33" i="33" s="1"/>
  <c r="Y130" i="33"/>
  <c r="Y41" i="33" s="1"/>
  <c r="AG133" i="33"/>
  <c r="AG44" i="33" s="1"/>
  <c r="AL136" i="33"/>
  <c r="AL47" i="33" s="1"/>
  <c r="AC126" i="33"/>
  <c r="AC37" i="33" s="1"/>
  <c r="M126" i="33"/>
  <c r="M37" i="33" s="1"/>
  <c r="AK125" i="33"/>
  <c r="AK36" i="33" s="1"/>
  <c r="U125" i="33"/>
  <c r="U36" i="33" s="1"/>
  <c r="E125" i="33"/>
  <c r="E36" i="33" s="1"/>
  <c r="AC124" i="33"/>
  <c r="AC35" i="33" s="1"/>
  <c r="G124" i="33"/>
  <c r="G35" i="33" s="1"/>
  <c r="O123" i="33"/>
  <c r="O34" i="33" s="1"/>
  <c r="W122" i="33"/>
  <c r="W33" i="33" s="1"/>
  <c r="AE121" i="33"/>
  <c r="AE32" i="33" s="1"/>
  <c r="AM120" i="33"/>
  <c r="AM31" i="33" s="1"/>
  <c r="G120" i="33"/>
  <c r="G31" i="33" s="1"/>
  <c r="W118" i="33"/>
  <c r="W29" i="33" s="1"/>
  <c r="AM116" i="33"/>
  <c r="AM27" i="33" s="1"/>
  <c r="AI114" i="33"/>
  <c r="AI25" i="33" s="1"/>
  <c r="AN110" i="33"/>
  <c r="AN21" i="33" s="1"/>
  <c r="AN104" i="33"/>
  <c r="P128" i="33"/>
  <c r="P39" i="33" s="1"/>
  <c r="AN127" i="33"/>
  <c r="AN38" i="33" s="1"/>
  <c r="X127" i="33"/>
  <c r="X38" i="33" s="1"/>
  <c r="H127" i="33"/>
  <c r="H38" i="33" s="1"/>
  <c r="AF126" i="33"/>
  <c r="AF37" i="33" s="1"/>
  <c r="P126" i="33"/>
  <c r="P37" i="33" s="1"/>
  <c r="AN125" i="33"/>
  <c r="AN36" i="33" s="1"/>
  <c r="X125" i="33"/>
  <c r="X36" i="33" s="1"/>
  <c r="H125" i="33"/>
  <c r="H36" i="33" s="1"/>
  <c r="AF124" i="33"/>
  <c r="AF35" i="33" s="1"/>
  <c r="N124" i="33"/>
  <c r="N35" i="33" s="1"/>
  <c r="V123" i="33"/>
  <c r="V34" i="33" s="1"/>
  <c r="AD122" i="33"/>
  <c r="AD33" i="33" s="1"/>
  <c r="AL121" i="33"/>
  <c r="AL32" i="33" s="1"/>
  <c r="F121" i="33"/>
  <c r="F32" i="33" s="1"/>
  <c r="N120" i="33"/>
  <c r="N31" i="33" s="1"/>
  <c r="AL118" i="33"/>
  <c r="AL29" i="33" s="1"/>
  <c r="N117" i="33"/>
  <c r="N28" i="33" s="1"/>
  <c r="Z115" i="33"/>
  <c r="Z26" i="33" s="1"/>
  <c r="AO111" i="33"/>
  <c r="AO22" i="33" s="1"/>
  <c r="AD107" i="33"/>
  <c r="AD18" i="33" s="1"/>
  <c r="K115" i="33"/>
  <c r="K26" i="33" s="1"/>
  <c r="C121" i="33"/>
  <c r="C32" i="33" s="1"/>
  <c r="K124" i="33"/>
  <c r="K35" i="33" s="1"/>
  <c r="AM125" i="33"/>
  <c r="AM36" i="33" s="1"/>
  <c r="W127" i="33"/>
  <c r="W38" i="33" s="1"/>
  <c r="AI128" i="33"/>
  <c r="AI39" i="33" s="1"/>
  <c r="K129" i="33"/>
  <c r="K40" i="33" s="1"/>
  <c r="AA129" i="33"/>
  <c r="AA40" i="33" s="1"/>
  <c r="C130" i="33"/>
  <c r="C41" i="33" s="1"/>
  <c r="S130" i="33"/>
  <c r="S41" i="33" s="1"/>
  <c r="AI130" i="33"/>
  <c r="AI41" i="33" s="1"/>
  <c r="K131" i="33"/>
  <c r="K42" i="33" s="1"/>
  <c r="AA131" i="33"/>
  <c r="AA42" i="33" s="1"/>
  <c r="C132" i="33"/>
  <c r="C43" i="33" s="1"/>
  <c r="S132" i="33"/>
  <c r="S43" i="33" s="1"/>
  <c r="AI132" i="33"/>
  <c r="AI43" i="33" s="1"/>
  <c r="K133" i="33"/>
  <c r="K44" i="33" s="1"/>
  <c r="AA133" i="33"/>
  <c r="AA44" i="33" s="1"/>
  <c r="C134" i="33"/>
  <c r="C45" i="33" s="1"/>
  <c r="AE134" i="33"/>
  <c r="AE45" i="33" s="1"/>
  <c r="W135" i="33"/>
  <c r="W46" i="33" s="1"/>
  <c r="O136" i="33"/>
  <c r="O47" i="33" s="1"/>
  <c r="T135" i="33"/>
  <c r="T46" i="33" s="1"/>
  <c r="L136" i="33"/>
  <c r="L47" i="33" s="1"/>
  <c r="M135" i="33"/>
  <c r="E136" i="33"/>
  <c r="E47" i="33" s="1"/>
  <c r="AO136" i="33"/>
  <c r="AO47" i="33" s="1"/>
  <c r="AA124" i="33"/>
  <c r="AA35" i="33" s="1"/>
  <c r="AD129" i="33"/>
  <c r="AD131" i="33"/>
  <c r="AD42" i="33" s="1"/>
  <c r="AD133" i="33"/>
  <c r="AD44" i="33" s="1"/>
  <c r="C122" i="33"/>
  <c r="C33" i="33" s="1"/>
  <c r="S126" i="33"/>
  <c r="S37" i="33" s="1"/>
  <c r="X129" i="33"/>
  <c r="X40" i="33" s="1"/>
  <c r="H131" i="33"/>
  <c r="H42" i="33" s="1"/>
  <c r="AF132" i="33"/>
  <c r="AF43" i="33" s="1"/>
  <c r="P134" i="33"/>
  <c r="P45" i="33" s="1"/>
  <c r="K126" i="33"/>
  <c r="K37" i="33" s="1"/>
  <c r="AH130" i="33"/>
  <c r="AH41" i="33" s="1"/>
  <c r="V133" i="33"/>
  <c r="V44" i="33" s="1"/>
  <c r="AM124" i="33"/>
  <c r="AM35" i="33" s="1"/>
  <c r="Q129" i="33"/>
  <c r="Q40" i="33" s="1"/>
  <c r="AO130" i="33"/>
  <c r="AO41" i="33" s="1"/>
  <c r="Y132" i="33"/>
  <c r="Y43" i="33" s="1"/>
  <c r="I134" i="33"/>
  <c r="I45" i="33" s="1"/>
  <c r="R136" i="33"/>
  <c r="R47" i="33" s="1"/>
  <c r="R135" i="33"/>
  <c r="R46" i="33" s="1"/>
  <c r="Y126" i="33"/>
  <c r="Y37" i="33" s="1"/>
  <c r="I126" i="33"/>
  <c r="I37" i="33" s="1"/>
  <c r="AG125" i="33"/>
  <c r="AG36" i="33" s="1"/>
  <c r="Q125" i="33"/>
  <c r="Q36" i="33" s="1"/>
  <c r="AO124" i="33"/>
  <c r="AO35" i="33" s="1"/>
  <c r="Y124" i="33"/>
  <c r="Y35" i="33" s="1"/>
  <c r="AM123" i="33"/>
  <c r="AM34" i="33" s="1"/>
  <c r="G123" i="33"/>
  <c r="G34" i="33" s="1"/>
  <c r="O122" i="33"/>
  <c r="O33" i="33" s="1"/>
  <c r="W121" i="33"/>
  <c r="W32" i="33" s="1"/>
  <c r="AE120" i="33"/>
  <c r="AE31" i="33" s="1"/>
  <c r="AE119" i="33"/>
  <c r="AE30" i="33" s="1"/>
  <c r="G118" i="33"/>
  <c r="G29" i="33" s="1"/>
  <c r="W116" i="33"/>
  <c r="W27" i="33" s="1"/>
  <c r="C114" i="33"/>
  <c r="C25" i="33" s="1"/>
  <c r="AK109" i="33"/>
  <c r="AK20" i="33" s="1"/>
  <c r="AB128" i="33"/>
  <c r="AB39" i="33" s="1"/>
  <c r="L128" i="33"/>
  <c r="L39" i="33" s="1"/>
  <c r="AJ127" i="33"/>
  <c r="AJ38" i="33" s="1"/>
  <c r="T127" i="33"/>
  <c r="D127" i="33"/>
  <c r="D38" i="33" s="1"/>
  <c r="AB126" i="33"/>
  <c r="AB37" i="33" s="1"/>
  <c r="L126" i="33"/>
  <c r="L37" i="33" s="1"/>
  <c r="AJ125" i="33"/>
  <c r="AJ36" i="33" s="1"/>
  <c r="T125" i="33"/>
  <c r="T36" i="33" s="1"/>
  <c r="D125" i="33"/>
  <c r="D36" i="33" s="1"/>
  <c r="AB124" i="33"/>
  <c r="AB35" i="33" s="1"/>
  <c r="F124" i="33"/>
  <c r="F35" i="33" s="1"/>
  <c r="N123" i="33"/>
  <c r="N34" i="33" s="1"/>
  <c r="V122" i="33"/>
  <c r="V33" i="33" s="1"/>
  <c r="AD121" i="33"/>
  <c r="AD32" i="33" s="1"/>
  <c r="AL120" i="33"/>
  <c r="AL31" i="33" s="1"/>
  <c r="F120" i="33"/>
  <c r="F31" i="33" s="1"/>
  <c r="V118" i="33"/>
  <c r="V29" i="33" s="1"/>
  <c r="AL116" i="33"/>
  <c r="AL27" i="33" s="1"/>
  <c r="AH114" i="33"/>
  <c r="AH25" i="33" s="1"/>
  <c r="AL110" i="33"/>
  <c r="AL21" i="33" s="1"/>
  <c r="H102" i="33"/>
  <c r="H13" i="33" s="1"/>
  <c r="G117" i="33"/>
  <c r="G28" i="33" s="1"/>
  <c r="AI121" i="33"/>
  <c r="AI32" i="33" s="1"/>
  <c r="AE124" i="33"/>
  <c r="AE35" i="33" s="1"/>
  <c r="O126" i="33"/>
  <c r="O37" i="33" s="1"/>
  <c r="AM127" i="33"/>
  <c r="AM38" i="33" s="1"/>
  <c r="AM128" i="33"/>
  <c r="AM39" i="33" s="1"/>
  <c r="O129" i="33"/>
  <c r="O40" i="33" s="1"/>
  <c r="AE129" i="33"/>
  <c r="AE40" i="33" s="1"/>
  <c r="G130" i="33"/>
  <c r="G41" i="33" s="1"/>
  <c r="W130" i="33"/>
  <c r="W41" i="33" s="1"/>
  <c r="AM130" i="33"/>
  <c r="AM41" i="33" s="1"/>
  <c r="O131" i="33"/>
  <c r="O42" i="33" s="1"/>
  <c r="AE131" i="33"/>
  <c r="AE42" i="33" s="1"/>
  <c r="G132" i="33"/>
  <c r="G43" i="33" s="1"/>
  <c r="W132" i="33"/>
  <c r="W43" i="33" s="1"/>
  <c r="AM132" i="33"/>
  <c r="AM43" i="33" s="1"/>
  <c r="O133" i="33"/>
  <c r="O44" i="33" s="1"/>
  <c r="AE133" i="33"/>
  <c r="AE44" i="33" s="1"/>
  <c r="G134" i="33"/>
  <c r="G45" i="33" s="1"/>
  <c r="AM134" i="33"/>
  <c r="AM45" i="33" s="1"/>
  <c r="AE135" i="33"/>
  <c r="AE46" i="33" s="1"/>
  <c r="W136" i="33"/>
  <c r="W47" i="33" s="1"/>
  <c r="AB135" i="33"/>
  <c r="AB46" i="33" s="1"/>
  <c r="T136" i="33"/>
  <c r="T47" i="33" s="1"/>
  <c r="U135" i="33"/>
  <c r="U46" i="33" s="1"/>
  <c r="M136" i="33"/>
  <c r="M47" i="33" s="1"/>
  <c r="AE116" i="33"/>
  <c r="AE27" i="33" s="1"/>
  <c r="AA126" i="33"/>
  <c r="AA37" i="33" s="1"/>
  <c r="J130" i="33"/>
  <c r="J41" i="33" s="1"/>
  <c r="J132" i="33"/>
  <c r="J43" i="33" s="1"/>
  <c r="X112" i="33"/>
  <c r="X23" i="33" s="1"/>
  <c r="AA123" i="33"/>
  <c r="AA34" i="33" s="1"/>
  <c r="K127" i="33"/>
  <c r="K38" i="33" s="1"/>
  <c r="AN129" i="33"/>
  <c r="AN40" i="33" s="1"/>
  <c r="X131" i="33"/>
  <c r="X42" i="33" s="1"/>
  <c r="H133" i="33"/>
  <c r="H44" i="33" s="1"/>
  <c r="AF134" i="33"/>
  <c r="AF45" i="33" s="1"/>
  <c r="AH128" i="33"/>
  <c r="V131" i="33"/>
  <c r="V42" i="33" s="1"/>
  <c r="F134" i="33"/>
  <c r="F45" i="33" s="1"/>
  <c r="W126" i="33"/>
  <c r="W37" i="33" s="1"/>
  <c r="AG129" i="33"/>
  <c r="AG40" i="33" s="1"/>
  <c r="Q131" i="33"/>
  <c r="Q42" i="33" s="1"/>
  <c r="AO132" i="33"/>
  <c r="AO43" i="33" s="1"/>
  <c r="Y134" i="33"/>
  <c r="Y45" i="33" s="1"/>
  <c r="N136" i="33"/>
  <c r="N47" i="33" s="1"/>
  <c r="R134" i="33"/>
  <c r="R45" i="33" s="1"/>
  <c r="K134" i="33"/>
  <c r="AA134" i="33"/>
  <c r="AA45" i="33" s="1"/>
  <c r="C135" i="33"/>
  <c r="S135" i="33"/>
  <c r="S46" i="33" s="1"/>
  <c r="AI135" i="33"/>
  <c r="AI46" i="33" s="1"/>
  <c r="K136" i="33"/>
  <c r="K47" i="33" s="1"/>
  <c r="AA136" i="33"/>
  <c r="AA47" i="33" s="1"/>
  <c r="P135" i="33"/>
  <c r="P46" i="33" s="1"/>
  <c r="AF135" i="33"/>
  <c r="AF46" i="33" s="1"/>
  <c r="H136" i="33"/>
  <c r="H47" i="33" s="1"/>
  <c r="X136" i="33"/>
  <c r="X47" i="33" s="1"/>
  <c r="AN136" i="33"/>
  <c r="AN47" i="33" s="1"/>
  <c r="Y135" i="33"/>
  <c r="Y46" i="33" s="1"/>
  <c r="AO135" i="33"/>
  <c r="AO46" i="33" s="1"/>
  <c r="Q136" i="33"/>
  <c r="Q47" i="33" s="1"/>
  <c r="AK136" i="33"/>
  <c r="AK47" i="33" s="1"/>
  <c r="O118" i="33"/>
  <c r="O29" i="33" s="1"/>
  <c r="K123" i="33"/>
  <c r="K34" i="33" s="1"/>
  <c r="AI127" i="33"/>
  <c r="AI38" i="33" s="1"/>
  <c r="R129" i="33"/>
  <c r="R40" i="33" s="1"/>
  <c r="R130" i="33"/>
  <c r="R41" i="33" s="1"/>
  <c r="R131" i="33"/>
  <c r="R42" i="33" s="1"/>
  <c r="R132" i="33"/>
  <c r="R133" i="33"/>
  <c r="R44" i="33" s="1"/>
  <c r="AM115" i="33"/>
  <c r="AM26" i="33" s="1"/>
  <c r="K121" i="33"/>
  <c r="K32" i="33" s="1"/>
  <c r="S124" i="33"/>
  <c r="S35" i="33" s="1"/>
  <c r="C126" i="33"/>
  <c r="C37" i="33" s="1"/>
  <c r="AA127" i="33"/>
  <c r="AJ128" i="33"/>
  <c r="AJ39" i="33" s="1"/>
  <c r="L129" i="33"/>
  <c r="L40" i="33" s="1"/>
  <c r="AB129" i="33"/>
  <c r="AB40" i="33" s="1"/>
  <c r="D130" i="33"/>
  <c r="D41" i="33" s="1"/>
  <c r="T130" i="33"/>
  <c r="T41" i="33" s="1"/>
  <c r="AJ130" i="33"/>
  <c r="AJ41" i="33" s="1"/>
  <c r="L131" i="33"/>
  <c r="L42" i="33" s="1"/>
  <c r="AB131" i="33"/>
  <c r="AB42" i="33" s="1"/>
  <c r="D132" i="33"/>
  <c r="D43" i="33" s="1"/>
  <c r="T132" i="33"/>
  <c r="T43" i="33" s="1"/>
  <c r="AJ132" i="33"/>
  <c r="AJ43" i="33" s="1"/>
  <c r="L133" i="33"/>
  <c r="L44" i="33" s="1"/>
  <c r="AB133" i="33"/>
  <c r="AB44" i="33" s="1"/>
  <c r="D134" i="33"/>
  <c r="D45" i="33" s="1"/>
  <c r="T134" i="33"/>
  <c r="T45" i="33" s="1"/>
  <c r="AJ134" i="33"/>
  <c r="AJ45" i="33" s="1"/>
  <c r="L135" i="33"/>
  <c r="L46" i="33" s="1"/>
  <c r="C124" i="33"/>
  <c r="C35" i="33" s="1"/>
  <c r="C127" i="33"/>
  <c r="C38" i="33" s="1"/>
  <c r="AL128" i="33"/>
  <c r="Z129" i="33"/>
  <c r="Z40" i="33" s="1"/>
  <c r="N130" i="33"/>
  <c r="N41" i="33" s="1"/>
  <c r="B131" i="33"/>
  <c r="B42" i="33" s="1"/>
  <c r="Z131" i="33"/>
  <c r="Z42" i="33" s="1"/>
  <c r="N132" i="33"/>
  <c r="N43" i="33" s="1"/>
  <c r="B133" i="33"/>
  <c r="B44" i="33" s="1"/>
  <c r="Z133" i="33"/>
  <c r="Z44" i="33" s="1"/>
  <c r="P109" i="33"/>
  <c r="P20" i="33" s="1"/>
  <c r="W119" i="33"/>
  <c r="W30" i="33" s="1"/>
  <c r="C123" i="33"/>
  <c r="C34" i="33" s="1"/>
  <c r="O125" i="33"/>
  <c r="O36" i="33" s="1"/>
  <c r="AM126" i="33"/>
  <c r="AM37" i="33" s="1"/>
  <c r="W128" i="33"/>
  <c r="W39" i="33" s="1"/>
  <c r="E129" i="33"/>
  <c r="E40" i="33" s="1"/>
  <c r="U129" i="33"/>
  <c r="U40" i="33" s="1"/>
  <c r="AK129" i="33"/>
  <c r="AK40" i="33" s="1"/>
  <c r="M130" i="33"/>
  <c r="M41" i="33" s="1"/>
  <c r="AC130" i="33"/>
  <c r="AC41" i="33" s="1"/>
  <c r="E131" i="33"/>
  <c r="E42" i="33" s="1"/>
  <c r="U131" i="33"/>
  <c r="U42" i="33" s="1"/>
  <c r="AK131" i="33"/>
  <c r="AK42" i="33" s="1"/>
  <c r="M132" i="33"/>
  <c r="M43" i="33" s="1"/>
  <c r="AC132" i="33"/>
  <c r="AC43" i="33" s="1"/>
  <c r="E133" i="33"/>
  <c r="E44" i="33" s="1"/>
  <c r="U133" i="33"/>
  <c r="U44" i="33" s="1"/>
  <c r="AK133" i="33"/>
  <c r="AK44" i="33" s="1"/>
  <c r="M134" i="33"/>
  <c r="M45" i="33" s="1"/>
  <c r="AC134" i="33"/>
  <c r="AC45" i="33" s="1"/>
  <c r="E135" i="33"/>
  <c r="E46" i="33" s="1"/>
  <c r="J135" i="33"/>
  <c r="J46" i="33" s="1"/>
  <c r="AH136" i="33"/>
  <c r="AH47" i="33" s="1"/>
  <c r="J134" i="33"/>
  <c r="J45" i="33" s="1"/>
  <c r="AD135" i="33"/>
  <c r="N134" i="33"/>
  <c r="N45" i="33" s="1"/>
  <c r="AH135" i="33"/>
  <c r="AH46" i="33" s="1"/>
  <c r="I135" i="33"/>
  <c r="I46" i="33" s="1"/>
  <c r="C128" i="33"/>
  <c r="C39" i="33" s="1"/>
  <c r="AN128" i="33"/>
  <c r="AN39" i="33" s="1"/>
  <c r="P129" i="33"/>
  <c r="P40" i="33" s="1"/>
  <c r="AF129" i="33"/>
  <c r="AF40" i="33" s="1"/>
  <c r="H130" i="33"/>
  <c r="H41" i="33" s="1"/>
  <c r="X130" i="33"/>
  <c r="X41" i="33" s="1"/>
  <c r="AN130" i="33"/>
  <c r="AN41" i="33" s="1"/>
  <c r="P131" i="33"/>
  <c r="P42" i="33" s="1"/>
  <c r="AF131" i="33"/>
  <c r="AF42" i="33" s="1"/>
  <c r="H132" i="33"/>
  <c r="H43" i="33" s="1"/>
  <c r="X132" i="33"/>
  <c r="X43" i="33" s="1"/>
  <c r="AN132" i="33"/>
  <c r="P133" i="33"/>
  <c r="P44" i="33" s="1"/>
  <c r="AF133" i="33"/>
  <c r="AF44" i="33" s="1"/>
  <c r="H134" i="33"/>
  <c r="H45" i="33" s="1"/>
  <c r="X134" i="33"/>
  <c r="X45" i="33" s="1"/>
  <c r="AN134" i="33"/>
  <c r="AN45" i="33" s="1"/>
  <c r="AG136" i="33"/>
  <c r="AG47" i="33" s="1"/>
  <c r="C125" i="33"/>
  <c r="C36" i="33" s="1"/>
  <c r="S127" i="33"/>
  <c r="S38" i="33" s="1"/>
  <c r="F129" i="33"/>
  <c r="F40" i="33" s="1"/>
  <c r="AH129" i="33"/>
  <c r="AH40" i="33" s="1"/>
  <c r="V130" i="33"/>
  <c r="V41" i="33" s="1"/>
  <c r="F131" i="33"/>
  <c r="F42" i="33" s="1"/>
  <c r="AH131" i="33"/>
  <c r="AH42" i="33" s="1"/>
  <c r="V132" i="33"/>
  <c r="F133" i="33"/>
  <c r="F44" i="33" s="1"/>
  <c r="AH133" i="33"/>
  <c r="AH44" i="33" s="1"/>
  <c r="Z113" i="33"/>
  <c r="Z24" i="33" s="1"/>
  <c r="AA120" i="33"/>
  <c r="AA31" i="33" s="1"/>
  <c r="AI123" i="33"/>
  <c r="AI34" i="33" s="1"/>
  <c r="AE125" i="33"/>
  <c r="AE36" i="33" s="1"/>
  <c r="O127" i="33"/>
  <c r="O38" i="33" s="1"/>
  <c r="AG128" i="33"/>
  <c r="AG39" i="33" s="1"/>
  <c r="I129" i="33"/>
  <c r="I40" i="33" s="1"/>
  <c r="Y129" i="33"/>
  <c r="Y40" i="33" s="1"/>
  <c r="AO129" i="33"/>
  <c r="AO40" i="33" s="1"/>
  <c r="Q130" i="33"/>
  <c r="Q41" i="33" s="1"/>
  <c r="AG130" i="33"/>
  <c r="AG41" i="33" s="1"/>
  <c r="I131" i="33"/>
  <c r="I42" i="33" s="1"/>
  <c r="Y131" i="33"/>
  <c r="Y42" i="33" s="1"/>
  <c r="AO131" i="33"/>
  <c r="AO42" i="33" s="1"/>
  <c r="Q132" i="33"/>
  <c r="Q43" i="33" s="1"/>
  <c r="AG132" i="33"/>
  <c r="AG43" i="33" s="1"/>
  <c r="I133" i="33"/>
  <c r="I44" i="33" s="1"/>
  <c r="Y133" i="33"/>
  <c r="Y44" i="33" s="1"/>
  <c r="AO133" i="33"/>
  <c r="AO44" i="33" s="1"/>
  <c r="Q134" i="33"/>
  <c r="Q45" i="33" s="1"/>
  <c r="AG134" i="33"/>
  <c r="AG45" i="33" s="1"/>
  <c r="AL133" i="33"/>
  <c r="AL44" i="33" s="1"/>
  <c r="Z135" i="33"/>
  <c r="Z46" i="33" s="1"/>
  <c r="AH134" i="33"/>
  <c r="AH45" i="33" s="1"/>
  <c r="Z134" i="33"/>
  <c r="Z45" i="33" s="1"/>
  <c r="F136" i="33"/>
  <c r="F47" i="33" s="1"/>
  <c r="AD134" i="33"/>
  <c r="AD45" i="33" s="1"/>
  <c r="J136" i="33"/>
  <c r="J47" i="33" s="1"/>
  <c r="AL135" i="33"/>
  <c r="AL46" i="33" s="1"/>
  <c r="S134" i="33"/>
  <c r="S45" i="33" s="1"/>
  <c r="AI134" i="33"/>
  <c r="AI45" i="33" s="1"/>
  <c r="K135" i="33"/>
  <c r="K46" i="33" s="1"/>
  <c r="AA135" i="33"/>
  <c r="AA46" i="33" s="1"/>
  <c r="C136" i="33"/>
  <c r="C47" i="33" s="1"/>
  <c r="S136" i="33"/>
  <c r="S47" i="33" s="1"/>
  <c r="AI136" i="33"/>
  <c r="AI47" i="33" s="1"/>
  <c r="X135" i="33"/>
  <c r="X46" i="33" s="1"/>
  <c r="AN135" i="33"/>
  <c r="P136" i="33"/>
  <c r="P47" i="33" s="1"/>
  <c r="AF136" i="33"/>
  <c r="AF47" i="33" s="1"/>
  <c r="Q135" i="33"/>
  <c r="Q46" i="33" s="1"/>
  <c r="AG135" i="33"/>
  <c r="AG46" i="33" s="1"/>
  <c r="I136" i="33"/>
  <c r="I47" i="33" s="1"/>
  <c r="Y136" i="33"/>
  <c r="Y47" i="33" s="1"/>
  <c r="S114" i="33"/>
  <c r="S25" i="33" s="1"/>
  <c r="AI120" i="33"/>
  <c r="AI31" i="33" s="1"/>
  <c r="S125" i="33"/>
  <c r="S36" i="33" s="1"/>
  <c r="B129" i="33"/>
  <c r="B40" i="33" s="1"/>
  <c r="AL129" i="33"/>
  <c r="AL40" i="33" s="1"/>
  <c r="AL130" i="33"/>
  <c r="AL131" i="33"/>
  <c r="AL42" i="33" s="1"/>
  <c r="AL132" i="33"/>
  <c r="AL43" i="33" s="1"/>
  <c r="M108" i="33"/>
  <c r="M19" i="33" s="1"/>
  <c r="G119" i="33"/>
  <c r="G30" i="33" s="1"/>
  <c r="AI122" i="33"/>
  <c r="AI33" i="33" s="1"/>
  <c r="K125" i="33"/>
  <c r="K36" i="33" s="1"/>
  <c r="AI126" i="33"/>
  <c r="AI37" i="33" s="1"/>
  <c r="S128" i="33"/>
  <c r="S39" i="33" s="1"/>
  <c r="D129" i="33"/>
  <c r="D40" i="33" s="1"/>
  <c r="T129" i="33"/>
  <c r="T40" i="33" s="1"/>
  <c r="AJ129" i="33"/>
  <c r="AJ40" i="33" s="1"/>
  <c r="L130" i="33"/>
  <c r="L41" i="33" s="1"/>
  <c r="AB130" i="33"/>
  <c r="AB41" i="33" s="1"/>
  <c r="D131" i="33"/>
  <c r="T131" i="33"/>
  <c r="T42" i="33" s="1"/>
  <c r="AJ131" i="33"/>
  <c r="AJ42" i="33" s="1"/>
  <c r="L132" i="33"/>
  <c r="L43" i="33" s="1"/>
  <c r="AB132" i="33"/>
  <c r="AB43" i="33" s="1"/>
  <c r="D133" i="33"/>
  <c r="D44" i="33" s="1"/>
  <c r="T133" i="33"/>
  <c r="T44" i="33" s="1"/>
  <c r="AJ133" i="33"/>
  <c r="AJ44" i="33" s="1"/>
  <c r="L134" i="33"/>
  <c r="L45" i="33" s="1"/>
  <c r="AB134" i="33"/>
  <c r="AB45" i="33" s="1"/>
  <c r="D135" i="33"/>
  <c r="D46" i="33" s="1"/>
  <c r="R110" i="33"/>
  <c r="R21" i="33" s="1"/>
  <c r="AI125" i="33"/>
  <c r="AI36" i="33" s="1"/>
  <c r="K128" i="33"/>
  <c r="K39" i="33" s="1"/>
  <c r="N129" i="33"/>
  <c r="N40" i="33" s="1"/>
  <c r="B130" i="33"/>
  <c r="B41" i="33" s="1"/>
  <c r="Z130" i="33"/>
  <c r="Z41" i="33" s="1"/>
  <c r="N131" i="33"/>
  <c r="N42" i="33" s="1"/>
  <c r="B132" i="33"/>
  <c r="B43" i="33" s="1"/>
  <c r="Z132" i="33"/>
  <c r="Z43" i="33" s="1"/>
  <c r="N133" i="33"/>
  <c r="N44" i="33" s="1"/>
  <c r="B134" i="33"/>
  <c r="B45" i="33" s="1"/>
  <c r="O116" i="33"/>
  <c r="O27" i="33" s="1"/>
  <c r="S121" i="33"/>
  <c r="S32" i="33" s="1"/>
  <c r="W124" i="33"/>
  <c r="W35" i="33" s="1"/>
  <c r="G126" i="33"/>
  <c r="G37" i="33" s="1"/>
  <c r="AE127" i="33"/>
  <c r="AE38" i="33" s="1"/>
  <c r="AK128" i="33"/>
  <c r="AK39" i="33" s="1"/>
  <c r="M129" i="33"/>
  <c r="M40" i="33" s="1"/>
  <c r="AC129" i="33"/>
  <c r="AC40" i="33" s="1"/>
  <c r="E130" i="33"/>
  <c r="E41" i="33" s="1"/>
  <c r="U130" i="33"/>
  <c r="U41" i="33" s="1"/>
  <c r="AK130" i="33"/>
  <c r="AK41" i="33" s="1"/>
  <c r="M131" i="33"/>
  <c r="M42" i="33" s="1"/>
  <c r="AC131" i="33"/>
  <c r="AC42" i="33" s="1"/>
  <c r="E132" i="33"/>
  <c r="E43" i="33" s="1"/>
  <c r="U132" i="33"/>
  <c r="U43" i="33" s="1"/>
  <c r="AK132" i="33"/>
  <c r="AK43" i="33" s="1"/>
  <c r="M133" i="33"/>
  <c r="M44" i="33" s="1"/>
  <c r="AC133" i="33"/>
  <c r="AC44" i="33" s="1"/>
  <c r="E134" i="33"/>
  <c r="E45" i="33" s="1"/>
  <c r="U134" i="33"/>
  <c r="U45" i="33" s="1"/>
  <c r="AK134" i="33"/>
  <c r="AK45" i="33" s="1"/>
  <c r="V134" i="33"/>
  <c r="V45" i="33" s="1"/>
  <c r="B136" i="33"/>
  <c r="B47" i="33" s="1"/>
  <c r="V135" i="33"/>
  <c r="V46" i="33" s="1"/>
  <c r="B135" i="33"/>
  <c r="B46" i="33" s="1"/>
  <c r="V136" i="33"/>
  <c r="V47" i="33" s="1"/>
  <c r="F135" i="33"/>
  <c r="F46" i="33" s="1"/>
  <c r="Z136" i="33"/>
  <c r="Z47" i="33" s="1"/>
  <c r="AD136" i="33"/>
  <c r="AD47" i="33" s="1"/>
  <c r="K12" i="33"/>
  <c r="I20" i="33"/>
  <c r="L27" i="33"/>
  <c r="AJ28" i="33"/>
  <c r="E10" i="33"/>
  <c r="AO16" i="33"/>
  <c r="E33" i="33"/>
  <c r="AC34" i="33"/>
  <c r="T38" i="33"/>
  <c r="J42" i="33"/>
  <c r="AH39" i="33"/>
  <c r="AH43" i="33"/>
  <c r="G39" i="33"/>
  <c r="AG17" i="33"/>
  <c r="Y18" i="33"/>
  <c r="U23" i="33"/>
  <c r="Q19" i="33"/>
  <c r="X28" i="33"/>
  <c r="H30" i="33"/>
  <c r="AB31" i="33"/>
  <c r="T32" i="33"/>
  <c r="L33" i="33"/>
  <c r="D34" i="33"/>
  <c r="AJ34" i="33"/>
  <c r="R39" i="33"/>
  <c r="U39" i="33"/>
  <c r="AK37" i="33"/>
  <c r="M36" i="33"/>
  <c r="U35" i="33"/>
  <c r="E24" i="33"/>
  <c r="R43" i="33"/>
  <c r="AC26" i="33"/>
  <c r="L28" i="33"/>
  <c r="AJ29" i="33"/>
  <c r="AF31" i="33"/>
  <c r="X32" i="33"/>
  <c r="P33" i="33"/>
  <c r="H34" i="33"/>
  <c r="AN34" i="33"/>
  <c r="AO38" i="33"/>
  <c r="M46" i="33"/>
  <c r="AC46" i="33"/>
  <c r="U47" i="33"/>
  <c r="D42" i="33"/>
  <c r="D16" i="33"/>
  <c r="AO14" i="33"/>
  <c r="AJ12" i="33"/>
  <c r="AE10" i="33"/>
  <c r="Y8" i="33"/>
  <c r="K18" i="33"/>
  <c r="C17" i="33"/>
  <c r="AA16" i="33"/>
  <c r="X14" i="33"/>
  <c r="S12" i="33"/>
  <c r="M10" i="33"/>
  <c r="S19" i="33"/>
  <c r="AA20" i="33"/>
  <c r="N19" i="33"/>
  <c r="AL20" i="33"/>
  <c r="AO21" i="33"/>
  <c r="AC18" i="33"/>
  <c r="AF19" i="33"/>
  <c r="P21" i="33"/>
  <c r="AN22" i="33"/>
  <c r="P27" i="33"/>
  <c r="AN28" i="33"/>
  <c r="X30" i="33"/>
  <c r="U17" i="33"/>
  <c r="H19" i="33"/>
  <c r="G26" i="33"/>
  <c r="AK26" i="33"/>
  <c r="Y31" i="33"/>
  <c r="AG34" i="33"/>
  <c r="J38" i="33"/>
  <c r="AC38" i="33"/>
  <c r="AF36" i="33"/>
  <c r="C40" i="33"/>
  <c r="S40" i="33"/>
  <c r="K41" i="33"/>
  <c r="AA41" i="33"/>
  <c r="AA43" i="33"/>
  <c r="S44" i="33"/>
  <c r="AI44" i="33"/>
  <c r="K45" i="33"/>
  <c r="C46" i="33"/>
  <c r="AA38" i="33"/>
  <c r="AL39" i="33"/>
  <c r="AD46" i="33"/>
  <c r="T18" i="33"/>
  <c r="AJ16" i="33"/>
  <c r="T16" i="33"/>
  <c r="AM15" i="33"/>
  <c r="AB11" i="33"/>
  <c r="AO8" i="33"/>
  <c r="O17" i="33"/>
  <c r="K11" i="33"/>
  <c r="AA9" i="33"/>
  <c r="E17" i="33"/>
  <c r="W19" i="33"/>
  <c r="AE20" i="33"/>
  <c r="W21" i="33"/>
  <c r="G23" i="33"/>
  <c r="P8" i="33"/>
  <c r="AN13" i="33"/>
  <c r="AG16" i="33"/>
  <c r="T19" i="33"/>
  <c r="V20" i="33"/>
  <c r="F22" i="33"/>
  <c r="I23" i="33"/>
  <c r="H25" i="33"/>
  <c r="X25" i="33"/>
  <c r="AN25" i="33"/>
  <c r="AF26" i="33"/>
  <c r="AK17" i="33"/>
  <c r="AN20" i="33"/>
  <c r="X22" i="33"/>
  <c r="Z23" i="33"/>
  <c r="AC24" i="33"/>
  <c r="AB28" i="33"/>
  <c r="L30" i="33"/>
  <c r="AI13" i="33"/>
  <c r="Z22" i="33"/>
  <c r="Q27" i="33"/>
  <c r="I28" i="33"/>
  <c r="AO28" i="33"/>
  <c r="AG29" i="33"/>
  <c r="I30" i="33"/>
  <c r="Y30" i="33"/>
  <c r="K10" i="33"/>
  <c r="J25" i="33"/>
  <c r="AH26" i="33"/>
  <c r="Z27" i="33"/>
  <c r="J29" i="33"/>
  <c r="AH30" i="33"/>
  <c r="M18" i="33"/>
  <c r="K28" i="33"/>
  <c r="AI29" i="33"/>
  <c r="J35" i="33"/>
  <c r="Z33" i="33"/>
  <c r="Y38" i="33"/>
  <c r="AJ35" i="33"/>
  <c r="AD40" i="33"/>
  <c r="AN43" i="33"/>
  <c r="V43" i="33"/>
  <c r="H17" i="33"/>
  <c r="L15" i="33"/>
  <c r="G13" i="33"/>
  <c r="AO10" i="33"/>
  <c r="AJ8" i="33"/>
  <c r="AA17" i="33"/>
  <c r="AF13" i="33"/>
  <c r="K13" i="33"/>
  <c r="H12" i="33"/>
  <c r="C10" i="33"/>
  <c r="M9" i="33"/>
  <c r="S11" i="33"/>
  <c r="S20" i="33"/>
  <c r="C22" i="33"/>
  <c r="AI22" i="33"/>
  <c r="AI11" i="33"/>
  <c r="N18" i="33"/>
  <c r="I21" i="33"/>
  <c r="U19" i="33"/>
  <c r="B20" i="33"/>
  <c r="X20" i="33"/>
  <c r="E21" i="33"/>
  <c r="H22" i="33"/>
  <c r="AC22" i="33"/>
  <c r="M24" i="33"/>
  <c r="AG24" i="33"/>
  <c r="Y25" i="33"/>
  <c r="Q26" i="33"/>
  <c r="F25" i="33"/>
  <c r="AL25" i="33"/>
  <c r="AD26" i="33"/>
  <c r="H27" i="33"/>
  <c r="H29" i="33"/>
  <c r="AF30" i="33"/>
  <c r="X9" i="33"/>
  <c r="AN23" i="33"/>
  <c r="AM24" i="33"/>
  <c r="AE25" i="33"/>
  <c r="AB32" i="33"/>
  <c r="T33" i="33"/>
  <c r="AC11" i="33"/>
  <c r="Q31" i="33"/>
  <c r="AO32" i="33"/>
  <c r="Q33" i="33"/>
  <c r="Z37" i="33"/>
  <c r="J37" i="33"/>
  <c r="R36" i="33"/>
  <c r="B36" i="33"/>
  <c r="Z35" i="33"/>
  <c r="AN15" i="33"/>
  <c r="AN46" i="33"/>
  <c r="AL41" i="33"/>
  <c r="J8" i="33"/>
  <c r="Z8" i="33"/>
  <c r="B9" i="33"/>
  <c r="R9" i="33"/>
  <c r="AH9" i="33"/>
  <c r="J10" i="33"/>
  <c r="Z10" i="33"/>
  <c r="B11" i="33"/>
  <c r="R11" i="33"/>
  <c r="AH11" i="33"/>
  <c r="J12" i="33"/>
  <c r="Z12" i="33"/>
  <c r="B13" i="33"/>
  <c r="R13" i="33"/>
  <c r="AH13" i="33"/>
  <c r="J14" i="33"/>
  <c r="Z14" i="33"/>
  <c r="B15" i="33"/>
  <c r="R15" i="33"/>
  <c r="AH15" i="33"/>
  <c r="J16" i="33"/>
  <c r="N8" i="33"/>
  <c r="AD8" i="33"/>
  <c r="F9" i="33"/>
  <c r="V9" i="33"/>
  <c r="AL9" i="33"/>
  <c r="N10" i="33"/>
  <c r="AD10" i="33"/>
  <c r="F11" i="33"/>
  <c r="V11" i="33"/>
  <c r="AL11" i="33"/>
  <c r="N12" i="33"/>
  <c r="AD12" i="33"/>
  <c r="F13" i="33"/>
  <c r="V13" i="33"/>
  <c r="AL13" i="33"/>
  <c r="N14" i="33"/>
  <c r="AD14" i="33"/>
  <c r="F15" i="33"/>
  <c r="V15" i="33"/>
  <c r="AL15" i="33"/>
  <c r="N16" i="33"/>
  <c r="W8" i="33"/>
  <c r="D9" i="33"/>
  <c r="Y9" i="33"/>
  <c r="G10" i="33"/>
  <c r="AB10" i="33"/>
  <c r="I11" i="33"/>
  <c r="AE11" i="33"/>
  <c r="L12" i="33"/>
  <c r="AG12" i="33"/>
  <c r="O13" i="33"/>
  <c r="AJ13" i="33"/>
  <c r="Q14" i="33"/>
  <c r="AM14" i="33"/>
  <c r="T15" i="33"/>
  <c r="AO15" i="33"/>
  <c r="V16" i="33"/>
  <c r="F8" i="33"/>
  <c r="V8" i="33"/>
  <c r="AL8" i="33"/>
  <c r="N9" i="33"/>
  <c r="AD9" i="33"/>
  <c r="F10" i="33"/>
  <c r="V10" i="33"/>
  <c r="AL10" i="33"/>
  <c r="N11" i="33"/>
  <c r="AD11" i="33"/>
  <c r="F12" i="33"/>
  <c r="V12" i="33"/>
  <c r="AL12" i="33"/>
  <c r="N13" i="33"/>
  <c r="AD13" i="33"/>
  <c r="F14" i="33"/>
  <c r="V14" i="33"/>
  <c r="AL14" i="33"/>
  <c r="N15" i="33"/>
  <c r="AD15" i="33"/>
  <c r="F16" i="33"/>
  <c r="C8" i="33"/>
  <c r="H8" i="33"/>
  <c r="G8" i="33"/>
  <c r="AB8" i="33"/>
  <c r="I9" i="33"/>
  <c r="AE9" i="33"/>
  <c r="L10" i="33"/>
  <c r="AG10" i="33"/>
  <c r="O11" i="33"/>
  <c r="AJ11" i="33"/>
  <c r="Q12" i="33"/>
  <c r="AM12" i="33"/>
  <c r="T13" i="33"/>
  <c r="AO13" i="33"/>
  <c r="W14" i="33"/>
  <c r="D15" i="33"/>
  <c r="Y15" i="33"/>
  <c r="G16" i="33"/>
  <c r="Z16" i="33"/>
  <c r="AG8" i="33"/>
  <c r="O9" i="33"/>
  <c r="AJ9" i="33"/>
  <c r="AM10" i="33"/>
  <c r="T11" i="33"/>
  <c r="AO11" i="33"/>
  <c r="W12" i="33"/>
  <c r="D13" i="33"/>
  <c r="Y13" i="33"/>
  <c r="G14" i="33"/>
  <c r="AB14" i="33"/>
  <c r="I15" i="33"/>
  <c r="AE15" i="33"/>
  <c r="L16" i="33"/>
  <c r="AD16" i="33"/>
  <c r="E8" i="33"/>
  <c r="D8" i="33"/>
  <c r="Q8" i="33"/>
  <c r="AM8" i="33"/>
  <c r="T9" i="33"/>
  <c r="AO9" i="33"/>
  <c r="W10" i="33"/>
  <c r="D11" i="33"/>
  <c r="Y11" i="33"/>
  <c r="G12" i="33"/>
  <c r="AB12" i="33"/>
  <c r="I13" i="33"/>
  <c r="AE13" i="33"/>
  <c r="L14" i="33"/>
  <c r="AG14" i="33"/>
  <c r="O15" i="33"/>
  <c r="AJ15" i="33"/>
  <c r="Q16" i="33"/>
  <c r="AH16" i="33"/>
  <c r="B91" i="29"/>
  <c r="B3" i="32" s="1"/>
  <c r="DV67" i="26"/>
  <c r="DV68" i="26"/>
  <c r="DV69" i="26"/>
  <c r="DV70" i="26"/>
  <c r="DV71" i="26"/>
  <c r="DV72" i="26"/>
  <c r="DV73" i="26"/>
  <c r="DV74" i="26"/>
  <c r="DV75" i="26"/>
  <c r="DV76" i="26"/>
  <c r="DV77" i="26"/>
  <c r="DV78" i="26"/>
  <c r="DV79" i="26"/>
  <c r="DV80" i="26"/>
  <c r="DV81" i="26"/>
  <c r="DV82" i="26"/>
  <c r="DV83" i="26"/>
  <c r="DV84" i="26"/>
  <c r="DV85" i="26"/>
  <c r="DV86" i="26"/>
  <c r="DV87" i="26"/>
  <c r="DV88" i="26"/>
  <c r="DV89" i="26"/>
  <c r="DV90" i="26"/>
  <c r="DV91" i="26"/>
  <c r="DV92" i="26"/>
  <c r="DV93" i="26"/>
  <c r="DV94" i="26"/>
  <c r="DV95" i="26"/>
  <c r="DV96" i="26"/>
  <c r="DV97" i="26"/>
  <c r="DV98" i="26"/>
  <c r="DV99" i="26"/>
  <c r="DV100" i="26"/>
  <c r="DV101" i="26"/>
  <c r="DV102" i="26"/>
  <c r="DV103" i="26"/>
  <c r="DV104" i="26"/>
  <c r="DV105" i="26"/>
  <c r="DV106" i="26"/>
  <c r="DV107" i="26"/>
  <c r="DV108" i="26"/>
  <c r="DV109" i="26"/>
  <c r="DV110" i="26"/>
  <c r="DV111" i="26"/>
  <c r="DV112" i="26"/>
  <c r="DV113" i="26"/>
  <c r="DV114" i="26"/>
  <c r="DV115" i="26"/>
  <c r="DV116" i="26"/>
  <c r="DV117" i="26"/>
  <c r="DV118" i="26"/>
  <c r="DV119" i="26"/>
  <c r="DV120" i="26"/>
  <c r="DV121" i="26"/>
  <c r="DV122" i="26"/>
  <c r="DV123" i="26"/>
  <c r="DV66" i="26"/>
  <c r="M66" i="26"/>
  <c r="M67" i="26"/>
  <c r="M68" i="26"/>
  <c r="M69" i="26"/>
  <c r="M70" i="26"/>
  <c r="M71" i="26"/>
  <c r="M72" i="26"/>
  <c r="M73" i="26"/>
  <c r="M74" i="26"/>
  <c r="M75" i="26"/>
  <c r="M76" i="26"/>
  <c r="M77" i="26"/>
  <c r="M78" i="26"/>
  <c r="M79" i="26"/>
  <c r="M80" i="26"/>
  <c r="M81" i="26"/>
  <c r="M82" i="26"/>
  <c r="M83" i="26"/>
  <c r="M84" i="26"/>
  <c r="M85" i="26"/>
  <c r="M86" i="26"/>
  <c r="M87" i="26"/>
  <c r="M88" i="26"/>
  <c r="M89" i="26"/>
  <c r="M90" i="26"/>
  <c r="M91" i="26"/>
  <c r="M92" i="26"/>
  <c r="M93" i="26"/>
  <c r="M94" i="26"/>
  <c r="M95" i="26"/>
  <c r="M96" i="26"/>
  <c r="M97" i="26"/>
  <c r="M98" i="26"/>
  <c r="M99" i="26"/>
  <c r="M100" i="26"/>
  <c r="M101" i="26"/>
  <c r="M102" i="26"/>
  <c r="M103" i="26"/>
  <c r="M104" i="26"/>
  <c r="M105" i="26"/>
  <c r="M106" i="26"/>
  <c r="M107" i="26"/>
  <c r="M108" i="26"/>
  <c r="M109" i="26"/>
  <c r="M110" i="26"/>
  <c r="M111" i="26"/>
  <c r="M112" i="26"/>
  <c r="M113" i="26"/>
  <c r="M114" i="26"/>
  <c r="M115" i="26"/>
  <c r="M116" i="26"/>
  <c r="M117" i="26"/>
  <c r="M118" i="26"/>
  <c r="M119" i="26"/>
  <c r="M120" i="26"/>
  <c r="M121" i="26"/>
  <c r="M122" i="26"/>
  <c r="M123" i="26"/>
  <c r="O66" i="26"/>
  <c r="O67" i="26"/>
  <c r="O68" i="26"/>
  <c r="O69" i="26"/>
  <c r="O70" i="26"/>
  <c r="O71" i="26"/>
  <c r="O72" i="26"/>
  <c r="O73" i="26"/>
  <c r="O74" i="26"/>
  <c r="O75" i="26"/>
  <c r="O76" i="26"/>
  <c r="O77" i="26"/>
  <c r="O78" i="26"/>
  <c r="O79" i="26"/>
  <c r="O80" i="26"/>
  <c r="O81" i="26"/>
  <c r="O82" i="26"/>
  <c r="O83" i="26"/>
  <c r="O84" i="26"/>
  <c r="O85" i="26"/>
  <c r="O86" i="26"/>
  <c r="O87" i="26"/>
  <c r="O88" i="26"/>
  <c r="O89" i="26"/>
  <c r="O90" i="26"/>
  <c r="O91" i="26"/>
  <c r="O92" i="26"/>
  <c r="O93" i="26"/>
  <c r="O94" i="26"/>
  <c r="O95" i="26"/>
  <c r="O96" i="26"/>
  <c r="O97" i="26"/>
  <c r="O98" i="26"/>
  <c r="O99" i="26"/>
  <c r="O100" i="26"/>
  <c r="O101" i="26"/>
  <c r="O102" i="26"/>
  <c r="O103" i="26"/>
  <c r="O104" i="26"/>
  <c r="O105" i="26"/>
  <c r="O106" i="26"/>
  <c r="O107" i="26"/>
  <c r="O108" i="26"/>
  <c r="O109" i="26"/>
  <c r="O110" i="26"/>
  <c r="O111" i="26"/>
  <c r="O112" i="26"/>
  <c r="O113" i="26"/>
  <c r="O114" i="26"/>
  <c r="O115" i="26"/>
  <c r="O116" i="26"/>
  <c r="O117" i="26"/>
  <c r="O118" i="26"/>
  <c r="O119" i="26"/>
  <c r="O120" i="26"/>
  <c r="O121" i="26"/>
  <c r="O122" i="26"/>
  <c r="O123" i="26"/>
  <c r="R66" i="26"/>
  <c r="R67" i="26"/>
  <c r="R68" i="26"/>
  <c r="R69" i="26"/>
  <c r="R70" i="26"/>
  <c r="R71" i="26"/>
  <c r="R72" i="26"/>
  <c r="R73" i="26"/>
  <c r="R74" i="26"/>
  <c r="R75" i="26"/>
  <c r="R76" i="26"/>
  <c r="R77" i="26"/>
  <c r="R78" i="26"/>
  <c r="R79" i="26"/>
  <c r="R80" i="26"/>
  <c r="R81" i="26"/>
  <c r="R82" i="26"/>
  <c r="R83" i="26"/>
  <c r="R84" i="26"/>
  <c r="R85" i="26"/>
  <c r="R86" i="26"/>
  <c r="R87" i="26"/>
  <c r="R88" i="26"/>
  <c r="R89" i="26"/>
  <c r="R90" i="26"/>
  <c r="R91" i="26"/>
  <c r="R92" i="26"/>
  <c r="R93" i="26"/>
  <c r="R94" i="26"/>
  <c r="R95" i="26"/>
  <c r="R96" i="26"/>
  <c r="R97" i="26"/>
  <c r="R98" i="26"/>
  <c r="R99" i="26"/>
  <c r="R100" i="26"/>
  <c r="R101" i="26"/>
  <c r="R102" i="26"/>
  <c r="R103" i="26"/>
  <c r="R104" i="26"/>
  <c r="R105" i="26"/>
  <c r="R106" i="26"/>
  <c r="R107" i="26"/>
  <c r="R108" i="26"/>
  <c r="R109" i="26"/>
  <c r="R110" i="26"/>
  <c r="R111" i="26"/>
  <c r="R112" i="26"/>
  <c r="R113" i="26"/>
  <c r="R114" i="26"/>
  <c r="R115" i="26"/>
  <c r="R116" i="26"/>
  <c r="R117" i="26"/>
  <c r="R118" i="26"/>
  <c r="R119" i="26"/>
  <c r="R120" i="26"/>
  <c r="R121" i="26"/>
  <c r="R122" i="26"/>
  <c r="R123" i="26"/>
  <c r="B133" i="26"/>
  <c r="D133" i="26"/>
  <c r="E133" i="26"/>
  <c r="F133" i="26"/>
  <c r="G133" i="26"/>
  <c r="H133" i="26"/>
  <c r="I133" i="26"/>
  <c r="J133" i="26"/>
  <c r="K133" i="26"/>
  <c r="L133" i="26"/>
  <c r="M133" i="26"/>
  <c r="N133" i="26"/>
  <c r="O133" i="26"/>
  <c r="P133" i="26"/>
  <c r="Q133" i="26"/>
  <c r="R133" i="26"/>
  <c r="S133" i="26"/>
  <c r="T133" i="26"/>
  <c r="U133" i="26"/>
  <c r="V133" i="26"/>
  <c r="W133" i="26"/>
  <c r="X133" i="26"/>
  <c r="Y133" i="26"/>
  <c r="Z133" i="26"/>
  <c r="AA133" i="26"/>
  <c r="AB133" i="26"/>
  <c r="AC133" i="26"/>
  <c r="AD133" i="26"/>
  <c r="AE133" i="26"/>
  <c r="AF133" i="26"/>
  <c r="AG133" i="26"/>
  <c r="AH133" i="26"/>
  <c r="AI133" i="26"/>
  <c r="AJ133" i="26"/>
  <c r="AK133" i="26"/>
  <c r="AL133" i="26"/>
  <c r="AM133" i="26"/>
  <c r="AN133" i="26"/>
  <c r="AO133" i="26"/>
  <c r="B134" i="26"/>
  <c r="D134" i="26"/>
  <c r="E134" i="26"/>
  <c r="F134" i="26"/>
  <c r="G134" i="26"/>
  <c r="H134" i="26"/>
  <c r="I134" i="26"/>
  <c r="J134" i="26"/>
  <c r="K134" i="26"/>
  <c r="L134" i="26"/>
  <c r="M134" i="26"/>
  <c r="N134" i="26"/>
  <c r="O134" i="26"/>
  <c r="P134" i="26"/>
  <c r="Q134" i="26"/>
  <c r="R134" i="26"/>
  <c r="S134" i="26"/>
  <c r="T134" i="26"/>
  <c r="U134" i="26"/>
  <c r="V134" i="26"/>
  <c r="W134" i="26"/>
  <c r="X134" i="26"/>
  <c r="Y134" i="26"/>
  <c r="Z134" i="26"/>
  <c r="AA134" i="26"/>
  <c r="AB134" i="26"/>
  <c r="AC134" i="26"/>
  <c r="AD134" i="26"/>
  <c r="AE134" i="26"/>
  <c r="AF134" i="26"/>
  <c r="AG134" i="26"/>
  <c r="AH134" i="26"/>
  <c r="AI134" i="26"/>
  <c r="AJ134" i="26"/>
  <c r="AK134" i="26"/>
  <c r="AL134" i="26"/>
  <c r="AM134" i="26"/>
  <c r="AN134" i="26"/>
  <c r="AO134" i="26"/>
  <c r="B135" i="26"/>
  <c r="D135" i="26"/>
  <c r="E135" i="26"/>
  <c r="F135" i="26"/>
  <c r="G135" i="26"/>
  <c r="H135" i="26"/>
  <c r="I135" i="26"/>
  <c r="J135" i="26"/>
  <c r="K135" i="26"/>
  <c r="L135" i="26"/>
  <c r="M135" i="26"/>
  <c r="N135" i="26"/>
  <c r="O135" i="26"/>
  <c r="P135" i="26"/>
  <c r="Q135" i="26"/>
  <c r="R135" i="26"/>
  <c r="S135" i="26"/>
  <c r="T135" i="26"/>
  <c r="U135" i="26"/>
  <c r="V135" i="26"/>
  <c r="W135" i="26"/>
  <c r="X135" i="26"/>
  <c r="Y135" i="26"/>
  <c r="Z135" i="26"/>
  <c r="AA135" i="26"/>
  <c r="AB135" i="26"/>
  <c r="AC135" i="26"/>
  <c r="AD135" i="26"/>
  <c r="AE135" i="26"/>
  <c r="AF135" i="26"/>
  <c r="AG135" i="26"/>
  <c r="AH135" i="26"/>
  <c r="AI135" i="26"/>
  <c r="AJ135" i="26"/>
  <c r="AK135" i="26"/>
  <c r="AL135" i="26"/>
  <c r="AM135" i="26"/>
  <c r="AN135" i="26"/>
  <c r="AO135" i="26"/>
  <c r="B136" i="26"/>
  <c r="D136" i="26"/>
  <c r="E136" i="26"/>
  <c r="F136" i="26"/>
  <c r="G136" i="26"/>
  <c r="H136" i="26"/>
  <c r="I136" i="26"/>
  <c r="J136" i="26"/>
  <c r="K136" i="26"/>
  <c r="L136" i="26"/>
  <c r="M136" i="26"/>
  <c r="N136" i="26"/>
  <c r="O136" i="26"/>
  <c r="P136" i="26"/>
  <c r="Q136" i="26"/>
  <c r="R136" i="26"/>
  <c r="S136" i="26"/>
  <c r="T136" i="26"/>
  <c r="U136" i="26"/>
  <c r="V136" i="26"/>
  <c r="W136" i="26"/>
  <c r="X136" i="26"/>
  <c r="Y136" i="26"/>
  <c r="Z136" i="26"/>
  <c r="AA136" i="26"/>
  <c r="AB136" i="26"/>
  <c r="AC136" i="26"/>
  <c r="AD136" i="26"/>
  <c r="AE136" i="26"/>
  <c r="AF136" i="26"/>
  <c r="AG136" i="26"/>
  <c r="AH136" i="26"/>
  <c r="AI136" i="26"/>
  <c r="AJ136" i="26"/>
  <c r="AK136" i="26"/>
  <c r="AL136" i="26"/>
  <c r="AM136" i="26"/>
  <c r="AN136" i="26"/>
  <c r="AO136" i="26"/>
  <c r="B137" i="26"/>
  <c r="D137" i="26"/>
  <c r="E137" i="26"/>
  <c r="F137" i="26"/>
  <c r="G137" i="26"/>
  <c r="H137" i="26"/>
  <c r="I137" i="26"/>
  <c r="J137" i="26"/>
  <c r="K137" i="26"/>
  <c r="L137" i="26"/>
  <c r="M137" i="26"/>
  <c r="N137" i="26"/>
  <c r="O137" i="26"/>
  <c r="P137" i="26"/>
  <c r="Q137" i="26"/>
  <c r="R137" i="26"/>
  <c r="S137" i="26"/>
  <c r="T137" i="26"/>
  <c r="U137" i="26"/>
  <c r="V137" i="26"/>
  <c r="W137" i="26"/>
  <c r="X137" i="26"/>
  <c r="Y137" i="26"/>
  <c r="Z137" i="26"/>
  <c r="AA137" i="26"/>
  <c r="AB137" i="26"/>
  <c r="AC137" i="26"/>
  <c r="AD137" i="26"/>
  <c r="AE137" i="26"/>
  <c r="AF137" i="26"/>
  <c r="AG137" i="26"/>
  <c r="AH137" i="26"/>
  <c r="AI137" i="26"/>
  <c r="AJ137" i="26"/>
  <c r="AK137" i="26"/>
  <c r="AL137" i="26"/>
  <c r="AM137" i="26"/>
  <c r="AN137" i="26"/>
  <c r="AO137" i="26"/>
  <c r="B138" i="26"/>
  <c r="D138" i="26"/>
  <c r="E138" i="26"/>
  <c r="F138" i="26"/>
  <c r="G138" i="26"/>
  <c r="H138" i="26"/>
  <c r="I138" i="26"/>
  <c r="J138" i="26"/>
  <c r="K138" i="26"/>
  <c r="L138" i="26"/>
  <c r="M138" i="26"/>
  <c r="N138" i="26"/>
  <c r="O138" i="26"/>
  <c r="P138" i="26"/>
  <c r="Q138" i="26"/>
  <c r="R138" i="26"/>
  <c r="S138" i="26"/>
  <c r="T138" i="26"/>
  <c r="U138" i="26"/>
  <c r="V138" i="26"/>
  <c r="W138" i="26"/>
  <c r="X138" i="26"/>
  <c r="Y138" i="26"/>
  <c r="Z138" i="26"/>
  <c r="AA138" i="26"/>
  <c r="AB138" i="26"/>
  <c r="AC138" i="26"/>
  <c r="AD138" i="26"/>
  <c r="AE138" i="26"/>
  <c r="AF138" i="26"/>
  <c r="AG138" i="26"/>
  <c r="AH138" i="26"/>
  <c r="AI138" i="26"/>
  <c r="AJ138" i="26"/>
  <c r="AK138" i="26"/>
  <c r="AL138" i="26"/>
  <c r="AM138" i="26"/>
  <c r="AN138" i="26"/>
  <c r="AO138" i="26"/>
  <c r="B139" i="26"/>
  <c r="D139" i="26"/>
  <c r="E139" i="26"/>
  <c r="F139" i="26"/>
  <c r="G139" i="26"/>
  <c r="H139" i="26"/>
  <c r="I139" i="26"/>
  <c r="J139" i="26"/>
  <c r="K139" i="26"/>
  <c r="L139" i="26"/>
  <c r="M139" i="26"/>
  <c r="N139" i="26"/>
  <c r="O139" i="26"/>
  <c r="P139" i="26"/>
  <c r="Q139" i="26"/>
  <c r="R139" i="26"/>
  <c r="S139" i="26"/>
  <c r="T139" i="26"/>
  <c r="U139" i="26"/>
  <c r="V139" i="26"/>
  <c r="W139" i="26"/>
  <c r="X139" i="26"/>
  <c r="Y139" i="26"/>
  <c r="Z139" i="26"/>
  <c r="AA139" i="26"/>
  <c r="AB139" i="26"/>
  <c r="AC139" i="26"/>
  <c r="AD139" i="26"/>
  <c r="AE139" i="26"/>
  <c r="AF139" i="26"/>
  <c r="AG139" i="26"/>
  <c r="AH139" i="26"/>
  <c r="AI139" i="26"/>
  <c r="AJ139" i="26"/>
  <c r="AK139" i="26"/>
  <c r="AL139" i="26"/>
  <c r="AM139" i="26"/>
  <c r="AN139" i="26"/>
  <c r="AO139" i="26"/>
  <c r="B140" i="26"/>
  <c r="D140" i="26"/>
  <c r="E140" i="26"/>
  <c r="F140" i="26"/>
  <c r="G140" i="26"/>
  <c r="H140" i="26"/>
  <c r="I140" i="26"/>
  <c r="J140" i="26"/>
  <c r="K140" i="26"/>
  <c r="L140" i="26"/>
  <c r="M140" i="26"/>
  <c r="N140" i="26"/>
  <c r="O140" i="26"/>
  <c r="P140" i="26"/>
  <c r="Q140" i="26"/>
  <c r="R140" i="26"/>
  <c r="S140" i="26"/>
  <c r="T140" i="26"/>
  <c r="U140" i="26"/>
  <c r="V140" i="26"/>
  <c r="W140" i="26"/>
  <c r="X140" i="26"/>
  <c r="Y140" i="26"/>
  <c r="Z140" i="26"/>
  <c r="AA140" i="26"/>
  <c r="AB140" i="26"/>
  <c r="AC140" i="26"/>
  <c r="AD140" i="26"/>
  <c r="AE140" i="26"/>
  <c r="AF140" i="26"/>
  <c r="AG140" i="26"/>
  <c r="AH140" i="26"/>
  <c r="AI140" i="26"/>
  <c r="AJ140" i="26"/>
  <c r="AK140" i="26"/>
  <c r="AL140" i="26"/>
  <c r="AM140" i="26"/>
  <c r="AN140" i="26"/>
  <c r="AO140" i="26"/>
  <c r="B141" i="26"/>
  <c r="D141" i="26"/>
  <c r="E141" i="26"/>
  <c r="F141" i="26"/>
  <c r="G141" i="26"/>
  <c r="H141" i="26"/>
  <c r="I141" i="26"/>
  <c r="J141" i="26"/>
  <c r="K141" i="26"/>
  <c r="L141" i="26"/>
  <c r="M141" i="26"/>
  <c r="N141" i="26"/>
  <c r="O141" i="26"/>
  <c r="P141" i="26"/>
  <c r="Q141" i="26"/>
  <c r="R141" i="26"/>
  <c r="S141" i="26"/>
  <c r="T141" i="26"/>
  <c r="U141" i="26"/>
  <c r="V141" i="26"/>
  <c r="W141" i="26"/>
  <c r="X141" i="26"/>
  <c r="Y141" i="26"/>
  <c r="Z141" i="26"/>
  <c r="AA141" i="26"/>
  <c r="AB141" i="26"/>
  <c r="AC141" i="26"/>
  <c r="AD141" i="26"/>
  <c r="AE141" i="26"/>
  <c r="AF141" i="26"/>
  <c r="AG141" i="26"/>
  <c r="AH141" i="26"/>
  <c r="AI141" i="26"/>
  <c r="AJ141" i="26"/>
  <c r="AK141" i="26"/>
  <c r="AL141" i="26"/>
  <c r="AM141" i="26"/>
  <c r="AN141" i="26"/>
  <c r="AO141" i="26"/>
  <c r="B142" i="26"/>
  <c r="D142" i="26"/>
  <c r="E142" i="26"/>
  <c r="F142" i="26"/>
  <c r="G142" i="26"/>
  <c r="H142" i="26"/>
  <c r="I142" i="26"/>
  <c r="J142" i="26"/>
  <c r="K142" i="26"/>
  <c r="L142" i="26"/>
  <c r="M142" i="26"/>
  <c r="N142" i="26"/>
  <c r="O142" i="26"/>
  <c r="P142" i="26"/>
  <c r="Q142" i="26"/>
  <c r="R142" i="26"/>
  <c r="S142" i="26"/>
  <c r="T142" i="26"/>
  <c r="U142" i="26"/>
  <c r="V142" i="26"/>
  <c r="W142" i="26"/>
  <c r="X142" i="26"/>
  <c r="Y142" i="26"/>
  <c r="Z142" i="26"/>
  <c r="AA142" i="26"/>
  <c r="AB142" i="26"/>
  <c r="AC142" i="26"/>
  <c r="AD142" i="26"/>
  <c r="AE142" i="26"/>
  <c r="AF142" i="26"/>
  <c r="AG142" i="26"/>
  <c r="AH142" i="26"/>
  <c r="AI142" i="26"/>
  <c r="AJ142" i="26"/>
  <c r="AK142" i="26"/>
  <c r="AL142" i="26"/>
  <c r="AM142" i="26"/>
  <c r="AN142" i="26"/>
  <c r="AO142" i="26"/>
  <c r="B143" i="26"/>
  <c r="D143" i="26"/>
  <c r="E143" i="26"/>
  <c r="F143" i="26"/>
  <c r="G143" i="26"/>
  <c r="H143" i="26"/>
  <c r="I143" i="26"/>
  <c r="J143" i="26"/>
  <c r="K143" i="26"/>
  <c r="L143" i="26"/>
  <c r="M143" i="26"/>
  <c r="N143" i="26"/>
  <c r="O143" i="26"/>
  <c r="P143" i="26"/>
  <c r="Q143" i="26"/>
  <c r="R143" i="26"/>
  <c r="S143" i="26"/>
  <c r="T143" i="26"/>
  <c r="U143" i="26"/>
  <c r="V143" i="26"/>
  <c r="W143" i="26"/>
  <c r="X143" i="26"/>
  <c r="Y143" i="26"/>
  <c r="Z143" i="26"/>
  <c r="AA143" i="26"/>
  <c r="AB143" i="26"/>
  <c r="AC143" i="26"/>
  <c r="AD143" i="26"/>
  <c r="AE143" i="26"/>
  <c r="AF143" i="26"/>
  <c r="AG143" i="26"/>
  <c r="AH143" i="26"/>
  <c r="AI143" i="26"/>
  <c r="AJ143" i="26"/>
  <c r="AK143" i="26"/>
  <c r="AL143" i="26"/>
  <c r="AM143" i="26"/>
  <c r="AN143" i="26"/>
  <c r="AO143" i="26"/>
  <c r="B144" i="26"/>
  <c r="D144" i="26"/>
  <c r="E144" i="26"/>
  <c r="F144" i="26"/>
  <c r="G144" i="26"/>
  <c r="H144" i="26"/>
  <c r="I144" i="26"/>
  <c r="J144" i="26"/>
  <c r="K144" i="26"/>
  <c r="L144" i="26"/>
  <c r="M144" i="26"/>
  <c r="N144" i="26"/>
  <c r="O144" i="26"/>
  <c r="P144" i="26"/>
  <c r="Q144" i="26"/>
  <c r="R144" i="26"/>
  <c r="S144" i="26"/>
  <c r="T144" i="26"/>
  <c r="U144" i="26"/>
  <c r="V144" i="26"/>
  <c r="W144" i="26"/>
  <c r="X144" i="26"/>
  <c r="Y144" i="26"/>
  <c r="Z144" i="26"/>
  <c r="AA144" i="26"/>
  <c r="AB144" i="26"/>
  <c r="AC144" i="26"/>
  <c r="AD144" i="26"/>
  <c r="AE144" i="26"/>
  <c r="AF144" i="26"/>
  <c r="AG144" i="26"/>
  <c r="AH144" i="26"/>
  <c r="AI144" i="26"/>
  <c r="AJ144" i="26"/>
  <c r="AK144" i="26"/>
  <c r="AL144" i="26"/>
  <c r="AM144" i="26"/>
  <c r="AN144" i="26"/>
  <c r="AO144" i="26"/>
  <c r="B145" i="26"/>
  <c r="D145" i="26"/>
  <c r="E145" i="26"/>
  <c r="F145" i="26"/>
  <c r="G145" i="26"/>
  <c r="H145" i="26"/>
  <c r="I145" i="26"/>
  <c r="J145" i="26"/>
  <c r="K145" i="26"/>
  <c r="L145" i="26"/>
  <c r="M145" i="26"/>
  <c r="N145" i="26"/>
  <c r="O145" i="26"/>
  <c r="P145" i="26"/>
  <c r="Q145" i="26"/>
  <c r="R145" i="26"/>
  <c r="S145" i="26"/>
  <c r="T145" i="26"/>
  <c r="U145" i="26"/>
  <c r="V145" i="26"/>
  <c r="W145" i="26"/>
  <c r="X145" i="26"/>
  <c r="Y145" i="26"/>
  <c r="Z145" i="26"/>
  <c r="AA145" i="26"/>
  <c r="AB145" i="26"/>
  <c r="AC145" i="26"/>
  <c r="AD145" i="26"/>
  <c r="AE145" i="26"/>
  <c r="AF145" i="26"/>
  <c r="AG145" i="26"/>
  <c r="AH145" i="26"/>
  <c r="AI145" i="26"/>
  <c r="AJ145" i="26"/>
  <c r="AK145" i="26"/>
  <c r="AL145" i="26"/>
  <c r="AM145" i="26"/>
  <c r="AN145" i="26"/>
  <c r="AO145" i="26"/>
  <c r="B146" i="26"/>
  <c r="D146" i="26"/>
  <c r="E146" i="26"/>
  <c r="F146" i="26"/>
  <c r="G146" i="26"/>
  <c r="H146" i="26"/>
  <c r="I146" i="26"/>
  <c r="J146" i="26"/>
  <c r="K146" i="26"/>
  <c r="L146" i="26"/>
  <c r="M146" i="26"/>
  <c r="N146" i="26"/>
  <c r="O146" i="26"/>
  <c r="P146" i="26"/>
  <c r="Q146" i="26"/>
  <c r="R146" i="26"/>
  <c r="S146" i="26"/>
  <c r="T146" i="26"/>
  <c r="U146" i="26"/>
  <c r="V146" i="26"/>
  <c r="W146" i="26"/>
  <c r="X146" i="26"/>
  <c r="Y146" i="26"/>
  <c r="Z146" i="26"/>
  <c r="AA146" i="26"/>
  <c r="AB146" i="26"/>
  <c r="AC146" i="26"/>
  <c r="AD146" i="26"/>
  <c r="AE146" i="26"/>
  <c r="AF146" i="26"/>
  <c r="AG146" i="26"/>
  <c r="AH146" i="26"/>
  <c r="AI146" i="26"/>
  <c r="AJ146" i="26"/>
  <c r="AK146" i="26"/>
  <c r="AL146" i="26"/>
  <c r="AM146" i="26"/>
  <c r="AN146" i="26"/>
  <c r="AO146" i="26"/>
  <c r="B147" i="26"/>
  <c r="D147" i="26"/>
  <c r="E147" i="26"/>
  <c r="F147" i="26"/>
  <c r="G147" i="26"/>
  <c r="H147" i="26"/>
  <c r="I147" i="26"/>
  <c r="J147" i="26"/>
  <c r="K147" i="26"/>
  <c r="L147" i="26"/>
  <c r="M147" i="26"/>
  <c r="N147" i="26"/>
  <c r="O147" i="26"/>
  <c r="P147" i="26"/>
  <c r="Q147" i="26"/>
  <c r="R147" i="26"/>
  <c r="S147" i="26"/>
  <c r="T147" i="26"/>
  <c r="U147" i="26"/>
  <c r="V147" i="26"/>
  <c r="W147" i="26"/>
  <c r="X147" i="26"/>
  <c r="Y147" i="26"/>
  <c r="Z147" i="26"/>
  <c r="AA147" i="26"/>
  <c r="AB147" i="26"/>
  <c r="AC147" i="26"/>
  <c r="AD147" i="26"/>
  <c r="AE147" i="26"/>
  <c r="AF147" i="26"/>
  <c r="AG147" i="26"/>
  <c r="AH147" i="26"/>
  <c r="AI147" i="26"/>
  <c r="AJ147" i="26"/>
  <c r="AK147" i="26"/>
  <c r="AL147" i="26"/>
  <c r="AM147" i="26"/>
  <c r="AN147" i="26"/>
  <c r="AO147" i="26"/>
  <c r="B148" i="26"/>
  <c r="D148" i="26"/>
  <c r="E148" i="26"/>
  <c r="F148" i="26"/>
  <c r="G148" i="26"/>
  <c r="H148" i="26"/>
  <c r="I148" i="26"/>
  <c r="J148" i="26"/>
  <c r="K148" i="26"/>
  <c r="L148" i="26"/>
  <c r="M148" i="26"/>
  <c r="N148" i="26"/>
  <c r="O148" i="26"/>
  <c r="P148" i="26"/>
  <c r="Q148" i="26"/>
  <c r="R148" i="26"/>
  <c r="S148" i="26"/>
  <c r="T148" i="26"/>
  <c r="U148" i="26"/>
  <c r="V148" i="26"/>
  <c r="W148" i="26"/>
  <c r="X148" i="26"/>
  <c r="Y148" i="26"/>
  <c r="Z148" i="26"/>
  <c r="AA148" i="26"/>
  <c r="AB148" i="26"/>
  <c r="AC148" i="26"/>
  <c r="AD148" i="26"/>
  <c r="AE148" i="26"/>
  <c r="AF148" i="26"/>
  <c r="AG148" i="26"/>
  <c r="AH148" i="26"/>
  <c r="AI148" i="26"/>
  <c r="AJ148" i="26"/>
  <c r="AK148" i="26"/>
  <c r="AL148" i="26"/>
  <c r="AM148" i="26"/>
  <c r="AN148" i="26"/>
  <c r="AO148" i="26"/>
  <c r="B149" i="26"/>
  <c r="D149" i="26"/>
  <c r="E149" i="26"/>
  <c r="F149" i="26"/>
  <c r="G149" i="26"/>
  <c r="H149" i="26"/>
  <c r="I149" i="26"/>
  <c r="J149" i="26"/>
  <c r="K149" i="26"/>
  <c r="L149" i="26"/>
  <c r="M149" i="26"/>
  <c r="N149" i="26"/>
  <c r="O149" i="26"/>
  <c r="P149" i="26"/>
  <c r="Q149" i="26"/>
  <c r="R149" i="26"/>
  <c r="S149" i="26"/>
  <c r="T149" i="26"/>
  <c r="U149" i="26"/>
  <c r="V149" i="26"/>
  <c r="W149" i="26"/>
  <c r="X149" i="26"/>
  <c r="Y149" i="26"/>
  <c r="Z149" i="26"/>
  <c r="AA149" i="26"/>
  <c r="AB149" i="26"/>
  <c r="AC149" i="26"/>
  <c r="AD149" i="26"/>
  <c r="AE149" i="26"/>
  <c r="AF149" i="26"/>
  <c r="AG149" i="26"/>
  <c r="AH149" i="26"/>
  <c r="AI149" i="26"/>
  <c r="AJ149" i="26"/>
  <c r="AK149" i="26"/>
  <c r="AL149" i="26"/>
  <c r="AM149" i="26"/>
  <c r="AN149" i="26"/>
  <c r="AO149" i="26"/>
  <c r="B150" i="26"/>
  <c r="D150" i="26"/>
  <c r="E150" i="26"/>
  <c r="F150" i="26"/>
  <c r="G150" i="26"/>
  <c r="H150" i="26"/>
  <c r="I150" i="26"/>
  <c r="J150" i="26"/>
  <c r="K150" i="26"/>
  <c r="L150" i="26"/>
  <c r="M150" i="26"/>
  <c r="N150" i="26"/>
  <c r="O150" i="26"/>
  <c r="P150" i="26"/>
  <c r="Q150" i="26"/>
  <c r="R150" i="26"/>
  <c r="S150" i="26"/>
  <c r="T150" i="26"/>
  <c r="U150" i="26"/>
  <c r="V150" i="26"/>
  <c r="W150" i="26"/>
  <c r="X150" i="26"/>
  <c r="Y150" i="26"/>
  <c r="Z150" i="26"/>
  <c r="AA150" i="26"/>
  <c r="AB150" i="26"/>
  <c r="AC150" i="26"/>
  <c r="AD150" i="26"/>
  <c r="AE150" i="26"/>
  <c r="AF150" i="26"/>
  <c r="AG150" i="26"/>
  <c r="AH150" i="26"/>
  <c r="AI150" i="26"/>
  <c r="AJ150" i="26"/>
  <c r="AK150" i="26"/>
  <c r="AL150" i="26"/>
  <c r="AM150" i="26"/>
  <c r="AN150" i="26"/>
  <c r="AO150" i="26"/>
  <c r="B151" i="26"/>
  <c r="D151" i="26"/>
  <c r="E151" i="26"/>
  <c r="F151" i="26"/>
  <c r="G151" i="26"/>
  <c r="H151" i="26"/>
  <c r="I151" i="26"/>
  <c r="J151" i="26"/>
  <c r="K151" i="26"/>
  <c r="L151" i="26"/>
  <c r="M151" i="26"/>
  <c r="N151" i="26"/>
  <c r="O151" i="26"/>
  <c r="P151" i="26"/>
  <c r="Q151" i="26"/>
  <c r="R151" i="26"/>
  <c r="S151" i="26"/>
  <c r="T151" i="26"/>
  <c r="U151" i="26"/>
  <c r="V151" i="26"/>
  <c r="W151" i="26"/>
  <c r="X151" i="26"/>
  <c r="Y151" i="26"/>
  <c r="Z151" i="26"/>
  <c r="AA151" i="26"/>
  <c r="AB151" i="26"/>
  <c r="AC151" i="26"/>
  <c r="AD151" i="26"/>
  <c r="AE151" i="26"/>
  <c r="AF151" i="26"/>
  <c r="AG151" i="26"/>
  <c r="AH151" i="26"/>
  <c r="AI151" i="26"/>
  <c r="AJ151" i="26"/>
  <c r="AK151" i="26"/>
  <c r="AL151" i="26"/>
  <c r="AM151" i="26"/>
  <c r="AN151" i="26"/>
  <c r="AO151" i="26"/>
  <c r="B152" i="26"/>
  <c r="D152" i="26"/>
  <c r="E152" i="26"/>
  <c r="F152" i="26"/>
  <c r="G152" i="26"/>
  <c r="H152" i="26"/>
  <c r="I152" i="26"/>
  <c r="J152" i="26"/>
  <c r="K152" i="26"/>
  <c r="L152" i="26"/>
  <c r="M152" i="26"/>
  <c r="N152" i="26"/>
  <c r="O152" i="26"/>
  <c r="P152" i="26"/>
  <c r="Q152" i="26"/>
  <c r="R152" i="26"/>
  <c r="S152" i="26"/>
  <c r="T152" i="26"/>
  <c r="U152" i="26"/>
  <c r="V152" i="26"/>
  <c r="W152" i="26"/>
  <c r="X152" i="26"/>
  <c r="Y152" i="26"/>
  <c r="Z152" i="26"/>
  <c r="AA152" i="26"/>
  <c r="AB152" i="26"/>
  <c r="AC152" i="26"/>
  <c r="AD152" i="26"/>
  <c r="AE152" i="26"/>
  <c r="AF152" i="26"/>
  <c r="AG152" i="26"/>
  <c r="AH152" i="26"/>
  <c r="AI152" i="26"/>
  <c r="AJ152" i="26"/>
  <c r="AK152" i="26"/>
  <c r="AL152" i="26"/>
  <c r="AM152" i="26"/>
  <c r="AN152" i="26"/>
  <c r="AO152" i="26"/>
  <c r="B153" i="26"/>
  <c r="D153" i="26"/>
  <c r="E153" i="26"/>
  <c r="F153" i="26"/>
  <c r="G153" i="26"/>
  <c r="H153" i="26"/>
  <c r="I153" i="26"/>
  <c r="J153" i="26"/>
  <c r="K153" i="26"/>
  <c r="L153" i="26"/>
  <c r="M153" i="26"/>
  <c r="N153" i="26"/>
  <c r="O153" i="26"/>
  <c r="P153" i="26"/>
  <c r="Q153" i="26"/>
  <c r="R153" i="26"/>
  <c r="S153" i="26"/>
  <c r="T153" i="26"/>
  <c r="U153" i="26"/>
  <c r="V153" i="26"/>
  <c r="W153" i="26"/>
  <c r="X153" i="26"/>
  <c r="Y153" i="26"/>
  <c r="Z153" i="26"/>
  <c r="AA153" i="26"/>
  <c r="AB153" i="26"/>
  <c r="AC153" i="26"/>
  <c r="AD153" i="26"/>
  <c r="AE153" i="26"/>
  <c r="AF153" i="26"/>
  <c r="AG153" i="26"/>
  <c r="AH153" i="26"/>
  <c r="AI153" i="26"/>
  <c r="AJ153" i="26"/>
  <c r="AK153" i="26"/>
  <c r="AL153" i="26"/>
  <c r="AM153" i="26"/>
  <c r="AN153" i="26"/>
  <c r="AO153" i="26"/>
  <c r="B154" i="26"/>
  <c r="D154" i="26"/>
  <c r="E154" i="26"/>
  <c r="F154" i="26"/>
  <c r="G154" i="26"/>
  <c r="H154" i="26"/>
  <c r="I154" i="26"/>
  <c r="J154" i="26"/>
  <c r="K154" i="26"/>
  <c r="L154" i="26"/>
  <c r="M154" i="26"/>
  <c r="N154" i="26"/>
  <c r="O154" i="26"/>
  <c r="P154" i="26"/>
  <c r="Q154" i="26"/>
  <c r="R154" i="26"/>
  <c r="S154" i="26"/>
  <c r="T154" i="26"/>
  <c r="U154" i="26"/>
  <c r="V154" i="26"/>
  <c r="W154" i="26"/>
  <c r="X154" i="26"/>
  <c r="Y154" i="26"/>
  <c r="Z154" i="26"/>
  <c r="AA154" i="26"/>
  <c r="AB154" i="26"/>
  <c r="AC154" i="26"/>
  <c r="AD154" i="26"/>
  <c r="AE154" i="26"/>
  <c r="AF154" i="26"/>
  <c r="AG154" i="26"/>
  <c r="AH154" i="26"/>
  <c r="AI154" i="26"/>
  <c r="AJ154" i="26"/>
  <c r="AK154" i="26"/>
  <c r="AL154" i="26"/>
  <c r="AM154" i="26"/>
  <c r="AN154" i="26"/>
  <c r="AO154" i="26"/>
  <c r="B155" i="26"/>
  <c r="D155" i="26"/>
  <c r="E155" i="26"/>
  <c r="F155" i="26"/>
  <c r="G155" i="26"/>
  <c r="H155" i="26"/>
  <c r="I155" i="26"/>
  <c r="J155" i="26"/>
  <c r="K155" i="26"/>
  <c r="L155" i="26"/>
  <c r="M155" i="26"/>
  <c r="N155" i="26"/>
  <c r="O155" i="26"/>
  <c r="P155" i="26"/>
  <c r="Q155" i="26"/>
  <c r="R155" i="26"/>
  <c r="S155" i="26"/>
  <c r="T155" i="26"/>
  <c r="U155" i="26"/>
  <c r="V155" i="26"/>
  <c r="W155" i="26"/>
  <c r="X155" i="26"/>
  <c r="Y155" i="26"/>
  <c r="Z155" i="26"/>
  <c r="AA155" i="26"/>
  <c r="AB155" i="26"/>
  <c r="AC155" i="26"/>
  <c r="AD155" i="26"/>
  <c r="AE155" i="26"/>
  <c r="AF155" i="26"/>
  <c r="AG155" i="26"/>
  <c r="AH155" i="26"/>
  <c r="AI155" i="26"/>
  <c r="AJ155" i="26"/>
  <c r="AK155" i="26"/>
  <c r="AL155" i="26"/>
  <c r="AM155" i="26"/>
  <c r="AN155" i="26"/>
  <c r="AO155" i="26"/>
  <c r="B156" i="26"/>
  <c r="D156" i="26"/>
  <c r="E156" i="26"/>
  <c r="F156" i="26"/>
  <c r="G156" i="26"/>
  <c r="H156" i="26"/>
  <c r="I156" i="26"/>
  <c r="J156" i="26"/>
  <c r="K156" i="26"/>
  <c r="L156" i="26"/>
  <c r="M156" i="26"/>
  <c r="N156" i="26"/>
  <c r="O156" i="26"/>
  <c r="P156" i="26"/>
  <c r="Q156" i="26"/>
  <c r="R156" i="26"/>
  <c r="S156" i="26"/>
  <c r="T156" i="26"/>
  <c r="U156" i="26"/>
  <c r="V156" i="26"/>
  <c r="W156" i="26"/>
  <c r="X156" i="26"/>
  <c r="Y156" i="26"/>
  <c r="Z156" i="26"/>
  <c r="AA156" i="26"/>
  <c r="AB156" i="26"/>
  <c r="AC156" i="26"/>
  <c r="AD156" i="26"/>
  <c r="AE156" i="26"/>
  <c r="AF156" i="26"/>
  <c r="AG156" i="26"/>
  <c r="AH156" i="26"/>
  <c r="AI156" i="26"/>
  <c r="AJ156" i="26"/>
  <c r="AK156" i="26"/>
  <c r="AL156" i="26"/>
  <c r="AM156" i="26"/>
  <c r="AN156" i="26"/>
  <c r="AO156" i="26"/>
  <c r="B157" i="26"/>
  <c r="D157" i="26"/>
  <c r="E157" i="26"/>
  <c r="F157" i="26"/>
  <c r="G157" i="26"/>
  <c r="H157" i="26"/>
  <c r="I157" i="26"/>
  <c r="J157" i="26"/>
  <c r="K157" i="26"/>
  <c r="L157" i="26"/>
  <c r="M157" i="26"/>
  <c r="N157" i="26"/>
  <c r="O157" i="26"/>
  <c r="P157" i="26"/>
  <c r="Q157" i="26"/>
  <c r="R157" i="26"/>
  <c r="S157" i="26"/>
  <c r="T157" i="26"/>
  <c r="U157" i="26"/>
  <c r="V157" i="26"/>
  <c r="W157" i="26"/>
  <c r="X157" i="26"/>
  <c r="Y157" i="26"/>
  <c r="Z157" i="26"/>
  <c r="AA157" i="26"/>
  <c r="AB157" i="26"/>
  <c r="AC157" i="26"/>
  <c r="AD157" i="26"/>
  <c r="AE157" i="26"/>
  <c r="AF157" i="26"/>
  <c r="AG157" i="26"/>
  <c r="AH157" i="26"/>
  <c r="AI157" i="26"/>
  <c r="AJ157" i="26"/>
  <c r="AK157" i="26"/>
  <c r="AL157" i="26"/>
  <c r="AM157" i="26"/>
  <c r="AN157" i="26"/>
  <c r="AO157" i="26"/>
  <c r="B158" i="26"/>
  <c r="D158" i="26"/>
  <c r="E158" i="26"/>
  <c r="F158" i="26"/>
  <c r="G158" i="26"/>
  <c r="H158" i="26"/>
  <c r="I158" i="26"/>
  <c r="J158" i="26"/>
  <c r="K158" i="26"/>
  <c r="L158" i="26"/>
  <c r="M158" i="26"/>
  <c r="N158" i="26"/>
  <c r="O158" i="26"/>
  <c r="P158" i="26"/>
  <c r="Q158" i="26"/>
  <c r="R158" i="26"/>
  <c r="S158" i="26"/>
  <c r="T158" i="26"/>
  <c r="U158" i="26"/>
  <c r="V158" i="26"/>
  <c r="W158" i="26"/>
  <c r="X158" i="26"/>
  <c r="Y158" i="26"/>
  <c r="Z158" i="26"/>
  <c r="AA158" i="26"/>
  <c r="AB158" i="26"/>
  <c r="AC158" i="26"/>
  <c r="AD158" i="26"/>
  <c r="AE158" i="26"/>
  <c r="AF158" i="26"/>
  <c r="AG158" i="26"/>
  <c r="AH158" i="26"/>
  <c r="AI158" i="26"/>
  <c r="AJ158" i="26"/>
  <c r="AK158" i="26"/>
  <c r="AL158" i="26"/>
  <c r="AM158" i="26"/>
  <c r="AN158" i="26"/>
  <c r="AO158" i="26"/>
  <c r="B159" i="26"/>
  <c r="D159" i="26"/>
  <c r="E159" i="26"/>
  <c r="F159" i="26"/>
  <c r="G159" i="26"/>
  <c r="H159" i="26"/>
  <c r="I159" i="26"/>
  <c r="J159" i="26"/>
  <c r="K159" i="26"/>
  <c r="L159" i="26"/>
  <c r="M159" i="26"/>
  <c r="N159" i="26"/>
  <c r="O159" i="26"/>
  <c r="P159" i="26"/>
  <c r="Q159" i="26"/>
  <c r="R159" i="26"/>
  <c r="S159" i="26"/>
  <c r="T159" i="26"/>
  <c r="U159" i="26"/>
  <c r="V159" i="26"/>
  <c r="W159" i="26"/>
  <c r="X159" i="26"/>
  <c r="Y159" i="26"/>
  <c r="Z159" i="26"/>
  <c r="AA159" i="26"/>
  <c r="AB159" i="26"/>
  <c r="AC159" i="26"/>
  <c r="AD159" i="26"/>
  <c r="AE159" i="26"/>
  <c r="AF159" i="26"/>
  <c r="AG159" i="26"/>
  <c r="AH159" i="26"/>
  <c r="AI159" i="26"/>
  <c r="AJ159" i="26"/>
  <c r="AK159" i="26"/>
  <c r="AL159" i="26"/>
  <c r="AM159" i="26"/>
  <c r="AN159" i="26"/>
  <c r="AO159" i="26"/>
  <c r="B160" i="26"/>
  <c r="D160" i="26"/>
  <c r="E160" i="26"/>
  <c r="F160" i="26"/>
  <c r="G160" i="26"/>
  <c r="H160" i="26"/>
  <c r="I160" i="26"/>
  <c r="J160" i="26"/>
  <c r="K160" i="26"/>
  <c r="L160" i="26"/>
  <c r="M160" i="26"/>
  <c r="N160" i="26"/>
  <c r="O160" i="26"/>
  <c r="P160" i="26"/>
  <c r="Q160" i="26"/>
  <c r="R160" i="26"/>
  <c r="S160" i="26"/>
  <c r="T160" i="26"/>
  <c r="U160" i="26"/>
  <c r="V160" i="26"/>
  <c r="W160" i="26"/>
  <c r="X160" i="26"/>
  <c r="Y160" i="26"/>
  <c r="Z160" i="26"/>
  <c r="AA160" i="26"/>
  <c r="AB160" i="26"/>
  <c r="AC160" i="26"/>
  <c r="AD160" i="26"/>
  <c r="AE160" i="26"/>
  <c r="AF160" i="26"/>
  <c r="AG160" i="26"/>
  <c r="AH160" i="26"/>
  <c r="AI160" i="26"/>
  <c r="AJ160" i="26"/>
  <c r="AK160" i="26"/>
  <c r="AL160" i="26"/>
  <c r="AM160" i="26"/>
  <c r="AN160" i="26"/>
  <c r="AO160" i="26"/>
  <c r="B161" i="26"/>
  <c r="D161" i="26"/>
  <c r="E161" i="26"/>
  <c r="F161" i="26"/>
  <c r="G161" i="26"/>
  <c r="H161" i="26"/>
  <c r="I161" i="26"/>
  <c r="J161" i="26"/>
  <c r="K161" i="26"/>
  <c r="L161" i="26"/>
  <c r="M161" i="26"/>
  <c r="N161" i="26"/>
  <c r="O161" i="26"/>
  <c r="P161" i="26"/>
  <c r="Q161" i="26"/>
  <c r="R161" i="26"/>
  <c r="S161" i="26"/>
  <c r="T161" i="26"/>
  <c r="U161" i="26"/>
  <c r="V161" i="26"/>
  <c r="W161" i="26"/>
  <c r="X161" i="26"/>
  <c r="Y161" i="26"/>
  <c r="Z161" i="26"/>
  <c r="AA161" i="26"/>
  <c r="AB161" i="26"/>
  <c r="AC161" i="26"/>
  <c r="AD161" i="26"/>
  <c r="AE161" i="26"/>
  <c r="AF161" i="26"/>
  <c r="AG161" i="26"/>
  <c r="AH161" i="26"/>
  <c r="AI161" i="26"/>
  <c r="AJ161" i="26"/>
  <c r="AK161" i="26"/>
  <c r="AL161" i="26"/>
  <c r="AM161" i="26"/>
  <c r="AN161" i="26"/>
  <c r="AO161" i="26"/>
  <c r="B162" i="26"/>
  <c r="D162" i="26"/>
  <c r="E162" i="26"/>
  <c r="F162" i="26"/>
  <c r="G162" i="26"/>
  <c r="H162" i="26"/>
  <c r="I162" i="26"/>
  <c r="J162" i="26"/>
  <c r="K162" i="26"/>
  <c r="L162" i="26"/>
  <c r="M162" i="26"/>
  <c r="N162" i="26"/>
  <c r="O162" i="26"/>
  <c r="P162" i="26"/>
  <c r="Q162" i="26"/>
  <c r="R162" i="26"/>
  <c r="S162" i="26"/>
  <c r="T162" i="26"/>
  <c r="U162" i="26"/>
  <c r="V162" i="26"/>
  <c r="W162" i="26"/>
  <c r="X162" i="26"/>
  <c r="Y162" i="26"/>
  <c r="Z162" i="26"/>
  <c r="AA162" i="26"/>
  <c r="AB162" i="26"/>
  <c r="AC162" i="26"/>
  <c r="AD162" i="26"/>
  <c r="AE162" i="26"/>
  <c r="AF162" i="26"/>
  <c r="AG162" i="26"/>
  <c r="AH162" i="26"/>
  <c r="AI162" i="26"/>
  <c r="AJ162" i="26"/>
  <c r="AK162" i="26"/>
  <c r="AL162" i="26"/>
  <c r="AM162" i="26"/>
  <c r="AN162" i="26"/>
  <c r="AO162" i="26"/>
  <c r="B163" i="26"/>
  <c r="D163" i="26"/>
  <c r="E163" i="26"/>
  <c r="F163" i="26"/>
  <c r="G163" i="26"/>
  <c r="H163" i="26"/>
  <c r="I163" i="26"/>
  <c r="J163" i="26"/>
  <c r="K163" i="26"/>
  <c r="L163" i="26"/>
  <c r="M163" i="26"/>
  <c r="N163" i="26"/>
  <c r="O163" i="26"/>
  <c r="P163" i="26"/>
  <c r="Q163" i="26"/>
  <c r="R163" i="26"/>
  <c r="S163" i="26"/>
  <c r="T163" i="26"/>
  <c r="U163" i="26"/>
  <c r="V163" i="26"/>
  <c r="W163" i="26"/>
  <c r="X163" i="26"/>
  <c r="Y163" i="26"/>
  <c r="Z163" i="26"/>
  <c r="AA163" i="26"/>
  <c r="AB163" i="26"/>
  <c r="AC163" i="26"/>
  <c r="AD163" i="26"/>
  <c r="AE163" i="26"/>
  <c r="AF163" i="26"/>
  <c r="AG163" i="26"/>
  <c r="AH163" i="26"/>
  <c r="AI163" i="26"/>
  <c r="AJ163" i="26"/>
  <c r="AK163" i="26"/>
  <c r="AL163" i="26"/>
  <c r="AM163" i="26"/>
  <c r="AN163" i="26"/>
  <c r="AO163" i="26"/>
  <c r="B164" i="26"/>
  <c r="D164" i="26"/>
  <c r="E164" i="26"/>
  <c r="F164" i="26"/>
  <c r="G164" i="26"/>
  <c r="H164" i="26"/>
  <c r="I164" i="26"/>
  <c r="J164" i="26"/>
  <c r="K164" i="26"/>
  <c r="L164" i="26"/>
  <c r="M164" i="26"/>
  <c r="N164" i="26"/>
  <c r="O164" i="26"/>
  <c r="P164" i="26"/>
  <c r="Q164" i="26"/>
  <c r="R164" i="26"/>
  <c r="S164" i="26"/>
  <c r="T164" i="26"/>
  <c r="U164" i="26"/>
  <c r="V164" i="26"/>
  <c r="W164" i="26"/>
  <c r="X164" i="26"/>
  <c r="Y164" i="26"/>
  <c r="Z164" i="26"/>
  <c r="AA164" i="26"/>
  <c r="AB164" i="26"/>
  <c r="AC164" i="26"/>
  <c r="AD164" i="26"/>
  <c r="AE164" i="26"/>
  <c r="AF164" i="26"/>
  <c r="AG164" i="26"/>
  <c r="AH164" i="26"/>
  <c r="AI164" i="26"/>
  <c r="AJ164" i="26"/>
  <c r="AK164" i="26"/>
  <c r="AL164" i="26"/>
  <c r="AM164" i="26"/>
  <c r="AN164" i="26"/>
  <c r="AO164" i="26"/>
  <c r="B165" i="26"/>
  <c r="D165" i="26"/>
  <c r="E165" i="26"/>
  <c r="F165" i="26"/>
  <c r="G165" i="26"/>
  <c r="H165" i="26"/>
  <c r="I165" i="26"/>
  <c r="J165" i="26"/>
  <c r="K165" i="26"/>
  <c r="L165" i="26"/>
  <c r="M165" i="26"/>
  <c r="N165" i="26"/>
  <c r="O165" i="26"/>
  <c r="P165" i="26"/>
  <c r="Q165" i="26"/>
  <c r="R165" i="26"/>
  <c r="S165" i="26"/>
  <c r="T165" i="26"/>
  <c r="U165" i="26"/>
  <c r="V165" i="26"/>
  <c r="W165" i="26"/>
  <c r="X165" i="26"/>
  <c r="Y165" i="26"/>
  <c r="Z165" i="26"/>
  <c r="AA165" i="26"/>
  <c r="AB165" i="26"/>
  <c r="AC165" i="26"/>
  <c r="AD165" i="26"/>
  <c r="AE165" i="26"/>
  <c r="AF165" i="26"/>
  <c r="AG165" i="26"/>
  <c r="AH165" i="26"/>
  <c r="AI165" i="26"/>
  <c r="AJ165" i="26"/>
  <c r="AK165" i="26"/>
  <c r="AL165" i="26"/>
  <c r="AM165" i="26"/>
  <c r="AN165" i="26"/>
  <c r="AO165" i="26"/>
  <c r="B166" i="26"/>
  <c r="D166" i="26"/>
  <c r="E166" i="26"/>
  <c r="F166" i="26"/>
  <c r="G166" i="26"/>
  <c r="H166" i="26"/>
  <c r="I166" i="26"/>
  <c r="J166" i="26"/>
  <c r="K166" i="26"/>
  <c r="L166" i="26"/>
  <c r="M166" i="26"/>
  <c r="N166" i="26"/>
  <c r="O166" i="26"/>
  <c r="P166" i="26"/>
  <c r="Q166" i="26"/>
  <c r="R166" i="26"/>
  <c r="S166" i="26"/>
  <c r="T166" i="26"/>
  <c r="U166" i="26"/>
  <c r="V166" i="26"/>
  <c r="W166" i="26"/>
  <c r="X166" i="26"/>
  <c r="Y166" i="26"/>
  <c r="Z166" i="26"/>
  <c r="AA166" i="26"/>
  <c r="AB166" i="26"/>
  <c r="AC166" i="26"/>
  <c r="AD166" i="26"/>
  <c r="AE166" i="26"/>
  <c r="AF166" i="26"/>
  <c r="AG166" i="26"/>
  <c r="AH166" i="26"/>
  <c r="AI166" i="26"/>
  <c r="AJ166" i="26"/>
  <c r="AK166" i="26"/>
  <c r="AL166" i="26"/>
  <c r="AM166" i="26"/>
  <c r="AN166" i="26"/>
  <c r="AO166" i="26"/>
  <c r="B167" i="26"/>
  <c r="D167" i="26"/>
  <c r="E167" i="26"/>
  <c r="F167" i="26"/>
  <c r="G167" i="26"/>
  <c r="H167" i="26"/>
  <c r="I167" i="26"/>
  <c r="J167" i="26"/>
  <c r="K167" i="26"/>
  <c r="L167" i="26"/>
  <c r="M167" i="26"/>
  <c r="N167" i="26"/>
  <c r="O167" i="26"/>
  <c r="P167" i="26"/>
  <c r="Q167" i="26"/>
  <c r="R167" i="26"/>
  <c r="S167" i="26"/>
  <c r="T167" i="26"/>
  <c r="U167" i="26"/>
  <c r="V167" i="26"/>
  <c r="W167" i="26"/>
  <c r="X167" i="26"/>
  <c r="Y167" i="26"/>
  <c r="Z167" i="26"/>
  <c r="AA167" i="26"/>
  <c r="AB167" i="26"/>
  <c r="AC167" i="26"/>
  <c r="AD167" i="26"/>
  <c r="AE167" i="26"/>
  <c r="AF167" i="26"/>
  <c r="AG167" i="26"/>
  <c r="AH167" i="26"/>
  <c r="AI167" i="26"/>
  <c r="AJ167" i="26"/>
  <c r="AK167" i="26"/>
  <c r="AL167" i="26"/>
  <c r="AM167" i="26"/>
  <c r="AN167" i="26"/>
  <c r="AO167" i="26"/>
  <c r="B168" i="26"/>
  <c r="D168" i="26"/>
  <c r="E168" i="26"/>
  <c r="F168" i="26"/>
  <c r="G168" i="26"/>
  <c r="H168" i="26"/>
  <c r="I168" i="26"/>
  <c r="J168" i="26"/>
  <c r="K168" i="26"/>
  <c r="L168" i="26"/>
  <c r="M168" i="26"/>
  <c r="N168" i="26"/>
  <c r="O168" i="26"/>
  <c r="P168" i="26"/>
  <c r="Q168" i="26"/>
  <c r="R168" i="26"/>
  <c r="S168" i="26"/>
  <c r="T168" i="26"/>
  <c r="U168" i="26"/>
  <c r="V168" i="26"/>
  <c r="W168" i="26"/>
  <c r="X168" i="26"/>
  <c r="Y168" i="26"/>
  <c r="Z168" i="26"/>
  <c r="AA168" i="26"/>
  <c r="AB168" i="26"/>
  <c r="AC168" i="26"/>
  <c r="AD168" i="26"/>
  <c r="AE168" i="26"/>
  <c r="AF168" i="26"/>
  <c r="AG168" i="26"/>
  <c r="AH168" i="26"/>
  <c r="AI168" i="26"/>
  <c r="AJ168" i="26"/>
  <c r="AK168" i="26"/>
  <c r="AL168" i="26"/>
  <c r="AM168" i="26"/>
  <c r="AN168" i="26"/>
  <c r="AO168" i="26"/>
  <c r="B169" i="26"/>
  <c r="D169" i="26"/>
  <c r="E169" i="26"/>
  <c r="F169" i="26"/>
  <c r="G169" i="26"/>
  <c r="H169" i="26"/>
  <c r="I169" i="26"/>
  <c r="J169" i="26"/>
  <c r="K169" i="26"/>
  <c r="L169" i="26"/>
  <c r="M169" i="26"/>
  <c r="N169" i="26"/>
  <c r="O169" i="26"/>
  <c r="P169" i="26"/>
  <c r="Q169" i="26"/>
  <c r="R169" i="26"/>
  <c r="S169" i="26"/>
  <c r="T169" i="26"/>
  <c r="U169" i="26"/>
  <c r="V169" i="26"/>
  <c r="W169" i="26"/>
  <c r="X169" i="26"/>
  <c r="Y169" i="26"/>
  <c r="Z169" i="26"/>
  <c r="AA169" i="26"/>
  <c r="AB169" i="26"/>
  <c r="AC169" i="26"/>
  <c r="AD169" i="26"/>
  <c r="AE169" i="26"/>
  <c r="AF169" i="26"/>
  <c r="AG169" i="26"/>
  <c r="AH169" i="26"/>
  <c r="AI169" i="26"/>
  <c r="AJ169" i="26"/>
  <c r="AK169" i="26"/>
  <c r="AL169" i="26"/>
  <c r="AM169" i="26"/>
  <c r="AN169" i="26"/>
  <c r="AO169" i="26"/>
  <c r="B170" i="26"/>
  <c r="D170" i="26"/>
  <c r="E170" i="26"/>
  <c r="F170" i="26"/>
  <c r="G170" i="26"/>
  <c r="H170" i="26"/>
  <c r="I170" i="26"/>
  <c r="J170" i="26"/>
  <c r="K170" i="26"/>
  <c r="L170" i="26"/>
  <c r="M170" i="26"/>
  <c r="N170" i="26"/>
  <c r="O170" i="26"/>
  <c r="P170" i="26"/>
  <c r="Q170" i="26"/>
  <c r="R170" i="26"/>
  <c r="S170" i="26"/>
  <c r="T170" i="26"/>
  <c r="U170" i="26"/>
  <c r="V170" i="26"/>
  <c r="W170" i="26"/>
  <c r="X170" i="26"/>
  <c r="Y170" i="26"/>
  <c r="Z170" i="26"/>
  <c r="AA170" i="26"/>
  <c r="AB170" i="26"/>
  <c r="AC170" i="26"/>
  <c r="AD170" i="26"/>
  <c r="AE170" i="26"/>
  <c r="AF170" i="26"/>
  <c r="AG170" i="26"/>
  <c r="AH170" i="26"/>
  <c r="AI170" i="26"/>
  <c r="AJ170" i="26"/>
  <c r="AK170" i="26"/>
  <c r="AL170" i="26"/>
  <c r="AM170" i="26"/>
  <c r="AN170" i="26"/>
  <c r="AO170" i="26"/>
  <c r="B171" i="26"/>
  <c r="D171" i="26"/>
  <c r="E171" i="26"/>
  <c r="F171" i="26"/>
  <c r="G171" i="26"/>
  <c r="H171" i="26"/>
  <c r="I171" i="26"/>
  <c r="J171" i="26"/>
  <c r="K171" i="26"/>
  <c r="L171" i="26"/>
  <c r="M171" i="26"/>
  <c r="N171" i="26"/>
  <c r="O171" i="26"/>
  <c r="P171" i="26"/>
  <c r="Q171" i="26"/>
  <c r="R171" i="26"/>
  <c r="S171" i="26"/>
  <c r="T171" i="26"/>
  <c r="U171" i="26"/>
  <c r="V171" i="26"/>
  <c r="W171" i="26"/>
  <c r="X171" i="26"/>
  <c r="Y171" i="26"/>
  <c r="Z171" i="26"/>
  <c r="AA171" i="26"/>
  <c r="AB171" i="26"/>
  <c r="AC171" i="26"/>
  <c r="AD171" i="26"/>
  <c r="AE171" i="26"/>
  <c r="AF171" i="26"/>
  <c r="AG171" i="26"/>
  <c r="AH171" i="26"/>
  <c r="AI171" i="26"/>
  <c r="AJ171" i="26"/>
  <c r="AK171" i="26"/>
  <c r="AL171" i="26"/>
  <c r="AM171" i="26"/>
  <c r="AN171" i="26"/>
  <c r="AO171" i="26"/>
  <c r="B172" i="26"/>
  <c r="D172" i="26"/>
  <c r="E172" i="26"/>
  <c r="F172" i="26"/>
  <c r="G172" i="26"/>
  <c r="H172" i="26"/>
  <c r="I172" i="26"/>
  <c r="J172" i="26"/>
  <c r="K172" i="26"/>
  <c r="L172" i="26"/>
  <c r="M172" i="26"/>
  <c r="N172" i="26"/>
  <c r="O172" i="26"/>
  <c r="P172" i="26"/>
  <c r="Q172" i="26"/>
  <c r="R172" i="26"/>
  <c r="S172" i="26"/>
  <c r="T172" i="26"/>
  <c r="U172" i="26"/>
  <c r="V172" i="26"/>
  <c r="W172" i="26"/>
  <c r="X172" i="26"/>
  <c r="Y172" i="26"/>
  <c r="Z172" i="26"/>
  <c r="AA172" i="26"/>
  <c r="AB172" i="26"/>
  <c r="AC172" i="26"/>
  <c r="AD172" i="26"/>
  <c r="AE172" i="26"/>
  <c r="AF172" i="26"/>
  <c r="AG172" i="26"/>
  <c r="AH172" i="26"/>
  <c r="AI172" i="26"/>
  <c r="AJ172" i="26"/>
  <c r="AK172" i="26"/>
  <c r="AL172" i="26"/>
  <c r="AM172" i="26"/>
  <c r="AN172" i="26"/>
  <c r="AO172" i="26"/>
  <c r="B173" i="26"/>
  <c r="D173" i="26"/>
  <c r="E173" i="26"/>
  <c r="F173" i="26"/>
  <c r="G173" i="26"/>
  <c r="H173" i="26"/>
  <c r="I173" i="26"/>
  <c r="J173" i="26"/>
  <c r="K173" i="26"/>
  <c r="L173" i="26"/>
  <c r="M173" i="26"/>
  <c r="N173" i="26"/>
  <c r="O173" i="26"/>
  <c r="P173" i="26"/>
  <c r="Q173" i="26"/>
  <c r="R173" i="26"/>
  <c r="S173" i="26"/>
  <c r="T173" i="26"/>
  <c r="U173" i="26"/>
  <c r="V173" i="26"/>
  <c r="W173" i="26"/>
  <c r="X173" i="26"/>
  <c r="Y173" i="26"/>
  <c r="Z173" i="26"/>
  <c r="AA173" i="26"/>
  <c r="AB173" i="26"/>
  <c r="AC173" i="26"/>
  <c r="AD173" i="26"/>
  <c r="AE173" i="26"/>
  <c r="AF173" i="26"/>
  <c r="AG173" i="26"/>
  <c r="AH173" i="26"/>
  <c r="AI173" i="26"/>
  <c r="AJ173" i="26"/>
  <c r="AK173" i="26"/>
  <c r="AL173" i="26"/>
  <c r="AM173" i="26"/>
  <c r="AN173" i="26"/>
  <c r="AO173" i="26"/>
  <c r="B174" i="26"/>
  <c r="D174" i="26"/>
  <c r="E174" i="26"/>
  <c r="F174" i="26"/>
  <c r="G174" i="26"/>
  <c r="H174" i="26"/>
  <c r="I174" i="26"/>
  <c r="J174" i="26"/>
  <c r="K174" i="26"/>
  <c r="L174" i="26"/>
  <c r="M174" i="26"/>
  <c r="N174" i="26"/>
  <c r="O174" i="26"/>
  <c r="P174" i="26"/>
  <c r="Q174" i="26"/>
  <c r="R174" i="26"/>
  <c r="S174" i="26"/>
  <c r="T174" i="26"/>
  <c r="U174" i="26"/>
  <c r="V174" i="26"/>
  <c r="W174" i="26"/>
  <c r="X174" i="26"/>
  <c r="Y174" i="26"/>
  <c r="Z174" i="26"/>
  <c r="AA174" i="26"/>
  <c r="AB174" i="26"/>
  <c r="AC174" i="26"/>
  <c r="AD174" i="26"/>
  <c r="AE174" i="26"/>
  <c r="AF174" i="26"/>
  <c r="AG174" i="26"/>
  <c r="AH174" i="26"/>
  <c r="AI174" i="26"/>
  <c r="AJ174" i="26"/>
  <c r="AK174" i="26"/>
  <c r="AL174" i="26"/>
  <c r="AM174" i="26"/>
  <c r="AN174" i="26"/>
  <c r="AO174" i="26"/>
  <c r="B175" i="26"/>
  <c r="D175" i="26"/>
  <c r="E175" i="26"/>
  <c r="F175" i="26"/>
  <c r="G175" i="26"/>
  <c r="H175" i="26"/>
  <c r="I175" i="26"/>
  <c r="J175" i="26"/>
  <c r="K175" i="26"/>
  <c r="L175" i="26"/>
  <c r="M175" i="26"/>
  <c r="N175" i="26"/>
  <c r="O175" i="26"/>
  <c r="P175" i="26"/>
  <c r="Q175" i="26"/>
  <c r="R175" i="26"/>
  <c r="S175" i="26"/>
  <c r="T175" i="26"/>
  <c r="U175" i="26"/>
  <c r="V175" i="26"/>
  <c r="W175" i="26"/>
  <c r="X175" i="26"/>
  <c r="Y175" i="26"/>
  <c r="Z175" i="26"/>
  <c r="AA175" i="26"/>
  <c r="AB175" i="26"/>
  <c r="AC175" i="26"/>
  <c r="AD175" i="26"/>
  <c r="AE175" i="26"/>
  <c r="AF175" i="26"/>
  <c r="AG175" i="26"/>
  <c r="AH175" i="26"/>
  <c r="AI175" i="26"/>
  <c r="AJ175" i="26"/>
  <c r="AK175" i="26"/>
  <c r="AL175" i="26"/>
  <c r="AM175" i="26"/>
  <c r="AN175" i="26"/>
  <c r="AO175" i="26"/>
  <c r="B176" i="26"/>
  <c r="D176" i="26"/>
  <c r="E176" i="26"/>
  <c r="F176" i="26"/>
  <c r="G176" i="26"/>
  <c r="H176" i="26"/>
  <c r="I176" i="26"/>
  <c r="J176" i="26"/>
  <c r="K176" i="26"/>
  <c r="L176" i="26"/>
  <c r="M176" i="26"/>
  <c r="N176" i="26"/>
  <c r="O176" i="26"/>
  <c r="P176" i="26"/>
  <c r="Q176" i="26"/>
  <c r="R176" i="26"/>
  <c r="S176" i="26"/>
  <c r="T176" i="26"/>
  <c r="U176" i="26"/>
  <c r="V176" i="26"/>
  <c r="W176" i="26"/>
  <c r="X176" i="26"/>
  <c r="Y176" i="26"/>
  <c r="Z176" i="26"/>
  <c r="AA176" i="26"/>
  <c r="AB176" i="26"/>
  <c r="AC176" i="26"/>
  <c r="AD176" i="26"/>
  <c r="AE176" i="26"/>
  <c r="AF176" i="26"/>
  <c r="AG176" i="26"/>
  <c r="AH176" i="26"/>
  <c r="AI176" i="26"/>
  <c r="AJ176" i="26"/>
  <c r="AK176" i="26"/>
  <c r="AL176" i="26"/>
  <c r="AM176" i="26"/>
  <c r="AN176" i="26"/>
  <c r="AO176" i="26"/>
  <c r="B177" i="26"/>
  <c r="D177" i="26"/>
  <c r="E177" i="26"/>
  <c r="F177" i="26"/>
  <c r="G177" i="26"/>
  <c r="H177" i="26"/>
  <c r="I177" i="26"/>
  <c r="J177" i="26"/>
  <c r="K177" i="26"/>
  <c r="L177" i="26"/>
  <c r="M177" i="26"/>
  <c r="N177" i="26"/>
  <c r="O177" i="26"/>
  <c r="P177" i="26"/>
  <c r="Q177" i="26"/>
  <c r="R177" i="26"/>
  <c r="S177" i="26"/>
  <c r="T177" i="26"/>
  <c r="U177" i="26"/>
  <c r="V177" i="26"/>
  <c r="W177" i="26"/>
  <c r="X177" i="26"/>
  <c r="Y177" i="26"/>
  <c r="Z177" i="26"/>
  <c r="AA177" i="26"/>
  <c r="AB177" i="26"/>
  <c r="AC177" i="26"/>
  <c r="AD177" i="26"/>
  <c r="AE177" i="26"/>
  <c r="AF177" i="26"/>
  <c r="AG177" i="26"/>
  <c r="AH177" i="26"/>
  <c r="AI177" i="26"/>
  <c r="AJ177" i="26"/>
  <c r="AK177" i="26"/>
  <c r="AL177" i="26"/>
  <c r="AM177" i="26"/>
  <c r="AN177" i="26"/>
  <c r="AO177" i="26"/>
  <c r="B178" i="26"/>
  <c r="D178" i="26"/>
  <c r="E178" i="26"/>
  <c r="F178" i="26"/>
  <c r="G178" i="26"/>
  <c r="H178" i="26"/>
  <c r="I178" i="26"/>
  <c r="J178" i="26"/>
  <c r="K178" i="26"/>
  <c r="L178" i="26"/>
  <c r="M178" i="26"/>
  <c r="N178" i="26"/>
  <c r="O178" i="26"/>
  <c r="P178" i="26"/>
  <c r="Q178" i="26"/>
  <c r="R178" i="26"/>
  <c r="S178" i="26"/>
  <c r="T178" i="26"/>
  <c r="U178" i="26"/>
  <c r="V178" i="26"/>
  <c r="W178" i="26"/>
  <c r="X178" i="26"/>
  <c r="Y178" i="26"/>
  <c r="Z178" i="26"/>
  <c r="AA178" i="26"/>
  <c r="AB178" i="26"/>
  <c r="AC178" i="26"/>
  <c r="AD178" i="26"/>
  <c r="AE178" i="26"/>
  <c r="AF178" i="26"/>
  <c r="AG178" i="26"/>
  <c r="AH178" i="26"/>
  <c r="AI178" i="26"/>
  <c r="AJ178" i="26"/>
  <c r="AK178" i="26"/>
  <c r="AL178" i="26"/>
  <c r="AM178" i="26"/>
  <c r="AN178" i="26"/>
  <c r="AO178" i="26"/>
  <c r="B179" i="26"/>
  <c r="D179" i="26"/>
  <c r="E179" i="26"/>
  <c r="F179" i="26"/>
  <c r="G179" i="26"/>
  <c r="H179" i="26"/>
  <c r="I179" i="26"/>
  <c r="J179" i="26"/>
  <c r="K179" i="26"/>
  <c r="L179" i="26"/>
  <c r="M179" i="26"/>
  <c r="N179" i="26"/>
  <c r="O179" i="26"/>
  <c r="P179" i="26"/>
  <c r="Q179" i="26"/>
  <c r="R179" i="26"/>
  <c r="S179" i="26"/>
  <c r="T179" i="26"/>
  <c r="U179" i="26"/>
  <c r="V179" i="26"/>
  <c r="W179" i="26"/>
  <c r="X179" i="26"/>
  <c r="Y179" i="26"/>
  <c r="Z179" i="26"/>
  <c r="AA179" i="26"/>
  <c r="AB179" i="26"/>
  <c r="AC179" i="26"/>
  <c r="AD179" i="26"/>
  <c r="AE179" i="26"/>
  <c r="AF179" i="26"/>
  <c r="AG179" i="26"/>
  <c r="AH179" i="26"/>
  <c r="AI179" i="26"/>
  <c r="AJ179" i="26"/>
  <c r="AK179" i="26"/>
  <c r="AL179" i="26"/>
  <c r="AM179" i="26"/>
  <c r="AN179" i="26"/>
  <c r="AO179" i="26"/>
  <c r="B180" i="26"/>
  <c r="D180" i="26"/>
  <c r="E180" i="26"/>
  <c r="F180" i="26"/>
  <c r="G180" i="26"/>
  <c r="H180" i="26"/>
  <c r="I180" i="26"/>
  <c r="J180" i="26"/>
  <c r="K180" i="26"/>
  <c r="L180" i="26"/>
  <c r="M180" i="26"/>
  <c r="N180" i="26"/>
  <c r="O180" i="26"/>
  <c r="P180" i="26"/>
  <c r="Q180" i="26"/>
  <c r="R180" i="26"/>
  <c r="S180" i="26"/>
  <c r="T180" i="26"/>
  <c r="U180" i="26"/>
  <c r="V180" i="26"/>
  <c r="W180" i="26"/>
  <c r="X180" i="26"/>
  <c r="Y180" i="26"/>
  <c r="Z180" i="26"/>
  <c r="AA180" i="26"/>
  <c r="AB180" i="26"/>
  <c r="AC180" i="26"/>
  <c r="AD180" i="26"/>
  <c r="AE180" i="26"/>
  <c r="AF180" i="26"/>
  <c r="AG180" i="26"/>
  <c r="AH180" i="26"/>
  <c r="AI180" i="26"/>
  <c r="AJ180" i="26"/>
  <c r="AK180" i="26"/>
  <c r="AL180" i="26"/>
  <c r="AM180" i="26"/>
  <c r="AN180" i="26"/>
  <c r="AO180" i="26"/>
  <c r="B181" i="26"/>
  <c r="D181" i="26"/>
  <c r="E181" i="26"/>
  <c r="F181" i="26"/>
  <c r="G181" i="26"/>
  <c r="H181" i="26"/>
  <c r="I181" i="26"/>
  <c r="J181" i="26"/>
  <c r="K181" i="26"/>
  <c r="L181" i="26"/>
  <c r="M181" i="26"/>
  <c r="N181" i="26"/>
  <c r="O181" i="26"/>
  <c r="P181" i="26"/>
  <c r="Q181" i="26"/>
  <c r="R181" i="26"/>
  <c r="S181" i="26"/>
  <c r="T181" i="26"/>
  <c r="U181" i="26"/>
  <c r="V181" i="26"/>
  <c r="W181" i="26"/>
  <c r="X181" i="26"/>
  <c r="Y181" i="26"/>
  <c r="Z181" i="26"/>
  <c r="AA181" i="26"/>
  <c r="AB181" i="26"/>
  <c r="AC181" i="26"/>
  <c r="AD181" i="26"/>
  <c r="AE181" i="26"/>
  <c r="AF181" i="26"/>
  <c r="AG181" i="26"/>
  <c r="AH181" i="26"/>
  <c r="AI181" i="26"/>
  <c r="AJ181" i="26"/>
  <c r="AK181" i="26"/>
  <c r="AL181" i="26"/>
  <c r="AM181" i="26"/>
  <c r="AN181" i="26"/>
  <c r="AO181" i="26"/>
  <c r="B182" i="26"/>
  <c r="D182" i="26"/>
  <c r="E182" i="26"/>
  <c r="F182" i="26"/>
  <c r="G182" i="26"/>
  <c r="H182" i="26"/>
  <c r="I182" i="26"/>
  <c r="J182" i="26"/>
  <c r="K182" i="26"/>
  <c r="L182" i="26"/>
  <c r="M182" i="26"/>
  <c r="N182" i="26"/>
  <c r="O182" i="26"/>
  <c r="P182" i="26"/>
  <c r="Q182" i="26"/>
  <c r="R182" i="26"/>
  <c r="S182" i="26"/>
  <c r="T182" i="26"/>
  <c r="U182" i="26"/>
  <c r="V182" i="26"/>
  <c r="W182" i="26"/>
  <c r="X182" i="26"/>
  <c r="Y182" i="26"/>
  <c r="Z182" i="26"/>
  <c r="AA182" i="26"/>
  <c r="AB182" i="26"/>
  <c r="AC182" i="26"/>
  <c r="AD182" i="26"/>
  <c r="AE182" i="26"/>
  <c r="AF182" i="26"/>
  <c r="AG182" i="26"/>
  <c r="AH182" i="26"/>
  <c r="AI182" i="26"/>
  <c r="AJ182" i="26"/>
  <c r="AK182" i="26"/>
  <c r="AL182" i="26"/>
  <c r="AM182" i="26"/>
  <c r="AN182" i="26"/>
  <c r="AO182" i="26"/>
  <c r="B183" i="26"/>
  <c r="D183" i="26"/>
  <c r="E183" i="26"/>
  <c r="F183" i="26"/>
  <c r="G183" i="26"/>
  <c r="H183" i="26"/>
  <c r="I183" i="26"/>
  <c r="J183" i="26"/>
  <c r="K183" i="26"/>
  <c r="L183" i="26"/>
  <c r="M183" i="26"/>
  <c r="N183" i="26"/>
  <c r="O183" i="26"/>
  <c r="P183" i="26"/>
  <c r="Q183" i="26"/>
  <c r="R183" i="26"/>
  <c r="S183" i="26"/>
  <c r="T183" i="26"/>
  <c r="U183" i="26"/>
  <c r="V183" i="26"/>
  <c r="W183" i="26"/>
  <c r="X183" i="26"/>
  <c r="Y183" i="26"/>
  <c r="Z183" i="26"/>
  <c r="AA183" i="26"/>
  <c r="AB183" i="26"/>
  <c r="AC183" i="26"/>
  <c r="AD183" i="26"/>
  <c r="AE183" i="26"/>
  <c r="AF183" i="26"/>
  <c r="AG183" i="26"/>
  <c r="AH183" i="26"/>
  <c r="AI183" i="26"/>
  <c r="AJ183" i="26"/>
  <c r="AK183" i="26"/>
  <c r="AL183" i="26"/>
  <c r="AM183" i="26"/>
  <c r="AN183" i="26"/>
  <c r="AO183" i="26"/>
  <c r="B184" i="26"/>
  <c r="D184" i="26"/>
  <c r="E184" i="26"/>
  <c r="F184" i="26"/>
  <c r="G184" i="26"/>
  <c r="H184" i="26"/>
  <c r="I184" i="26"/>
  <c r="J184" i="26"/>
  <c r="K184" i="26"/>
  <c r="L184" i="26"/>
  <c r="M184" i="26"/>
  <c r="N184" i="26"/>
  <c r="O184" i="26"/>
  <c r="P184" i="26"/>
  <c r="Q184" i="26"/>
  <c r="R184" i="26"/>
  <c r="S184" i="26"/>
  <c r="T184" i="26"/>
  <c r="U184" i="26"/>
  <c r="V184" i="26"/>
  <c r="W184" i="26"/>
  <c r="X184" i="26"/>
  <c r="Y184" i="26"/>
  <c r="Z184" i="26"/>
  <c r="AA184" i="26"/>
  <c r="AB184" i="26"/>
  <c r="AC184" i="26"/>
  <c r="AD184" i="26"/>
  <c r="AE184" i="26"/>
  <c r="AF184" i="26"/>
  <c r="AG184" i="26"/>
  <c r="AH184" i="26"/>
  <c r="AI184" i="26"/>
  <c r="AJ184" i="26"/>
  <c r="AK184" i="26"/>
  <c r="AL184" i="26"/>
  <c r="AM184" i="26"/>
  <c r="AN184" i="26"/>
  <c r="AO184" i="26"/>
  <c r="B185" i="26"/>
  <c r="D185" i="26"/>
  <c r="E185" i="26"/>
  <c r="F185" i="26"/>
  <c r="G185" i="26"/>
  <c r="H185" i="26"/>
  <c r="I185" i="26"/>
  <c r="J185" i="26"/>
  <c r="K185" i="26"/>
  <c r="L185" i="26"/>
  <c r="M185" i="26"/>
  <c r="N185" i="26"/>
  <c r="O185" i="26"/>
  <c r="P185" i="26"/>
  <c r="Q185" i="26"/>
  <c r="R185" i="26"/>
  <c r="S185" i="26"/>
  <c r="T185" i="26"/>
  <c r="U185" i="26"/>
  <c r="V185" i="26"/>
  <c r="W185" i="26"/>
  <c r="X185" i="26"/>
  <c r="Y185" i="26"/>
  <c r="Z185" i="26"/>
  <c r="AA185" i="26"/>
  <c r="AB185" i="26"/>
  <c r="AC185" i="26"/>
  <c r="AD185" i="26"/>
  <c r="AE185" i="26"/>
  <c r="AF185" i="26"/>
  <c r="AG185" i="26"/>
  <c r="AH185" i="26"/>
  <c r="AI185" i="26"/>
  <c r="AJ185" i="26"/>
  <c r="AK185" i="26"/>
  <c r="AL185" i="26"/>
  <c r="AM185" i="26"/>
  <c r="AN185" i="26"/>
  <c r="AO185" i="26"/>
  <c r="B186" i="26"/>
  <c r="D186" i="26"/>
  <c r="E186" i="26"/>
  <c r="F186" i="26"/>
  <c r="G186" i="26"/>
  <c r="H186" i="26"/>
  <c r="I186" i="26"/>
  <c r="J186" i="26"/>
  <c r="K186" i="26"/>
  <c r="L186" i="26"/>
  <c r="M186" i="26"/>
  <c r="N186" i="26"/>
  <c r="O186" i="26"/>
  <c r="P186" i="26"/>
  <c r="Q186" i="26"/>
  <c r="R186" i="26"/>
  <c r="S186" i="26"/>
  <c r="T186" i="26"/>
  <c r="U186" i="26"/>
  <c r="V186" i="26"/>
  <c r="W186" i="26"/>
  <c r="X186" i="26"/>
  <c r="Y186" i="26"/>
  <c r="Z186" i="26"/>
  <c r="AA186" i="26"/>
  <c r="AB186" i="26"/>
  <c r="AC186" i="26"/>
  <c r="AD186" i="26"/>
  <c r="AE186" i="26"/>
  <c r="AF186" i="26"/>
  <c r="AG186" i="26"/>
  <c r="AH186" i="26"/>
  <c r="AI186" i="26"/>
  <c r="AJ186" i="26"/>
  <c r="AK186" i="26"/>
  <c r="AL186" i="26"/>
  <c r="AM186" i="26"/>
  <c r="AN186" i="26"/>
  <c r="AO186" i="26"/>
  <c r="B187" i="26"/>
  <c r="D187" i="26"/>
  <c r="E187" i="26"/>
  <c r="F187" i="26"/>
  <c r="G187" i="26"/>
  <c r="H187" i="26"/>
  <c r="I187" i="26"/>
  <c r="J187" i="26"/>
  <c r="K187" i="26"/>
  <c r="L187" i="26"/>
  <c r="M187" i="26"/>
  <c r="N187" i="26"/>
  <c r="O187" i="26"/>
  <c r="P187" i="26"/>
  <c r="Q187" i="26"/>
  <c r="R187" i="26"/>
  <c r="S187" i="26"/>
  <c r="T187" i="26"/>
  <c r="U187" i="26"/>
  <c r="V187" i="26"/>
  <c r="W187" i="26"/>
  <c r="X187" i="26"/>
  <c r="Y187" i="26"/>
  <c r="Z187" i="26"/>
  <c r="AA187" i="26"/>
  <c r="AB187" i="26"/>
  <c r="AC187" i="26"/>
  <c r="AD187" i="26"/>
  <c r="AE187" i="26"/>
  <c r="AF187" i="26"/>
  <c r="AG187" i="26"/>
  <c r="AH187" i="26"/>
  <c r="AI187" i="26"/>
  <c r="AJ187" i="26"/>
  <c r="AK187" i="26"/>
  <c r="AL187" i="26"/>
  <c r="AM187" i="26"/>
  <c r="AN187" i="26"/>
  <c r="AO187" i="26"/>
  <c r="B188" i="26"/>
  <c r="D188" i="26"/>
  <c r="E188" i="26"/>
  <c r="F188" i="26"/>
  <c r="G188" i="26"/>
  <c r="H188" i="26"/>
  <c r="I188" i="26"/>
  <c r="J188" i="26"/>
  <c r="K188" i="26"/>
  <c r="L188" i="26"/>
  <c r="M188" i="26"/>
  <c r="N188" i="26"/>
  <c r="O188" i="26"/>
  <c r="P188" i="26"/>
  <c r="Q188" i="26"/>
  <c r="R188" i="26"/>
  <c r="S188" i="26"/>
  <c r="T188" i="26"/>
  <c r="U188" i="26"/>
  <c r="V188" i="26"/>
  <c r="W188" i="26"/>
  <c r="X188" i="26"/>
  <c r="Y188" i="26"/>
  <c r="Z188" i="26"/>
  <c r="AA188" i="26"/>
  <c r="AB188" i="26"/>
  <c r="AC188" i="26"/>
  <c r="AD188" i="26"/>
  <c r="AE188" i="26"/>
  <c r="AF188" i="26"/>
  <c r="AG188" i="26"/>
  <c r="AH188" i="26"/>
  <c r="AI188" i="26"/>
  <c r="AJ188" i="26"/>
  <c r="AK188" i="26"/>
  <c r="AL188" i="26"/>
  <c r="AM188" i="26"/>
  <c r="AN188" i="26"/>
  <c r="AO188" i="26"/>
  <c r="B189" i="26"/>
  <c r="D189" i="26"/>
  <c r="E189" i="26"/>
  <c r="F189" i="26"/>
  <c r="G189" i="26"/>
  <c r="H189" i="26"/>
  <c r="I189" i="26"/>
  <c r="J189" i="26"/>
  <c r="K189" i="26"/>
  <c r="L189" i="26"/>
  <c r="M189" i="26"/>
  <c r="N189" i="26"/>
  <c r="O189" i="26"/>
  <c r="P189" i="26"/>
  <c r="Q189" i="26"/>
  <c r="R189" i="26"/>
  <c r="S189" i="26"/>
  <c r="T189" i="26"/>
  <c r="U189" i="26"/>
  <c r="V189" i="26"/>
  <c r="W189" i="26"/>
  <c r="X189" i="26"/>
  <c r="Y189" i="26"/>
  <c r="Z189" i="26"/>
  <c r="AA189" i="26"/>
  <c r="AB189" i="26"/>
  <c r="AC189" i="26"/>
  <c r="AD189" i="26"/>
  <c r="AE189" i="26"/>
  <c r="AF189" i="26"/>
  <c r="AG189" i="26"/>
  <c r="AH189" i="26"/>
  <c r="AI189" i="26"/>
  <c r="AJ189" i="26"/>
  <c r="AK189" i="26"/>
  <c r="AL189" i="26"/>
  <c r="AM189" i="26"/>
  <c r="AN189" i="26"/>
  <c r="AO189" i="26"/>
  <c r="D132" i="26"/>
  <c r="E132" i="26"/>
  <c r="F132" i="26"/>
  <c r="G132" i="26"/>
  <c r="H132" i="26"/>
  <c r="I132" i="26"/>
  <c r="J132" i="26"/>
  <c r="K132" i="26"/>
  <c r="L132" i="26"/>
  <c r="M132" i="26"/>
  <c r="N132" i="26"/>
  <c r="O132" i="26"/>
  <c r="P132" i="26"/>
  <c r="Q132" i="26"/>
  <c r="R132" i="26"/>
  <c r="S132" i="26"/>
  <c r="T132" i="26"/>
  <c r="U132" i="26"/>
  <c r="V132" i="26"/>
  <c r="W132" i="26"/>
  <c r="X132" i="26"/>
  <c r="Y132" i="26"/>
  <c r="Z132" i="26"/>
  <c r="AA132" i="26"/>
  <c r="AB132" i="26"/>
  <c r="AC132" i="26"/>
  <c r="AD132" i="26"/>
  <c r="AE132" i="26"/>
  <c r="AF132" i="26"/>
  <c r="AG132" i="26"/>
  <c r="AH132" i="26"/>
  <c r="AI132" i="26"/>
  <c r="AJ132" i="26"/>
  <c r="AK132" i="26"/>
  <c r="AL132" i="26"/>
  <c r="AM132" i="26"/>
  <c r="AN132" i="26"/>
  <c r="AO132" i="26"/>
  <c r="B132" i="26"/>
  <c r="BM67" i="26"/>
  <c r="BN67" i="26"/>
  <c r="BO67" i="26"/>
  <c r="BP67" i="26"/>
  <c r="BQ67" i="26"/>
  <c r="BR67" i="26"/>
  <c r="BS67" i="26"/>
  <c r="BT67" i="26"/>
  <c r="BU67" i="26"/>
  <c r="BV67" i="26"/>
  <c r="BW67" i="26"/>
  <c r="BX67" i="26"/>
  <c r="BY67" i="26"/>
  <c r="BZ67" i="26"/>
  <c r="CA67" i="26"/>
  <c r="CB67" i="26"/>
  <c r="CC67" i="26"/>
  <c r="CD67" i="26"/>
  <c r="CE67" i="26"/>
  <c r="CF67" i="26"/>
  <c r="CG67" i="26"/>
  <c r="CH67" i="26"/>
  <c r="CI67" i="26"/>
  <c r="CJ67" i="26"/>
  <c r="CK67" i="26"/>
  <c r="CL67" i="26"/>
  <c r="CM67" i="26"/>
  <c r="CN67" i="26"/>
  <c r="CO67" i="26"/>
  <c r="CP67" i="26"/>
  <c r="CQ67" i="26"/>
  <c r="CR67" i="26"/>
  <c r="CS67" i="26"/>
  <c r="CT67" i="26"/>
  <c r="CU67" i="26"/>
  <c r="CV67" i="26"/>
  <c r="CW67" i="26"/>
  <c r="CX67" i="26"/>
  <c r="CY67" i="26"/>
  <c r="CZ67" i="26"/>
  <c r="DA67" i="26"/>
  <c r="DB67" i="26"/>
  <c r="DC67" i="26"/>
  <c r="DD67" i="26"/>
  <c r="DE67" i="26"/>
  <c r="DF67" i="26"/>
  <c r="DG67" i="26"/>
  <c r="DH67" i="26"/>
  <c r="DI67" i="26"/>
  <c r="DJ67" i="26"/>
  <c r="DK67" i="26"/>
  <c r="DL67" i="26"/>
  <c r="DM67" i="26"/>
  <c r="DN67" i="26"/>
  <c r="DO67" i="26"/>
  <c r="DP67" i="26"/>
  <c r="DQ67" i="26"/>
  <c r="DR67" i="26"/>
  <c r="DS67" i="26"/>
  <c r="DT67" i="26"/>
  <c r="DU67" i="26"/>
  <c r="DW67" i="26"/>
  <c r="DX67" i="26"/>
  <c r="DY67" i="26"/>
  <c r="DZ67" i="26"/>
  <c r="BM68" i="26"/>
  <c r="BN68" i="26"/>
  <c r="BO68" i="26"/>
  <c r="BP68" i="26"/>
  <c r="BQ68" i="26"/>
  <c r="BR68" i="26"/>
  <c r="BS68" i="26"/>
  <c r="BT68" i="26"/>
  <c r="BU68" i="26"/>
  <c r="BV68" i="26"/>
  <c r="BW68" i="26"/>
  <c r="BX68" i="26"/>
  <c r="BY68" i="26"/>
  <c r="BZ68" i="26"/>
  <c r="CA68" i="26"/>
  <c r="CB68" i="26"/>
  <c r="CC68" i="26"/>
  <c r="CD68" i="26"/>
  <c r="CE68" i="26"/>
  <c r="CF68" i="26"/>
  <c r="CG68" i="26"/>
  <c r="CH68" i="26"/>
  <c r="CI68" i="26"/>
  <c r="CJ68" i="26"/>
  <c r="CK68" i="26"/>
  <c r="CL68" i="26"/>
  <c r="CM68" i="26"/>
  <c r="CN68" i="26"/>
  <c r="CO68" i="26"/>
  <c r="CP68" i="26"/>
  <c r="CQ68" i="26"/>
  <c r="CR68" i="26"/>
  <c r="CS68" i="26"/>
  <c r="CT68" i="26"/>
  <c r="CU68" i="26"/>
  <c r="CV68" i="26"/>
  <c r="CW68" i="26"/>
  <c r="CX68" i="26"/>
  <c r="CY68" i="26"/>
  <c r="CZ68" i="26"/>
  <c r="DA68" i="26"/>
  <c r="DB68" i="26"/>
  <c r="DC68" i="26"/>
  <c r="DD68" i="26"/>
  <c r="DE68" i="26"/>
  <c r="DF68" i="26"/>
  <c r="DG68" i="26"/>
  <c r="DH68" i="26"/>
  <c r="DI68" i="26"/>
  <c r="DJ68" i="26"/>
  <c r="DK68" i="26"/>
  <c r="DL68" i="26"/>
  <c r="DM68" i="26"/>
  <c r="DN68" i="26"/>
  <c r="DO68" i="26"/>
  <c r="DP68" i="26"/>
  <c r="DQ68" i="26"/>
  <c r="DR68" i="26"/>
  <c r="DS68" i="26"/>
  <c r="DT68" i="26"/>
  <c r="DU68" i="26"/>
  <c r="DW68" i="26"/>
  <c r="DX68" i="26"/>
  <c r="DY68" i="26"/>
  <c r="DZ68" i="26"/>
  <c r="BM69" i="26"/>
  <c r="BN69" i="26"/>
  <c r="BO69" i="26"/>
  <c r="BP69" i="26"/>
  <c r="BQ69" i="26"/>
  <c r="BR69" i="26"/>
  <c r="BS69" i="26"/>
  <c r="BT69" i="26"/>
  <c r="BU69" i="26"/>
  <c r="BV69" i="26"/>
  <c r="BW69" i="26"/>
  <c r="BX69" i="26"/>
  <c r="BY69" i="26"/>
  <c r="BZ69" i="26"/>
  <c r="CA69" i="26"/>
  <c r="CB69" i="26"/>
  <c r="CC69" i="26"/>
  <c r="CD69" i="26"/>
  <c r="CE69" i="26"/>
  <c r="CF69" i="26"/>
  <c r="CG69" i="26"/>
  <c r="CH69" i="26"/>
  <c r="CI69" i="26"/>
  <c r="CJ69" i="26"/>
  <c r="CK69" i="26"/>
  <c r="CL69" i="26"/>
  <c r="CM69" i="26"/>
  <c r="CN69" i="26"/>
  <c r="CO69" i="26"/>
  <c r="CP69" i="26"/>
  <c r="CQ69" i="26"/>
  <c r="CR69" i="26"/>
  <c r="CS69" i="26"/>
  <c r="CT69" i="26"/>
  <c r="CU69" i="26"/>
  <c r="CV69" i="26"/>
  <c r="CW69" i="26"/>
  <c r="CX69" i="26"/>
  <c r="CY69" i="26"/>
  <c r="CZ69" i="26"/>
  <c r="DA69" i="26"/>
  <c r="DB69" i="26"/>
  <c r="DC69" i="26"/>
  <c r="DD69" i="26"/>
  <c r="DE69" i="26"/>
  <c r="DF69" i="26"/>
  <c r="DG69" i="26"/>
  <c r="DH69" i="26"/>
  <c r="DI69" i="26"/>
  <c r="DJ69" i="26"/>
  <c r="DK69" i="26"/>
  <c r="DL69" i="26"/>
  <c r="DM69" i="26"/>
  <c r="DN69" i="26"/>
  <c r="DO69" i="26"/>
  <c r="DP69" i="26"/>
  <c r="DQ69" i="26"/>
  <c r="DR69" i="26"/>
  <c r="DS69" i="26"/>
  <c r="DT69" i="26"/>
  <c r="DU69" i="26"/>
  <c r="DW69" i="26"/>
  <c r="DX69" i="26"/>
  <c r="DY69" i="26"/>
  <c r="DZ69" i="26"/>
  <c r="BM70" i="26"/>
  <c r="BN70" i="26"/>
  <c r="BO70" i="26"/>
  <c r="BP70" i="26"/>
  <c r="BQ70" i="26"/>
  <c r="BR70" i="26"/>
  <c r="BS70" i="26"/>
  <c r="BT70" i="26"/>
  <c r="BU70" i="26"/>
  <c r="BV70" i="26"/>
  <c r="BW70" i="26"/>
  <c r="BX70" i="26"/>
  <c r="BY70" i="26"/>
  <c r="BZ70" i="26"/>
  <c r="CA70" i="26"/>
  <c r="CB70" i="26"/>
  <c r="CC70" i="26"/>
  <c r="CD70" i="26"/>
  <c r="CE70" i="26"/>
  <c r="CF70" i="26"/>
  <c r="CG70" i="26"/>
  <c r="CH70" i="26"/>
  <c r="CI70" i="26"/>
  <c r="CJ70" i="26"/>
  <c r="CK70" i="26"/>
  <c r="CL70" i="26"/>
  <c r="CM70" i="26"/>
  <c r="CN70" i="26"/>
  <c r="CO70" i="26"/>
  <c r="CP70" i="26"/>
  <c r="CQ70" i="26"/>
  <c r="CR70" i="26"/>
  <c r="CS70" i="26"/>
  <c r="CT70" i="26"/>
  <c r="CU70" i="26"/>
  <c r="CV70" i="26"/>
  <c r="CW70" i="26"/>
  <c r="CX70" i="26"/>
  <c r="CY70" i="26"/>
  <c r="CZ70" i="26"/>
  <c r="DA70" i="26"/>
  <c r="DB70" i="26"/>
  <c r="DC70" i="26"/>
  <c r="DD70" i="26"/>
  <c r="DE70" i="26"/>
  <c r="DF70" i="26"/>
  <c r="DG70" i="26"/>
  <c r="DH70" i="26"/>
  <c r="DI70" i="26"/>
  <c r="DJ70" i="26"/>
  <c r="DK70" i="26"/>
  <c r="DL70" i="26"/>
  <c r="DM70" i="26"/>
  <c r="DN70" i="26"/>
  <c r="DO70" i="26"/>
  <c r="DP70" i="26"/>
  <c r="DQ70" i="26"/>
  <c r="DR70" i="26"/>
  <c r="DS70" i="26"/>
  <c r="DT70" i="26"/>
  <c r="DU70" i="26"/>
  <c r="DW70" i="26"/>
  <c r="DX70" i="26"/>
  <c r="DY70" i="26"/>
  <c r="DZ70" i="26"/>
  <c r="BM71" i="26"/>
  <c r="BN71" i="26"/>
  <c r="BO71" i="26"/>
  <c r="BP71" i="26"/>
  <c r="BQ71" i="26"/>
  <c r="BR71" i="26"/>
  <c r="BS71" i="26"/>
  <c r="BT71" i="26"/>
  <c r="BU71" i="26"/>
  <c r="BV71" i="26"/>
  <c r="BW71" i="26"/>
  <c r="BX71" i="26"/>
  <c r="BY71" i="26"/>
  <c r="BZ71" i="26"/>
  <c r="CA71" i="26"/>
  <c r="CB71" i="26"/>
  <c r="CC71" i="26"/>
  <c r="CD71" i="26"/>
  <c r="CE71" i="26"/>
  <c r="CF71" i="26"/>
  <c r="CG71" i="26"/>
  <c r="CH71" i="26"/>
  <c r="CI71" i="26"/>
  <c r="CJ71" i="26"/>
  <c r="CK71" i="26"/>
  <c r="CL71" i="26"/>
  <c r="CM71" i="26"/>
  <c r="CN71" i="26"/>
  <c r="CO71" i="26"/>
  <c r="CP71" i="26"/>
  <c r="CQ71" i="26"/>
  <c r="CR71" i="26"/>
  <c r="CS71" i="26"/>
  <c r="CT71" i="26"/>
  <c r="CU71" i="26"/>
  <c r="CV71" i="26"/>
  <c r="CW71" i="26"/>
  <c r="CX71" i="26"/>
  <c r="CY71" i="26"/>
  <c r="CZ71" i="26"/>
  <c r="DA71" i="26"/>
  <c r="DB71" i="26"/>
  <c r="DC71" i="26"/>
  <c r="DD71" i="26"/>
  <c r="DE71" i="26"/>
  <c r="DF71" i="26"/>
  <c r="DG71" i="26"/>
  <c r="DH71" i="26"/>
  <c r="DI71" i="26"/>
  <c r="DJ71" i="26"/>
  <c r="DK71" i="26"/>
  <c r="DL71" i="26"/>
  <c r="DM71" i="26"/>
  <c r="DN71" i="26"/>
  <c r="DO71" i="26"/>
  <c r="DP71" i="26"/>
  <c r="DQ71" i="26"/>
  <c r="DR71" i="26"/>
  <c r="DS71" i="26"/>
  <c r="DT71" i="26"/>
  <c r="DU71" i="26"/>
  <c r="DW71" i="26"/>
  <c r="DX71" i="26"/>
  <c r="DY71" i="26"/>
  <c r="DZ71" i="26"/>
  <c r="BM72" i="26"/>
  <c r="BN72" i="26"/>
  <c r="BO72" i="26"/>
  <c r="BP72" i="26"/>
  <c r="BQ72" i="26"/>
  <c r="BR72" i="26"/>
  <c r="BS72" i="26"/>
  <c r="BT72" i="26"/>
  <c r="BU72" i="26"/>
  <c r="BV72" i="26"/>
  <c r="BW72" i="26"/>
  <c r="BX72" i="26"/>
  <c r="BY72" i="26"/>
  <c r="BZ72" i="26"/>
  <c r="CA72" i="26"/>
  <c r="CB72" i="26"/>
  <c r="CC72" i="26"/>
  <c r="CD72" i="26"/>
  <c r="CE72" i="26"/>
  <c r="CF72" i="26"/>
  <c r="CG72" i="26"/>
  <c r="CH72" i="26"/>
  <c r="CI72" i="26"/>
  <c r="CJ72" i="26"/>
  <c r="CK72" i="26"/>
  <c r="CL72" i="26"/>
  <c r="CM72" i="26"/>
  <c r="CN72" i="26"/>
  <c r="CO72" i="26"/>
  <c r="CP72" i="26"/>
  <c r="CQ72" i="26"/>
  <c r="CR72" i="26"/>
  <c r="CS72" i="26"/>
  <c r="CT72" i="26"/>
  <c r="CU72" i="26"/>
  <c r="CV72" i="26"/>
  <c r="CW72" i="26"/>
  <c r="CX72" i="26"/>
  <c r="CY72" i="26"/>
  <c r="CZ72" i="26"/>
  <c r="DA72" i="26"/>
  <c r="DB72" i="26"/>
  <c r="DC72" i="26"/>
  <c r="DD72" i="26"/>
  <c r="DE72" i="26"/>
  <c r="DF72" i="26"/>
  <c r="DG72" i="26"/>
  <c r="DH72" i="26"/>
  <c r="DI72" i="26"/>
  <c r="DJ72" i="26"/>
  <c r="DK72" i="26"/>
  <c r="DL72" i="26"/>
  <c r="DM72" i="26"/>
  <c r="DN72" i="26"/>
  <c r="DO72" i="26"/>
  <c r="DP72" i="26"/>
  <c r="DQ72" i="26"/>
  <c r="DR72" i="26"/>
  <c r="DS72" i="26"/>
  <c r="DT72" i="26"/>
  <c r="DU72" i="26"/>
  <c r="DW72" i="26"/>
  <c r="DX72" i="26"/>
  <c r="DY72" i="26"/>
  <c r="DZ72" i="26"/>
  <c r="BM73" i="26"/>
  <c r="BN73" i="26"/>
  <c r="BO73" i="26"/>
  <c r="BP73" i="26"/>
  <c r="BQ73" i="26"/>
  <c r="BR73" i="26"/>
  <c r="BS73" i="26"/>
  <c r="BT73" i="26"/>
  <c r="BU73" i="26"/>
  <c r="BV73" i="26"/>
  <c r="BW73" i="26"/>
  <c r="BX73" i="26"/>
  <c r="BY73" i="26"/>
  <c r="BZ73" i="26"/>
  <c r="CA73" i="26"/>
  <c r="CB73" i="26"/>
  <c r="CC73" i="26"/>
  <c r="CD73" i="26"/>
  <c r="CE73" i="26"/>
  <c r="CF73" i="26"/>
  <c r="CG73" i="26"/>
  <c r="CH73" i="26"/>
  <c r="CI73" i="26"/>
  <c r="CJ73" i="26"/>
  <c r="CK73" i="26"/>
  <c r="CL73" i="26"/>
  <c r="CM73" i="26"/>
  <c r="CN73" i="26"/>
  <c r="CO73" i="26"/>
  <c r="CP73" i="26"/>
  <c r="CQ73" i="26"/>
  <c r="CR73" i="26"/>
  <c r="CS73" i="26"/>
  <c r="CT73" i="26"/>
  <c r="CU73" i="26"/>
  <c r="CV73" i="26"/>
  <c r="CW73" i="26"/>
  <c r="CX73" i="26"/>
  <c r="CY73" i="26"/>
  <c r="CZ73" i="26"/>
  <c r="DA73" i="26"/>
  <c r="DB73" i="26"/>
  <c r="DC73" i="26"/>
  <c r="DD73" i="26"/>
  <c r="DE73" i="26"/>
  <c r="DF73" i="26"/>
  <c r="DG73" i="26"/>
  <c r="DH73" i="26"/>
  <c r="DI73" i="26"/>
  <c r="DJ73" i="26"/>
  <c r="DK73" i="26"/>
  <c r="DL73" i="26"/>
  <c r="DM73" i="26"/>
  <c r="DN73" i="26"/>
  <c r="DO73" i="26"/>
  <c r="DP73" i="26"/>
  <c r="DQ73" i="26"/>
  <c r="DR73" i="26"/>
  <c r="DS73" i="26"/>
  <c r="DT73" i="26"/>
  <c r="DU73" i="26"/>
  <c r="DW73" i="26"/>
  <c r="DX73" i="26"/>
  <c r="DY73" i="26"/>
  <c r="DZ73" i="26"/>
  <c r="BM74" i="26"/>
  <c r="BN74" i="26"/>
  <c r="BO74" i="26"/>
  <c r="BP74" i="26"/>
  <c r="BQ74" i="26"/>
  <c r="BR74" i="26"/>
  <c r="BS74" i="26"/>
  <c r="BT74" i="26"/>
  <c r="BU74" i="26"/>
  <c r="BV74" i="26"/>
  <c r="BW74" i="26"/>
  <c r="BX74" i="26"/>
  <c r="BY74" i="26"/>
  <c r="BZ74" i="26"/>
  <c r="CA74" i="26"/>
  <c r="CB74" i="26"/>
  <c r="CC74" i="26"/>
  <c r="CD74" i="26"/>
  <c r="CE74" i="26"/>
  <c r="CF74" i="26"/>
  <c r="CG74" i="26"/>
  <c r="CH74" i="26"/>
  <c r="CI74" i="26"/>
  <c r="CJ74" i="26"/>
  <c r="CK74" i="26"/>
  <c r="CL74" i="26"/>
  <c r="CM74" i="26"/>
  <c r="CN74" i="26"/>
  <c r="CO74" i="26"/>
  <c r="CP74" i="26"/>
  <c r="CQ74" i="26"/>
  <c r="CR74" i="26"/>
  <c r="CS74" i="26"/>
  <c r="CT74" i="26"/>
  <c r="CU74" i="26"/>
  <c r="CV74" i="26"/>
  <c r="CW74" i="26"/>
  <c r="CX74" i="26"/>
  <c r="CY74" i="26"/>
  <c r="CZ74" i="26"/>
  <c r="DA74" i="26"/>
  <c r="DB74" i="26"/>
  <c r="DC74" i="26"/>
  <c r="DD74" i="26"/>
  <c r="DE74" i="26"/>
  <c r="DF74" i="26"/>
  <c r="DG74" i="26"/>
  <c r="DH74" i="26"/>
  <c r="DI74" i="26"/>
  <c r="DJ74" i="26"/>
  <c r="DK74" i="26"/>
  <c r="DL74" i="26"/>
  <c r="DM74" i="26"/>
  <c r="DN74" i="26"/>
  <c r="DO74" i="26"/>
  <c r="DP74" i="26"/>
  <c r="DQ74" i="26"/>
  <c r="DR74" i="26"/>
  <c r="DS74" i="26"/>
  <c r="DT74" i="26"/>
  <c r="DU74" i="26"/>
  <c r="DW74" i="26"/>
  <c r="DX74" i="26"/>
  <c r="DY74" i="26"/>
  <c r="DZ74" i="26"/>
  <c r="BM75" i="26"/>
  <c r="BN75" i="26"/>
  <c r="BO75" i="26"/>
  <c r="BP75" i="26"/>
  <c r="BQ75" i="26"/>
  <c r="BR75" i="26"/>
  <c r="BS75" i="26"/>
  <c r="BT75" i="26"/>
  <c r="BU75" i="26"/>
  <c r="BV75" i="26"/>
  <c r="BW75" i="26"/>
  <c r="BX75" i="26"/>
  <c r="BY75" i="26"/>
  <c r="BZ75" i="26"/>
  <c r="CA75" i="26"/>
  <c r="CB75" i="26"/>
  <c r="CC75" i="26"/>
  <c r="CD75" i="26"/>
  <c r="CE75" i="26"/>
  <c r="CF75" i="26"/>
  <c r="CG75" i="26"/>
  <c r="CH75" i="26"/>
  <c r="CI75" i="26"/>
  <c r="CJ75" i="26"/>
  <c r="CK75" i="26"/>
  <c r="CL75" i="26"/>
  <c r="CM75" i="26"/>
  <c r="CN75" i="26"/>
  <c r="CO75" i="26"/>
  <c r="CP75" i="26"/>
  <c r="CQ75" i="26"/>
  <c r="CR75" i="26"/>
  <c r="CS75" i="26"/>
  <c r="CT75" i="26"/>
  <c r="CU75" i="26"/>
  <c r="CV75" i="26"/>
  <c r="CW75" i="26"/>
  <c r="CX75" i="26"/>
  <c r="CY75" i="26"/>
  <c r="CZ75" i="26"/>
  <c r="DA75" i="26"/>
  <c r="DB75" i="26"/>
  <c r="DC75" i="26"/>
  <c r="DD75" i="26"/>
  <c r="DE75" i="26"/>
  <c r="DF75" i="26"/>
  <c r="DG75" i="26"/>
  <c r="DH75" i="26"/>
  <c r="DI75" i="26"/>
  <c r="DJ75" i="26"/>
  <c r="DK75" i="26"/>
  <c r="DL75" i="26"/>
  <c r="DM75" i="26"/>
  <c r="DN75" i="26"/>
  <c r="DO75" i="26"/>
  <c r="DP75" i="26"/>
  <c r="DQ75" i="26"/>
  <c r="DR75" i="26"/>
  <c r="DS75" i="26"/>
  <c r="DT75" i="26"/>
  <c r="DU75" i="26"/>
  <c r="DW75" i="26"/>
  <c r="DX75" i="26"/>
  <c r="DY75" i="26"/>
  <c r="DZ75" i="26"/>
  <c r="BM76" i="26"/>
  <c r="BN76" i="26"/>
  <c r="BO76" i="26"/>
  <c r="BP76" i="26"/>
  <c r="BQ76" i="26"/>
  <c r="BR76" i="26"/>
  <c r="BS76" i="26"/>
  <c r="BT76" i="26"/>
  <c r="BU76" i="26"/>
  <c r="BV76" i="26"/>
  <c r="BW76" i="26"/>
  <c r="BX76" i="26"/>
  <c r="BY76" i="26"/>
  <c r="BZ76" i="26"/>
  <c r="CA76" i="26"/>
  <c r="CB76" i="26"/>
  <c r="CC76" i="26"/>
  <c r="CD76" i="26"/>
  <c r="CE76" i="26"/>
  <c r="CF76" i="26"/>
  <c r="CG76" i="26"/>
  <c r="CH76" i="26"/>
  <c r="CI76" i="26"/>
  <c r="CJ76" i="26"/>
  <c r="CK76" i="26"/>
  <c r="CL76" i="26"/>
  <c r="CM76" i="26"/>
  <c r="CN76" i="26"/>
  <c r="CO76" i="26"/>
  <c r="CP76" i="26"/>
  <c r="CQ76" i="26"/>
  <c r="CR76" i="26"/>
  <c r="CS76" i="26"/>
  <c r="CT76" i="26"/>
  <c r="CU76" i="26"/>
  <c r="CV76" i="26"/>
  <c r="CW76" i="26"/>
  <c r="CX76" i="26"/>
  <c r="CY76" i="26"/>
  <c r="CZ76" i="26"/>
  <c r="DA76" i="26"/>
  <c r="DB76" i="26"/>
  <c r="DC76" i="26"/>
  <c r="DD76" i="26"/>
  <c r="DE76" i="26"/>
  <c r="DF76" i="26"/>
  <c r="DG76" i="26"/>
  <c r="DH76" i="26"/>
  <c r="DI76" i="26"/>
  <c r="DJ76" i="26"/>
  <c r="DK76" i="26"/>
  <c r="DL76" i="26"/>
  <c r="DM76" i="26"/>
  <c r="DN76" i="26"/>
  <c r="DO76" i="26"/>
  <c r="DP76" i="26"/>
  <c r="DQ76" i="26"/>
  <c r="DR76" i="26"/>
  <c r="DS76" i="26"/>
  <c r="DT76" i="26"/>
  <c r="DU76" i="26"/>
  <c r="DW76" i="26"/>
  <c r="DX76" i="26"/>
  <c r="DY76" i="26"/>
  <c r="DZ76" i="26"/>
  <c r="BM77" i="26"/>
  <c r="BN77" i="26"/>
  <c r="BO77" i="26"/>
  <c r="BP77" i="26"/>
  <c r="BQ77" i="26"/>
  <c r="BR77" i="26"/>
  <c r="BS77" i="26"/>
  <c r="BT77" i="26"/>
  <c r="BU77" i="26"/>
  <c r="BV77" i="26"/>
  <c r="BW77" i="26"/>
  <c r="BX77" i="26"/>
  <c r="BY77" i="26"/>
  <c r="BZ77" i="26"/>
  <c r="CA77" i="26"/>
  <c r="CB77" i="26"/>
  <c r="CC77" i="26"/>
  <c r="CD77" i="26"/>
  <c r="CE77" i="26"/>
  <c r="CF77" i="26"/>
  <c r="CG77" i="26"/>
  <c r="CH77" i="26"/>
  <c r="CI77" i="26"/>
  <c r="CJ77" i="26"/>
  <c r="CK77" i="26"/>
  <c r="CL77" i="26"/>
  <c r="CM77" i="26"/>
  <c r="CN77" i="26"/>
  <c r="CO77" i="26"/>
  <c r="CP77" i="26"/>
  <c r="CQ77" i="26"/>
  <c r="CR77" i="26"/>
  <c r="CS77" i="26"/>
  <c r="CT77" i="26"/>
  <c r="CU77" i="26"/>
  <c r="CV77" i="26"/>
  <c r="CW77" i="26"/>
  <c r="CX77" i="26"/>
  <c r="CY77" i="26"/>
  <c r="CZ77" i="26"/>
  <c r="DA77" i="26"/>
  <c r="DB77" i="26"/>
  <c r="DC77" i="26"/>
  <c r="DD77" i="26"/>
  <c r="DE77" i="26"/>
  <c r="DF77" i="26"/>
  <c r="DG77" i="26"/>
  <c r="DH77" i="26"/>
  <c r="DI77" i="26"/>
  <c r="DJ77" i="26"/>
  <c r="DK77" i="26"/>
  <c r="DL77" i="26"/>
  <c r="DM77" i="26"/>
  <c r="DN77" i="26"/>
  <c r="DO77" i="26"/>
  <c r="DP77" i="26"/>
  <c r="DQ77" i="26"/>
  <c r="DR77" i="26"/>
  <c r="DS77" i="26"/>
  <c r="DT77" i="26"/>
  <c r="DU77" i="26"/>
  <c r="DW77" i="26"/>
  <c r="DX77" i="26"/>
  <c r="DY77" i="26"/>
  <c r="DZ77" i="26"/>
  <c r="BM78" i="26"/>
  <c r="BN78" i="26"/>
  <c r="BO78" i="26"/>
  <c r="BP78" i="26"/>
  <c r="BQ78" i="26"/>
  <c r="BR78" i="26"/>
  <c r="BS78" i="26"/>
  <c r="BT78" i="26"/>
  <c r="BU78" i="26"/>
  <c r="BV78" i="26"/>
  <c r="BW78" i="26"/>
  <c r="BX78" i="26"/>
  <c r="BY78" i="26"/>
  <c r="BZ78" i="26"/>
  <c r="CA78" i="26"/>
  <c r="CB78" i="26"/>
  <c r="CC78" i="26"/>
  <c r="CD78" i="26"/>
  <c r="CE78" i="26"/>
  <c r="CF78" i="26"/>
  <c r="CG78" i="26"/>
  <c r="CH78" i="26"/>
  <c r="CI78" i="26"/>
  <c r="CJ78" i="26"/>
  <c r="CK78" i="26"/>
  <c r="CL78" i="26"/>
  <c r="CM78" i="26"/>
  <c r="CN78" i="26"/>
  <c r="CO78" i="26"/>
  <c r="CP78" i="26"/>
  <c r="CQ78" i="26"/>
  <c r="CR78" i="26"/>
  <c r="CS78" i="26"/>
  <c r="CT78" i="26"/>
  <c r="CU78" i="26"/>
  <c r="CV78" i="26"/>
  <c r="CW78" i="26"/>
  <c r="CX78" i="26"/>
  <c r="CY78" i="26"/>
  <c r="CZ78" i="26"/>
  <c r="DA78" i="26"/>
  <c r="DB78" i="26"/>
  <c r="DC78" i="26"/>
  <c r="DD78" i="26"/>
  <c r="DE78" i="26"/>
  <c r="DF78" i="26"/>
  <c r="DG78" i="26"/>
  <c r="DH78" i="26"/>
  <c r="DI78" i="26"/>
  <c r="DJ78" i="26"/>
  <c r="DK78" i="26"/>
  <c r="DL78" i="26"/>
  <c r="DM78" i="26"/>
  <c r="DN78" i="26"/>
  <c r="DO78" i="26"/>
  <c r="DP78" i="26"/>
  <c r="DQ78" i="26"/>
  <c r="DR78" i="26"/>
  <c r="DS78" i="26"/>
  <c r="DT78" i="26"/>
  <c r="DU78" i="26"/>
  <c r="DW78" i="26"/>
  <c r="DX78" i="26"/>
  <c r="DY78" i="26"/>
  <c r="DZ78" i="26"/>
  <c r="BM79" i="26"/>
  <c r="BN79" i="26"/>
  <c r="BO79" i="26"/>
  <c r="BP79" i="26"/>
  <c r="BQ79" i="26"/>
  <c r="BR79" i="26"/>
  <c r="BS79" i="26"/>
  <c r="BT79" i="26"/>
  <c r="BU79" i="26"/>
  <c r="BV79" i="26"/>
  <c r="BW79" i="26"/>
  <c r="BX79" i="26"/>
  <c r="BY79" i="26"/>
  <c r="BZ79" i="26"/>
  <c r="CA79" i="26"/>
  <c r="CB79" i="26"/>
  <c r="CC79" i="26"/>
  <c r="CD79" i="26"/>
  <c r="CE79" i="26"/>
  <c r="CF79" i="26"/>
  <c r="CG79" i="26"/>
  <c r="CH79" i="26"/>
  <c r="CI79" i="26"/>
  <c r="CJ79" i="26"/>
  <c r="CK79" i="26"/>
  <c r="CL79" i="26"/>
  <c r="CM79" i="26"/>
  <c r="CN79" i="26"/>
  <c r="CO79" i="26"/>
  <c r="CP79" i="26"/>
  <c r="CQ79" i="26"/>
  <c r="CR79" i="26"/>
  <c r="CS79" i="26"/>
  <c r="CT79" i="26"/>
  <c r="CU79" i="26"/>
  <c r="CV79" i="26"/>
  <c r="CW79" i="26"/>
  <c r="CX79" i="26"/>
  <c r="CY79" i="26"/>
  <c r="CZ79" i="26"/>
  <c r="DA79" i="26"/>
  <c r="DB79" i="26"/>
  <c r="DC79" i="26"/>
  <c r="DD79" i="26"/>
  <c r="DE79" i="26"/>
  <c r="DF79" i="26"/>
  <c r="DG79" i="26"/>
  <c r="DH79" i="26"/>
  <c r="DI79" i="26"/>
  <c r="DJ79" i="26"/>
  <c r="DK79" i="26"/>
  <c r="DL79" i="26"/>
  <c r="DM79" i="26"/>
  <c r="DN79" i="26"/>
  <c r="DO79" i="26"/>
  <c r="DP79" i="26"/>
  <c r="DQ79" i="26"/>
  <c r="DR79" i="26"/>
  <c r="DS79" i="26"/>
  <c r="DT79" i="26"/>
  <c r="DU79" i="26"/>
  <c r="DW79" i="26"/>
  <c r="DX79" i="26"/>
  <c r="DY79" i="26"/>
  <c r="DZ79" i="26"/>
  <c r="BM80" i="26"/>
  <c r="BN80" i="26"/>
  <c r="BO80" i="26"/>
  <c r="BP80" i="26"/>
  <c r="BQ80" i="26"/>
  <c r="BR80" i="26"/>
  <c r="BS80" i="26"/>
  <c r="BT80" i="26"/>
  <c r="BU80" i="26"/>
  <c r="BV80" i="26"/>
  <c r="BW80" i="26"/>
  <c r="BX80" i="26"/>
  <c r="BY80" i="26"/>
  <c r="BZ80" i="26"/>
  <c r="CA80" i="26"/>
  <c r="CB80" i="26"/>
  <c r="CC80" i="26"/>
  <c r="CD80" i="26"/>
  <c r="CE80" i="26"/>
  <c r="CF80" i="26"/>
  <c r="CG80" i="26"/>
  <c r="CH80" i="26"/>
  <c r="CI80" i="26"/>
  <c r="CJ80" i="26"/>
  <c r="CK80" i="26"/>
  <c r="CL80" i="26"/>
  <c r="CM80" i="26"/>
  <c r="CN80" i="26"/>
  <c r="CO80" i="26"/>
  <c r="CP80" i="26"/>
  <c r="CQ80" i="26"/>
  <c r="CR80" i="26"/>
  <c r="CS80" i="26"/>
  <c r="CT80" i="26"/>
  <c r="CU80" i="26"/>
  <c r="CV80" i="26"/>
  <c r="CW80" i="26"/>
  <c r="CX80" i="26"/>
  <c r="CY80" i="26"/>
  <c r="CZ80" i="26"/>
  <c r="DA80" i="26"/>
  <c r="DB80" i="26"/>
  <c r="DC80" i="26"/>
  <c r="DD80" i="26"/>
  <c r="DE80" i="26"/>
  <c r="DF80" i="26"/>
  <c r="DG80" i="26"/>
  <c r="DH80" i="26"/>
  <c r="DI80" i="26"/>
  <c r="DJ80" i="26"/>
  <c r="DK80" i="26"/>
  <c r="DL80" i="26"/>
  <c r="DM80" i="26"/>
  <c r="DN80" i="26"/>
  <c r="DO80" i="26"/>
  <c r="DP80" i="26"/>
  <c r="DQ80" i="26"/>
  <c r="DR80" i="26"/>
  <c r="DS80" i="26"/>
  <c r="DT80" i="26"/>
  <c r="DU80" i="26"/>
  <c r="DW80" i="26"/>
  <c r="DX80" i="26"/>
  <c r="DY80" i="26"/>
  <c r="DZ80" i="26"/>
  <c r="BM81" i="26"/>
  <c r="BN81" i="26"/>
  <c r="BO81" i="26"/>
  <c r="BP81" i="26"/>
  <c r="BQ81" i="26"/>
  <c r="BR81" i="26"/>
  <c r="BS81" i="26"/>
  <c r="BT81" i="26"/>
  <c r="BU81" i="26"/>
  <c r="BV81" i="26"/>
  <c r="BW81" i="26"/>
  <c r="BX81" i="26"/>
  <c r="BY81" i="26"/>
  <c r="BZ81" i="26"/>
  <c r="CA81" i="26"/>
  <c r="CB81" i="26"/>
  <c r="CC81" i="26"/>
  <c r="CD81" i="26"/>
  <c r="CE81" i="26"/>
  <c r="CF81" i="26"/>
  <c r="CG81" i="26"/>
  <c r="CH81" i="26"/>
  <c r="CI81" i="26"/>
  <c r="CJ81" i="26"/>
  <c r="CK81" i="26"/>
  <c r="CL81" i="26"/>
  <c r="CM81" i="26"/>
  <c r="CN81" i="26"/>
  <c r="CO81" i="26"/>
  <c r="CP81" i="26"/>
  <c r="CQ81" i="26"/>
  <c r="CR81" i="26"/>
  <c r="CS81" i="26"/>
  <c r="CT81" i="26"/>
  <c r="CU81" i="26"/>
  <c r="CV81" i="26"/>
  <c r="CW81" i="26"/>
  <c r="CX81" i="26"/>
  <c r="CY81" i="26"/>
  <c r="CZ81" i="26"/>
  <c r="DA81" i="26"/>
  <c r="DB81" i="26"/>
  <c r="DC81" i="26"/>
  <c r="DD81" i="26"/>
  <c r="DE81" i="26"/>
  <c r="DF81" i="26"/>
  <c r="DG81" i="26"/>
  <c r="DH81" i="26"/>
  <c r="DI81" i="26"/>
  <c r="DJ81" i="26"/>
  <c r="DK81" i="26"/>
  <c r="DL81" i="26"/>
  <c r="DM81" i="26"/>
  <c r="DN81" i="26"/>
  <c r="DO81" i="26"/>
  <c r="DP81" i="26"/>
  <c r="DQ81" i="26"/>
  <c r="DR81" i="26"/>
  <c r="DS81" i="26"/>
  <c r="DT81" i="26"/>
  <c r="DU81" i="26"/>
  <c r="DW81" i="26"/>
  <c r="DX81" i="26"/>
  <c r="DY81" i="26"/>
  <c r="DZ81" i="26"/>
  <c r="BM82" i="26"/>
  <c r="BN82" i="26"/>
  <c r="BO82" i="26"/>
  <c r="BP82" i="26"/>
  <c r="BQ82" i="26"/>
  <c r="BR82" i="26"/>
  <c r="BS82" i="26"/>
  <c r="BT82" i="26"/>
  <c r="BU82" i="26"/>
  <c r="BV82" i="26"/>
  <c r="BW82" i="26"/>
  <c r="BX82" i="26"/>
  <c r="BY82" i="26"/>
  <c r="BZ82" i="26"/>
  <c r="CA82" i="26"/>
  <c r="CB82" i="26"/>
  <c r="CC82" i="26"/>
  <c r="CD82" i="26"/>
  <c r="CE82" i="26"/>
  <c r="CF82" i="26"/>
  <c r="CG82" i="26"/>
  <c r="CH82" i="26"/>
  <c r="CI82" i="26"/>
  <c r="CJ82" i="26"/>
  <c r="CK82" i="26"/>
  <c r="CL82" i="26"/>
  <c r="CM82" i="26"/>
  <c r="CN82" i="26"/>
  <c r="CO82" i="26"/>
  <c r="CP82" i="26"/>
  <c r="CQ82" i="26"/>
  <c r="CR82" i="26"/>
  <c r="CS82" i="26"/>
  <c r="CT82" i="26"/>
  <c r="CU82" i="26"/>
  <c r="CV82" i="26"/>
  <c r="CW82" i="26"/>
  <c r="CX82" i="26"/>
  <c r="CY82" i="26"/>
  <c r="CZ82" i="26"/>
  <c r="DA82" i="26"/>
  <c r="DB82" i="26"/>
  <c r="DC82" i="26"/>
  <c r="DD82" i="26"/>
  <c r="DE82" i="26"/>
  <c r="DF82" i="26"/>
  <c r="DG82" i="26"/>
  <c r="DH82" i="26"/>
  <c r="DI82" i="26"/>
  <c r="DJ82" i="26"/>
  <c r="DK82" i="26"/>
  <c r="DL82" i="26"/>
  <c r="DM82" i="26"/>
  <c r="DN82" i="26"/>
  <c r="DO82" i="26"/>
  <c r="DP82" i="26"/>
  <c r="DQ82" i="26"/>
  <c r="DR82" i="26"/>
  <c r="DS82" i="26"/>
  <c r="DT82" i="26"/>
  <c r="DU82" i="26"/>
  <c r="DW82" i="26"/>
  <c r="DX82" i="26"/>
  <c r="DY82" i="26"/>
  <c r="DZ82" i="26"/>
  <c r="BM83" i="26"/>
  <c r="BN83" i="26"/>
  <c r="BO83" i="26"/>
  <c r="BP83" i="26"/>
  <c r="BQ83" i="26"/>
  <c r="BR83" i="26"/>
  <c r="BS83" i="26"/>
  <c r="BT83" i="26"/>
  <c r="BU83" i="26"/>
  <c r="BV83" i="26"/>
  <c r="BW83" i="26"/>
  <c r="BX83" i="26"/>
  <c r="BY83" i="26"/>
  <c r="BZ83" i="26"/>
  <c r="CA83" i="26"/>
  <c r="CB83" i="26"/>
  <c r="CC83" i="26"/>
  <c r="CD83" i="26"/>
  <c r="CE83" i="26"/>
  <c r="CF83" i="26"/>
  <c r="CG83" i="26"/>
  <c r="CH83" i="26"/>
  <c r="CI83" i="26"/>
  <c r="CJ83" i="26"/>
  <c r="CK83" i="26"/>
  <c r="CL83" i="26"/>
  <c r="CM83" i="26"/>
  <c r="CN83" i="26"/>
  <c r="CO83" i="26"/>
  <c r="CP83" i="26"/>
  <c r="CQ83" i="26"/>
  <c r="CR83" i="26"/>
  <c r="CS83" i="26"/>
  <c r="CT83" i="26"/>
  <c r="CU83" i="26"/>
  <c r="CV83" i="26"/>
  <c r="CW83" i="26"/>
  <c r="CX83" i="26"/>
  <c r="CY83" i="26"/>
  <c r="CZ83" i="26"/>
  <c r="DA83" i="26"/>
  <c r="DB83" i="26"/>
  <c r="DC83" i="26"/>
  <c r="DD83" i="26"/>
  <c r="DE83" i="26"/>
  <c r="DF83" i="26"/>
  <c r="DG83" i="26"/>
  <c r="DH83" i="26"/>
  <c r="DI83" i="26"/>
  <c r="DJ83" i="26"/>
  <c r="DK83" i="26"/>
  <c r="DL83" i="26"/>
  <c r="DM83" i="26"/>
  <c r="DN83" i="26"/>
  <c r="DO83" i="26"/>
  <c r="DP83" i="26"/>
  <c r="DQ83" i="26"/>
  <c r="DR83" i="26"/>
  <c r="DS83" i="26"/>
  <c r="DT83" i="26"/>
  <c r="DU83" i="26"/>
  <c r="DW83" i="26"/>
  <c r="DX83" i="26"/>
  <c r="DY83" i="26"/>
  <c r="DZ83" i="26"/>
  <c r="BM84" i="26"/>
  <c r="BN84" i="26"/>
  <c r="BO84" i="26"/>
  <c r="BP84" i="26"/>
  <c r="BQ84" i="26"/>
  <c r="BR84" i="26"/>
  <c r="BS84" i="26"/>
  <c r="BT84" i="26"/>
  <c r="BU84" i="26"/>
  <c r="BV84" i="26"/>
  <c r="BW84" i="26"/>
  <c r="BX84" i="26"/>
  <c r="BY84" i="26"/>
  <c r="BZ84" i="26"/>
  <c r="CA84" i="26"/>
  <c r="CB84" i="26"/>
  <c r="CC84" i="26"/>
  <c r="CD84" i="26"/>
  <c r="CE84" i="26"/>
  <c r="CF84" i="26"/>
  <c r="CG84" i="26"/>
  <c r="CH84" i="26"/>
  <c r="CI84" i="26"/>
  <c r="CJ84" i="26"/>
  <c r="CK84" i="26"/>
  <c r="CL84" i="26"/>
  <c r="CM84" i="26"/>
  <c r="CN84" i="26"/>
  <c r="CO84" i="26"/>
  <c r="CP84" i="26"/>
  <c r="CQ84" i="26"/>
  <c r="CR84" i="26"/>
  <c r="CS84" i="26"/>
  <c r="CT84" i="26"/>
  <c r="CU84" i="26"/>
  <c r="CV84" i="26"/>
  <c r="CW84" i="26"/>
  <c r="CX84" i="26"/>
  <c r="CY84" i="26"/>
  <c r="CZ84" i="26"/>
  <c r="DA84" i="26"/>
  <c r="DB84" i="26"/>
  <c r="DC84" i="26"/>
  <c r="DD84" i="26"/>
  <c r="DE84" i="26"/>
  <c r="DF84" i="26"/>
  <c r="DG84" i="26"/>
  <c r="DH84" i="26"/>
  <c r="DI84" i="26"/>
  <c r="DJ84" i="26"/>
  <c r="DK84" i="26"/>
  <c r="DL84" i="26"/>
  <c r="DM84" i="26"/>
  <c r="DN84" i="26"/>
  <c r="DO84" i="26"/>
  <c r="DP84" i="26"/>
  <c r="DQ84" i="26"/>
  <c r="DR84" i="26"/>
  <c r="DS84" i="26"/>
  <c r="DT84" i="26"/>
  <c r="DU84" i="26"/>
  <c r="DW84" i="26"/>
  <c r="DX84" i="26"/>
  <c r="DY84" i="26"/>
  <c r="DZ84" i="26"/>
  <c r="BM85" i="26"/>
  <c r="BN85" i="26"/>
  <c r="BO85" i="26"/>
  <c r="BP85" i="26"/>
  <c r="BQ85" i="26"/>
  <c r="BR85" i="26"/>
  <c r="BS85" i="26"/>
  <c r="BT85" i="26"/>
  <c r="BU85" i="26"/>
  <c r="BV85" i="26"/>
  <c r="BW85" i="26"/>
  <c r="BX85" i="26"/>
  <c r="BY85" i="26"/>
  <c r="BZ85" i="26"/>
  <c r="CA85" i="26"/>
  <c r="CB85" i="26"/>
  <c r="CC85" i="26"/>
  <c r="CD85" i="26"/>
  <c r="CE85" i="26"/>
  <c r="CF85" i="26"/>
  <c r="CG85" i="26"/>
  <c r="CH85" i="26"/>
  <c r="CI85" i="26"/>
  <c r="CJ85" i="26"/>
  <c r="CK85" i="26"/>
  <c r="CL85" i="26"/>
  <c r="CM85" i="26"/>
  <c r="CN85" i="26"/>
  <c r="CO85" i="26"/>
  <c r="CP85" i="26"/>
  <c r="CQ85" i="26"/>
  <c r="CR85" i="26"/>
  <c r="CS85" i="26"/>
  <c r="CT85" i="26"/>
  <c r="CU85" i="26"/>
  <c r="CV85" i="26"/>
  <c r="CW85" i="26"/>
  <c r="CX85" i="26"/>
  <c r="CY85" i="26"/>
  <c r="CZ85" i="26"/>
  <c r="DA85" i="26"/>
  <c r="DB85" i="26"/>
  <c r="DC85" i="26"/>
  <c r="DD85" i="26"/>
  <c r="DE85" i="26"/>
  <c r="DF85" i="26"/>
  <c r="DG85" i="26"/>
  <c r="DH85" i="26"/>
  <c r="DI85" i="26"/>
  <c r="DJ85" i="26"/>
  <c r="DK85" i="26"/>
  <c r="DL85" i="26"/>
  <c r="DM85" i="26"/>
  <c r="DN85" i="26"/>
  <c r="DO85" i="26"/>
  <c r="DP85" i="26"/>
  <c r="DQ85" i="26"/>
  <c r="DR85" i="26"/>
  <c r="DS85" i="26"/>
  <c r="DT85" i="26"/>
  <c r="DU85" i="26"/>
  <c r="DW85" i="26"/>
  <c r="DX85" i="26"/>
  <c r="DY85" i="26"/>
  <c r="DZ85" i="26"/>
  <c r="BM86" i="26"/>
  <c r="BN86" i="26"/>
  <c r="BO86" i="26"/>
  <c r="BP86" i="26"/>
  <c r="BQ86" i="26"/>
  <c r="BR86" i="26"/>
  <c r="BS86" i="26"/>
  <c r="BT86" i="26"/>
  <c r="BU86" i="26"/>
  <c r="BV86" i="26"/>
  <c r="BW86" i="26"/>
  <c r="BX86" i="26"/>
  <c r="BY86" i="26"/>
  <c r="BZ86" i="26"/>
  <c r="CA86" i="26"/>
  <c r="CB86" i="26"/>
  <c r="CC86" i="26"/>
  <c r="CD86" i="26"/>
  <c r="CE86" i="26"/>
  <c r="CF86" i="26"/>
  <c r="CG86" i="26"/>
  <c r="CH86" i="26"/>
  <c r="CI86" i="26"/>
  <c r="CJ86" i="26"/>
  <c r="CK86" i="26"/>
  <c r="CL86" i="26"/>
  <c r="CM86" i="26"/>
  <c r="CN86" i="26"/>
  <c r="CO86" i="26"/>
  <c r="CP86" i="26"/>
  <c r="CQ86" i="26"/>
  <c r="CR86" i="26"/>
  <c r="CS86" i="26"/>
  <c r="CT86" i="26"/>
  <c r="CU86" i="26"/>
  <c r="CV86" i="26"/>
  <c r="CW86" i="26"/>
  <c r="CX86" i="26"/>
  <c r="CY86" i="26"/>
  <c r="CZ86" i="26"/>
  <c r="DA86" i="26"/>
  <c r="DB86" i="26"/>
  <c r="DC86" i="26"/>
  <c r="DD86" i="26"/>
  <c r="DE86" i="26"/>
  <c r="DF86" i="26"/>
  <c r="DG86" i="26"/>
  <c r="DH86" i="26"/>
  <c r="DI86" i="26"/>
  <c r="DJ86" i="26"/>
  <c r="DK86" i="26"/>
  <c r="DL86" i="26"/>
  <c r="DM86" i="26"/>
  <c r="DN86" i="26"/>
  <c r="DO86" i="26"/>
  <c r="DP86" i="26"/>
  <c r="DQ86" i="26"/>
  <c r="DR86" i="26"/>
  <c r="DS86" i="26"/>
  <c r="DT86" i="26"/>
  <c r="DU86" i="26"/>
  <c r="DW86" i="26"/>
  <c r="DX86" i="26"/>
  <c r="DY86" i="26"/>
  <c r="DZ86" i="26"/>
  <c r="BM87" i="26"/>
  <c r="BN87" i="26"/>
  <c r="BO87" i="26"/>
  <c r="BP87" i="26"/>
  <c r="BQ87" i="26"/>
  <c r="BR87" i="26"/>
  <c r="BS87" i="26"/>
  <c r="BT87" i="26"/>
  <c r="BU87" i="26"/>
  <c r="BV87" i="26"/>
  <c r="BW87" i="26"/>
  <c r="BX87" i="26"/>
  <c r="BY87" i="26"/>
  <c r="BZ87" i="26"/>
  <c r="CA87" i="26"/>
  <c r="CB87" i="26"/>
  <c r="CC87" i="26"/>
  <c r="CD87" i="26"/>
  <c r="CE87" i="26"/>
  <c r="CF87" i="26"/>
  <c r="CG87" i="26"/>
  <c r="CH87" i="26"/>
  <c r="CI87" i="26"/>
  <c r="CJ87" i="26"/>
  <c r="CK87" i="26"/>
  <c r="CL87" i="26"/>
  <c r="CM87" i="26"/>
  <c r="CN87" i="26"/>
  <c r="CO87" i="26"/>
  <c r="CP87" i="26"/>
  <c r="CQ87" i="26"/>
  <c r="CR87" i="26"/>
  <c r="CS87" i="26"/>
  <c r="CT87" i="26"/>
  <c r="CU87" i="26"/>
  <c r="CV87" i="26"/>
  <c r="CW87" i="26"/>
  <c r="CX87" i="26"/>
  <c r="CY87" i="26"/>
  <c r="CZ87" i="26"/>
  <c r="DA87" i="26"/>
  <c r="DB87" i="26"/>
  <c r="DC87" i="26"/>
  <c r="DD87" i="26"/>
  <c r="DE87" i="26"/>
  <c r="DF87" i="26"/>
  <c r="DG87" i="26"/>
  <c r="DH87" i="26"/>
  <c r="DI87" i="26"/>
  <c r="DJ87" i="26"/>
  <c r="DK87" i="26"/>
  <c r="DL87" i="26"/>
  <c r="DM87" i="26"/>
  <c r="DN87" i="26"/>
  <c r="DO87" i="26"/>
  <c r="DP87" i="26"/>
  <c r="DQ87" i="26"/>
  <c r="DR87" i="26"/>
  <c r="DS87" i="26"/>
  <c r="DT87" i="26"/>
  <c r="DU87" i="26"/>
  <c r="DW87" i="26"/>
  <c r="DX87" i="26"/>
  <c r="DY87" i="26"/>
  <c r="DZ87" i="26"/>
  <c r="BM88" i="26"/>
  <c r="BN88" i="26"/>
  <c r="BO88" i="26"/>
  <c r="BP88" i="26"/>
  <c r="BQ88" i="26"/>
  <c r="BR88" i="26"/>
  <c r="BS88" i="26"/>
  <c r="BT88" i="26"/>
  <c r="BU88" i="26"/>
  <c r="BV88" i="26"/>
  <c r="BW88" i="26"/>
  <c r="BX88" i="26"/>
  <c r="BY88" i="26"/>
  <c r="BZ88" i="26"/>
  <c r="CA88" i="26"/>
  <c r="CB88" i="26"/>
  <c r="CC88" i="26"/>
  <c r="CD88" i="26"/>
  <c r="CE88" i="26"/>
  <c r="CF88" i="26"/>
  <c r="CG88" i="26"/>
  <c r="CH88" i="26"/>
  <c r="CI88" i="26"/>
  <c r="CJ88" i="26"/>
  <c r="CK88" i="26"/>
  <c r="CL88" i="26"/>
  <c r="CM88" i="26"/>
  <c r="CN88" i="26"/>
  <c r="CO88" i="26"/>
  <c r="CP88" i="26"/>
  <c r="CQ88" i="26"/>
  <c r="CR88" i="26"/>
  <c r="CS88" i="26"/>
  <c r="CT88" i="26"/>
  <c r="CU88" i="26"/>
  <c r="CV88" i="26"/>
  <c r="CW88" i="26"/>
  <c r="CX88" i="26"/>
  <c r="CY88" i="26"/>
  <c r="CZ88" i="26"/>
  <c r="DA88" i="26"/>
  <c r="DB88" i="26"/>
  <c r="DC88" i="26"/>
  <c r="DD88" i="26"/>
  <c r="DE88" i="26"/>
  <c r="DF88" i="26"/>
  <c r="DG88" i="26"/>
  <c r="DH88" i="26"/>
  <c r="DI88" i="26"/>
  <c r="DJ88" i="26"/>
  <c r="DK88" i="26"/>
  <c r="DL88" i="26"/>
  <c r="DM88" i="26"/>
  <c r="DN88" i="26"/>
  <c r="DO88" i="26"/>
  <c r="DP88" i="26"/>
  <c r="DQ88" i="26"/>
  <c r="DR88" i="26"/>
  <c r="DS88" i="26"/>
  <c r="DT88" i="26"/>
  <c r="DU88" i="26"/>
  <c r="DW88" i="26"/>
  <c r="DX88" i="26"/>
  <c r="DY88" i="26"/>
  <c r="DZ88" i="26"/>
  <c r="BM89" i="26"/>
  <c r="BN89" i="26"/>
  <c r="BO89" i="26"/>
  <c r="BP89" i="26"/>
  <c r="BQ89" i="26"/>
  <c r="BR89" i="26"/>
  <c r="BS89" i="26"/>
  <c r="BT89" i="26"/>
  <c r="BU89" i="26"/>
  <c r="BV89" i="26"/>
  <c r="BW89" i="26"/>
  <c r="BX89" i="26"/>
  <c r="BY89" i="26"/>
  <c r="BZ89" i="26"/>
  <c r="CA89" i="26"/>
  <c r="CB89" i="26"/>
  <c r="CC89" i="26"/>
  <c r="CD89" i="26"/>
  <c r="CE89" i="26"/>
  <c r="CF89" i="26"/>
  <c r="CG89" i="26"/>
  <c r="CH89" i="26"/>
  <c r="CI89" i="26"/>
  <c r="CJ89" i="26"/>
  <c r="CK89" i="26"/>
  <c r="CL89" i="26"/>
  <c r="CM89" i="26"/>
  <c r="CN89" i="26"/>
  <c r="CO89" i="26"/>
  <c r="CP89" i="26"/>
  <c r="CQ89" i="26"/>
  <c r="CR89" i="26"/>
  <c r="CS89" i="26"/>
  <c r="CT89" i="26"/>
  <c r="CU89" i="26"/>
  <c r="CV89" i="26"/>
  <c r="CW89" i="26"/>
  <c r="CX89" i="26"/>
  <c r="CY89" i="26"/>
  <c r="CZ89" i="26"/>
  <c r="DA89" i="26"/>
  <c r="DB89" i="26"/>
  <c r="DC89" i="26"/>
  <c r="DD89" i="26"/>
  <c r="DE89" i="26"/>
  <c r="DF89" i="26"/>
  <c r="DG89" i="26"/>
  <c r="DH89" i="26"/>
  <c r="DI89" i="26"/>
  <c r="DJ89" i="26"/>
  <c r="DK89" i="26"/>
  <c r="DL89" i="26"/>
  <c r="DM89" i="26"/>
  <c r="DN89" i="26"/>
  <c r="DO89" i="26"/>
  <c r="DP89" i="26"/>
  <c r="DQ89" i="26"/>
  <c r="DR89" i="26"/>
  <c r="DS89" i="26"/>
  <c r="DT89" i="26"/>
  <c r="DU89" i="26"/>
  <c r="DW89" i="26"/>
  <c r="DX89" i="26"/>
  <c r="DY89" i="26"/>
  <c r="DZ89" i="26"/>
  <c r="BM90" i="26"/>
  <c r="BN90" i="26"/>
  <c r="BO90" i="26"/>
  <c r="BP90" i="26"/>
  <c r="BQ90" i="26"/>
  <c r="BR90" i="26"/>
  <c r="BS90" i="26"/>
  <c r="BT90" i="26"/>
  <c r="BU90" i="26"/>
  <c r="BV90" i="26"/>
  <c r="BW90" i="26"/>
  <c r="BX90" i="26"/>
  <c r="BY90" i="26"/>
  <c r="BZ90" i="26"/>
  <c r="CA90" i="26"/>
  <c r="CB90" i="26"/>
  <c r="CC90" i="26"/>
  <c r="CD90" i="26"/>
  <c r="CE90" i="26"/>
  <c r="CF90" i="26"/>
  <c r="CG90" i="26"/>
  <c r="CH90" i="26"/>
  <c r="CI90" i="26"/>
  <c r="CJ90" i="26"/>
  <c r="CK90" i="26"/>
  <c r="CL90" i="26"/>
  <c r="CM90" i="26"/>
  <c r="CN90" i="26"/>
  <c r="CO90" i="26"/>
  <c r="CP90" i="26"/>
  <c r="CQ90" i="26"/>
  <c r="CR90" i="26"/>
  <c r="CS90" i="26"/>
  <c r="CT90" i="26"/>
  <c r="CU90" i="26"/>
  <c r="CV90" i="26"/>
  <c r="CW90" i="26"/>
  <c r="CX90" i="26"/>
  <c r="CY90" i="26"/>
  <c r="CZ90" i="26"/>
  <c r="DA90" i="26"/>
  <c r="DB90" i="26"/>
  <c r="DC90" i="26"/>
  <c r="DD90" i="26"/>
  <c r="DE90" i="26"/>
  <c r="DF90" i="26"/>
  <c r="DG90" i="26"/>
  <c r="DH90" i="26"/>
  <c r="DI90" i="26"/>
  <c r="DJ90" i="26"/>
  <c r="DK90" i="26"/>
  <c r="DL90" i="26"/>
  <c r="DM90" i="26"/>
  <c r="DN90" i="26"/>
  <c r="DO90" i="26"/>
  <c r="DP90" i="26"/>
  <c r="DQ90" i="26"/>
  <c r="DR90" i="26"/>
  <c r="DS90" i="26"/>
  <c r="DT90" i="26"/>
  <c r="DU90" i="26"/>
  <c r="DW90" i="26"/>
  <c r="DX90" i="26"/>
  <c r="DY90" i="26"/>
  <c r="DZ90" i="26"/>
  <c r="BM91" i="26"/>
  <c r="BN91" i="26"/>
  <c r="BO91" i="26"/>
  <c r="BP91" i="26"/>
  <c r="BQ91" i="26"/>
  <c r="BR91" i="26"/>
  <c r="BS91" i="26"/>
  <c r="BT91" i="26"/>
  <c r="BU91" i="26"/>
  <c r="BV91" i="26"/>
  <c r="BW91" i="26"/>
  <c r="BX91" i="26"/>
  <c r="BY91" i="26"/>
  <c r="BZ91" i="26"/>
  <c r="CA91" i="26"/>
  <c r="CB91" i="26"/>
  <c r="CC91" i="26"/>
  <c r="CD91" i="26"/>
  <c r="CE91" i="26"/>
  <c r="CF91" i="26"/>
  <c r="CG91" i="26"/>
  <c r="CH91" i="26"/>
  <c r="CI91" i="26"/>
  <c r="CJ91" i="26"/>
  <c r="CK91" i="26"/>
  <c r="CL91" i="26"/>
  <c r="CM91" i="26"/>
  <c r="CN91" i="26"/>
  <c r="CO91" i="26"/>
  <c r="CP91" i="26"/>
  <c r="CQ91" i="26"/>
  <c r="CR91" i="26"/>
  <c r="CS91" i="26"/>
  <c r="CT91" i="26"/>
  <c r="CU91" i="26"/>
  <c r="CV91" i="26"/>
  <c r="CW91" i="26"/>
  <c r="CX91" i="26"/>
  <c r="CY91" i="26"/>
  <c r="CZ91" i="26"/>
  <c r="DA91" i="26"/>
  <c r="DB91" i="26"/>
  <c r="DC91" i="26"/>
  <c r="DD91" i="26"/>
  <c r="DE91" i="26"/>
  <c r="DF91" i="26"/>
  <c r="DG91" i="26"/>
  <c r="DH91" i="26"/>
  <c r="DI91" i="26"/>
  <c r="DJ91" i="26"/>
  <c r="DK91" i="26"/>
  <c r="DL91" i="26"/>
  <c r="DM91" i="26"/>
  <c r="DN91" i="26"/>
  <c r="DO91" i="26"/>
  <c r="DP91" i="26"/>
  <c r="DQ91" i="26"/>
  <c r="DR91" i="26"/>
  <c r="DS91" i="26"/>
  <c r="DT91" i="26"/>
  <c r="DU91" i="26"/>
  <c r="DW91" i="26"/>
  <c r="DX91" i="26"/>
  <c r="DY91" i="26"/>
  <c r="DZ91" i="26"/>
  <c r="BM92" i="26"/>
  <c r="BN92" i="26"/>
  <c r="BO92" i="26"/>
  <c r="BP92" i="26"/>
  <c r="BQ92" i="26"/>
  <c r="BR92" i="26"/>
  <c r="BS92" i="26"/>
  <c r="BT92" i="26"/>
  <c r="BU92" i="26"/>
  <c r="BV92" i="26"/>
  <c r="BW92" i="26"/>
  <c r="BX92" i="26"/>
  <c r="BY92" i="26"/>
  <c r="BZ92" i="26"/>
  <c r="CA92" i="26"/>
  <c r="CB92" i="26"/>
  <c r="CC92" i="26"/>
  <c r="CD92" i="26"/>
  <c r="CE92" i="26"/>
  <c r="CF92" i="26"/>
  <c r="CG92" i="26"/>
  <c r="CH92" i="26"/>
  <c r="CI92" i="26"/>
  <c r="CJ92" i="26"/>
  <c r="CK92" i="26"/>
  <c r="CL92" i="26"/>
  <c r="CM92" i="26"/>
  <c r="CN92" i="26"/>
  <c r="CO92" i="26"/>
  <c r="CP92" i="26"/>
  <c r="CQ92" i="26"/>
  <c r="CR92" i="26"/>
  <c r="CS92" i="26"/>
  <c r="CT92" i="26"/>
  <c r="CU92" i="26"/>
  <c r="CV92" i="26"/>
  <c r="CW92" i="26"/>
  <c r="CX92" i="26"/>
  <c r="CY92" i="26"/>
  <c r="CZ92" i="26"/>
  <c r="DA92" i="26"/>
  <c r="DB92" i="26"/>
  <c r="DC92" i="26"/>
  <c r="DD92" i="26"/>
  <c r="DE92" i="26"/>
  <c r="DF92" i="26"/>
  <c r="DG92" i="26"/>
  <c r="DH92" i="26"/>
  <c r="DI92" i="26"/>
  <c r="DJ92" i="26"/>
  <c r="DK92" i="26"/>
  <c r="DL92" i="26"/>
  <c r="DM92" i="26"/>
  <c r="DN92" i="26"/>
  <c r="DO92" i="26"/>
  <c r="DP92" i="26"/>
  <c r="DQ92" i="26"/>
  <c r="DR92" i="26"/>
  <c r="DS92" i="26"/>
  <c r="DT92" i="26"/>
  <c r="DU92" i="26"/>
  <c r="DW92" i="26"/>
  <c r="DX92" i="26"/>
  <c r="DY92" i="26"/>
  <c r="DZ92" i="26"/>
  <c r="BM93" i="26"/>
  <c r="BN93" i="26"/>
  <c r="BO93" i="26"/>
  <c r="BP93" i="26"/>
  <c r="BQ93" i="26"/>
  <c r="BR93" i="26"/>
  <c r="BS93" i="26"/>
  <c r="BT93" i="26"/>
  <c r="BU93" i="26"/>
  <c r="BV93" i="26"/>
  <c r="BW93" i="26"/>
  <c r="BX93" i="26"/>
  <c r="BY93" i="26"/>
  <c r="BZ93" i="26"/>
  <c r="CA93" i="26"/>
  <c r="CB93" i="26"/>
  <c r="CC93" i="26"/>
  <c r="CD93" i="26"/>
  <c r="CE93" i="26"/>
  <c r="CF93" i="26"/>
  <c r="CG93" i="26"/>
  <c r="CH93" i="26"/>
  <c r="CI93" i="26"/>
  <c r="CJ93" i="26"/>
  <c r="CK93" i="26"/>
  <c r="CL93" i="26"/>
  <c r="CM93" i="26"/>
  <c r="CN93" i="26"/>
  <c r="CO93" i="26"/>
  <c r="CP93" i="26"/>
  <c r="CQ93" i="26"/>
  <c r="CR93" i="26"/>
  <c r="CS93" i="26"/>
  <c r="CT93" i="26"/>
  <c r="CU93" i="26"/>
  <c r="CV93" i="26"/>
  <c r="CW93" i="26"/>
  <c r="CX93" i="26"/>
  <c r="CY93" i="26"/>
  <c r="CZ93" i="26"/>
  <c r="DA93" i="26"/>
  <c r="DB93" i="26"/>
  <c r="DC93" i="26"/>
  <c r="DD93" i="26"/>
  <c r="DE93" i="26"/>
  <c r="DF93" i="26"/>
  <c r="DG93" i="26"/>
  <c r="DH93" i="26"/>
  <c r="DI93" i="26"/>
  <c r="DJ93" i="26"/>
  <c r="DK93" i="26"/>
  <c r="DL93" i="26"/>
  <c r="DM93" i="26"/>
  <c r="DN93" i="26"/>
  <c r="DO93" i="26"/>
  <c r="DP93" i="26"/>
  <c r="DQ93" i="26"/>
  <c r="DR93" i="26"/>
  <c r="DS93" i="26"/>
  <c r="DT93" i="26"/>
  <c r="DU93" i="26"/>
  <c r="DW93" i="26"/>
  <c r="DX93" i="26"/>
  <c r="DY93" i="26"/>
  <c r="DZ93" i="26"/>
  <c r="BM94" i="26"/>
  <c r="BN94" i="26"/>
  <c r="BO94" i="26"/>
  <c r="BP94" i="26"/>
  <c r="BQ94" i="26"/>
  <c r="BR94" i="26"/>
  <c r="BS94" i="26"/>
  <c r="BT94" i="26"/>
  <c r="BU94" i="26"/>
  <c r="BV94" i="26"/>
  <c r="BW94" i="26"/>
  <c r="BX94" i="26"/>
  <c r="BY94" i="26"/>
  <c r="BZ94" i="26"/>
  <c r="CA94" i="26"/>
  <c r="CB94" i="26"/>
  <c r="CC94" i="26"/>
  <c r="CD94" i="26"/>
  <c r="CE94" i="26"/>
  <c r="CF94" i="26"/>
  <c r="CG94" i="26"/>
  <c r="CH94" i="26"/>
  <c r="CI94" i="26"/>
  <c r="CJ94" i="26"/>
  <c r="CK94" i="26"/>
  <c r="CL94" i="26"/>
  <c r="CM94" i="26"/>
  <c r="CN94" i="26"/>
  <c r="CO94" i="26"/>
  <c r="CP94" i="26"/>
  <c r="CQ94" i="26"/>
  <c r="CR94" i="26"/>
  <c r="CS94" i="26"/>
  <c r="CT94" i="26"/>
  <c r="CU94" i="26"/>
  <c r="CV94" i="26"/>
  <c r="CW94" i="26"/>
  <c r="CX94" i="26"/>
  <c r="CY94" i="26"/>
  <c r="CZ94" i="26"/>
  <c r="DA94" i="26"/>
  <c r="DB94" i="26"/>
  <c r="DC94" i="26"/>
  <c r="DD94" i="26"/>
  <c r="DE94" i="26"/>
  <c r="DF94" i="26"/>
  <c r="DG94" i="26"/>
  <c r="DH94" i="26"/>
  <c r="DI94" i="26"/>
  <c r="DJ94" i="26"/>
  <c r="DK94" i="26"/>
  <c r="DL94" i="26"/>
  <c r="DM94" i="26"/>
  <c r="DN94" i="26"/>
  <c r="DO94" i="26"/>
  <c r="DP94" i="26"/>
  <c r="DQ94" i="26"/>
  <c r="DR94" i="26"/>
  <c r="DS94" i="26"/>
  <c r="DT94" i="26"/>
  <c r="DU94" i="26"/>
  <c r="DW94" i="26"/>
  <c r="DX94" i="26"/>
  <c r="DY94" i="26"/>
  <c r="DZ94" i="26"/>
  <c r="BM95" i="26"/>
  <c r="BN95" i="26"/>
  <c r="BO95" i="26"/>
  <c r="BP95" i="26"/>
  <c r="BQ95" i="26"/>
  <c r="BR95" i="26"/>
  <c r="BS95" i="26"/>
  <c r="BT95" i="26"/>
  <c r="BU95" i="26"/>
  <c r="BV95" i="26"/>
  <c r="BW95" i="26"/>
  <c r="BX95" i="26"/>
  <c r="BY95" i="26"/>
  <c r="BZ95" i="26"/>
  <c r="CA95" i="26"/>
  <c r="CB95" i="26"/>
  <c r="CC95" i="26"/>
  <c r="CD95" i="26"/>
  <c r="CE95" i="26"/>
  <c r="CF95" i="26"/>
  <c r="CG95" i="26"/>
  <c r="CH95" i="26"/>
  <c r="CI95" i="26"/>
  <c r="CJ95" i="26"/>
  <c r="CK95" i="26"/>
  <c r="CL95" i="26"/>
  <c r="CM95" i="26"/>
  <c r="CN95" i="26"/>
  <c r="CO95" i="26"/>
  <c r="CP95" i="26"/>
  <c r="CQ95" i="26"/>
  <c r="CR95" i="26"/>
  <c r="CS95" i="26"/>
  <c r="CT95" i="26"/>
  <c r="CU95" i="26"/>
  <c r="CV95" i="26"/>
  <c r="CW95" i="26"/>
  <c r="CX95" i="26"/>
  <c r="CY95" i="26"/>
  <c r="CZ95" i="26"/>
  <c r="DA95" i="26"/>
  <c r="DB95" i="26"/>
  <c r="DC95" i="26"/>
  <c r="DD95" i="26"/>
  <c r="DE95" i="26"/>
  <c r="DF95" i="26"/>
  <c r="DG95" i="26"/>
  <c r="DH95" i="26"/>
  <c r="DI95" i="26"/>
  <c r="DJ95" i="26"/>
  <c r="DK95" i="26"/>
  <c r="DL95" i="26"/>
  <c r="DM95" i="26"/>
  <c r="DN95" i="26"/>
  <c r="DO95" i="26"/>
  <c r="DP95" i="26"/>
  <c r="DQ95" i="26"/>
  <c r="DR95" i="26"/>
  <c r="DS95" i="26"/>
  <c r="DT95" i="26"/>
  <c r="DU95" i="26"/>
  <c r="DW95" i="26"/>
  <c r="DX95" i="26"/>
  <c r="DY95" i="26"/>
  <c r="DZ95" i="26"/>
  <c r="BM96" i="26"/>
  <c r="BN96" i="26"/>
  <c r="BO96" i="26"/>
  <c r="BP96" i="26"/>
  <c r="BQ96" i="26"/>
  <c r="BR96" i="26"/>
  <c r="BS96" i="26"/>
  <c r="BT96" i="26"/>
  <c r="BU96" i="26"/>
  <c r="BV96" i="26"/>
  <c r="BW96" i="26"/>
  <c r="BX96" i="26"/>
  <c r="BY96" i="26"/>
  <c r="BZ96" i="26"/>
  <c r="CA96" i="26"/>
  <c r="CB96" i="26"/>
  <c r="CC96" i="26"/>
  <c r="CD96" i="26"/>
  <c r="CE96" i="26"/>
  <c r="CF96" i="26"/>
  <c r="CG96" i="26"/>
  <c r="CH96" i="26"/>
  <c r="CI96" i="26"/>
  <c r="CJ96" i="26"/>
  <c r="CK96" i="26"/>
  <c r="CL96" i="26"/>
  <c r="CM96" i="26"/>
  <c r="CN96" i="26"/>
  <c r="CO96" i="26"/>
  <c r="CP96" i="26"/>
  <c r="CQ96" i="26"/>
  <c r="CR96" i="26"/>
  <c r="CS96" i="26"/>
  <c r="CT96" i="26"/>
  <c r="CU96" i="26"/>
  <c r="CV96" i="26"/>
  <c r="CW96" i="26"/>
  <c r="CX96" i="26"/>
  <c r="CY96" i="26"/>
  <c r="CZ96" i="26"/>
  <c r="DA96" i="26"/>
  <c r="DB96" i="26"/>
  <c r="DC96" i="26"/>
  <c r="DD96" i="26"/>
  <c r="DE96" i="26"/>
  <c r="DF96" i="26"/>
  <c r="DG96" i="26"/>
  <c r="DH96" i="26"/>
  <c r="DI96" i="26"/>
  <c r="DJ96" i="26"/>
  <c r="DK96" i="26"/>
  <c r="DL96" i="26"/>
  <c r="DM96" i="26"/>
  <c r="DN96" i="26"/>
  <c r="DO96" i="26"/>
  <c r="DP96" i="26"/>
  <c r="DQ96" i="26"/>
  <c r="DR96" i="26"/>
  <c r="DS96" i="26"/>
  <c r="DT96" i="26"/>
  <c r="DU96" i="26"/>
  <c r="DW96" i="26"/>
  <c r="DX96" i="26"/>
  <c r="DY96" i="26"/>
  <c r="DZ96" i="26"/>
  <c r="BM97" i="26"/>
  <c r="BN97" i="26"/>
  <c r="BO97" i="26"/>
  <c r="BP97" i="26"/>
  <c r="BQ97" i="26"/>
  <c r="BR97" i="26"/>
  <c r="BS97" i="26"/>
  <c r="BT97" i="26"/>
  <c r="BU97" i="26"/>
  <c r="BV97" i="26"/>
  <c r="BW97" i="26"/>
  <c r="BX97" i="26"/>
  <c r="BY97" i="26"/>
  <c r="BZ97" i="26"/>
  <c r="CA97" i="26"/>
  <c r="CB97" i="26"/>
  <c r="CC97" i="26"/>
  <c r="CD97" i="26"/>
  <c r="CE97" i="26"/>
  <c r="CF97" i="26"/>
  <c r="CG97" i="26"/>
  <c r="CH97" i="26"/>
  <c r="CI97" i="26"/>
  <c r="CJ97" i="26"/>
  <c r="CK97" i="26"/>
  <c r="CL97" i="26"/>
  <c r="CM97" i="26"/>
  <c r="CN97" i="26"/>
  <c r="CO97" i="26"/>
  <c r="CP97" i="26"/>
  <c r="CQ97" i="26"/>
  <c r="CR97" i="26"/>
  <c r="CS97" i="26"/>
  <c r="CT97" i="26"/>
  <c r="CU97" i="26"/>
  <c r="CV97" i="26"/>
  <c r="CW97" i="26"/>
  <c r="CX97" i="26"/>
  <c r="CY97" i="26"/>
  <c r="CZ97" i="26"/>
  <c r="DA97" i="26"/>
  <c r="DB97" i="26"/>
  <c r="DC97" i="26"/>
  <c r="DD97" i="26"/>
  <c r="DE97" i="26"/>
  <c r="DF97" i="26"/>
  <c r="DG97" i="26"/>
  <c r="DH97" i="26"/>
  <c r="DI97" i="26"/>
  <c r="DJ97" i="26"/>
  <c r="DK97" i="26"/>
  <c r="DL97" i="26"/>
  <c r="DM97" i="26"/>
  <c r="DN97" i="26"/>
  <c r="DO97" i="26"/>
  <c r="DP97" i="26"/>
  <c r="DQ97" i="26"/>
  <c r="DR97" i="26"/>
  <c r="DS97" i="26"/>
  <c r="DT97" i="26"/>
  <c r="DU97" i="26"/>
  <c r="DW97" i="26"/>
  <c r="DX97" i="26"/>
  <c r="DY97" i="26"/>
  <c r="DZ97" i="26"/>
  <c r="BM98" i="26"/>
  <c r="BN98" i="26"/>
  <c r="BO98" i="26"/>
  <c r="BP98" i="26"/>
  <c r="BQ98" i="26"/>
  <c r="BR98" i="26"/>
  <c r="BS98" i="26"/>
  <c r="BT98" i="26"/>
  <c r="BU98" i="26"/>
  <c r="BV98" i="26"/>
  <c r="BW98" i="26"/>
  <c r="BX98" i="26"/>
  <c r="BY98" i="26"/>
  <c r="BZ98" i="26"/>
  <c r="CA98" i="26"/>
  <c r="CB98" i="26"/>
  <c r="CC98" i="26"/>
  <c r="CD98" i="26"/>
  <c r="CE98" i="26"/>
  <c r="CF98" i="26"/>
  <c r="CG98" i="26"/>
  <c r="CH98" i="26"/>
  <c r="CI98" i="26"/>
  <c r="CJ98" i="26"/>
  <c r="CK98" i="26"/>
  <c r="CL98" i="26"/>
  <c r="CM98" i="26"/>
  <c r="CN98" i="26"/>
  <c r="CO98" i="26"/>
  <c r="CP98" i="26"/>
  <c r="CQ98" i="26"/>
  <c r="CR98" i="26"/>
  <c r="CS98" i="26"/>
  <c r="CT98" i="26"/>
  <c r="CU98" i="26"/>
  <c r="CV98" i="26"/>
  <c r="CW98" i="26"/>
  <c r="CX98" i="26"/>
  <c r="CY98" i="26"/>
  <c r="CZ98" i="26"/>
  <c r="DA98" i="26"/>
  <c r="DB98" i="26"/>
  <c r="DC98" i="26"/>
  <c r="DD98" i="26"/>
  <c r="DE98" i="26"/>
  <c r="DF98" i="26"/>
  <c r="DG98" i="26"/>
  <c r="DH98" i="26"/>
  <c r="DI98" i="26"/>
  <c r="DJ98" i="26"/>
  <c r="DK98" i="26"/>
  <c r="DL98" i="26"/>
  <c r="DM98" i="26"/>
  <c r="DN98" i="26"/>
  <c r="DO98" i="26"/>
  <c r="DP98" i="26"/>
  <c r="DQ98" i="26"/>
  <c r="DR98" i="26"/>
  <c r="DS98" i="26"/>
  <c r="DT98" i="26"/>
  <c r="DU98" i="26"/>
  <c r="DW98" i="26"/>
  <c r="DX98" i="26"/>
  <c r="DY98" i="26"/>
  <c r="DZ98" i="26"/>
  <c r="BM99" i="26"/>
  <c r="BN99" i="26"/>
  <c r="BO99" i="26"/>
  <c r="BP99" i="26"/>
  <c r="BQ99" i="26"/>
  <c r="BR99" i="26"/>
  <c r="BS99" i="26"/>
  <c r="BT99" i="26"/>
  <c r="BU99" i="26"/>
  <c r="BV99" i="26"/>
  <c r="BW99" i="26"/>
  <c r="BX99" i="26"/>
  <c r="BY99" i="26"/>
  <c r="BZ99" i="26"/>
  <c r="CA99" i="26"/>
  <c r="CB99" i="26"/>
  <c r="CC99" i="26"/>
  <c r="CD99" i="26"/>
  <c r="CE99" i="26"/>
  <c r="CF99" i="26"/>
  <c r="CG99" i="26"/>
  <c r="CH99" i="26"/>
  <c r="CI99" i="26"/>
  <c r="CJ99" i="26"/>
  <c r="CK99" i="26"/>
  <c r="CL99" i="26"/>
  <c r="CM99" i="26"/>
  <c r="CN99" i="26"/>
  <c r="CO99" i="26"/>
  <c r="CP99" i="26"/>
  <c r="CQ99" i="26"/>
  <c r="CR99" i="26"/>
  <c r="CS99" i="26"/>
  <c r="CT99" i="26"/>
  <c r="CU99" i="26"/>
  <c r="CV99" i="26"/>
  <c r="CW99" i="26"/>
  <c r="CX99" i="26"/>
  <c r="CY99" i="26"/>
  <c r="CZ99" i="26"/>
  <c r="DA99" i="26"/>
  <c r="DB99" i="26"/>
  <c r="DC99" i="26"/>
  <c r="DD99" i="26"/>
  <c r="DE99" i="26"/>
  <c r="DF99" i="26"/>
  <c r="DG99" i="26"/>
  <c r="DH99" i="26"/>
  <c r="DI99" i="26"/>
  <c r="DJ99" i="26"/>
  <c r="DK99" i="26"/>
  <c r="DL99" i="26"/>
  <c r="DM99" i="26"/>
  <c r="DN99" i="26"/>
  <c r="DO99" i="26"/>
  <c r="DP99" i="26"/>
  <c r="DQ99" i="26"/>
  <c r="DR99" i="26"/>
  <c r="DS99" i="26"/>
  <c r="DT99" i="26"/>
  <c r="DU99" i="26"/>
  <c r="DW99" i="26"/>
  <c r="DX99" i="26"/>
  <c r="DY99" i="26"/>
  <c r="DZ99" i="26"/>
  <c r="BM100" i="26"/>
  <c r="BN100" i="26"/>
  <c r="BO100" i="26"/>
  <c r="BP100" i="26"/>
  <c r="BQ100" i="26"/>
  <c r="BR100" i="26"/>
  <c r="BS100" i="26"/>
  <c r="BT100" i="26"/>
  <c r="BU100" i="26"/>
  <c r="BV100" i="26"/>
  <c r="BW100" i="26"/>
  <c r="BX100" i="26"/>
  <c r="BY100" i="26"/>
  <c r="BZ100" i="26"/>
  <c r="CA100" i="26"/>
  <c r="CB100" i="26"/>
  <c r="CC100" i="26"/>
  <c r="CD100" i="26"/>
  <c r="CE100" i="26"/>
  <c r="CF100" i="26"/>
  <c r="CG100" i="26"/>
  <c r="CH100" i="26"/>
  <c r="CI100" i="26"/>
  <c r="CJ100" i="26"/>
  <c r="CK100" i="26"/>
  <c r="CL100" i="26"/>
  <c r="CM100" i="26"/>
  <c r="CN100" i="26"/>
  <c r="CO100" i="26"/>
  <c r="CP100" i="26"/>
  <c r="CQ100" i="26"/>
  <c r="CR100" i="26"/>
  <c r="CS100" i="26"/>
  <c r="CT100" i="26"/>
  <c r="CU100" i="26"/>
  <c r="CV100" i="26"/>
  <c r="CW100" i="26"/>
  <c r="CX100" i="26"/>
  <c r="CY100" i="26"/>
  <c r="CZ100" i="26"/>
  <c r="DA100" i="26"/>
  <c r="DB100" i="26"/>
  <c r="DC100" i="26"/>
  <c r="DD100" i="26"/>
  <c r="DE100" i="26"/>
  <c r="DF100" i="26"/>
  <c r="DG100" i="26"/>
  <c r="DH100" i="26"/>
  <c r="DI100" i="26"/>
  <c r="DJ100" i="26"/>
  <c r="DK100" i="26"/>
  <c r="DL100" i="26"/>
  <c r="DM100" i="26"/>
  <c r="DN100" i="26"/>
  <c r="DO100" i="26"/>
  <c r="DP100" i="26"/>
  <c r="DQ100" i="26"/>
  <c r="DR100" i="26"/>
  <c r="DS100" i="26"/>
  <c r="DT100" i="26"/>
  <c r="DU100" i="26"/>
  <c r="DW100" i="26"/>
  <c r="DX100" i="26"/>
  <c r="DY100" i="26"/>
  <c r="DZ100" i="26"/>
  <c r="BM101" i="26"/>
  <c r="BN101" i="26"/>
  <c r="BO101" i="26"/>
  <c r="BP101" i="26"/>
  <c r="BQ101" i="26"/>
  <c r="BR101" i="26"/>
  <c r="BS101" i="26"/>
  <c r="BT101" i="26"/>
  <c r="BU101" i="26"/>
  <c r="BV101" i="26"/>
  <c r="BW101" i="26"/>
  <c r="BX101" i="26"/>
  <c r="BY101" i="26"/>
  <c r="BZ101" i="26"/>
  <c r="CA101" i="26"/>
  <c r="CB101" i="26"/>
  <c r="CC101" i="26"/>
  <c r="CD101" i="26"/>
  <c r="CE101" i="26"/>
  <c r="CF101" i="26"/>
  <c r="CG101" i="26"/>
  <c r="CH101" i="26"/>
  <c r="CI101" i="26"/>
  <c r="CJ101" i="26"/>
  <c r="CK101" i="26"/>
  <c r="CL101" i="26"/>
  <c r="CM101" i="26"/>
  <c r="CN101" i="26"/>
  <c r="CO101" i="26"/>
  <c r="CP101" i="26"/>
  <c r="CQ101" i="26"/>
  <c r="CR101" i="26"/>
  <c r="CS101" i="26"/>
  <c r="CT101" i="26"/>
  <c r="CU101" i="26"/>
  <c r="CV101" i="26"/>
  <c r="CW101" i="26"/>
  <c r="CX101" i="26"/>
  <c r="CY101" i="26"/>
  <c r="CZ101" i="26"/>
  <c r="DA101" i="26"/>
  <c r="DB101" i="26"/>
  <c r="DC101" i="26"/>
  <c r="DD101" i="26"/>
  <c r="DE101" i="26"/>
  <c r="DF101" i="26"/>
  <c r="DG101" i="26"/>
  <c r="DH101" i="26"/>
  <c r="DI101" i="26"/>
  <c r="DJ101" i="26"/>
  <c r="DK101" i="26"/>
  <c r="DL101" i="26"/>
  <c r="DM101" i="26"/>
  <c r="DN101" i="26"/>
  <c r="DO101" i="26"/>
  <c r="DP101" i="26"/>
  <c r="DQ101" i="26"/>
  <c r="DR101" i="26"/>
  <c r="DS101" i="26"/>
  <c r="DT101" i="26"/>
  <c r="DU101" i="26"/>
  <c r="DW101" i="26"/>
  <c r="DX101" i="26"/>
  <c r="DY101" i="26"/>
  <c r="DZ101" i="26"/>
  <c r="BM102" i="26"/>
  <c r="BN102" i="26"/>
  <c r="BO102" i="26"/>
  <c r="BP102" i="26"/>
  <c r="BQ102" i="26"/>
  <c r="BR102" i="26"/>
  <c r="BS102" i="26"/>
  <c r="BT102" i="26"/>
  <c r="BU102" i="26"/>
  <c r="BV102" i="26"/>
  <c r="BW102" i="26"/>
  <c r="BX102" i="26"/>
  <c r="BY102" i="26"/>
  <c r="BZ102" i="26"/>
  <c r="CA102" i="26"/>
  <c r="CB102" i="26"/>
  <c r="CC102" i="26"/>
  <c r="CD102" i="26"/>
  <c r="CE102" i="26"/>
  <c r="CF102" i="26"/>
  <c r="CG102" i="26"/>
  <c r="CH102" i="26"/>
  <c r="CI102" i="26"/>
  <c r="CJ102" i="26"/>
  <c r="CK102" i="26"/>
  <c r="CL102" i="26"/>
  <c r="CM102" i="26"/>
  <c r="CN102" i="26"/>
  <c r="CO102" i="26"/>
  <c r="CP102" i="26"/>
  <c r="CQ102" i="26"/>
  <c r="CR102" i="26"/>
  <c r="CS102" i="26"/>
  <c r="CT102" i="26"/>
  <c r="CU102" i="26"/>
  <c r="CV102" i="26"/>
  <c r="CW102" i="26"/>
  <c r="CX102" i="26"/>
  <c r="CY102" i="26"/>
  <c r="CZ102" i="26"/>
  <c r="DA102" i="26"/>
  <c r="DB102" i="26"/>
  <c r="DC102" i="26"/>
  <c r="DD102" i="26"/>
  <c r="DE102" i="26"/>
  <c r="DF102" i="26"/>
  <c r="DG102" i="26"/>
  <c r="DH102" i="26"/>
  <c r="DI102" i="26"/>
  <c r="DJ102" i="26"/>
  <c r="DK102" i="26"/>
  <c r="DL102" i="26"/>
  <c r="DM102" i="26"/>
  <c r="DN102" i="26"/>
  <c r="DO102" i="26"/>
  <c r="DP102" i="26"/>
  <c r="DQ102" i="26"/>
  <c r="DR102" i="26"/>
  <c r="DS102" i="26"/>
  <c r="DT102" i="26"/>
  <c r="DU102" i="26"/>
  <c r="DW102" i="26"/>
  <c r="DX102" i="26"/>
  <c r="DY102" i="26"/>
  <c r="DZ102" i="26"/>
  <c r="BM103" i="26"/>
  <c r="BN103" i="26"/>
  <c r="BO103" i="26"/>
  <c r="BP103" i="26"/>
  <c r="BQ103" i="26"/>
  <c r="BR103" i="26"/>
  <c r="BS103" i="26"/>
  <c r="BT103" i="26"/>
  <c r="BU103" i="26"/>
  <c r="BV103" i="26"/>
  <c r="BW103" i="26"/>
  <c r="BX103" i="26"/>
  <c r="BY103" i="26"/>
  <c r="BZ103" i="26"/>
  <c r="CA103" i="26"/>
  <c r="CB103" i="26"/>
  <c r="CC103" i="26"/>
  <c r="CD103" i="26"/>
  <c r="CE103" i="26"/>
  <c r="CF103" i="26"/>
  <c r="CG103" i="26"/>
  <c r="CH103" i="26"/>
  <c r="CI103" i="26"/>
  <c r="CJ103" i="26"/>
  <c r="CK103" i="26"/>
  <c r="CL103" i="26"/>
  <c r="CM103" i="26"/>
  <c r="CN103" i="26"/>
  <c r="CO103" i="26"/>
  <c r="CP103" i="26"/>
  <c r="CQ103" i="26"/>
  <c r="CR103" i="26"/>
  <c r="CS103" i="26"/>
  <c r="CT103" i="26"/>
  <c r="CU103" i="26"/>
  <c r="CV103" i="26"/>
  <c r="CW103" i="26"/>
  <c r="CX103" i="26"/>
  <c r="CY103" i="26"/>
  <c r="CZ103" i="26"/>
  <c r="DA103" i="26"/>
  <c r="DB103" i="26"/>
  <c r="DC103" i="26"/>
  <c r="DD103" i="26"/>
  <c r="DE103" i="26"/>
  <c r="DF103" i="26"/>
  <c r="DG103" i="26"/>
  <c r="DH103" i="26"/>
  <c r="DI103" i="26"/>
  <c r="DJ103" i="26"/>
  <c r="DK103" i="26"/>
  <c r="DL103" i="26"/>
  <c r="DM103" i="26"/>
  <c r="DN103" i="26"/>
  <c r="DO103" i="26"/>
  <c r="DP103" i="26"/>
  <c r="DQ103" i="26"/>
  <c r="DR103" i="26"/>
  <c r="DS103" i="26"/>
  <c r="DT103" i="26"/>
  <c r="DU103" i="26"/>
  <c r="DW103" i="26"/>
  <c r="DX103" i="26"/>
  <c r="DY103" i="26"/>
  <c r="DZ103" i="26"/>
  <c r="BM104" i="26"/>
  <c r="BN104" i="26"/>
  <c r="BO104" i="26"/>
  <c r="BP104" i="26"/>
  <c r="BQ104" i="26"/>
  <c r="BR104" i="26"/>
  <c r="BS104" i="26"/>
  <c r="BT104" i="26"/>
  <c r="BU104" i="26"/>
  <c r="BV104" i="26"/>
  <c r="BW104" i="26"/>
  <c r="BX104" i="26"/>
  <c r="BY104" i="26"/>
  <c r="BZ104" i="26"/>
  <c r="CA104" i="26"/>
  <c r="CB104" i="26"/>
  <c r="CC104" i="26"/>
  <c r="CD104" i="26"/>
  <c r="CE104" i="26"/>
  <c r="CF104" i="26"/>
  <c r="CG104" i="26"/>
  <c r="CH104" i="26"/>
  <c r="CI104" i="26"/>
  <c r="CJ104" i="26"/>
  <c r="CK104" i="26"/>
  <c r="CL104" i="26"/>
  <c r="CM104" i="26"/>
  <c r="CN104" i="26"/>
  <c r="CO104" i="26"/>
  <c r="CP104" i="26"/>
  <c r="CQ104" i="26"/>
  <c r="CR104" i="26"/>
  <c r="CS104" i="26"/>
  <c r="CT104" i="26"/>
  <c r="CU104" i="26"/>
  <c r="CV104" i="26"/>
  <c r="CW104" i="26"/>
  <c r="CX104" i="26"/>
  <c r="CY104" i="26"/>
  <c r="CZ104" i="26"/>
  <c r="DA104" i="26"/>
  <c r="DB104" i="26"/>
  <c r="DC104" i="26"/>
  <c r="DD104" i="26"/>
  <c r="DE104" i="26"/>
  <c r="DF104" i="26"/>
  <c r="DG104" i="26"/>
  <c r="DH104" i="26"/>
  <c r="DI104" i="26"/>
  <c r="DJ104" i="26"/>
  <c r="DK104" i="26"/>
  <c r="DL104" i="26"/>
  <c r="DM104" i="26"/>
  <c r="DN104" i="26"/>
  <c r="DO104" i="26"/>
  <c r="DP104" i="26"/>
  <c r="DQ104" i="26"/>
  <c r="DR104" i="26"/>
  <c r="DS104" i="26"/>
  <c r="DT104" i="26"/>
  <c r="DU104" i="26"/>
  <c r="DW104" i="26"/>
  <c r="DX104" i="26"/>
  <c r="DY104" i="26"/>
  <c r="DZ104" i="26"/>
  <c r="BM105" i="26"/>
  <c r="BN105" i="26"/>
  <c r="BO105" i="26"/>
  <c r="BP105" i="26"/>
  <c r="BQ105" i="26"/>
  <c r="BR105" i="26"/>
  <c r="BS105" i="26"/>
  <c r="BT105" i="26"/>
  <c r="BU105" i="26"/>
  <c r="BV105" i="26"/>
  <c r="BW105" i="26"/>
  <c r="BX105" i="26"/>
  <c r="BY105" i="26"/>
  <c r="BZ105" i="26"/>
  <c r="CA105" i="26"/>
  <c r="CB105" i="26"/>
  <c r="CC105" i="26"/>
  <c r="CD105" i="26"/>
  <c r="CE105" i="26"/>
  <c r="CF105" i="26"/>
  <c r="CG105" i="26"/>
  <c r="CH105" i="26"/>
  <c r="CI105" i="26"/>
  <c r="CJ105" i="26"/>
  <c r="CK105" i="26"/>
  <c r="CL105" i="26"/>
  <c r="CM105" i="26"/>
  <c r="CN105" i="26"/>
  <c r="CO105" i="26"/>
  <c r="CP105" i="26"/>
  <c r="CQ105" i="26"/>
  <c r="CR105" i="26"/>
  <c r="CS105" i="26"/>
  <c r="CT105" i="26"/>
  <c r="CU105" i="26"/>
  <c r="CV105" i="26"/>
  <c r="CW105" i="26"/>
  <c r="CX105" i="26"/>
  <c r="CY105" i="26"/>
  <c r="CZ105" i="26"/>
  <c r="DA105" i="26"/>
  <c r="DB105" i="26"/>
  <c r="DC105" i="26"/>
  <c r="DD105" i="26"/>
  <c r="DE105" i="26"/>
  <c r="DF105" i="26"/>
  <c r="DG105" i="26"/>
  <c r="DH105" i="26"/>
  <c r="DI105" i="26"/>
  <c r="DJ105" i="26"/>
  <c r="DK105" i="26"/>
  <c r="DL105" i="26"/>
  <c r="DM105" i="26"/>
  <c r="DN105" i="26"/>
  <c r="DO105" i="26"/>
  <c r="DP105" i="26"/>
  <c r="DQ105" i="26"/>
  <c r="DR105" i="26"/>
  <c r="DS105" i="26"/>
  <c r="DT105" i="26"/>
  <c r="DU105" i="26"/>
  <c r="DW105" i="26"/>
  <c r="DX105" i="26"/>
  <c r="DY105" i="26"/>
  <c r="DZ105" i="26"/>
  <c r="BM106" i="26"/>
  <c r="BN106" i="26"/>
  <c r="BO106" i="26"/>
  <c r="BP106" i="26"/>
  <c r="BQ106" i="26"/>
  <c r="BR106" i="26"/>
  <c r="BS106" i="26"/>
  <c r="BT106" i="26"/>
  <c r="BU106" i="26"/>
  <c r="BV106" i="26"/>
  <c r="BW106" i="26"/>
  <c r="BX106" i="26"/>
  <c r="BY106" i="26"/>
  <c r="BZ106" i="26"/>
  <c r="CA106" i="26"/>
  <c r="CB106" i="26"/>
  <c r="CC106" i="26"/>
  <c r="CD106" i="26"/>
  <c r="CE106" i="26"/>
  <c r="CF106" i="26"/>
  <c r="CG106" i="26"/>
  <c r="CH106" i="26"/>
  <c r="CI106" i="26"/>
  <c r="CJ106" i="26"/>
  <c r="CK106" i="26"/>
  <c r="CL106" i="26"/>
  <c r="CM106" i="26"/>
  <c r="CN106" i="26"/>
  <c r="CO106" i="26"/>
  <c r="CP106" i="26"/>
  <c r="CQ106" i="26"/>
  <c r="CR106" i="26"/>
  <c r="CS106" i="26"/>
  <c r="CT106" i="26"/>
  <c r="CU106" i="26"/>
  <c r="CV106" i="26"/>
  <c r="CW106" i="26"/>
  <c r="CX106" i="26"/>
  <c r="CY106" i="26"/>
  <c r="CZ106" i="26"/>
  <c r="DA106" i="26"/>
  <c r="DB106" i="26"/>
  <c r="DC106" i="26"/>
  <c r="DD106" i="26"/>
  <c r="DE106" i="26"/>
  <c r="DF106" i="26"/>
  <c r="DG106" i="26"/>
  <c r="DH106" i="26"/>
  <c r="DI106" i="26"/>
  <c r="DJ106" i="26"/>
  <c r="DK106" i="26"/>
  <c r="DL106" i="26"/>
  <c r="DM106" i="26"/>
  <c r="DN106" i="26"/>
  <c r="DO106" i="26"/>
  <c r="DP106" i="26"/>
  <c r="DQ106" i="26"/>
  <c r="DR106" i="26"/>
  <c r="DS106" i="26"/>
  <c r="DT106" i="26"/>
  <c r="DU106" i="26"/>
  <c r="DW106" i="26"/>
  <c r="DX106" i="26"/>
  <c r="DY106" i="26"/>
  <c r="DZ106" i="26"/>
  <c r="BM107" i="26"/>
  <c r="BN107" i="26"/>
  <c r="BO107" i="26"/>
  <c r="BP107" i="26"/>
  <c r="BQ107" i="26"/>
  <c r="BR107" i="26"/>
  <c r="BS107" i="26"/>
  <c r="BT107" i="26"/>
  <c r="BU107" i="26"/>
  <c r="BV107" i="26"/>
  <c r="BW107" i="26"/>
  <c r="BX107" i="26"/>
  <c r="BY107" i="26"/>
  <c r="BZ107" i="26"/>
  <c r="CA107" i="26"/>
  <c r="CB107" i="26"/>
  <c r="CC107" i="26"/>
  <c r="CD107" i="26"/>
  <c r="CE107" i="26"/>
  <c r="CF107" i="26"/>
  <c r="CG107" i="26"/>
  <c r="CH107" i="26"/>
  <c r="CI107" i="26"/>
  <c r="CJ107" i="26"/>
  <c r="CK107" i="26"/>
  <c r="CL107" i="26"/>
  <c r="CM107" i="26"/>
  <c r="CN107" i="26"/>
  <c r="CO107" i="26"/>
  <c r="CP107" i="26"/>
  <c r="CQ107" i="26"/>
  <c r="CR107" i="26"/>
  <c r="CS107" i="26"/>
  <c r="CT107" i="26"/>
  <c r="CU107" i="26"/>
  <c r="CV107" i="26"/>
  <c r="CW107" i="26"/>
  <c r="CX107" i="26"/>
  <c r="CY107" i="26"/>
  <c r="CZ107" i="26"/>
  <c r="DA107" i="26"/>
  <c r="DB107" i="26"/>
  <c r="DC107" i="26"/>
  <c r="DD107" i="26"/>
  <c r="DE107" i="26"/>
  <c r="DF107" i="26"/>
  <c r="DG107" i="26"/>
  <c r="DH107" i="26"/>
  <c r="DI107" i="26"/>
  <c r="DJ107" i="26"/>
  <c r="DK107" i="26"/>
  <c r="DL107" i="26"/>
  <c r="DM107" i="26"/>
  <c r="DN107" i="26"/>
  <c r="DO107" i="26"/>
  <c r="DP107" i="26"/>
  <c r="DQ107" i="26"/>
  <c r="DR107" i="26"/>
  <c r="DS107" i="26"/>
  <c r="DT107" i="26"/>
  <c r="DU107" i="26"/>
  <c r="DW107" i="26"/>
  <c r="DX107" i="26"/>
  <c r="DY107" i="26"/>
  <c r="DZ107" i="26"/>
  <c r="BM108" i="26"/>
  <c r="BN108" i="26"/>
  <c r="BO108" i="26"/>
  <c r="BP108" i="26"/>
  <c r="BQ108" i="26"/>
  <c r="BR108" i="26"/>
  <c r="BS108" i="26"/>
  <c r="BT108" i="26"/>
  <c r="BU108" i="26"/>
  <c r="BV108" i="26"/>
  <c r="BW108" i="26"/>
  <c r="BX108" i="26"/>
  <c r="BY108" i="26"/>
  <c r="BZ108" i="26"/>
  <c r="CA108" i="26"/>
  <c r="CB108" i="26"/>
  <c r="CC108" i="26"/>
  <c r="CD108" i="26"/>
  <c r="CE108" i="26"/>
  <c r="CF108" i="26"/>
  <c r="CG108" i="26"/>
  <c r="CH108" i="26"/>
  <c r="CI108" i="26"/>
  <c r="CJ108" i="26"/>
  <c r="CK108" i="26"/>
  <c r="CL108" i="26"/>
  <c r="CM108" i="26"/>
  <c r="CN108" i="26"/>
  <c r="CO108" i="26"/>
  <c r="CP108" i="26"/>
  <c r="CQ108" i="26"/>
  <c r="CR108" i="26"/>
  <c r="CS108" i="26"/>
  <c r="CT108" i="26"/>
  <c r="CU108" i="26"/>
  <c r="CV108" i="26"/>
  <c r="CW108" i="26"/>
  <c r="CX108" i="26"/>
  <c r="CY108" i="26"/>
  <c r="CZ108" i="26"/>
  <c r="DA108" i="26"/>
  <c r="DB108" i="26"/>
  <c r="DC108" i="26"/>
  <c r="DD108" i="26"/>
  <c r="DE108" i="26"/>
  <c r="DF108" i="26"/>
  <c r="DG108" i="26"/>
  <c r="DH108" i="26"/>
  <c r="DI108" i="26"/>
  <c r="DJ108" i="26"/>
  <c r="DK108" i="26"/>
  <c r="DL108" i="26"/>
  <c r="DM108" i="26"/>
  <c r="DN108" i="26"/>
  <c r="DO108" i="26"/>
  <c r="DP108" i="26"/>
  <c r="DQ108" i="26"/>
  <c r="DR108" i="26"/>
  <c r="DS108" i="26"/>
  <c r="DT108" i="26"/>
  <c r="DU108" i="26"/>
  <c r="DW108" i="26"/>
  <c r="DX108" i="26"/>
  <c r="DY108" i="26"/>
  <c r="DZ108" i="26"/>
  <c r="BM109" i="26"/>
  <c r="BN109" i="26"/>
  <c r="BO109" i="26"/>
  <c r="BP109" i="26"/>
  <c r="BQ109" i="26"/>
  <c r="BR109" i="26"/>
  <c r="BS109" i="26"/>
  <c r="BT109" i="26"/>
  <c r="BU109" i="26"/>
  <c r="BV109" i="26"/>
  <c r="BW109" i="26"/>
  <c r="BX109" i="26"/>
  <c r="BY109" i="26"/>
  <c r="BZ109" i="26"/>
  <c r="CA109" i="26"/>
  <c r="CB109" i="26"/>
  <c r="CC109" i="26"/>
  <c r="CD109" i="26"/>
  <c r="CE109" i="26"/>
  <c r="CF109" i="26"/>
  <c r="CG109" i="26"/>
  <c r="CH109" i="26"/>
  <c r="CI109" i="26"/>
  <c r="CJ109" i="26"/>
  <c r="CK109" i="26"/>
  <c r="CL109" i="26"/>
  <c r="CM109" i="26"/>
  <c r="CN109" i="26"/>
  <c r="CO109" i="26"/>
  <c r="CP109" i="26"/>
  <c r="CQ109" i="26"/>
  <c r="CR109" i="26"/>
  <c r="CS109" i="26"/>
  <c r="CT109" i="26"/>
  <c r="CU109" i="26"/>
  <c r="CV109" i="26"/>
  <c r="CW109" i="26"/>
  <c r="CX109" i="26"/>
  <c r="CY109" i="26"/>
  <c r="CZ109" i="26"/>
  <c r="DA109" i="26"/>
  <c r="DB109" i="26"/>
  <c r="DC109" i="26"/>
  <c r="DD109" i="26"/>
  <c r="DE109" i="26"/>
  <c r="DF109" i="26"/>
  <c r="DG109" i="26"/>
  <c r="DH109" i="26"/>
  <c r="DI109" i="26"/>
  <c r="DJ109" i="26"/>
  <c r="DK109" i="26"/>
  <c r="DL109" i="26"/>
  <c r="DM109" i="26"/>
  <c r="DN109" i="26"/>
  <c r="DO109" i="26"/>
  <c r="DP109" i="26"/>
  <c r="DQ109" i="26"/>
  <c r="DR109" i="26"/>
  <c r="DS109" i="26"/>
  <c r="DT109" i="26"/>
  <c r="DU109" i="26"/>
  <c r="DW109" i="26"/>
  <c r="DX109" i="26"/>
  <c r="DY109" i="26"/>
  <c r="DZ109" i="26"/>
  <c r="BM110" i="26"/>
  <c r="BN110" i="26"/>
  <c r="BO110" i="26"/>
  <c r="BP110" i="26"/>
  <c r="BQ110" i="26"/>
  <c r="BR110" i="26"/>
  <c r="BS110" i="26"/>
  <c r="BT110" i="26"/>
  <c r="BU110" i="26"/>
  <c r="BV110" i="26"/>
  <c r="BW110" i="26"/>
  <c r="BX110" i="26"/>
  <c r="BY110" i="26"/>
  <c r="BZ110" i="26"/>
  <c r="CA110" i="26"/>
  <c r="CB110" i="26"/>
  <c r="CC110" i="26"/>
  <c r="CD110" i="26"/>
  <c r="CE110" i="26"/>
  <c r="CF110" i="26"/>
  <c r="CG110" i="26"/>
  <c r="CH110" i="26"/>
  <c r="CI110" i="26"/>
  <c r="CJ110" i="26"/>
  <c r="CK110" i="26"/>
  <c r="CL110" i="26"/>
  <c r="CM110" i="26"/>
  <c r="CN110" i="26"/>
  <c r="CO110" i="26"/>
  <c r="CP110" i="26"/>
  <c r="CQ110" i="26"/>
  <c r="CR110" i="26"/>
  <c r="CS110" i="26"/>
  <c r="CT110" i="26"/>
  <c r="CU110" i="26"/>
  <c r="CV110" i="26"/>
  <c r="CW110" i="26"/>
  <c r="CX110" i="26"/>
  <c r="CY110" i="26"/>
  <c r="CZ110" i="26"/>
  <c r="DA110" i="26"/>
  <c r="DB110" i="26"/>
  <c r="DC110" i="26"/>
  <c r="DD110" i="26"/>
  <c r="DE110" i="26"/>
  <c r="DF110" i="26"/>
  <c r="DG110" i="26"/>
  <c r="DH110" i="26"/>
  <c r="DI110" i="26"/>
  <c r="DJ110" i="26"/>
  <c r="DK110" i="26"/>
  <c r="DL110" i="26"/>
  <c r="DM110" i="26"/>
  <c r="DN110" i="26"/>
  <c r="DO110" i="26"/>
  <c r="DP110" i="26"/>
  <c r="DQ110" i="26"/>
  <c r="DR110" i="26"/>
  <c r="DS110" i="26"/>
  <c r="DT110" i="26"/>
  <c r="DU110" i="26"/>
  <c r="DW110" i="26"/>
  <c r="DX110" i="26"/>
  <c r="DY110" i="26"/>
  <c r="DZ110" i="26"/>
  <c r="BM111" i="26"/>
  <c r="BN111" i="26"/>
  <c r="BO111" i="26"/>
  <c r="BP111" i="26"/>
  <c r="BQ111" i="26"/>
  <c r="BR111" i="26"/>
  <c r="BS111" i="26"/>
  <c r="BT111" i="26"/>
  <c r="BU111" i="26"/>
  <c r="BV111" i="26"/>
  <c r="BW111" i="26"/>
  <c r="BX111" i="26"/>
  <c r="BY111" i="26"/>
  <c r="BZ111" i="26"/>
  <c r="CA111" i="26"/>
  <c r="CB111" i="26"/>
  <c r="CC111" i="26"/>
  <c r="CD111" i="26"/>
  <c r="CE111" i="26"/>
  <c r="CF111" i="26"/>
  <c r="CG111" i="26"/>
  <c r="CH111" i="26"/>
  <c r="CI111" i="26"/>
  <c r="CJ111" i="26"/>
  <c r="CK111" i="26"/>
  <c r="CL111" i="26"/>
  <c r="CM111" i="26"/>
  <c r="CN111" i="26"/>
  <c r="CO111" i="26"/>
  <c r="CP111" i="26"/>
  <c r="CQ111" i="26"/>
  <c r="CR111" i="26"/>
  <c r="CS111" i="26"/>
  <c r="CT111" i="26"/>
  <c r="CU111" i="26"/>
  <c r="CV111" i="26"/>
  <c r="CW111" i="26"/>
  <c r="CX111" i="26"/>
  <c r="CY111" i="26"/>
  <c r="CZ111" i="26"/>
  <c r="DA111" i="26"/>
  <c r="DB111" i="26"/>
  <c r="DC111" i="26"/>
  <c r="DD111" i="26"/>
  <c r="DE111" i="26"/>
  <c r="DF111" i="26"/>
  <c r="DG111" i="26"/>
  <c r="DH111" i="26"/>
  <c r="DI111" i="26"/>
  <c r="DJ111" i="26"/>
  <c r="DK111" i="26"/>
  <c r="DL111" i="26"/>
  <c r="DM111" i="26"/>
  <c r="DN111" i="26"/>
  <c r="DO111" i="26"/>
  <c r="DP111" i="26"/>
  <c r="DQ111" i="26"/>
  <c r="DR111" i="26"/>
  <c r="DS111" i="26"/>
  <c r="DT111" i="26"/>
  <c r="DU111" i="26"/>
  <c r="DW111" i="26"/>
  <c r="DX111" i="26"/>
  <c r="DY111" i="26"/>
  <c r="DZ111" i="26"/>
  <c r="BM112" i="26"/>
  <c r="BN112" i="26"/>
  <c r="BO112" i="26"/>
  <c r="BP112" i="26"/>
  <c r="BQ112" i="26"/>
  <c r="BR112" i="26"/>
  <c r="BS112" i="26"/>
  <c r="BT112" i="26"/>
  <c r="BU112" i="26"/>
  <c r="BV112" i="26"/>
  <c r="BW112" i="26"/>
  <c r="BX112" i="26"/>
  <c r="BY112" i="26"/>
  <c r="BZ112" i="26"/>
  <c r="CA112" i="26"/>
  <c r="CB112" i="26"/>
  <c r="CC112" i="26"/>
  <c r="CD112" i="26"/>
  <c r="CE112" i="26"/>
  <c r="CF112" i="26"/>
  <c r="CG112" i="26"/>
  <c r="CH112" i="26"/>
  <c r="CI112" i="26"/>
  <c r="CJ112" i="26"/>
  <c r="CK112" i="26"/>
  <c r="CL112" i="26"/>
  <c r="CM112" i="26"/>
  <c r="CN112" i="26"/>
  <c r="CO112" i="26"/>
  <c r="CP112" i="26"/>
  <c r="CQ112" i="26"/>
  <c r="CR112" i="26"/>
  <c r="CS112" i="26"/>
  <c r="CT112" i="26"/>
  <c r="CU112" i="26"/>
  <c r="CV112" i="26"/>
  <c r="CW112" i="26"/>
  <c r="CX112" i="26"/>
  <c r="CY112" i="26"/>
  <c r="CZ112" i="26"/>
  <c r="DA112" i="26"/>
  <c r="DB112" i="26"/>
  <c r="DC112" i="26"/>
  <c r="DD112" i="26"/>
  <c r="DE112" i="26"/>
  <c r="DF112" i="26"/>
  <c r="DG112" i="26"/>
  <c r="DH112" i="26"/>
  <c r="DI112" i="26"/>
  <c r="DJ112" i="26"/>
  <c r="DK112" i="26"/>
  <c r="DL112" i="26"/>
  <c r="DM112" i="26"/>
  <c r="DN112" i="26"/>
  <c r="DO112" i="26"/>
  <c r="DP112" i="26"/>
  <c r="DQ112" i="26"/>
  <c r="DR112" i="26"/>
  <c r="DS112" i="26"/>
  <c r="DT112" i="26"/>
  <c r="DU112" i="26"/>
  <c r="DW112" i="26"/>
  <c r="DX112" i="26"/>
  <c r="DY112" i="26"/>
  <c r="DZ112" i="26"/>
  <c r="BM113" i="26"/>
  <c r="BN113" i="26"/>
  <c r="BO113" i="26"/>
  <c r="BP113" i="26"/>
  <c r="BQ113" i="26"/>
  <c r="BR113" i="26"/>
  <c r="BS113" i="26"/>
  <c r="BT113" i="26"/>
  <c r="BU113" i="26"/>
  <c r="BV113" i="26"/>
  <c r="BW113" i="26"/>
  <c r="BX113" i="26"/>
  <c r="BY113" i="26"/>
  <c r="BZ113" i="26"/>
  <c r="CA113" i="26"/>
  <c r="CB113" i="26"/>
  <c r="CC113" i="26"/>
  <c r="CD113" i="26"/>
  <c r="CE113" i="26"/>
  <c r="CF113" i="26"/>
  <c r="CG113" i="26"/>
  <c r="CH113" i="26"/>
  <c r="CI113" i="26"/>
  <c r="CJ113" i="26"/>
  <c r="CK113" i="26"/>
  <c r="CL113" i="26"/>
  <c r="CM113" i="26"/>
  <c r="CN113" i="26"/>
  <c r="CO113" i="26"/>
  <c r="CP113" i="26"/>
  <c r="CQ113" i="26"/>
  <c r="CR113" i="26"/>
  <c r="CS113" i="26"/>
  <c r="CT113" i="26"/>
  <c r="CU113" i="26"/>
  <c r="CV113" i="26"/>
  <c r="CW113" i="26"/>
  <c r="CX113" i="26"/>
  <c r="CY113" i="26"/>
  <c r="CZ113" i="26"/>
  <c r="DA113" i="26"/>
  <c r="DB113" i="26"/>
  <c r="DC113" i="26"/>
  <c r="DD113" i="26"/>
  <c r="DE113" i="26"/>
  <c r="DF113" i="26"/>
  <c r="DG113" i="26"/>
  <c r="DH113" i="26"/>
  <c r="DI113" i="26"/>
  <c r="DJ113" i="26"/>
  <c r="DK113" i="26"/>
  <c r="DL113" i="26"/>
  <c r="DM113" i="26"/>
  <c r="DN113" i="26"/>
  <c r="DO113" i="26"/>
  <c r="DP113" i="26"/>
  <c r="DQ113" i="26"/>
  <c r="DR113" i="26"/>
  <c r="DS113" i="26"/>
  <c r="DT113" i="26"/>
  <c r="DU113" i="26"/>
  <c r="DW113" i="26"/>
  <c r="DX113" i="26"/>
  <c r="DY113" i="26"/>
  <c r="DZ113" i="26"/>
  <c r="BM114" i="26"/>
  <c r="BN114" i="26"/>
  <c r="BO114" i="26"/>
  <c r="BP114" i="26"/>
  <c r="BQ114" i="26"/>
  <c r="BR114" i="26"/>
  <c r="BS114" i="26"/>
  <c r="BT114" i="26"/>
  <c r="BU114" i="26"/>
  <c r="BV114" i="26"/>
  <c r="BW114" i="26"/>
  <c r="BX114" i="26"/>
  <c r="BY114" i="26"/>
  <c r="BZ114" i="26"/>
  <c r="CA114" i="26"/>
  <c r="CB114" i="26"/>
  <c r="CC114" i="26"/>
  <c r="CD114" i="26"/>
  <c r="CE114" i="26"/>
  <c r="CF114" i="26"/>
  <c r="CG114" i="26"/>
  <c r="CH114" i="26"/>
  <c r="CI114" i="26"/>
  <c r="CJ114" i="26"/>
  <c r="CK114" i="26"/>
  <c r="CL114" i="26"/>
  <c r="CM114" i="26"/>
  <c r="CN114" i="26"/>
  <c r="CO114" i="26"/>
  <c r="CP114" i="26"/>
  <c r="CQ114" i="26"/>
  <c r="CR114" i="26"/>
  <c r="CS114" i="26"/>
  <c r="CT114" i="26"/>
  <c r="CU114" i="26"/>
  <c r="CV114" i="26"/>
  <c r="CW114" i="26"/>
  <c r="CX114" i="26"/>
  <c r="CY114" i="26"/>
  <c r="CZ114" i="26"/>
  <c r="DA114" i="26"/>
  <c r="DB114" i="26"/>
  <c r="DC114" i="26"/>
  <c r="DD114" i="26"/>
  <c r="DE114" i="26"/>
  <c r="DF114" i="26"/>
  <c r="DG114" i="26"/>
  <c r="DH114" i="26"/>
  <c r="DI114" i="26"/>
  <c r="DJ114" i="26"/>
  <c r="DK114" i="26"/>
  <c r="DL114" i="26"/>
  <c r="DM114" i="26"/>
  <c r="DN114" i="26"/>
  <c r="DO114" i="26"/>
  <c r="DP114" i="26"/>
  <c r="DQ114" i="26"/>
  <c r="DR114" i="26"/>
  <c r="DS114" i="26"/>
  <c r="DT114" i="26"/>
  <c r="DU114" i="26"/>
  <c r="DW114" i="26"/>
  <c r="DX114" i="26"/>
  <c r="DY114" i="26"/>
  <c r="DZ114" i="26"/>
  <c r="BM115" i="26"/>
  <c r="BN115" i="26"/>
  <c r="BO115" i="26"/>
  <c r="BP115" i="26"/>
  <c r="BQ115" i="26"/>
  <c r="BR115" i="26"/>
  <c r="BS115" i="26"/>
  <c r="BT115" i="26"/>
  <c r="BU115" i="26"/>
  <c r="BV115" i="26"/>
  <c r="BW115" i="26"/>
  <c r="BX115" i="26"/>
  <c r="BY115" i="26"/>
  <c r="BZ115" i="26"/>
  <c r="CA115" i="26"/>
  <c r="CB115" i="26"/>
  <c r="CC115" i="26"/>
  <c r="CD115" i="26"/>
  <c r="CE115" i="26"/>
  <c r="CF115" i="26"/>
  <c r="CG115" i="26"/>
  <c r="CH115" i="26"/>
  <c r="CI115" i="26"/>
  <c r="CJ115" i="26"/>
  <c r="CK115" i="26"/>
  <c r="CL115" i="26"/>
  <c r="CM115" i="26"/>
  <c r="CN115" i="26"/>
  <c r="CO115" i="26"/>
  <c r="CP115" i="26"/>
  <c r="CQ115" i="26"/>
  <c r="CR115" i="26"/>
  <c r="CS115" i="26"/>
  <c r="CT115" i="26"/>
  <c r="CU115" i="26"/>
  <c r="CV115" i="26"/>
  <c r="CW115" i="26"/>
  <c r="CX115" i="26"/>
  <c r="CY115" i="26"/>
  <c r="CZ115" i="26"/>
  <c r="DA115" i="26"/>
  <c r="DB115" i="26"/>
  <c r="DC115" i="26"/>
  <c r="DD115" i="26"/>
  <c r="DE115" i="26"/>
  <c r="DF115" i="26"/>
  <c r="DG115" i="26"/>
  <c r="DH115" i="26"/>
  <c r="DI115" i="26"/>
  <c r="DJ115" i="26"/>
  <c r="DK115" i="26"/>
  <c r="DL115" i="26"/>
  <c r="DM115" i="26"/>
  <c r="DN115" i="26"/>
  <c r="DO115" i="26"/>
  <c r="DP115" i="26"/>
  <c r="DQ115" i="26"/>
  <c r="DR115" i="26"/>
  <c r="DS115" i="26"/>
  <c r="DT115" i="26"/>
  <c r="DU115" i="26"/>
  <c r="DW115" i="26"/>
  <c r="DX115" i="26"/>
  <c r="DY115" i="26"/>
  <c r="DZ115" i="26"/>
  <c r="BM116" i="26"/>
  <c r="BN116" i="26"/>
  <c r="BO116" i="26"/>
  <c r="BP116" i="26"/>
  <c r="BQ116" i="26"/>
  <c r="BR116" i="26"/>
  <c r="BS116" i="26"/>
  <c r="BT116" i="26"/>
  <c r="BU116" i="26"/>
  <c r="BV116" i="26"/>
  <c r="BW116" i="26"/>
  <c r="BX116" i="26"/>
  <c r="BY116" i="26"/>
  <c r="BZ116" i="26"/>
  <c r="CA116" i="26"/>
  <c r="CB116" i="26"/>
  <c r="CC116" i="26"/>
  <c r="CD116" i="26"/>
  <c r="CE116" i="26"/>
  <c r="CF116" i="26"/>
  <c r="CG116" i="26"/>
  <c r="CH116" i="26"/>
  <c r="CI116" i="26"/>
  <c r="CJ116" i="26"/>
  <c r="CK116" i="26"/>
  <c r="CL116" i="26"/>
  <c r="CM116" i="26"/>
  <c r="CN116" i="26"/>
  <c r="CO116" i="26"/>
  <c r="CP116" i="26"/>
  <c r="CQ116" i="26"/>
  <c r="CR116" i="26"/>
  <c r="CS116" i="26"/>
  <c r="CT116" i="26"/>
  <c r="CU116" i="26"/>
  <c r="CV116" i="26"/>
  <c r="CW116" i="26"/>
  <c r="CX116" i="26"/>
  <c r="CY116" i="26"/>
  <c r="CZ116" i="26"/>
  <c r="DA116" i="26"/>
  <c r="DB116" i="26"/>
  <c r="DC116" i="26"/>
  <c r="DD116" i="26"/>
  <c r="DE116" i="26"/>
  <c r="DF116" i="26"/>
  <c r="DG116" i="26"/>
  <c r="DH116" i="26"/>
  <c r="DI116" i="26"/>
  <c r="DJ116" i="26"/>
  <c r="DK116" i="26"/>
  <c r="DL116" i="26"/>
  <c r="DM116" i="26"/>
  <c r="DN116" i="26"/>
  <c r="DO116" i="26"/>
  <c r="DP116" i="26"/>
  <c r="DQ116" i="26"/>
  <c r="DR116" i="26"/>
  <c r="DS116" i="26"/>
  <c r="DT116" i="26"/>
  <c r="DU116" i="26"/>
  <c r="DW116" i="26"/>
  <c r="DX116" i="26"/>
  <c r="DY116" i="26"/>
  <c r="DZ116" i="26"/>
  <c r="BM117" i="26"/>
  <c r="BN117" i="26"/>
  <c r="BO117" i="26"/>
  <c r="BP117" i="26"/>
  <c r="BQ117" i="26"/>
  <c r="BR117" i="26"/>
  <c r="BS117" i="26"/>
  <c r="BT117" i="26"/>
  <c r="BU117" i="26"/>
  <c r="BV117" i="26"/>
  <c r="BW117" i="26"/>
  <c r="BX117" i="26"/>
  <c r="BY117" i="26"/>
  <c r="BZ117" i="26"/>
  <c r="CA117" i="26"/>
  <c r="CB117" i="26"/>
  <c r="CC117" i="26"/>
  <c r="CD117" i="26"/>
  <c r="CE117" i="26"/>
  <c r="CF117" i="26"/>
  <c r="CG117" i="26"/>
  <c r="CH117" i="26"/>
  <c r="CI117" i="26"/>
  <c r="CJ117" i="26"/>
  <c r="CK117" i="26"/>
  <c r="CL117" i="26"/>
  <c r="CM117" i="26"/>
  <c r="CN117" i="26"/>
  <c r="CO117" i="26"/>
  <c r="CP117" i="26"/>
  <c r="CQ117" i="26"/>
  <c r="CR117" i="26"/>
  <c r="CS117" i="26"/>
  <c r="CT117" i="26"/>
  <c r="CU117" i="26"/>
  <c r="CV117" i="26"/>
  <c r="CW117" i="26"/>
  <c r="CX117" i="26"/>
  <c r="CY117" i="26"/>
  <c r="CZ117" i="26"/>
  <c r="DA117" i="26"/>
  <c r="DB117" i="26"/>
  <c r="DC117" i="26"/>
  <c r="DD117" i="26"/>
  <c r="DE117" i="26"/>
  <c r="DF117" i="26"/>
  <c r="DG117" i="26"/>
  <c r="DH117" i="26"/>
  <c r="DI117" i="26"/>
  <c r="DJ117" i="26"/>
  <c r="DK117" i="26"/>
  <c r="DL117" i="26"/>
  <c r="DM117" i="26"/>
  <c r="DN117" i="26"/>
  <c r="DO117" i="26"/>
  <c r="DP117" i="26"/>
  <c r="DQ117" i="26"/>
  <c r="DR117" i="26"/>
  <c r="DS117" i="26"/>
  <c r="DT117" i="26"/>
  <c r="DU117" i="26"/>
  <c r="DW117" i="26"/>
  <c r="DX117" i="26"/>
  <c r="DY117" i="26"/>
  <c r="DZ117" i="26"/>
  <c r="BM118" i="26"/>
  <c r="BN118" i="26"/>
  <c r="BO118" i="26"/>
  <c r="BP118" i="26"/>
  <c r="BQ118" i="26"/>
  <c r="BR118" i="26"/>
  <c r="BS118" i="26"/>
  <c r="BT118" i="26"/>
  <c r="BU118" i="26"/>
  <c r="BV118" i="26"/>
  <c r="BW118" i="26"/>
  <c r="BX118" i="26"/>
  <c r="BY118" i="26"/>
  <c r="BZ118" i="26"/>
  <c r="CA118" i="26"/>
  <c r="CB118" i="26"/>
  <c r="CC118" i="26"/>
  <c r="CD118" i="26"/>
  <c r="CE118" i="26"/>
  <c r="CF118" i="26"/>
  <c r="CG118" i="26"/>
  <c r="CH118" i="26"/>
  <c r="CI118" i="26"/>
  <c r="CJ118" i="26"/>
  <c r="CK118" i="26"/>
  <c r="CL118" i="26"/>
  <c r="CM118" i="26"/>
  <c r="CN118" i="26"/>
  <c r="CO118" i="26"/>
  <c r="CP118" i="26"/>
  <c r="CQ118" i="26"/>
  <c r="CR118" i="26"/>
  <c r="CS118" i="26"/>
  <c r="CT118" i="26"/>
  <c r="CU118" i="26"/>
  <c r="CV118" i="26"/>
  <c r="CW118" i="26"/>
  <c r="CX118" i="26"/>
  <c r="CY118" i="26"/>
  <c r="CZ118" i="26"/>
  <c r="DA118" i="26"/>
  <c r="DB118" i="26"/>
  <c r="DC118" i="26"/>
  <c r="DD118" i="26"/>
  <c r="DE118" i="26"/>
  <c r="DF118" i="26"/>
  <c r="DG118" i="26"/>
  <c r="DH118" i="26"/>
  <c r="DI118" i="26"/>
  <c r="DJ118" i="26"/>
  <c r="DK118" i="26"/>
  <c r="DL118" i="26"/>
  <c r="DM118" i="26"/>
  <c r="DN118" i="26"/>
  <c r="DO118" i="26"/>
  <c r="DP118" i="26"/>
  <c r="DQ118" i="26"/>
  <c r="DR118" i="26"/>
  <c r="DS118" i="26"/>
  <c r="DT118" i="26"/>
  <c r="DU118" i="26"/>
  <c r="DW118" i="26"/>
  <c r="DX118" i="26"/>
  <c r="DY118" i="26"/>
  <c r="DZ118" i="26"/>
  <c r="BM119" i="26"/>
  <c r="BN119" i="26"/>
  <c r="BO119" i="26"/>
  <c r="BP119" i="26"/>
  <c r="BQ119" i="26"/>
  <c r="BR119" i="26"/>
  <c r="BS119" i="26"/>
  <c r="BT119" i="26"/>
  <c r="BU119" i="26"/>
  <c r="BV119" i="26"/>
  <c r="BW119" i="26"/>
  <c r="BX119" i="26"/>
  <c r="BY119" i="26"/>
  <c r="BZ119" i="26"/>
  <c r="CA119" i="26"/>
  <c r="CB119" i="26"/>
  <c r="CC119" i="26"/>
  <c r="CD119" i="26"/>
  <c r="CE119" i="26"/>
  <c r="CF119" i="26"/>
  <c r="CG119" i="26"/>
  <c r="CH119" i="26"/>
  <c r="CI119" i="26"/>
  <c r="CJ119" i="26"/>
  <c r="CK119" i="26"/>
  <c r="CL119" i="26"/>
  <c r="CM119" i="26"/>
  <c r="CN119" i="26"/>
  <c r="CO119" i="26"/>
  <c r="CP119" i="26"/>
  <c r="CQ119" i="26"/>
  <c r="CR119" i="26"/>
  <c r="CS119" i="26"/>
  <c r="CT119" i="26"/>
  <c r="CU119" i="26"/>
  <c r="CV119" i="26"/>
  <c r="CW119" i="26"/>
  <c r="CX119" i="26"/>
  <c r="CY119" i="26"/>
  <c r="CZ119" i="26"/>
  <c r="DA119" i="26"/>
  <c r="DB119" i="26"/>
  <c r="DC119" i="26"/>
  <c r="DD119" i="26"/>
  <c r="DE119" i="26"/>
  <c r="DF119" i="26"/>
  <c r="DG119" i="26"/>
  <c r="DH119" i="26"/>
  <c r="DI119" i="26"/>
  <c r="DJ119" i="26"/>
  <c r="DK119" i="26"/>
  <c r="DL119" i="26"/>
  <c r="DM119" i="26"/>
  <c r="DN119" i="26"/>
  <c r="DO119" i="26"/>
  <c r="DP119" i="26"/>
  <c r="DQ119" i="26"/>
  <c r="DR119" i="26"/>
  <c r="DS119" i="26"/>
  <c r="DT119" i="26"/>
  <c r="DU119" i="26"/>
  <c r="DW119" i="26"/>
  <c r="DX119" i="26"/>
  <c r="DY119" i="26"/>
  <c r="DZ119" i="26"/>
  <c r="BM120" i="26"/>
  <c r="BN120" i="26"/>
  <c r="BO120" i="26"/>
  <c r="BP120" i="26"/>
  <c r="BQ120" i="26"/>
  <c r="BR120" i="26"/>
  <c r="BS120" i="26"/>
  <c r="BT120" i="26"/>
  <c r="BU120" i="26"/>
  <c r="BV120" i="26"/>
  <c r="BW120" i="26"/>
  <c r="BX120" i="26"/>
  <c r="BY120" i="26"/>
  <c r="BZ120" i="26"/>
  <c r="CA120" i="26"/>
  <c r="CB120" i="26"/>
  <c r="CC120" i="26"/>
  <c r="CD120" i="26"/>
  <c r="CE120" i="26"/>
  <c r="CF120" i="26"/>
  <c r="CG120" i="26"/>
  <c r="CH120" i="26"/>
  <c r="CI120" i="26"/>
  <c r="CJ120" i="26"/>
  <c r="CK120" i="26"/>
  <c r="CL120" i="26"/>
  <c r="CM120" i="26"/>
  <c r="CN120" i="26"/>
  <c r="CO120" i="26"/>
  <c r="CP120" i="26"/>
  <c r="CQ120" i="26"/>
  <c r="CR120" i="26"/>
  <c r="CS120" i="26"/>
  <c r="CT120" i="26"/>
  <c r="CU120" i="26"/>
  <c r="CV120" i="26"/>
  <c r="CW120" i="26"/>
  <c r="CX120" i="26"/>
  <c r="CY120" i="26"/>
  <c r="CZ120" i="26"/>
  <c r="DA120" i="26"/>
  <c r="DB120" i="26"/>
  <c r="DC120" i="26"/>
  <c r="DD120" i="26"/>
  <c r="DE120" i="26"/>
  <c r="DF120" i="26"/>
  <c r="DG120" i="26"/>
  <c r="DH120" i="26"/>
  <c r="DI120" i="26"/>
  <c r="DJ120" i="26"/>
  <c r="DK120" i="26"/>
  <c r="DL120" i="26"/>
  <c r="DM120" i="26"/>
  <c r="DN120" i="26"/>
  <c r="DO120" i="26"/>
  <c r="DP120" i="26"/>
  <c r="DQ120" i="26"/>
  <c r="DR120" i="26"/>
  <c r="DS120" i="26"/>
  <c r="DT120" i="26"/>
  <c r="DU120" i="26"/>
  <c r="DW120" i="26"/>
  <c r="DX120" i="26"/>
  <c r="DY120" i="26"/>
  <c r="DZ120" i="26"/>
  <c r="BM121" i="26"/>
  <c r="BN121" i="26"/>
  <c r="BO121" i="26"/>
  <c r="BP121" i="26"/>
  <c r="BQ121" i="26"/>
  <c r="BR121" i="26"/>
  <c r="BS121" i="26"/>
  <c r="BT121" i="26"/>
  <c r="BU121" i="26"/>
  <c r="BV121" i="26"/>
  <c r="BW121" i="26"/>
  <c r="BX121" i="26"/>
  <c r="BY121" i="26"/>
  <c r="BZ121" i="26"/>
  <c r="CA121" i="26"/>
  <c r="CB121" i="26"/>
  <c r="CC121" i="26"/>
  <c r="CD121" i="26"/>
  <c r="CE121" i="26"/>
  <c r="CF121" i="26"/>
  <c r="CG121" i="26"/>
  <c r="CH121" i="26"/>
  <c r="CI121" i="26"/>
  <c r="CJ121" i="26"/>
  <c r="CK121" i="26"/>
  <c r="CL121" i="26"/>
  <c r="CM121" i="26"/>
  <c r="CN121" i="26"/>
  <c r="CO121" i="26"/>
  <c r="CP121" i="26"/>
  <c r="CQ121" i="26"/>
  <c r="CR121" i="26"/>
  <c r="CS121" i="26"/>
  <c r="CT121" i="26"/>
  <c r="CU121" i="26"/>
  <c r="CV121" i="26"/>
  <c r="CW121" i="26"/>
  <c r="CX121" i="26"/>
  <c r="CY121" i="26"/>
  <c r="CZ121" i="26"/>
  <c r="DA121" i="26"/>
  <c r="DB121" i="26"/>
  <c r="DC121" i="26"/>
  <c r="DD121" i="26"/>
  <c r="DE121" i="26"/>
  <c r="DF121" i="26"/>
  <c r="DG121" i="26"/>
  <c r="DH121" i="26"/>
  <c r="DI121" i="26"/>
  <c r="DJ121" i="26"/>
  <c r="DK121" i="26"/>
  <c r="DL121" i="26"/>
  <c r="DM121" i="26"/>
  <c r="DN121" i="26"/>
  <c r="DO121" i="26"/>
  <c r="DP121" i="26"/>
  <c r="DQ121" i="26"/>
  <c r="DR121" i="26"/>
  <c r="DS121" i="26"/>
  <c r="DT121" i="26"/>
  <c r="DU121" i="26"/>
  <c r="DW121" i="26"/>
  <c r="DX121" i="26"/>
  <c r="DY121" i="26"/>
  <c r="DZ121" i="26"/>
  <c r="BM122" i="26"/>
  <c r="BN122" i="26"/>
  <c r="BO122" i="26"/>
  <c r="BP122" i="26"/>
  <c r="BQ122" i="26"/>
  <c r="BR122" i="26"/>
  <c r="BS122" i="26"/>
  <c r="BT122" i="26"/>
  <c r="BU122" i="26"/>
  <c r="BV122" i="26"/>
  <c r="BW122" i="26"/>
  <c r="BX122" i="26"/>
  <c r="BY122" i="26"/>
  <c r="BZ122" i="26"/>
  <c r="CA122" i="26"/>
  <c r="CB122" i="26"/>
  <c r="CC122" i="26"/>
  <c r="CD122" i="26"/>
  <c r="CE122" i="26"/>
  <c r="CF122" i="26"/>
  <c r="CG122" i="26"/>
  <c r="CH122" i="26"/>
  <c r="CI122" i="26"/>
  <c r="CJ122" i="26"/>
  <c r="CK122" i="26"/>
  <c r="CL122" i="26"/>
  <c r="CM122" i="26"/>
  <c r="CN122" i="26"/>
  <c r="CO122" i="26"/>
  <c r="CP122" i="26"/>
  <c r="CQ122" i="26"/>
  <c r="CR122" i="26"/>
  <c r="CS122" i="26"/>
  <c r="CT122" i="26"/>
  <c r="CU122" i="26"/>
  <c r="CV122" i="26"/>
  <c r="CW122" i="26"/>
  <c r="CX122" i="26"/>
  <c r="CY122" i="26"/>
  <c r="CZ122" i="26"/>
  <c r="DA122" i="26"/>
  <c r="DB122" i="26"/>
  <c r="DC122" i="26"/>
  <c r="DD122" i="26"/>
  <c r="DE122" i="26"/>
  <c r="DF122" i="26"/>
  <c r="DG122" i="26"/>
  <c r="DH122" i="26"/>
  <c r="DI122" i="26"/>
  <c r="DJ122" i="26"/>
  <c r="DK122" i="26"/>
  <c r="DL122" i="26"/>
  <c r="DM122" i="26"/>
  <c r="DN122" i="26"/>
  <c r="DO122" i="26"/>
  <c r="DP122" i="26"/>
  <c r="DQ122" i="26"/>
  <c r="DR122" i="26"/>
  <c r="DS122" i="26"/>
  <c r="DT122" i="26"/>
  <c r="DU122" i="26"/>
  <c r="DW122" i="26"/>
  <c r="DX122" i="26"/>
  <c r="DY122" i="26"/>
  <c r="DZ122" i="26"/>
  <c r="BM123" i="26"/>
  <c r="BN123" i="26"/>
  <c r="BO123" i="26"/>
  <c r="BP123" i="26"/>
  <c r="BQ123" i="26"/>
  <c r="BR123" i="26"/>
  <c r="BS123" i="26"/>
  <c r="BT123" i="26"/>
  <c r="BU123" i="26"/>
  <c r="BV123" i="26"/>
  <c r="BW123" i="26"/>
  <c r="BX123" i="26"/>
  <c r="BY123" i="26"/>
  <c r="BZ123" i="26"/>
  <c r="CA123" i="26"/>
  <c r="CB123" i="26"/>
  <c r="CC123" i="26"/>
  <c r="CD123" i="26"/>
  <c r="CE123" i="26"/>
  <c r="CF123" i="26"/>
  <c r="CG123" i="26"/>
  <c r="CH123" i="26"/>
  <c r="CI123" i="26"/>
  <c r="CJ123" i="26"/>
  <c r="CK123" i="26"/>
  <c r="CL123" i="26"/>
  <c r="CM123" i="26"/>
  <c r="CN123" i="26"/>
  <c r="CO123" i="26"/>
  <c r="CP123" i="26"/>
  <c r="CQ123" i="26"/>
  <c r="CR123" i="26"/>
  <c r="CS123" i="26"/>
  <c r="CT123" i="26"/>
  <c r="CU123" i="26"/>
  <c r="CV123" i="26"/>
  <c r="CW123" i="26"/>
  <c r="CX123" i="26"/>
  <c r="CY123" i="26"/>
  <c r="CZ123" i="26"/>
  <c r="DA123" i="26"/>
  <c r="DB123" i="26"/>
  <c r="DC123" i="26"/>
  <c r="DD123" i="26"/>
  <c r="DE123" i="26"/>
  <c r="DF123" i="26"/>
  <c r="DG123" i="26"/>
  <c r="DH123" i="26"/>
  <c r="DI123" i="26"/>
  <c r="DJ123" i="26"/>
  <c r="DK123" i="26"/>
  <c r="DL123" i="26"/>
  <c r="DM123" i="26"/>
  <c r="DN123" i="26"/>
  <c r="DO123" i="26"/>
  <c r="DP123" i="26"/>
  <c r="DQ123" i="26"/>
  <c r="DR123" i="26"/>
  <c r="DS123" i="26"/>
  <c r="DT123" i="26"/>
  <c r="DU123" i="26"/>
  <c r="DW123" i="26"/>
  <c r="DX123" i="26"/>
  <c r="DY123" i="26"/>
  <c r="DZ123" i="26"/>
  <c r="AG67" i="26"/>
  <c r="AH67" i="26"/>
  <c r="AI67" i="26"/>
  <c r="AJ67" i="26"/>
  <c r="AK67" i="26"/>
  <c r="AL67" i="26"/>
  <c r="AM67" i="26"/>
  <c r="AN67" i="26"/>
  <c r="AO67" i="26"/>
  <c r="AP67" i="26"/>
  <c r="AQ67" i="26"/>
  <c r="AR67" i="26"/>
  <c r="AS67" i="26"/>
  <c r="AT67" i="26"/>
  <c r="AU67" i="26"/>
  <c r="AV67" i="26"/>
  <c r="AW67" i="26"/>
  <c r="AX67" i="26"/>
  <c r="AY67" i="26"/>
  <c r="AZ67" i="26"/>
  <c r="BA67" i="26"/>
  <c r="BB67" i="26"/>
  <c r="BC67" i="26"/>
  <c r="BD67" i="26"/>
  <c r="BE67" i="26"/>
  <c r="BF67" i="26"/>
  <c r="BG67" i="26"/>
  <c r="BH67" i="26"/>
  <c r="BI67" i="26"/>
  <c r="BJ67" i="26"/>
  <c r="BK67" i="26"/>
  <c r="BL67" i="26"/>
  <c r="AG68" i="26"/>
  <c r="AH68" i="26"/>
  <c r="AI68" i="26"/>
  <c r="AJ68" i="26"/>
  <c r="AK68" i="26"/>
  <c r="AL68" i="26"/>
  <c r="AM68" i="26"/>
  <c r="AN68" i="26"/>
  <c r="AO68" i="26"/>
  <c r="AP68" i="26"/>
  <c r="AQ68" i="26"/>
  <c r="AR68" i="26"/>
  <c r="AS68" i="26"/>
  <c r="AT68" i="26"/>
  <c r="AU68" i="26"/>
  <c r="AV68" i="26"/>
  <c r="AW68" i="26"/>
  <c r="AX68" i="26"/>
  <c r="AY68" i="26"/>
  <c r="AZ68" i="26"/>
  <c r="BA68" i="26"/>
  <c r="BB68" i="26"/>
  <c r="BC68" i="26"/>
  <c r="BD68" i="26"/>
  <c r="BE68" i="26"/>
  <c r="BF68" i="26"/>
  <c r="BG68" i="26"/>
  <c r="BH68" i="26"/>
  <c r="BI68" i="26"/>
  <c r="BJ68" i="26"/>
  <c r="BK68" i="26"/>
  <c r="BL68" i="26"/>
  <c r="AG69" i="26"/>
  <c r="AH69" i="26"/>
  <c r="AI69" i="26"/>
  <c r="AJ69" i="26"/>
  <c r="AK69" i="26"/>
  <c r="AL69" i="26"/>
  <c r="AM69" i="26"/>
  <c r="AN69" i="26"/>
  <c r="AO69" i="26"/>
  <c r="AP69" i="26"/>
  <c r="AQ69" i="26"/>
  <c r="AR69" i="26"/>
  <c r="AS69" i="26"/>
  <c r="AT69" i="26"/>
  <c r="AU69" i="26"/>
  <c r="AV69" i="26"/>
  <c r="AW69" i="26"/>
  <c r="AX69" i="26"/>
  <c r="AY69" i="26"/>
  <c r="AZ69" i="26"/>
  <c r="BA69" i="26"/>
  <c r="BB69" i="26"/>
  <c r="BC69" i="26"/>
  <c r="BD69" i="26"/>
  <c r="BE69" i="26"/>
  <c r="BF69" i="26"/>
  <c r="BG69" i="26"/>
  <c r="BH69" i="26"/>
  <c r="BI69" i="26"/>
  <c r="BJ69" i="26"/>
  <c r="BK69" i="26"/>
  <c r="BL69" i="26"/>
  <c r="AG70" i="26"/>
  <c r="AH70" i="26"/>
  <c r="AI70" i="26"/>
  <c r="AJ70" i="26"/>
  <c r="AK70" i="26"/>
  <c r="AL70" i="26"/>
  <c r="AM70" i="26"/>
  <c r="AN70" i="26"/>
  <c r="AO70" i="26"/>
  <c r="AP70" i="26"/>
  <c r="AQ70" i="26"/>
  <c r="AR70" i="26"/>
  <c r="AS70" i="26"/>
  <c r="AT70" i="26"/>
  <c r="AU70" i="26"/>
  <c r="AV70" i="26"/>
  <c r="AW70" i="26"/>
  <c r="AX70" i="26"/>
  <c r="AY70" i="26"/>
  <c r="AZ70" i="26"/>
  <c r="BA70" i="26"/>
  <c r="BB70" i="26"/>
  <c r="BC70" i="26"/>
  <c r="BD70" i="26"/>
  <c r="BE70" i="26"/>
  <c r="BF70" i="26"/>
  <c r="BG70" i="26"/>
  <c r="BH70" i="26"/>
  <c r="BI70" i="26"/>
  <c r="BJ70" i="26"/>
  <c r="BK70" i="26"/>
  <c r="BL70" i="26"/>
  <c r="AG71" i="26"/>
  <c r="AH71" i="26"/>
  <c r="AI71" i="26"/>
  <c r="AJ71" i="26"/>
  <c r="AK71" i="26"/>
  <c r="AL71" i="26"/>
  <c r="AM71" i="26"/>
  <c r="AN71" i="26"/>
  <c r="AO71" i="26"/>
  <c r="AP71" i="26"/>
  <c r="AQ71" i="26"/>
  <c r="AR71" i="26"/>
  <c r="AS71" i="26"/>
  <c r="AT71" i="26"/>
  <c r="AU71" i="26"/>
  <c r="AV71" i="26"/>
  <c r="AW71" i="26"/>
  <c r="AX71" i="26"/>
  <c r="AY71" i="26"/>
  <c r="AZ71" i="26"/>
  <c r="BA71" i="26"/>
  <c r="BB71" i="26"/>
  <c r="BC71" i="26"/>
  <c r="BD71" i="26"/>
  <c r="BE71" i="26"/>
  <c r="BF71" i="26"/>
  <c r="BG71" i="26"/>
  <c r="BH71" i="26"/>
  <c r="BI71" i="26"/>
  <c r="BJ71" i="26"/>
  <c r="BK71" i="26"/>
  <c r="BL71" i="26"/>
  <c r="AG72" i="26"/>
  <c r="AH72" i="26"/>
  <c r="AI72" i="26"/>
  <c r="AJ72" i="26"/>
  <c r="AK72" i="26"/>
  <c r="AL72" i="26"/>
  <c r="AM72" i="26"/>
  <c r="AN72" i="26"/>
  <c r="AO72" i="26"/>
  <c r="AP72" i="26"/>
  <c r="AQ72" i="26"/>
  <c r="AR72" i="26"/>
  <c r="AS72" i="26"/>
  <c r="AT72" i="26"/>
  <c r="AU72" i="26"/>
  <c r="AV72" i="26"/>
  <c r="AW72" i="26"/>
  <c r="AX72" i="26"/>
  <c r="AY72" i="26"/>
  <c r="AZ72" i="26"/>
  <c r="BA72" i="26"/>
  <c r="BB72" i="26"/>
  <c r="BC72" i="26"/>
  <c r="BD72" i="26"/>
  <c r="BE72" i="26"/>
  <c r="BF72" i="26"/>
  <c r="BG72" i="26"/>
  <c r="BH72" i="26"/>
  <c r="BI72" i="26"/>
  <c r="BJ72" i="26"/>
  <c r="BK72" i="26"/>
  <c r="BL72" i="26"/>
  <c r="AG73" i="26"/>
  <c r="AH73" i="26"/>
  <c r="AI73" i="26"/>
  <c r="AJ73" i="26"/>
  <c r="AK73" i="26"/>
  <c r="AL73" i="26"/>
  <c r="AM73" i="26"/>
  <c r="AN73" i="26"/>
  <c r="AO73" i="26"/>
  <c r="AP73" i="26"/>
  <c r="AQ73" i="26"/>
  <c r="AR73" i="26"/>
  <c r="AS73" i="26"/>
  <c r="AT73" i="26"/>
  <c r="AU73" i="26"/>
  <c r="AV73" i="26"/>
  <c r="AW73" i="26"/>
  <c r="AX73" i="26"/>
  <c r="AY73" i="26"/>
  <c r="AZ73" i="26"/>
  <c r="BA73" i="26"/>
  <c r="BB73" i="26"/>
  <c r="BC73" i="26"/>
  <c r="BD73" i="26"/>
  <c r="BE73" i="26"/>
  <c r="BF73" i="26"/>
  <c r="BG73" i="26"/>
  <c r="BH73" i="26"/>
  <c r="BI73" i="26"/>
  <c r="BJ73" i="26"/>
  <c r="BK73" i="26"/>
  <c r="BL73" i="26"/>
  <c r="AG74" i="26"/>
  <c r="AH74" i="26"/>
  <c r="AI74" i="26"/>
  <c r="AJ74" i="26"/>
  <c r="AK74" i="26"/>
  <c r="AL74" i="26"/>
  <c r="AM74" i="26"/>
  <c r="AN74" i="26"/>
  <c r="AO74" i="26"/>
  <c r="AP74" i="26"/>
  <c r="AQ74" i="26"/>
  <c r="AR74" i="26"/>
  <c r="AS74" i="26"/>
  <c r="AT74" i="26"/>
  <c r="AU74" i="26"/>
  <c r="AV74" i="26"/>
  <c r="AW74" i="26"/>
  <c r="AX74" i="26"/>
  <c r="AY74" i="26"/>
  <c r="AZ74" i="26"/>
  <c r="BA74" i="26"/>
  <c r="BB74" i="26"/>
  <c r="BC74" i="26"/>
  <c r="BD74" i="26"/>
  <c r="BE74" i="26"/>
  <c r="BF74" i="26"/>
  <c r="BG74" i="26"/>
  <c r="BH74" i="26"/>
  <c r="BI74" i="26"/>
  <c r="BJ74" i="26"/>
  <c r="BK74" i="26"/>
  <c r="BL74" i="26"/>
  <c r="AG75" i="26"/>
  <c r="AH75" i="26"/>
  <c r="AI75" i="26"/>
  <c r="AJ75" i="26"/>
  <c r="AK75" i="26"/>
  <c r="AL75" i="26"/>
  <c r="AM75" i="26"/>
  <c r="AN75" i="26"/>
  <c r="AO75" i="26"/>
  <c r="AP75" i="26"/>
  <c r="AQ75" i="26"/>
  <c r="AR75" i="26"/>
  <c r="AS75" i="26"/>
  <c r="AT75" i="26"/>
  <c r="AU75" i="26"/>
  <c r="AV75" i="26"/>
  <c r="AW75" i="26"/>
  <c r="AX75" i="26"/>
  <c r="AY75" i="26"/>
  <c r="AZ75" i="26"/>
  <c r="BA75" i="26"/>
  <c r="BB75" i="26"/>
  <c r="BC75" i="26"/>
  <c r="BD75" i="26"/>
  <c r="BE75" i="26"/>
  <c r="BF75" i="26"/>
  <c r="BG75" i="26"/>
  <c r="BH75" i="26"/>
  <c r="BI75" i="26"/>
  <c r="BJ75" i="26"/>
  <c r="BK75" i="26"/>
  <c r="BL75" i="26"/>
  <c r="AG76" i="26"/>
  <c r="AH76" i="26"/>
  <c r="AI76" i="26"/>
  <c r="AJ76" i="26"/>
  <c r="AK76" i="26"/>
  <c r="AL76" i="26"/>
  <c r="AM76" i="26"/>
  <c r="AN76" i="26"/>
  <c r="AO76" i="26"/>
  <c r="AP76" i="26"/>
  <c r="AQ76" i="26"/>
  <c r="AR76" i="26"/>
  <c r="AS76" i="26"/>
  <c r="AT76" i="26"/>
  <c r="AU76" i="26"/>
  <c r="AV76" i="26"/>
  <c r="AW76" i="26"/>
  <c r="AX76" i="26"/>
  <c r="AY76" i="26"/>
  <c r="AZ76" i="26"/>
  <c r="BA76" i="26"/>
  <c r="BB76" i="26"/>
  <c r="BC76" i="26"/>
  <c r="BD76" i="26"/>
  <c r="BE76" i="26"/>
  <c r="BF76" i="26"/>
  <c r="BG76" i="26"/>
  <c r="BH76" i="26"/>
  <c r="BI76" i="26"/>
  <c r="BJ76" i="26"/>
  <c r="BK76" i="26"/>
  <c r="BL76" i="26"/>
  <c r="AG77" i="26"/>
  <c r="AH77" i="26"/>
  <c r="AI77" i="26"/>
  <c r="AJ77" i="26"/>
  <c r="AK77" i="26"/>
  <c r="AL77" i="26"/>
  <c r="AM77" i="26"/>
  <c r="AN77" i="26"/>
  <c r="AO77" i="26"/>
  <c r="AP77" i="26"/>
  <c r="AQ77" i="26"/>
  <c r="AR77" i="26"/>
  <c r="AS77" i="26"/>
  <c r="AT77" i="26"/>
  <c r="AU77" i="26"/>
  <c r="AV77" i="26"/>
  <c r="AW77" i="26"/>
  <c r="AX77" i="26"/>
  <c r="AY77" i="26"/>
  <c r="AZ77" i="26"/>
  <c r="BA77" i="26"/>
  <c r="BB77" i="26"/>
  <c r="BC77" i="26"/>
  <c r="BD77" i="26"/>
  <c r="BE77" i="26"/>
  <c r="BF77" i="26"/>
  <c r="BG77" i="26"/>
  <c r="BH77" i="26"/>
  <c r="BI77" i="26"/>
  <c r="BJ77" i="26"/>
  <c r="BK77" i="26"/>
  <c r="BL77" i="26"/>
  <c r="AG78" i="26"/>
  <c r="AH78" i="26"/>
  <c r="AI78" i="26"/>
  <c r="AJ78" i="26"/>
  <c r="AK78" i="26"/>
  <c r="AL78" i="26"/>
  <c r="AM78" i="26"/>
  <c r="AN78" i="26"/>
  <c r="AO78" i="26"/>
  <c r="AP78" i="26"/>
  <c r="AQ78" i="26"/>
  <c r="AR78" i="26"/>
  <c r="AS78" i="26"/>
  <c r="AT78" i="26"/>
  <c r="AU78" i="26"/>
  <c r="AV78" i="26"/>
  <c r="AW78" i="26"/>
  <c r="AX78" i="26"/>
  <c r="AY78" i="26"/>
  <c r="AZ78" i="26"/>
  <c r="BA78" i="26"/>
  <c r="BB78" i="26"/>
  <c r="BC78" i="26"/>
  <c r="BD78" i="26"/>
  <c r="BE78" i="26"/>
  <c r="BF78" i="26"/>
  <c r="BG78" i="26"/>
  <c r="BH78" i="26"/>
  <c r="BI78" i="26"/>
  <c r="BJ78" i="26"/>
  <c r="BK78" i="26"/>
  <c r="BL78" i="26"/>
  <c r="AG79" i="26"/>
  <c r="AH79" i="26"/>
  <c r="AI79" i="26"/>
  <c r="AJ79" i="26"/>
  <c r="AK79" i="26"/>
  <c r="AL79" i="26"/>
  <c r="AM79" i="26"/>
  <c r="AN79" i="26"/>
  <c r="AO79" i="26"/>
  <c r="AP79" i="26"/>
  <c r="AQ79" i="26"/>
  <c r="AR79" i="26"/>
  <c r="AS79" i="26"/>
  <c r="AT79" i="26"/>
  <c r="AU79" i="26"/>
  <c r="AV79" i="26"/>
  <c r="AW79" i="26"/>
  <c r="AX79" i="26"/>
  <c r="AY79" i="26"/>
  <c r="AZ79" i="26"/>
  <c r="BA79" i="26"/>
  <c r="BB79" i="26"/>
  <c r="BC79" i="26"/>
  <c r="BD79" i="26"/>
  <c r="BE79" i="26"/>
  <c r="BF79" i="26"/>
  <c r="BG79" i="26"/>
  <c r="BH79" i="26"/>
  <c r="BI79" i="26"/>
  <c r="BJ79" i="26"/>
  <c r="BK79" i="26"/>
  <c r="BL79" i="26"/>
  <c r="AG80" i="26"/>
  <c r="AH80" i="26"/>
  <c r="AI80" i="26"/>
  <c r="AJ80" i="26"/>
  <c r="AK80" i="26"/>
  <c r="AL80" i="26"/>
  <c r="AM80" i="26"/>
  <c r="AN80" i="26"/>
  <c r="AO80" i="26"/>
  <c r="AP80" i="26"/>
  <c r="AQ80" i="26"/>
  <c r="AR80" i="26"/>
  <c r="AS80" i="26"/>
  <c r="AT80" i="26"/>
  <c r="AU80" i="26"/>
  <c r="AV80" i="26"/>
  <c r="AW80" i="26"/>
  <c r="AX80" i="26"/>
  <c r="AY80" i="26"/>
  <c r="AZ80" i="26"/>
  <c r="BA80" i="26"/>
  <c r="BB80" i="26"/>
  <c r="BC80" i="26"/>
  <c r="BD80" i="26"/>
  <c r="BE80" i="26"/>
  <c r="BF80" i="26"/>
  <c r="BG80" i="26"/>
  <c r="BH80" i="26"/>
  <c r="BI80" i="26"/>
  <c r="BJ80" i="26"/>
  <c r="BK80" i="26"/>
  <c r="BL80" i="26"/>
  <c r="AG81" i="26"/>
  <c r="AH81" i="26"/>
  <c r="AI81" i="26"/>
  <c r="AJ81" i="26"/>
  <c r="AK81" i="26"/>
  <c r="AL81" i="26"/>
  <c r="AM81" i="26"/>
  <c r="AN81" i="26"/>
  <c r="AO81" i="26"/>
  <c r="AP81" i="26"/>
  <c r="AQ81" i="26"/>
  <c r="AR81" i="26"/>
  <c r="AS81" i="26"/>
  <c r="AT81" i="26"/>
  <c r="AU81" i="26"/>
  <c r="AV81" i="26"/>
  <c r="AW81" i="26"/>
  <c r="AX81" i="26"/>
  <c r="AY81" i="26"/>
  <c r="AZ81" i="26"/>
  <c r="BA81" i="26"/>
  <c r="BB81" i="26"/>
  <c r="BC81" i="26"/>
  <c r="BD81" i="26"/>
  <c r="BE81" i="26"/>
  <c r="BF81" i="26"/>
  <c r="BG81" i="26"/>
  <c r="BH81" i="26"/>
  <c r="BI81" i="26"/>
  <c r="BJ81" i="26"/>
  <c r="BK81" i="26"/>
  <c r="BL81" i="26"/>
  <c r="AG82" i="26"/>
  <c r="AH82" i="26"/>
  <c r="AI82" i="26"/>
  <c r="AJ82" i="26"/>
  <c r="AK82" i="26"/>
  <c r="AL82" i="26"/>
  <c r="AM82" i="26"/>
  <c r="AN82" i="26"/>
  <c r="AO82" i="26"/>
  <c r="AP82" i="26"/>
  <c r="AQ82" i="26"/>
  <c r="AR82" i="26"/>
  <c r="AS82" i="26"/>
  <c r="AT82" i="26"/>
  <c r="AU82" i="26"/>
  <c r="AV82" i="26"/>
  <c r="AW82" i="26"/>
  <c r="AX82" i="26"/>
  <c r="AY82" i="26"/>
  <c r="AZ82" i="26"/>
  <c r="BA82" i="26"/>
  <c r="BB82" i="26"/>
  <c r="BC82" i="26"/>
  <c r="BD82" i="26"/>
  <c r="BE82" i="26"/>
  <c r="BF82" i="26"/>
  <c r="BG82" i="26"/>
  <c r="BH82" i="26"/>
  <c r="BI82" i="26"/>
  <c r="BJ82" i="26"/>
  <c r="BK82" i="26"/>
  <c r="BL82" i="26"/>
  <c r="AG83" i="26"/>
  <c r="AH83" i="26"/>
  <c r="AI83" i="26"/>
  <c r="AJ83" i="26"/>
  <c r="AK83" i="26"/>
  <c r="AL83" i="26"/>
  <c r="AM83" i="26"/>
  <c r="AN83" i="26"/>
  <c r="AO83" i="26"/>
  <c r="AP83" i="26"/>
  <c r="AQ83" i="26"/>
  <c r="AR83" i="26"/>
  <c r="AS83" i="26"/>
  <c r="AT83" i="26"/>
  <c r="AU83" i="26"/>
  <c r="AV83" i="26"/>
  <c r="AW83" i="26"/>
  <c r="AX83" i="26"/>
  <c r="AY83" i="26"/>
  <c r="AZ83" i="26"/>
  <c r="BA83" i="26"/>
  <c r="BB83" i="26"/>
  <c r="BC83" i="26"/>
  <c r="BD83" i="26"/>
  <c r="BE83" i="26"/>
  <c r="BF83" i="26"/>
  <c r="BG83" i="26"/>
  <c r="BH83" i="26"/>
  <c r="BI83" i="26"/>
  <c r="BJ83" i="26"/>
  <c r="BK83" i="26"/>
  <c r="BL83" i="26"/>
  <c r="AG84" i="26"/>
  <c r="AH84" i="26"/>
  <c r="AI84" i="26"/>
  <c r="AJ84" i="26"/>
  <c r="AK84" i="26"/>
  <c r="AL84" i="26"/>
  <c r="AM84" i="26"/>
  <c r="AN84" i="26"/>
  <c r="AO84" i="26"/>
  <c r="AP84" i="26"/>
  <c r="AQ84" i="26"/>
  <c r="AR84" i="26"/>
  <c r="AS84" i="26"/>
  <c r="AT84" i="26"/>
  <c r="AU84" i="26"/>
  <c r="AV84" i="26"/>
  <c r="AW84" i="26"/>
  <c r="AX84" i="26"/>
  <c r="AY84" i="26"/>
  <c r="AZ84" i="26"/>
  <c r="BA84" i="26"/>
  <c r="BB84" i="26"/>
  <c r="BC84" i="26"/>
  <c r="BD84" i="26"/>
  <c r="BE84" i="26"/>
  <c r="BF84" i="26"/>
  <c r="BG84" i="26"/>
  <c r="BH84" i="26"/>
  <c r="BI84" i="26"/>
  <c r="BJ84" i="26"/>
  <c r="BK84" i="26"/>
  <c r="BL84" i="26"/>
  <c r="AG85" i="26"/>
  <c r="AH85" i="26"/>
  <c r="AI85" i="26"/>
  <c r="AJ85" i="26"/>
  <c r="AK85" i="26"/>
  <c r="AL85" i="26"/>
  <c r="AM85" i="26"/>
  <c r="AN85" i="26"/>
  <c r="AO85" i="26"/>
  <c r="AP85" i="26"/>
  <c r="AQ85" i="26"/>
  <c r="AR85" i="26"/>
  <c r="AS85" i="26"/>
  <c r="AT85" i="26"/>
  <c r="AU85" i="26"/>
  <c r="AV85" i="26"/>
  <c r="AW85" i="26"/>
  <c r="AX85" i="26"/>
  <c r="AY85" i="26"/>
  <c r="AZ85" i="26"/>
  <c r="BA85" i="26"/>
  <c r="BB85" i="26"/>
  <c r="BC85" i="26"/>
  <c r="BD85" i="26"/>
  <c r="BE85" i="26"/>
  <c r="BF85" i="26"/>
  <c r="BG85" i="26"/>
  <c r="BH85" i="26"/>
  <c r="BI85" i="26"/>
  <c r="BJ85" i="26"/>
  <c r="BK85" i="26"/>
  <c r="BL85" i="26"/>
  <c r="AG86" i="26"/>
  <c r="AH86" i="26"/>
  <c r="AI86" i="26"/>
  <c r="AJ86" i="26"/>
  <c r="AK86" i="26"/>
  <c r="AL86" i="26"/>
  <c r="AM86" i="26"/>
  <c r="AN86" i="26"/>
  <c r="AO86" i="26"/>
  <c r="AP86" i="26"/>
  <c r="AQ86" i="26"/>
  <c r="AR86" i="26"/>
  <c r="AS86" i="26"/>
  <c r="AT86" i="26"/>
  <c r="AU86" i="26"/>
  <c r="AV86" i="26"/>
  <c r="AW86" i="26"/>
  <c r="AX86" i="26"/>
  <c r="AY86" i="26"/>
  <c r="AZ86" i="26"/>
  <c r="BA86" i="26"/>
  <c r="BB86" i="26"/>
  <c r="BC86" i="26"/>
  <c r="BD86" i="26"/>
  <c r="BE86" i="26"/>
  <c r="BF86" i="26"/>
  <c r="BG86" i="26"/>
  <c r="BH86" i="26"/>
  <c r="BI86" i="26"/>
  <c r="BJ86" i="26"/>
  <c r="BK86" i="26"/>
  <c r="BL86" i="26"/>
  <c r="AG87" i="26"/>
  <c r="AH87" i="26"/>
  <c r="AI87" i="26"/>
  <c r="AJ87" i="26"/>
  <c r="AK87" i="26"/>
  <c r="AL87" i="26"/>
  <c r="AM87" i="26"/>
  <c r="AN87" i="26"/>
  <c r="AO87" i="26"/>
  <c r="AP87" i="26"/>
  <c r="AQ87" i="26"/>
  <c r="AR87" i="26"/>
  <c r="AS87" i="26"/>
  <c r="AT87" i="26"/>
  <c r="AU87" i="26"/>
  <c r="AV87" i="26"/>
  <c r="AW87" i="26"/>
  <c r="AX87" i="26"/>
  <c r="AY87" i="26"/>
  <c r="AZ87" i="26"/>
  <c r="BA87" i="26"/>
  <c r="BB87" i="26"/>
  <c r="BC87" i="26"/>
  <c r="BD87" i="26"/>
  <c r="BE87" i="26"/>
  <c r="BF87" i="26"/>
  <c r="BG87" i="26"/>
  <c r="BH87" i="26"/>
  <c r="BI87" i="26"/>
  <c r="BJ87" i="26"/>
  <c r="BK87" i="26"/>
  <c r="BL87" i="26"/>
  <c r="AG88" i="26"/>
  <c r="AH88" i="26"/>
  <c r="AI88" i="26"/>
  <c r="AJ88" i="26"/>
  <c r="AK88" i="26"/>
  <c r="AL88" i="26"/>
  <c r="AM88" i="26"/>
  <c r="AN88" i="26"/>
  <c r="AO88" i="26"/>
  <c r="AP88" i="26"/>
  <c r="AQ88" i="26"/>
  <c r="AR88" i="26"/>
  <c r="AS88" i="26"/>
  <c r="AT88" i="26"/>
  <c r="AU88" i="26"/>
  <c r="AV88" i="26"/>
  <c r="AW88" i="26"/>
  <c r="AX88" i="26"/>
  <c r="AY88" i="26"/>
  <c r="AZ88" i="26"/>
  <c r="BA88" i="26"/>
  <c r="BB88" i="26"/>
  <c r="BC88" i="26"/>
  <c r="BD88" i="26"/>
  <c r="BE88" i="26"/>
  <c r="BF88" i="26"/>
  <c r="BG88" i="26"/>
  <c r="BH88" i="26"/>
  <c r="BI88" i="26"/>
  <c r="BJ88" i="26"/>
  <c r="BK88" i="26"/>
  <c r="BL88" i="26"/>
  <c r="AG89" i="26"/>
  <c r="AH89" i="26"/>
  <c r="AI89" i="26"/>
  <c r="AJ89" i="26"/>
  <c r="AK89" i="26"/>
  <c r="AL89" i="26"/>
  <c r="AM89" i="26"/>
  <c r="AN89" i="26"/>
  <c r="AO89" i="26"/>
  <c r="AP89" i="26"/>
  <c r="AQ89" i="26"/>
  <c r="AR89" i="26"/>
  <c r="AS89" i="26"/>
  <c r="AT89" i="26"/>
  <c r="AU89" i="26"/>
  <c r="AV89" i="26"/>
  <c r="AW89" i="26"/>
  <c r="AX89" i="26"/>
  <c r="AY89" i="26"/>
  <c r="AZ89" i="26"/>
  <c r="BA89" i="26"/>
  <c r="BB89" i="26"/>
  <c r="BC89" i="26"/>
  <c r="BD89" i="26"/>
  <c r="BE89" i="26"/>
  <c r="BF89" i="26"/>
  <c r="BG89" i="26"/>
  <c r="BH89" i="26"/>
  <c r="BI89" i="26"/>
  <c r="BJ89" i="26"/>
  <c r="BK89" i="26"/>
  <c r="BL89" i="26"/>
  <c r="AG90" i="26"/>
  <c r="AH90" i="26"/>
  <c r="AI90" i="26"/>
  <c r="AJ90" i="26"/>
  <c r="AK90" i="26"/>
  <c r="AL90" i="26"/>
  <c r="AM90" i="26"/>
  <c r="AN90" i="26"/>
  <c r="AO90" i="26"/>
  <c r="AP90" i="26"/>
  <c r="AQ90" i="26"/>
  <c r="AR90" i="26"/>
  <c r="AS90" i="26"/>
  <c r="AT90" i="26"/>
  <c r="AU90" i="26"/>
  <c r="AV90" i="26"/>
  <c r="AW90" i="26"/>
  <c r="AX90" i="26"/>
  <c r="AY90" i="26"/>
  <c r="AZ90" i="26"/>
  <c r="BA90" i="26"/>
  <c r="BB90" i="26"/>
  <c r="BC90" i="26"/>
  <c r="BD90" i="26"/>
  <c r="BE90" i="26"/>
  <c r="BF90" i="26"/>
  <c r="BG90" i="26"/>
  <c r="BH90" i="26"/>
  <c r="BI90" i="26"/>
  <c r="BJ90" i="26"/>
  <c r="BK90" i="26"/>
  <c r="BL90" i="26"/>
  <c r="AG91" i="26"/>
  <c r="AH91" i="26"/>
  <c r="AI91" i="26"/>
  <c r="AJ91" i="26"/>
  <c r="AK91" i="26"/>
  <c r="AL91" i="26"/>
  <c r="AM91" i="26"/>
  <c r="AN91" i="26"/>
  <c r="AO91" i="26"/>
  <c r="AP91" i="26"/>
  <c r="AQ91" i="26"/>
  <c r="AR91" i="26"/>
  <c r="AS91" i="26"/>
  <c r="AT91" i="26"/>
  <c r="AU91" i="26"/>
  <c r="AV91" i="26"/>
  <c r="AW91" i="26"/>
  <c r="AX91" i="26"/>
  <c r="AY91" i="26"/>
  <c r="AZ91" i="26"/>
  <c r="BA91" i="26"/>
  <c r="BB91" i="26"/>
  <c r="BC91" i="26"/>
  <c r="BD91" i="26"/>
  <c r="BE91" i="26"/>
  <c r="BF91" i="26"/>
  <c r="BG91" i="26"/>
  <c r="BH91" i="26"/>
  <c r="BI91" i="26"/>
  <c r="BJ91" i="26"/>
  <c r="BK91" i="26"/>
  <c r="BL91" i="26"/>
  <c r="AG92" i="26"/>
  <c r="AH92" i="26"/>
  <c r="AI92" i="26"/>
  <c r="AJ92" i="26"/>
  <c r="AK92" i="26"/>
  <c r="AL92" i="26"/>
  <c r="AM92" i="26"/>
  <c r="AN92" i="26"/>
  <c r="AO92" i="26"/>
  <c r="AP92" i="26"/>
  <c r="AQ92" i="26"/>
  <c r="AR92" i="26"/>
  <c r="AS92" i="26"/>
  <c r="AT92" i="26"/>
  <c r="AU92" i="26"/>
  <c r="AV92" i="26"/>
  <c r="AW92" i="26"/>
  <c r="AX92" i="26"/>
  <c r="AY92" i="26"/>
  <c r="AZ92" i="26"/>
  <c r="BA92" i="26"/>
  <c r="BB92" i="26"/>
  <c r="BC92" i="26"/>
  <c r="BD92" i="26"/>
  <c r="BE92" i="26"/>
  <c r="BF92" i="26"/>
  <c r="BG92" i="26"/>
  <c r="BH92" i="26"/>
  <c r="BI92" i="26"/>
  <c r="BJ92" i="26"/>
  <c r="BK92" i="26"/>
  <c r="BL92" i="26"/>
  <c r="AG93" i="26"/>
  <c r="AH93" i="26"/>
  <c r="AI93" i="26"/>
  <c r="AJ93" i="26"/>
  <c r="AK93" i="26"/>
  <c r="AL93" i="26"/>
  <c r="AM93" i="26"/>
  <c r="AN93" i="26"/>
  <c r="AO93" i="26"/>
  <c r="AP93" i="26"/>
  <c r="AQ93" i="26"/>
  <c r="AR93" i="26"/>
  <c r="AS93" i="26"/>
  <c r="AT93" i="26"/>
  <c r="AU93" i="26"/>
  <c r="AV93" i="26"/>
  <c r="AW93" i="26"/>
  <c r="AX93" i="26"/>
  <c r="AY93" i="26"/>
  <c r="AZ93" i="26"/>
  <c r="BA93" i="26"/>
  <c r="BB93" i="26"/>
  <c r="BC93" i="26"/>
  <c r="BD93" i="26"/>
  <c r="BE93" i="26"/>
  <c r="BF93" i="26"/>
  <c r="BG93" i="26"/>
  <c r="BH93" i="26"/>
  <c r="BI93" i="26"/>
  <c r="BJ93" i="26"/>
  <c r="BK93" i="26"/>
  <c r="BL93" i="26"/>
  <c r="AG94" i="26"/>
  <c r="AH94" i="26"/>
  <c r="AI94" i="26"/>
  <c r="AJ94" i="26"/>
  <c r="AK94" i="26"/>
  <c r="AL94" i="26"/>
  <c r="AM94" i="26"/>
  <c r="AN94" i="26"/>
  <c r="AO94" i="26"/>
  <c r="AP94" i="26"/>
  <c r="AQ94" i="26"/>
  <c r="AR94" i="26"/>
  <c r="AS94" i="26"/>
  <c r="AT94" i="26"/>
  <c r="AU94" i="26"/>
  <c r="AV94" i="26"/>
  <c r="AW94" i="26"/>
  <c r="AX94" i="26"/>
  <c r="AY94" i="26"/>
  <c r="AZ94" i="26"/>
  <c r="BA94" i="26"/>
  <c r="BB94" i="26"/>
  <c r="BC94" i="26"/>
  <c r="BD94" i="26"/>
  <c r="BE94" i="26"/>
  <c r="BF94" i="26"/>
  <c r="BG94" i="26"/>
  <c r="BH94" i="26"/>
  <c r="BI94" i="26"/>
  <c r="BJ94" i="26"/>
  <c r="BK94" i="26"/>
  <c r="BL94" i="26"/>
  <c r="AG95" i="26"/>
  <c r="AH95" i="26"/>
  <c r="AI95" i="26"/>
  <c r="AJ95" i="26"/>
  <c r="AK95" i="26"/>
  <c r="AL95" i="26"/>
  <c r="AM95" i="26"/>
  <c r="AN95" i="26"/>
  <c r="AO95" i="26"/>
  <c r="AP95" i="26"/>
  <c r="AQ95" i="26"/>
  <c r="AR95" i="26"/>
  <c r="AS95" i="26"/>
  <c r="AT95" i="26"/>
  <c r="AU95" i="26"/>
  <c r="AV95" i="26"/>
  <c r="AW95" i="26"/>
  <c r="AX95" i="26"/>
  <c r="AY95" i="26"/>
  <c r="AZ95" i="26"/>
  <c r="BA95" i="26"/>
  <c r="BB95" i="26"/>
  <c r="BC95" i="26"/>
  <c r="BD95" i="26"/>
  <c r="BE95" i="26"/>
  <c r="BF95" i="26"/>
  <c r="BG95" i="26"/>
  <c r="BH95" i="26"/>
  <c r="BI95" i="26"/>
  <c r="BJ95" i="26"/>
  <c r="BK95" i="26"/>
  <c r="BL95" i="26"/>
  <c r="AG96" i="26"/>
  <c r="AH96" i="26"/>
  <c r="AI96" i="26"/>
  <c r="AJ96" i="26"/>
  <c r="AK96" i="26"/>
  <c r="AL96" i="26"/>
  <c r="AM96" i="26"/>
  <c r="AN96" i="26"/>
  <c r="AO96" i="26"/>
  <c r="AP96" i="26"/>
  <c r="AQ96" i="26"/>
  <c r="AR96" i="26"/>
  <c r="AS96" i="26"/>
  <c r="AT96" i="26"/>
  <c r="AU96" i="26"/>
  <c r="AV96" i="26"/>
  <c r="AW96" i="26"/>
  <c r="AX96" i="26"/>
  <c r="AY96" i="26"/>
  <c r="AZ96" i="26"/>
  <c r="BA96" i="26"/>
  <c r="BB96" i="26"/>
  <c r="BC96" i="26"/>
  <c r="BD96" i="26"/>
  <c r="BE96" i="26"/>
  <c r="BF96" i="26"/>
  <c r="BG96" i="26"/>
  <c r="BH96" i="26"/>
  <c r="BI96" i="26"/>
  <c r="BJ96" i="26"/>
  <c r="BK96" i="26"/>
  <c r="BL96" i="26"/>
  <c r="AG97" i="26"/>
  <c r="AH97" i="26"/>
  <c r="AI97" i="26"/>
  <c r="AJ97" i="26"/>
  <c r="AK97" i="26"/>
  <c r="AL97" i="26"/>
  <c r="AM97" i="26"/>
  <c r="AN97" i="26"/>
  <c r="AO97" i="26"/>
  <c r="AP97" i="26"/>
  <c r="AQ97" i="26"/>
  <c r="AR97" i="26"/>
  <c r="AS97" i="26"/>
  <c r="AT97" i="26"/>
  <c r="AU97" i="26"/>
  <c r="AV97" i="26"/>
  <c r="AW97" i="26"/>
  <c r="AX97" i="26"/>
  <c r="AY97" i="26"/>
  <c r="AZ97" i="26"/>
  <c r="BA97" i="26"/>
  <c r="BB97" i="26"/>
  <c r="BC97" i="26"/>
  <c r="BD97" i="26"/>
  <c r="BE97" i="26"/>
  <c r="BF97" i="26"/>
  <c r="BG97" i="26"/>
  <c r="BH97" i="26"/>
  <c r="BI97" i="26"/>
  <c r="BJ97" i="26"/>
  <c r="BK97" i="26"/>
  <c r="BL97" i="26"/>
  <c r="AG98" i="26"/>
  <c r="AH98" i="26"/>
  <c r="AI98" i="26"/>
  <c r="AJ98" i="26"/>
  <c r="AK98" i="26"/>
  <c r="AL98" i="26"/>
  <c r="AM98" i="26"/>
  <c r="AN98" i="26"/>
  <c r="AO98" i="26"/>
  <c r="AP98" i="26"/>
  <c r="AQ98" i="26"/>
  <c r="AR98" i="26"/>
  <c r="AS98" i="26"/>
  <c r="AT98" i="26"/>
  <c r="AU98" i="26"/>
  <c r="AV98" i="26"/>
  <c r="AW98" i="26"/>
  <c r="AX98" i="26"/>
  <c r="AY98" i="26"/>
  <c r="AZ98" i="26"/>
  <c r="BA98" i="26"/>
  <c r="BB98" i="26"/>
  <c r="BC98" i="26"/>
  <c r="BD98" i="26"/>
  <c r="BE98" i="26"/>
  <c r="BF98" i="26"/>
  <c r="BG98" i="26"/>
  <c r="BH98" i="26"/>
  <c r="BI98" i="26"/>
  <c r="BJ98" i="26"/>
  <c r="BK98" i="26"/>
  <c r="BL98" i="26"/>
  <c r="AG99" i="26"/>
  <c r="AH99" i="26"/>
  <c r="AI99" i="26"/>
  <c r="AJ99" i="26"/>
  <c r="AK99" i="26"/>
  <c r="AL99" i="26"/>
  <c r="AM99" i="26"/>
  <c r="AN99" i="26"/>
  <c r="AO99" i="26"/>
  <c r="AP99" i="26"/>
  <c r="AQ99" i="26"/>
  <c r="AR99" i="26"/>
  <c r="AS99" i="26"/>
  <c r="AT99" i="26"/>
  <c r="AU99" i="26"/>
  <c r="AV99" i="26"/>
  <c r="AW99" i="26"/>
  <c r="AX99" i="26"/>
  <c r="AY99" i="26"/>
  <c r="AZ99" i="26"/>
  <c r="BA99" i="26"/>
  <c r="BB99" i="26"/>
  <c r="BC99" i="26"/>
  <c r="BD99" i="26"/>
  <c r="BE99" i="26"/>
  <c r="BF99" i="26"/>
  <c r="BG99" i="26"/>
  <c r="BH99" i="26"/>
  <c r="BI99" i="26"/>
  <c r="BJ99" i="26"/>
  <c r="BK99" i="26"/>
  <c r="BL99" i="26"/>
  <c r="AG100" i="26"/>
  <c r="AH100" i="26"/>
  <c r="AI100" i="26"/>
  <c r="AJ100" i="26"/>
  <c r="AK100" i="26"/>
  <c r="AL100" i="26"/>
  <c r="AM100" i="26"/>
  <c r="AN100" i="26"/>
  <c r="AO100" i="26"/>
  <c r="AP100" i="26"/>
  <c r="AQ100" i="26"/>
  <c r="AR100" i="26"/>
  <c r="AS100" i="26"/>
  <c r="AT100" i="26"/>
  <c r="AU100" i="26"/>
  <c r="AV100" i="26"/>
  <c r="AW100" i="26"/>
  <c r="AX100" i="26"/>
  <c r="AY100" i="26"/>
  <c r="AZ100" i="26"/>
  <c r="BA100" i="26"/>
  <c r="BB100" i="26"/>
  <c r="BC100" i="26"/>
  <c r="BD100" i="26"/>
  <c r="BE100" i="26"/>
  <c r="BF100" i="26"/>
  <c r="BG100" i="26"/>
  <c r="BH100" i="26"/>
  <c r="BI100" i="26"/>
  <c r="BJ100" i="26"/>
  <c r="BK100" i="26"/>
  <c r="BL100" i="26"/>
  <c r="AG101" i="26"/>
  <c r="AH101" i="26"/>
  <c r="AI101" i="26"/>
  <c r="AJ101" i="26"/>
  <c r="AK101" i="26"/>
  <c r="AL101" i="26"/>
  <c r="AM101" i="26"/>
  <c r="AN101" i="26"/>
  <c r="AO101" i="26"/>
  <c r="AP101" i="26"/>
  <c r="AQ101" i="26"/>
  <c r="AR101" i="26"/>
  <c r="AS101" i="26"/>
  <c r="AT101" i="26"/>
  <c r="AU101" i="26"/>
  <c r="AV101" i="26"/>
  <c r="AW101" i="26"/>
  <c r="AX101" i="26"/>
  <c r="AY101" i="26"/>
  <c r="AZ101" i="26"/>
  <c r="BA101" i="26"/>
  <c r="BB101" i="26"/>
  <c r="BC101" i="26"/>
  <c r="BD101" i="26"/>
  <c r="BE101" i="26"/>
  <c r="BF101" i="26"/>
  <c r="BG101" i="26"/>
  <c r="BH101" i="26"/>
  <c r="BI101" i="26"/>
  <c r="BJ101" i="26"/>
  <c r="BK101" i="26"/>
  <c r="BL101" i="26"/>
  <c r="AG102" i="26"/>
  <c r="AH102" i="26"/>
  <c r="AI102" i="26"/>
  <c r="AJ102" i="26"/>
  <c r="AK102" i="26"/>
  <c r="AL102" i="26"/>
  <c r="AM102" i="26"/>
  <c r="AN102" i="26"/>
  <c r="AO102" i="26"/>
  <c r="AP102" i="26"/>
  <c r="AQ102" i="26"/>
  <c r="AR102" i="26"/>
  <c r="AS102" i="26"/>
  <c r="AT102" i="26"/>
  <c r="AU102" i="26"/>
  <c r="AV102" i="26"/>
  <c r="AW102" i="26"/>
  <c r="AX102" i="26"/>
  <c r="AY102" i="26"/>
  <c r="AZ102" i="26"/>
  <c r="BA102" i="26"/>
  <c r="BB102" i="26"/>
  <c r="BC102" i="26"/>
  <c r="BD102" i="26"/>
  <c r="BE102" i="26"/>
  <c r="BF102" i="26"/>
  <c r="BG102" i="26"/>
  <c r="BH102" i="26"/>
  <c r="BI102" i="26"/>
  <c r="BJ102" i="26"/>
  <c r="BK102" i="26"/>
  <c r="BL102" i="26"/>
  <c r="AG103" i="26"/>
  <c r="AH103" i="26"/>
  <c r="AI103" i="26"/>
  <c r="AJ103" i="26"/>
  <c r="AK103" i="26"/>
  <c r="AL103" i="26"/>
  <c r="AM103" i="26"/>
  <c r="AN103" i="26"/>
  <c r="AO103" i="26"/>
  <c r="AP103" i="26"/>
  <c r="AQ103" i="26"/>
  <c r="AR103" i="26"/>
  <c r="AS103" i="26"/>
  <c r="AT103" i="26"/>
  <c r="AU103" i="26"/>
  <c r="AV103" i="26"/>
  <c r="AW103" i="26"/>
  <c r="AX103" i="26"/>
  <c r="AY103" i="26"/>
  <c r="AZ103" i="26"/>
  <c r="BA103" i="26"/>
  <c r="BB103" i="26"/>
  <c r="BC103" i="26"/>
  <c r="BD103" i="26"/>
  <c r="BE103" i="26"/>
  <c r="BF103" i="26"/>
  <c r="BG103" i="26"/>
  <c r="BH103" i="26"/>
  <c r="BI103" i="26"/>
  <c r="BJ103" i="26"/>
  <c r="BK103" i="26"/>
  <c r="BL103" i="26"/>
  <c r="AG104" i="26"/>
  <c r="AH104" i="26"/>
  <c r="AI104" i="26"/>
  <c r="AJ104" i="26"/>
  <c r="AK104" i="26"/>
  <c r="AL104" i="26"/>
  <c r="AM104" i="26"/>
  <c r="AN104" i="26"/>
  <c r="AO104" i="26"/>
  <c r="AP104" i="26"/>
  <c r="AQ104" i="26"/>
  <c r="AR104" i="26"/>
  <c r="AS104" i="26"/>
  <c r="AT104" i="26"/>
  <c r="AU104" i="26"/>
  <c r="AV104" i="26"/>
  <c r="AW104" i="26"/>
  <c r="AX104" i="26"/>
  <c r="AY104" i="26"/>
  <c r="AZ104" i="26"/>
  <c r="BA104" i="26"/>
  <c r="BB104" i="26"/>
  <c r="BC104" i="26"/>
  <c r="BD104" i="26"/>
  <c r="BE104" i="26"/>
  <c r="BF104" i="26"/>
  <c r="BG104" i="26"/>
  <c r="BH104" i="26"/>
  <c r="BI104" i="26"/>
  <c r="BJ104" i="26"/>
  <c r="BK104" i="26"/>
  <c r="BL104" i="26"/>
  <c r="AG105" i="26"/>
  <c r="AH105" i="26"/>
  <c r="AI105" i="26"/>
  <c r="AJ105" i="26"/>
  <c r="AK105" i="26"/>
  <c r="AL105" i="26"/>
  <c r="AM105" i="26"/>
  <c r="AN105" i="26"/>
  <c r="AO105" i="26"/>
  <c r="AP105" i="26"/>
  <c r="AQ105" i="26"/>
  <c r="AR105" i="26"/>
  <c r="AS105" i="26"/>
  <c r="AT105" i="26"/>
  <c r="AU105" i="26"/>
  <c r="AV105" i="26"/>
  <c r="AW105" i="26"/>
  <c r="AX105" i="26"/>
  <c r="AY105" i="26"/>
  <c r="AZ105" i="26"/>
  <c r="BA105" i="26"/>
  <c r="BB105" i="26"/>
  <c r="BC105" i="26"/>
  <c r="BD105" i="26"/>
  <c r="BE105" i="26"/>
  <c r="BF105" i="26"/>
  <c r="BG105" i="26"/>
  <c r="BH105" i="26"/>
  <c r="BI105" i="26"/>
  <c r="BJ105" i="26"/>
  <c r="BK105" i="26"/>
  <c r="BL105" i="26"/>
  <c r="AG106" i="26"/>
  <c r="AH106" i="26"/>
  <c r="AI106" i="26"/>
  <c r="AJ106" i="26"/>
  <c r="AK106" i="26"/>
  <c r="AL106" i="26"/>
  <c r="AM106" i="26"/>
  <c r="AN106" i="26"/>
  <c r="AO106" i="26"/>
  <c r="AP106" i="26"/>
  <c r="AQ106" i="26"/>
  <c r="AR106" i="26"/>
  <c r="AS106" i="26"/>
  <c r="AT106" i="26"/>
  <c r="AU106" i="26"/>
  <c r="AV106" i="26"/>
  <c r="AW106" i="26"/>
  <c r="AX106" i="26"/>
  <c r="AY106" i="26"/>
  <c r="AZ106" i="26"/>
  <c r="BA106" i="26"/>
  <c r="BB106" i="26"/>
  <c r="BC106" i="26"/>
  <c r="BD106" i="26"/>
  <c r="BE106" i="26"/>
  <c r="BF106" i="26"/>
  <c r="BG106" i="26"/>
  <c r="BH106" i="26"/>
  <c r="BI106" i="26"/>
  <c r="BJ106" i="26"/>
  <c r="BK106" i="26"/>
  <c r="BL106" i="26"/>
  <c r="AG107" i="26"/>
  <c r="AH107" i="26"/>
  <c r="AI107" i="26"/>
  <c r="AJ107" i="26"/>
  <c r="AK107" i="26"/>
  <c r="AL107" i="26"/>
  <c r="AM107" i="26"/>
  <c r="AN107" i="26"/>
  <c r="AO107" i="26"/>
  <c r="AP107" i="26"/>
  <c r="AQ107" i="26"/>
  <c r="AR107" i="26"/>
  <c r="AS107" i="26"/>
  <c r="AT107" i="26"/>
  <c r="AU107" i="26"/>
  <c r="AV107" i="26"/>
  <c r="AW107" i="26"/>
  <c r="AX107" i="26"/>
  <c r="AY107" i="26"/>
  <c r="AZ107" i="26"/>
  <c r="BA107" i="26"/>
  <c r="BB107" i="26"/>
  <c r="BC107" i="26"/>
  <c r="BD107" i="26"/>
  <c r="BE107" i="26"/>
  <c r="BF107" i="26"/>
  <c r="BG107" i="26"/>
  <c r="BH107" i="26"/>
  <c r="BI107" i="26"/>
  <c r="BJ107" i="26"/>
  <c r="BK107" i="26"/>
  <c r="BL107" i="26"/>
  <c r="AG108" i="26"/>
  <c r="AH108" i="26"/>
  <c r="AI108" i="26"/>
  <c r="AJ108" i="26"/>
  <c r="AK108" i="26"/>
  <c r="AL108" i="26"/>
  <c r="AM108" i="26"/>
  <c r="AN108" i="26"/>
  <c r="AO108" i="26"/>
  <c r="AP108" i="26"/>
  <c r="AQ108" i="26"/>
  <c r="AR108" i="26"/>
  <c r="AS108" i="26"/>
  <c r="AT108" i="26"/>
  <c r="AU108" i="26"/>
  <c r="AV108" i="26"/>
  <c r="AW108" i="26"/>
  <c r="AX108" i="26"/>
  <c r="AY108" i="26"/>
  <c r="AZ108" i="26"/>
  <c r="BA108" i="26"/>
  <c r="BB108" i="26"/>
  <c r="BC108" i="26"/>
  <c r="BD108" i="26"/>
  <c r="BE108" i="26"/>
  <c r="BF108" i="26"/>
  <c r="BG108" i="26"/>
  <c r="BH108" i="26"/>
  <c r="BI108" i="26"/>
  <c r="BJ108" i="26"/>
  <c r="BK108" i="26"/>
  <c r="BL108" i="26"/>
  <c r="AG109" i="26"/>
  <c r="AH109" i="26"/>
  <c r="AI109" i="26"/>
  <c r="AJ109" i="26"/>
  <c r="AK109" i="26"/>
  <c r="AL109" i="26"/>
  <c r="AM109" i="26"/>
  <c r="AN109" i="26"/>
  <c r="AO109" i="26"/>
  <c r="AP109" i="26"/>
  <c r="AQ109" i="26"/>
  <c r="AR109" i="26"/>
  <c r="AS109" i="26"/>
  <c r="AT109" i="26"/>
  <c r="AU109" i="26"/>
  <c r="AV109" i="26"/>
  <c r="AW109" i="26"/>
  <c r="AX109" i="26"/>
  <c r="AY109" i="26"/>
  <c r="AZ109" i="26"/>
  <c r="BA109" i="26"/>
  <c r="BB109" i="26"/>
  <c r="BC109" i="26"/>
  <c r="BD109" i="26"/>
  <c r="BE109" i="26"/>
  <c r="BF109" i="26"/>
  <c r="BG109" i="26"/>
  <c r="BH109" i="26"/>
  <c r="BI109" i="26"/>
  <c r="BJ109" i="26"/>
  <c r="BK109" i="26"/>
  <c r="BL109" i="26"/>
  <c r="AG110" i="26"/>
  <c r="AH110" i="26"/>
  <c r="AI110" i="26"/>
  <c r="AJ110" i="26"/>
  <c r="AK110" i="26"/>
  <c r="AL110" i="26"/>
  <c r="AM110" i="26"/>
  <c r="AN110" i="26"/>
  <c r="AO110" i="26"/>
  <c r="AP110" i="26"/>
  <c r="AQ110" i="26"/>
  <c r="AR110" i="26"/>
  <c r="AS110" i="26"/>
  <c r="AT110" i="26"/>
  <c r="AU110" i="26"/>
  <c r="AV110" i="26"/>
  <c r="AW110" i="26"/>
  <c r="AX110" i="26"/>
  <c r="AY110" i="26"/>
  <c r="AZ110" i="26"/>
  <c r="BA110" i="26"/>
  <c r="BB110" i="26"/>
  <c r="BC110" i="26"/>
  <c r="BD110" i="26"/>
  <c r="BE110" i="26"/>
  <c r="BF110" i="26"/>
  <c r="BG110" i="26"/>
  <c r="BH110" i="26"/>
  <c r="BI110" i="26"/>
  <c r="BJ110" i="26"/>
  <c r="BK110" i="26"/>
  <c r="BL110" i="26"/>
  <c r="AG111" i="26"/>
  <c r="AH111" i="26"/>
  <c r="AI111" i="26"/>
  <c r="AJ111" i="26"/>
  <c r="AK111" i="26"/>
  <c r="AL111" i="26"/>
  <c r="AM111" i="26"/>
  <c r="AN111" i="26"/>
  <c r="AO111" i="26"/>
  <c r="AP111" i="26"/>
  <c r="AQ111" i="26"/>
  <c r="AR111" i="26"/>
  <c r="AS111" i="26"/>
  <c r="AT111" i="26"/>
  <c r="AU111" i="26"/>
  <c r="AV111" i="26"/>
  <c r="AW111" i="26"/>
  <c r="AX111" i="26"/>
  <c r="AY111" i="26"/>
  <c r="AZ111" i="26"/>
  <c r="BA111" i="26"/>
  <c r="BB111" i="26"/>
  <c r="BC111" i="26"/>
  <c r="BD111" i="26"/>
  <c r="BE111" i="26"/>
  <c r="BF111" i="26"/>
  <c r="BG111" i="26"/>
  <c r="BH111" i="26"/>
  <c r="BI111" i="26"/>
  <c r="BJ111" i="26"/>
  <c r="BK111" i="26"/>
  <c r="BL111" i="26"/>
  <c r="AG112" i="26"/>
  <c r="AH112" i="26"/>
  <c r="AI112" i="26"/>
  <c r="AJ112" i="26"/>
  <c r="AK112" i="26"/>
  <c r="AL112" i="26"/>
  <c r="AM112" i="26"/>
  <c r="AN112" i="26"/>
  <c r="AO112" i="26"/>
  <c r="AP112" i="26"/>
  <c r="AQ112" i="26"/>
  <c r="AR112" i="26"/>
  <c r="AS112" i="26"/>
  <c r="AT112" i="26"/>
  <c r="AU112" i="26"/>
  <c r="AV112" i="26"/>
  <c r="AW112" i="26"/>
  <c r="AX112" i="26"/>
  <c r="AY112" i="26"/>
  <c r="AZ112" i="26"/>
  <c r="BA112" i="26"/>
  <c r="BB112" i="26"/>
  <c r="BC112" i="26"/>
  <c r="BD112" i="26"/>
  <c r="BE112" i="26"/>
  <c r="BF112" i="26"/>
  <c r="BG112" i="26"/>
  <c r="BH112" i="26"/>
  <c r="BI112" i="26"/>
  <c r="BJ112" i="26"/>
  <c r="BK112" i="26"/>
  <c r="BL112" i="26"/>
  <c r="AG113" i="26"/>
  <c r="AH113" i="26"/>
  <c r="AI113" i="26"/>
  <c r="AJ113" i="26"/>
  <c r="AK113" i="26"/>
  <c r="AL113" i="26"/>
  <c r="AM113" i="26"/>
  <c r="AN113" i="26"/>
  <c r="AO113" i="26"/>
  <c r="AP113" i="26"/>
  <c r="AQ113" i="26"/>
  <c r="AR113" i="26"/>
  <c r="AS113" i="26"/>
  <c r="AT113" i="26"/>
  <c r="AU113" i="26"/>
  <c r="AV113" i="26"/>
  <c r="AW113" i="26"/>
  <c r="AX113" i="26"/>
  <c r="AY113" i="26"/>
  <c r="AZ113" i="26"/>
  <c r="BA113" i="26"/>
  <c r="BB113" i="26"/>
  <c r="BC113" i="26"/>
  <c r="BD113" i="26"/>
  <c r="BE113" i="26"/>
  <c r="BF113" i="26"/>
  <c r="BG113" i="26"/>
  <c r="BH113" i="26"/>
  <c r="BI113" i="26"/>
  <c r="BJ113" i="26"/>
  <c r="BK113" i="26"/>
  <c r="BL113" i="26"/>
  <c r="AG114" i="26"/>
  <c r="AH114" i="26"/>
  <c r="AI114" i="26"/>
  <c r="AJ114" i="26"/>
  <c r="AK114" i="26"/>
  <c r="AL114" i="26"/>
  <c r="AM114" i="26"/>
  <c r="AN114" i="26"/>
  <c r="AO114" i="26"/>
  <c r="AP114" i="26"/>
  <c r="AQ114" i="26"/>
  <c r="AR114" i="26"/>
  <c r="AS114" i="26"/>
  <c r="AT114" i="26"/>
  <c r="AU114" i="26"/>
  <c r="AV114" i="26"/>
  <c r="AW114" i="26"/>
  <c r="AX114" i="26"/>
  <c r="AY114" i="26"/>
  <c r="AZ114" i="26"/>
  <c r="BA114" i="26"/>
  <c r="BB114" i="26"/>
  <c r="BC114" i="26"/>
  <c r="BD114" i="26"/>
  <c r="BE114" i="26"/>
  <c r="BF114" i="26"/>
  <c r="BG114" i="26"/>
  <c r="BH114" i="26"/>
  <c r="BI114" i="26"/>
  <c r="BJ114" i="26"/>
  <c r="BK114" i="26"/>
  <c r="BL114" i="26"/>
  <c r="AG115" i="26"/>
  <c r="AH115" i="26"/>
  <c r="AI115" i="26"/>
  <c r="AJ115" i="26"/>
  <c r="AK115" i="26"/>
  <c r="AL115" i="26"/>
  <c r="AM115" i="26"/>
  <c r="AN115" i="26"/>
  <c r="AO115" i="26"/>
  <c r="AP115" i="26"/>
  <c r="AQ115" i="26"/>
  <c r="AR115" i="26"/>
  <c r="AS115" i="26"/>
  <c r="AT115" i="26"/>
  <c r="AU115" i="26"/>
  <c r="AV115" i="26"/>
  <c r="AW115" i="26"/>
  <c r="AX115" i="26"/>
  <c r="AY115" i="26"/>
  <c r="AZ115" i="26"/>
  <c r="BA115" i="26"/>
  <c r="BB115" i="26"/>
  <c r="BC115" i="26"/>
  <c r="BD115" i="26"/>
  <c r="BE115" i="26"/>
  <c r="BF115" i="26"/>
  <c r="BG115" i="26"/>
  <c r="BH115" i="26"/>
  <c r="BI115" i="26"/>
  <c r="BJ115" i="26"/>
  <c r="BK115" i="26"/>
  <c r="BL115" i="26"/>
  <c r="AG116" i="26"/>
  <c r="AH116" i="26"/>
  <c r="AI116" i="26"/>
  <c r="AJ116" i="26"/>
  <c r="AK116" i="26"/>
  <c r="AL116" i="26"/>
  <c r="AM116" i="26"/>
  <c r="AN116" i="26"/>
  <c r="AO116" i="26"/>
  <c r="AP116" i="26"/>
  <c r="AQ116" i="26"/>
  <c r="AR116" i="26"/>
  <c r="AS116" i="26"/>
  <c r="AT116" i="26"/>
  <c r="AU116" i="26"/>
  <c r="AV116" i="26"/>
  <c r="AW116" i="26"/>
  <c r="AX116" i="26"/>
  <c r="AY116" i="26"/>
  <c r="AZ116" i="26"/>
  <c r="BA116" i="26"/>
  <c r="BB116" i="26"/>
  <c r="BC116" i="26"/>
  <c r="BD116" i="26"/>
  <c r="BE116" i="26"/>
  <c r="BF116" i="26"/>
  <c r="BG116" i="26"/>
  <c r="BH116" i="26"/>
  <c r="BI116" i="26"/>
  <c r="BJ116" i="26"/>
  <c r="BK116" i="26"/>
  <c r="BL116" i="26"/>
  <c r="AG117" i="26"/>
  <c r="AH117" i="26"/>
  <c r="AI117" i="26"/>
  <c r="AJ117" i="26"/>
  <c r="AK117" i="26"/>
  <c r="AL117" i="26"/>
  <c r="AM117" i="26"/>
  <c r="AN117" i="26"/>
  <c r="AO117" i="26"/>
  <c r="AP117" i="26"/>
  <c r="AQ117" i="26"/>
  <c r="AR117" i="26"/>
  <c r="AS117" i="26"/>
  <c r="AT117" i="26"/>
  <c r="AU117" i="26"/>
  <c r="AV117" i="26"/>
  <c r="AW117" i="26"/>
  <c r="AX117" i="26"/>
  <c r="AY117" i="26"/>
  <c r="AZ117" i="26"/>
  <c r="BA117" i="26"/>
  <c r="BB117" i="26"/>
  <c r="BC117" i="26"/>
  <c r="BD117" i="26"/>
  <c r="BE117" i="26"/>
  <c r="BF117" i="26"/>
  <c r="BG117" i="26"/>
  <c r="BH117" i="26"/>
  <c r="BI117" i="26"/>
  <c r="BJ117" i="26"/>
  <c r="BK117" i="26"/>
  <c r="BL117" i="26"/>
  <c r="AG118" i="26"/>
  <c r="AH118" i="26"/>
  <c r="AI118" i="26"/>
  <c r="AJ118" i="26"/>
  <c r="AK118" i="26"/>
  <c r="AL118" i="26"/>
  <c r="AM118" i="26"/>
  <c r="AN118" i="26"/>
  <c r="AO118" i="26"/>
  <c r="AP118" i="26"/>
  <c r="AQ118" i="26"/>
  <c r="AR118" i="26"/>
  <c r="AS118" i="26"/>
  <c r="AT118" i="26"/>
  <c r="AU118" i="26"/>
  <c r="AV118" i="26"/>
  <c r="AW118" i="26"/>
  <c r="AX118" i="26"/>
  <c r="AY118" i="26"/>
  <c r="AZ118" i="26"/>
  <c r="BA118" i="26"/>
  <c r="BB118" i="26"/>
  <c r="BC118" i="26"/>
  <c r="BD118" i="26"/>
  <c r="BE118" i="26"/>
  <c r="BF118" i="26"/>
  <c r="BG118" i="26"/>
  <c r="BH118" i="26"/>
  <c r="BI118" i="26"/>
  <c r="BJ118" i="26"/>
  <c r="BK118" i="26"/>
  <c r="BL118" i="26"/>
  <c r="AG119" i="26"/>
  <c r="AH119" i="26"/>
  <c r="AI119" i="26"/>
  <c r="AJ119" i="26"/>
  <c r="AK119" i="26"/>
  <c r="AL119" i="26"/>
  <c r="AM119" i="26"/>
  <c r="AN119" i="26"/>
  <c r="AO119" i="26"/>
  <c r="AP119" i="26"/>
  <c r="AQ119" i="26"/>
  <c r="AR119" i="26"/>
  <c r="AS119" i="26"/>
  <c r="AT119" i="26"/>
  <c r="AU119" i="26"/>
  <c r="AV119" i="26"/>
  <c r="AW119" i="26"/>
  <c r="AX119" i="26"/>
  <c r="AY119" i="26"/>
  <c r="AZ119" i="26"/>
  <c r="BA119" i="26"/>
  <c r="BB119" i="26"/>
  <c r="BC119" i="26"/>
  <c r="BD119" i="26"/>
  <c r="BE119" i="26"/>
  <c r="BF119" i="26"/>
  <c r="BG119" i="26"/>
  <c r="BH119" i="26"/>
  <c r="BI119" i="26"/>
  <c r="BJ119" i="26"/>
  <c r="BK119" i="26"/>
  <c r="BL119" i="26"/>
  <c r="AG120" i="26"/>
  <c r="AH120" i="26"/>
  <c r="AI120" i="26"/>
  <c r="AJ120" i="26"/>
  <c r="AK120" i="26"/>
  <c r="AL120" i="26"/>
  <c r="AM120" i="26"/>
  <c r="AN120" i="26"/>
  <c r="AO120" i="26"/>
  <c r="AP120" i="26"/>
  <c r="AQ120" i="26"/>
  <c r="AR120" i="26"/>
  <c r="AS120" i="26"/>
  <c r="AT120" i="26"/>
  <c r="AU120" i="26"/>
  <c r="AV120" i="26"/>
  <c r="AW120" i="26"/>
  <c r="AX120" i="26"/>
  <c r="AY120" i="26"/>
  <c r="AZ120" i="26"/>
  <c r="BA120" i="26"/>
  <c r="BB120" i="26"/>
  <c r="BC120" i="26"/>
  <c r="BD120" i="26"/>
  <c r="BE120" i="26"/>
  <c r="BF120" i="26"/>
  <c r="BG120" i="26"/>
  <c r="BH120" i="26"/>
  <c r="BI120" i="26"/>
  <c r="BJ120" i="26"/>
  <c r="BK120" i="26"/>
  <c r="BL120" i="26"/>
  <c r="AG121" i="26"/>
  <c r="AH121" i="26"/>
  <c r="AI121" i="26"/>
  <c r="AJ121" i="26"/>
  <c r="AK121" i="26"/>
  <c r="AL121" i="26"/>
  <c r="AM121" i="26"/>
  <c r="AN121" i="26"/>
  <c r="AO121" i="26"/>
  <c r="AP121" i="26"/>
  <c r="AQ121" i="26"/>
  <c r="AR121" i="26"/>
  <c r="AS121" i="26"/>
  <c r="AT121" i="26"/>
  <c r="AU121" i="26"/>
  <c r="AV121" i="26"/>
  <c r="AW121" i="26"/>
  <c r="AX121" i="26"/>
  <c r="AY121" i="26"/>
  <c r="AZ121" i="26"/>
  <c r="BA121" i="26"/>
  <c r="BB121" i="26"/>
  <c r="BC121" i="26"/>
  <c r="BD121" i="26"/>
  <c r="BE121" i="26"/>
  <c r="BF121" i="26"/>
  <c r="BG121" i="26"/>
  <c r="BH121" i="26"/>
  <c r="BI121" i="26"/>
  <c r="BJ121" i="26"/>
  <c r="BK121" i="26"/>
  <c r="BL121" i="26"/>
  <c r="AG122" i="26"/>
  <c r="AH122" i="26"/>
  <c r="AI122" i="26"/>
  <c r="AJ122" i="26"/>
  <c r="AK122" i="26"/>
  <c r="AL122" i="26"/>
  <c r="AM122" i="26"/>
  <c r="AN122" i="26"/>
  <c r="AO122" i="26"/>
  <c r="AP122" i="26"/>
  <c r="AQ122" i="26"/>
  <c r="AR122" i="26"/>
  <c r="AS122" i="26"/>
  <c r="AT122" i="26"/>
  <c r="AU122" i="26"/>
  <c r="AV122" i="26"/>
  <c r="AW122" i="26"/>
  <c r="AX122" i="26"/>
  <c r="AY122" i="26"/>
  <c r="AZ122" i="26"/>
  <c r="BA122" i="26"/>
  <c r="BB122" i="26"/>
  <c r="BC122" i="26"/>
  <c r="BD122" i="26"/>
  <c r="BE122" i="26"/>
  <c r="BF122" i="26"/>
  <c r="BG122" i="26"/>
  <c r="BH122" i="26"/>
  <c r="BI122" i="26"/>
  <c r="BJ122" i="26"/>
  <c r="BK122" i="26"/>
  <c r="BL122" i="26"/>
  <c r="AG123" i="26"/>
  <c r="AH123" i="26"/>
  <c r="AI123" i="26"/>
  <c r="AJ123" i="26"/>
  <c r="AK123" i="26"/>
  <c r="AL123" i="26"/>
  <c r="AM123" i="26"/>
  <c r="AN123" i="26"/>
  <c r="AO123" i="26"/>
  <c r="AP123" i="26"/>
  <c r="AQ123" i="26"/>
  <c r="AR123" i="26"/>
  <c r="AS123" i="26"/>
  <c r="AT123" i="26"/>
  <c r="AU123" i="26"/>
  <c r="AV123" i="26"/>
  <c r="AW123" i="26"/>
  <c r="AX123" i="26"/>
  <c r="AY123" i="26"/>
  <c r="AZ123" i="26"/>
  <c r="BA123" i="26"/>
  <c r="BB123" i="26"/>
  <c r="BC123" i="26"/>
  <c r="BD123" i="26"/>
  <c r="BE123" i="26"/>
  <c r="BF123" i="26"/>
  <c r="BG123" i="26"/>
  <c r="BH123" i="26"/>
  <c r="BI123" i="26"/>
  <c r="BJ123" i="26"/>
  <c r="BK123" i="26"/>
  <c r="BL123" i="26"/>
  <c r="S67" i="26"/>
  <c r="T67" i="26"/>
  <c r="U67" i="26"/>
  <c r="V67" i="26"/>
  <c r="W67" i="26"/>
  <c r="X67" i="26"/>
  <c r="Y67" i="26"/>
  <c r="Z67" i="26"/>
  <c r="AA67" i="26"/>
  <c r="AB67" i="26"/>
  <c r="AC67" i="26"/>
  <c r="AD67" i="26"/>
  <c r="AE67" i="26"/>
  <c r="AF67" i="26"/>
  <c r="S68" i="26"/>
  <c r="T68" i="26"/>
  <c r="U68" i="26"/>
  <c r="V68" i="26"/>
  <c r="W68" i="26"/>
  <c r="X68" i="26"/>
  <c r="Y68" i="26"/>
  <c r="Z68" i="26"/>
  <c r="AA68" i="26"/>
  <c r="AB68" i="26"/>
  <c r="AC68" i="26"/>
  <c r="AD68" i="26"/>
  <c r="AE68" i="26"/>
  <c r="AF68" i="26"/>
  <c r="S69" i="26"/>
  <c r="T69" i="26"/>
  <c r="U69" i="26"/>
  <c r="V69" i="26"/>
  <c r="W69" i="26"/>
  <c r="X69" i="26"/>
  <c r="Y69" i="26"/>
  <c r="Z69" i="26"/>
  <c r="AA69" i="26"/>
  <c r="AB69" i="26"/>
  <c r="AC69" i="26"/>
  <c r="AD69" i="26"/>
  <c r="AE69" i="26"/>
  <c r="AF69" i="26"/>
  <c r="S70" i="26"/>
  <c r="T70" i="26"/>
  <c r="U70" i="26"/>
  <c r="V70" i="26"/>
  <c r="W70" i="26"/>
  <c r="X70" i="26"/>
  <c r="Y70" i="26"/>
  <c r="Z70" i="26"/>
  <c r="AA70" i="26"/>
  <c r="AB70" i="26"/>
  <c r="AC70" i="26"/>
  <c r="AD70" i="26"/>
  <c r="AE70" i="26"/>
  <c r="AF70" i="26"/>
  <c r="S71" i="26"/>
  <c r="T71" i="26"/>
  <c r="U71" i="26"/>
  <c r="V71" i="26"/>
  <c r="W71" i="26"/>
  <c r="X71" i="26"/>
  <c r="Y71" i="26"/>
  <c r="Z71" i="26"/>
  <c r="AA71" i="26"/>
  <c r="AB71" i="26"/>
  <c r="AC71" i="26"/>
  <c r="AD71" i="26"/>
  <c r="AE71" i="26"/>
  <c r="AF71" i="26"/>
  <c r="S72" i="26"/>
  <c r="T72" i="26"/>
  <c r="U72" i="26"/>
  <c r="V72" i="26"/>
  <c r="W72" i="26"/>
  <c r="X72" i="26"/>
  <c r="Y72" i="26"/>
  <c r="Z72" i="26"/>
  <c r="AA72" i="26"/>
  <c r="AB72" i="26"/>
  <c r="AC72" i="26"/>
  <c r="AD72" i="26"/>
  <c r="AE72" i="26"/>
  <c r="AF72" i="26"/>
  <c r="S73" i="26"/>
  <c r="T73" i="26"/>
  <c r="U73" i="26"/>
  <c r="V73" i="26"/>
  <c r="W73" i="26"/>
  <c r="X73" i="26"/>
  <c r="Y73" i="26"/>
  <c r="Z73" i="26"/>
  <c r="AA73" i="26"/>
  <c r="AB73" i="26"/>
  <c r="AC73" i="26"/>
  <c r="AD73" i="26"/>
  <c r="AE73" i="26"/>
  <c r="AF73" i="26"/>
  <c r="S74" i="26"/>
  <c r="T74" i="26"/>
  <c r="U74" i="26"/>
  <c r="V74" i="26"/>
  <c r="W74" i="26"/>
  <c r="X74" i="26"/>
  <c r="Y74" i="26"/>
  <c r="Z74" i="26"/>
  <c r="AA74" i="26"/>
  <c r="AB74" i="26"/>
  <c r="AC74" i="26"/>
  <c r="AD74" i="26"/>
  <c r="AE74" i="26"/>
  <c r="AF74" i="26"/>
  <c r="S75" i="26"/>
  <c r="T75" i="26"/>
  <c r="U75" i="26"/>
  <c r="V75" i="26"/>
  <c r="W75" i="26"/>
  <c r="X75" i="26"/>
  <c r="Y75" i="26"/>
  <c r="Z75" i="26"/>
  <c r="AA75" i="26"/>
  <c r="AB75" i="26"/>
  <c r="AC75" i="26"/>
  <c r="AD75" i="26"/>
  <c r="AE75" i="26"/>
  <c r="AF75" i="26"/>
  <c r="S76" i="26"/>
  <c r="T76" i="26"/>
  <c r="U76" i="26"/>
  <c r="V76" i="26"/>
  <c r="W76" i="26"/>
  <c r="X76" i="26"/>
  <c r="Y76" i="26"/>
  <c r="Z76" i="26"/>
  <c r="AA76" i="26"/>
  <c r="AB76" i="26"/>
  <c r="AC76" i="26"/>
  <c r="AD76" i="26"/>
  <c r="AE76" i="26"/>
  <c r="AF76" i="26"/>
  <c r="S77" i="26"/>
  <c r="T77" i="26"/>
  <c r="U77" i="26"/>
  <c r="V77" i="26"/>
  <c r="W77" i="26"/>
  <c r="X77" i="26"/>
  <c r="Y77" i="26"/>
  <c r="Z77" i="26"/>
  <c r="AA77" i="26"/>
  <c r="AB77" i="26"/>
  <c r="AC77" i="26"/>
  <c r="AD77" i="26"/>
  <c r="AE77" i="26"/>
  <c r="AF77" i="26"/>
  <c r="S78" i="26"/>
  <c r="T78" i="26"/>
  <c r="U78" i="26"/>
  <c r="V78" i="26"/>
  <c r="W78" i="26"/>
  <c r="X78" i="26"/>
  <c r="Y78" i="26"/>
  <c r="Z78" i="26"/>
  <c r="AA78" i="26"/>
  <c r="AB78" i="26"/>
  <c r="AC78" i="26"/>
  <c r="AD78" i="26"/>
  <c r="AE78" i="26"/>
  <c r="AF78" i="26"/>
  <c r="S79" i="26"/>
  <c r="T79" i="26"/>
  <c r="U79" i="26"/>
  <c r="V79" i="26"/>
  <c r="W79" i="26"/>
  <c r="X79" i="26"/>
  <c r="Y79" i="26"/>
  <c r="Z79" i="26"/>
  <c r="AA79" i="26"/>
  <c r="AB79" i="26"/>
  <c r="AC79" i="26"/>
  <c r="AD79" i="26"/>
  <c r="AE79" i="26"/>
  <c r="AF79" i="26"/>
  <c r="S80" i="26"/>
  <c r="T80" i="26"/>
  <c r="U80" i="26"/>
  <c r="V80" i="26"/>
  <c r="W80" i="26"/>
  <c r="X80" i="26"/>
  <c r="Y80" i="26"/>
  <c r="Z80" i="26"/>
  <c r="AA80" i="26"/>
  <c r="AB80" i="26"/>
  <c r="AC80" i="26"/>
  <c r="AD80" i="26"/>
  <c r="AE80" i="26"/>
  <c r="AF80" i="26"/>
  <c r="S81" i="26"/>
  <c r="T81" i="26"/>
  <c r="U81" i="26"/>
  <c r="V81" i="26"/>
  <c r="W81" i="26"/>
  <c r="X81" i="26"/>
  <c r="Y81" i="26"/>
  <c r="Z81" i="26"/>
  <c r="AA81" i="26"/>
  <c r="AB81" i="26"/>
  <c r="AC81" i="26"/>
  <c r="AD81" i="26"/>
  <c r="AE81" i="26"/>
  <c r="AF81" i="26"/>
  <c r="S82" i="26"/>
  <c r="T82" i="26"/>
  <c r="U82" i="26"/>
  <c r="V82" i="26"/>
  <c r="W82" i="26"/>
  <c r="X82" i="26"/>
  <c r="Y82" i="26"/>
  <c r="Z82" i="26"/>
  <c r="AA82" i="26"/>
  <c r="AB82" i="26"/>
  <c r="AC82" i="26"/>
  <c r="AD82" i="26"/>
  <c r="AE82" i="26"/>
  <c r="AF82" i="26"/>
  <c r="S83" i="26"/>
  <c r="T83" i="26"/>
  <c r="U83" i="26"/>
  <c r="V83" i="26"/>
  <c r="W83" i="26"/>
  <c r="X83" i="26"/>
  <c r="Y83" i="26"/>
  <c r="Z83" i="26"/>
  <c r="AA83" i="26"/>
  <c r="AB83" i="26"/>
  <c r="AC83" i="26"/>
  <c r="AD83" i="26"/>
  <c r="AE83" i="26"/>
  <c r="AF83" i="26"/>
  <c r="S84" i="26"/>
  <c r="T84" i="26"/>
  <c r="U84" i="26"/>
  <c r="V84" i="26"/>
  <c r="W84" i="26"/>
  <c r="X84" i="26"/>
  <c r="Y84" i="26"/>
  <c r="Z84" i="26"/>
  <c r="AA84" i="26"/>
  <c r="AB84" i="26"/>
  <c r="AC84" i="26"/>
  <c r="AD84" i="26"/>
  <c r="AE84" i="26"/>
  <c r="AF84" i="26"/>
  <c r="S85" i="26"/>
  <c r="T85" i="26"/>
  <c r="U85" i="26"/>
  <c r="V85" i="26"/>
  <c r="W85" i="26"/>
  <c r="X85" i="26"/>
  <c r="Y85" i="26"/>
  <c r="Z85" i="26"/>
  <c r="AA85" i="26"/>
  <c r="AB85" i="26"/>
  <c r="AC85" i="26"/>
  <c r="AD85" i="26"/>
  <c r="AE85" i="26"/>
  <c r="AF85" i="26"/>
  <c r="S86" i="26"/>
  <c r="T86" i="26"/>
  <c r="U86" i="26"/>
  <c r="V86" i="26"/>
  <c r="W86" i="26"/>
  <c r="X86" i="26"/>
  <c r="Y86" i="26"/>
  <c r="Z86" i="26"/>
  <c r="AA86" i="26"/>
  <c r="AB86" i="26"/>
  <c r="AC86" i="26"/>
  <c r="AD86" i="26"/>
  <c r="AE86" i="26"/>
  <c r="AF86" i="26"/>
  <c r="S87" i="26"/>
  <c r="T87" i="26"/>
  <c r="U87" i="26"/>
  <c r="V87" i="26"/>
  <c r="W87" i="26"/>
  <c r="X87" i="26"/>
  <c r="Y87" i="26"/>
  <c r="Z87" i="26"/>
  <c r="AA87" i="26"/>
  <c r="AB87" i="26"/>
  <c r="AC87" i="26"/>
  <c r="AD87" i="26"/>
  <c r="AE87" i="26"/>
  <c r="AF87" i="26"/>
  <c r="S88" i="26"/>
  <c r="T88" i="26"/>
  <c r="U88" i="26"/>
  <c r="V88" i="26"/>
  <c r="W88" i="26"/>
  <c r="X88" i="26"/>
  <c r="Y88" i="26"/>
  <c r="Z88" i="26"/>
  <c r="AA88" i="26"/>
  <c r="AB88" i="26"/>
  <c r="AC88" i="26"/>
  <c r="AD88" i="26"/>
  <c r="AE88" i="26"/>
  <c r="AF88" i="26"/>
  <c r="S89" i="26"/>
  <c r="T89" i="26"/>
  <c r="U89" i="26"/>
  <c r="V89" i="26"/>
  <c r="W89" i="26"/>
  <c r="X89" i="26"/>
  <c r="Y89" i="26"/>
  <c r="Z89" i="26"/>
  <c r="AA89" i="26"/>
  <c r="AB89" i="26"/>
  <c r="AC89" i="26"/>
  <c r="AD89" i="26"/>
  <c r="AE89" i="26"/>
  <c r="AF89" i="26"/>
  <c r="S90" i="26"/>
  <c r="T90" i="26"/>
  <c r="U90" i="26"/>
  <c r="V90" i="26"/>
  <c r="W90" i="26"/>
  <c r="X90" i="26"/>
  <c r="Y90" i="26"/>
  <c r="Z90" i="26"/>
  <c r="AA90" i="26"/>
  <c r="AB90" i="26"/>
  <c r="AC90" i="26"/>
  <c r="AD90" i="26"/>
  <c r="AE90" i="26"/>
  <c r="AF90" i="26"/>
  <c r="S91" i="26"/>
  <c r="T91" i="26"/>
  <c r="U91" i="26"/>
  <c r="V91" i="26"/>
  <c r="W91" i="26"/>
  <c r="X91" i="26"/>
  <c r="Y91" i="26"/>
  <c r="Z91" i="26"/>
  <c r="AA91" i="26"/>
  <c r="AB91" i="26"/>
  <c r="AC91" i="26"/>
  <c r="AD91" i="26"/>
  <c r="AE91" i="26"/>
  <c r="AF91" i="26"/>
  <c r="S92" i="26"/>
  <c r="T92" i="26"/>
  <c r="U92" i="26"/>
  <c r="V92" i="26"/>
  <c r="W92" i="26"/>
  <c r="X92" i="26"/>
  <c r="Y92" i="26"/>
  <c r="Z92" i="26"/>
  <c r="AA92" i="26"/>
  <c r="AB92" i="26"/>
  <c r="AC92" i="26"/>
  <c r="AD92" i="26"/>
  <c r="AE92" i="26"/>
  <c r="AF92" i="26"/>
  <c r="S93" i="26"/>
  <c r="T93" i="26"/>
  <c r="U93" i="26"/>
  <c r="V93" i="26"/>
  <c r="W93" i="26"/>
  <c r="X93" i="26"/>
  <c r="Y93" i="26"/>
  <c r="Z93" i="26"/>
  <c r="AA93" i="26"/>
  <c r="AB93" i="26"/>
  <c r="AC93" i="26"/>
  <c r="AD93" i="26"/>
  <c r="AE93" i="26"/>
  <c r="AF93" i="26"/>
  <c r="S94" i="26"/>
  <c r="T94" i="26"/>
  <c r="U94" i="26"/>
  <c r="V94" i="26"/>
  <c r="W94" i="26"/>
  <c r="X94" i="26"/>
  <c r="Y94" i="26"/>
  <c r="Z94" i="26"/>
  <c r="AA94" i="26"/>
  <c r="AB94" i="26"/>
  <c r="AC94" i="26"/>
  <c r="AD94" i="26"/>
  <c r="AE94" i="26"/>
  <c r="AF94" i="26"/>
  <c r="S95" i="26"/>
  <c r="T95" i="26"/>
  <c r="U95" i="26"/>
  <c r="V95" i="26"/>
  <c r="W95" i="26"/>
  <c r="X95" i="26"/>
  <c r="Y95" i="26"/>
  <c r="Z95" i="26"/>
  <c r="AA95" i="26"/>
  <c r="AB95" i="26"/>
  <c r="AC95" i="26"/>
  <c r="AD95" i="26"/>
  <c r="AE95" i="26"/>
  <c r="AF95" i="26"/>
  <c r="S96" i="26"/>
  <c r="T96" i="26"/>
  <c r="U96" i="26"/>
  <c r="V96" i="26"/>
  <c r="W96" i="26"/>
  <c r="X96" i="26"/>
  <c r="Y96" i="26"/>
  <c r="Z96" i="26"/>
  <c r="AA96" i="26"/>
  <c r="AB96" i="26"/>
  <c r="AC96" i="26"/>
  <c r="AD96" i="26"/>
  <c r="AE96" i="26"/>
  <c r="AF96" i="26"/>
  <c r="S97" i="26"/>
  <c r="T97" i="26"/>
  <c r="U97" i="26"/>
  <c r="V97" i="26"/>
  <c r="W97" i="26"/>
  <c r="X97" i="26"/>
  <c r="Y97" i="26"/>
  <c r="Z97" i="26"/>
  <c r="AA97" i="26"/>
  <c r="AB97" i="26"/>
  <c r="AC97" i="26"/>
  <c r="AD97" i="26"/>
  <c r="AE97" i="26"/>
  <c r="AF97" i="26"/>
  <c r="S98" i="26"/>
  <c r="T98" i="26"/>
  <c r="U98" i="26"/>
  <c r="V98" i="26"/>
  <c r="W98" i="26"/>
  <c r="X98" i="26"/>
  <c r="Y98" i="26"/>
  <c r="Z98" i="26"/>
  <c r="AA98" i="26"/>
  <c r="AB98" i="26"/>
  <c r="AC98" i="26"/>
  <c r="AD98" i="26"/>
  <c r="AE98" i="26"/>
  <c r="AF98" i="26"/>
  <c r="S99" i="26"/>
  <c r="T99" i="26"/>
  <c r="U99" i="26"/>
  <c r="V99" i="26"/>
  <c r="W99" i="26"/>
  <c r="X99" i="26"/>
  <c r="Y99" i="26"/>
  <c r="Z99" i="26"/>
  <c r="AA99" i="26"/>
  <c r="AB99" i="26"/>
  <c r="AC99" i="26"/>
  <c r="AD99" i="26"/>
  <c r="AE99" i="26"/>
  <c r="AF99" i="26"/>
  <c r="S100" i="26"/>
  <c r="T100" i="26"/>
  <c r="U100" i="26"/>
  <c r="V100" i="26"/>
  <c r="W100" i="26"/>
  <c r="X100" i="26"/>
  <c r="Y100" i="26"/>
  <c r="Z100" i="26"/>
  <c r="AA100" i="26"/>
  <c r="AB100" i="26"/>
  <c r="AC100" i="26"/>
  <c r="AD100" i="26"/>
  <c r="AE100" i="26"/>
  <c r="AF100" i="26"/>
  <c r="S101" i="26"/>
  <c r="T101" i="26"/>
  <c r="U101" i="26"/>
  <c r="V101" i="26"/>
  <c r="W101" i="26"/>
  <c r="X101" i="26"/>
  <c r="Y101" i="26"/>
  <c r="Z101" i="26"/>
  <c r="AA101" i="26"/>
  <c r="AB101" i="26"/>
  <c r="AC101" i="26"/>
  <c r="AD101" i="26"/>
  <c r="AE101" i="26"/>
  <c r="AF101" i="26"/>
  <c r="S102" i="26"/>
  <c r="T102" i="26"/>
  <c r="U102" i="26"/>
  <c r="V102" i="26"/>
  <c r="W102" i="26"/>
  <c r="X102" i="26"/>
  <c r="Y102" i="26"/>
  <c r="Z102" i="26"/>
  <c r="AA102" i="26"/>
  <c r="AB102" i="26"/>
  <c r="AC102" i="26"/>
  <c r="AD102" i="26"/>
  <c r="AE102" i="26"/>
  <c r="AF102" i="26"/>
  <c r="S103" i="26"/>
  <c r="T103" i="26"/>
  <c r="U103" i="26"/>
  <c r="V103" i="26"/>
  <c r="W103" i="26"/>
  <c r="X103" i="26"/>
  <c r="Y103" i="26"/>
  <c r="Z103" i="26"/>
  <c r="AA103" i="26"/>
  <c r="AB103" i="26"/>
  <c r="AC103" i="26"/>
  <c r="AD103" i="26"/>
  <c r="AE103" i="26"/>
  <c r="AF103" i="26"/>
  <c r="S104" i="26"/>
  <c r="T104" i="26"/>
  <c r="U104" i="26"/>
  <c r="V104" i="26"/>
  <c r="W104" i="26"/>
  <c r="X104" i="26"/>
  <c r="Y104" i="26"/>
  <c r="Z104" i="26"/>
  <c r="AA104" i="26"/>
  <c r="AB104" i="26"/>
  <c r="AC104" i="26"/>
  <c r="AD104" i="26"/>
  <c r="AE104" i="26"/>
  <c r="AF104" i="26"/>
  <c r="S105" i="26"/>
  <c r="T105" i="26"/>
  <c r="U105" i="26"/>
  <c r="V105" i="26"/>
  <c r="W105" i="26"/>
  <c r="X105" i="26"/>
  <c r="Y105" i="26"/>
  <c r="Z105" i="26"/>
  <c r="AA105" i="26"/>
  <c r="AB105" i="26"/>
  <c r="AC105" i="26"/>
  <c r="AD105" i="26"/>
  <c r="AE105" i="26"/>
  <c r="AF105" i="26"/>
  <c r="S106" i="26"/>
  <c r="T106" i="26"/>
  <c r="U106" i="26"/>
  <c r="V106" i="26"/>
  <c r="W106" i="26"/>
  <c r="X106" i="26"/>
  <c r="Y106" i="26"/>
  <c r="Z106" i="26"/>
  <c r="AA106" i="26"/>
  <c r="AB106" i="26"/>
  <c r="AC106" i="26"/>
  <c r="AD106" i="26"/>
  <c r="AE106" i="26"/>
  <c r="AF106" i="26"/>
  <c r="S107" i="26"/>
  <c r="T107" i="26"/>
  <c r="U107" i="26"/>
  <c r="V107" i="26"/>
  <c r="W107" i="26"/>
  <c r="X107" i="26"/>
  <c r="Y107" i="26"/>
  <c r="Z107" i="26"/>
  <c r="AA107" i="26"/>
  <c r="AB107" i="26"/>
  <c r="AC107" i="26"/>
  <c r="AD107" i="26"/>
  <c r="AE107" i="26"/>
  <c r="AF107" i="26"/>
  <c r="S108" i="26"/>
  <c r="T108" i="26"/>
  <c r="U108" i="26"/>
  <c r="V108" i="26"/>
  <c r="W108" i="26"/>
  <c r="X108" i="26"/>
  <c r="Y108" i="26"/>
  <c r="Z108" i="26"/>
  <c r="AA108" i="26"/>
  <c r="AB108" i="26"/>
  <c r="AC108" i="26"/>
  <c r="AD108" i="26"/>
  <c r="AE108" i="26"/>
  <c r="AF108" i="26"/>
  <c r="S109" i="26"/>
  <c r="T109" i="26"/>
  <c r="U109" i="26"/>
  <c r="V109" i="26"/>
  <c r="W109" i="26"/>
  <c r="X109" i="26"/>
  <c r="Y109" i="26"/>
  <c r="Z109" i="26"/>
  <c r="AA109" i="26"/>
  <c r="AB109" i="26"/>
  <c r="AC109" i="26"/>
  <c r="AD109" i="26"/>
  <c r="AE109" i="26"/>
  <c r="AF109" i="26"/>
  <c r="S110" i="26"/>
  <c r="T110" i="26"/>
  <c r="U110" i="26"/>
  <c r="V110" i="26"/>
  <c r="W110" i="26"/>
  <c r="X110" i="26"/>
  <c r="Y110" i="26"/>
  <c r="Z110" i="26"/>
  <c r="AA110" i="26"/>
  <c r="AB110" i="26"/>
  <c r="AC110" i="26"/>
  <c r="AD110" i="26"/>
  <c r="AE110" i="26"/>
  <c r="AF110" i="26"/>
  <c r="S111" i="26"/>
  <c r="T111" i="26"/>
  <c r="U111" i="26"/>
  <c r="V111" i="26"/>
  <c r="W111" i="26"/>
  <c r="X111" i="26"/>
  <c r="Y111" i="26"/>
  <c r="Z111" i="26"/>
  <c r="AA111" i="26"/>
  <c r="AB111" i="26"/>
  <c r="AC111" i="26"/>
  <c r="AD111" i="26"/>
  <c r="AE111" i="26"/>
  <c r="AF111" i="26"/>
  <c r="S112" i="26"/>
  <c r="T112" i="26"/>
  <c r="U112" i="26"/>
  <c r="V112" i="26"/>
  <c r="W112" i="26"/>
  <c r="X112" i="26"/>
  <c r="Y112" i="26"/>
  <c r="Z112" i="26"/>
  <c r="AA112" i="26"/>
  <c r="AB112" i="26"/>
  <c r="AC112" i="26"/>
  <c r="AD112" i="26"/>
  <c r="AE112" i="26"/>
  <c r="AF112" i="26"/>
  <c r="S113" i="26"/>
  <c r="T113" i="26"/>
  <c r="U113" i="26"/>
  <c r="V113" i="26"/>
  <c r="W113" i="26"/>
  <c r="X113" i="26"/>
  <c r="Y113" i="26"/>
  <c r="Z113" i="26"/>
  <c r="AA113" i="26"/>
  <c r="AB113" i="26"/>
  <c r="AC113" i="26"/>
  <c r="AD113" i="26"/>
  <c r="AE113" i="26"/>
  <c r="AF113" i="26"/>
  <c r="S114" i="26"/>
  <c r="T114" i="26"/>
  <c r="U114" i="26"/>
  <c r="V114" i="26"/>
  <c r="W114" i="26"/>
  <c r="X114" i="26"/>
  <c r="Y114" i="26"/>
  <c r="Z114" i="26"/>
  <c r="AA114" i="26"/>
  <c r="AB114" i="26"/>
  <c r="AC114" i="26"/>
  <c r="AD114" i="26"/>
  <c r="AE114" i="26"/>
  <c r="AF114" i="26"/>
  <c r="S115" i="26"/>
  <c r="T115" i="26"/>
  <c r="U115" i="26"/>
  <c r="V115" i="26"/>
  <c r="W115" i="26"/>
  <c r="X115" i="26"/>
  <c r="Y115" i="26"/>
  <c r="Z115" i="26"/>
  <c r="AA115" i="26"/>
  <c r="AB115" i="26"/>
  <c r="AC115" i="26"/>
  <c r="AD115" i="26"/>
  <c r="AE115" i="26"/>
  <c r="AF115" i="26"/>
  <c r="S116" i="26"/>
  <c r="T116" i="26"/>
  <c r="U116" i="26"/>
  <c r="V116" i="26"/>
  <c r="W116" i="26"/>
  <c r="X116" i="26"/>
  <c r="Y116" i="26"/>
  <c r="Z116" i="26"/>
  <c r="AA116" i="26"/>
  <c r="AB116" i="26"/>
  <c r="AC116" i="26"/>
  <c r="AD116" i="26"/>
  <c r="AE116" i="26"/>
  <c r="AF116" i="26"/>
  <c r="S117" i="26"/>
  <c r="T117" i="26"/>
  <c r="U117" i="26"/>
  <c r="V117" i="26"/>
  <c r="W117" i="26"/>
  <c r="X117" i="26"/>
  <c r="Y117" i="26"/>
  <c r="Z117" i="26"/>
  <c r="AA117" i="26"/>
  <c r="AB117" i="26"/>
  <c r="AC117" i="26"/>
  <c r="AD117" i="26"/>
  <c r="AE117" i="26"/>
  <c r="AF117" i="26"/>
  <c r="S118" i="26"/>
  <c r="T118" i="26"/>
  <c r="U118" i="26"/>
  <c r="V118" i="26"/>
  <c r="W118" i="26"/>
  <c r="X118" i="26"/>
  <c r="Y118" i="26"/>
  <c r="Z118" i="26"/>
  <c r="AA118" i="26"/>
  <c r="AB118" i="26"/>
  <c r="AC118" i="26"/>
  <c r="AD118" i="26"/>
  <c r="AE118" i="26"/>
  <c r="AF118" i="26"/>
  <c r="S119" i="26"/>
  <c r="T119" i="26"/>
  <c r="U119" i="26"/>
  <c r="V119" i="26"/>
  <c r="W119" i="26"/>
  <c r="X119" i="26"/>
  <c r="Y119" i="26"/>
  <c r="Z119" i="26"/>
  <c r="AA119" i="26"/>
  <c r="AB119" i="26"/>
  <c r="AC119" i="26"/>
  <c r="AD119" i="26"/>
  <c r="AE119" i="26"/>
  <c r="AF119" i="26"/>
  <c r="S120" i="26"/>
  <c r="T120" i="26"/>
  <c r="U120" i="26"/>
  <c r="V120" i="26"/>
  <c r="W120" i="26"/>
  <c r="X120" i="26"/>
  <c r="Y120" i="26"/>
  <c r="Z120" i="26"/>
  <c r="AA120" i="26"/>
  <c r="AB120" i="26"/>
  <c r="AC120" i="26"/>
  <c r="AD120" i="26"/>
  <c r="AE120" i="26"/>
  <c r="AF120" i="26"/>
  <c r="S121" i="26"/>
  <c r="T121" i="26"/>
  <c r="U121" i="26"/>
  <c r="V121" i="26"/>
  <c r="W121" i="26"/>
  <c r="X121" i="26"/>
  <c r="Y121" i="26"/>
  <c r="Z121" i="26"/>
  <c r="AA121" i="26"/>
  <c r="AB121" i="26"/>
  <c r="AC121" i="26"/>
  <c r="AD121" i="26"/>
  <c r="AE121" i="26"/>
  <c r="AF121" i="26"/>
  <c r="S122" i="26"/>
  <c r="T122" i="26"/>
  <c r="U122" i="26"/>
  <c r="V122" i="26"/>
  <c r="W122" i="26"/>
  <c r="X122" i="26"/>
  <c r="Y122" i="26"/>
  <c r="Z122" i="26"/>
  <c r="AA122" i="26"/>
  <c r="AB122" i="26"/>
  <c r="AC122" i="26"/>
  <c r="AD122" i="26"/>
  <c r="AE122" i="26"/>
  <c r="AF122" i="26"/>
  <c r="S123" i="26"/>
  <c r="T123" i="26"/>
  <c r="U123" i="26"/>
  <c r="V123" i="26"/>
  <c r="W123" i="26"/>
  <c r="X123" i="26"/>
  <c r="Y123" i="26"/>
  <c r="Z123" i="26"/>
  <c r="AA123" i="26"/>
  <c r="AB123" i="26"/>
  <c r="AC123" i="26"/>
  <c r="AD123" i="26"/>
  <c r="AE123" i="26"/>
  <c r="AF123" i="26"/>
  <c r="P67" i="26"/>
  <c r="Q67" i="26"/>
  <c r="P68" i="26"/>
  <c r="Q68" i="26"/>
  <c r="P69" i="26"/>
  <c r="Q69" i="26"/>
  <c r="P70" i="26"/>
  <c r="Q70" i="26"/>
  <c r="P71" i="26"/>
  <c r="Q71" i="26"/>
  <c r="P72" i="26"/>
  <c r="Q72" i="26"/>
  <c r="P73" i="26"/>
  <c r="Q73" i="26"/>
  <c r="P74" i="26"/>
  <c r="Q74" i="26"/>
  <c r="P75" i="26"/>
  <c r="Q75" i="26"/>
  <c r="P76" i="26"/>
  <c r="Q76" i="26"/>
  <c r="P77" i="26"/>
  <c r="Q77" i="26"/>
  <c r="P78" i="26"/>
  <c r="Q78" i="26"/>
  <c r="P79" i="26"/>
  <c r="Q79" i="26"/>
  <c r="P80" i="26"/>
  <c r="Q80" i="26"/>
  <c r="P81" i="26"/>
  <c r="Q81" i="26"/>
  <c r="P82" i="26"/>
  <c r="Q82" i="26"/>
  <c r="P83" i="26"/>
  <c r="Q83" i="26"/>
  <c r="P84" i="26"/>
  <c r="Q84" i="26"/>
  <c r="P85" i="26"/>
  <c r="Q85" i="26"/>
  <c r="P86" i="26"/>
  <c r="Q86" i="26"/>
  <c r="P87" i="26"/>
  <c r="Q87" i="26"/>
  <c r="P88" i="26"/>
  <c r="Q88" i="26"/>
  <c r="P89" i="26"/>
  <c r="Q89" i="26"/>
  <c r="P90" i="26"/>
  <c r="Q90" i="26"/>
  <c r="P91" i="26"/>
  <c r="Q91" i="26"/>
  <c r="P92" i="26"/>
  <c r="Q92" i="26"/>
  <c r="P93" i="26"/>
  <c r="Q93" i="26"/>
  <c r="P94" i="26"/>
  <c r="Q94" i="26"/>
  <c r="P95" i="26"/>
  <c r="Q95" i="26"/>
  <c r="P96" i="26"/>
  <c r="Q96" i="26"/>
  <c r="P97" i="26"/>
  <c r="Q97" i="26"/>
  <c r="P98" i="26"/>
  <c r="Q98" i="26"/>
  <c r="P99" i="26"/>
  <c r="Q99" i="26"/>
  <c r="P100" i="26"/>
  <c r="Q100" i="26"/>
  <c r="P101" i="26"/>
  <c r="Q101" i="26"/>
  <c r="P102" i="26"/>
  <c r="Q102" i="26"/>
  <c r="P103" i="26"/>
  <c r="Q103" i="26"/>
  <c r="P104" i="26"/>
  <c r="Q104" i="26"/>
  <c r="P105" i="26"/>
  <c r="Q105" i="26"/>
  <c r="P106" i="26"/>
  <c r="Q106" i="26"/>
  <c r="P107" i="26"/>
  <c r="Q107" i="26"/>
  <c r="P108" i="26"/>
  <c r="Q108" i="26"/>
  <c r="P109" i="26"/>
  <c r="Q109" i="26"/>
  <c r="P110" i="26"/>
  <c r="Q110" i="26"/>
  <c r="P111" i="26"/>
  <c r="Q111" i="26"/>
  <c r="P112" i="26"/>
  <c r="Q112" i="26"/>
  <c r="P113" i="26"/>
  <c r="Q113" i="26"/>
  <c r="P114" i="26"/>
  <c r="Q114" i="26"/>
  <c r="P115" i="26"/>
  <c r="Q115" i="26"/>
  <c r="P116" i="26"/>
  <c r="Q116" i="26"/>
  <c r="P117" i="26"/>
  <c r="Q117" i="26"/>
  <c r="P118" i="26"/>
  <c r="Q118" i="26"/>
  <c r="P119" i="26"/>
  <c r="Q119" i="26"/>
  <c r="P120" i="26"/>
  <c r="Q120" i="26"/>
  <c r="P121" i="26"/>
  <c r="Q121" i="26"/>
  <c r="P122" i="26"/>
  <c r="Q122" i="26"/>
  <c r="P123" i="26"/>
  <c r="Q123" i="26"/>
  <c r="N67" i="26"/>
  <c r="N68" i="26"/>
  <c r="N69" i="26"/>
  <c r="N70" i="26"/>
  <c r="N71" i="26"/>
  <c r="N72" i="26"/>
  <c r="N73" i="26"/>
  <c r="N74" i="26"/>
  <c r="N75" i="26"/>
  <c r="N76" i="26"/>
  <c r="N77" i="26"/>
  <c r="N78" i="26"/>
  <c r="N79" i="26"/>
  <c r="N80" i="26"/>
  <c r="N81" i="26"/>
  <c r="N82" i="26"/>
  <c r="N83" i="26"/>
  <c r="N84" i="26"/>
  <c r="N85" i="26"/>
  <c r="N86" i="26"/>
  <c r="N87" i="26"/>
  <c r="N88" i="26"/>
  <c r="N89" i="26"/>
  <c r="N90" i="26"/>
  <c r="N91" i="26"/>
  <c r="N92" i="26"/>
  <c r="N93" i="26"/>
  <c r="N94" i="26"/>
  <c r="N95" i="26"/>
  <c r="N96" i="26"/>
  <c r="N97" i="26"/>
  <c r="N98" i="26"/>
  <c r="N99" i="26"/>
  <c r="N100" i="26"/>
  <c r="N101" i="26"/>
  <c r="N102" i="26"/>
  <c r="N103" i="26"/>
  <c r="N104" i="26"/>
  <c r="N105" i="26"/>
  <c r="N106" i="26"/>
  <c r="N107" i="26"/>
  <c r="N108" i="26"/>
  <c r="N109" i="26"/>
  <c r="N110" i="26"/>
  <c r="N111" i="26"/>
  <c r="N112" i="26"/>
  <c r="N113" i="26"/>
  <c r="N114" i="26"/>
  <c r="N115" i="26"/>
  <c r="N116" i="26"/>
  <c r="N117" i="26"/>
  <c r="N118" i="26"/>
  <c r="N119" i="26"/>
  <c r="N120" i="26"/>
  <c r="N121" i="26"/>
  <c r="N122" i="26"/>
  <c r="N123" i="26"/>
  <c r="L67" i="26"/>
  <c r="L68" i="26"/>
  <c r="L69" i="26"/>
  <c r="L70" i="26"/>
  <c r="L71" i="26"/>
  <c r="L72" i="26"/>
  <c r="L73" i="26"/>
  <c r="L74" i="26"/>
  <c r="L75" i="26"/>
  <c r="L76" i="26"/>
  <c r="L77" i="26"/>
  <c r="L78" i="26"/>
  <c r="L79" i="26"/>
  <c r="L80" i="26"/>
  <c r="L81" i="26"/>
  <c r="L82" i="26"/>
  <c r="L83" i="26"/>
  <c r="L84" i="26"/>
  <c r="L85" i="26"/>
  <c r="L86" i="26"/>
  <c r="L87" i="26"/>
  <c r="L88" i="26"/>
  <c r="L89" i="26"/>
  <c r="L90" i="26"/>
  <c r="L91" i="26"/>
  <c r="L92" i="26"/>
  <c r="L93" i="26"/>
  <c r="L94" i="26"/>
  <c r="L95" i="26"/>
  <c r="L96" i="26"/>
  <c r="L97" i="26"/>
  <c r="L98" i="26"/>
  <c r="L99" i="26"/>
  <c r="L100" i="26"/>
  <c r="L101" i="26"/>
  <c r="L102" i="26"/>
  <c r="L103" i="26"/>
  <c r="L104" i="26"/>
  <c r="L105" i="26"/>
  <c r="L106" i="26"/>
  <c r="L107" i="26"/>
  <c r="L108" i="26"/>
  <c r="L109" i="26"/>
  <c r="L110" i="26"/>
  <c r="L111" i="26"/>
  <c r="L112" i="26"/>
  <c r="L113" i="26"/>
  <c r="L114" i="26"/>
  <c r="L115" i="26"/>
  <c r="L116" i="26"/>
  <c r="L117" i="26"/>
  <c r="L118" i="26"/>
  <c r="L119" i="26"/>
  <c r="L120" i="26"/>
  <c r="L121" i="26"/>
  <c r="L122" i="26"/>
  <c r="L123" i="26"/>
  <c r="K67" i="26"/>
  <c r="K68" i="26"/>
  <c r="K69" i="26"/>
  <c r="K70" i="26"/>
  <c r="K71" i="26"/>
  <c r="K72" i="26"/>
  <c r="K73" i="26"/>
  <c r="K74" i="26"/>
  <c r="K75" i="26"/>
  <c r="K76" i="26"/>
  <c r="K77" i="26"/>
  <c r="K78" i="26"/>
  <c r="K79" i="26"/>
  <c r="K80" i="26"/>
  <c r="K81" i="26"/>
  <c r="K82" i="26"/>
  <c r="K83" i="26"/>
  <c r="K84" i="26"/>
  <c r="K85" i="26"/>
  <c r="K86" i="26"/>
  <c r="K87" i="26"/>
  <c r="K88" i="26"/>
  <c r="K89" i="26"/>
  <c r="K90" i="26"/>
  <c r="K91" i="26"/>
  <c r="K92" i="26"/>
  <c r="K93" i="26"/>
  <c r="K94" i="26"/>
  <c r="K95" i="26"/>
  <c r="K96" i="26"/>
  <c r="K97" i="26"/>
  <c r="K98" i="26"/>
  <c r="K99" i="26"/>
  <c r="K100" i="26"/>
  <c r="K101" i="26"/>
  <c r="K102" i="26"/>
  <c r="K103" i="26"/>
  <c r="K104" i="26"/>
  <c r="K105" i="26"/>
  <c r="K106" i="26"/>
  <c r="K107" i="26"/>
  <c r="K108" i="26"/>
  <c r="K109" i="26"/>
  <c r="K110" i="26"/>
  <c r="K111" i="26"/>
  <c r="K112" i="26"/>
  <c r="K113" i="26"/>
  <c r="K114" i="26"/>
  <c r="K115" i="26"/>
  <c r="K116" i="26"/>
  <c r="K117" i="26"/>
  <c r="K118" i="26"/>
  <c r="K119" i="26"/>
  <c r="K120" i="26"/>
  <c r="K121" i="26"/>
  <c r="K122" i="26"/>
  <c r="K123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83" i="26"/>
  <c r="J84" i="26"/>
  <c r="J85" i="26"/>
  <c r="J86" i="26"/>
  <c r="J87" i="26"/>
  <c r="J88" i="26"/>
  <c r="J89" i="26"/>
  <c r="J90" i="26"/>
  <c r="J91" i="26"/>
  <c r="J92" i="26"/>
  <c r="J93" i="26"/>
  <c r="J94" i="26"/>
  <c r="J95" i="26"/>
  <c r="J96" i="26"/>
  <c r="J97" i="26"/>
  <c r="J98" i="26"/>
  <c r="J99" i="26"/>
  <c r="J100" i="26"/>
  <c r="J101" i="26"/>
  <c r="J102" i="26"/>
  <c r="J103" i="26"/>
  <c r="J104" i="26"/>
  <c r="J105" i="26"/>
  <c r="J106" i="26"/>
  <c r="J107" i="26"/>
  <c r="J108" i="26"/>
  <c r="J109" i="26"/>
  <c r="J110" i="26"/>
  <c r="J111" i="26"/>
  <c r="J112" i="26"/>
  <c r="J113" i="26"/>
  <c r="J114" i="26"/>
  <c r="J115" i="26"/>
  <c r="J116" i="26"/>
  <c r="J117" i="26"/>
  <c r="J118" i="26"/>
  <c r="J119" i="26"/>
  <c r="J120" i="26"/>
  <c r="J121" i="26"/>
  <c r="J122" i="26"/>
  <c r="J123" i="26"/>
  <c r="I67" i="26"/>
  <c r="I68" i="26"/>
  <c r="I69" i="26"/>
  <c r="I70" i="26"/>
  <c r="I71" i="26"/>
  <c r="I72" i="26"/>
  <c r="I73" i="26"/>
  <c r="I74" i="26"/>
  <c r="I75" i="26"/>
  <c r="I76" i="26"/>
  <c r="I77" i="26"/>
  <c r="I78" i="26"/>
  <c r="I79" i="26"/>
  <c r="I80" i="26"/>
  <c r="I81" i="26"/>
  <c r="I82" i="26"/>
  <c r="I83" i="26"/>
  <c r="I84" i="26"/>
  <c r="I85" i="26"/>
  <c r="I86" i="26"/>
  <c r="I87" i="26"/>
  <c r="I88" i="26"/>
  <c r="I89" i="26"/>
  <c r="I90" i="26"/>
  <c r="I91" i="26"/>
  <c r="I92" i="26"/>
  <c r="I93" i="26"/>
  <c r="I94" i="26"/>
  <c r="I95" i="26"/>
  <c r="I96" i="26"/>
  <c r="I97" i="26"/>
  <c r="I98" i="26"/>
  <c r="I99" i="26"/>
  <c r="I100" i="26"/>
  <c r="I101" i="26"/>
  <c r="I102" i="26"/>
  <c r="I103" i="26"/>
  <c r="I104" i="26"/>
  <c r="I105" i="26"/>
  <c r="I106" i="26"/>
  <c r="I107" i="26"/>
  <c r="I108" i="26"/>
  <c r="I109" i="26"/>
  <c r="I110" i="26"/>
  <c r="I111" i="26"/>
  <c r="I112" i="26"/>
  <c r="I113" i="26"/>
  <c r="I114" i="26"/>
  <c r="I115" i="26"/>
  <c r="I116" i="26"/>
  <c r="I117" i="26"/>
  <c r="I118" i="26"/>
  <c r="I119" i="26"/>
  <c r="I120" i="26"/>
  <c r="I121" i="26"/>
  <c r="I122" i="26"/>
  <c r="I123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G67" i="26"/>
  <c r="G68" i="26"/>
  <c r="G69" i="26"/>
  <c r="G70" i="26"/>
  <c r="G71" i="26"/>
  <c r="G72" i="26"/>
  <c r="G73" i="26"/>
  <c r="G74" i="26"/>
  <c r="G75" i="26"/>
  <c r="G76" i="26"/>
  <c r="G7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97" i="26"/>
  <c r="G98" i="26"/>
  <c r="G99" i="26"/>
  <c r="G100" i="26"/>
  <c r="G101" i="26"/>
  <c r="G102" i="26"/>
  <c r="G103" i="26"/>
  <c r="G104" i="26"/>
  <c r="G105" i="26"/>
  <c r="G106" i="26"/>
  <c r="G107" i="26"/>
  <c r="G108" i="26"/>
  <c r="G109" i="26"/>
  <c r="G110" i="26"/>
  <c r="G111" i="26"/>
  <c r="G112" i="26"/>
  <c r="G113" i="26"/>
  <c r="G114" i="26"/>
  <c r="G115" i="26"/>
  <c r="G116" i="26"/>
  <c r="G117" i="26"/>
  <c r="G118" i="26"/>
  <c r="G119" i="26"/>
  <c r="G120" i="26"/>
  <c r="G121" i="26"/>
  <c r="G122" i="26"/>
  <c r="G123" i="26"/>
  <c r="F67" i="26"/>
  <c r="F68" i="26"/>
  <c r="F69" i="26"/>
  <c r="F70" i="26"/>
  <c r="F71" i="26"/>
  <c r="F72" i="26"/>
  <c r="F73" i="26"/>
  <c r="F74" i="26"/>
  <c r="F75" i="26"/>
  <c r="F76" i="26"/>
  <c r="F77" i="26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F99" i="26"/>
  <c r="F100" i="26"/>
  <c r="F101" i="26"/>
  <c r="F102" i="26"/>
  <c r="F103" i="26"/>
  <c r="F104" i="26"/>
  <c r="F105" i="26"/>
  <c r="F106" i="26"/>
  <c r="F107" i="26"/>
  <c r="F108" i="26"/>
  <c r="F109" i="26"/>
  <c r="F110" i="26"/>
  <c r="F111" i="26"/>
  <c r="F112" i="26"/>
  <c r="F113" i="26"/>
  <c r="F114" i="26"/>
  <c r="F115" i="26"/>
  <c r="F116" i="26"/>
  <c r="F117" i="26"/>
  <c r="F118" i="26"/>
  <c r="F119" i="26"/>
  <c r="F120" i="26"/>
  <c r="F121" i="26"/>
  <c r="F122" i="26"/>
  <c r="F123" i="26"/>
  <c r="E67" i="26"/>
  <c r="E68" i="26"/>
  <c r="E69" i="26"/>
  <c r="E70" i="26"/>
  <c r="E71" i="26"/>
  <c r="E72" i="26"/>
  <c r="E73" i="26"/>
  <c r="E74" i="26"/>
  <c r="E75" i="26"/>
  <c r="E76" i="26"/>
  <c r="E77" i="26"/>
  <c r="E78" i="26"/>
  <c r="E79" i="26"/>
  <c r="E80" i="26"/>
  <c r="E81" i="26"/>
  <c r="E82" i="26"/>
  <c r="E83" i="26"/>
  <c r="E84" i="26"/>
  <c r="E85" i="26"/>
  <c r="E86" i="26"/>
  <c r="E87" i="26"/>
  <c r="E88" i="26"/>
  <c r="E89" i="26"/>
  <c r="E90" i="26"/>
  <c r="E91" i="26"/>
  <c r="E92" i="26"/>
  <c r="E93" i="26"/>
  <c r="E94" i="26"/>
  <c r="E95" i="26"/>
  <c r="E96" i="26"/>
  <c r="E97" i="26"/>
  <c r="E98" i="26"/>
  <c r="E99" i="26"/>
  <c r="E100" i="26"/>
  <c r="E101" i="26"/>
  <c r="E102" i="26"/>
  <c r="E103" i="26"/>
  <c r="E104" i="26"/>
  <c r="E105" i="26"/>
  <c r="E106" i="26"/>
  <c r="E107" i="26"/>
  <c r="E108" i="26"/>
  <c r="E109" i="26"/>
  <c r="E110" i="26"/>
  <c r="E111" i="26"/>
  <c r="E112" i="26"/>
  <c r="E113" i="26"/>
  <c r="E114" i="26"/>
  <c r="E115" i="26"/>
  <c r="E116" i="26"/>
  <c r="E117" i="26"/>
  <c r="E118" i="26"/>
  <c r="E119" i="26"/>
  <c r="E120" i="26"/>
  <c r="E121" i="26"/>
  <c r="E122" i="26"/>
  <c r="E123" i="26"/>
  <c r="D67" i="26"/>
  <c r="D68" i="26"/>
  <c r="D69" i="26"/>
  <c r="D70" i="26"/>
  <c r="D71" i="26"/>
  <c r="D72" i="26"/>
  <c r="D73" i="26"/>
  <c r="D74" i="26"/>
  <c r="D75" i="26"/>
  <c r="D76" i="26"/>
  <c r="D77" i="26"/>
  <c r="D78" i="26"/>
  <c r="D79" i="26"/>
  <c r="D80" i="26"/>
  <c r="D81" i="26"/>
  <c r="D82" i="26"/>
  <c r="D83" i="26"/>
  <c r="D84" i="26"/>
  <c r="D85" i="26"/>
  <c r="D86" i="26"/>
  <c r="D87" i="26"/>
  <c r="D88" i="26"/>
  <c r="D89" i="26"/>
  <c r="D90" i="26"/>
  <c r="D91" i="26"/>
  <c r="D92" i="26"/>
  <c r="D93" i="26"/>
  <c r="D94" i="26"/>
  <c r="D95" i="26"/>
  <c r="D96" i="26"/>
  <c r="D97" i="26"/>
  <c r="D98" i="26"/>
  <c r="D99" i="26"/>
  <c r="D100" i="26"/>
  <c r="D101" i="26"/>
  <c r="D102" i="26"/>
  <c r="D103" i="26"/>
  <c r="D104" i="26"/>
  <c r="D105" i="26"/>
  <c r="D106" i="26"/>
  <c r="D107" i="26"/>
  <c r="D108" i="26"/>
  <c r="D109" i="26"/>
  <c r="D110" i="26"/>
  <c r="D111" i="26"/>
  <c r="D112" i="26"/>
  <c r="D113" i="26"/>
  <c r="D114" i="26"/>
  <c r="D115" i="26"/>
  <c r="D116" i="26"/>
  <c r="D117" i="26"/>
  <c r="D118" i="26"/>
  <c r="D119" i="26"/>
  <c r="D120" i="26"/>
  <c r="D121" i="26"/>
  <c r="D122" i="26"/>
  <c r="D123" i="26"/>
  <c r="CB66" i="26"/>
  <c r="CC66" i="26"/>
  <c r="CD66" i="26"/>
  <c r="CE66" i="26"/>
  <c r="CF66" i="26"/>
  <c r="CG66" i="26"/>
  <c r="CH66" i="26"/>
  <c r="CI66" i="26"/>
  <c r="CJ66" i="26"/>
  <c r="CK66" i="26"/>
  <c r="CL66" i="26"/>
  <c r="CM66" i="26"/>
  <c r="CN66" i="26"/>
  <c r="CO66" i="26"/>
  <c r="CP66" i="26"/>
  <c r="CQ66" i="26"/>
  <c r="CR66" i="26"/>
  <c r="CS66" i="26"/>
  <c r="CT66" i="26"/>
  <c r="CU66" i="26"/>
  <c r="CV66" i="26"/>
  <c r="CW66" i="26"/>
  <c r="CX66" i="26"/>
  <c r="CY66" i="26"/>
  <c r="CZ66" i="26"/>
  <c r="DA66" i="26"/>
  <c r="DB66" i="26"/>
  <c r="DC66" i="26"/>
  <c r="DD66" i="26"/>
  <c r="DE66" i="26"/>
  <c r="DF66" i="26"/>
  <c r="DG66" i="26"/>
  <c r="DH66" i="26"/>
  <c r="DI66" i="26"/>
  <c r="DJ66" i="26"/>
  <c r="DK66" i="26"/>
  <c r="DL66" i="26"/>
  <c r="DM66" i="26"/>
  <c r="DN66" i="26"/>
  <c r="DO66" i="26"/>
  <c r="DP66" i="26"/>
  <c r="DQ66" i="26"/>
  <c r="DR66" i="26"/>
  <c r="DS66" i="26"/>
  <c r="DT66" i="26"/>
  <c r="DU66" i="26"/>
  <c r="DW66" i="26"/>
  <c r="DX66" i="26"/>
  <c r="DY66" i="26"/>
  <c r="DZ66" i="26"/>
  <c r="E66" i="26"/>
  <c r="F66" i="26"/>
  <c r="G66" i="26"/>
  <c r="H66" i="26"/>
  <c r="I66" i="26"/>
  <c r="J66" i="26"/>
  <c r="K66" i="26"/>
  <c r="L66" i="26"/>
  <c r="N66" i="26"/>
  <c r="P66" i="26"/>
  <c r="Q66" i="26"/>
  <c r="S66" i="26"/>
  <c r="T66" i="26"/>
  <c r="U66" i="26"/>
  <c r="V66" i="26"/>
  <c r="W66" i="26"/>
  <c r="X66" i="26"/>
  <c r="Y66" i="26"/>
  <c r="Z66" i="26"/>
  <c r="AA66" i="26"/>
  <c r="AB66" i="26"/>
  <c r="AC66" i="26"/>
  <c r="AD66" i="26"/>
  <c r="AE66" i="26"/>
  <c r="AF66" i="26"/>
  <c r="AG66" i="26"/>
  <c r="AH66" i="26"/>
  <c r="AI66" i="26"/>
  <c r="AJ66" i="26"/>
  <c r="AK66" i="26"/>
  <c r="AL66" i="26"/>
  <c r="AM66" i="26"/>
  <c r="AN66" i="26"/>
  <c r="AO66" i="26"/>
  <c r="AP66" i="26"/>
  <c r="AQ66" i="26"/>
  <c r="AR66" i="26"/>
  <c r="AS66" i="26"/>
  <c r="AT66" i="26"/>
  <c r="AU66" i="26"/>
  <c r="AV66" i="26"/>
  <c r="AW66" i="26"/>
  <c r="AX66" i="26"/>
  <c r="AY66" i="26"/>
  <c r="AZ66" i="26"/>
  <c r="BA66" i="26"/>
  <c r="BB66" i="26"/>
  <c r="BC66" i="26"/>
  <c r="BD66" i="26"/>
  <c r="BE66" i="26"/>
  <c r="BF66" i="26"/>
  <c r="BG66" i="26"/>
  <c r="BH66" i="26"/>
  <c r="BI66" i="26"/>
  <c r="BJ66" i="26"/>
  <c r="BK66" i="26"/>
  <c r="BL66" i="26"/>
  <c r="BM66" i="26"/>
  <c r="BN66" i="26"/>
  <c r="BO66" i="26"/>
  <c r="BP66" i="26"/>
  <c r="BQ66" i="26"/>
  <c r="BR66" i="26"/>
  <c r="BS66" i="26"/>
  <c r="BT66" i="26"/>
  <c r="BU66" i="26"/>
  <c r="BV66" i="26"/>
  <c r="BW66" i="26"/>
  <c r="BX66" i="26"/>
  <c r="BY66" i="26"/>
  <c r="BZ66" i="26"/>
  <c r="CA66" i="26"/>
  <c r="D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C98" i="26"/>
  <c r="C99" i="26"/>
  <c r="C100" i="26"/>
  <c r="C101" i="26"/>
  <c r="C102" i="26"/>
  <c r="C103" i="26"/>
  <c r="C104" i="26"/>
  <c r="C105" i="26"/>
  <c r="C106" i="26"/>
  <c r="C107" i="26"/>
  <c r="C108" i="26"/>
  <c r="C109" i="26"/>
  <c r="C110" i="26"/>
  <c r="C111" i="26"/>
  <c r="C112" i="26"/>
  <c r="C113" i="26"/>
  <c r="C114" i="26"/>
  <c r="C115" i="26"/>
  <c r="C116" i="26"/>
  <c r="C117" i="26"/>
  <c r="C118" i="26"/>
  <c r="C119" i="26"/>
  <c r="C120" i="26"/>
  <c r="C121" i="26"/>
  <c r="C122" i="26"/>
  <c r="C123" i="26"/>
  <c r="C66" i="26"/>
  <c r="B67" i="26"/>
  <c r="B68" i="26"/>
  <c r="B69" i="26"/>
  <c r="B70" i="26"/>
  <c r="B71" i="26"/>
  <c r="B72" i="26"/>
  <c r="B73" i="26"/>
  <c r="B74" i="26"/>
  <c r="B75" i="26"/>
  <c r="B76" i="26"/>
  <c r="B77" i="26"/>
  <c r="B78" i="26"/>
  <c r="B79" i="26"/>
  <c r="B80" i="26"/>
  <c r="B81" i="26"/>
  <c r="B82" i="26"/>
  <c r="B83" i="26"/>
  <c r="B84" i="26"/>
  <c r="B85" i="26"/>
  <c r="B86" i="26"/>
  <c r="B87" i="26"/>
  <c r="B88" i="26"/>
  <c r="B89" i="26"/>
  <c r="B90" i="26"/>
  <c r="B91" i="26"/>
  <c r="B92" i="26"/>
  <c r="B93" i="26"/>
  <c r="B94" i="26"/>
  <c r="B95" i="26"/>
  <c r="B96" i="26"/>
  <c r="B97" i="26"/>
  <c r="B98" i="26"/>
  <c r="B99" i="26"/>
  <c r="B100" i="26"/>
  <c r="B101" i="26"/>
  <c r="B102" i="26"/>
  <c r="B103" i="26"/>
  <c r="B104" i="26"/>
  <c r="B105" i="26"/>
  <c r="B106" i="26"/>
  <c r="B107" i="26"/>
  <c r="B108" i="26"/>
  <c r="B109" i="26"/>
  <c r="B110" i="26"/>
  <c r="B111" i="26"/>
  <c r="B112" i="26"/>
  <c r="B113" i="26"/>
  <c r="B114" i="26"/>
  <c r="B115" i="26"/>
  <c r="B116" i="26"/>
  <c r="B117" i="26"/>
  <c r="B118" i="26"/>
  <c r="B119" i="26"/>
  <c r="B120" i="26"/>
  <c r="B121" i="26"/>
  <c r="B122" i="26"/>
  <c r="B123" i="26"/>
  <c r="B66" i="26"/>
  <c r="B4" i="27" a="1"/>
  <c r="B5" i="32" a="1"/>
  <c r="Q5" i="32" l="1"/>
  <c r="AG5" i="32"/>
  <c r="I6" i="32"/>
  <c r="Y6" i="32"/>
  <c r="AO6" i="32"/>
  <c r="Q7" i="32"/>
  <c r="AG7" i="32"/>
  <c r="I8" i="32"/>
  <c r="Y8" i="32"/>
  <c r="AO8" i="32"/>
  <c r="Q9" i="32"/>
  <c r="AG9" i="32"/>
  <c r="I10" i="32"/>
  <c r="Y10" i="32"/>
  <c r="AO10" i="32"/>
  <c r="Q11" i="32"/>
  <c r="F5" i="32"/>
  <c r="V5" i="32"/>
  <c r="AL5" i="32"/>
  <c r="N6" i="32"/>
  <c r="AD6" i="32"/>
  <c r="F7" i="32"/>
  <c r="V7" i="32"/>
  <c r="AL7" i="32"/>
  <c r="N8" i="32"/>
  <c r="AD8" i="32"/>
  <c r="F9" i="32"/>
  <c r="V9" i="32"/>
  <c r="AL9" i="32"/>
  <c r="G5" i="32"/>
  <c r="W5" i="32"/>
  <c r="AM5" i="32"/>
  <c r="O6" i="32"/>
  <c r="AE6" i="32"/>
  <c r="G7" i="32"/>
  <c r="W7" i="32"/>
  <c r="AM7" i="32"/>
  <c r="O8" i="32"/>
  <c r="AE8" i="32"/>
  <c r="G9" i="32"/>
  <c r="W9" i="32"/>
  <c r="AM9" i="32"/>
  <c r="O10" i="32"/>
  <c r="AE10" i="32"/>
  <c r="G11" i="32"/>
  <c r="W11" i="32"/>
  <c r="AM11" i="32"/>
  <c r="O12" i="32"/>
  <c r="AE12" i="32"/>
  <c r="G13" i="32"/>
  <c r="D5" i="32"/>
  <c r="AB6" i="32"/>
  <c r="L8" i="32"/>
  <c r="AJ9" i="32"/>
  <c r="AH10" i="32"/>
  <c r="Z11" i="32"/>
  <c r="H12" i="32"/>
  <c r="AC12" i="32"/>
  <c r="J13" i="32"/>
  <c r="AC13" i="32"/>
  <c r="E14" i="32"/>
  <c r="X5" i="32"/>
  <c r="H7" i="32"/>
  <c r="AF8" i="32"/>
  <c r="L10" i="32"/>
  <c r="D11" i="32"/>
  <c r="AG11" i="32"/>
  <c r="N12" i="32"/>
  <c r="AJ12" i="32"/>
  <c r="Q13" i="32"/>
  <c r="AH13" i="32"/>
  <c r="J14" i="32"/>
  <c r="Z14" i="32"/>
  <c r="B15" i="32"/>
  <c r="R15" i="32"/>
  <c r="AH15" i="32"/>
  <c r="J16" i="32"/>
  <c r="Z16" i="32"/>
  <c r="B17" i="32"/>
  <c r="R17" i="32"/>
  <c r="AH17" i="32"/>
  <c r="J18" i="32"/>
  <c r="L5" i="32"/>
  <c r="AJ6" i="32"/>
  <c r="E5" i="32"/>
  <c r="U5" i="32"/>
  <c r="AK5" i="32"/>
  <c r="M6" i="32"/>
  <c r="AC6" i="32"/>
  <c r="E7" i="32"/>
  <c r="U7" i="32"/>
  <c r="AK7" i="32"/>
  <c r="M8" i="32"/>
  <c r="AC8" i="32"/>
  <c r="E9" i="32"/>
  <c r="U9" i="32"/>
  <c r="AK9" i="32"/>
  <c r="M10" i="32"/>
  <c r="AC10" i="32"/>
  <c r="E11" i="32"/>
  <c r="U11" i="32"/>
  <c r="J5" i="32"/>
  <c r="Z5" i="32"/>
  <c r="B6" i="32"/>
  <c r="R6" i="32"/>
  <c r="AH6" i="32"/>
  <c r="J7" i="32"/>
  <c r="Z7" i="32"/>
  <c r="B8" i="32"/>
  <c r="R8" i="32"/>
  <c r="AH8" i="32"/>
  <c r="J9" i="32"/>
  <c r="Z9" i="32"/>
  <c r="B10" i="32"/>
  <c r="K5" i="32"/>
  <c r="AA5" i="32"/>
  <c r="C6" i="32"/>
  <c r="S6" i="32"/>
  <c r="AI6" i="32"/>
  <c r="K7" i="32"/>
  <c r="AA7" i="32"/>
  <c r="C8" i="32"/>
  <c r="S8" i="32"/>
  <c r="AI8" i="32"/>
  <c r="K9" i="32"/>
  <c r="AA9" i="32"/>
  <c r="C10" i="32"/>
  <c r="S10" i="32"/>
  <c r="AI10" i="32"/>
  <c r="K11" i="32"/>
  <c r="AA11" i="32"/>
  <c r="C12" i="32"/>
  <c r="S12" i="32"/>
  <c r="AI12" i="32"/>
  <c r="K13" i="32"/>
  <c r="T5" i="32"/>
  <c r="D7" i="32"/>
  <c r="AB8" i="32"/>
  <c r="J10" i="32"/>
  <c r="B11" i="32"/>
  <c r="AF11" i="32"/>
  <c r="M12" i="32"/>
  <c r="AH12" i="32"/>
  <c r="P13" i="32"/>
  <c r="AG13" i="32"/>
  <c r="I14" i="32"/>
  <c r="AN5" i="32"/>
  <c r="X7" i="32"/>
  <c r="H9" i="32"/>
  <c r="T10" i="32"/>
  <c r="L11" i="32"/>
  <c r="AL11" i="32"/>
  <c r="T12" i="32"/>
  <c r="AO12" i="32"/>
  <c r="V13" i="32"/>
  <c r="AL13" i="32"/>
  <c r="N14" i="32"/>
  <c r="AD14" i="32"/>
  <c r="F15" i="32"/>
  <c r="V15" i="32"/>
  <c r="AL15" i="32"/>
  <c r="N16" i="32"/>
  <c r="AD16" i="32"/>
  <c r="F17" i="32"/>
  <c r="V17" i="32"/>
  <c r="AL17" i="32"/>
  <c r="N18" i="32"/>
  <c r="AB5" i="32"/>
  <c r="L7" i="32"/>
  <c r="I5" i="32"/>
  <c r="Y5" i="32"/>
  <c r="AO5" i="32"/>
  <c r="Q6" i="32"/>
  <c r="AG6" i="32"/>
  <c r="I7" i="32"/>
  <c r="Y7" i="32"/>
  <c r="AO7" i="32"/>
  <c r="Q8" i="32"/>
  <c r="AG8" i="32"/>
  <c r="I9" i="32"/>
  <c r="Y9" i="32"/>
  <c r="AO9" i="32"/>
  <c r="Q10" i="32"/>
  <c r="AG10" i="32"/>
  <c r="I11" i="32"/>
  <c r="Y11" i="32"/>
  <c r="N5" i="32"/>
  <c r="AD5" i="32"/>
  <c r="F6" i="32"/>
  <c r="V6" i="32"/>
  <c r="AL6" i="32"/>
  <c r="N7" i="32"/>
  <c r="AD7" i="32"/>
  <c r="F8" i="32"/>
  <c r="V8" i="32"/>
  <c r="AL8" i="32"/>
  <c r="N9" i="32"/>
  <c r="AD9" i="32"/>
  <c r="F10" i="32"/>
  <c r="O5" i="32"/>
  <c r="AE5" i="32"/>
  <c r="G6" i="32"/>
  <c r="W6" i="32"/>
  <c r="AM6" i="32"/>
  <c r="O7" i="32"/>
  <c r="AE7" i="32"/>
  <c r="G8" i="32"/>
  <c r="W8" i="32"/>
  <c r="AM8" i="32"/>
  <c r="O9" i="32"/>
  <c r="AE9" i="32"/>
  <c r="G10" i="32"/>
  <c r="W10" i="32"/>
  <c r="AM10" i="32"/>
  <c r="O11" i="32"/>
  <c r="AE11" i="32"/>
  <c r="G12" i="32"/>
  <c r="W12" i="32"/>
  <c r="AM12" i="32"/>
  <c r="O13" i="32"/>
  <c r="AJ5" i="32"/>
  <c r="T7" i="32"/>
  <c r="D9" i="32"/>
  <c r="R10" i="32"/>
  <c r="J11" i="32"/>
  <c r="AK11" i="32"/>
  <c r="R12" i="32"/>
  <c r="AN12" i="32"/>
  <c r="U13" i="32"/>
  <c r="AK13" i="32"/>
  <c r="M14" i="32"/>
  <c r="P6" i="32"/>
  <c r="AN7" i="32"/>
  <c r="X9" i="32"/>
  <c r="AB10" i="32"/>
  <c r="T11" i="32"/>
  <c r="D12" i="32"/>
  <c r="Y12" i="32"/>
  <c r="F13" i="32"/>
  <c r="Z13" i="32"/>
  <c r="B14" i="32"/>
  <c r="R14" i="32"/>
  <c r="AH14" i="32"/>
  <c r="J15" i="32"/>
  <c r="Z15" i="32"/>
  <c r="B16" i="32"/>
  <c r="R16" i="32"/>
  <c r="AH16" i="32"/>
  <c r="J17" i="32"/>
  <c r="Z17" i="32"/>
  <c r="B18" i="32"/>
  <c r="R18" i="32"/>
  <c r="D6" i="32"/>
  <c r="AB7" i="32"/>
  <c r="M5" i="32"/>
  <c r="AK6" i="32"/>
  <c r="U8" i="32"/>
  <c r="E10" i="32"/>
  <c r="B5" i="32"/>
  <c r="Z6" i="32"/>
  <c r="J8" i="32"/>
  <c r="AH9" i="32"/>
  <c r="K6" i="32"/>
  <c r="AI7" i="32"/>
  <c r="S9" i="32"/>
  <c r="C11" i="32"/>
  <c r="AA12" i="32"/>
  <c r="AJ7" i="32"/>
  <c r="B12" i="32"/>
  <c r="AO13" i="32"/>
  <c r="AN9" i="32"/>
  <c r="AD12" i="32"/>
  <c r="V14" i="32"/>
  <c r="F16" i="32"/>
  <c r="AD17" i="32"/>
  <c r="D8" i="32"/>
  <c r="AB9" i="32"/>
  <c r="AD10" i="32"/>
  <c r="V11" i="32"/>
  <c r="E12" i="32"/>
  <c r="Z12" i="32"/>
  <c r="H13" i="32"/>
  <c r="AA13" i="32"/>
  <c r="C14" i="32"/>
  <c r="S14" i="32"/>
  <c r="AI14" i="32"/>
  <c r="K15" i="32"/>
  <c r="AA15" i="32"/>
  <c r="C16" i="32"/>
  <c r="S16" i="32"/>
  <c r="AI16" i="32"/>
  <c r="K17" i="32"/>
  <c r="AA17" i="32"/>
  <c r="C18" i="32"/>
  <c r="S18" i="32"/>
  <c r="AN6" i="32"/>
  <c r="AD11" i="32"/>
  <c r="AF13" i="32"/>
  <c r="AJ14" i="32"/>
  <c r="AB15" i="32"/>
  <c r="T16" i="32"/>
  <c r="L17" i="32"/>
  <c r="D18" i="32"/>
  <c r="AE18" i="32"/>
  <c r="G19" i="32"/>
  <c r="W19" i="32"/>
  <c r="AM19" i="32"/>
  <c r="O20" i="32"/>
  <c r="AE20" i="32"/>
  <c r="G21" i="32"/>
  <c r="W21" i="32"/>
  <c r="AM21" i="32"/>
  <c r="O22" i="32"/>
  <c r="AE22" i="32"/>
  <c r="G23" i="32"/>
  <c r="W23" i="32"/>
  <c r="AF5" i="32"/>
  <c r="H11" i="32"/>
  <c r="T13" i="32"/>
  <c r="AC14" i="32"/>
  <c r="U15" i="32"/>
  <c r="M16" i="32"/>
  <c r="E17" i="32"/>
  <c r="AK17" i="32"/>
  <c r="AB18" i="32"/>
  <c r="D19" i="32"/>
  <c r="T19" i="32"/>
  <c r="AJ19" i="32"/>
  <c r="L20" i="32"/>
  <c r="AB20" i="32"/>
  <c r="D21" i="32"/>
  <c r="T21" i="32"/>
  <c r="AJ21" i="32"/>
  <c r="L22" i="32"/>
  <c r="AB22" i="32"/>
  <c r="D23" i="32"/>
  <c r="T23" i="32"/>
  <c r="AJ23" i="32"/>
  <c r="AF9" i="32"/>
  <c r="Q14" i="32"/>
  <c r="AO15" i="32"/>
  <c r="Y17" i="32"/>
  <c r="AL18" i="32"/>
  <c r="AD19" i="32"/>
  <c r="V20" i="32"/>
  <c r="N21" i="32"/>
  <c r="F22" i="32"/>
  <c r="AL22" i="32"/>
  <c r="AD23" i="32"/>
  <c r="K24" i="32"/>
  <c r="AA24" i="32"/>
  <c r="C25" i="32"/>
  <c r="S25" i="32"/>
  <c r="AI25" i="32"/>
  <c r="K26" i="32"/>
  <c r="AA26" i="32"/>
  <c r="C27" i="32"/>
  <c r="S27" i="32"/>
  <c r="AI27" i="32"/>
  <c r="K28" i="32"/>
  <c r="AA28" i="32"/>
  <c r="C29" i="32"/>
  <c r="S29" i="32"/>
  <c r="AI29" i="32"/>
  <c r="K30" i="32"/>
  <c r="AA30" i="32"/>
  <c r="C31" i="32"/>
  <c r="S31" i="32"/>
  <c r="AI31" i="32"/>
  <c r="K32" i="32"/>
  <c r="AA32" i="32"/>
  <c r="C33" i="32"/>
  <c r="S33" i="32"/>
  <c r="AI33" i="32"/>
  <c r="K34" i="32"/>
  <c r="AA34" i="32"/>
  <c r="C35" i="32"/>
  <c r="S35" i="32"/>
  <c r="AI35" i="32"/>
  <c r="K36" i="32"/>
  <c r="AA36" i="32"/>
  <c r="D13" i="32"/>
  <c r="P15" i="32"/>
  <c r="AN16" i="32"/>
  <c r="X18" i="32"/>
  <c r="Q19" i="32"/>
  <c r="I20" i="32"/>
  <c r="AO20" i="32"/>
  <c r="AG21" i="32"/>
  <c r="Y22" i="32"/>
  <c r="Q23" i="32"/>
  <c r="D24" i="32"/>
  <c r="T24" i="32"/>
  <c r="AJ24" i="32"/>
  <c r="L25" i="32"/>
  <c r="AB25" i="32"/>
  <c r="D26" i="32"/>
  <c r="T26" i="32"/>
  <c r="AJ26" i="32"/>
  <c r="L27" i="32"/>
  <c r="AB27" i="32"/>
  <c r="D28" i="32"/>
  <c r="T28" i="32"/>
  <c r="AJ28" i="32"/>
  <c r="L29" i="32"/>
  <c r="AB29" i="32"/>
  <c r="D30" i="32"/>
  <c r="T30" i="32"/>
  <c r="AJ30" i="32"/>
  <c r="L31" i="32"/>
  <c r="AB31" i="32"/>
  <c r="D32" i="32"/>
  <c r="T32" i="32"/>
  <c r="AJ32" i="32"/>
  <c r="L33" i="32"/>
  <c r="AB33" i="32"/>
  <c r="D34" i="32"/>
  <c r="T34" i="32"/>
  <c r="AJ34" i="32"/>
  <c r="L35" i="32"/>
  <c r="AB35" i="32"/>
  <c r="D36" i="32"/>
  <c r="AC5" i="32"/>
  <c r="M7" i="32"/>
  <c r="AK8" i="32"/>
  <c r="U10" i="32"/>
  <c r="R5" i="32"/>
  <c r="B7" i="32"/>
  <c r="Z8" i="32"/>
  <c r="C5" i="32"/>
  <c r="AA6" i="32"/>
  <c r="K8" i="32"/>
  <c r="AI9" i="32"/>
  <c r="S11" i="32"/>
  <c r="C13" i="32"/>
  <c r="T9" i="32"/>
  <c r="X12" i="32"/>
  <c r="H5" i="32"/>
  <c r="AJ10" i="32"/>
  <c r="L13" i="32"/>
  <c r="AL14" i="32"/>
  <c r="V16" i="32"/>
  <c r="F18" i="32"/>
  <c r="T8" i="32"/>
  <c r="D10" i="32"/>
  <c r="AL10" i="32"/>
  <c r="AC11" i="32"/>
  <c r="J12" i="32"/>
  <c r="AF12" i="32"/>
  <c r="M13" i="32"/>
  <c r="AE13" i="32"/>
  <c r="G14" i="32"/>
  <c r="W14" i="32"/>
  <c r="AM14" i="32"/>
  <c r="O15" i="32"/>
  <c r="AE15" i="32"/>
  <c r="G16" i="32"/>
  <c r="W16" i="32"/>
  <c r="AM16" i="32"/>
  <c r="O17" i="32"/>
  <c r="AE17" i="32"/>
  <c r="G18" i="32"/>
  <c r="W18" i="32"/>
  <c r="X8" i="32"/>
  <c r="L12" i="32"/>
  <c r="H14" i="32"/>
  <c r="D15" i="32"/>
  <c r="AJ15" i="32"/>
  <c r="AB16" i="32"/>
  <c r="T17" i="32"/>
  <c r="L18" i="32"/>
  <c r="AI18" i="32"/>
  <c r="K19" i="32"/>
  <c r="AA19" i="32"/>
  <c r="C20" i="32"/>
  <c r="S20" i="32"/>
  <c r="AI20" i="32"/>
  <c r="K21" i="32"/>
  <c r="AA21" i="32"/>
  <c r="C22" i="32"/>
  <c r="S22" i="32"/>
  <c r="AI22" i="32"/>
  <c r="K23" i="32"/>
  <c r="AA23" i="32"/>
  <c r="P7" i="32"/>
  <c r="AJ11" i="32"/>
  <c r="AJ13" i="32"/>
  <c r="AK14" i="32"/>
  <c r="AC15" i="32"/>
  <c r="U16" i="32"/>
  <c r="M17" i="32"/>
  <c r="E18" i="32"/>
  <c r="AF18" i="32"/>
  <c r="H19" i="32"/>
  <c r="X19" i="32"/>
  <c r="AN19" i="32"/>
  <c r="P20" i="32"/>
  <c r="AF20" i="32"/>
  <c r="H21" i="32"/>
  <c r="X21" i="32"/>
  <c r="AN21" i="32"/>
  <c r="P22" i="32"/>
  <c r="AF22" i="32"/>
  <c r="H23" i="32"/>
  <c r="X23" i="32"/>
  <c r="AN23" i="32"/>
  <c r="X11" i="32"/>
  <c r="AG14" i="32"/>
  <c r="Q16" i="32"/>
  <c r="AO17" i="32"/>
  <c r="F19" i="32"/>
  <c r="AL19" i="32"/>
  <c r="AD20" i="32"/>
  <c r="V21" i="32"/>
  <c r="N22" i="32"/>
  <c r="F23" i="32"/>
  <c r="AL23" i="32"/>
  <c r="O24" i="32"/>
  <c r="AE24" i="32"/>
  <c r="G25" i="32"/>
  <c r="W25" i="32"/>
  <c r="AM25" i="32"/>
  <c r="O26" i="32"/>
  <c r="AE26" i="32"/>
  <c r="G27" i="32"/>
  <c r="W27" i="32"/>
  <c r="AM27" i="32"/>
  <c r="O28" i="32"/>
  <c r="AE28" i="32"/>
  <c r="G29" i="32"/>
  <c r="W29" i="32"/>
  <c r="AM29" i="32"/>
  <c r="O30" i="32"/>
  <c r="AE30" i="32"/>
  <c r="G31" i="32"/>
  <c r="W31" i="32"/>
  <c r="AM31" i="32"/>
  <c r="O32" i="32"/>
  <c r="AE32" i="32"/>
  <c r="G33" i="32"/>
  <c r="W33" i="32"/>
  <c r="AM33" i="32"/>
  <c r="O34" i="32"/>
  <c r="AE34" i="32"/>
  <c r="G35" i="32"/>
  <c r="W35" i="32"/>
  <c r="AM35" i="32"/>
  <c r="O36" i="32"/>
  <c r="AF7" i="32"/>
  <c r="AN13" i="32"/>
  <c r="AF15" i="32"/>
  <c r="P17" i="32"/>
  <c r="AG18" i="32"/>
  <c r="Y19" i="32"/>
  <c r="Q20" i="32"/>
  <c r="I21" i="32"/>
  <c r="AO21" i="32"/>
  <c r="AG22" i="32"/>
  <c r="Y23" i="32"/>
  <c r="H24" i="32"/>
  <c r="X24" i="32"/>
  <c r="AN24" i="32"/>
  <c r="P25" i="32"/>
  <c r="AF25" i="32"/>
  <c r="H26" i="32"/>
  <c r="X26" i="32"/>
  <c r="AN26" i="32"/>
  <c r="P27" i="32"/>
  <c r="AF27" i="32"/>
  <c r="H28" i="32"/>
  <c r="X28" i="32"/>
  <c r="AN28" i="32"/>
  <c r="P29" i="32"/>
  <c r="AF29" i="32"/>
  <c r="H30" i="32"/>
  <c r="X30" i="32"/>
  <c r="AN30" i="32"/>
  <c r="P31" i="32"/>
  <c r="AF31" i="32"/>
  <c r="H32" i="32"/>
  <c r="X32" i="32"/>
  <c r="AN32" i="32"/>
  <c r="P33" i="32"/>
  <c r="AF33" i="32"/>
  <c r="H34" i="32"/>
  <c r="X34" i="32"/>
  <c r="AN34" i="32"/>
  <c r="P35" i="32"/>
  <c r="AF35" i="32"/>
  <c r="H36" i="32"/>
  <c r="X36" i="32"/>
  <c r="F12" i="32"/>
  <c r="E6" i="32"/>
  <c r="AC7" i="32"/>
  <c r="M9" i="32"/>
  <c r="AK10" i="32"/>
  <c r="AH5" i="32"/>
  <c r="R7" i="32"/>
  <c r="B9" i="32"/>
  <c r="S5" i="32"/>
  <c r="C7" i="32"/>
  <c r="AA8" i="32"/>
  <c r="K10" i="32"/>
  <c r="AI11" i="32"/>
  <c r="S13" i="32"/>
  <c r="Z10" i="32"/>
  <c r="E13" i="32"/>
  <c r="AF6" i="32"/>
  <c r="AB11" i="32"/>
  <c r="AD13" i="32"/>
  <c r="N15" i="32"/>
  <c r="AL16" i="32"/>
  <c r="V18" i="32"/>
  <c r="AJ8" i="32"/>
  <c r="N10" i="32"/>
  <c r="F11" i="32"/>
  <c r="AH11" i="32"/>
  <c r="P12" i="32"/>
  <c r="AK12" i="32"/>
  <c r="R13" i="32"/>
  <c r="AI13" i="32"/>
  <c r="K14" i="32"/>
  <c r="AA14" i="32"/>
  <c r="C15" i="32"/>
  <c r="S15" i="32"/>
  <c r="AI15" i="32"/>
  <c r="K16" i="32"/>
  <c r="AA16" i="32"/>
  <c r="C17" i="32"/>
  <c r="S17" i="32"/>
  <c r="AI17" i="32"/>
  <c r="K18" i="32"/>
  <c r="AA18" i="32"/>
  <c r="H10" i="32"/>
  <c r="AG12" i="32"/>
  <c r="T14" i="32"/>
  <c r="L15" i="32"/>
  <c r="D16" i="32"/>
  <c r="AJ16" i="32"/>
  <c r="AB17" i="32"/>
  <c r="T18" i="32"/>
  <c r="AM18" i="32"/>
  <c r="O19" i="32"/>
  <c r="AE19" i="32"/>
  <c r="G20" i="32"/>
  <c r="W20" i="32"/>
  <c r="AM20" i="32"/>
  <c r="O21" i="32"/>
  <c r="AE21" i="32"/>
  <c r="G22" i="32"/>
  <c r="W22" i="32"/>
  <c r="AM22" i="32"/>
  <c r="O23" i="32"/>
  <c r="AE23" i="32"/>
  <c r="AN8" i="32"/>
  <c r="Q12" i="32"/>
  <c r="L14" i="32"/>
  <c r="E15" i="32"/>
  <c r="AK15" i="32"/>
  <c r="AC16" i="32"/>
  <c r="U17" i="32"/>
  <c r="M18" i="32"/>
  <c r="AJ18" i="32"/>
  <c r="L19" i="32"/>
  <c r="AB19" i="32"/>
  <c r="D20" i="32"/>
  <c r="T20" i="32"/>
  <c r="AJ20" i="32"/>
  <c r="L21" i="32"/>
  <c r="AB21" i="32"/>
  <c r="D22" i="32"/>
  <c r="T22" i="32"/>
  <c r="AJ22" i="32"/>
  <c r="L23" i="32"/>
  <c r="AB23" i="32"/>
  <c r="H6" i="32"/>
  <c r="AB12" i="32"/>
  <c r="I15" i="32"/>
  <c r="AG16" i="32"/>
  <c r="Q18" i="32"/>
  <c r="N19" i="32"/>
  <c r="F20" i="32"/>
  <c r="AL20" i="32"/>
  <c r="AD21" i="32"/>
  <c r="V22" i="32"/>
  <c r="N23" i="32"/>
  <c r="C24" i="32"/>
  <c r="S24" i="32"/>
  <c r="AI24" i="32"/>
  <c r="K25" i="32"/>
  <c r="AA25" i="32"/>
  <c r="C26" i="32"/>
  <c r="S26" i="32"/>
  <c r="AI26" i="32"/>
  <c r="K27" i="32"/>
  <c r="AA27" i="32"/>
  <c r="C28" i="32"/>
  <c r="S28" i="32"/>
  <c r="AI28" i="32"/>
  <c r="K29" i="32"/>
  <c r="AA29" i="32"/>
  <c r="C30" i="32"/>
  <c r="S30" i="32"/>
  <c r="AI30" i="32"/>
  <c r="K31" i="32"/>
  <c r="AA31" i="32"/>
  <c r="C32" i="32"/>
  <c r="S32" i="32"/>
  <c r="AI32" i="32"/>
  <c r="K33" i="32"/>
  <c r="AA33" i="32"/>
  <c r="C34" i="32"/>
  <c r="S34" i="32"/>
  <c r="AI34" i="32"/>
  <c r="K35" i="32"/>
  <c r="AA35" i="32"/>
  <c r="C36" i="32"/>
  <c r="S36" i="32"/>
  <c r="X10" i="32"/>
  <c r="X14" i="32"/>
  <c r="H16" i="32"/>
  <c r="AF17" i="32"/>
  <c r="AO18" i="32"/>
  <c r="AG19" i="32"/>
  <c r="Y20" i="32"/>
  <c r="Q21" i="32"/>
  <c r="I22" i="32"/>
  <c r="AO22" i="32"/>
  <c r="AG23" i="32"/>
  <c r="L24" i="32"/>
  <c r="AB24" i="32"/>
  <c r="D25" i="32"/>
  <c r="T25" i="32"/>
  <c r="AJ25" i="32"/>
  <c r="L26" i="32"/>
  <c r="AB26" i="32"/>
  <c r="D27" i="32"/>
  <c r="T27" i="32"/>
  <c r="AJ27" i="32"/>
  <c r="L28" i="32"/>
  <c r="AB28" i="32"/>
  <c r="D29" i="32"/>
  <c r="T29" i="32"/>
  <c r="AJ29" i="32"/>
  <c r="L30" i="32"/>
  <c r="AB30" i="32"/>
  <c r="D31" i="32"/>
  <c r="T31" i="32"/>
  <c r="AJ31" i="32"/>
  <c r="L32" i="32"/>
  <c r="AB32" i="32"/>
  <c r="D33" i="32"/>
  <c r="T33" i="32"/>
  <c r="AJ33" i="32"/>
  <c r="L34" i="32"/>
  <c r="AB34" i="32"/>
  <c r="D35" i="32"/>
  <c r="T35" i="32"/>
  <c r="AJ35" i="32"/>
  <c r="L36" i="32"/>
  <c r="AB36" i="32"/>
  <c r="I13" i="32"/>
  <c r="U6" i="32"/>
  <c r="J6" i="32"/>
  <c r="S7" i="32"/>
  <c r="L6" i="32"/>
  <c r="I12" i="32"/>
  <c r="T6" i="32"/>
  <c r="AN11" i="32"/>
  <c r="AM13" i="32"/>
  <c r="W15" i="32"/>
  <c r="G17" i="32"/>
  <c r="P5" i="32"/>
  <c r="T15" i="32"/>
  <c r="Z18" i="32"/>
  <c r="K20" i="32"/>
  <c r="AI21" i="32"/>
  <c r="S23" i="32"/>
  <c r="U14" i="32"/>
  <c r="AC17" i="32"/>
  <c r="AF19" i="32"/>
  <c r="P21" i="32"/>
  <c r="AN22" i="32"/>
  <c r="AB13" i="32"/>
  <c r="V19" i="32"/>
  <c r="AD22" i="32"/>
  <c r="AM24" i="32"/>
  <c r="W26" i="32"/>
  <c r="G28" i="32"/>
  <c r="AE29" i="32"/>
  <c r="O31" i="32"/>
  <c r="AM32" i="32"/>
  <c r="W34" i="32"/>
  <c r="G36" i="32"/>
  <c r="X16" i="32"/>
  <c r="AG20" i="32"/>
  <c r="AM23" i="32"/>
  <c r="X25" i="32"/>
  <c r="H27" i="32"/>
  <c r="AF28" i="32"/>
  <c r="P30" i="32"/>
  <c r="AN31" i="32"/>
  <c r="X33" i="32"/>
  <c r="H35" i="32"/>
  <c r="T36" i="32"/>
  <c r="Y14" i="32"/>
  <c r="I16" i="32"/>
  <c r="AG17" i="32"/>
  <c r="B19" i="32"/>
  <c r="AH19" i="32"/>
  <c r="Z20" i="32"/>
  <c r="R21" i="32"/>
  <c r="J22" i="32"/>
  <c r="B23" i="32"/>
  <c r="AH23" i="32"/>
  <c r="P9" i="32"/>
  <c r="AK18" i="32"/>
  <c r="E22" i="32"/>
  <c r="R24" i="32"/>
  <c r="J25" i="32"/>
  <c r="B26" i="32"/>
  <c r="AH26" i="32"/>
  <c r="Z27" i="32"/>
  <c r="R28" i="32"/>
  <c r="J29" i="32"/>
  <c r="B30" i="32"/>
  <c r="AH30" i="32"/>
  <c r="Z31" i="32"/>
  <c r="R32" i="32"/>
  <c r="J33" i="32"/>
  <c r="B34" i="32"/>
  <c r="AH34" i="32"/>
  <c r="Z35" i="32"/>
  <c r="R36" i="32"/>
  <c r="AN36" i="32"/>
  <c r="P37" i="32"/>
  <c r="AF37" i="32"/>
  <c r="H38" i="32"/>
  <c r="X38" i="32"/>
  <c r="AN38" i="32"/>
  <c r="P39" i="32"/>
  <c r="AF39" i="32"/>
  <c r="H40" i="32"/>
  <c r="X40" i="32"/>
  <c r="AN40" i="32"/>
  <c r="P41" i="32"/>
  <c r="AF41" i="32"/>
  <c r="H42" i="32"/>
  <c r="X42" i="32"/>
  <c r="AN42" i="32"/>
  <c r="P43" i="32"/>
  <c r="AF43" i="32"/>
  <c r="H44" i="32"/>
  <c r="X44" i="32"/>
  <c r="AN17" i="32"/>
  <c r="U21" i="32"/>
  <c r="M24" i="32"/>
  <c r="E25" i="32"/>
  <c r="AK25" i="32"/>
  <c r="AC26" i="32"/>
  <c r="U27" i="32"/>
  <c r="M28" i="32"/>
  <c r="E29" i="32"/>
  <c r="AK29" i="32"/>
  <c r="AC30" i="32"/>
  <c r="U31" i="32"/>
  <c r="M32" i="32"/>
  <c r="E33" i="32"/>
  <c r="AK33" i="32"/>
  <c r="AC34" i="32"/>
  <c r="U35" i="32"/>
  <c r="M36" i="32"/>
  <c r="AK36" i="32"/>
  <c r="M37" i="32"/>
  <c r="AC37" i="32"/>
  <c r="E38" i="32"/>
  <c r="U38" i="32"/>
  <c r="AK38" i="32"/>
  <c r="M39" i="32"/>
  <c r="AC39" i="32"/>
  <c r="E40" i="32"/>
  <c r="U40" i="32"/>
  <c r="AK40" i="32"/>
  <c r="M41" i="32"/>
  <c r="AC41" i="32"/>
  <c r="E42" i="32"/>
  <c r="U42" i="32"/>
  <c r="AK42" i="32"/>
  <c r="M43" i="32"/>
  <c r="AC43" i="32"/>
  <c r="E44" i="32"/>
  <c r="U44" i="32"/>
  <c r="AK44" i="32"/>
  <c r="U19" i="32"/>
  <c r="Y24" i="32"/>
  <c r="I26" i="32"/>
  <c r="V12" i="32"/>
  <c r="M19" i="32"/>
  <c r="U22" i="32"/>
  <c r="V24" i="32"/>
  <c r="N25" i="32"/>
  <c r="F26" i="32"/>
  <c r="AL26" i="32"/>
  <c r="AD27" i="32"/>
  <c r="V28" i="32"/>
  <c r="N29" i="32"/>
  <c r="F30" i="32"/>
  <c r="AL30" i="32"/>
  <c r="AD31" i="32"/>
  <c r="V32" i="32"/>
  <c r="N33" i="32"/>
  <c r="F34" i="32"/>
  <c r="AL34" i="32"/>
  <c r="AD35" i="32"/>
  <c r="V36" i="32"/>
  <c r="B37" i="32"/>
  <c r="R37" i="32"/>
  <c r="AH37" i="32"/>
  <c r="J38" i="32"/>
  <c r="Z38" i="32"/>
  <c r="B39" i="32"/>
  <c r="R39" i="32"/>
  <c r="AH39" i="32"/>
  <c r="J40" i="32"/>
  <c r="Z40" i="32"/>
  <c r="B41" i="32"/>
  <c r="R41" i="32"/>
  <c r="AH41" i="32"/>
  <c r="J42" i="32"/>
  <c r="Z42" i="32"/>
  <c r="B43" i="32"/>
  <c r="R43" i="32"/>
  <c r="E8" i="32"/>
  <c r="AH7" i="32"/>
  <c r="C9" i="32"/>
  <c r="R11" i="32"/>
  <c r="F14" i="32"/>
  <c r="L9" i="32"/>
  <c r="U12" i="32"/>
  <c r="O14" i="32"/>
  <c r="AM15" i="32"/>
  <c r="W17" i="32"/>
  <c r="AN10" i="32"/>
  <c r="L16" i="32"/>
  <c r="C19" i="32"/>
  <c r="AA20" i="32"/>
  <c r="K22" i="32"/>
  <c r="AI23" i="32"/>
  <c r="M15" i="32"/>
  <c r="U18" i="32"/>
  <c r="H20" i="32"/>
  <c r="AF21" i="32"/>
  <c r="P23" i="32"/>
  <c r="Y15" i="32"/>
  <c r="N20" i="32"/>
  <c r="V23" i="32"/>
  <c r="O25" i="32"/>
  <c r="AM26" i="32"/>
  <c r="W28" i="32"/>
  <c r="G30" i="32"/>
  <c r="AE31" i="32"/>
  <c r="O33" i="32"/>
  <c r="AM34" i="32"/>
  <c r="W36" i="32"/>
  <c r="H18" i="32"/>
  <c r="Y21" i="32"/>
  <c r="P24" i="32"/>
  <c r="AN25" i="32"/>
  <c r="X27" i="32"/>
  <c r="H29" i="32"/>
  <c r="AF30" i="32"/>
  <c r="P32" i="32"/>
  <c r="AN33" i="32"/>
  <c r="X35" i="32"/>
  <c r="H8" i="32"/>
  <c r="AO14" i="32"/>
  <c r="Y16" i="32"/>
  <c r="I18" i="32"/>
  <c r="J19" i="32"/>
  <c r="B20" i="32"/>
  <c r="AH20" i="32"/>
  <c r="Z21" i="32"/>
  <c r="R22" i="32"/>
  <c r="J23" i="32"/>
  <c r="AO23" i="32"/>
  <c r="P14" i="32"/>
  <c r="AC19" i="32"/>
  <c r="AK22" i="32"/>
  <c r="Z24" i="32"/>
  <c r="R25" i="32"/>
  <c r="J26" i="32"/>
  <c r="B27" i="32"/>
  <c r="AH27" i="32"/>
  <c r="Z28" i="32"/>
  <c r="R29" i="32"/>
  <c r="J30" i="32"/>
  <c r="B31" i="32"/>
  <c r="AH31" i="32"/>
  <c r="Z32" i="32"/>
  <c r="R33" i="32"/>
  <c r="J34" i="32"/>
  <c r="B35" i="32"/>
  <c r="AH35" i="32"/>
  <c r="Z36" i="32"/>
  <c r="D37" i="32"/>
  <c r="T37" i="32"/>
  <c r="AJ37" i="32"/>
  <c r="L38" i="32"/>
  <c r="AB38" i="32"/>
  <c r="D39" i="32"/>
  <c r="T39" i="32"/>
  <c r="AJ39" i="32"/>
  <c r="L40" i="32"/>
  <c r="AB40" i="32"/>
  <c r="D41" i="32"/>
  <c r="T41" i="32"/>
  <c r="AJ41" i="32"/>
  <c r="L42" i="32"/>
  <c r="AB42" i="32"/>
  <c r="D43" i="32"/>
  <c r="T43" i="32"/>
  <c r="AJ43" i="32"/>
  <c r="L44" i="32"/>
  <c r="P11" i="32"/>
  <c r="E19" i="32"/>
  <c r="M22" i="32"/>
  <c r="U24" i="32"/>
  <c r="M25" i="32"/>
  <c r="E26" i="32"/>
  <c r="AK26" i="32"/>
  <c r="AC27" i="32"/>
  <c r="U28" i="32"/>
  <c r="M29" i="32"/>
  <c r="E30" i="32"/>
  <c r="AK30" i="32"/>
  <c r="AC31" i="32"/>
  <c r="U32" i="32"/>
  <c r="M33" i="32"/>
  <c r="E34" i="32"/>
  <c r="AK34" i="32"/>
  <c r="AC35" i="32"/>
  <c r="U36" i="32"/>
  <c r="AO36" i="32"/>
  <c r="Q37" i="32"/>
  <c r="AG37" i="32"/>
  <c r="I38" i="32"/>
  <c r="Y38" i="32"/>
  <c r="AO38" i="32"/>
  <c r="Q39" i="32"/>
  <c r="AG39" i="32"/>
  <c r="I40" i="32"/>
  <c r="Y40" i="32"/>
  <c r="AO40" i="32"/>
  <c r="Q41" i="32"/>
  <c r="AG41" i="32"/>
  <c r="I42" i="32"/>
  <c r="Y42" i="32"/>
  <c r="AO42" i="32"/>
  <c r="Q43" i="32"/>
  <c r="AG43" i="32"/>
  <c r="I44" i="32"/>
  <c r="AC9" i="32"/>
  <c r="R9" i="32"/>
  <c r="AA10" i="32"/>
  <c r="Y13" i="32"/>
  <c r="AD15" i="32"/>
  <c r="V10" i="32"/>
  <c r="B13" i="32"/>
  <c r="AE14" i="32"/>
  <c r="O16" i="32"/>
  <c r="AM17" i="32"/>
  <c r="N13" i="32"/>
  <c r="D17" i="32"/>
  <c r="S19" i="32"/>
  <c r="C21" i="32"/>
  <c r="AA22" i="32"/>
  <c r="P10" i="32"/>
  <c r="E16" i="32"/>
  <c r="AN18" i="32"/>
  <c r="X20" i="32"/>
  <c r="H22" i="32"/>
  <c r="AF23" i="32"/>
  <c r="I17" i="32"/>
  <c r="F21" i="32"/>
  <c r="G24" i="32"/>
  <c r="AE25" i="32"/>
  <c r="O27" i="32"/>
  <c r="AM28" i="32"/>
  <c r="W30" i="32"/>
  <c r="G32" i="32"/>
  <c r="AE33" i="32"/>
  <c r="O35" i="32"/>
  <c r="AO11" i="32"/>
  <c r="I19" i="32"/>
  <c r="Q22" i="32"/>
  <c r="AF24" i="32"/>
  <c r="P26" i="32"/>
  <c r="AN27" i="32"/>
  <c r="X29" i="32"/>
  <c r="H31" i="32"/>
  <c r="AF32" i="32"/>
  <c r="P34" i="32"/>
  <c r="AN35" i="32"/>
  <c r="AF10" i="32"/>
  <c r="Q15" i="32"/>
  <c r="AO16" i="32"/>
  <c r="Y18" i="32"/>
  <c r="R19" i="32"/>
  <c r="J20" i="32"/>
  <c r="B21" i="32"/>
  <c r="AH21" i="32"/>
  <c r="Z22" i="32"/>
  <c r="R23" i="32"/>
  <c r="E24" i="32"/>
  <c r="AN15" i="32"/>
  <c r="U20" i="32"/>
  <c r="AC23" i="32"/>
  <c r="AH24" i="32"/>
  <c r="Z25" i="32"/>
  <c r="R26" i="32"/>
  <c r="J27" i="32"/>
  <c r="B28" i="32"/>
  <c r="AH28" i="32"/>
  <c r="Z29" i="32"/>
  <c r="R30" i="32"/>
  <c r="J31" i="32"/>
  <c r="B32" i="32"/>
  <c r="AH32" i="32"/>
  <c r="Z33" i="32"/>
  <c r="R34" i="32"/>
  <c r="J35" i="32"/>
  <c r="B36" i="32"/>
  <c r="AF36" i="32"/>
  <c r="H37" i="32"/>
  <c r="X37" i="32"/>
  <c r="AN37" i="32"/>
  <c r="P38" i="32"/>
  <c r="AF38" i="32"/>
  <c r="H39" i="32"/>
  <c r="X39" i="32"/>
  <c r="AN39" i="32"/>
  <c r="P40" i="32"/>
  <c r="AF40" i="32"/>
  <c r="H41" i="32"/>
  <c r="X41" i="32"/>
  <c r="AN41" i="32"/>
  <c r="P42" i="32"/>
  <c r="AF42" i="32"/>
  <c r="H43" i="32"/>
  <c r="X43" i="32"/>
  <c r="AN43" i="32"/>
  <c r="P44" i="32"/>
  <c r="AF14" i="32"/>
  <c r="AK19" i="32"/>
  <c r="E23" i="32"/>
  <c r="AC24" i="32"/>
  <c r="U25" i="32"/>
  <c r="M26" i="32"/>
  <c r="E27" i="32"/>
  <c r="AK27" i="32"/>
  <c r="AC28" i="32"/>
  <c r="U29" i="32"/>
  <c r="M30" i="32"/>
  <c r="E31" i="32"/>
  <c r="AK31" i="32"/>
  <c r="AC32" i="32"/>
  <c r="U33" i="32"/>
  <c r="M34" i="32"/>
  <c r="E35" i="32"/>
  <c r="AK35" i="32"/>
  <c r="AC36" i="32"/>
  <c r="E37" i="32"/>
  <c r="U37" i="32"/>
  <c r="AK37" i="32"/>
  <c r="M38" i="32"/>
  <c r="AC38" i="32"/>
  <c r="E39" i="32"/>
  <c r="U39" i="32"/>
  <c r="AK39" i="32"/>
  <c r="M40" i="32"/>
  <c r="AC40" i="32"/>
  <c r="E41" i="32"/>
  <c r="U41" i="32"/>
  <c r="AK41" i="32"/>
  <c r="M42" i="32"/>
  <c r="AC42" i="32"/>
  <c r="E43" i="32"/>
  <c r="U43" i="32"/>
  <c r="AK43" i="32"/>
  <c r="M44" i="32"/>
  <c r="AC44" i="32"/>
  <c r="X15" i="32"/>
  <c r="AC22" i="32"/>
  <c r="Q25" i="32"/>
  <c r="AO26" i="32"/>
  <c r="AF16" i="32"/>
  <c r="AK20" i="32"/>
  <c r="B24" i="32"/>
  <c r="AL24" i="32"/>
  <c r="AD25" i="32"/>
  <c r="V26" i="32"/>
  <c r="N27" i="32"/>
  <c r="F28" i="32"/>
  <c r="AL28" i="32"/>
  <c r="AD29" i="32"/>
  <c r="V30" i="32"/>
  <c r="N31" i="32"/>
  <c r="F32" i="32"/>
  <c r="AL32" i="32"/>
  <c r="AD33" i="32"/>
  <c r="V34" i="32"/>
  <c r="N35" i="32"/>
  <c r="F36" i="32"/>
  <c r="AH36" i="32"/>
  <c r="J37" i="32"/>
  <c r="Z37" i="32"/>
  <c r="B38" i="32"/>
  <c r="R38" i="32"/>
  <c r="AH38" i="32"/>
  <c r="J39" i="32"/>
  <c r="Z39" i="32"/>
  <c r="B40" i="32"/>
  <c r="R40" i="32"/>
  <c r="AH40" i="32"/>
  <c r="J41" i="32"/>
  <c r="Z41" i="32"/>
  <c r="B42" i="32"/>
  <c r="R42" i="32"/>
  <c r="AH42" i="32"/>
  <c r="J43" i="32"/>
  <c r="Z43" i="32"/>
  <c r="M11" i="32"/>
  <c r="N17" i="32"/>
  <c r="AE16" i="32"/>
  <c r="AI19" i="32"/>
  <c r="AK16" i="32"/>
  <c r="X6" i="32"/>
  <c r="G26" i="32"/>
  <c r="W32" i="32"/>
  <c r="AO19" i="32"/>
  <c r="P28" i="32"/>
  <c r="AF34" i="32"/>
  <c r="Q17" i="32"/>
  <c r="J21" i="32"/>
  <c r="I24" i="32"/>
  <c r="B25" i="32"/>
  <c r="J28" i="32"/>
  <c r="R31" i="32"/>
  <c r="Z34" i="32"/>
  <c r="L37" i="32"/>
  <c r="AJ38" i="32"/>
  <c r="T40" i="32"/>
  <c r="D42" i="32"/>
  <c r="AB43" i="32"/>
  <c r="AC20" i="32"/>
  <c r="U26" i="32"/>
  <c r="AC29" i="32"/>
  <c r="AK32" i="32"/>
  <c r="E36" i="32"/>
  <c r="AO37" i="32"/>
  <c r="Y39" i="32"/>
  <c r="I41" i="32"/>
  <c r="AG42" i="32"/>
  <c r="Q44" i="32"/>
  <c r="H17" i="32"/>
  <c r="AG25" i="32"/>
  <c r="P18" i="32"/>
  <c r="N24" i="32"/>
  <c r="AL25" i="32"/>
  <c r="V27" i="32"/>
  <c r="F29" i="32"/>
  <c r="AD30" i="32"/>
  <c r="N32" i="32"/>
  <c r="AL33" i="32"/>
  <c r="V35" i="32"/>
  <c r="AL36" i="32"/>
  <c r="AD37" i="32"/>
  <c r="V38" i="32"/>
  <c r="N39" i="32"/>
  <c r="F40" i="32"/>
  <c r="AL40" i="32"/>
  <c r="AD41" i="32"/>
  <c r="V42" i="32"/>
  <c r="N43" i="32"/>
  <c r="AL43" i="32"/>
  <c r="N44" i="32"/>
  <c r="AD44" i="32"/>
  <c r="AC18" i="32"/>
  <c r="Q24" i="32"/>
  <c r="AO25" i="32"/>
  <c r="Y27" i="32"/>
  <c r="I30" i="32"/>
  <c r="Q33" i="32"/>
  <c r="Y36" i="32"/>
  <c r="K38" i="32"/>
  <c r="AI39" i="32"/>
  <c r="S41" i="32"/>
  <c r="C43" i="32"/>
  <c r="AA44" i="32"/>
  <c r="AE42" i="32"/>
  <c r="I28" i="32"/>
  <c r="Y34" i="32"/>
  <c r="AI38" i="32"/>
  <c r="C42" i="32"/>
  <c r="AM44" i="32"/>
  <c r="AO33" i="32"/>
  <c r="W38" i="32"/>
  <c r="AE41" i="32"/>
  <c r="AF44" i="32"/>
  <c r="Q30" i="32"/>
  <c r="Y33" i="32"/>
  <c r="AE36" i="32"/>
  <c r="O38" i="32"/>
  <c r="AM39" i="32"/>
  <c r="O42" i="32"/>
  <c r="AO28" i="32"/>
  <c r="Q35" i="32"/>
  <c r="AI5" i="32"/>
  <c r="N11" i="32"/>
  <c r="O18" i="32"/>
  <c r="S21" i="32"/>
  <c r="P19" i="32"/>
  <c r="AD18" i="32"/>
  <c r="AE27" i="32"/>
  <c r="G34" i="32"/>
  <c r="I23" i="32"/>
  <c r="AN29" i="32"/>
  <c r="P36" i="32"/>
  <c r="AH18" i="32"/>
  <c r="B22" i="32"/>
  <c r="X17" i="32"/>
  <c r="AH25" i="32"/>
  <c r="B29" i="32"/>
  <c r="J32" i="32"/>
  <c r="R35" i="32"/>
  <c r="AB37" i="32"/>
  <c r="L39" i="32"/>
  <c r="AJ40" i="32"/>
  <c r="T42" i="32"/>
  <c r="D44" i="32"/>
  <c r="AK23" i="32"/>
  <c r="M27" i="32"/>
  <c r="U30" i="32"/>
  <c r="AC33" i="32"/>
  <c r="AG36" i="32"/>
  <c r="Q38" i="32"/>
  <c r="AO39" i="32"/>
  <c r="Y41" i="32"/>
  <c r="I43" i="32"/>
  <c r="Y44" i="32"/>
  <c r="E21" i="32"/>
  <c r="Y26" i="32"/>
  <c r="E20" i="32"/>
  <c r="AD24" i="32"/>
  <c r="N26" i="32"/>
  <c r="AL27" i="32"/>
  <c r="V29" i="32"/>
  <c r="F31" i="32"/>
  <c r="AD32" i="32"/>
  <c r="N34" i="32"/>
  <c r="AL35" i="32"/>
  <c r="F37" i="32"/>
  <c r="AL37" i="32"/>
  <c r="AD38" i="32"/>
  <c r="V39" i="32"/>
  <c r="N40" i="32"/>
  <c r="F41" i="32"/>
  <c r="AL41" i="32"/>
  <c r="AD42" i="32"/>
  <c r="V43" i="32"/>
  <c r="B44" i="32"/>
  <c r="R44" i="32"/>
  <c r="AH44" i="32"/>
  <c r="M20" i="32"/>
  <c r="AG24" i="32"/>
  <c r="Q26" i="32"/>
  <c r="AG27" i="32"/>
  <c r="AO30" i="32"/>
  <c r="I34" i="32"/>
  <c r="C37" i="32"/>
  <c r="AA38" i="32"/>
  <c r="K40" i="32"/>
  <c r="AI41" i="32"/>
  <c r="S43" i="32"/>
  <c r="AI44" i="32"/>
  <c r="W43" i="32"/>
  <c r="AG29" i="32"/>
  <c r="I36" i="32"/>
  <c r="AA39" i="32"/>
  <c r="AI42" i="32"/>
  <c r="I29" i="32"/>
  <c r="Y35" i="32"/>
  <c r="O39" i="32"/>
  <c r="W42" i="32"/>
  <c r="AO27" i="32"/>
  <c r="I31" i="32"/>
  <c r="Q34" i="32"/>
  <c r="G37" i="32"/>
  <c r="AE38" i="32"/>
  <c r="AE40" i="32"/>
  <c r="G43" i="32"/>
  <c r="Y30" i="32"/>
  <c r="AI36" i="32"/>
  <c r="C40" i="32"/>
  <c r="K43" i="32"/>
  <c r="AO29" i="32"/>
  <c r="Q36" i="32"/>
  <c r="AE39" i="32"/>
  <c r="AM42" i="32"/>
  <c r="K12" i="32"/>
  <c r="W13" i="32"/>
  <c r="AB14" i="32"/>
  <c r="C23" i="32"/>
  <c r="AN20" i="32"/>
  <c r="AL21" i="32"/>
  <c r="O29" i="32"/>
  <c r="AE35" i="32"/>
  <c r="H25" i="32"/>
  <c r="X31" i="32"/>
  <c r="D14" i="32"/>
  <c r="Z19" i="32"/>
  <c r="AH22" i="32"/>
  <c r="M21" i="32"/>
  <c r="Z26" i="32"/>
  <c r="AH29" i="32"/>
  <c r="B33" i="32"/>
  <c r="J36" i="32"/>
  <c r="D38" i="32"/>
  <c r="AB39" i="32"/>
  <c r="L41" i="32"/>
  <c r="AJ42" i="32"/>
  <c r="T44" i="32"/>
  <c r="AK24" i="32"/>
  <c r="E28" i="32"/>
  <c r="M31" i="32"/>
  <c r="U34" i="32"/>
  <c r="I37" i="32"/>
  <c r="AG38" i="32"/>
  <c r="Q40" i="32"/>
  <c r="AO41" i="32"/>
  <c r="Y43" i="32"/>
  <c r="AG44" i="32"/>
  <c r="F24" i="32"/>
  <c r="Q27" i="32"/>
  <c r="AC21" i="32"/>
  <c r="F25" i="32"/>
  <c r="AD26" i="32"/>
  <c r="N28" i="32"/>
  <c r="AL29" i="32"/>
  <c r="V31" i="32"/>
  <c r="F33" i="32"/>
  <c r="AD34" i="32"/>
  <c r="N36" i="32"/>
  <c r="N37" i="32"/>
  <c r="F38" i="32"/>
  <c r="AL38" i="32"/>
  <c r="AD39" i="32"/>
  <c r="V40" i="32"/>
  <c r="N41" i="32"/>
  <c r="F42" i="32"/>
  <c r="AL42" i="32"/>
  <c r="AD43" i="32"/>
  <c r="F44" i="32"/>
  <c r="V44" i="32"/>
  <c r="AL44" i="32"/>
  <c r="AK21" i="32"/>
  <c r="I25" i="32"/>
  <c r="AG26" i="32"/>
  <c r="Y28" i="32"/>
  <c r="AG31" i="32"/>
  <c r="AO34" i="32"/>
  <c r="S37" i="32"/>
  <c r="C39" i="32"/>
  <c r="AA40" i="32"/>
  <c r="K42" i="32"/>
  <c r="AI43" i="32"/>
  <c r="O40" i="32"/>
  <c r="O44" i="32"/>
  <c r="Q31" i="32"/>
  <c r="K37" i="32"/>
  <c r="S40" i="32"/>
  <c r="AA43" i="32"/>
  <c r="AG30" i="32"/>
  <c r="AM36" i="32"/>
  <c r="G40" i="32"/>
  <c r="O43" i="32"/>
  <c r="AG28" i="32"/>
  <c r="AO31" i="32"/>
  <c r="I35" i="32"/>
  <c r="W37" i="32"/>
  <c r="G39" i="32"/>
  <c r="G41" i="32"/>
  <c r="AM43" i="32"/>
  <c r="I32" i="32"/>
  <c r="AA37" i="32"/>
  <c r="AI40" i="32"/>
  <c r="C44" i="32"/>
  <c r="Y31" i="32"/>
  <c r="O37" i="32"/>
  <c r="W40" i="32"/>
  <c r="AE43" i="32"/>
  <c r="P8" i="32"/>
  <c r="G15" i="32"/>
  <c r="AJ17" i="32"/>
  <c r="AL12" i="32"/>
  <c r="X22" i="32"/>
  <c r="W24" i="32"/>
  <c r="AM30" i="32"/>
  <c r="AN14" i="32"/>
  <c r="AF26" i="32"/>
  <c r="H33" i="32"/>
  <c r="AG15" i="32"/>
  <c r="R20" i="32"/>
  <c r="Z23" i="32"/>
  <c r="J24" i="32"/>
  <c r="R27" i="32"/>
  <c r="Z30" i="32"/>
  <c r="AH33" i="32"/>
  <c r="AJ36" i="32"/>
  <c r="T38" i="32"/>
  <c r="D40" i="32"/>
  <c r="AB41" i="32"/>
  <c r="L43" i="32"/>
  <c r="P16" i="32"/>
  <c r="AC25" i="32"/>
  <c r="AK28" i="32"/>
  <c r="E32" i="32"/>
  <c r="M35" i="32"/>
  <c r="Y37" i="32"/>
  <c r="I39" i="32"/>
  <c r="AG40" i="32"/>
  <c r="Q42" i="32"/>
  <c r="AO43" i="32"/>
  <c r="AO44" i="32"/>
  <c r="AO24" i="32"/>
  <c r="H15" i="32"/>
  <c r="M23" i="32"/>
  <c r="V25" i="32"/>
  <c r="F27" i="32"/>
  <c r="AD28" i="32"/>
  <c r="N30" i="32"/>
  <c r="AL31" i="32"/>
  <c r="V33" i="32"/>
  <c r="F35" i="32"/>
  <c r="AD36" i="32"/>
  <c r="V37" i="32"/>
  <c r="N38" i="32"/>
  <c r="F39" i="32"/>
  <c r="AL39" i="32"/>
  <c r="AD40" i="32"/>
  <c r="V41" i="32"/>
  <c r="N42" i="32"/>
  <c r="F43" i="32"/>
  <c r="AH43" i="32"/>
  <c r="J44" i="32"/>
  <c r="Z44" i="32"/>
  <c r="X13" i="32"/>
  <c r="U23" i="32"/>
  <c r="Y25" i="32"/>
  <c r="I27" i="32"/>
  <c r="Q29" i="32"/>
  <c r="Y32" i="32"/>
  <c r="AG35" i="32"/>
  <c r="AI37" i="32"/>
  <c r="S39" i="32"/>
  <c r="C41" i="32"/>
  <c r="AA42" i="32"/>
  <c r="K44" i="32"/>
  <c r="W41" i="32"/>
  <c r="AJ44" i="32"/>
  <c r="AO32" i="32"/>
  <c r="C38" i="32"/>
  <c r="K41" i="32"/>
  <c r="S44" i="32"/>
  <c r="Q32" i="32"/>
  <c r="AE37" i="32"/>
  <c r="AM40" i="32"/>
  <c r="G44" i="32"/>
  <c r="Y29" i="32"/>
  <c r="AG32" i="32"/>
  <c r="AO35" i="32"/>
  <c r="AM37" i="32"/>
  <c r="W39" i="32"/>
  <c r="AM41" i="32"/>
  <c r="AB44" i="32"/>
  <c r="AG33" i="32"/>
  <c r="S38" i="32"/>
  <c r="AE44" i="32"/>
  <c r="G38" i="32"/>
  <c r="W44" i="32"/>
  <c r="K39" i="32"/>
  <c r="Q28" i="32"/>
  <c r="AM38" i="32"/>
  <c r="AN44" i="32"/>
  <c r="AA41" i="32"/>
  <c r="I33" i="32"/>
  <c r="O41" i="32"/>
  <c r="S42" i="32"/>
  <c r="AG34" i="32"/>
  <c r="G42" i="32"/>
  <c r="DB125" i="26"/>
  <c r="DU125" i="26"/>
  <c r="DV125" i="26"/>
  <c r="M125" i="26"/>
  <c r="BI125" i="26"/>
  <c r="BE125" i="26"/>
  <c r="BA125" i="26"/>
  <c r="AW125" i="26"/>
  <c r="AS125" i="26"/>
  <c r="AO125" i="26"/>
  <c r="AK125" i="26"/>
  <c r="AG125" i="26"/>
  <c r="BL125" i="26"/>
  <c r="BH125" i="26"/>
  <c r="BD125" i="26"/>
  <c r="AZ125" i="26"/>
  <c r="AV125" i="26"/>
  <c r="AR125" i="26"/>
  <c r="AN125" i="26"/>
  <c r="AJ125" i="26"/>
  <c r="BJ125" i="26"/>
  <c r="BF125" i="26"/>
  <c r="BB125" i="26"/>
  <c r="AX125" i="26"/>
  <c r="AT125" i="26"/>
  <c r="AP125" i="26"/>
  <c r="AL125" i="26"/>
  <c r="AH125" i="26"/>
  <c r="E125" i="26"/>
  <c r="DN125" i="26"/>
  <c r="DJ125" i="26"/>
  <c r="CX125" i="26"/>
  <c r="CD125" i="26"/>
  <c r="DW125" i="26"/>
  <c r="CT125" i="26"/>
  <c r="CH125" i="26"/>
  <c r="BY125" i="26"/>
  <c r="Y125" i="26"/>
  <c r="U125" i="26"/>
  <c r="I125" i="26"/>
  <c r="DR125" i="26"/>
  <c r="DF125" i="26"/>
  <c r="CP125" i="26"/>
  <c r="CL125" i="26"/>
  <c r="BU125" i="26"/>
  <c r="BQ125" i="26"/>
  <c r="BM125" i="26"/>
  <c r="AC125" i="26"/>
  <c r="Q125" i="26"/>
  <c r="P125" i="26"/>
  <c r="B125" i="26"/>
  <c r="D125" i="26"/>
  <c r="BX125" i="26"/>
  <c r="BT125" i="26"/>
  <c r="BP125" i="26"/>
  <c r="AF125" i="26"/>
  <c r="AB125" i="26"/>
  <c r="X125" i="26"/>
  <c r="T125" i="26"/>
  <c r="L125" i="26"/>
  <c r="H125" i="26"/>
  <c r="DZ125" i="26"/>
  <c r="DQ125" i="26"/>
  <c r="DM125" i="26"/>
  <c r="DI125" i="26"/>
  <c r="DE125" i="26"/>
  <c r="DA125" i="26"/>
  <c r="CW125" i="26"/>
  <c r="CS125" i="26"/>
  <c r="CO125" i="26"/>
  <c r="CK125" i="26"/>
  <c r="CG125" i="26"/>
  <c r="CC125" i="26"/>
  <c r="CA125" i="26"/>
  <c r="BW125" i="26"/>
  <c r="BS125" i="26"/>
  <c r="BO125" i="26"/>
  <c r="BK125" i="26"/>
  <c r="BG125" i="26"/>
  <c r="BC125" i="26"/>
  <c r="AY125" i="26"/>
  <c r="AU125" i="26"/>
  <c r="AQ125" i="26"/>
  <c r="AM125" i="26"/>
  <c r="AI125" i="26"/>
  <c r="AE125" i="26"/>
  <c r="AA125" i="26"/>
  <c r="W125" i="26"/>
  <c r="S125" i="26"/>
  <c r="O125" i="26"/>
  <c r="K125" i="26"/>
  <c r="G125" i="26"/>
  <c r="DY125" i="26"/>
  <c r="DT125" i="26"/>
  <c r="DP125" i="26"/>
  <c r="DL125" i="26"/>
  <c r="DH125" i="26"/>
  <c r="DD125" i="26"/>
  <c r="CZ125" i="26"/>
  <c r="CV125" i="26"/>
  <c r="CR125" i="26"/>
  <c r="CN125" i="26"/>
  <c r="CJ125" i="26"/>
  <c r="CF125" i="26"/>
  <c r="CB125" i="26"/>
  <c r="C125" i="26"/>
  <c r="BZ125" i="26"/>
  <c r="BV125" i="26"/>
  <c r="BR125" i="26"/>
  <c r="BN125" i="26"/>
  <c r="AD125" i="26"/>
  <c r="Z125" i="26"/>
  <c r="V125" i="26"/>
  <c r="R125" i="26"/>
  <c r="N125" i="26"/>
  <c r="J125" i="26"/>
  <c r="F125" i="26"/>
  <c r="DX125" i="26"/>
  <c r="DS125" i="26"/>
  <c r="DO125" i="26"/>
  <c r="DK125" i="26"/>
  <c r="DG125" i="26"/>
  <c r="DC125" i="26"/>
  <c r="CY125" i="26"/>
  <c r="CU125" i="26"/>
  <c r="CQ125" i="26"/>
  <c r="CM125" i="26"/>
  <c r="CI125" i="26"/>
  <c r="CE125" i="26"/>
  <c r="E4" i="27"/>
  <c r="I4" i="27"/>
  <c r="M4" i="27"/>
  <c r="Q4" i="27"/>
  <c r="U4" i="27"/>
  <c r="Y4" i="27"/>
  <c r="AC4" i="27"/>
  <c r="AG4" i="27"/>
  <c r="AK4" i="27"/>
  <c r="AO4" i="27"/>
  <c r="AS4" i="27"/>
  <c r="AW4" i="27"/>
  <c r="BA4" i="27"/>
  <c r="BE4" i="27"/>
  <c r="BI4" i="27"/>
  <c r="BM4" i="27"/>
  <c r="BQ4" i="27"/>
  <c r="BU4" i="27"/>
  <c r="BY4" i="27"/>
  <c r="CC4" i="27"/>
  <c r="CG4" i="27"/>
  <c r="CK4" i="27"/>
  <c r="CO4" i="27"/>
  <c r="CS4" i="27"/>
  <c r="CW4" i="27"/>
  <c r="DA4" i="27"/>
  <c r="DE4" i="27"/>
  <c r="DI4" i="27"/>
  <c r="DM4" i="27"/>
  <c r="DQ4" i="27"/>
  <c r="DU4" i="27"/>
  <c r="DY4" i="27"/>
  <c r="E5" i="27"/>
  <c r="I5" i="27"/>
  <c r="M5" i="27"/>
  <c r="Q5" i="27"/>
  <c r="U5" i="27"/>
  <c r="Y5" i="27"/>
  <c r="AC5" i="27"/>
  <c r="AG5" i="27"/>
  <c r="AK5" i="27"/>
  <c r="AO5" i="27"/>
  <c r="AS5" i="27"/>
  <c r="AW5" i="27"/>
  <c r="BA5" i="27"/>
  <c r="BE5" i="27"/>
  <c r="BI5" i="27"/>
  <c r="BM5" i="27"/>
  <c r="BQ5" i="27"/>
  <c r="BU5" i="27"/>
  <c r="BY5" i="27"/>
  <c r="CC5" i="27"/>
  <c r="CG5" i="27"/>
  <c r="CK5" i="27"/>
  <c r="CO5" i="27"/>
  <c r="CS5" i="27"/>
  <c r="CW5" i="27"/>
  <c r="DA5" i="27"/>
  <c r="DE5" i="27"/>
  <c r="DI5" i="27"/>
  <c r="DM5" i="27"/>
  <c r="DQ5" i="27"/>
  <c r="DU5" i="27"/>
  <c r="DY5" i="27"/>
  <c r="E6" i="27"/>
  <c r="I6" i="27"/>
  <c r="M6" i="27"/>
  <c r="Q6" i="27"/>
  <c r="U6" i="27"/>
  <c r="Y6" i="27"/>
  <c r="AC6" i="27"/>
  <c r="AG6" i="27"/>
  <c r="AK6" i="27"/>
  <c r="AO6" i="27"/>
  <c r="AS6" i="27"/>
  <c r="AW6" i="27"/>
  <c r="BA6" i="27"/>
  <c r="BE6" i="27"/>
  <c r="BI6" i="27"/>
  <c r="BM6" i="27"/>
  <c r="BQ6" i="27"/>
  <c r="BU6" i="27"/>
  <c r="BY6" i="27"/>
  <c r="CC6" i="27"/>
  <c r="B4" i="27"/>
  <c r="F4" i="27"/>
  <c r="J4" i="27"/>
  <c r="N4" i="27"/>
  <c r="R4" i="27"/>
  <c r="V4" i="27"/>
  <c r="Z4" i="27"/>
  <c r="AD4" i="27"/>
  <c r="AH4" i="27"/>
  <c r="AL4" i="27"/>
  <c r="AP4" i="27"/>
  <c r="AT4" i="27"/>
  <c r="AX4" i="27"/>
  <c r="BB4" i="27"/>
  <c r="BF4" i="27"/>
  <c r="BJ4" i="27"/>
  <c r="BN4" i="27"/>
  <c r="BR4" i="27"/>
  <c r="BV4" i="27"/>
  <c r="BZ4" i="27"/>
  <c r="CD4" i="27"/>
  <c r="CH4" i="27"/>
  <c r="CL4" i="27"/>
  <c r="CP4" i="27"/>
  <c r="CT4" i="27"/>
  <c r="CX4" i="27"/>
  <c r="DB4" i="27"/>
  <c r="DF4" i="27"/>
  <c r="DJ4" i="27"/>
  <c r="DN4" i="27"/>
  <c r="DR4" i="27"/>
  <c r="DV4" i="27"/>
  <c r="B5" i="27"/>
  <c r="F5" i="27"/>
  <c r="J5" i="27"/>
  <c r="N5" i="27"/>
  <c r="R5" i="27"/>
  <c r="V5" i="27"/>
  <c r="Z5" i="27"/>
  <c r="AD5" i="27"/>
  <c r="AH5" i="27"/>
  <c r="AL5" i="27"/>
  <c r="C4" i="27"/>
  <c r="G4" i="27"/>
  <c r="K4" i="27"/>
  <c r="O4" i="27"/>
  <c r="S4" i="27"/>
  <c r="W4" i="27"/>
  <c r="AA4" i="27"/>
  <c r="AE4" i="27"/>
  <c r="AI4" i="27"/>
  <c r="AM4" i="27"/>
  <c r="AQ4" i="27"/>
  <c r="AU4" i="27"/>
  <c r="AY4" i="27"/>
  <c r="BC4" i="27"/>
  <c r="BG4" i="27"/>
  <c r="BK4" i="27"/>
  <c r="BO4" i="27"/>
  <c r="BS4" i="27"/>
  <c r="BW4" i="27"/>
  <c r="CA4" i="27"/>
  <c r="CE4" i="27"/>
  <c r="CI4" i="27"/>
  <c r="CM4" i="27"/>
  <c r="CQ4" i="27"/>
  <c r="CU4" i="27"/>
  <c r="CY4" i="27"/>
  <c r="DC4" i="27"/>
  <c r="DG4" i="27"/>
  <c r="DK4" i="27"/>
  <c r="DO4" i="27"/>
  <c r="DS4" i="27"/>
  <c r="DW4" i="27"/>
  <c r="C5" i="27"/>
  <c r="G5" i="27"/>
  <c r="K5" i="27"/>
  <c r="O5" i="27"/>
  <c r="S5" i="27"/>
  <c r="W5" i="27"/>
  <c r="AA5" i="27"/>
  <c r="AE5" i="27"/>
  <c r="AI5" i="27"/>
  <c r="AM5" i="27"/>
  <c r="AQ5" i="27"/>
  <c r="AU5" i="27"/>
  <c r="AY5" i="27"/>
  <c r="BC5" i="27"/>
  <c r="BG5" i="27"/>
  <c r="BK5" i="27"/>
  <c r="BO5" i="27"/>
  <c r="BS5" i="27"/>
  <c r="BW5" i="27"/>
  <c r="CA5" i="27"/>
  <c r="CE5" i="27"/>
  <c r="CI5" i="27"/>
  <c r="CM5" i="27"/>
  <c r="CQ5" i="27"/>
  <c r="CU5" i="27"/>
  <c r="CY5" i="27"/>
  <c r="DC5" i="27"/>
  <c r="DG5" i="27"/>
  <c r="DK5" i="27"/>
  <c r="DO5" i="27"/>
  <c r="DS5" i="27"/>
  <c r="DW5" i="27"/>
  <c r="C6" i="27"/>
  <c r="G6" i="27"/>
  <c r="K6" i="27"/>
  <c r="O6" i="27"/>
  <c r="S6" i="27"/>
  <c r="W6" i="27"/>
  <c r="AA6" i="27"/>
  <c r="AE6" i="27"/>
  <c r="AI6" i="27"/>
  <c r="AM6" i="27"/>
  <c r="AQ6" i="27"/>
  <c r="AU6" i="27"/>
  <c r="AY6" i="27"/>
  <c r="BC6" i="27"/>
  <c r="D4" i="27"/>
  <c r="H4" i="27"/>
  <c r="L4" i="27"/>
  <c r="P4" i="27"/>
  <c r="T4" i="27"/>
  <c r="X4" i="27"/>
  <c r="AB4" i="27"/>
  <c r="AF4" i="27"/>
  <c r="AJ4" i="27"/>
  <c r="AN4" i="27"/>
  <c r="AR4" i="27"/>
  <c r="AV4" i="27"/>
  <c r="AZ4" i="27"/>
  <c r="BD4" i="27"/>
  <c r="BH4" i="27"/>
  <c r="BL4" i="27"/>
  <c r="BP4" i="27"/>
  <c r="BT4" i="27"/>
  <c r="BX4" i="27"/>
  <c r="CB4" i="27"/>
  <c r="CF4" i="27"/>
  <c r="CJ4" i="27"/>
  <c r="CN4" i="27"/>
  <c r="CR4" i="27"/>
  <c r="CV4" i="27"/>
  <c r="CZ4" i="27"/>
  <c r="DD4" i="27"/>
  <c r="DH4" i="27"/>
  <c r="DL4" i="27"/>
  <c r="DP4" i="27"/>
  <c r="DT4" i="27"/>
  <c r="DX4" i="27"/>
  <c r="D5" i="27"/>
  <c r="H5" i="27"/>
  <c r="L5" i="27"/>
  <c r="P5" i="27"/>
  <c r="T5" i="27"/>
  <c r="X5" i="27"/>
  <c r="AB5" i="27"/>
  <c r="AF5" i="27"/>
  <c r="AJ5" i="27"/>
  <c r="AN5" i="27"/>
  <c r="AR5" i="27"/>
  <c r="AV5" i="27"/>
  <c r="AZ5" i="27"/>
  <c r="BD5" i="27"/>
  <c r="BH5" i="27"/>
  <c r="BL5" i="27"/>
  <c r="BP5" i="27"/>
  <c r="BT5" i="27"/>
  <c r="BX5" i="27"/>
  <c r="CB5" i="27"/>
  <c r="CF5" i="27"/>
  <c r="CJ5" i="27"/>
  <c r="CN5" i="27"/>
  <c r="CR5" i="27"/>
  <c r="CV5" i="27"/>
  <c r="CZ5" i="27"/>
  <c r="DD5" i="27"/>
  <c r="DH5" i="27"/>
  <c r="DL5" i="27"/>
  <c r="DP5" i="27"/>
  <c r="DT5" i="27"/>
  <c r="DX5" i="27"/>
  <c r="D6" i="27"/>
  <c r="H6" i="27"/>
  <c r="L6" i="27"/>
  <c r="P6" i="27"/>
  <c r="T6" i="27"/>
  <c r="X6" i="27"/>
  <c r="AB6" i="27"/>
  <c r="AF6" i="27"/>
  <c r="AJ6" i="27"/>
  <c r="AN6" i="27"/>
  <c r="AR6" i="27"/>
  <c r="AV6" i="27"/>
  <c r="AP5" i="27"/>
  <c r="BF5" i="27"/>
  <c r="BV5" i="27"/>
  <c r="CL5" i="27"/>
  <c r="DB5" i="27"/>
  <c r="DR5" i="27"/>
  <c r="J6" i="27"/>
  <c r="Z6" i="27"/>
  <c r="AP6" i="27"/>
  <c r="BB6" i="27"/>
  <c r="BH6" i="27"/>
  <c r="BN6" i="27"/>
  <c r="BS6" i="27"/>
  <c r="BX6" i="27"/>
  <c r="CD6" i="27"/>
  <c r="CH6" i="27"/>
  <c r="CL6" i="27"/>
  <c r="CP6" i="27"/>
  <c r="CT6" i="27"/>
  <c r="CX6" i="27"/>
  <c r="DB6" i="27"/>
  <c r="DF6" i="27"/>
  <c r="DJ6" i="27"/>
  <c r="DN6" i="27"/>
  <c r="DR6" i="27"/>
  <c r="DV6" i="27"/>
  <c r="B7" i="27"/>
  <c r="F7" i="27"/>
  <c r="J7" i="27"/>
  <c r="N7" i="27"/>
  <c r="R7" i="27"/>
  <c r="V7" i="27"/>
  <c r="Z7" i="27"/>
  <c r="AD7" i="27"/>
  <c r="AH7" i="27"/>
  <c r="AL7" i="27"/>
  <c r="AP7" i="27"/>
  <c r="AT7" i="27"/>
  <c r="AX7" i="27"/>
  <c r="BB7" i="27"/>
  <c r="BF7" i="27"/>
  <c r="BJ7" i="27"/>
  <c r="BN7" i="27"/>
  <c r="BR7" i="27"/>
  <c r="BV7" i="27"/>
  <c r="BZ7" i="27"/>
  <c r="CD7" i="27"/>
  <c r="CH7" i="27"/>
  <c r="CL7" i="27"/>
  <c r="CP7" i="27"/>
  <c r="CT7" i="27"/>
  <c r="CX7" i="27"/>
  <c r="DB7" i="27"/>
  <c r="DF7" i="27"/>
  <c r="DJ7" i="27"/>
  <c r="DN7" i="27"/>
  <c r="DR7" i="27"/>
  <c r="DV7" i="27"/>
  <c r="B8" i="27"/>
  <c r="F8" i="27"/>
  <c r="J8" i="27"/>
  <c r="N8" i="27"/>
  <c r="R8" i="27"/>
  <c r="V8" i="27"/>
  <c r="Z8" i="27"/>
  <c r="AD8" i="27"/>
  <c r="AH8" i="27"/>
  <c r="AL8" i="27"/>
  <c r="AT5" i="27"/>
  <c r="BJ5" i="27"/>
  <c r="BZ5" i="27"/>
  <c r="CP5" i="27"/>
  <c r="DF5" i="27"/>
  <c r="DV5" i="27"/>
  <c r="N6" i="27"/>
  <c r="AD6" i="27"/>
  <c r="AT6" i="27"/>
  <c r="BD6" i="27"/>
  <c r="BJ6" i="27"/>
  <c r="BO6" i="27"/>
  <c r="BT6" i="27"/>
  <c r="BZ6" i="27"/>
  <c r="CE6" i="27"/>
  <c r="CI6" i="27"/>
  <c r="CM6" i="27"/>
  <c r="CQ6" i="27"/>
  <c r="CU6" i="27"/>
  <c r="CY6" i="27"/>
  <c r="DC6" i="27"/>
  <c r="DG6" i="27"/>
  <c r="DK6" i="27"/>
  <c r="DO6" i="27"/>
  <c r="DS6" i="27"/>
  <c r="DW6" i="27"/>
  <c r="C7" i="27"/>
  <c r="G7" i="27"/>
  <c r="K7" i="27"/>
  <c r="O7" i="27"/>
  <c r="S7" i="27"/>
  <c r="W7" i="27"/>
  <c r="AA7" i="27"/>
  <c r="AE7" i="27"/>
  <c r="AI7" i="27"/>
  <c r="AM7" i="27"/>
  <c r="AQ7" i="27"/>
  <c r="AU7" i="27"/>
  <c r="AY7" i="27"/>
  <c r="BC7" i="27"/>
  <c r="BG7" i="27"/>
  <c r="BK7" i="27"/>
  <c r="BO7" i="27"/>
  <c r="BS7" i="27"/>
  <c r="BW7" i="27"/>
  <c r="CA7" i="27"/>
  <c r="CE7" i="27"/>
  <c r="CI7" i="27"/>
  <c r="CM7" i="27"/>
  <c r="CQ7" i="27"/>
  <c r="CU7" i="27"/>
  <c r="CY7" i="27"/>
  <c r="DC7" i="27"/>
  <c r="DG7" i="27"/>
  <c r="DK7" i="27"/>
  <c r="DO7" i="27"/>
  <c r="DS7" i="27"/>
  <c r="DW7" i="27"/>
  <c r="C8" i="27"/>
  <c r="G8" i="27"/>
  <c r="K8" i="27"/>
  <c r="O8" i="27"/>
  <c r="S8" i="27"/>
  <c r="W8" i="27"/>
  <c r="AA8" i="27"/>
  <c r="AE8" i="27"/>
  <c r="AI8" i="27"/>
  <c r="AM8" i="27"/>
  <c r="AQ8" i="27"/>
  <c r="AU8" i="27"/>
  <c r="AY8" i="27"/>
  <c r="BC8" i="27"/>
  <c r="BG8" i="27"/>
  <c r="BK8" i="27"/>
  <c r="BO8" i="27"/>
  <c r="BS8" i="27"/>
  <c r="BW8" i="27"/>
  <c r="CA8" i="27"/>
  <c r="CE8" i="27"/>
  <c r="CI8" i="27"/>
  <c r="CM8" i="27"/>
  <c r="CQ8" i="27"/>
  <c r="CU8" i="27"/>
  <c r="CY8" i="27"/>
  <c r="DC8" i="27"/>
  <c r="AX5" i="27"/>
  <c r="BB5" i="27"/>
  <c r="CH5" i="27"/>
  <c r="DN5" i="27"/>
  <c r="V6" i="27"/>
  <c r="AZ6" i="27"/>
  <c r="BL6" i="27"/>
  <c r="BW6" i="27"/>
  <c r="CG6" i="27"/>
  <c r="CO6" i="27"/>
  <c r="CW6" i="27"/>
  <c r="DE6" i="27"/>
  <c r="DM6" i="27"/>
  <c r="DU6" i="27"/>
  <c r="E7" i="27"/>
  <c r="M7" i="27"/>
  <c r="U7" i="27"/>
  <c r="AC7" i="27"/>
  <c r="AK7" i="27"/>
  <c r="AS7" i="27"/>
  <c r="BA7" i="27"/>
  <c r="BI7" i="27"/>
  <c r="BQ7" i="27"/>
  <c r="BY7" i="27"/>
  <c r="CG7" i="27"/>
  <c r="CO7" i="27"/>
  <c r="CW7" i="27"/>
  <c r="DE7" i="27"/>
  <c r="DM7" i="27"/>
  <c r="DU7" i="27"/>
  <c r="E8" i="27"/>
  <c r="M8" i="27"/>
  <c r="U8" i="27"/>
  <c r="AC8" i="27"/>
  <c r="AK8" i="27"/>
  <c r="AR8" i="27"/>
  <c r="AW8" i="27"/>
  <c r="BB8" i="27"/>
  <c r="BH8" i="27"/>
  <c r="BM8" i="27"/>
  <c r="BR8" i="27"/>
  <c r="BX8" i="27"/>
  <c r="CC8" i="27"/>
  <c r="CH8" i="27"/>
  <c r="CN8" i="27"/>
  <c r="CS8" i="27"/>
  <c r="CX8" i="27"/>
  <c r="DD8" i="27"/>
  <c r="DH8" i="27"/>
  <c r="DL8" i="27"/>
  <c r="DP8" i="27"/>
  <c r="DT8" i="27"/>
  <c r="DX8" i="27"/>
  <c r="D9" i="27"/>
  <c r="H9" i="27"/>
  <c r="L9" i="27"/>
  <c r="P9" i="27"/>
  <c r="T9" i="27"/>
  <c r="X9" i="27"/>
  <c r="AB9" i="27"/>
  <c r="AF9" i="27"/>
  <c r="AJ9" i="27"/>
  <c r="AN9" i="27"/>
  <c r="AR9" i="27"/>
  <c r="AV9" i="27"/>
  <c r="AZ9" i="27"/>
  <c r="BD9" i="27"/>
  <c r="BH9" i="27"/>
  <c r="BL9" i="27"/>
  <c r="BP9" i="27"/>
  <c r="BT9" i="27"/>
  <c r="BX9" i="27"/>
  <c r="CB9" i="27"/>
  <c r="CF9" i="27"/>
  <c r="CJ9" i="27"/>
  <c r="CN9" i="27"/>
  <c r="CR9" i="27"/>
  <c r="CV9" i="27"/>
  <c r="CZ9" i="27"/>
  <c r="DD9" i="27"/>
  <c r="DH9" i="27"/>
  <c r="DL9" i="27"/>
  <c r="DP9" i="27"/>
  <c r="DT9" i="27"/>
  <c r="DX9" i="27"/>
  <c r="D10" i="27"/>
  <c r="H10" i="27"/>
  <c r="L10" i="27"/>
  <c r="P10" i="27"/>
  <c r="T10" i="27"/>
  <c r="X10" i="27"/>
  <c r="BN5" i="27"/>
  <c r="CT5" i="27"/>
  <c r="B6" i="27"/>
  <c r="AH6" i="27"/>
  <c r="BF6" i="27"/>
  <c r="BP6" i="27"/>
  <c r="CA6" i="27"/>
  <c r="CJ6" i="27"/>
  <c r="CR6" i="27"/>
  <c r="CZ6" i="27"/>
  <c r="DH6" i="27"/>
  <c r="DP6" i="27"/>
  <c r="DX6" i="27"/>
  <c r="H7" i="27"/>
  <c r="P7" i="27"/>
  <c r="X7" i="27"/>
  <c r="AF7" i="27"/>
  <c r="AN7" i="27"/>
  <c r="AV7" i="27"/>
  <c r="BD7" i="27"/>
  <c r="BL7" i="27"/>
  <c r="BT7" i="27"/>
  <c r="CB7" i="27"/>
  <c r="CJ7" i="27"/>
  <c r="CR7" i="27"/>
  <c r="CZ7" i="27"/>
  <c r="DH7" i="27"/>
  <c r="DP7" i="27"/>
  <c r="DX7" i="27"/>
  <c r="H8" i="27"/>
  <c r="P8" i="27"/>
  <c r="X8" i="27"/>
  <c r="AF8" i="27"/>
  <c r="AN8" i="27"/>
  <c r="AS8" i="27"/>
  <c r="AX8" i="27"/>
  <c r="BD8" i="27"/>
  <c r="BI8" i="27"/>
  <c r="BN8" i="27"/>
  <c r="BT8" i="27"/>
  <c r="BY8" i="27"/>
  <c r="CD8" i="27"/>
  <c r="CJ8" i="27"/>
  <c r="CO8" i="27"/>
  <c r="CT8" i="27"/>
  <c r="CZ8" i="27"/>
  <c r="DE8" i="27"/>
  <c r="DI8" i="27"/>
  <c r="DM8" i="27"/>
  <c r="DQ8" i="27"/>
  <c r="DU8" i="27"/>
  <c r="DY8" i="27"/>
  <c r="E9" i="27"/>
  <c r="I9" i="27"/>
  <c r="M9" i="27"/>
  <c r="Q9" i="27"/>
  <c r="U9" i="27"/>
  <c r="Y9" i="27"/>
  <c r="AC9" i="27"/>
  <c r="AG9" i="27"/>
  <c r="AK9" i="27"/>
  <c r="AO9" i="27"/>
  <c r="AS9" i="27"/>
  <c r="AW9" i="27"/>
  <c r="BA9" i="27"/>
  <c r="BE9" i="27"/>
  <c r="BI9" i="27"/>
  <c r="BM9" i="27"/>
  <c r="BQ9" i="27"/>
  <c r="BU9" i="27"/>
  <c r="BY9" i="27"/>
  <c r="CC9" i="27"/>
  <c r="CG9" i="27"/>
  <c r="CK9" i="27"/>
  <c r="CO9" i="27"/>
  <c r="CS9" i="27"/>
  <c r="CW9" i="27"/>
  <c r="DA9" i="27"/>
  <c r="DE9" i="27"/>
  <c r="DI9" i="27"/>
  <c r="DM9" i="27"/>
  <c r="DQ9" i="27"/>
  <c r="DU9" i="27"/>
  <c r="DY9" i="27"/>
  <c r="E10" i="27"/>
  <c r="I10" i="27"/>
  <c r="M10" i="27"/>
  <c r="Q10" i="27"/>
  <c r="U10" i="27"/>
  <c r="Y10" i="27"/>
  <c r="AC10" i="27"/>
  <c r="AG10" i="27"/>
  <c r="AK10" i="27"/>
  <c r="AO10" i="27"/>
  <c r="AS10" i="27"/>
  <c r="AW10" i="27"/>
  <c r="BA10" i="27"/>
  <c r="BE10" i="27"/>
  <c r="BI10" i="27"/>
  <c r="BM10" i="27"/>
  <c r="BQ10" i="27"/>
  <c r="BU10" i="27"/>
  <c r="BY10" i="27"/>
  <c r="CC10" i="27"/>
  <c r="CG10" i="27"/>
  <c r="CK10" i="27"/>
  <c r="CO10" i="27"/>
  <c r="CS10" i="27"/>
  <c r="CW10" i="27"/>
  <c r="DA10" i="27"/>
  <c r="DE10" i="27"/>
  <c r="DI10" i="27"/>
  <c r="DM10" i="27"/>
  <c r="DQ10" i="27"/>
  <c r="DU10" i="27"/>
  <c r="DY10" i="27"/>
  <c r="E11" i="27"/>
  <c r="I11" i="27"/>
  <c r="M11" i="27"/>
  <c r="Q11" i="27"/>
  <c r="U11" i="27"/>
  <c r="Y11" i="27"/>
  <c r="AC11" i="27"/>
  <c r="AG11" i="27"/>
  <c r="AK11" i="27"/>
  <c r="AO11" i="27"/>
  <c r="AS11" i="27"/>
  <c r="AW11" i="27"/>
  <c r="BA11" i="27"/>
  <c r="BE11" i="27"/>
  <c r="BI11" i="27"/>
  <c r="BM11" i="27"/>
  <c r="BQ11" i="27"/>
  <c r="BU11" i="27"/>
  <c r="BY11" i="27"/>
  <c r="CC11" i="27"/>
  <c r="CG11" i="27"/>
  <c r="CK11" i="27"/>
  <c r="CO11" i="27"/>
  <c r="CS11" i="27"/>
  <c r="CW11" i="27"/>
  <c r="DA11" i="27"/>
  <c r="DE11" i="27"/>
  <c r="DI11" i="27"/>
  <c r="DM11" i="27"/>
  <c r="DQ11" i="27"/>
  <c r="DU11" i="27"/>
  <c r="DY11" i="27"/>
  <c r="E12" i="27"/>
  <c r="I12" i="27"/>
  <c r="M12" i="27"/>
  <c r="Q12" i="27"/>
  <c r="U12" i="27"/>
  <c r="Y12" i="27"/>
  <c r="AC12" i="27"/>
  <c r="AG12" i="27"/>
  <c r="AK12" i="27"/>
  <c r="AO12" i="27"/>
  <c r="AS12" i="27"/>
  <c r="BR5" i="27"/>
  <c r="CX5" i="27"/>
  <c r="F6" i="27"/>
  <c r="AL6" i="27"/>
  <c r="BG6" i="27"/>
  <c r="BR6" i="27"/>
  <c r="CB6" i="27"/>
  <c r="CK6" i="27"/>
  <c r="CS6" i="27"/>
  <c r="DA6" i="27"/>
  <c r="DI6" i="27"/>
  <c r="DQ6" i="27"/>
  <c r="DY6" i="27"/>
  <c r="I7" i="27"/>
  <c r="Q7" i="27"/>
  <c r="Y7" i="27"/>
  <c r="AG7" i="27"/>
  <c r="AO7" i="27"/>
  <c r="AW7" i="27"/>
  <c r="BE7" i="27"/>
  <c r="BM7" i="27"/>
  <c r="BU7" i="27"/>
  <c r="CC7" i="27"/>
  <c r="CK7" i="27"/>
  <c r="CS7" i="27"/>
  <c r="DA7" i="27"/>
  <c r="DI7" i="27"/>
  <c r="DQ7" i="27"/>
  <c r="DY7" i="27"/>
  <c r="I8" i="27"/>
  <c r="Q8" i="27"/>
  <c r="Y8" i="27"/>
  <c r="AG8" i="27"/>
  <c r="AO8" i="27"/>
  <c r="AT8" i="27"/>
  <c r="AZ8" i="27"/>
  <c r="BE8" i="27"/>
  <c r="BJ8" i="27"/>
  <c r="BP8" i="27"/>
  <c r="BU8" i="27"/>
  <c r="BZ8" i="27"/>
  <c r="CF8" i="27"/>
  <c r="CK8" i="27"/>
  <c r="CP8" i="27"/>
  <c r="CV8" i="27"/>
  <c r="DA8" i="27"/>
  <c r="DF8" i="27"/>
  <c r="DJ8" i="27"/>
  <c r="DN8" i="27"/>
  <c r="DR8" i="27"/>
  <c r="DV8" i="27"/>
  <c r="B9" i="27"/>
  <c r="F9" i="27"/>
  <c r="J9" i="27"/>
  <c r="N9" i="27"/>
  <c r="R9" i="27"/>
  <c r="V9" i="27"/>
  <c r="Z9" i="27"/>
  <c r="AD9" i="27"/>
  <c r="AH9" i="27"/>
  <c r="AL9" i="27"/>
  <c r="AP9" i="27"/>
  <c r="AT9" i="27"/>
  <c r="AX9" i="27"/>
  <c r="BB9" i="27"/>
  <c r="BF9" i="27"/>
  <c r="BJ9" i="27"/>
  <c r="BN9" i="27"/>
  <c r="BR9" i="27"/>
  <c r="BV9" i="27"/>
  <c r="BZ9" i="27"/>
  <c r="CD9" i="27"/>
  <c r="CH9" i="27"/>
  <c r="CL9" i="27"/>
  <c r="CP9" i="27"/>
  <c r="CT9" i="27"/>
  <c r="CX9" i="27"/>
  <c r="DB9" i="27"/>
  <c r="DF9" i="27"/>
  <c r="DJ9" i="27"/>
  <c r="DN9" i="27"/>
  <c r="DR9" i="27"/>
  <c r="DV9" i="27"/>
  <c r="B10" i="27"/>
  <c r="F10" i="27"/>
  <c r="CD5" i="27"/>
  <c r="BK6" i="27"/>
  <c r="CV6" i="27"/>
  <c r="D7" i="27"/>
  <c r="AJ7" i="27"/>
  <c r="BP7" i="27"/>
  <c r="CV7" i="27"/>
  <c r="D8" i="27"/>
  <c r="AJ8" i="27"/>
  <c r="BF8" i="27"/>
  <c r="CB8" i="27"/>
  <c r="CW8" i="27"/>
  <c r="DO8" i="27"/>
  <c r="G9" i="27"/>
  <c r="W9" i="27"/>
  <c r="AM9" i="27"/>
  <c r="BC9" i="27"/>
  <c r="BS9" i="27"/>
  <c r="CI9" i="27"/>
  <c r="CY9" i="27"/>
  <c r="DO9" i="27"/>
  <c r="G10" i="27"/>
  <c r="O10" i="27"/>
  <c r="W10" i="27"/>
  <c r="AD10" i="27"/>
  <c r="AI10" i="27"/>
  <c r="AN10" i="27"/>
  <c r="AT10" i="27"/>
  <c r="AY10" i="27"/>
  <c r="BD10" i="27"/>
  <c r="BJ10" i="27"/>
  <c r="BO10" i="27"/>
  <c r="BT10" i="27"/>
  <c r="BZ10" i="27"/>
  <c r="CE10" i="27"/>
  <c r="CJ10" i="27"/>
  <c r="CP10" i="27"/>
  <c r="CU10" i="27"/>
  <c r="CZ10" i="27"/>
  <c r="DF10" i="27"/>
  <c r="DK10" i="27"/>
  <c r="DP10" i="27"/>
  <c r="DV10" i="27"/>
  <c r="C11" i="27"/>
  <c r="H11" i="27"/>
  <c r="N11" i="27"/>
  <c r="S11" i="27"/>
  <c r="X11" i="27"/>
  <c r="AD11" i="27"/>
  <c r="AI11" i="27"/>
  <c r="AN11" i="27"/>
  <c r="AT11" i="27"/>
  <c r="AY11" i="27"/>
  <c r="BD11" i="27"/>
  <c r="BJ11" i="27"/>
  <c r="BO11" i="27"/>
  <c r="BT11" i="27"/>
  <c r="BZ11" i="27"/>
  <c r="CE11" i="27"/>
  <c r="CJ11" i="27"/>
  <c r="CP11" i="27"/>
  <c r="CU11" i="27"/>
  <c r="CZ11" i="27"/>
  <c r="DF11" i="27"/>
  <c r="DK11" i="27"/>
  <c r="DP11" i="27"/>
  <c r="DV11" i="27"/>
  <c r="C12" i="27"/>
  <c r="H12" i="27"/>
  <c r="N12" i="27"/>
  <c r="S12" i="27"/>
  <c r="X12" i="27"/>
  <c r="AD12" i="27"/>
  <c r="AI12" i="27"/>
  <c r="AN12" i="27"/>
  <c r="AT12" i="27"/>
  <c r="AX12" i="27"/>
  <c r="BB12" i="27"/>
  <c r="BF12" i="27"/>
  <c r="BJ12" i="27"/>
  <c r="BN12" i="27"/>
  <c r="BR12" i="27"/>
  <c r="BV12" i="27"/>
  <c r="BZ12" i="27"/>
  <c r="CD12" i="27"/>
  <c r="CH12" i="27"/>
  <c r="CL12" i="27"/>
  <c r="CP12" i="27"/>
  <c r="CT12" i="27"/>
  <c r="CX12" i="27"/>
  <c r="DB12" i="27"/>
  <c r="DF12" i="27"/>
  <c r="DJ12" i="27"/>
  <c r="DN12" i="27"/>
  <c r="DR12" i="27"/>
  <c r="DV12" i="27"/>
  <c r="B13" i="27"/>
  <c r="F13" i="27"/>
  <c r="J13" i="27"/>
  <c r="N13" i="27"/>
  <c r="R13" i="27"/>
  <c r="V13" i="27"/>
  <c r="Z13" i="27"/>
  <c r="AD13" i="27"/>
  <c r="AH13" i="27"/>
  <c r="AL13" i="27"/>
  <c r="AP13" i="27"/>
  <c r="AT13" i="27"/>
  <c r="AX13" i="27"/>
  <c r="BB13" i="27"/>
  <c r="BF13" i="27"/>
  <c r="BJ13" i="27"/>
  <c r="BN13" i="27"/>
  <c r="BR13" i="27"/>
  <c r="BV13" i="27"/>
  <c r="BZ13" i="27"/>
  <c r="CD13" i="27"/>
  <c r="CH13" i="27"/>
  <c r="CL13" i="27"/>
  <c r="CP13" i="27"/>
  <c r="CT13" i="27"/>
  <c r="CX13" i="27"/>
  <c r="DB13" i="27"/>
  <c r="DF13" i="27"/>
  <c r="DJ13" i="27"/>
  <c r="DN13" i="27"/>
  <c r="DR13" i="27"/>
  <c r="DV13" i="27"/>
  <c r="B14" i="27"/>
  <c r="F14" i="27"/>
  <c r="J14" i="27"/>
  <c r="N14" i="27"/>
  <c r="R14" i="27"/>
  <c r="V14" i="27"/>
  <c r="Z14" i="27"/>
  <c r="AD14" i="27"/>
  <c r="AH14" i="27"/>
  <c r="AL14" i="27"/>
  <c r="AP14" i="27"/>
  <c r="AT14" i="27"/>
  <c r="AX14" i="27"/>
  <c r="BB14" i="27"/>
  <c r="BF14" i="27"/>
  <c r="BJ14" i="27"/>
  <c r="BN14" i="27"/>
  <c r="BR14" i="27"/>
  <c r="BV14" i="27"/>
  <c r="BZ14" i="27"/>
  <c r="CD14" i="27"/>
  <c r="CH14" i="27"/>
  <c r="CL14" i="27"/>
  <c r="CP14" i="27"/>
  <c r="DJ5" i="27"/>
  <c r="BV6" i="27"/>
  <c r="DD6" i="27"/>
  <c r="L7" i="27"/>
  <c r="AR7" i="27"/>
  <c r="BX7" i="27"/>
  <c r="DD7" i="27"/>
  <c r="L8" i="27"/>
  <c r="AP8" i="27"/>
  <c r="BL8" i="27"/>
  <c r="CG8" i="27"/>
  <c r="DB8" i="27"/>
  <c r="DS8" i="27"/>
  <c r="K9" i="27"/>
  <c r="AA9" i="27"/>
  <c r="AQ9" i="27"/>
  <c r="BG9" i="27"/>
  <c r="BW9" i="27"/>
  <c r="CM9" i="27"/>
  <c r="DC9" i="27"/>
  <c r="DS9" i="27"/>
  <c r="J10" i="27"/>
  <c r="R10" i="27"/>
  <c r="Z10" i="27"/>
  <c r="AE10" i="27"/>
  <c r="AJ10" i="27"/>
  <c r="AP10" i="27"/>
  <c r="AU10" i="27"/>
  <c r="AZ10" i="27"/>
  <c r="BF10" i="27"/>
  <c r="BK10" i="27"/>
  <c r="BP10" i="27"/>
  <c r="BV10" i="27"/>
  <c r="CA10" i="27"/>
  <c r="CF10" i="27"/>
  <c r="CL10" i="27"/>
  <c r="CQ10" i="27"/>
  <c r="CV10" i="27"/>
  <c r="DB10" i="27"/>
  <c r="DG10" i="27"/>
  <c r="DL10" i="27"/>
  <c r="DR10" i="27"/>
  <c r="DW10" i="27"/>
  <c r="D11" i="27"/>
  <c r="J11" i="27"/>
  <c r="O11" i="27"/>
  <c r="T11" i="27"/>
  <c r="Z11" i="27"/>
  <c r="AE11" i="27"/>
  <c r="AJ11" i="27"/>
  <c r="AP11" i="27"/>
  <c r="AU11" i="27"/>
  <c r="AZ11" i="27"/>
  <c r="BF11" i="27"/>
  <c r="BK11" i="27"/>
  <c r="BP11" i="27"/>
  <c r="BV11" i="27"/>
  <c r="CA11" i="27"/>
  <c r="CF11" i="27"/>
  <c r="CL11" i="27"/>
  <c r="CQ11" i="27"/>
  <c r="CV11" i="27"/>
  <c r="DB11" i="27"/>
  <c r="DG11" i="27"/>
  <c r="DL11" i="27"/>
  <c r="DR11" i="27"/>
  <c r="DW11" i="27"/>
  <c r="D12" i="27"/>
  <c r="J12" i="27"/>
  <c r="O12" i="27"/>
  <c r="T12" i="27"/>
  <c r="Z12" i="27"/>
  <c r="AE12" i="27"/>
  <c r="AJ12" i="27"/>
  <c r="AP12" i="27"/>
  <c r="AU12" i="27"/>
  <c r="AY12" i="27"/>
  <c r="BC12" i="27"/>
  <c r="BG12" i="27"/>
  <c r="BK12" i="27"/>
  <c r="BO12" i="27"/>
  <c r="BS12" i="27"/>
  <c r="BW12" i="27"/>
  <c r="CA12" i="27"/>
  <c r="CE12" i="27"/>
  <c r="CI12" i="27"/>
  <c r="CM12" i="27"/>
  <c r="CQ12" i="27"/>
  <c r="CU12" i="27"/>
  <c r="CY12" i="27"/>
  <c r="DC12" i="27"/>
  <c r="DG12" i="27"/>
  <c r="DK12" i="27"/>
  <c r="DO12" i="27"/>
  <c r="DS12" i="27"/>
  <c r="DW12" i="27"/>
  <c r="C13" i="27"/>
  <c r="G13" i="27"/>
  <c r="K13" i="27"/>
  <c r="O13" i="27"/>
  <c r="S13" i="27"/>
  <c r="W13" i="27"/>
  <c r="AA13" i="27"/>
  <c r="AE13" i="27"/>
  <c r="AI13" i="27"/>
  <c r="AM13" i="27"/>
  <c r="AQ13" i="27"/>
  <c r="AU13" i="27"/>
  <c r="AY13" i="27"/>
  <c r="BC13" i="27"/>
  <c r="BG13" i="27"/>
  <c r="BK13" i="27"/>
  <c r="BO13" i="27"/>
  <c r="BS13" i="27"/>
  <c r="BW13" i="27"/>
  <c r="CA13" i="27"/>
  <c r="CE13" i="27"/>
  <c r="CI13" i="27"/>
  <c r="CM13" i="27"/>
  <c r="CQ13" i="27"/>
  <c r="CU13" i="27"/>
  <c r="CY13" i="27"/>
  <c r="DC13" i="27"/>
  <c r="DG13" i="27"/>
  <c r="DK13" i="27"/>
  <c r="DO13" i="27"/>
  <c r="DS13" i="27"/>
  <c r="DW13" i="27"/>
  <c r="C14" i="27"/>
  <c r="G14" i="27"/>
  <c r="K14" i="27"/>
  <c r="O14" i="27"/>
  <c r="S14" i="27"/>
  <c r="W14" i="27"/>
  <c r="AA14" i="27"/>
  <c r="AE14" i="27"/>
  <c r="AI14" i="27"/>
  <c r="AM14" i="27"/>
  <c r="AQ14" i="27"/>
  <c r="AU14" i="27"/>
  <c r="AY14" i="27"/>
  <c r="BC14" i="27"/>
  <c r="BG14" i="27"/>
  <c r="BK14" i="27"/>
  <c r="BO14" i="27"/>
  <c r="BS14" i="27"/>
  <c r="BW14" i="27"/>
  <c r="CA14" i="27"/>
  <c r="CE14" i="27"/>
  <c r="CI14" i="27"/>
  <c r="CM14" i="27"/>
  <c r="CQ14" i="27"/>
  <c r="CU14" i="27"/>
  <c r="CY14" i="27"/>
  <c r="DC14" i="27"/>
  <c r="DG14" i="27"/>
  <c r="DK14" i="27"/>
  <c r="DO14" i="27"/>
  <c r="DS14" i="27"/>
  <c r="DW14" i="27"/>
  <c r="C15" i="27"/>
  <c r="G15" i="27"/>
  <c r="K15" i="27"/>
  <c r="O15" i="27"/>
  <c r="S15" i="27"/>
  <c r="W15" i="27"/>
  <c r="AA15" i="27"/>
  <c r="AE15" i="27"/>
  <c r="AI15" i="27"/>
  <c r="AM15" i="27"/>
  <c r="R6" i="27"/>
  <c r="CF6" i="27"/>
  <c r="DL6" i="27"/>
  <c r="T7" i="27"/>
  <c r="AZ7" i="27"/>
  <c r="CF7" i="27"/>
  <c r="DL7" i="27"/>
  <c r="T8" i="27"/>
  <c r="AV8" i="27"/>
  <c r="BQ8" i="27"/>
  <c r="CL8" i="27"/>
  <c r="DG8" i="27"/>
  <c r="DW8" i="27"/>
  <c r="O9" i="27"/>
  <c r="AE9" i="27"/>
  <c r="AU9" i="27"/>
  <c r="BK9" i="27"/>
  <c r="CA9" i="27"/>
  <c r="CQ9" i="27"/>
  <c r="DG9" i="27"/>
  <c r="DW9" i="27"/>
  <c r="K10" i="27"/>
  <c r="S10" i="27"/>
  <c r="AA10" i="27"/>
  <c r="AF10" i="27"/>
  <c r="AL10" i="27"/>
  <c r="AQ10" i="27"/>
  <c r="AV10" i="27"/>
  <c r="BB10" i="27"/>
  <c r="BG10" i="27"/>
  <c r="BL10" i="27"/>
  <c r="BR10" i="27"/>
  <c r="BW10" i="27"/>
  <c r="CB10" i="27"/>
  <c r="CH10" i="27"/>
  <c r="CM10" i="27"/>
  <c r="CR10" i="27"/>
  <c r="CX10" i="27"/>
  <c r="DC10" i="27"/>
  <c r="DH10" i="27"/>
  <c r="DN10" i="27"/>
  <c r="DS10" i="27"/>
  <c r="DX10" i="27"/>
  <c r="F11" i="27"/>
  <c r="K11" i="27"/>
  <c r="P11" i="27"/>
  <c r="V11" i="27"/>
  <c r="AA11" i="27"/>
  <c r="AF11" i="27"/>
  <c r="AL11" i="27"/>
  <c r="AQ11" i="27"/>
  <c r="AV11" i="27"/>
  <c r="BB11" i="27"/>
  <c r="BG11" i="27"/>
  <c r="BL11" i="27"/>
  <c r="BR11" i="27"/>
  <c r="BW11" i="27"/>
  <c r="CB11" i="27"/>
  <c r="CH11" i="27"/>
  <c r="CM11" i="27"/>
  <c r="CR11" i="27"/>
  <c r="CX11" i="27"/>
  <c r="DC11" i="27"/>
  <c r="DH11" i="27"/>
  <c r="DN11" i="27"/>
  <c r="DS11" i="27"/>
  <c r="DX11" i="27"/>
  <c r="F12" i="27"/>
  <c r="K12" i="27"/>
  <c r="P12" i="27"/>
  <c r="V12" i="27"/>
  <c r="AA12" i="27"/>
  <c r="AF12" i="27"/>
  <c r="AL12" i="27"/>
  <c r="AQ12" i="27"/>
  <c r="AV12" i="27"/>
  <c r="AZ12" i="27"/>
  <c r="BD12" i="27"/>
  <c r="BH12" i="27"/>
  <c r="BL12" i="27"/>
  <c r="BP12" i="27"/>
  <c r="BT12" i="27"/>
  <c r="BX12" i="27"/>
  <c r="CB12" i="27"/>
  <c r="CF12" i="27"/>
  <c r="CJ12" i="27"/>
  <c r="CN12" i="27"/>
  <c r="CR12" i="27"/>
  <c r="CV12" i="27"/>
  <c r="CZ12" i="27"/>
  <c r="AX6" i="27"/>
  <c r="BH7" i="27"/>
  <c r="BA8" i="27"/>
  <c r="C9" i="27"/>
  <c r="BO9" i="27"/>
  <c r="C10" i="27"/>
  <c r="AH10" i="27"/>
  <c r="BC10" i="27"/>
  <c r="BX10" i="27"/>
  <c r="CT10" i="27"/>
  <c r="DO10" i="27"/>
  <c r="L11" i="27"/>
  <c r="AH11" i="27"/>
  <c r="BC11" i="27"/>
  <c r="BX11" i="27"/>
  <c r="CT11" i="27"/>
  <c r="DO11" i="27"/>
  <c r="L12" i="27"/>
  <c r="AH12" i="27"/>
  <c r="BA12" i="27"/>
  <c r="BQ12" i="27"/>
  <c r="CG12" i="27"/>
  <c r="CW12" i="27"/>
  <c r="DH12" i="27"/>
  <c r="DP12" i="27"/>
  <c r="DX12" i="27"/>
  <c r="H13" i="27"/>
  <c r="P13" i="27"/>
  <c r="X13" i="27"/>
  <c r="AF13" i="27"/>
  <c r="AN13" i="27"/>
  <c r="AV13" i="27"/>
  <c r="BD13" i="27"/>
  <c r="BL13" i="27"/>
  <c r="BT13" i="27"/>
  <c r="CB13" i="27"/>
  <c r="CJ13" i="27"/>
  <c r="CR13" i="27"/>
  <c r="CZ13" i="27"/>
  <c r="DH13" i="27"/>
  <c r="DP13" i="27"/>
  <c r="DX13" i="27"/>
  <c r="H14" i="27"/>
  <c r="P14" i="27"/>
  <c r="X14" i="27"/>
  <c r="AF14" i="27"/>
  <c r="AN14" i="27"/>
  <c r="AV14" i="27"/>
  <c r="BD14" i="27"/>
  <c r="BL14" i="27"/>
  <c r="BT14" i="27"/>
  <c r="CB14" i="27"/>
  <c r="CJ14" i="27"/>
  <c r="CR14" i="27"/>
  <c r="CW14" i="27"/>
  <c r="DB14" i="27"/>
  <c r="DH14" i="27"/>
  <c r="DM14" i="27"/>
  <c r="DR14" i="27"/>
  <c r="DX14" i="27"/>
  <c r="E15" i="27"/>
  <c r="J15" i="27"/>
  <c r="P15" i="27"/>
  <c r="U15" i="27"/>
  <c r="Z15" i="27"/>
  <c r="AF15" i="27"/>
  <c r="AK15" i="27"/>
  <c r="AP15" i="27"/>
  <c r="AT15" i="27"/>
  <c r="AX15" i="27"/>
  <c r="BB15" i="27"/>
  <c r="BF15" i="27"/>
  <c r="BJ15" i="27"/>
  <c r="BN15" i="27"/>
  <c r="BR15" i="27"/>
  <c r="BV15" i="27"/>
  <c r="BZ15" i="27"/>
  <c r="CD15" i="27"/>
  <c r="CH15" i="27"/>
  <c r="CL15" i="27"/>
  <c r="CP15" i="27"/>
  <c r="CT15" i="27"/>
  <c r="CX15" i="27"/>
  <c r="DB15" i="27"/>
  <c r="DF15" i="27"/>
  <c r="DJ15" i="27"/>
  <c r="DN15" i="27"/>
  <c r="DR15" i="27"/>
  <c r="DV15" i="27"/>
  <c r="B16" i="27"/>
  <c r="F16" i="27"/>
  <c r="J16" i="27"/>
  <c r="N16" i="27"/>
  <c r="R16" i="27"/>
  <c r="V16" i="27"/>
  <c r="Z16" i="27"/>
  <c r="AD16" i="27"/>
  <c r="AH16" i="27"/>
  <c r="AL16" i="27"/>
  <c r="AP16" i="27"/>
  <c r="AT16" i="27"/>
  <c r="AX16" i="27"/>
  <c r="BB16" i="27"/>
  <c r="BF16" i="27"/>
  <c r="BJ16" i="27"/>
  <c r="BN16" i="27"/>
  <c r="BR16" i="27"/>
  <c r="BV16" i="27"/>
  <c r="BZ16" i="27"/>
  <c r="CD16" i="27"/>
  <c r="CH16" i="27"/>
  <c r="CL16" i="27"/>
  <c r="CP16" i="27"/>
  <c r="CT16" i="27"/>
  <c r="CX16" i="27"/>
  <c r="DB16" i="27"/>
  <c r="DF16" i="27"/>
  <c r="DJ16" i="27"/>
  <c r="DN16" i="27"/>
  <c r="DR16" i="27"/>
  <c r="DV16" i="27"/>
  <c r="B17" i="27"/>
  <c r="F17" i="27"/>
  <c r="J17" i="27"/>
  <c r="N17" i="27"/>
  <c r="R17" i="27"/>
  <c r="V17" i="27"/>
  <c r="Z17" i="27"/>
  <c r="AD17" i="27"/>
  <c r="AH17" i="27"/>
  <c r="AL17" i="27"/>
  <c r="AP17" i="27"/>
  <c r="AT17" i="27"/>
  <c r="AX17" i="27"/>
  <c r="BB17" i="27"/>
  <c r="BF17" i="27"/>
  <c r="BJ17" i="27"/>
  <c r="BN17" i="27"/>
  <c r="BR17" i="27"/>
  <c r="BV17" i="27"/>
  <c r="BZ17" i="27"/>
  <c r="CD17" i="27"/>
  <c r="CH17" i="27"/>
  <c r="CL17" i="27"/>
  <c r="CP17" i="27"/>
  <c r="CT17" i="27"/>
  <c r="CX17" i="27"/>
  <c r="DB17" i="27"/>
  <c r="DF17" i="27"/>
  <c r="DJ17" i="27"/>
  <c r="DN17" i="27"/>
  <c r="DR17" i="27"/>
  <c r="DV17" i="27"/>
  <c r="B18" i="27"/>
  <c r="F18" i="27"/>
  <c r="J18" i="27"/>
  <c r="N18" i="27"/>
  <c r="R18" i="27"/>
  <c r="V18" i="27"/>
  <c r="Z18" i="27"/>
  <c r="AD18" i="27"/>
  <c r="AH18" i="27"/>
  <c r="AL18" i="27"/>
  <c r="AP18" i="27"/>
  <c r="AT18" i="27"/>
  <c r="AX18" i="27"/>
  <c r="BB18" i="27"/>
  <c r="BF18" i="27"/>
  <c r="BJ18" i="27"/>
  <c r="BN18" i="27"/>
  <c r="CN6" i="27"/>
  <c r="CN7" i="27"/>
  <c r="BV8" i="27"/>
  <c r="S9" i="27"/>
  <c r="CE9" i="27"/>
  <c r="N10" i="27"/>
  <c r="AM10" i="27"/>
  <c r="BH10" i="27"/>
  <c r="CD10" i="27"/>
  <c r="CY10" i="27"/>
  <c r="DT10" i="27"/>
  <c r="R11" i="27"/>
  <c r="AM11" i="27"/>
  <c r="BH11" i="27"/>
  <c r="CD11" i="27"/>
  <c r="CY11" i="27"/>
  <c r="DT11" i="27"/>
  <c r="R12" i="27"/>
  <c r="AM12" i="27"/>
  <c r="BE12" i="27"/>
  <c r="BU12" i="27"/>
  <c r="CK12" i="27"/>
  <c r="DA12" i="27"/>
  <c r="DI12" i="27"/>
  <c r="DQ12" i="27"/>
  <c r="DY12" i="27"/>
  <c r="I13" i="27"/>
  <c r="Q13" i="27"/>
  <c r="Y13" i="27"/>
  <c r="AG13" i="27"/>
  <c r="AO13" i="27"/>
  <c r="AW13" i="27"/>
  <c r="BE13" i="27"/>
  <c r="BM13" i="27"/>
  <c r="BU13" i="27"/>
  <c r="CC13" i="27"/>
  <c r="CK13" i="27"/>
  <c r="CS13" i="27"/>
  <c r="DA13" i="27"/>
  <c r="DI13" i="27"/>
  <c r="DQ13" i="27"/>
  <c r="DY13" i="27"/>
  <c r="I14" i="27"/>
  <c r="Q14" i="27"/>
  <c r="Y14" i="27"/>
  <c r="AG14" i="27"/>
  <c r="AO14" i="27"/>
  <c r="AW14" i="27"/>
  <c r="BE14" i="27"/>
  <c r="BM14" i="27"/>
  <c r="BU14" i="27"/>
  <c r="CC14" i="27"/>
  <c r="CK14" i="27"/>
  <c r="CS14" i="27"/>
  <c r="CX14" i="27"/>
  <c r="DD14" i="27"/>
  <c r="DI14" i="27"/>
  <c r="DN14" i="27"/>
  <c r="DT14" i="27"/>
  <c r="DY14" i="27"/>
  <c r="F15" i="27"/>
  <c r="L15" i="27"/>
  <c r="Q15" i="27"/>
  <c r="V15" i="27"/>
  <c r="AB15" i="27"/>
  <c r="AG15" i="27"/>
  <c r="AL15" i="27"/>
  <c r="AQ15" i="27"/>
  <c r="AU15" i="27"/>
  <c r="AY15" i="27"/>
  <c r="BC15" i="27"/>
  <c r="BG15" i="27"/>
  <c r="BK15" i="27"/>
  <c r="BO15" i="27"/>
  <c r="BS15" i="27"/>
  <c r="BW15" i="27"/>
  <c r="CA15" i="27"/>
  <c r="CE15" i="27"/>
  <c r="CI15" i="27"/>
  <c r="CM15" i="27"/>
  <c r="CQ15" i="27"/>
  <c r="CU15" i="27"/>
  <c r="CY15" i="27"/>
  <c r="DC15" i="27"/>
  <c r="DG15" i="27"/>
  <c r="DK15" i="27"/>
  <c r="DO15" i="27"/>
  <c r="DS15" i="27"/>
  <c r="DW15" i="27"/>
  <c r="C16" i="27"/>
  <c r="G16" i="27"/>
  <c r="K16" i="27"/>
  <c r="O16" i="27"/>
  <c r="S16" i="27"/>
  <c r="W16" i="27"/>
  <c r="AA16" i="27"/>
  <c r="AE16" i="27"/>
  <c r="AI16" i="27"/>
  <c r="AM16" i="27"/>
  <c r="AQ16" i="27"/>
  <c r="AU16" i="27"/>
  <c r="AY16" i="27"/>
  <c r="BC16" i="27"/>
  <c r="BG16" i="27"/>
  <c r="BK16" i="27"/>
  <c r="BO16" i="27"/>
  <c r="BS16" i="27"/>
  <c r="BW16" i="27"/>
  <c r="CA16" i="27"/>
  <c r="CE16" i="27"/>
  <c r="CI16" i="27"/>
  <c r="CM16" i="27"/>
  <c r="CQ16" i="27"/>
  <c r="CU16" i="27"/>
  <c r="CY16" i="27"/>
  <c r="DC16" i="27"/>
  <c r="DG16" i="27"/>
  <c r="DK16" i="27"/>
  <c r="DO16" i="27"/>
  <c r="DS16" i="27"/>
  <c r="DW16" i="27"/>
  <c r="C17" i="27"/>
  <c r="G17" i="27"/>
  <c r="K17" i="27"/>
  <c r="O17" i="27"/>
  <c r="S17" i="27"/>
  <c r="W17" i="27"/>
  <c r="AA17" i="27"/>
  <c r="AE17" i="27"/>
  <c r="AI17" i="27"/>
  <c r="AM17" i="27"/>
  <c r="AQ17" i="27"/>
  <c r="AU17" i="27"/>
  <c r="AY17" i="27"/>
  <c r="BC17" i="27"/>
  <c r="BG17" i="27"/>
  <c r="BK17" i="27"/>
  <c r="BO17" i="27"/>
  <c r="BS17" i="27"/>
  <c r="BW17" i="27"/>
  <c r="CA17" i="27"/>
  <c r="CE17" i="27"/>
  <c r="CI17" i="27"/>
  <c r="CM17" i="27"/>
  <c r="CQ17" i="27"/>
  <c r="DT6" i="27"/>
  <c r="DT7" i="27"/>
  <c r="CR8" i="27"/>
  <c r="AI9" i="27"/>
  <c r="CU9" i="27"/>
  <c r="V10" i="27"/>
  <c r="AR10" i="27"/>
  <c r="BN10" i="27"/>
  <c r="CI10" i="27"/>
  <c r="DD10" i="27"/>
  <c r="B11" i="27"/>
  <c r="W11" i="27"/>
  <c r="AR11" i="27"/>
  <c r="BN11" i="27"/>
  <c r="CI11" i="27"/>
  <c r="DD11" i="27"/>
  <c r="B12" i="27"/>
  <c r="W12" i="27"/>
  <c r="AR12" i="27"/>
  <c r="BI12" i="27"/>
  <c r="BY12" i="27"/>
  <c r="CO12" i="27"/>
  <c r="AB7" i="27"/>
  <c r="DK9" i="27"/>
  <c r="CN10" i="27"/>
  <c r="AX11" i="27"/>
  <c r="G12" i="27"/>
  <c r="CC12" i="27"/>
  <c r="DL12" i="27"/>
  <c r="D13" i="27"/>
  <c r="T13" i="27"/>
  <c r="AJ13" i="27"/>
  <c r="AZ13" i="27"/>
  <c r="BP13" i="27"/>
  <c r="CF13" i="27"/>
  <c r="CV13" i="27"/>
  <c r="DL13" i="27"/>
  <c r="D14" i="27"/>
  <c r="T14" i="27"/>
  <c r="AJ14" i="27"/>
  <c r="AZ14" i="27"/>
  <c r="BP14" i="27"/>
  <c r="CF14" i="27"/>
  <c r="CT14" i="27"/>
  <c r="DE14" i="27"/>
  <c r="DP14" i="27"/>
  <c r="B15" i="27"/>
  <c r="M15" i="27"/>
  <c r="X15" i="27"/>
  <c r="AH15" i="27"/>
  <c r="AR15" i="27"/>
  <c r="AZ15" i="27"/>
  <c r="BH15" i="27"/>
  <c r="BP15" i="27"/>
  <c r="BX15" i="27"/>
  <c r="CF15" i="27"/>
  <c r="CN15" i="27"/>
  <c r="CV15" i="27"/>
  <c r="DD15" i="27"/>
  <c r="DL15" i="27"/>
  <c r="DT15" i="27"/>
  <c r="D16" i="27"/>
  <c r="L16" i="27"/>
  <c r="T16" i="27"/>
  <c r="AB16" i="27"/>
  <c r="AJ16" i="27"/>
  <c r="AR16" i="27"/>
  <c r="AZ16" i="27"/>
  <c r="BH16" i="27"/>
  <c r="BP16" i="27"/>
  <c r="BX16" i="27"/>
  <c r="CF16" i="27"/>
  <c r="CN16" i="27"/>
  <c r="CV16" i="27"/>
  <c r="DD16" i="27"/>
  <c r="DL16" i="27"/>
  <c r="DT16" i="27"/>
  <c r="D17" i="27"/>
  <c r="L17" i="27"/>
  <c r="T17" i="27"/>
  <c r="AB17" i="27"/>
  <c r="AJ17" i="27"/>
  <c r="AR17" i="27"/>
  <c r="AZ17" i="27"/>
  <c r="BH17" i="27"/>
  <c r="BP17" i="27"/>
  <c r="BX17" i="27"/>
  <c r="CF17" i="27"/>
  <c r="CN17" i="27"/>
  <c r="CU17" i="27"/>
  <c r="CZ17" i="27"/>
  <c r="DE17" i="27"/>
  <c r="DK17" i="27"/>
  <c r="DP17" i="27"/>
  <c r="DU17" i="27"/>
  <c r="C18" i="27"/>
  <c r="H18" i="27"/>
  <c r="M18" i="27"/>
  <c r="S18" i="27"/>
  <c r="X18" i="27"/>
  <c r="AC18" i="27"/>
  <c r="AI18" i="27"/>
  <c r="AN18" i="27"/>
  <c r="AS18" i="27"/>
  <c r="AY18" i="27"/>
  <c r="BD18" i="27"/>
  <c r="BI18" i="27"/>
  <c r="BO18" i="27"/>
  <c r="BS18" i="27"/>
  <c r="BW18" i="27"/>
  <c r="CA18" i="27"/>
  <c r="CE18" i="27"/>
  <c r="CI18" i="27"/>
  <c r="CM18" i="27"/>
  <c r="CQ18" i="27"/>
  <c r="CU18" i="27"/>
  <c r="CY18" i="27"/>
  <c r="DC18" i="27"/>
  <c r="DG18" i="27"/>
  <c r="DK18" i="27"/>
  <c r="DO18" i="27"/>
  <c r="DS18" i="27"/>
  <c r="DW18" i="27"/>
  <c r="C19" i="27"/>
  <c r="G19" i="27"/>
  <c r="K19" i="27"/>
  <c r="O19" i="27"/>
  <c r="S19" i="27"/>
  <c r="W19" i="27"/>
  <c r="AA19" i="27"/>
  <c r="AE19" i="27"/>
  <c r="AI19" i="27"/>
  <c r="AM19" i="27"/>
  <c r="AQ19" i="27"/>
  <c r="AU19" i="27"/>
  <c r="AY19" i="27"/>
  <c r="BC19" i="27"/>
  <c r="BG19" i="27"/>
  <c r="BK19" i="27"/>
  <c r="BO19" i="27"/>
  <c r="BS19" i="27"/>
  <c r="BW19" i="27"/>
  <c r="CA19" i="27"/>
  <c r="CE19" i="27"/>
  <c r="CI19" i="27"/>
  <c r="CM19" i="27"/>
  <c r="CQ19" i="27"/>
  <c r="CU19" i="27"/>
  <c r="CY19" i="27"/>
  <c r="DC19" i="27"/>
  <c r="DG19" i="27"/>
  <c r="DK19" i="27"/>
  <c r="DO19" i="27"/>
  <c r="DS19" i="27"/>
  <c r="DW19" i="27"/>
  <c r="C20" i="27"/>
  <c r="G20" i="27"/>
  <c r="K20" i="27"/>
  <c r="O20" i="27"/>
  <c r="S20" i="27"/>
  <c r="W20" i="27"/>
  <c r="AA20" i="27"/>
  <c r="AE20" i="27"/>
  <c r="AI20" i="27"/>
  <c r="AM20" i="27"/>
  <c r="AQ20" i="27"/>
  <c r="AU20" i="27"/>
  <c r="AY20" i="27"/>
  <c r="BC20" i="27"/>
  <c r="BG20" i="27"/>
  <c r="BK20" i="27"/>
  <c r="BO20" i="27"/>
  <c r="BS20" i="27"/>
  <c r="BW20" i="27"/>
  <c r="CA20" i="27"/>
  <c r="CE20" i="27"/>
  <c r="CI20" i="27"/>
  <c r="CM20" i="27"/>
  <c r="CQ20" i="27"/>
  <c r="CU20" i="27"/>
  <c r="CY20" i="27"/>
  <c r="DC20" i="27"/>
  <c r="DG20" i="27"/>
  <c r="DK20" i="27"/>
  <c r="DO20" i="27"/>
  <c r="DS20" i="27"/>
  <c r="DW20" i="27"/>
  <c r="C21" i="27"/>
  <c r="G21" i="27"/>
  <c r="K21" i="27"/>
  <c r="O21" i="27"/>
  <c r="S21" i="27"/>
  <c r="W21" i="27"/>
  <c r="AA21" i="27"/>
  <c r="AE21" i="27"/>
  <c r="AI21" i="27"/>
  <c r="AM21" i="27"/>
  <c r="AQ21" i="27"/>
  <c r="AU21" i="27"/>
  <c r="AY21" i="27"/>
  <c r="BC21" i="27"/>
  <c r="BG21" i="27"/>
  <c r="BK21" i="27"/>
  <c r="BO21" i="27"/>
  <c r="BS21" i="27"/>
  <c r="BW21" i="27"/>
  <c r="CA21" i="27"/>
  <c r="CE21" i="27"/>
  <c r="CI21" i="27"/>
  <c r="CM21" i="27"/>
  <c r="CQ21" i="27"/>
  <c r="CU21" i="27"/>
  <c r="CY21" i="27"/>
  <c r="DC21" i="27"/>
  <c r="DG21" i="27"/>
  <c r="DK21" i="27"/>
  <c r="DO21" i="27"/>
  <c r="DS21" i="27"/>
  <c r="DW21" i="27"/>
  <c r="C22" i="27"/>
  <c r="G22" i="27"/>
  <c r="K22" i="27"/>
  <c r="O22" i="27"/>
  <c r="S22" i="27"/>
  <c r="W22" i="27"/>
  <c r="AA22" i="27"/>
  <c r="AE22" i="27"/>
  <c r="AI22" i="27"/>
  <c r="AM22" i="27"/>
  <c r="AQ22" i="27"/>
  <c r="AU22" i="27"/>
  <c r="AY22" i="27"/>
  <c r="BC22" i="27"/>
  <c r="BG22" i="27"/>
  <c r="BK22" i="27"/>
  <c r="BO22" i="27"/>
  <c r="BS22" i="27"/>
  <c r="BW22" i="27"/>
  <c r="CA22" i="27"/>
  <c r="CE22" i="27"/>
  <c r="CI22" i="27"/>
  <c r="CM22" i="27"/>
  <c r="CQ22" i="27"/>
  <c r="CU22" i="27"/>
  <c r="CY22" i="27"/>
  <c r="DC22" i="27"/>
  <c r="DG22" i="27"/>
  <c r="DK22" i="27"/>
  <c r="DO22" i="27"/>
  <c r="DS22" i="27"/>
  <c r="DW22" i="27"/>
  <c r="C23" i="27"/>
  <c r="G23" i="27"/>
  <c r="K23" i="27"/>
  <c r="O23" i="27"/>
  <c r="S23" i="27"/>
  <c r="W23" i="27"/>
  <c r="AA23" i="27"/>
  <c r="AE23" i="27"/>
  <c r="AI23" i="27"/>
  <c r="AM23" i="27"/>
  <c r="AQ23" i="27"/>
  <c r="AU23" i="27"/>
  <c r="AY23" i="27"/>
  <c r="BC23" i="27"/>
  <c r="BG23" i="27"/>
  <c r="BK23" i="27"/>
  <c r="BO23" i="27"/>
  <c r="BS23" i="27"/>
  <c r="BW23" i="27"/>
  <c r="CA23" i="27"/>
  <c r="CE23" i="27"/>
  <c r="CI23" i="27"/>
  <c r="CM23" i="27"/>
  <c r="CQ23" i="27"/>
  <c r="CU23" i="27"/>
  <c r="CY23" i="27"/>
  <c r="DC23" i="27"/>
  <c r="DG23" i="27"/>
  <c r="DK23" i="27"/>
  <c r="DO23" i="27"/>
  <c r="DS23" i="27"/>
  <c r="DW23" i="27"/>
  <c r="C24" i="27"/>
  <c r="G24" i="27"/>
  <c r="K24" i="27"/>
  <c r="O24" i="27"/>
  <c r="S24" i="27"/>
  <c r="W24" i="27"/>
  <c r="AA24" i="27"/>
  <c r="AE24" i="27"/>
  <c r="AI24" i="27"/>
  <c r="AM24" i="27"/>
  <c r="AB8" i="27"/>
  <c r="AB10" i="27"/>
  <c r="DJ10" i="27"/>
  <c r="BS11" i="27"/>
  <c r="AB12" i="27"/>
  <c r="CS12" i="27"/>
  <c r="DM12" i="27"/>
  <c r="E13" i="27"/>
  <c r="U13" i="27"/>
  <c r="AK13" i="27"/>
  <c r="BA13" i="27"/>
  <c r="BQ13" i="27"/>
  <c r="CG13" i="27"/>
  <c r="CW13" i="27"/>
  <c r="DM13" i="27"/>
  <c r="E14" i="27"/>
  <c r="U14" i="27"/>
  <c r="AK14" i="27"/>
  <c r="BA14" i="27"/>
  <c r="BQ14" i="27"/>
  <c r="CG14" i="27"/>
  <c r="CV14" i="27"/>
  <c r="DF14" i="27"/>
  <c r="DQ14" i="27"/>
  <c r="D15" i="27"/>
  <c r="N15" i="27"/>
  <c r="Y15" i="27"/>
  <c r="AJ15" i="27"/>
  <c r="AS15" i="27"/>
  <c r="BA15" i="27"/>
  <c r="BI15" i="27"/>
  <c r="BQ15" i="27"/>
  <c r="BY15" i="27"/>
  <c r="CG15" i="27"/>
  <c r="CO15" i="27"/>
  <c r="CW15" i="27"/>
  <c r="DE15" i="27"/>
  <c r="DM15" i="27"/>
  <c r="DU15" i="27"/>
  <c r="E16" i="27"/>
  <c r="M16" i="27"/>
  <c r="U16" i="27"/>
  <c r="AC16" i="27"/>
  <c r="AK16" i="27"/>
  <c r="AS16" i="27"/>
  <c r="BA16" i="27"/>
  <c r="BI16" i="27"/>
  <c r="BQ16" i="27"/>
  <c r="BY16" i="27"/>
  <c r="CG16" i="27"/>
  <c r="CO16" i="27"/>
  <c r="CW16" i="27"/>
  <c r="DE16" i="27"/>
  <c r="DM16" i="27"/>
  <c r="DU16" i="27"/>
  <c r="E17" i="27"/>
  <c r="M17" i="27"/>
  <c r="U17" i="27"/>
  <c r="AC17" i="27"/>
  <c r="AK17" i="27"/>
  <c r="AS17" i="27"/>
  <c r="BA17" i="27"/>
  <c r="BI17" i="27"/>
  <c r="BQ17" i="27"/>
  <c r="BY17" i="27"/>
  <c r="CG17" i="27"/>
  <c r="CO17" i="27"/>
  <c r="CV17" i="27"/>
  <c r="DA17" i="27"/>
  <c r="DG17" i="27"/>
  <c r="DL17" i="27"/>
  <c r="DQ17" i="27"/>
  <c r="DW17" i="27"/>
  <c r="D18" i="27"/>
  <c r="I18" i="27"/>
  <c r="O18" i="27"/>
  <c r="T18" i="27"/>
  <c r="Y18" i="27"/>
  <c r="AE18" i="27"/>
  <c r="AJ18" i="27"/>
  <c r="AO18" i="27"/>
  <c r="AU18" i="27"/>
  <c r="AZ18" i="27"/>
  <c r="BE18" i="27"/>
  <c r="BK18" i="27"/>
  <c r="BP18" i="27"/>
  <c r="BT18" i="27"/>
  <c r="BX18" i="27"/>
  <c r="CB18" i="27"/>
  <c r="CF18" i="27"/>
  <c r="CJ18" i="27"/>
  <c r="CN18" i="27"/>
  <c r="CR18" i="27"/>
  <c r="CV18" i="27"/>
  <c r="CZ18" i="27"/>
  <c r="DD18" i="27"/>
  <c r="DH18" i="27"/>
  <c r="DL18" i="27"/>
  <c r="DP18" i="27"/>
  <c r="DT18" i="27"/>
  <c r="DX18" i="27"/>
  <c r="D19" i="27"/>
  <c r="H19" i="27"/>
  <c r="L19" i="27"/>
  <c r="P19" i="27"/>
  <c r="T19" i="27"/>
  <c r="X19" i="27"/>
  <c r="AB19" i="27"/>
  <c r="AF19" i="27"/>
  <c r="AJ19" i="27"/>
  <c r="AN19" i="27"/>
  <c r="AR19" i="27"/>
  <c r="AV19" i="27"/>
  <c r="AZ19" i="27"/>
  <c r="BD19" i="27"/>
  <c r="BH19" i="27"/>
  <c r="BL19" i="27"/>
  <c r="BP19" i="27"/>
  <c r="BT19" i="27"/>
  <c r="BX19" i="27"/>
  <c r="CB19" i="27"/>
  <c r="CF19" i="27"/>
  <c r="CJ19" i="27"/>
  <c r="CN19" i="27"/>
  <c r="CR19" i="27"/>
  <c r="CV19" i="27"/>
  <c r="CZ19" i="27"/>
  <c r="DD19" i="27"/>
  <c r="DH19" i="27"/>
  <c r="DL19" i="27"/>
  <c r="DP19" i="27"/>
  <c r="DT19" i="27"/>
  <c r="DX19" i="27"/>
  <c r="D20" i="27"/>
  <c r="H20" i="27"/>
  <c r="L20" i="27"/>
  <c r="P20" i="27"/>
  <c r="T20" i="27"/>
  <c r="X20" i="27"/>
  <c r="AB20" i="27"/>
  <c r="AF20" i="27"/>
  <c r="AJ20" i="27"/>
  <c r="AN20" i="27"/>
  <c r="AR20" i="27"/>
  <c r="AV20" i="27"/>
  <c r="AZ20" i="27"/>
  <c r="BD20" i="27"/>
  <c r="BH20" i="27"/>
  <c r="BL20" i="27"/>
  <c r="BP20" i="27"/>
  <c r="BT20" i="27"/>
  <c r="BX20" i="27"/>
  <c r="CB20" i="27"/>
  <c r="CF20" i="27"/>
  <c r="CJ20" i="27"/>
  <c r="CN20" i="27"/>
  <c r="CR20" i="27"/>
  <c r="CV20" i="27"/>
  <c r="CZ20" i="27"/>
  <c r="DD20" i="27"/>
  <c r="DH20" i="27"/>
  <c r="DL20" i="27"/>
  <c r="DP20" i="27"/>
  <c r="DT20" i="27"/>
  <c r="DX20" i="27"/>
  <c r="D21" i="27"/>
  <c r="H21" i="27"/>
  <c r="L21" i="27"/>
  <c r="P21" i="27"/>
  <c r="T21" i="27"/>
  <c r="X21" i="27"/>
  <c r="AB21" i="27"/>
  <c r="AF21" i="27"/>
  <c r="AJ21" i="27"/>
  <c r="AN21" i="27"/>
  <c r="AR21" i="27"/>
  <c r="AV21" i="27"/>
  <c r="AZ21" i="27"/>
  <c r="BD21" i="27"/>
  <c r="BH21" i="27"/>
  <c r="BL21" i="27"/>
  <c r="BP21" i="27"/>
  <c r="BT21" i="27"/>
  <c r="BX21" i="27"/>
  <c r="CB21" i="27"/>
  <c r="CF21" i="27"/>
  <c r="CJ21" i="27"/>
  <c r="CN21" i="27"/>
  <c r="CR21" i="27"/>
  <c r="CV21" i="27"/>
  <c r="CZ21" i="27"/>
  <c r="DD21" i="27"/>
  <c r="DH21" i="27"/>
  <c r="DL21" i="27"/>
  <c r="DP21" i="27"/>
  <c r="DT21" i="27"/>
  <c r="DX21" i="27"/>
  <c r="D22" i="27"/>
  <c r="H22" i="27"/>
  <c r="L22" i="27"/>
  <c r="P22" i="27"/>
  <c r="T22" i="27"/>
  <c r="X22" i="27"/>
  <c r="AB22" i="27"/>
  <c r="AF22" i="27"/>
  <c r="AJ22" i="27"/>
  <c r="AN22" i="27"/>
  <c r="AR22" i="27"/>
  <c r="AV22" i="27"/>
  <c r="AZ22" i="27"/>
  <c r="BD22" i="27"/>
  <c r="BH22" i="27"/>
  <c r="BL22" i="27"/>
  <c r="BP22" i="27"/>
  <c r="BT22" i="27"/>
  <c r="BX22" i="27"/>
  <c r="CB22" i="27"/>
  <c r="CF22" i="27"/>
  <c r="CJ22" i="27"/>
  <c r="CN22" i="27"/>
  <c r="CR22" i="27"/>
  <c r="CV22" i="27"/>
  <c r="CZ22" i="27"/>
  <c r="DD22" i="27"/>
  <c r="DH22" i="27"/>
  <c r="DL22" i="27"/>
  <c r="DP22" i="27"/>
  <c r="DT22" i="27"/>
  <c r="DX22" i="27"/>
  <c r="D23" i="27"/>
  <c r="H23" i="27"/>
  <c r="L23" i="27"/>
  <c r="P23" i="27"/>
  <c r="T23" i="27"/>
  <c r="X23" i="27"/>
  <c r="AB23" i="27"/>
  <c r="AF23" i="27"/>
  <c r="AJ23" i="27"/>
  <c r="AN23" i="27"/>
  <c r="AR23" i="27"/>
  <c r="AV23" i="27"/>
  <c r="AZ23" i="27"/>
  <c r="BD23" i="27"/>
  <c r="BH23" i="27"/>
  <c r="BL23" i="27"/>
  <c r="BP23" i="27"/>
  <c r="BT23" i="27"/>
  <c r="BX23" i="27"/>
  <c r="CB23" i="27"/>
  <c r="CF23" i="27"/>
  <c r="CJ23" i="27"/>
  <c r="CN23" i="27"/>
  <c r="CR23" i="27"/>
  <c r="CV23" i="27"/>
  <c r="DK8" i="27"/>
  <c r="AX10" i="27"/>
  <c r="G11" i="27"/>
  <c r="CN11" i="27"/>
  <c r="AW12" i="27"/>
  <c r="DD12" i="27"/>
  <c r="DT12" i="27"/>
  <c r="L13" i="27"/>
  <c r="AB13" i="27"/>
  <c r="AR13" i="27"/>
  <c r="BH13" i="27"/>
  <c r="BX13" i="27"/>
  <c r="CN13" i="27"/>
  <c r="DD13" i="27"/>
  <c r="DT13" i="27"/>
  <c r="L14" i="27"/>
  <c r="AB14" i="27"/>
  <c r="AR14" i="27"/>
  <c r="BH14" i="27"/>
  <c r="BX14" i="27"/>
  <c r="CN14" i="27"/>
  <c r="CZ14" i="27"/>
  <c r="DJ14" i="27"/>
  <c r="DU14" i="27"/>
  <c r="H15" i="27"/>
  <c r="R15" i="27"/>
  <c r="AC15" i="27"/>
  <c r="AN15" i="27"/>
  <c r="AV15" i="27"/>
  <c r="BD15" i="27"/>
  <c r="BL15" i="27"/>
  <c r="BT15" i="27"/>
  <c r="CB15" i="27"/>
  <c r="CJ15" i="27"/>
  <c r="CR15" i="27"/>
  <c r="CZ15" i="27"/>
  <c r="DH15" i="27"/>
  <c r="DP15" i="27"/>
  <c r="DX15" i="27"/>
  <c r="H16" i="27"/>
  <c r="P16" i="27"/>
  <c r="X16" i="27"/>
  <c r="AF16" i="27"/>
  <c r="AN16" i="27"/>
  <c r="AV16" i="27"/>
  <c r="BD16" i="27"/>
  <c r="BL16" i="27"/>
  <c r="BT16" i="27"/>
  <c r="CB16" i="27"/>
  <c r="CJ16" i="27"/>
  <c r="CR16" i="27"/>
  <c r="CZ16" i="27"/>
  <c r="DH16" i="27"/>
  <c r="DP16" i="27"/>
  <c r="DX16" i="27"/>
  <c r="H17" i="27"/>
  <c r="P17" i="27"/>
  <c r="X17" i="27"/>
  <c r="AF17" i="27"/>
  <c r="AN17" i="27"/>
  <c r="AV17" i="27"/>
  <c r="BD17" i="27"/>
  <c r="BL17" i="27"/>
  <c r="BT17" i="27"/>
  <c r="CB17" i="27"/>
  <c r="CJ17" i="27"/>
  <c r="CR17" i="27"/>
  <c r="CW17" i="27"/>
  <c r="DC17" i="27"/>
  <c r="DH17" i="27"/>
  <c r="DM17" i="27"/>
  <c r="DS17" i="27"/>
  <c r="DX17" i="27"/>
  <c r="E18" i="27"/>
  <c r="K18" i="27"/>
  <c r="P18" i="27"/>
  <c r="U18" i="27"/>
  <c r="AA18" i="27"/>
  <c r="AF18" i="27"/>
  <c r="AK18" i="27"/>
  <c r="AQ18" i="27"/>
  <c r="AV18" i="27"/>
  <c r="BA18" i="27"/>
  <c r="BG18" i="27"/>
  <c r="BL18" i="27"/>
  <c r="BQ18" i="27"/>
  <c r="BU18" i="27"/>
  <c r="BY18" i="27"/>
  <c r="CC18" i="27"/>
  <c r="CG18" i="27"/>
  <c r="CK18" i="27"/>
  <c r="CO18" i="27"/>
  <c r="CS18" i="27"/>
  <c r="CW18" i="27"/>
  <c r="DA18" i="27"/>
  <c r="DE18" i="27"/>
  <c r="DI18" i="27"/>
  <c r="DM18" i="27"/>
  <c r="DQ18" i="27"/>
  <c r="DU18" i="27"/>
  <c r="DY18" i="27"/>
  <c r="E19" i="27"/>
  <c r="I19" i="27"/>
  <c r="M19" i="27"/>
  <c r="Q19" i="27"/>
  <c r="U19" i="27"/>
  <c r="Y19" i="27"/>
  <c r="AC19" i="27"/>
  <c r="AG19" i="27"/>
  <c r="AK19" i="27"/>
  <c r="AO19" i="27"/>
  <c r="AS19" i="27"/>
  <c r="AW19" i="27"/>
  <c r="BA19" i="27"/>
  <c r="BE19" i="27"/>
  <c r="BI19" i="27"/>
  <c r="BM19" i="27"/>
  <c r="BQ19" i="27"/>
  <c r="BU19" i="27"/>
  <c r="BY19" i="27"/>
  <c r="CC19" i="27"/>
  <c r="CG19" i="27"/>
  <c r="CK19" i="27"/>
  <c r="CO19" i="27"/>
  <c r="CS19" i="27"/>
  <c r="CW19" i="27"/>
  <c r="DA19" i="27"/>
  <c r="DE19" i="27"/>
  <c r="DI19" i="27"/>
  <c r="DM19" i="27"/>
  <c r="DQ19" i="27"/>
  <c r="DU19" i="27"/>
  <c r="DY19" i="27"/>
  <c r="E20" i="27"/>
  <c r="I20" i="27"/>
  <c r="M20" i="27"/>
  <c r="Q20" i="27"/>
  <c r="U20" i="27"/>
  <c r="Y20" i="27"/>
  <c r="AC20" i="27"/>
  <c r="AG20" i="27"/>
  <c r="AK20" i="27"/>
  <c r="AO20" i="27"/>
  <c r="AS20" i="27"/>
  <c r="AW20" i="27"/>
  <c r="BA20" i="27"/>
  <c r="BE20" i="27"/>
  <c r="BI20" i="27"/>
  <c r="BM20" i="27"/>
  <c r="BQ20" i="27"/>
  <c r="BU20" i="27"/>
  <c r="BY20" i="27"/>
  <c r="CC20" i="27"/>
  <c r="CG20" i="27"/>
  <c r="CK20" i="27"/>
  <c r="CO20" i="27"/>
  <c r="CS20" i="27"/>
  <c r="CW20" i="27"/>
  <c r="DA20" i="27"/>
  <c r="DE20" i="27"/>
  <c r="DI20" i="27"/>
  <c r="DM20" i="27"/>
  <c r="DQ20" i="27"/>
  <c r="DU20" i="27"/>
  <c r="DY20" i="27"/>
  <c r="E21" i="27"/>
  <c r="I21" i="27"/>
  <c r="M21" i="27"/>
  <c r="Q21" i="27"/>
  <c r="U21" i="27"/>
  <c r="AY9" i="27"/>
  <c r="BM12" i="27"/>
  <c r="AC13" i="27"/>
  <c r="CO13" i="27"/>
  <c r="AC14" i="27"/>
  <c r="CO14" i="27"/>
  <c r="I15" i="27"/>
  <c r="AW15" i="27"/>
  <c r="CC15" i="27"/>
  <c r="DI15" i="27"/>
  <c r="Q16" i="27"/>
  <c r="AW16" i="27"/>
  <c r="CC16" i="27"/>
  <c r="DI16" i="27"/>
  <c r="Q17" i="27"/>
  <c r="AW17" i="27"/>
  <c r="CC17" i="27"/>
  <c r="DD17" i="27"/>
  <c r="DY17" i="27"/>
  <c r="W18" i="27"/>
  <c r="AR18" i="27"/>
  <c r="BM18" i="27"/>
  <c r="CD18" i="27"/>
  <c r="CT18" i="27"/>
  <c r="DJ18" i="27"/>
  <c r="B19" i="27"/>
  <c r="R19" i="27"/>
  <c r="AH19" i="27"/>
  <c r="AX19" i="27"/>
  <c r="BN19" i="27"/>
  <c r="CD19" i="27"/>
  <c r="CT19" i="27"/>
  <c r="DJ19" i="27"/>
  <c r="B20" i="27"/>
  <c r="R20" i="27"/>
  <c r="AH20" i="27"/>
  <c r="AX20" i="27"/>
  <c r="BN20" i="27"/>
  <c r="CD20" i="27"/>
  <c r="CT20" i="27"/>
  <c r="DJ20" i="27"/>
  <c r="B21" i="27"/>
  <c r="R21" i="27"/>
  <c r="AC21" i="27"/>
  <c r="AK21" i="27"/>
  <c r="AS21" i="27"/>
  <c r="BA21" i="27"/>
  <c r="BI21" i="27"/>
  <c r="BQ21" i="27"/>
  <c r="BY21" i="27"/>
  <c r="CG21" i="27"/>
  <c r="CO21" i="27"/>
  <c r="CW21" i="27"/>
  <c r="DE21" i="27"/>
  <c r="DM21" i="27"/>
  <c r="DU21" i="27"/>
  <c r="E22" i="27"/>
  <c r="M22" i="27"/>
  <c r="U22" i="27"/>
  <c r="AC22" i="27"/>
  <c r="AK22" i="27"/>
  <c r="AS22" i="27"/>
  <c r="BA22" i="27"/>
  <c r="BI22" i="27"/>
  <c r="BQ22" i="27"/>
  <c r="BY22" i="27"/>
  <c r="CG22" i="27"/>
  <c r="CO22" i="27"/>
  <c r="CW22" i="27"/>
  <c r="DE22" i="27"/>
  <c r="DM22" i="27"/>
  <c r="DU22" i="27"/>
  <c r="E23" i="27"/>
  <c r="M23" i="27"/>
  <c r="U23" i="27"/>
  <c r="AC23" i="27"/>
  <c r="AK23" i="27"/>
  <c r="AS23" i="27"/>
  <c r="BA23" i="27"/>
  <c r="BI23" i="27"/>
  <c r="BQ23" i="27"/>
  <c r="BY23" i="27"/>
  <c r="CG23" i="27"/>
  <c r="CO23" i="27"/>
  <c r="CW23" i="27"/>
  <c r="DB23" i="27"/>
  <c r="DH23" i="27"/>
  <c r="DM23" i="27"/>
  <c r="DR23" i="27"/>
  <c r="DX23" i="27"/>
  <c r="E24" i="27"/>
  <c r="J24" i="27"/>
  <c r="P24" i="27"/>
  <c r="U24" i="27"/>
  <c r="Z24" i="27"/>
  <c r="AF24" i="27"/>
  <c r="AK24" i="27"/>
  <c r="AP24" i="27"/>
  <c r="AT24" i="27"/>
  <c r="AX24" i="27"/>
  <c r="BB24" i="27"/>
  <c r="BF24" i="27"/>
  <c r="BJ24" i="27"/>
  <c r="BN24" i="27"/>
  <c r="BR24" i="27"/>
  <c r="BV24" i="27"/>
  <c r="BZ24" i="27"/>
  <c r="CD24" i="27"/>
  <c r="CH24" i="27"/>
  <c r="CL24" i="27"/>
  <c r="CP24" i="27"/>
  <c r="CT24" i="27"/>
  <c r="CX24" i="27"/>
  <c r="DB24" i="27"/>
  <c r="DF24" i="27"/>
  <c r="DJ24" i="27"/>
  <c r="DN24" i="27"/>
  <c r="DR24" i="27"/>
  <c r="DV24" i="27"/>
  <c r="B25" i="27"/>
  <c r="F25" i="27"/>
  <c r="J25" i="27"/>
  <c r="N25" i="27"/>
  <c r="R25" i="27"/>
  <c r="V25" i="27"/>
  <c r="Z25" i="27"/>
  <c r="AD25" i="27"/>
  <c r="AH25" i="27"/>
  <c r="AL25" i="27"/>
  <c r="AP25" i="27"/>
  <c r="AT25" i="27"/>
  <c r="AX25" i="27"/>
  <c r="BB25" i="27"/>
  <c r="BF25" i="27"/>
  <c r="BJ25" i="27"/>
  <c r="BN25" i="27"/>
  <c r="BR25" i="27"/>
  <c r="BV25" i="27"/>
  <c r="BZ25" i="27"/>
  <c r="CD25" i="27"/>
  <c r="CH25" i="27"/>
  <c r="CL25" i="27"/>
  <c r="CP25" i="27"/>
  <c r="CT25" i="27"/>
  <c r="CX25" i="27"/>
  <c r="DB25" i="27"/>
  <c r="DF25" i="27"/>
  <c r="DJ25" i="27"/>
  <c r="DN25" i="27"/>
  <c r="DR25" i="27"/>
  <c r="DV25" i="27"/>
  <c r="B26" i="27"/>
  <c r="F26" i="27"/>
  <c r="J26" i="27"/>
  <c r="N26" i="27"/>
  <c r="R26" i="27"/>
  <c r="V26" i="27"/>
  <c r="Z26" i="27"/>
  <c r="AD26" i="27"/>
  <c r="AH26" i="27"/>
  <c r="AL26" i="27"/>
  <c r="AP26" i="27"/>
  <c r="AT26" i="27"/>
  <c r="AX26" i="27"/>
  <c r="BB26" i="27"/>
  <c r="BF26" i="27"/>
  <c r="BJ26" i="27"/>
  <c r="BN26" i="27"/>
  <c r="BR26" i="27"/>
  <c r="BV26" i="27"/>
  <c r="BZ26" i="27"/>
  <c r="CD26" i="27"/>
  <c r="CH26" i="27"/>
  <c r="CL26" i="27"/>
  <c r="CP26" i="27"/>
  <c r="CT26" i="27"/>
  <c r="CX26" i="27"/>
  <c r="DB26" i="27"/>
  <c r="DF26" i="27"/>
  <c r="DJ26" i="27"/>
  <c r="DN26" i="27"/>
  <c r="DR26" i="27"/>
  <c r="DV26" i="27"/>
  <c r="B27" i="27"/>
  <c r="F27" i="27"/>
  <c r="J27" i="27"/>
  <c r="N27" i="27"/>
  <c r="R27" i="27"/>
  <c r="V27" i="27"/>
  <c r="Z27" i="27"/>
  <c r="AD27" i="27"/>
  <c r="AH27" i="27"/>
  <c r="AL27" i="27"/>
  <c r="AP27" i="27"/>
  <c r="AT27" i="27"/>
  <c r="AX27" i="27"/>
  <c r="BB27" i="27"/>
  <c r="BF27" i="27"/>
  <c r="BJ27" i="27"/>
  <c r="BN27" i="27"/>
  <c r="BR27" i="27"/>
  <c r="BV27" i="27"/>
  <c r="BZ27" i="27"/>
  <c r="CD27" i="27"/>
  <c r="CH27" i="27"/>
  <c r="CL27" i="27"/>
  <c r="CP27" i="27"/>
  <c r="CT27" i="27"/>
  <c r="CX27" i="27"/>
  <c r="DB27" i="27"/>
  <c r="DF27" i="27"/>
  <c r="DJ27" i="27"/>
  <c r="DN27" i="27"/>
  <c r="DR27" i="27"/>
  <c r="DV27" i="27"/>
  <c r="B28" i="27"/>
  <c r="F28" i="27"/>
  <c r="J28" i="27"/>
  <c r="N28" i="27"/>
  <c r="R28" i="27"/>
  <c r="V28" i="27"/>
  <c r="Z28" i="27"/>
  <c r="AD28" i="27"/>
  <c r="AH28" i="27"/>
  <c r="AL28" i="27"/>
  <c r="AP28" i="27"/>
  <c r="AT28" i="27"/>
  <c r="AX28" i="27"/>
  <c r="BB28" i="27"/>
  <c r="BF28" i="27"/>
  <c r="BJ28" i="27"/>
  <c r="BN28" i="27"/>
  <c r="BR28" i="27"/>
  <c r="BV28" i="27"/>
  <c r="BZ28" i="27"/>
  <c r="CD28" i="27"/>
  <c r="CH28" i="27"/>
  <c r="CL28" i="27"/>
  <c r="CP28" i="27"/>
  <c r="CT28" i="27"/>
  <c r="CX28" i="27"/>
  <c r="DB28" i="27"/>
  <c r="DF28" i="27"/>
  <c r="DJ28" i="27"/>
  <c r="DN28" i="27"/>
  <c r="DR28" i="27"/>
  <c r="DV28" i="27"/>
  <c r="B29" i="27"/>
  <c r="F29" i="27"/>
  <c r="J29" i="27"/>
  <c r="N29" i="27"/>
  <c r="R29" i="27"/>
  <c r="V29" i="27"/>
  <c r="Z29" i="27"/>
  <c r="AD29" i="27"/>
  <c r="AH29" i="27"/>
  <c r="AL29" i="27"/>
  <c r="AP29" i="27"/>
  <c r="AT29" i="27"/>
  <c r="AX29" i="27"/>
  <c r="BB29" i="27"/>
  <c r="BF29" i="27"/>
  <c r="BJ29" i="27"/>
  <c r="BN29" i="27"/>
  <c r="BR29" i="27"/>
  <c r="BV29" i="27"/>
  <c r="BZ29" i="27"/>
  <c r="CD29" i="27"/>
  <c r="CH29" i="27"/>
  <c r="CL29" i="27"/>
  <c r="CP29" i="27"/>
  <c r="CT29" i="27"/>
  <c r="CX29" i="27"/>
  <c r="DB29" i="27"/>
  <c r="DF29" i="27"/>
  <c r="DJ29" i="27"/>
  <c r="DN29" i="27"/>
  <c r="DR29" i="27"/>
  <c r="DV29" i="27"/>
  <c r="B30" i="27"/>
  <c r="F30" i="27"/>
  <c r="J30" i="27"/>
  <c r="N30" i="27"/>
  <c r="R30" i="27"/>
  <c r="V30" i="27"/>
  <c r="Z30" i="27"/>
  <c r="AD30" i="27"/>
  <c r="AH30" i="27"/>
  <c r="AL30" i="27"/>
  <c r="AP30" i="27"/>
  <c r="AT30" i="27"/>
  <c r="AX30" i="27"/>
  <c r="BB30" i="27"/>
  <c r="BF30" i="27"/>
  <c r="BJ30" i="27"/>
  <c r="BN30" i="27"/>
  <c r="BR30" i="27"/>
  <c r="BV30" i="27"/>
  <c r="BZ30" i="27"/>
  <c r="CD30" i="27"/>
  <c r="CH30" i="27"/>
  <c r="CL30" i="27"/>
  <c r="CP30" i="27"/>
  <c r="CT30" i="27"/>
  <c r="CX30" i="27"/>
  <c r="DB30" i="27"/>
  <c r="DF30" i="27"/>
  <c r="DJ30" i="27"/>
  <c r="DN30" i="27"/>
  <c r="DR30" i="27"/>
  <c r="DV30" i="27"/>
  <c r="B31" i="27"/>
  <c r="F31" i="27"/>
  <c r="J31" i="27"/>
  <c r="N31" i="27"/>
  <c r="R31" i="27"/>
  <c r="V31" i="27"/>
  <c r="Z31" i="27"/>
  <c r="AD31" i="27"/>
  <c r="AH31" i="27"/>
  <c r="AL31" i="27"/>
  <c r="AP31" i="27"/>
  <c r="AT31" i="27"/>
  <c r="AX31" i="27"/>
  <c r="BB31" i="27"/>
  <c r="BF31" i="27"/>
  <c r="BJ31" i="27"/>
  <c r="BN31" i="27"/>
  <c r="BR31" i="27"/>
  <c r="BV31" i="27"/>
  <c r="BZ31" i="27"/>
  <c r="CD31" i="27"/>
  <c r="CH31" i="27"/>
  <c r="CL31" i="27"/>
  <c r="CP31" i="27"/>
  <c r="CT31" i="27"/>
  <c r="CX31" i="27"/>
  <c r="DB31" i="27"/>
  <c r="DF31" i="27"/>
  <c r="DJ31" i="27"/>
  <c r="DN31" i="27"/>
  <c r="BS10" i="27"/>
  <c r="DE12" i="27"/>
  <c r="AS13" i="27"/>
  <c r="DE13" i="27"/>
  <c r="AS14" i="27"/>
  <c r="DA14" i="27"/>
  <c r="T15" i="27"/>
  <c r="BE15" i="27"/>
  <c r="CK15" i="27"/>
  <c r="DQ15" i="27"/>
  <c r="Y16" i="27"/>
  <c r="BE16" i="27"/>
  <c r="CK16" i="27"/>
  <c r="DQ16" i="27"/>
  <c r="Y17" i="27"/>
  <c r="BE17" i="27"/>
  <c r="CK17" i="27"/>
  <c r="DI17" i="27"/>
  <c r="G18" i="27"/>
  <c r="AB18" i="27"/>
  <c r="AW18" i="27"/>
  <c r="BR18" i="27"/>
  <c r="CH18" i="27"/>
  <c r="CX18" i="27"/>
  <c r="DN18" i="27"/>
  <c r="F19" i="27"/>
  <c r="V19" i="27"/>
  <c r="AL19" i="27"/>
  <c r="BB19" i="27"/>
  <c r="BR19" i="27"/>
  <c r="CH19" i="27"/>
  <c r="CX19" i="27"/>
  <c r="DN19" i="27"/>
  <c r="F20" i="27"/>
  <c r="V20" i="27"/>
  <c r="AL20" i="27"/>
  <c r="BB20" i="27"/>
  <c r="BR20" i="27"/>
  <c r="CH20" i="27"/>
  <c r="CX20" i="27"/>
  <c r="DN20" i="27"/>
  <c r="F21" i="27"/>
  <c r="V21" i="27"/>
  <c r="AD21" i="27"/>
  <c r="AL21" i="27"/>
  <c r="AT21" i="27"/>
  <c r="BB21" i="27"/>
  <c r="BJ21" i="27"/>
  <c r="BR21" i="27"/>
  <c r="BZ21" i="27"/>
  <c r="CH21" i="27"/>
  <c r="CP21" i="27"/>
  <c r="CX21" i="27"/>
  <c r="DF21" i="27"/>
  <c r="DN21" i="27"/>
  <c r="DV21" i="27"/>
  <c r="F22" i="27"/>
  <c r="N22" i="27"/>
  <c r="V22" i="27"/>
  <c r="AD22" i="27"/>
  <c r="AL22" i="27"/>
  <c r="AT22" i="27"/>
  <c r="BB22" i="27"/>
  <c r="BJ22" i="27"/>
  <c r="BR22" i="27"/>
  <c r="BZ22" i="27"/>
  <c r="CH22" i="27"/>
  <c r="CP22" i="27"/>
  <c r="CX22" i="27"/>
  <c r="DF22" i="27"/>
  <c r="DN22" i="27"/>
  <c r="DV22" i="27"/>
  <c r="F23" i="27"/>
  <c r="N23" i="27"/>
  <c r="V23" i="27"/>
  <c r="AD23" i="27"/>
  <c r="AL23" i="27"/>
  <c r="AT23" i="27"/>
  <c r="BB23" i="27"/>
  <c r="BJ23" i="27"/>
  <c r="BR23" i="27"/>
  <c r="BZ23" i="27"/>
  <c r="CH23" i="27"/>
  <c r="CP23" i="27"/>
  <c r="CX23" i="27"/>
  <c r="DD23" i="27"/>
  <c r="DI23" i="27"/>
  <c r="DN23" i="27"/>
  <c r="DT23" i="27"/>
  <c r="DY23" i="27"/>
  <c r="F24" i="27"/>
  <c r="L24" i="27"/>
  <c r="Q24" i="27"/>
  <c r="V24" i="27"/>
  <c r="AB24" i="27"/>
  <c r="AG24" i="27"/>
  <c r="AL24" i="27"/>
  <c r="AQ24" i="27"/>
  <c r="AU24" i="27"/>
  <c r="AY24" i="27"/>
  <c r="BC24" i="27"/>
  <c r="BG24" i="27"/>
  <c r="BK24" i="27"/>
  <c r="BO24" i="27"/>
  <c r="BS24" i="27"/>
  <c r="BW24" i="27"/>
  <c r="CA24" i="27"/>
  <c r="CE24" i="27"/>
  <c r="CI24" i="27"/>
  <c r="CM24" i="27"/>
  <c r="CQ24" i="27"/>
  <c r="CU24" i="27"/>
  <c r="CY24" i="27"/>
  <c r="DC24" i="27"/>
  <c r="DG24" i="27"/>
  <c r="DK24" i="27"/>
  <c r="DO24" i="27"/>
  <c r="DS24" i="27"/>
  <c r="DW24" i="27"/>
  <c r="C25" i="27"/>
  <c r="G25" i="27"/>
  <c r="K25" i="27"/>
  <c r="O25" i="27"/>
  <c r="S25" i="27"/>
  <c r="W25" i="27"/>
  <c r="AA25" i="27"/>
  <c r="AE25" i="27"/>
  <c r="AI25" i="27"/>
  <c r="AM25" i="27"/>
  <c r="AQ25" i="27"/>
  <c r="AU25" i="27"/>
  <c r="AY25" i="27"/>
  <c r="BC25" i="27"/>
  <c r="BG25" i="27"/>
  <c r="BK25" i="27"/>
  <c r="BO25" i="27"/>
  <c r="BS25" i="27"/>
  <c r="BW25" i="27"/>
  <c r="CA25" i="27"/>
  <c r="CE25" i="27"/>
  <c r="CI25" i="27"/>
  <c r="CM25" i="27"/>
  <c r="CQ25" i="27"/>
  <c r="CU25" i="27"/>
  <c r="CY25" i="27"/>
  <c r="DC25" i="27"/>
  <c r="DG25" i="27"/>
  <c r="DK25" i="27"/>
  <c r="DO25" i="27"/>
  <c r="DS25" i="27"/>
  <c r="DW25" i="27"/>
  <c r="C26" i="27"/>
  <c r="G26" i="27"/>
  <c r="K26" i="27"/>
  <c r="O26" i="27"/>
  <c r="S26" i="27"/>
  <c r="W26" i="27"/>
  <c r="AA26" i="27"/>
  <c r="AE26" i="27"/>
  <c r="AI26" i="27"/>
  <c r="AM26" i="27"/>
  <c r="AQ26" i="27"/>
  <c r="AU26" i="27"/>
  <c r="AY26" i="27"/>
  <c r="BC26" i="27"/>
  <c r="BG26" i="27"/>
  <c r="BK26" i="27"/>
  <c r="BO26" i="27"/>
  <c r="BS26" i="27"/>
  <c r="BW26" i="27"/>
  <c r="CA26" i="27"/>
  <c r="CE26" i="27"/>
  <c r="CI26" i="27"/>
  <c r="CM26" i="27"/>
  <c r="CQ26" i="27"/>
  <c r="CU26" i="27"/>
  <c r="CY26" i="27"/>
  <c r="DC26" i="27"/>
  <c r="DG26" i="27"/>
  <c r="DK26" i="27"/>
  <c r="DO26" i="27"/>
  <c r="DS26" i="27"/>
  <c r="DW26" i="27"/>
  <c r="C27" i="27"/>
  <c r="G27" i="27"/>
  <c r="K27" i="27"/>
  <c r="O27" i="27"/>
  <c r="S27" i="27"/>
  <c r="W27" i="27"/>
  <c r="AA27" i="27"/>
  <c r="AE27" i="27"/>
  <c r="AI27" i="27"/>
  <c r="AM27" i="27"/>
  <c r="AQ27" i="27"/>
  <c r="AU27" i="27"/>
  <c r="AY27" i="27"/>
  <c r="BC27" i="27"/>
  <c r="BG27" i="27"/>
  <c r="BK27" i="27"/>
  <c r="BO27" i="27"/>
  <c r="BS27" i="27"/>
  <c r="BW27" i="27"/>
  <c r="CA27" i="27"/>
  <c r="CE27" i="27"/>
  <c r="CI27" i="27"/>
  <c r="CM27" i="27"/>
  <c r="CQ27" i="27"/>
  <c r="CU27" i="27"/>
  <c r="CY27" i="27"/>
  <c r="DC27" i="27"/>
  <c r="DG27" i="27"/>
  <c r="DK27" i="27"/>
  <c r="DO27" i="27"/>
  <c r="DS27" i="27"/>
  <c r="DW27" i="27"/>
  <c r="C28" i="27"/>
  <c r="G28" i="27"/>
  <c r="K28" i="27"/>
  <c r="O28" i="27"/>
  <c r="S28" i="27"/>
  <c r="W28" i="27"/>
  <c r="AA28" i="27"/>
  <c r="AE28" i="27"/>
  <c r="AI28" i="27"/>
  <c r="AM28" i="27"/>
  <c r="AQ28" i="27"/>
  <c r="AU28" i="27"/>
  <c r="AY28" i="27"/>
  <c r="BC28" i="27"/>
  <c r="BG28" i="27"/>
  <c r="BK28" i="27"/>
  <c r="BO28" i="27"/>
  <c r="BS28" i="27"/>
  <c r="BW28" i="27"/>
  <c r="CA28" i="27"/>
  <c r="CE28" i="27"/>
  <c r="CI28" i="27"/>
  <c r="CM28" i="27"/>
  <c r="CQ28" i="27"/>
  <c r="CU28" i="27"/>
  <c r="CY28" i="27"/>
  <c r="DC28" i="27"/>
  <c r="DG28" i="27"/>
  <c r="DK28" i="27"/>
  <c r="DO28" i="27"/>
  <c r="DS28" i="27"/>
  <c r="DW28" i="27"/>
  <c r="C29" i="27"/>
  <c r="G29" i="27"/>
  <c r="K29" i="27"/>
  <c r="O29" i="27"/>
  <c r="S29" i="27"/>
  <c r="W29" i="27"/>
  <c r="AA29" i="27"/>
  <c r="AE29" i="27"/>
  <c r="AI29" i="27"/>
  <c r="AM29" i="27"/>
  <c r="AQ29" i="27"/>
  <c r="AU29" i="27"/>
  <c r="AY29" i="27"/>
  <c r="BC29" i="27"/>
  <c r="BG29" i="27"/>
  <c r="BK29" i="27"/>
  <c r="BO29" i="27"/>
  <c r="BS29" i="27"/>
  <c r="BW29" i="27"/>
  <c r="CA29" i="27"/>
  <c r="CE29" i="27"/>
  <c r="CI29" i="27"/>
  <c r="CM29" i="27"/>
  <c r="CQ29" i="27"/>
  <c r="CU29" i="27"/>
  <c r="CY29" i="27"/>
  <c r="DC29" i="27"/>
  <c r="DG29" i="27"/>
  <c r="DK29" i="27"/>
  <c r="DO29" i="27"/>
  <c r="DS29" i="27"/>
  <c r="DW29" i="27"/>
  <c r="C30" i="27"/>
  <c r="G30" i="27"/>
  <c r="K30" i="27"/>
  <c r="O30" i="27"/>
  <c r="S30" i="27"/>
  <c r="W30" i="27"/>
  <c r="AA30" i="27"/>
  <c r="AE30" i="27"/>
  <c r="AI30" i="27"/>
  <c r="AM30" i="27"/>
  <c r="AQ30" i="27"/>
  <c r="AU30" i="27"/>
  <c r="AY30" i="27"/>
  <c r="BC30" i="27"/>
  <c r="BG30" i="27"/>
  <c r="BK30" i="27"/>
  <c r="BO30" i="27"/>
  <c r="BS30" i="27"/>
  <c r="BW30" i="27"/>
  <c r="CA30" i="27"/>
  <c r="CE30" i="27"/>
  <c r="CI30" i="27"/>
  <c r="CM30" i="27"/>
  <c r="CQ30" i="27"/>
  <c r="CU30" i="27"/>
  <c r="CY30" i="27"/>
  <c r="DC30" i="27"/>
  <c r="DG30" i="27"/>
  <c r="DK30" i="27"/>
  <c r="DO30" i="27"/>
  <c r="DS30" i="27"/>
  <c r="DW30" i="27"/>
  <c r="C31" i="27"/>
  <c r="G31" i="27"/>
  <c r="K31" i="27"/>
  <c r="O31" i="27"/>
  <c r="S31" i="27"/>
  <c r="W31" i="27"/>
  <c r="AA31" i="27"/>
  <c r="AE31" i="27"/>
  <c r="AI31" i="27"/>
  <c r="AM31" i="27"/>
  <c r="AQ31" i="27"/>
  <c r="AU31" i="27"/>
  <c r="AY31" i="27"/>
  <c r="BC31" i="27"/>
  <c r="BG31" i="27"/>
  <c r="BK31" i="27"/>
  <c r="BO31" i="27"/>
  <c r="BS31" i="27"/>
  <c r="BW31" i="27"/>
  <c r="CA31" i="27"/>
  <c r="CE31" i="27"/>
  <c r="AB11" i="27"/>
  <c r="DU12" i="27"/>
  <c r="BI13" i="27"/>
  <c r="DU13" i="27"/>
  <c r="BI14" i="27"/>
  <c r="DL14" i="27"/>
  <c r="AD15" i="27"/>
  <c r="BM15" i="27"/>
  <c r="CS15" i="27"/>
  <c r="DY15" i="27"/>
  <c r="AG16" i="27"/>
  <c r="BM16" i="27"/>
  <c r="CS16" i="27"/>
  <c r="DY16" i="27"/>
  <c r="AG17" i="27"/>
  <c r="BM17" i="27"/>
  <c r="CS17" i="27"/>
  <c r="DO17" i="27"/>
  <c r="L18" i="27"/>
  <c r="AG18" i="27"/>
  <c r="BC18" i="27"/>
  <c r="BV18" i="27"/>
  <c r="CL18" i="27"/>
  <c r="DB18" i="27"/>
  <c r="DR18" i="27"/>
  <c r="J19" i="27"/>
  <c r="Z19" i="27"/>
  <c r="AP19" i="27"/>
  <c r="BF19" i="27"/>
  <c r="BV19" i="27"/>
  <c r="CL19" i="27"/>
  <c r="DB19" i="27"/>
  <c r="DR19" i="27"/>
  <c r="J20" i="27"/>
  <c r="Z20" i="27"/>
  <c r="AP20" i="27"/>
  <c r="BF20" i="27"/>
  <c r="BV20" i="27"/>
  <c r="CL20" i="27"/>
  <c r="DB20" i="27"/>
  <c r="DR20" i="27"/>
  <c r="J21" i="27"/>
  <c r="Y21" i="27"/>
  <c r="AG21" i="27"/>
  <c r="AO21" i="27"/>
  <c r="AW21" i="27"/>
  <c r="BE21" i="27"/>
  <c r="BM21" i="27"/>
  <c r="BU21" i="27"/>
  <c r="CC21" i="27"/>
  <c r="CK21" i="27"/>
  <c r="CS21" i="27"/>
  <c r="DA21" i="27"/>
  <c r="DI21" i="27"/>
  <c r="DQ21" i="27"/>
  <c r="DY21" i="27"/>
  <c r="I22" i="27"/>
  <c r="Q22" i="27"/>
  <c r="Y22" i="27"/>
  <c r="AG22" i="27"/>
  <c r="AO22" i="27"/>
  <c r="AW22" i="27"/>
  <c r="BE22" i="27"/>
  <c r="BM22" i="27"/>
  <c r="BU22" i="27"/>
  <c r="CC22" i="27"/>
  <c r="CK22" i="27"/>
  <c r="CS22" i="27"/>
  <c r="DA22" i="27"/>
  <c r="DI22" i="27"/>
  <c r="DQ22" i="27"/>
  <c r="DY22" i="27"/>
  <c r="I23" i="27"/>
  <c r="Q23" i="27"/>
  <c r="Y23" i="27"/>
  <c r="AG23" i="27"/>
  <c r="AO23" i="27"/>
  <c r="AW23" i="27"/>
  <c r="BE23" i="27"/>
  <c r="BM23" i="27"/>
  <c r="BU23" i="27"/>
  <c r="CC23" i="27"/>
  <c r="CK23" i="27"/>
  <c r="CS23" i="27"/>
  <c r="CZ23" i="27"/>
  <c r="DE23" i="27"/>
  <c r="DJ23" i="27"/>
  <c r="DP23" i="27"/>
  <c r="DU23" i="27"/>
  <c r="B24" i="27"/>
  <c r="H24" i="27"/>
  <c r="M24" i="27"/>
  <c r="R24" i="27"/>
  <c r="X24" i="27"/>
  <c r="AC24" i="27"/>
  <c r="AH24" i="27"/>
  <c r="AN24" i="27"/>
  <c r="AR24" i="27"/>
  <c r="AV24" i="27"/>
  <c r="AZ24" i="27"/>
  <c r="BD24" i="27"/>
  <c r="BH24" i="27"/>
  <c r="BL24" i="27"/>
  <c r="BP24" i="27"/>
  <c r="BT24" i="27"/>
  <c r="BX24" i="27"/>
  <c r="CB24" i="27"/>
  <c r="CF24" i="27"/>
  <c r="CJ24" i="27"/>
  <c r="CN24" i="27"/>
  <c r="CR24" i="27"/>
  <c r="CV24" i="27"/>
  <c r="CZ24" i="27"/>
  <c r="DD24" i="27"/>
  <c r="DH24" i="27"/>
  <c r="DL24" i="27"/>
  <c r="DP24" i="27"/>
  <c r="DT24" i="27"/>
  <c r="DX24" i="27"/>
  <c r="D25" i="27"/>
  <c r="H25" i="27"/>
  <c r="L25" i="27"/>
  <c r="P25" i="27"/>
  <c r="T25" i="27"/>
  <c r="X25" i="27"/>
  <c r="AB25" i="27"/>
  <c r="AF25" i="27"/>
  <c r="AJ25" i="27"/>
  <c r="AN25" i="27"/>
  <c r="AR25" i="27"/>
  <c r="AV25" i="27"/>
  <c r="AZ25" i="27"/>
  <c r="BD25" i="27"/>
  <c r="BH25" i="27"/>
  <c r="BL25" i="27"/>
  <c r="BP25" i="27"/>
  <c r="BT25" i="27"/>
  <c r="BX25" i="27"/>
  <c r="CB25" i="27"/>
  <c r="CF25" i="27"/>
  <c r="CJ25" i="27"/>
  <c r="CN25" i="27"/>
  <c r="CR25" i="27"/>
  <c r="CV25" i="27"/>
  <c r="CZ25" i="27"/>
  <c r="DD25" i="27"/>
  <c r="DH25" i="27"/>
  <c r="DL25" i="27"/>
  <c r="DP25" i="27"/>
  <c r="DT25" i="27"/>
  <c r="DX25" i="27"/>
  <c r="D26" i="27"/>
  <c r="H26" i="27"/>
  <c r="L26" i="27"/>
  <c r="P26" i="27"/>
  <c r="T26" i="27"/>
  <c r="X26" i="27"/>
  <c r="AB26" i="27"/>
  <c r="AF26" i="27"/>
  <c r="AJ26" i="27"/>
  <c r="AN26" i="27"/>
  <c r="AR26" i="27"/>
  <c r="AV26" i="27"/>
  <c r="AZ26" i="27"/>
  <c r="BD26" i="27"/>
  <c r="BH26" i="27"/>
  <c r="BL26" i="27"/>
  <c r="BP26" i="27"/>
  <c r="BT26" i="27"/>
  <c r="BX26" i="27"/>
  <c r="CB26" i="27"/>
  <c r="CF26" i="27"/>
  <c r="CJ26" i="27"/>
  <c r="CN26" i="27"/>
  <c r="CR26" i="27"/>
  <c r="CV26" i="27"/>
  <c r="CZ26" i="27"/>
  <c r="DD26" i="27"/>
  <c r="DH26" i="27"/>
  <c r="DL26" i="27"/>
  <c r="DP26" i="27"/>
  <c r="DT26" i="27"/>
  <c r="DX26" i="27"/>
  <c r="D27" i="27"/>
  <c r="H27" i="27"/>
  <c r="L27" i="27"/>
  <c r="P27" i="27"/>
  <c r="T27" i="27"/>
  <c r="X27" i="27"/>
  <c r="AB27" i="27"/>
  <c r="AF27" i="27"/>
  <c r="AJ27" i="27"/>
  <c r="AN27" i="27"/>
  <c r="AR27" i="27"/>
  <c r="AV27" i="27"/>
  <c r="AZ27" i="27"/>
  <c r="BD27" i="27"/>
  <c r="BH27" i="27"/>
  <c r="BL27" i="27"/>
  <c r="BP27" i="27"/>
  <c r="BT27" i="27"/>
  <c r="BX27" i="27"/>
  <c r="CB27" i="27"/>
  <c r="CF27" i="27"/>
  <c r="CJ27" i="27"/>
  <c r="CN27" i="27"/>
  <c r="CR27" i="27"/>
  <c r="CV27" i="27"/>
  <c r="CZ27" i="27"/>
  <c r="DD27" i="27"/>
  <c r="DH27" i="27"/>
  <c r="DL27" i="27"/>
  <c r="DP27" i="27"/>
  <c r="DT27" i="27"/>
  <c r="DX27" i="27"/>
  <c r="D28" i="27"/>
  <c r="H28" i="27"/>
  <c r="L28" i="27"/>
  <c r="P28" i="27"/>
  <c r="T28" i="27"/>
  <c r="X28" i="27"/>
  <c r="AB28" i="27"/>
  <c r="AF28" i="27"/>
  <c r="AJ28" i="27"/>
  <c r="AN28" i="27"/>
  <c r="AR28" i="27"/>
  <c r="AV28" i="27"/>
  <c r="AZ28" i="27"/>
  <c r="BD28" i="27"/>
  <c r="BH28" i="27"/>
  <c r="BL28" i="27"/>
  <c r="BP28" i="27"/>
  <c r="BT28" i="27"/>
  <c r="BX28" i="27"/>
  <c r="CB28" i="27"/>
  <c r="CF28" i="27"/>
  <c r="CJ28" i="27"/>
  <c r="CN28" i="27"/>
  <c r="CR28" i="27"/>
  <c r="CV28" i="27"/>
  <c r="CZ28" i="27"/>
  <c r="DJ11" i="27"/>
  <c r="BY14" i="27"/>
  <c r="DA15" i="27"/>
  <c r="DA16" i="27"/>
  <c r="CY17" i="27"/>
  <c r="BH18" i="27"/>
  <c r="DV18" i="27"/>
  <c r="BJ19" i="27"/>
  <c r="DV19" i="27"/>
  <c r="BJ20" i="27"/>
  <c r="DV20" i="27"/>
  <c r="AP21" i="27"/>
  <c r="BV21" i="27"/>
  <c r="DB21" i="27"/>
  <c r="J22" i="27"/>
  <c r="AP22" i="27"/>
  <c r="BV22" i="27"/>
  <c r="DB22" i="27"/>
  <c r="J23" i="27"/>
  <c r="AP23" i="27"/>
  <c r="BV23" i="27"/>
  <c r="DA23" i="27"/>
  <c r="DV23" i="27"/>
  <c r="T24" i="27"/>
  <c r="AO24" i="27"/>
  <c r="BE24" i="27"/>
  <c r="BU24" i="27"/>
  <c r="CK24" i="27"/>
  <c r="DA24" i="27"/>
  <c r="DQ24" i="27"/>
  <c r="I25" i="27"/>
  <c r="Y25" i="27"/>
  <c r="AO25" i="27"/>
  <c r="BE25" i="27"/>
  <c r="BU25" i="27"/>
  <c r="CK25" i="27"/>
  <c r="DA25" i="27"/>
  <c r="DQ25" i="27"/>
  <c r="I26" i="27"/>
  <c r="Y26" i="27"/>
  <c r="AO26" i="27"/>
  <c r="BE26" i="27"/>
  <c r="BU26" i="27"/>
  <c r="CK26" i="27"/>
  <c r="DA26" i="27"/>
  <c r="DQ26" i="27"/>
  <c r="I27" i="27"/>
  <c r="Y27" i="27"/>
  <c r="AO27" i="27"/>
  <c r="BE27" i="27"/>
  <c r="BU27" i="27"/>
  <c r="CK27" i="27"/>
  <c r="DA27" i="27"/>
  <c r="DQ27" i="27"/>
  <c r="I28" i="27"/>
  <c r="Y28" i="27"/>
  <c r="AO28" i="27"/>
  <c r="BE28" i="27"/>
  <c r="BU28" i="27"/>
  <c r="CK28" i="27"/>
  <c r="DA28" i="27"/>
  <c r="DI28" i="27"/>
  <c r="DQ28" i="27"/>
  <c r="DY28" i="27"/>
  <c r="I29" i="27"/>
  <c r="Q29" i="27"/>
  <c r="Y29" i="27"/>
  <c r="AG29" i="27"/>
  <c r="AO29" i="27"/>
  <c r="AW29" i="27"/>
  <c r="BE29" i="27"/>
  <c r="BM29" i="27"/>
  <c r="BU29" i="27"/>
  <c r="CC29" i="27"/>
  <c r="CK29" i="27"/>
  <c r="CS29" i="27"/>
  <c r="DA29" i="27"/>
  <c r="DI29" i="27"/>
  <c r="DQ29" i="27"/>
  <c r="DY29" i="27"/>
  <c r="I30" i="27"/>
  <c r="Q30" i="27"/>
  <c r="Y30" i="27"/>
  <c r="AG30" i="27"/>
  <c r="AO30" i="27"/>
  <c r="AW30" i="27"/>
  <c r="BE30" i="27"/>
  <c r="BM30" i="27"/>
  <c r="BU30" i="27"/>
  <c r="CC30" i="27"/>
  <c r="CK30" i="27"/>
  <c r="CS30" i="27"/>
  <c r="DA30" i="27"/>
  <c r="DI30" i="27"/>
  <c r="DQ30" i="27"/>
  <c r="DY30" i="27"/>
  <c r="I31" i="27"/>
  <c r="Q31" i="27"/>
  <c r="Y31" i="27"/>
  <c r="AG31" i="27"/>
  <c r="AO31" i="27"/>
  <c r="AW31" i="27"/>
  <c r="BE31" i="27"/>
  <c r="BM31" i="27"/>
  <c r="BU31" i="27"/>
  <c r="CC31" i="27"/>
  <c r="CJ31" i="27"/>
  <c r="CO31" i="27"/>
  <c r="CU31" i="27"/>
  <c r="CZ31" i="27"/>
  <c r="DE31" i="27"/>
  <c r="DK31" i="27"/>
  <c r="DP31" i="27"/>
  <c r="DT31" i="27"/>
  <c r="DX31" i="27"/>
  <c r="D32" i="27"/>
  <c r="H32" i="27"/>
  <c r="L32" i="27"/>
  <c r="P32" i="27"/>
  <c r="T32" i="27"/>
  <c r="X32" i="27"/>
  <c r="AB32" i="27"/>
  <c r="AF32" i="27"/>
  <c r="AJ32" i="27"/>
  <c r="AN32" i="27"/>
  <c r="AR32" i="27"/>
  <c r="AV32" i="27"/>
  <c r="AZ32" i="27"/>
  <c r="BD32" i="27"/>
  <c r="BH32" i="27"/>
  <c r="BL32" i="27"/>
  <c r="BP32" i="27"/>
  <c r="BT32" i="27"/>
  <c r="BX32" i="27"/>
  <c r="CB32" i="27"/>
  <c r="CF32" i="27"/>
  <c r="CJ32" i="27"/>
  <c r="CN32" i="27"/>
  <c r="CR32" i="27"/>
  <c r="CV32" i="27"/>
  <c r="CZ32" i="27"/>
  <c r="DD32" i="27"/>
  <c r="DH32" i="27"/>
  <c r="DL32" i="27"/>
  <c r="DP32" i="27"/>
  <c r="DT32" i="27"/>
  <c r="DX32" i="27"/>
  <c r="D33" i="27"/>
  <c r="H33" i="27"/>
  <c r="L33" i="27"/>
  <c r="P33" i="27"/>
  <c r="T33" i="27"/>
  <c r="X33" i="27"/>
  <c r="AB33" i="27"/>
  <c r="AF33" i="27"/>
  <c r="AJ33" i="27"/>
  <c r="AN33" i="27"/>
  <c r="AR33" i="27"/>
  <c r="AV33" i="27"/>
  <c r="AZ33" i="27"/>
  <c r="BD33" i="27"/>
  <c r="BH33" i="27"/>
  <c r="BL33" i="27"/>
  <c r="BP33" i="27"/>
  <c r="BT33" i="27"/>
  <c r="BX33" i="27"/>
  <c r="CB33" i="27"/>
  <c r="CF33" i="27"/>
  <c r="CJ33" i="27"/>
  <c r="CN33" i="27"/>
  <c r="CR33" i="27"/>
  <c r="CV33" i="27"/>
  <c r="CZ33" i="27"/>
  <c r="DD33" i="27"/>
  <c r="DH33" i="27"/>
  <c r="DL33" i="27"/>
  <c r="DP33" i="27"/>
  <c r="DT33" i="27"/>
  <c r="DX33" i="27"/>
  <c r="D34" i="27"/>
  <c r="H34" i="27"/>
  <c r="L34" i="27"/>
  <c r="P34" i="27"/>
  <c r="T34" i="27"/>
  <c r="X34" i="27"/>
  <c r="AB34" i="27"/>
  <c r="AF34" i="27"/>
  <c r="AJ34" i="27"/>
  <c r="AN34" i="27"/>
  <c r="AR34" i="27"/>
  <c r="AV34" i="27"/>
  <c r="AZ34" i="27"/>
  <c r="BD34" i="27"/>
  <c r="BH34" i="27"/>
  <c r="BL34" i="27"/>
  <c r="BP34" i="27"/>
  <c r="BT34" i="27"/>
  <c r="BX34" i="27"/>
  <c r="CB34" i="27"/>
  <c r="CF34" i="27"/>
  <c r="CJ34" i="27"/>
  <c r="CN34" i="27"/>
  <c r="CR34" i="27"/>
  <c r="CV34" i="27"/>
  <c r="CZ34" i="27"/>
  <c r="DD34" i="27"/>
  <c r="DH34" i="27"/>
  <c r="DL34" i="27"/>
  <c r="DP34" i="27"/>
  <c r="DT34" i="27"/>
  <c r="DX34" i="27"/>
  <c r="D35" i="27"/>
  <c r="H35" i="27"/>
  <c r="L35" i="27"/>
  <c r="P35" i="27"/>
  <c r="T35" i="27"/>
  <c r="X35" i="27"/>
  <c r="AB35" i="27"/>
  <c r="AF35" i="27"/>
  <c r="AJ35" i="27"/>
  <c r="AN35" i="27"/>
  <c r="AR35" i="27"/>
  <c r="AV35" i="27"/>
  <c r="AZ35" i="27"/>
  <c r="BD35" i="27"/>
  <c r="BH35" i="27"/>
  <c r="BL35" i="27"/>
  <c r="BP35" i="27"/>
  <c r="BT35" i="27"/>
  <c r="BX35" i="27"/>
  <c r="CB35" i="27"/>
  <c r="M13" i="27"/>
  <c r="DV14" i="27"/>
  <c r="I16" i="27"/>
  <c r="I17" i="27"/>
  <c r="DT17" i="27"/>
  <c r="BZ18" i="27"/>
  <c r="N19" i="27"/>
  <c r="BZ19" i="27"/>
  <c r="N20" i="27"/>
  <c r="BZ20" i="27"/>
  <c r="N21" i="27"/>
  <c r="AX21" i="27"/>
  <c r="CD21" i="27"/>
  <c r="DJ21" i="27"/>
  <c r="R22" i="27"/>
  <c r="AX22" i="27"/>
  <c r="CD22" i="27"/>
  <c r="DJ22" i="27"/>
  <c r="R23" i="27"/>
  <c r="AX23" i="27"/>
  <c r="CD23" i="27"/>
  <c r="DF23" i="27"/>
  <c r="D24" i="27"/>
  <c r="Y24" i="27"/>
  <c r="AS24" i="27"/>
  <c r="BI24" i="27"/>
  <c r="BY24" i="27"/>
  <c r="CO24" i="27"/>
  <c r="DE24" i="27"/>
  <c r="DU24" i="27"/>
  <c r="M25" i="27"/>
  <c r="AC25" i="27"/>
  <c r="AS25" i="27"/>
  <c r="BI25" i="27"/>
  <c r="BY25" i="27"/>
  <c r="CO25" i="27"/>
  <c r="DE25" i="27"/>
  <c r="DU25" i="27"/>
  <c r="M26" i="27"/>
  <c r="AC26" i="27"/>
  <c r="AS26" i="27"/>
  <c r="BI26" i="27"/>
  <c r="BY26" i="27"/>
  <c r="CO26" i="27"/>
  <c r="DE26" i="27"/>
  <c r="DU26" i="27"/>
  <c r="M27" i="27"/>
  <c r="AC27" i="27"/>
  <c r="AS27" i="27"/>
  <c r="BI27" i="27"/>
  <c r="BY27" i="27"/>
  <c r="CO27" i="27"/>
  <c r="DE27" i="27"/>
  <c r="DU27" i="27"/>
  <c r="M28" i="27"/>
  <c r="AC28" i="27"/>
  <c r="AS28" i="27"/>
  <c r="BI28" i="27"/>
  <c r="BY28" i="27"/>
  <c r="CO28" i="27"/>
  <c r="DD28" i="27"/>
  <c r="DL28" i="27"/>
  <c r="DT28" i="27"/>
  <c r="D29" i="27"/>
  <c r="L29" i="27"/>
  <c r="T29" i="27"/>
  <c r="AB29" i="27"/>
  <c r="AJ29" i="27"/>
  <c r="AR29" i="27"/>
  <c r="AZ29" i="27"/>
  <c r="BH29" i="27"/>
  <c r="BP29" i="27"/>
  <c r="BX29" i="27"/>
  <c r="CF29" i="27"/>
  <c r="CN29" i="27"/>
  <c r="CV29" i="27"/>
  <c r="DD29" i="27"/>
  <c r="DL29" i="27"/>
  <c r="DT29" i="27"/>
  <c r="D30" i="27"/>
  <c r="L30" i="27"/>
  <c r="T30" i="27"/>
  <c r="AB30" i="27"/>
  <c r="AJ30" i="27"/>
  <c r="AR30" i="27"/>
  <c r="AZ30" i="27"/>
  <c r="BH30" i="27"/>
  <c r="BP30" i="27"/>
  <c r="BX30" i="27"/>
  <c r="CF30" i="27"/>
  <c r="CN30" i="27"/>
  <c r="CV30" i="27"/>
  <c r="DD30" i="27"/>
  <c r="DL30" i="27"/>
  <c r="DT30" i="27"/>
  <c r="D31" i="27"/>
  <c r="L31" i="27"/>
  <c r="T31" i="27"/>
  <c r="AB31" i="27"/>
  <c r="AJ31" i="27"/>
  <c r="AR31" i="27"/>
  <c r="AZ31" i="27"/>
  <c r="BH31" i="27"/>
  <c r="BP31" i="27"/>
  <c r="BX31" i="27"/>
  <c r="CF31" i="27"/>
  <c r="CK31" i="27"/>
  <c r="CQ31" i="27"/>
  <c r="CV31" i="27"/>
  <c r="DA31" i="27"/>
  <c r="DG31" i="27"/>
  <c r="DL31" i="27"/>
  <c r="DQ31" i="27"/>
  <c r="DU31" i="27"/>
  <c r="DY31" i="27"/>
  <c r="E32" i="27"/>
  <c r="I32" i="27"/>
  <c r="M32" i="27"/>
  <c r="Q32" i="27"/>
  <c r="U32" i="27"/>
  <c r="Y32" i="27"/>
  <c r="AC32" i="27"/>
  <c r="AG32" i="27"/>
  <c r="AK32" i="27"/>
  <c r="AO32" i="27"/>
  <c r="AS32" i="27"/>
  <c r="AW32" i="27"/>
  <c r="BA32" i="27"/>
  <c r="BE32" i="27"/>
  <c r="BI32" i="27"/>
  <c r="BM32" i="27"/>
  <c r="BQ32" i="27"/>
  <c r="BU32" i="27"/>
  <c r="BY32" i="27"/>
  <c r="CC32" i="27"/>
  <c r="CG32" i="27"/>
  <c r="CK32" i="27"/>
  <c r="CO32" i="27"/>
  <c r="CS32" i="27"/>
  <c r="CW32" i="27"/>
  <c r="DA32" i="27"/>
  <c r="DE32" i="27"/>
  <c r="DI32" i="27"/>
  <c r="DM32" i="27"/>
  <c r="DQ32" i="27"/>
  <c r="DU32" i="27"/>
  <c r="DY32" i="27"/>
  <c r="E33" i="27"/>
  <c r="I33" i="27"/>
  <c r="M33" i="27"/>
  <c r="Q33" i="27"/>
  <c r="U33" i="27"/>
  <c r="Y33" i="27"/>
  <c r="AC33" i="27"/>
  <c r="AG33" i="27"/>
  <c r="AK33" i="27"/>
  <c r="AO33" i="27"/>
  <c r="AS33" i="27"/>
  <c r="AW33" i="27"/>
  <c r="BA33" i="27"/>
  <c r="BE33" i="27"/>
  <c r="BI33" i="27"/>
  <c r="BM33" i="27"/>
  <c r="BQ33" i="27"/>
  <c r="BU33" i="27"/>
  <c r="BY33" i="27"/>
  <c r="CC33" i="27"/>
  <c r="CG33" i="27"/>
  <c r="CK33" i="27"/>
  <c r="CO33" i="27"/>
  <c r="CS33" i="27"/>
  <c r="CW33" i="27"/>
  <c r="DA33" i="27"/>
  <c r="DE33" i="27"/>
  <c r="DI33" i="27"/>
  <c r="DM33" i="27"/>
  <c r="DQ33" i="27"/>
  <c r="DU33" i="27"/>
  <c r="DY33" i="27"/>
  <c r="E34" i="27"/>
  <c r="I34" i="27"/>
  <c r="M34" i="27"/>
  <c r="Q34" i="27"/>
  <c r="U34" i="27"/>
  <c r="Y34" i="27"/>
  <c r="AC34" i="27"/>
  <c r="AG34" i="27"/>
  <c r="AK34" i="27"/>
  <c r="AO34" i="27"/>
  <c r="AS34" i="27"/>
  <c r="AW34" i="27"/>
  <c r="BA34" i="27"/>
  <c r="BE34" i="27"/>
  <c r="BI34" i="27"/>
  <c r="BM34" i="27"/>
  <c r="BQ34" i="27"/>
  <c r="BU34" i="27"/>
  <c r="BY34" i="27"/>
  <c r="CC34" i="27"/>
  <c r="CG34" i="27"/>
  <c r="CK34" i="27"/>
  <c r="CO34" i="27"/>
  <c r="CS34" i="27"/>
  <c r="CW34" i="27"/>
  <c r="DA34" i="27"/>
  <c r="DE34" i="27"/>
  <c r="DI34" i="27"/>
  <c r="DM34" i="27"/>
  <c r="DQ34" i="27"/>
  <c r="DU34" i="27"/>
  <c r="DY34" i="27"/>
  <c r="E35" i="27"/>
  <c r="I35" i="27"/>
  <c r="M35" i="27"/>
  <c r="Q35" i="27"/>
  <c r="U35" i="27"/>
  <c r="Y35" i="27"/>
  <c r="AC35" i="27"/>
  <c r="AG35" i="27"/>
  <c r="AK35" i="27"/>
  <c r="AO35" i="27"/>
  <c r="AS35" i="27"/>
  <c r="AW35" i="27"/>
  <c r="BA35" i="27"/>
  <c r="BE35" i="27"/>
  <c r="BI35" i="27"/>
  <c r="BM35" i="27"/>
  <c r="BQ35" i="27"/>
  <c r="BU35" i="27"/>
  <c r="BY35" i="27"/>
  <c r="CC35" i="27"/>
  <c r="CG35" i="27"/>
  <c r="CK35" i="27"/>
  <c r="CO35" i="27"/>
  <c r="CS35" i="27"/>
  <c r="CW35" i="27"/>
  <c r="DA35" i="27"/>
  <c r="DE35" i="27"/>
  <c r="DI35" i="27"/>
  <c r="DM35" i="27"/>
  <c r="DQ35" i="27"/>
  <c r="DU35" i="27"/>
  <c r="DY35" i="27"/>
  <c r="E36" i="27"/>
  <c r="I36" i="27"/>
  <c r="M36" i="27"/>
  <c r="Q36" i="27"/>
  <c r="U36" i="27"/>
  <c r="Y36" i="27"/>
  <c r="AC36" i="27"/>
  <c r="AG36" i="27"/>
  <c r="AK36" i="27"/>
  <c r="AO36" i="27"/>
  <c r="AS36" i="27"/>
  <c r="AW36" i="27"/>
  <c r="BA36" i="27"/>
  <c r="BE36" i="27"/>
  <c r="BI36" i="27"/>
  <c r="BM36" i="27"/>
  <c r="BQ36" i="27"/>
  <c r="BU36" i="27"/>
  <c r="BY36" i="27"/>
  <c r="CC36" i="27"/>
  <c r="CG36" i="27"/>
  <c r="CK36" i="27"/>
  <c r="CO36" i="27"/>
  <c r="CS36" i="27"/>
  <c r="CW36" i="27"/>
  <c r="DA36" i="27"/>
  <c r="DE36" i="27"/>
  <c r="DI36" i="27"/>
  <c r="DM36" i="27"/>
  <c r="DQ36" i="27"/>
  <c r="DU36" i="27"/>
  <c r="DY36" i="27"/>
  <c r="E37" i="27"/>
  <c r="I37" i="27"/>
  <c r="M37" i="27"/>
  <c r="Q37" i="27"/>
  <c r="U37" i="27"/>
  <c r="Y37" i="27"/>
  <c r="AC37" i="27"/>
  <c r="AG37" i="27"/>
  <c r="AK37" i="27"/>
  <c r="AO37" i="27"/>
  <c r="AS37" i="27"/>
  <c r="AW37" i="27"/>
  <c r="BA37" i="27"/>
  <c r="BE37" i="27"/>
  <c r="BI37" i="27"/>
  <c r="BM37" i="27"/>
  <c r="BQ37" i="27"/>
  <c r="BU37" i="27"/>
  <c r="BY37" i="27"/>
  <c r="CC37" i="27"/>
  <c r="CG37" i="27"/>
  <c r="CK37" i="27"/>
  <c r="CO37" i="27"/>
  <c r="CS37" i="27"/>
  <c r="CW37" i="27"/>
  <c r="DA37" i="27"/>
  <c r="DE37" i="27"/>
  <c r="DI37" i="27"/>
  <c r="DM37" i="27"/>
  <c r="DQ37" i="27"/>
  <c r="DU37" i="27"/>
  <c r="DY37" i="27"/>
  <c r="E38" i="27"/>
  <c r="I38" i="27"/>
  <c r="M38" i="27"/>
  <c r="Q38" i="27"/>
  <c r="U38" i="27"/>
  <c r="Y38" i="27"/>
  <c r="AC38" i="27"/>
  <c r="AG38" i="27"/>
  <c r="AK38" i="27"/>
  <c r="AO38" i="27"/>
  <c r="AS38" i="27"/>
  <c r="AW38" i="27"/>
  <c r="BA38" i="27"/>
  <c r="BE38" i="27"/>
  <c r="BI38" i="27"/>
  <c r="BM38" i="27"/>
  <c r="BQ38" i="27"/>
  <c r="BU38" i="27"/>
  <c r="BY38" i="27"/>
  <c r="CC38" i="27"/>
  <c r="CG38" i="27"/>
  <c r="CK38" i="27"/>
  <c r="CO38" i="27"/>
  <c r="CS38" i="27"/>
  <c r="CW38" i="27"/>
  <c r="DA38" i="27"/>
  <c r="DE38" i="27"/>
  <c r="DI38" i="27"/>
  <c r="DM38" i="27"/>
  <c r="DQ38" i="27"/>
  <c r="DU38" i="27"/>
  <c r="DY38" i="27"/>
  <c r="E39" i="27"/>
  <c r="I39" i="27"/>
  <c r="BY13" i="27"/>
  <c r="AO15" i="27"/>
  <c r="AO16" i="27"/>
  <c r="AO17" i="27"/>
  <c r="Q18" i="27"/>
  <c r="CP18" i="27"/>
  <c r="AD19" i="27"/>
  <c r="CP19" i="27"/>
  <c r="AD20" i="27"/>
  <c r="CP20" i="27"/>
  <c r="Z21" i="27"/>
  <c r="BF21" i="27"/>
  <c r="CL21" i="27"/>
  <c r="DR21" i="27"/>
  <c r="Z22" i="27"/>
  <c r="BF22" i="27"/>
  <c r="CL22" i="27"/>
  <c r="DR22" i="27"/>
  <c r="Z23" i="27"/>
  <c r="BF23" i="27"/>
  <c r="CL23" i="27"/>
  <c r="DL23" i="27"/>
  <c r="I24" i="27"/>
  <c r="AD24" i="27"/>
  <c r="AW24" i="27"/>
  <c r="BM24" i="27"/>
  <c r="CC24" i="27"/>
  <c r="CS24" i="27"/>
  <c r="DI24" i="27"/>
  <c r="DY24" i="27"/>
  <c r="Q25" i="27"/>
  <c r="AG25" i="27"/>
  <c r="AW25" i="27"/>
  <c r="BM25" i="27"/>
  <c r="CC25" i="27"/>
  <c r="CS25" i="27"/>
  <c r="DI25" i="27"/>
  <c r="DY25" i="27"/>
  <c r="Q26" i="27"/>
  <c r="AG26" i="27"/>
  <c r="AW26" i="27"/>
  <c r="BM26" i="27"/>
  <c r="CC26" i="27"/>
  <c r="CS26" i="27"/>
  <c r="DI26" i="27"/>
  <c r="DY26" i="27"/>
  <c r="Q27" i="27"/>
  <c r="AG27" i="27"/>
  <c r="AW27" i="27"/>
  <c r="BM27" i="27"/>
  <c r="CC27" i="27"/>
  <c r="CS27" i="27"/>
  <c r="DI27" i="27"/>
  <c r="DY27" i="27"/>
  <c r="Q28" i="27"/>
  <c r="AG28" i="27"/>
  <c r="AW28" i="27"/>
  <c r="BM28" i="27"/>
  <c r="CC28" i="27"/>
  <c r="CS28" i="27"/>
  <c r="DE28" i="27"/>
  <c r="DM28" i="27"/>
  <c r="DU28" i="27"/>
  <c r="E29" i="27"/>
  <c r="M29" i="27"/>
  <c r="U29" i="27"/>
  <c r="AC29" i="27"/>
  <c r="AK29" i="27"/>
  <c r="AS29" i="27"/>
  <c r="BA29" i="27"/>
  <c r="BI29" i="27"/>
  <c r="BQ29" i="27"/>
  <c r="BY29" i="27"/>
  <c r="CG29" i="27"/>
  <c r="CO29" i="27"/>
  <c r="CW29" i="27"/>
  <c r="DE29" i="27"/>
  <c r="DM29" i="27"/>
  <c r="DU29" i="27"/>
  <c r="E30" i="27"/>
  <c r="M30" i="27"/>
  <c r="U30" i="27"/>
  <c r="AC30" i="27"/>
  <c r="AK30" i="27"/>
  <c r="AS30" i="27"/>
  <c r="BA30" i="27"/>
  <c r="BI30" i="27"/>
  <c r="BQ30" i="27"/>
  <c r="BY30" i="27"/>
  <c r="CG30" i="27"/>
  <c r="CO30" i="27"/>
  <c r="CW30" i="27"/>
  <c r="DE30" i="27"/>
  <c r="DM30" i="27"/>
  <c r="DU30" i="27"/>
  <c r="E31" i="27"/>
  <c r="M31" i="27"/>
  <c r="U31" i="27"/>
  <c r="AC31" i="27"/>
  <c r="AK31" i="27"/>
  <c r="AS31" i="27"/>
  <c r="BA31" i="27"/>
  <c r="BI31" i="27"/>
  <c r="BQ31" i="27"/>
  <c r="BY31" i="27"/>
  <c r="CG31" i="27"/>
  <c r="CM31" i="27"/>
  <c r="CR31" i="27"/>
  <c r="CW31" i="27"/>
  <c r="DC31" i="27"/>
  <c r="DH31" i="27"/>
  <c r="DM31" i="27"/>
  <c r="DR31" i="27"/>
  <c r="DV31" i="27"/>
  <c r="B32" i="27"/>
  <c r="F32" i="27"/>
  <c r="J32" i="27"/>
  <c r="N32" i="27"/>
  <c r="R32" i="27"/>
  <c r="V32" i="27"/>
  <c r="Z32" i="27"/>
  <c r="AD32" i="27"/>
  <c r="AH32" i="27"/>
  <c r="AL32" i="27"/>
  <c r="AP32" i="27"/>
  <c r="AT32" i="27"/>
  <c r="AX32" i="27"/>
  <c r="BB32" i="27"/>
  <c r="BF32" i="27"/>
  <c r="BJ32" i="27"/>
  <c r="BN32" i="27"/>
  <c r="BR32" i="27"/>
  <c r="BV32" i="27"/>
  <c r="BZ32" i="27"/>
  <c r="CD32" i="27"/>
  <c r="CH32" i="27"/>
  <c r="CL32" i="27"/>
  <c r="CP32" i="27"/>
  <c r="CT32" i="27"/>
  <c r="CX32" i="27"/>
  <c r="DB32" i="27"/>
  <c r="DF32" i="27"/>
  <c r="DJ32" i="27"/>
  <c r="DN32" i="27"/>
  <c r="DR32" i="27"/>
  <c r="DV32" i="27"/>
  <c r="B33" i="27"/>
  <c r="F33" i="27"/>
  <c r="J33" i="27"/>
  <c r="N33" i="27"/>
  <c r="R33" i="27"/>
  <c r="V33" i="27"/>
  <c r="Z33" i="27"/>
  <c r="AD33" i="27"/>
  <c r="AH33" i="27"/>
  <c r="AL33" i="27"/>
  <c r="AP33" i="27"/>
  <c r="AT33" i="27"/>
  <c r="AX33" i="27"/>
  <c r="BB33" i="27"/>
  <c r="BF33" i="27"/>
  <c r="BJ33" i="27"/>
  <c r="BN33" i="27"/>
  <c r="BR33" i="27"/>
  <c r="BV33" i="27"/>
  <c r="BZ33" i="27"/>
  <c r="CD33" i="27"/>
  <c r="CH33" i="27"/>
  <c r="CL33" i="27"/>
  <c r="CP33" i="27"/>
  <c r="CT33" i="27"/>
  <c r="CX33" i="27"/>
  <c r="DB33" i="27"/>
  <c r="DF33" i="27"/>
  <c r="DJ33" i="27"/>
  <c r="DN33" i="27"/>
  <c r="DR33" i="27"/>
  <c r="DV33" i="27"/>
  <c r="B34" i="27"/>
  <c r="F34" i="27"/>
  <c r="J34" i="27"/>
  <c r="N34" i="27"/>
  <c r="R34" i="27"/>
  <c r="V34" i="27"/>
  <c r="Z34" i="27"/>
  <c r="AD34" i="27"/>
  <c r="AH34" i="27"/>
  <c r="AL34" i="27"/>
  <c r="AP34" i="27"/>
  <c r="AT34" i="27"/>
  <c r="AX34" i="27"/>
  <c r="BB34" i="27"/>
  <c r="BF34" i="27"/>
  <c r="BJ34" i="27"/>
  <c r="BN34" i="27"/>
  <c r="BR34" i="27"/>
  <c r="BV34" i="27"/>
  <c r="BZ34" i="27"/>
  <c r="CD34" i="27"/>
  <c r="CH34" i="27"/>
  <c r="CL34" i="27"/>
  <c r="CP34" i="27"/>
  <c r="CT34" i="27"/>
  <c r="CX34" i="27"/>
  <c r="DB34" i="27"/>
  <c r="DF34" i="27"/>
  <c r="DJ34" i="27"/>
  <c r="DN34" i="27"/>
  <c r="DR34" i="27"/>
  <c r="DV34" i="27"/>
  <c r="B35" i="27"/>
  <c r="F35" i="27"/>
  <c r="J35" i="27"/>
  <c r="N35" i="27"/>
  <c r="R35" i="27"/>
  <c r="V35" i="27"/>
  <c r="Z35" i="27"/>
  <c r="AD35" i="27"/>
  <c r="AH35" i="27"/>
  <c r="AL35" i="27"/>
  <c r="AP35" i="27"/>
  <c r="AT35" i="27"/>
  <c r="AX35" i="27"/>
  <c r="BB35" i="27"/>
  <c r="BF35" i="27"/>
  <c r="BJ35" i="27"/>
  <c r="BN35" i="27"/>
  <c r="BR35" i="27"/>
  <c r="BV35" i="27"/>
  <c r="BZ35" i="27"/>
  <c r="CD35" i="27"/>
  <c r="CH35" i="27"/>
  <c r="CL35" i="27"/>
  <c r="CP35" i="27"/>
  <c r="CT35" i="27"/>
  <c r="CX35" i="27"/>
  <c r="DB35" i="27"/>
  <c r="DF35" i="27"/>
  <c r="DJ35" i="27"/>
  <c r="DN35" i="27"/>
  <c r="DR35" i="27"/>
  <c r="DV35" i="27"/>
  <c r="B36" i="27"/>
  <c r="F36" i="27"/>
  <c r="J36" i="27"/>
  <c r="N36" i="27"/>
  <c r="R36" i="27"/>
  <c r="V36" i="27"/>
  <c r="Z36" i="27"/>
  <c r="AD36" i="27"/>
  <c r="AH36" i="27"/>
  <c r="AL36" i="27"/>
  <c r="AP36" i="27"/>
  <c r="AT36" i="27"/>
  <c r="AX36" i="27"/>
  <c r="BB36" i="27"/>
  <c r="BF36" i="27"/>
  <c r="BJ36" i="27"/>
  <c r="BN36" i="27"/>
  <c r="BR36" i="27"/>
  <c r="BV36" i="27"/>
  <c r="BZ36" i="27"/>
  <c r="CD36" i="27"/>
  <c r="CH36" i="27"/>
  <c r="CL36" i="27"/>
  <c r="CP36" i="27"/>
  <c r="CT36" i="27"/>
  <c r="CX36" i="27"/>
  <c r="DB36" i="27"/>
  <c r="DF36" i="27"/>
  <c r="DJ36" i="27"/>
  <c r="DN36" i="27"/>
  <c r="DR36" i="27"/>
  <c r="DV36" i="27"/>
  <c r="B37" i="27"/>
  <c r="F37" i="27"/>
  <c r="J37" i="27"/>
  <c r="N37" i="27"/>
  <c r="R37" i="27"/>
  <c r="V37" i="27"/>
  <c r="Z37" i="27"/>
  <c r="AD37" i="27"/>
  <c r="AH37" i="27"/>
  <c r="AL37" i="27"/>
  <c r="AP37" i="27"/>
  <c r="AT37" i="27"/>
  <c r="AX37" i="27"/>
  <c r="BB37" i="27"/>
  <c r="BF37" i="27"/>
  <c r="BJ37" i="27"/>
  <c r="BN37" i="27"/>
  <c r="BR37" i="27"/>
  <c r="BV37" i="27"/>
  <c r="BZ37" i="27"/>
  <c r="CD37" i="27"/>
  <c r="CH37" i="27"/>
  <c r="CL37" i="27"/>
  <c r="CP37" i="27"/>
  <c r="CT37" i="27"/>
  <c r="CX37" i="27"/>
  <c r="DB37" i="27"/>
  <c r="DF37" i="27"/>
  <c r="DJ37" i="27"/>
  <c r="DN37" i="27"/>
  <c r="DR37" i="27"/>
  <c r="DV37" i="27"/>
  <c r="B38" i="27"/>
  <c r="F38" i="27"/>
  <c r="J38" i="27"/>
  <c r="N38" i="27"/>
  <c r="R38" i="27"/>
  <c r="V38" i="27"/>
  <c r="Z38" i="27"/>
  <c r="AD38" i="27"/>
  <c r="M14" i="27"/>
  <c r="AM18" i="27"/>
  <c r="AT20" i="27"/>
  <c r="CT21" i="27"/>
  <c r="CT22" i="27"/>
  <c r="CT23" i="27"/>
  <c r="BA24" i="27"/>
  <c r="DM24" i="27"/>
  <c r="BA25" i="27"/>
  <c r="DM25" i="27"/>
  <c r="BA26" i="27"/>
  <c r="DM26" i="27"/>
  <c r="BA27" i="27"/>
  <c r="DM27" i="27"/>
  <c r="BA28" i="27"/>
  <c r="DH28" i="27"/>
  <c r="P29" i="27"/>
  <c r="AV29" i="27"/>
  <c r="CB29" i="27"/>
  <c r="DH29" i="27"/>
  <c r="P30" i="27"/>
  <c r="AV30" i="27"/>
  <c r="CB30" i="27"/>
  <c r="DH30" i="27"/>
  <c r="P31" i="27"/>
  <c r="AV31" i="27"/>
  <c r="CB31" i="27"/>
  <c r="CY31" i="27"/>
  <c r="DS31" i="27"/>
  <c r="K32" i="27"/>
  <c r="AA32" i="27"/>
  <c r="AQ32" i="27"/>
  <c r="BG32" i="27"/>
  <c r="BW32" i="27"/>
  <c r="CM32" i="27"/>
  <c r="DC32" i="27"/>
  <c r="DS32" i="27"/>
  <c r="K33" i="27"/>
  <c r="AA33" i="27"/>
  <c r="AQ33" i="27"/>
  <c r="BG33" i="27"/>
  <c r="BW33" i="27"/>
  <c r="CM33" i="27"/>
  <c r="DC33" i="27"/>
  <c r="DS33" i="27"/>
  <c r="K34" i="27"/>
  <c r="AA34" i="27"/>
  <c r="AQ34" i="27"/>
  <c r="BG34" i="27"/>
  <c r="BW34" i="27"/>
  <c r="CM34" i="27"/>
  <c r="DC34" i="27"/>
  <c r="DS34" i="27"/>
  <c r="K35" i="27"/>
  <c r="AA35" i="27"/>
  <c r="AQ35" i="27"/>
  <c r="BG35" i="27"/>
  <c r="BW35" i="27"/>
  <c r="CI35" i="27"/>
  <c r="CQ35" i="27"/>
  <c r="CY35" i="27"/>
  <c r="DG35" i="27"/>
  <c r="DO35" i="27"/>
  <c r="DW35" i="27"/>
  <c r="G36" i="27"/>
  <c r="O36" i="27"/>
  <c r="W36" i="27"/>
  <c r="AE36" i="27"/>
  <c r="AM36" i="27"/>
  <c r="AU36" i="27"/>
  <c r="BC36" i="27"/>
  <c r="BK36" i="27"/>
  <c r="BS36" i="27"/>
  <c r="CA36" i="27"/>
  <c r="CI36" i="27"/>
  <c r="CQ36" i="27"/>
  <c r="CY36" i="27"/>
  <c r="DG36" i="27"/>
  <c r="DO36" i="27"/>
  <c r="DW36" i="27"/>
  <c r="G37" i="27"/>
  <c r="O37" i="27"/>
  <c r="W37" i="27"/>
  <c r="AE37" i="27"/>
  <c r="AM37" i="27"/>
  <c r="AU37" i="27"/>
  <c r="BC37" i="27"/>
  <c r="BK37" i="27"/>
  <c r="BS37" i="27"/>
  <c r="CA37" i="27"/>
  <c r="CI37" i="27"/>
  <c r="CQ37" i="27"/>
  <c r="CY37" i="27"/>
  <c r="DG37" i="27"/>
  <c r="DO37" i="27"/>
  <c r="DW37" i="27"/>
  <c r="G38" i="27"/>
  <c r="O38" i="27"/>
  <c r="W38" i="27"/>
  <c r="AE38" i="27"/>
  <c r="AJ38" i="27"/>
  <c r="AP38" i="27"/>
  <c r="AU38" i="27"/>
  <c r="AZ38" i="27"/>
  <c r="BF38" i="27"/>
  <c r="BK38" i="27"/>
  <c r="BP38" i="27"/>
  <c r="BV38" i="27"/>
  <c r="CA38" i="27"/>
  <c r="CF38" i="27"/>
  <c r="CL38" i="27"/>
  <c r="CQ38" i="27"/>
  <c r="CV38" i="27"/>
  <c r="DB38" i="27"/>
  <c r="DG38" i="27"/>
  <c r="DL38" i="27"/>
  <c r="DR38" i="27"/>
  <c r="DW38" i="27"/>
  <c r="D39" i="27"/>
  <c r="J39" i="27"/>
  <c r="N39" i="27"/>
  <c r="R39" i="27"/>
  <c r="V39" i="27"/>
  <c r="Z39" i="27"/>
  <c r="AD39" i="27"/>
  <c r="AH39" i="27"/>
  <c r="AL39" i="27"/>
  <c r="AP39" i="27"/>
  <c r="AT39" i="27"/>
  <c r="AX39" i="27"/>
  <c r="BB39" i="27"/>
  <c r="BF39" i="27"/>
  <c r="BJ39" i="27"/>
  <c r="BN39" i="27"/>
  <c r="BR39" i="27"/>
  <c r="BV39" i="27"/>
  <c r="BZ39" i="27"/>
  <c r="CD39" i="27"/>
  <c r="CH39" i="27"/>
  <c r="CL39" i="27"/>
  <c r="CP39" i="27"/>
  <c r="CT39" i="27"/>
  <c r="CX39" i="27"/>
  <c r="DB39" i="27"/>
  <c r="DF39" i="27"/>
  <c r="DJ39" i="27"/>
  <c r="DN39" i="27"/>
  <c r="DR39" i="27"/>
  <c r="DV39" i="27"/>
  <c r="B40" i="27"/>
  <c r="F40" i="27"/>
  <c r="J40" i="27"/>
  <c r="N40" i="27"/>
  <c r="R40" i="27"/>
  <c r="V40" i="27"/>
  <c r="Z40" i="27"/>
  <c r="AD40" i="27"/>
  <c r="AH40" i="27"/>
  <c r="AL40" i="27"/>
  <c r="AP40" i="27"/>
  <c r="AT40" i="27"/>
  <c r="AX40" i="27"/>
  <c r="BB40" i="27"/>
  <c r="BF40" i="27"/>
  <c r="BJ40" i="27"/>
  <c r="BN40" i="27"/>
  <c r="BR40" i="27"/>
  <c r="BV40" i="27"/>
  <c r="BZ40" i="27"/>
  <c r="CD40" i="27"/>
  <c r="CH40" i="27"/>
  <c r="CL40" i="27"/>
  <c r="CP40" i="27"/>
  <c r="CT40" i="27"/>
  <c r="CX40" i="27"/>
  <c r="DB40" i="27"/>
  <c r="DF40" i="27"/>
  <c r="DJ40" i="27"/>
  <c r="DN40" i="27"/>
  <c r="DR40" i="27"/>
  <c r="DV40" i="27"/>
  <c r="B41" i="27"/>
  <c r="F41" i="27"/>
  <c r="J41" i="27"/>
  <c r="N41" i="27"/>
  <c r="R41" i="27"/>
  <c r="V41" i="27"/>
  <c r="Z41" i="27"/>
  <c r="AD41" i="27"/>
  <c r="AH41" i="27"/>
  <c r="AL41" i="27"/>
  <c r="AP41" i="27"/>
  <c r="AT41" i="27"/>
  <c r="AX41" i="27"/>
  <c r="BB41" i="27"/>
  <c r="BF41" i="27"/>
  <c r="BJ41" i="27"/>
  <c r="BN41" i="27"/>
  <c r="BR41" i="27"/>
  <c r="BV41" i="27"/>
  <c r="BZ41" i="27"/>
  <c r="CD41" i="27"/>
  <c r="CH41" i="27"/>
  <c r="CL41" i="27"/>
  <c r="CP41" i="27"/>
  <c r="CT41" i="27"/>
  <c r="CX41" i="27"/>
  <c r="DB41" i="27"/>
  <c r="DF41" i="27"/>
  <c r="DJ41" i="27"/>
  <c r="DN41" i="27"/>
  <c r="DR41" i="27"/>
  <c r="DV41" i="27"/>
  <c r="B42" i="27"/>
  <c r="F42" i="27"/>
  <c r="J42" i="27"/>
  <c r="N42" i="27"/>
  <c r="R42" i="27"/>
  <c r="V42" i="27"/>
  <c r="Z42" i="27"/>
  <c r="AD42" i="27"/>
  <c r="AH42" i="27"/>
  <c r="AL42" i="27"/>
  <c r="AP42" i="27"/>
  <c r="AT42" i="27"/>
  <c r="AX42" i="27"/>
  <c r="BB42" i="27"/>
  <c r="BF42" i="27"/>
  <c r="BJ42" i="27"/>
  <c r="BN42" i="27"/>
  <c r="BR42" i="27"/>
  <c r="BV42" i="27"/>
  <c r="BZ42" i="27"/>
  <c r="CD42" i="27"/>
  <c r="CH42" i="27"/>
  <c r="CL42" i="27"/>
  <c r="CP42" i="27"/>
  <c r="CT42" i="27"/>
  <c r="CX42" i="27"/>
  <c r="DB42" i="27"/>
  <c r="DF42" i="27"/>
  <c r="DJ42" i="27"/>
  <c r="DN42" i="27"/>
  <c r="DR42" i="27"/>
  <c r="DV42" i="27"/>
  <c r="B43" i="27"/>
  <c r="F43" i="27"/>
  <c r="J43" i="27"/>
  <c r="N43" i="27"/>
  <c r="R43" i="27"/>
  <c r="V43" i="27"/>
  <c r="Z43" i="27"/>
  <c r="AD43" i="27"/>
  <c r="AH43" i="27"/>
  <c r="AL43" i="27"/>
  <c r="AP43" i="27"/>
  <c r="AT43" i="27"/>
  <c r="AX43" i="27"/>
  <c r="BB43" i="27"/>
  <c r="BF43" i="27"/>
  <c r="BJ43" i="27"/>
  <c r="BN43" i="27"/>
  <c r="BR43" i="27"/>
  <c r="BV43" i="27"/>
  <c r="BZ43" i="27"/>
  <c r="CD43" i="27"/>
  <c r="CH43" i="27"/>
  <c r="CL43" i="27"/>
  <c r="CP43" i="27"/>
  <c r="CT43" i="27"/>
  <c r="CX43" i="27"/>
  <c r="DB43" i="27"/>
  <c r="DF43" i="27"/>
  <c r="DJ43" i="27"/>
  <c r="DN43" i="27"/>
  <c r="DR43" i="27"/>
  <c r="DV43" i="27"/>
  <c r="B44" i="27"/>
  <c r="BU15" i="27"/>
  <c r="DF18" i="27"/>
  <c r="DF20" i="27"/>
  <c r="B22" i="27"/>
  <c r="B23" i="27"/>
  <c r="DQ23" i="27"/>
  <c r="BQ24" i="27"/>
  <c r="E25" i="27"/>
  <c r="BQ25" i="27"/>
  <c r="E26" i="27"/>
  <c r="BQ26" i="27"/>
  <c r="E27" i="27"/>
  <c r="BQ27" i="27"/>
  <c r="E28" i="27"/>
  <c r="BQ28" i="27"/>
  <c r="DP28" i="27"/>
  <c r="X29" i="27"/>
  <c r="BD29" i="27"/>
  <c r="CJ29" i="27"/>
  <c r="DP29" i="27"/>
  <c r="X30" i="27"/>
  <c r="BD30" i="27"/>
  <c r="CJ30" i="27"/>
  <c r="DP30" i="27"/>
  <c r="X31" i="27"/>
  <c r="BD31" i="27"/>
  <c r="CI31" i="27"/>
  <c r="DD31" i="27"/>
  <c r="DW31" i="27"/>
  <c r="O32" i="27"/>
  <c r="AE32" i="27"/>
  <c r="AU32" i="27"/>
  <c r="BK32" i="27"/>
  <c r="CA32" i="27"/>
  <c r="CQ32" i="27"/>
  <c r="DG32" i="27"/>
  <c r="DW32" i="27"/>
  <c r="O33" i="27"/>
  <c r="AE33" i="27"/>
  <c r="AU33" i="27"/>
  <c r="BK33" i="27"/>
  <c r="CA33" i="27"/>
  <c r="CQ33" i="27"/>
  <c r="DG33" i="27"/>
  <c r="DW33" i="27"/>
  <c r="O34" i="27"/>
  <c r="AE34" i="27"/>
  <c r="AU34" i="27"/>
  <c r="BK34" i="27"/>
  <c r="CA34" i="27"/>
  <c r="CQ34" i="27"/>
  <c r="DG34" i="27"/>
  <c r="DW34" i="27"/>
  <c r="O35" i="27"/>
  <c r="AE35" i="27"/>
  <c r="AU35" i="27"/>
  <c r="BK35" i="27"/>
  <c r="CA35" i="27"/>
  <c r="CJ35" i="27"/>
  <c r="CR35" i="27"/>
  <c r="CZ35" i="27"/>
  <c r="DH35" i="27"/>
  <c r="DP35" i="27"/>
  <c r="DX35" i="27"/>
  <c r="H36" i="27"/>
  <c r="P36" i="27"/>
  <c r="X36" i="27"/>
  <c r="AF36" i="27"/>
  <c r="AN36" i="27"/>
  <c r="AV36" i="27"/>
  <c r="BD36" i="27"/>
  <c r="BL36" i="27"/>
  <c r="BT36" i="27"/>
  <c r="CB36" i="27"/>
  <c r="CJ36" i="27"/>
  <c r="CR36" i="27"/>
  <c r="CZ36" i="27"/>
  <c r="DH36" i="27"/>
  <c r="DP36" i="27"/>
  <c r="DX36" i="27"/>
  <c r="H37" i="27"/>
  <c r="P37" i="27"/>
  <c r="X37" i="27"/>
  <c r="AF37" i="27"/>
  <c r="AN37" i="27"/>
  <c r="AV37" i="27"/>
  <c r="BD37" i="27"/>
  <c r="BL37" i="27"/>
  <c r="BT37" i="27"/>
  <c r="CB37" i="27"/>
  <c r="CJ37" i="27"/>
  <c r="CR37" i="27"/>
  <c r="CZ37" i="27"/>
  <c r="DH37" i="27"/>
  <c r="DP37" i="27"/>
  <c r="DX37" i="27"/>
  <c r="H38" i="27"/>
  <c r="P38" i="27"/>
  <c r="X38" i="27"/>
  <c r="AF38" i="27"/>
  <c r="AL38" i="27"/>
  <c r="AQ38" i="27"/>
  <c r="AV38" i="27"/>
  <c r="BB38" i="27"/>
  <c r="BG38" i="27"/>
  <c r="BL38" i="27"/>
  <c r="BR38" i="27"/>
  <c r="BW38" i="27"/>
  <c r="CB38" i="27"/>
  <c r="CH38" i="27"/>
  <c r="CM38" i="27"/>
  <c r="CR38" i="27"/>
  <c r="CX38" i="27"/>
  <c r="DC38" i="27"/>
  <c r="DH38" i="27"/>
  <c r="DN38" i="27"/>
  <c r="DS38" i="27"/>
  <c r="DX38" i="27"/>
  <c r="F39" i="27"/>
  <c r="K39" i="27"/>
  <c r="O39" i="27"/>
  <c r="S39" i="27"/>
  <c r="W39" i="27"/>
  <c r="AA39" i="27"/>
  <c r="AE39" i="27"/>
  <c r="AI39" i="27"/>
  <c r="AM39" i="27"/>
  <c r="AQ39" i="27"/>
  <c r="AU39" i="27"/>
  <c r="AY39" i="27"/>
  <c r="BC39" i="27"/>
  <c r="BG39" i="27"/>
  <c r="BK39" i="27"/>
  <c r="BO39" i="27"/>
  <c r="BS39" i="27"/>
  <c r="BW39" i="27"/>
  <c r="CA39" i="27"/>
  <c r="CE39" i="27"/>
  <c r="CI39" i="27"/>
  <c r="CM39" i="27"/>
  <c r="CQ39" i="27"/>
  <c r="CU39" i="27"/>
  <c r="CY39" i="27"/>
  <c r="DC39" i="27"/>
  <c r="DG39" i="27"/>
  <c r="DK39" i="27"/>
  <c r="DO39" i="27"/>
  <c r="DS39" i="27"/>
  <c r="DW39" i="27"/>
  <c r="C40" i="27"/>
  <c r="G40" i="27"/>
  <c r="K40" i="27"/>
  <c r="O40" i="27"/>
  <c r="S40" i="27"/>
  <c r="W40" i="27"/>
  <c r="AA40" i="27"/>
  <c r="AE40" i="27"/>
  <c r="AI40" i="27"/>
  <c r="AM40" i="27"/>
  <c r="AQ40" i="27"/>
  <c r="AU40" i="27"/>
  <c r="AY40" i="27"/>
  <c r="BC40" i="27"/>
  <c r="BG40" i="27"/>
  <c r="BK40" i="27"/>
  <c r="BO40" i="27"/>
  <c r="BS40" i="27"/>
  <c r="BW40" i="27"/>
  <c r="CA40" i="27"/>
  <c r="CE40" i="27"/>
  <c r="CI40" i="27"/>
  <c r="CM40" i="27"/>
  <c r="CQ40" i="27"/>
  <c r="CU40" i="27"/>
  <c r="CY40" i="27"/>
  <c r="DC40" i="27"/>
  <c r="DG40" i="27"/>
  <c r="DK40" i="27"/>
  <c r="DO40" i="27"/>
  <c r="DS40" i="27"/>
  <c r="DW40" i="27"/>
  <c r="C41" i="27"/>
  <c r="G41" i="27"/>
  <c r="K41" i="27"/>
  <c r="O41" i="27"/>
  <c r="S41" i="27"/>
  <c r="W41" i="27"/>
  <c r="AA41" i="27"/>
  <c r="AE41" i="27"/>
  <c r="AI41" i="27"/>
  <c r="AM41" i="27"/>
  <c r="AQ41" i="27"/>
  <c r="AU41" i="27"/>
  <c r="AY41" i="27"/>
  <c r="BC41" i="27"/>
  <c r="BG41" i="27"/>
  <c r="BK41" i="27"/>
  <c r="BO41" i="27"/>
  <c r="BS41" i="27"/>
  <c r="BW41" i="27"/>
  <c r="CA41" i="27"/>
  <c r="CE41" i="27"/>
  <c r="CI41" i="27"/>
  <c r="CM41" i="27"/>
  <c r="CQ41" i="27"/>
  <c r="CU41" i="27"/>
  <c r="CY41" i="27"/>
  <c r="DC41" i="27"/>
  <c r="DG41" i="27"/>
  <c r="DK41" i="27"/>
  <c r="DO41" i="27"/>
  <c r="DS41" i="27"/>
  <c r="DW41" i="27"/>
  <c r="C42" i="27"/>
  <c r="G42" i="27"/>
  <c r="K42" i="27"/>
  <c r="O42" i="27"/>
  <c r="S42" i="27"/>
  <c r="W42" i="27"/>
  <c r="AA42" i="27"/>
  <c r="AE42" i="27"/>
  <c r="AI42" i="27"/>
  <c r="AM42" i="27"/>
  <c r="AQ42" i="27"/>
  <c r="AU42" i="27"/>
  <c r="AY42" i="27"/>
  <c r="BC42" i="27"/>
  <c r="BG42" i="27"/>
  <c r="BK42" i="27"/>
  <c r="BO42" i="27"/>
  <c r="BS42" i="27"/>
  <c r="BW42" i="27"/>
  <c r="CA42" i="27"/>
  <c r="CE42" i="27"/>
  <c r="CI42" i="27"/>
  <c r="CM42" i="27"/>
  <c r="CQ42" i="27"/>
  <c r="CU42" i="27"/>
  <c r="CY42" i="27"/>
  <c r="DC42" i="27"/>
  <c r="DG42" i="27"/>
  <c r="DK42" i="27"/>
  <c r="DO42" i="27"/>
  <c r="DS42" i="27"/>
  <c r="DW42" i="27"/>
  <c r="C43" i="27"/>
  <c r="G43" i="27"/>
  <c r="K43" i="27"/>
  <c r="O43" i="27"/>
  <c r="S43" i="27"/>
  <c r="W43" i="27"/>
  <c r="AA43" i="27"/>
  <c r="AE43" i="27"/>
  <c r="AI43" i="27"/>
  <c r="AM43" i="27"/>
  <c r="AQ43" i="27"/>
  <c r="AU43" i="27"/>
  <c r="AY43" i="27"/>
  <c r="BC43" i="27"/>
  <c r="BG43" i="27"/>
  <c r="BK43" i="27"/>
  <c r="BO43" i="27"/>
  <c r="BS43" i="27"/>
  <c r="BW43" i="27"/>
  <c r="CA43" i="27"/>
  <c r="CE43" i="27"/>
  <c r="CI43" i="27"/>
  <c r="CM43" i="27"/>
  <c r="CQ43" i="27"/>
  <c r="CU43" i="27"/>
  <c r="CY43" i="27"/>
  <c r="DC43" i="27"/>
  <c r="DG43" i="27"/>
  <c r="DK43" i="27"/>
  <c r="DO43" i="27"/>
  <c r="DS43" i="27"/>
  <c r="DW43" i="27"/>
  <c r="C44" i="27"/>
  <c r="G44" i="27"/>
  <c r="K44" i="27"/>
  <c r="O44" i="27"/>
  <c r="S44" i="27"/>
  <c r="W44" i="27"/>
  <c r="AA44" i="27"/>
  <c r="AE44" i="27"/>
  <c r="AI44" i="27"/>
  <c r="AM44" i="27"/>
  <c r="AQ44" i="27"/>
  <c r="AU44" i="27"/>
  <c r="AY44" i="27"/>
  <c r="BC44" i="27"/>
  <c r="BG44" i="27"/>
  <c r="BK44" i="27"/>
  <c r="BO44" i="27"/>
  <c r="BS44" i="27"/>
  <c r="BW44" i="27"/>
  <c r="CA44" i="27"/>
  <c r="CE44" i="27"/>
  <c r="CI44" i="27"/>
  <c r="CM44" i="27"/>
  <c r="CQ44" i="27"/>
  <c r="CU44" i="27"/>
  <c r="CY44" i="27"/>
  <c r="DC44" i="27"/>
  <c r="DG44" i="27"/>
  <c r="DK44" i="27"/>
  <c r="DO44" i="27"/>
  <c r="DS44" i="27"/>
  <c r="DW44" i="27"/>
  <c r="C45" i="27"/>
  <c r="G45" i="27"/>
  <c r="K45" i="27"/>
  <c r="O45" i="27"/>
  <c r="S45" i="27"/>
  <c r="W45" i="27"/>
  <c r="AA45" i="27"/>
  <c r="AE45" i="27"/>
  <c r="AI45" i="27"/>
  <c r="AM45" i="27"/>
  <c r="AQ45" i="27"/>
  <c r="AU45" i="27"/>
  <c r="AY45" i="27"/>
  <c r="BC45" i="27"/>
  <c r="BG45" i="27"/>
  <c r="BK45" i="27"/>
  <c r="BO45" i="27"/>
  <c r="BS45" i="27"/>
  <c r="BW45" i="27"/>
  <c r="CA45" i="27"/>
  <c r="CE45" i="27"/>
  <c r="CI45" i="27"/>
  <c r="CM45" i="27"/>
  <c r="CQ45" i="27"/>
  <c r="CU45" i="27"/>
  <c r="CY45" i="27"/>
  <c r="DC45" i="27"/>
  <c r="DG45" i="27"/>
  <c r="DK45" i="27"/>
  <c r="DO45" i="27"/>
  <c r="DS45" i="27"/>
  <c r="DW45" i="27"/>
  <c r="C46" i="27"/>
  <c r="G46" i="27"/>
  <c r="K46" i="27"/>
  <c r="O46" i="27"/>
  <c r="S46" i="27"/>
  <c r="W46" i="27"/>
  <c r="AA46" i="27"/>
  <c r="AE46" i="27"/>
  <c r="AI46" i="27"/>
  <c r="AM46" i="27"/>
  <c r="AQ46" i="27"/>
  <c r="AU46" i="27"/>
  <c r="AY46" i="27"/>
  <c r="BC46" i="27"/>
  <c r="BG46" i="27"/>
  <c r="BK46" i="27"/>
  <c r="BO46" i="27"/>
  <c r="BS46" i="27"/>
  <c r="BW46" i="27"/>
  <c r="CA46" i="27"/>
  <c r="CE46" i="27"/>
  <c r="CI46" i="27"/>
  <c r="CM46" i="27"/>
  <c r="CQ46" i="27"/>
  <c r="CU46" i="27"/>
  <c r="CY46" i="27"/>
  <c r="DC46" i="27"/>
  <c r="DG46" i="27"/>
  <c r="BU16" i="27"/>
  <c r="AT19" i="27"/>
  <c r="AH21" i="27"/>
  <c r="AH22" i="27"/>
  <c r="AH23" i="27"/>
  <c r="N24" i="27"/>
  <c r="CG24" i="27"/>
  <c r="U25" i="27"/>
  <c r="CG25" i="27"/>
  <c r="U26" i="27"/>
  <c r="CG26" i="27"/>
  <c r="U27" i="27"/>
  <c r="CG27" i="27"/>
  <c r="U28" i="27"/>
  <c r="CG28" i="27"/>
  <c r="DX28" i="27"/>
  <c r="AF29" i="27"/>
  <c r="BL29" i="27"/>
  <c r="CR29" i="27"/>
  <c r="DX29" i="27"/>
  <c r="AF30" i="27"/>
  <c r="BL30" i="27"/>
  <c r="CR30" i="27"/>
  <c r="DX30" i="27"/>
  <c r="AF31" i="27"/>
  <c r="BL31" i="27"/>
  <c r="CN31" i="27"/>
  <c r="DI31" i="27"/>
  <c r="C32" i="27"/>
  <c r="S32" i="27"/>
  <c r="AI32" i="27"/>
  <c r="AY32" i="27"/>
  <c r="BO32" i="27"/>
  <c r="CE32" i="27"/>
  <c r="CU32" i="27"/>
  <c r="DK32" i="27"/>
  <c r="C33" i="27"/>
  <c r="S33" i="27"/>
  <c r="AI33" i="27"/>
  <c r="AY33" i="27"/>
  <c r="BO33" i="27"/>
  <c r="CE33" i="27"/>
  <c r="CU33" i="27"/>
  <c r="DK33" i="27"/>
  <c r="C34" i="27"/>
  <c r="S34" i="27"/>
  <c r="AI34" i="27"/>
  <c r="AY34" i="27"/>
  <c r="BO34" i="27"/>
  <c r="CE34" i="27"/>
  <c r="CU34" i="27"/>
  <c r="DK34" i="27"/>
  <c r="C35" i="27"/>
  <c r="S35" i="27"/>
  <c r="AI35" i="27"/>
  <c r="AY35" i="27"/>
  <c r="BO35" i="27"/>
  <c r="CE35" i="27"/>
  <c r="CM35" i="27"/>
  <c r="CU35" i="27"/>
  <c r="DC35" i="27"/>
  <c r="DK35" i="27"/>
  <c r="DS35" i="27"/>
  <c r="C36" i="27"/>
  <c r="K36" i="27"/>
  <c r="S36" i="27"/>
  <c r="AA36" i="27"/>
  <c r="AI36" i="27"/>
  <c r="AQ36" i="27"/>
  <c r="AY36" i="27"/>
  <c r="BG36" i="27"/>
  <c r="BO36" i="27"/>
  <c r="BW36" i="27"/>
  <c r="CE36" i="27"/>
  <c r="CM36" i="27"/>
  <c r="CU36" i="27"/>
  <c r="DC36" i="27"/>
  <c r="DK36" i="27"/>
  <c r="DS36" i="27"/>
  <c r="C37" i="27"/>
  <c r="K37" i="27"/>
  <c r="S37" i="27"/>
  <c r="AA37" i="27"/>
  <c r="AI37" i="27"/>
  <c r="AQ37" i="27"/>
  <c r="AY37" i="27"/>
  <c r="BG37" i="27"/>
  <c r="BO37" i="27"/>
  <c r="BW37" i="27"/>
  <c r="CE37" i="27"/>
  <c r="CM37" i="27"/>
  <c r="CU37" i="27"/>
  <c r="DC37" i="27"/>
  <c r="DK37" i="27"/>
  <c r="DS37" i="27"/>
  <c r="C38" i="27"/>
  <c r="K38" i="27"/>
  <c r="S38" i="27"/>
  <c r="AA38" i="27"/>
  <c r="AH38" i="27"/>
  <c r="AM38" i="27"/>
  <c r="AR38" i="27"/>
  <c r="AX38" i="27"/>
  <c r="BC38" i="27"/>
  <c r="BH38" i="27"/>
  <c r="BN38" i="27"/>
  <c r="BS38" i="27"/>
  <c r="BX38" i="27"/>
  <c r="CD38" i="27"/>
  <c r="CI38" i="27"/>
  <c r="CN38" i="27"/>
  <c r="CT38" i="27"/>
  <c r="CY38" i="27"/>
  <c r="DD38" i="27"/>
  <c r="DJ38" i="27"/>
  <c r="DO38" i="27"/>
  <c r="DT38" i="27"/>
  <c r="B39" i="27"/>
  <c r="G39" i="27"/>
  <c r="L39" i="27"/>
  <c r="P39" i="27"/>
  <c r="T39" i="27"/>
  <c r="X39" i="27"/>
  <c r="AB39" i="27"/>
  <c r="AF39" i="27"/>
  <c r="AJ39" i="27"/>
  <c r="AN39" i="27"/>
  <c r="AR39" i="27"/>
  <c r="AV39" i="27"/>
  <c r="AZ39" i="27"/>
  <c r="BD39" i="27"/>
  <c r="BH39" i="27"/>
  <c r="BL39" i="27"/>
  <c r="BP39" i="27"/>
  <c r="BT39" i="27"/>
  <c r="BX39" i="27"/>
  <c r="CB39" i="27"/>
  <c r="CF39" i="27"/>
  <c r="CJ39" i="27"/>
  <c r="CN39" i="27"/>
  <c r="CR39" i="27"/>
  <c r="CV39" i="27"/>
  <c r="CZ39" i="27"/>
  <c r="DD39" i="27"/>
  <c r="DH39" i="27"/>
  <c r="DL39" i="27"/>
  <c r="DP39" i="27"/>
  <c r="DT39" i="27"/>
  <c r="DX39" i="27"/>
  <c r="D40" i="27"/>
  <c r="H40" i="27"/>
  <c r="L40" i="27"/>
  <c r="P40" i="27"/>
  <c r="T40" i="27"/>
  <c r="X40" i="27"/>
  <c r="AB40" i="27"/>
  <c r="AF40" i="27"/>
  <c r="AJ40" i="27"/>
  <c r="AN40" i="27"/>
  <c r="AR40" i="27"/>
  <c r="AV40" i="27"/>
  <c r="AZ40" i="27"/>
  <c r="BD40" i="27"/>
  <c r="BH40" i="27"/>
  <c r="BL40" i="27"/>
  <c r="BP40" i="27"/>
  <c r="BT40" i="27"/>
  <c r="BX40" i="27"/>
  <c r="CB40" i="27"/>
  <c r="CF40" i="27"/>
  <c r="CJ40" i="27"/>
  <c r="CN40" i="27"/>
  <c r="CR40" i="27"/>
  <c r="CV40" i="27"/>
  <c r="CZ40" i="27"/>
  <c r="DD40" i="27"/>
  <c r="DH40" i="27"/>
  <c r="DL40" i="27"/>
  <c r="DP40" i="27"/>
  <c r="DT40" i="27"/>
  <c r="DX40" i="27"/>
  <c r="D41" i="27"/>
  <c r="H41" i="27"/>
  <c r="L41" i="27"/>
  <c r="P41" i="27"/>
  <c r="T41" i="27"/>
  <c r="X41" i="27"/>
  <c r="AB41" i="27"/>
  <c r="AF41" i="27"/>
  <c r="AJ41" i="27"/>
  <c r="AN41" i="27"/>
  <c r="AR41" i="27"/>
  <c r="AV41" i="27"/>
  <c r="AZ41" i="27"/>
  <c r="BD41" i="27"/>
  <c r="BH41" i="27"/>
  <c r="BL41" i="27"/>
  <c r="BP41" i="27"/>
  <c r="BT41" i="27"/>
  <c r="BX41" i="27"/>
  <c r="CB41" i="27"/>
  <c r="CF41" i="27"/>
  <c r="CJ41" i="27"/>
  <c r="CN41" i="27"/>
  <c r="CR41" i="27"/>
  <c r="CV41" i="27"/>
  <c r="CZ41" i="27"/>
  <c r="DD41" i="27"/>
  <c r="DH41" i="27"/>
  <c r="DL41" i="27"/>
  <c r="DP41" i="27"/>
  <c r="DT41" i="27"/>
  <c r="DX41" i="27"/>
  <c r="D42" i="27"/>
  <c r="H42" i="27"/>
  <c r="L42" i="27"/>
  <c r="P42" i="27"/>
  <c r="T42" i="27"/>
  <c r="X42" i="27"/>
  <c r="AB42" i="27"/>
  <c r="AF42" i="27"/>
  <c r="AJ42" i="27"/>
  <c r="AN42" i="27"/>
  <c r="AR42" i="27"/>
  <c r="AV42" i="27"/>
  <c r="AZ42" i="27"/>
  <c r="BD42" i="27"/>
  <c r="BH42" i="27"/>
  <c r="BL42" i="27"/>
  <c r="BP42" i="27"/>
  <c r="BT42" i="27"/>
  <c r="BX42" i="27"/>
  <c r="CB42" i="27"/>
  <c r="CF42" i="27"/>
  <c r="CJ42" i="27"/>
  <c r="CN42" i="27"/>
  <c r="CR42" i="27"/>
  <c r="CV42" i="27"/>
  <c r="CZ42" i="27"/>
  <c r="DD42" i="27"/>
  <c r="DH42" i="27"/>
  <c r="DL42" i="27"/>
  <c r="DP42" i="27"/>
  <c r="DT42" i="27"/>
  <c r="DX42" i="27"/>
  <c r="D43" i="27"/>
  <c r="H43" i="27"/>
  <c r="L43" i="27"/>
  <c r="P43" i="27"/>
  <c r="T43" i="27"/>
  <c r="X43" i="27"/>
  <c r="AB43" i="27"/>
  <c r="AF43" i="27"/>
  <c r="AJ43" i="27"/>
  <c r="AN43" i="27"/>
  <c r="AR43" i="27"/>
  <c r="AV43" i="27"/>
  <c r="AZ43" i="27"/>
  <c r="BD43" i="27"/>
  <c r="BH43" i="27"/>
  <c r="BL43" i="27"/>
  <c r="BP43" i="27"/>
  <c r="BT43" i="27"/>
  <c r="BX43" i="27"/>
  <c r="CB43" i="27"/>
  <c r="CF43" i="27"/>
  <c r="CJ43" i="27"/>
  <c r="CN43" i="27"/>
  <c r="CR43" i="27"/>
  <c r="CV43" i="27"/>
  <c r="CZ43" i="27"/>
  <c r="DD43" i="27"/>
  <c r="DH43" i="27"/>
  <c r="DL43" i="27"/>
  <c r="DP43" i="27"/>
  <c r="DT43" i="27"/>
  <c r="DX43" i="27"/>
  <c r="D44" i="27"/>
  <c r="H44" i="27"/>
  <c r="L44" i="27"/>
  <c r="P44" i="27"/>
  <c r="T44" i="27"/>
  <c r="X44" i="27"/>
  <c r="AB44" i="27"/>
  <c r="AF44" i="27"/>
  <c r="AJ44" i="27"/>
  <c r="AN44" i="27"/>
  <c r="AR44" i="27"/>
  <c r="AV44" i="27"/>
  <c r="AZ44" i="27"/>
  <c r="BD44" i="27"/>
  <c r="BH44" i="27"/>
  <c r="BL44" i="27"/>
  <c r="BP44" i="27"/>
  <c r="BT44" i="27"/>
  <c r="BX44" i="27"/>
  <c r="CB44" i="27"/>
  <c r="CF44" i="27"/>
  <c r="CJ44" i="27"/>
  <c r="CN44" i="27"/>
  <c r="CR44" i="27"/>
  <c r="CV44" i="27"/>
  <c r="CZ44" i="27"/>
  <c r="DD44" i="27"/>
  <c r="DH44" i="27"/>
  <c r="DL44" i="27"/>
  <c r="DP44" i="27"/>
  <c r="DT44" i="27"/>
  <c r="DX44" i="27"/>
  <c r="D45" i="27"/>
  <c r="H45" i="27"/>
  <c r="L45" i="27"/>
  <c r="P45" i="27"/>
  <c r="T45" i="27"/>
  <c r="X45" i="27"/>
  <c r="AB45" i="27"/>
  <c r="AF45" i="27"/>
  <c r="AJ45" i="27"/>
  <c r="AN45" i="27"/>
  <c r="AR45" i="27"/>
  <c r="AV45" i="27"/>
  <c r="AZ45" i="27"/>
  <c r="BD45" i="27"/>
  <c r="BH45" i="27"/>
  <c r="BL45" i="27"/>
  <c r="BP45" i="27"/>
  <c r="BT45" i="27"/>
  <c r="BX45" i="27"/>
  <c r="CB45" i="27"/>
  <c r="CF45" i="27"/>
  <c r="CJ45" i="27"/>
  <c r="CN45" i="27"/>
  <c r="CR45" i="27"/>
  <c r="CV45" i="27"/>
  <c r="CZ45" i="27"/>
  <c r="DD45" i="27"/>
  <c r="DH45" i="27"/>
  <c r="DL45" i="27"/>
  <c r="DP45" i="27"/>
  <c r="DT45" i="27"/>
  <c r="DX45" i="27"/>
  <c r="BU17" i="27"/>
  <c r="BN23" i="27"/>
  <c r="CW25" i="27"/>
  <c r="CW27" i="27"/>
  <c r="AN29" i="27"/>
  <c r="AN30" i="27"/>
  <c r="AN31" i="27"/>
  <c r="G32" i="27"/>
  <c r="BS32" i="27"/>
  <c r="G33" i="27"/>
  <c r="BS33" i="27"/>
  <c r="G34" i="27"/>
  <c r="BS34" i="27"/>
  <c r="G35" i="27"/>
  <c r="BS35" i="27"/>
  <c r="DD35" i="27"/>
  <c r="L36" i="27"/>
  <c r="AR36" i="27"/>
  <c r="BX36" i="27"/>
  <c r="DD36" i="27"/>
  <c r="L37" i="27"/>
  <c r="AR37" i="27"/>
  <c r="BX37" i="27"/>
  <c r="DD37" i="27"/>
  <c r="L38" i="27"/>
  <c r="AN38" i="27"/>
  <c r="BJ38" i="27"/>
  <c r="CE38" i="27"/>
  <c r="CZ38" i="27"/>
  <c r="DV38" i="27"/>
  <c r="Q39" i="27"/>
  <c r="AG39" i="27"/>
  <c r="AW39" i="27"/>
  <c r="BM39" i="27"/>
  <c r="CC39" i="27"/>
  <c r="CS39" i="27"/>
  <c r="DI39" i="27"/>
  <c r="DY39" i="27"/>
  <c r="Q40" i="27"/>
  <c r="AG40" i="27"/>
  <c r="AW40" i="27"/>
  <c r="BM40" i="27"/>
  <c r="CC40" i="27"/>
  <c r="CS40" i="27"/>
  <c r="DI40" i="27"/>
  <c r="DY40" i="27"/>
  <c r="Q41" i="27"/>
  <c r="AG41" i="27"/>
  <c r="AW41" i="27"/>
  <c r="BM41" i="27"/>
  <c r="CC41" i="27"/>
  <c r="CS41" i="27"/>
  <c r="DI41" i="27"/>
  <c r="DY41" i="27"/>
  <c r="Q42" i="27"/>
  <c r="AG42" i="27"/>
  <c r="AW42" i="27"/>
  <c r="BM42" i="27"/>
  <c r="CC42" i="27"/>
  <c r="CS42" i="27"/>
  <c r="DI42" i="27"/>
  <c r="DY42" i="27"/>
  <c r="Q43" i="27"/>
  <c r="AG43" i="27"/>
  <c r="AW43" i="27"/>
  <c r="BM43" i="27"/>
  <c r="CC43" i="27"/>
  <c r="CS43" i="27"/>
  <c r="DI43" i="27"/>
  <c r="DY43" i="27"/>
  <c r="J44" i="27"/>
  <c r="R44" i="27"/>
  <c r="Z44" i="27"/>
  <c r="AH44" i="27"/>
  <c r="AP44" i="27"/>
  <c r="AX44" i="27"/>
  <c r="BF44" i="27"/>
  <c r="BN44" i="27"/>
  <c r="BV44" i="27"/>
  <c r="CD44" i="27"/>
  <c r="CL44" i="27"/>
  <c r="CT44" i="27"/>
  <c r="DB44" i="27"/>
  <c r="DJ44" i="27"/>
  <c r="DR44" i="27"/>
  <c r="B45" i="27"/>
  <c r="J45" i="27"/>
  <c r="R45" i="27"/>
  <c r="Z45" i="27"/>
  <c r="AH45" i="27"/>
  <c r="AP45" i="27"/>
  <c r="AX45" i="27"/>
  <c r="BF45" i="27"/>
  <c r="BN45" i="27"/>
  <c r="BV45" i="27"/>
  <c r="CD45" i="27"/>
  <c r="CL45" i="27"/>
  <c r="CT45" i="27"/>
  <c r="DB45" i="27"/>
  <c r="DJ45" i="27"/>
  <c r="DR45" i="27"/>
  <c r="B46" i="27"/>
  <c r="H46" i="27"/>
  <c r="M46" i="27"/>
  <c r="R46" i="27"/>
  <c r="X46" i="27"/>
  <c r="AC46" i="27"/>
  <c r="AH46" i="27"/>
  <c r="AN46" i="27"/>
  <c r="AS46" i="27"/>
  <c r="AX46" i="27"/>
  <c r="BD46" i="27"/>
  <c r="BI46" i="27"/>
  <c r="BN46" i="27"/>
  <c r="BT46" i="27"/>
  <c r="BY46" i="27"/>
  <c r="CD46" i="27"/>
  <c r="CJ46" i="27"/>
  <c r="CO46" i="27"/>
  <c r="CT46" i="27"/>
  <c r="CZ46" i="27"/>
  <c r="DE46" i="27"/>
  <c r="DJ46" i="27"/>
  <c r="DN46" i="27"/>
  <c r="DR46" i="27"/>
  <c r="DV46" i="27"/>
  <c r="B47" i="27"/>
  <c r="F47" i="27"/>
  <c r="J47" i="27"/>
  <c r="N47" i="27"/>
  <c r="R47" i="27"/>
  <c r="V47" i="27"/>
  <c r="Z47" i="27"/>
  <c r="AD47" i="27"/>
  <c r="AH47" i="27"/>
  <c r="AL47" i="27"/>
  <c r="AP47" i="27"/>
  <c r="AT47" i="27"/>
  <c r="AX47" i="27"/>
  <c r="BB47" i="27"/>
  <c r="BF47" i="27"/>
  <c r="BJ47" i="27"/>
  <c r="BN47" i="27"/>
  <c r="BR47" i="27"/>
  <c r="BV47" i="27"/>
  <c r="BZ47" i="27"/>
  <c r="CD47" i="27"/>
  <c r="CH47" i="27"/>
  <c r="CL47" i="27"/>
  <c r="CP47" i="27"/>
  <c r="CT47" i="27"/>
  <c r="CX47" i="27"/>
  <c r="DB47" i="27"/>
  <c r="DF47" i="27"/>
  <c r="DJ47" i="27"/>
  <c r="DN47" i="27"/>
  <c r="DR47" i="27"/>
  <c r="DV47" i="27"/>
  <c r="B48" i="27"/>
  <c r="F48" i="27"/>
  <c r="J48" i="27"/>
  <c r="N48" i="27"/>
  <c r="R48" i="27"/>
  <c r="V48" i="27"/>
  <c r="Z48" i="27"/>
  <c r="AD48" i="27"/>
  <c r="AH48" i="27"/>
  <c r="AL48" i="27"/>
  <c r="AP48" i="27"/>
  <c r="AT48" i="27"/>
  <c r="AX48" i="27"/>
  <c r="BB48" i="27"/>
  <c r="BF48" i="27"/>
  <c r="BJ48" i="27"/>
  <c r="BN48" i="27"/>
  <c r="BR48" i="27"/>
  <c r="BV48" i="27"/>
  <c r="BZ48" i="27"/>
  <c r="CD48" i="27"/>
  <c r="CH48" i="27"/>
  <c r="CL48" i="27"/>
  <c r="CP48" i="27"/>
  <c r="CT48" i="27"/>
  <c r="CX48" i="27"/>
  <c r="DB48" i="27"/>
  <c r="DF48" i="27"/>
  <c r="DJ48" i="27"/>
  <c r="DN48" i="27"/>
  <c r="DR48" i="27"/>
  <c r="DV48" i="27"/>
  <c r="B49" i="27"/>
  <c r="F49" i="27"/>
  <c r="J49" i="27"/>
  <c r="N49" i="27"/>
  <c r="R49" i="27"/>
  <c r="V49" i="27"/>
  <c r="Z49" i="27"/>
  <c r="AD49" i="27"/>
  <c r="AH49" i="27"/>
  <c r="AL49" i="27"/>
  <c r="AP49" i="27"/>
  <c r="AT49" i="27"/>
  <c r="AX49" i="27"/>
  <c r="BB49" i="27"/>
  <c r="BF49" i="27"/>
  <c r="BJ49" i="27"/>
  <c r="BN49" i="27"/>
  <c r="BR49" i="27"/>
  <c r="BV49" i="27"/>
  <c r="BZ49" i="27"/>
  <c r="CD49" i="27"/>
  <c r="CH49" i="27"/>
  <c r="CL49" i="27"/>
  <c r="CP49" i="27"/>
  <c r="CT49" i="27"/>
  <c r="CX49" i="27"/>
  <c r="DB49" i="27"/>
  <c r="DF49" i="27"/>
  <c r="DJ49" i="27"/>
  <c r="DN49" i="27"/>
  <c r="DR49" i="27"/>
  <c r="DV49" i="27"/>
  <c r="B50" i="27"/>
  <c r="F50" i="27"/>
  <c r="J50" i="27"/>
  <c r="N50" i="27"/>
  <c r="R50" i="27"/>
  <c r="V50" i="27"/>
  <c r="Z50" i="27"/>
  <c r="AD50" i="27"/>
  <c r="AH50" i="27"/>
  <c r="AL50" i="27"/>
  <c r="AP50" i="27"/>
  <c r="AT50" i="27"/>
  <c r="AX50" i="27"/>
  <c r="BB50" i="27"/>
  <c r="BF50" i="27"/>
  <c r="BJ50" i="27"/>
  <c r="BN50" i="27"/>
  <c r="BR50" i="27"/>
  <c r="BV50" i="27"/>
  <c r="BZ50" i="27"/>
  <c r="CD50" i="27"/>
  <c r="CH50" i="27"/>
  <c r="CL50" i="27"/>
  <c r="CP50" i="27"/>
  <c r="CT50" i="27"/>
  <c r="CX50" i="27"/>
  <c r="DB50" i="27"/>
  <c r="DF50" i="27"/>
  <c r="DJ50" i="27"/>
  <c r="DN50" i="27"/>
  <c r="DR50" i="27"/>
  <c r="DV50" i="27"/>
  <c r="B51" i="27"/>
  <c r="F51" i="27"/>
  <c r="J51" i="27"/>
  <c r="N51" i="27"/>
  <c r="R51" i="27"/>
  <c r="V51" i="27"/>
  <c r="Z51" i="27"/>
  <c r="AD51" i="27"/>
  <c r="AH51" i="27"/>
  <c r="AL51" i="27"/>
  <c r="AP51" i="27"/>
  <c r="AT51" i="27"/>
  <c r="AX51" i="27"/>
  <c r="BB51" i="27"/>
  <c r="BF51" i="27"/>
  <c r="BJ51" i="27"/>
  <c r="BN51" i="27"/>
  <c r="BR51" i="27"/>
  <c r="BV51" i="27"/>
  <c r="BZ51" i="27"/>
  <c r="CD51" i="27"/>
  <c r="CH51" i="27"/>
  <c r="CL51" i="27"/>
  <c r="CP51" i="27"/>
  <c r="CT51" i="27"/>
  <c r="CX51" i="27"/>
  <c r="DB51" i="27"/>
  <c r="DF51" i="27"/>
  <c r="DJ51" i="27"/>
  <c r="DN51" i="27"/>
  <c r="DR51" i="27"/>
  <c r="DV51" i="27"/>
  <c r="B52" i="27"/>
  <c r="F52" i="27"/>
  <c r="J52" i="27"/>
  <c r="N52" i="27"/>
  <c r="R52" i="27"/>
  <c r="V52" i="27"/>
  <c r="Z52" i="27"/>
  <c r="AD52" i="27"/>
  <c r="AH52" i="27"/>
  <c r="AL52" i="27"/>
  <c r="AP52" i="27"/>
  <c r="AT52" i="27"/>
  <c r="AX52" i="27"/>
  <c r="BB52" i="27"/>
  <c r="BF52" i="27"/>
  <c r="BJ52" i="27"/>
  <c r="BN52" i="27"/>
  <c r="BR52" i="27"/>
  <c r="BV52" i="27"/>
  <c r="BZ52" i="27"/>
  <c r="CD52" i="27"/>
  <c r="CH52" i="27"/>
  <c r="CL52" i="27"/>
  <c r="CP52" i="27"/>
  <c r="CT52" i="27"/>
  <c r="CX52" i="27"/>
  <c r="DB52" i="27"/>
  <c r="DF52" i="27"/>
  <c r="DJ52" i="27"/>
  <c r="DN52" i="27"/>
  <c r="DR52" i="27"/>
  <c r="DV52" i="27"/>
  <c r="B53" i="27"/>
  <c r="F53" i="27"/>
  <c r="J53" i="27"/>
  <c r="N53" i="27"/>
  <c r="R53" i="27"/>
  <c r="V53" i="27"/>
  <c r="Z53" i="27"/>
  <c r="AD53" i="27"/>
  <c r="AH53" i="27"/>
  <c r="AL53" i="27"/>
  <c r="AP53" i="27"/>
  <c r="AT53" i="27"/>
  <c r="AX53" i="27"/>
  <c r="BB53" i="27"/>
  <c r="BF53" i="27"/>
  <c r="BJ53" i="27"/>
  <c r="BN53" i="27"/>
  <c r="BR53" i="27"/>
  <c r="BV53" i="27"/>
  <c r="BZ53" i="27"/>
  <c r="CD53" i="27"/>
  <c r="CH53" i="27"/>
  <c r="CL53" i="27"/>
  <c r="CP53" i="27"/>
  <c r="CT53" i="27"/>
  <c r="CX53" i="27"/>
  <c r="DB53" i="27"/>
  <c r="DF53" i="27"/>
  <c r="DJ53" i="27"/>
  <c r="DN53" i="27"/>
  <c r="DR53" i="27"/>
  <c r="DV53" i="27"/>
  <c r="B54" i="27"/>
  <c r="F54" i="27"/>
  <c r="J54" i="27"/>
  <c r="N54" i="27"/>
  <c r="R54" i="27"/>
  <c r="V54" i="27"/>
  <c r="Z54" i="27"/>
  <c r="AD54" i="27"/>
  <c r="AH54" i="27"/>
  <c r="AL54" i="27"/>
  <c r="AP54" i="27"/>
  <c r="AT54" i="27"/>
  <c r="AX54" i="27"/>
  <c r="BB54" i="27"/>
  <c r="BF54" i="27"/>
  <c r="BJ54" i="27"/>
  <c r="BN54" i="27"/>
  <c r="BR54" i="27"/>
  <c r="BV54" i="27"/>
  <c r="BZ54" i="27"/>
  <c r="CD54" i="27"/>
  <c r="CH54" i="27"/>
  <c r="CL54" i="27"/>
  <c r="CP54" i="27"/>
  <c r="CT54" i="27"/>
  <c r="CX54" i="27"/>
  <c r="DB54" i="27"/>
  <c r="DF54" i="27"/>
  <c r="DJ54" i="27"/>
  <c r="DN54" i="27"/>
  <c r="DR54" i="27"/>
  <c r="DV54" i="27"/>
  <c r="B55" i="27"/>
  <c r="F55" i="27"/>
  <c r="J55" i="27"/>
  <c r="N55" i="27"/>
  <c r="R55" i="27"/>
  <c r="V55" i="27"/>
  <c r="Z55" i="27"/>
  <c r="AD55" i="27"/>
  <c r="AH55" i="27"/>
  <c r="AL55" i="27"/>
  <c r="AP55" i="27"/>
  <c r="AT55" i="27"/>
  <c r="AX55" i="27"/>
  <c r="BB55" i="27"/>
  <c r="BF55" i="27"/>
  <c r="BJ55" i="27"/>
  <c r="BN55" i="27"/>
  <c r="BR55" i="27"/>
  <c r="BV55" i="27"/>
  <c r="BZ55" i="27"/>
  <c r="CD55" i="27"/>
  <c r="CH55" i="27"/>
  <c r="CL55" i="27"/>
  <c r="CP55" i="27"/>
  <c r="CT55" i="27"/>
  <c r="CX55" i="27"/>
  <c r="DB55" i="27"/>
  <c r="DF55" i="27"/>
  <c r="DJ55" i="27"/>
  <c r="DN55" i="27"/>
  <c r="DR55" i="27"/>
  <c r="DV55" i="27"/>
  <c r="B56" i="27"/>
  <c r="F56" i="27"/>
  <c r="J56" i="27"/>
  <c r="N56" i="27"/>
  <c r="R56" i="27"/>
  <c r="V56" i="27"/>
  <c r="Z56" i="27"/>
  <c r="AD56" i="27"/>
  <c r="AH56" i="27"/>
  <c r="AL56" i="27"/>
  <c r="AP56" i="27"/>
  <c r="AT56" i="27"/>
  <c r="AX56" i="27"/>
  <c r="BB56" i="27"/>
  <c r="BF56" i="27"/>
  <c r="BJ56" i="27"/>
  <c r="BN56" i="27"/>
  <c r="BR56" i="27"/>
  <c r="BV56" i="27"/>
  <c r="BZ56" i="27"/>
  <c r="CD56" i="27"/>
  <c r="CH56" i="27"/>
  <c r="CL56" i="27"/>
  <c r="CP56" i="27"/>
  <c r="CT56" i="27"/>
  <c r="CX56" i="27"/>
  <c r="DB56" i="27"/>
  <c r="DF56" i="27"/>
  <c r="DJ56" i="27"/>
  <c r="DN56" i="27"/>
  <c r="DR56" i="27"/>
  <c r="DV56" i="27"/>
  <c r="B57" i="27"/>
  <c r="F57" i="27"/>
  <c r="J57" i="27"/>
  <c r="N57" i="27"/>
  <c r="R57" i="27"/>
  <c r="V57" i="27"/>
  <c r="Z57" i="27"/>
  <c r="AD57" i="27"/>
  <c r="AH57" i="27"/>
  <c r="AL57" i="27"/>
  <c r="AP57" i="27"/>
  <c r="AT57" i="27"/>
  <c r="AX57" i="27"/>
  <c r="BB57" i="27"/>
  <c r="BF57" i="27"/>
  <c r="BJ57" i="27"/>
  <c r="BN57" i="27"/>
  <c r="BR57" i="27"/>
  <c r="BV57" i="27"/>
  <c r="BZ57" i="27"/>
  <c r="CD57" i="27"/>
  <c r="CH57" i="27"/>
  <c r="CL57" i="27"/>
  <c r="CP57" i="27"/>
  <c r="CT57" i="27"/>
  <c r="CX57" i="27"/>
  <c r="DB57" i="27"/>
  <c r="DF57" i="27"/>
  <c r="DJ57" i="27"/>
  <c r="DN57" i="27"/>
  <c r="DR57" i="27"/>
  <c r="DV57" i="27"/>
  <c r="B58" i="27"/>
  <c r="F58" i="27"/>
  <c r="J58" i="27"/>
  <c r="N58" i="27"/>
  <c r="R58" i="27"/>
  <c r="V58" i="27"/>
  <c r="Z58" i="27"/>
  <c r="AD58" i="27"/>
  <c r="AH58" i="27"/>
  <c r="AL58" i="27"/>
  <c r="AP58" i="27"/>
  <c r="AT58" i="27"/>
  <c r="AX58" i="27"/>
  <c r="BB58" i="27"/>
  <c r="BF58" i="27"/>
  <c r="BJ58" i="27"/>
  <c r="BN58" i="27"/>
  <c r="BR58" i="27"/>
  <c r="BV58" i="27"/>
  <c r="BZ58" i="27"/>
  <c r="CD58" i="27"/>
  <c r="CH58" i="27"/>
  <c r="CL58" i="27"/>
  <c r="CP58" i="27"/>
  <c r="CT58" i="27"/>
  <c r="CX58" i="27"/>
  <c r="DB58" i="27"/>
  <c r="DF58" i="27"/>
  <c r="DJ58" i="27"/>
  <c r="DN58" i="27"/>
  <c r="DR58" i="27"/>
  <c r="DV58" i="27"/>
  <c r="B59" i="27"/>
  <c r="F59" i="27"/>
  <c r="J59" i="27"/>
  <c r="N59" i="27"/>
  <c r="R59" i="27"/>
  <c r="V59" i="27"/>
  <c r="Z59" i="27"/>
  <c r="AD59" i="27"/>
  <c r="AH59" i="27"/>
  <c r="AL59" i="27"/>
  <c r="AP59" i="27"/>
  <c r="AT59" i="27"/>
  <c r="AX59" i="27"/>
  <c r="BB59" i="27"/>
  <c r="BF59" i="27"/>
  <c r="BJ59" i="27"/>
  <c r="BN59" i="27"/>
  <c r="BR59" i="27"/>
  <c r="BV59" i="27"/>
  <c r="BZ59" i="27"/>
  <c r="CD59" i="27"/>
  <c r="CH59" i="27"/>
  <c r="CL59" i="27"/>
  <c r="CP59" i="27"/>
  <c r="CT59" i="27"/>
  <c r="CX59" i="27"/>
  <c r="DB59" i="27"/>
  <c r="DF59" i="27"/>
  <c r="DJ59" i="27"/>
  <c r="DN59" i="27"/>
  <c r="DR59" i="27"/>
  <c r="DV59" i="27"/>
  <c r="B60" i="27"/>
  <c r="F60" i="27"/>
  <c r="J60" i="27"/>
  <c r="N60" i="27"/>
  <c r="R60" i="27"/>
  <c r="V60" i="27"/>
  <c r="Z60" i="27"/>
  <c r="AD60" i="27"/>
  <c r="AH60" i="27"/>
  <c r="AL60" i="27"/>
  <c r="AP60" i="27"/>
  <c r="AT60" i="27"/>
  <c r="AX60" i="27"/>
  <c r="BB60" i="27"/>
  <c r="BF60" i="27"/>
  <c r="BJ60" i="27"/>
  <c r="BN60" i="27"/>
  <c r="BR60" i="27"/>
  <c r="BV60" i="27"/>
  <c r="BZ60" i="27"/>
  <c r="CD60" i="27"/>
  <c r="CH60" i="27"/>
  <c r="CL60" i="27"/>
  <c r="CP60" i="27"/>
  <c r="CT60" i="27"/>
  <c r="CX60" i="27"/>
  <c r="DB60" i="27"/>
  <c r="DF60" i="27"/>
  <c r="DJ60" i="27"/>
  <c r="DN60" i="27"/>
  <c r="DR60" i="27"/>
  <c r="DV60" i="27"/>
  <c r="B61" i="27"/>
  <c r="F61" i="27"/>
  <c r="J61" i="27"/>
  <c r="N61" i="27"/>
  <c r="R61" i="27"/>
  <c r="V61" i="27"/>
  <c r="Z61" i="27"/>
  <c r="AD61" i="27"/>
  <c r="AH61" i="27"/>
  <c r="AL61" i="27"/>
  <c r="AP61" i="27"/>
  <c r="AT61" i="27"/>
  <c r="AX61" i="27"/>
  <c r="BB61" i="27"/>
  <c r="BF61" i="27"/>
  <c r="BJ61" i="27"/>
  <c r="BN61" i="27"/>
  <c r="BR61" i="27"/>
  <c r="BV61" i="27"/>
  <c r="BZ61" i="27"/>
  <c r="CD61" i="27"/>
  <c r="CH61" i="27"/>
  <c r="CL61" i="27"/>
  <c r="CP61" i="27"/>
  <c r="CT61" i="27"/>
  <c r="CX61" i="27"/>
  <c r="DB61" i="27"/>
  <c r="DF61" i="27"/>
  <c r="DJ61" i="27"/>
  <c r="DN61" i="27"/>
  <c r="DR61" i="27"/>
  <c r="DV61" i="27"/>
  <c r="B62" i="27"/>
  <c r="F62" i="27"/>
  <c r="J62" i="27"/>
  <c r="N62" i="27"/>
  <c r="R62" i="27"/>
  <c r="V62" i="27"/>
  <c r="Z62" i="27"/>
  <c r="AD62" i="27"/>
  <c r="AH62" i="27"/>
  <c r="AL62" i="27"/>
  <c r="AP62" i="27"/>
  <c r="AT62" i="27"/>
  <c r="AX62" i="27"/>
  <c r="DF19" i="27"/>
  <c r="AJ24" i="27"/>
  <c r="AK26" i="27"/>
  <c r="AK28" i="27"/>
  <c r="BT29" i="27"/>
  <c r="BT30" i="27"/>
  <c r="BT31" i="27"/>
  <c r="W32" i="27"/>
  <c r="CI32" i="27"/>
  <c r="W33" i="27"/>
  <c r="CI33" i="27"/>
  <c r="W34" i="27"/>
  <c r="CI34" i="27"/>
  <c r="W35" i="27"/>
  <c r="CF35" i="27"/>
  <c r="DL35" i="27"/>
  <c r="T36" i="27"/>
  <c r="AZ36" i="27"/>
  <c r="CF36" i="27"/>
  <c r="DL36" i="27"/>
  <c r="T37" i="27"/>
  <c r="AZ37" i="27"/>
  <c r="CF37" i="27"/>
  <c r="DL37" i="27"/>
  <c r="T38" i="27"/>
  <c r="AT38" i="27"/>
  <c r="BO38" i="27"/>
  <c r="CJ38" i="27"/>
  <c r="DF38" i="27"/>
  <c r="C39" i="27"/>
  <c r="U39" i="27"/>
  <c r="AK39" i="27"/>
  <c r="BA39" i="27"/>
  <c r="BQ39" i="27"/>
  <c r="CG39" i="27"/>
  <c r="CW39" i="27"/>
  <c r="DM39" i="27"/>
  <c r="E40" i="27"/>
  <c r="U40" i="27"/>
  <c r="AK40" i="27"/>
  <c r="BA40" i="27"/>
  <c r="BQ40" i="27"/>
  <c r="CG40" i="27"/>
  <c r="CW40" i="27"/>
  <c r="DM40" i="27"/>
  <c r="E41" i="27"/>
  <c r="U41" i="27"/>
  <c r="AK41" i="27"/>
  <c r="BA41" i="27"/>
  <c r="BQ41" i="27"/>
  <c r="CG41" i="27"/>
  <c r="CW41" i="27"/>
  <c r="DM41" i="27"/>
  <c r="E42" i="27"/>
  <c r="U42" i="27"/>
  <c r="AK42" i="27"/>
  <c r="BA42" i="27"/>
  <c r="BQ42" i="27"/>
  <c r="CG42" i="27"/>
  <c r="CW42" i="27"/>
  <c r="DM42" i="27"/>
  <c r="E43" i="27"/>
  <c r="U43" i="27"/>
  <c r="AK43" i="27"/>
  <c r="BA43" i="27"/>
  <c r="BQ43" i="27"/>
  <c r="CG43" i="27"/>
  <c r="CW43" i="27"/>
  <c r="DM43" i="27"/>
  <c r="E44" i="27"/>
  <c r="M44" i="27"/>
  <c r="U44" i="27"/>
  <c r="AC44" i="27"/>
  <c r="AK44" i="27"/>
  <c r="AS44" i="27"/>
  <c r="BA44" i="27"/>
  <c r="BI44" i="27"/>
  <c r="BQ44" i="27"/>
  <c r="BY44" i="27"/>
  <c r="CG44" i="27"/>
  <c r="CO44" i="27"/>
  <c r="CW44" i="27"/>
  <c r="DE44" i="27"/>
  <c r="DM44" i="27"/>
  <c r="DU44" i="27"/>
  <c r="E45" i="27"/>
  <c r="M45" i="27"/>
  <c r="U45" i="27"/>
  <c r="AC45" i="27"/>
  <c r="AK45" i="27"/>
  <c r="AS45" i="27"/>
  <c r="BA45" i="27"/>
  <c r="BI45" i="27"/>
  <c r="BQ45" i="27"/>
  <c r="BY45" i="27"/>
  <c r="CG45" i="27"/>
  <c r="CO45" i="27"/>
  <c r="CW45" i="27"/>
  <c r="DE45" i="27"/>
  <c r="DM45" i="27"/>
  <c r="DU45" i="27"/>
  <c r="D46" i="27"/>
  <c r="I46" i="27"/>
  <c r="N46" i="27"/>
  <c r="T46" i="27"/>
  <c r="Y46" i="27"/>
  <c r="AD46" i="27"/>
  <c r="AJ46" i="27"/>
  <c r="AO46" i="27"/>
  <c r="AT46" i="27"/>
  <c r="AZ46" i="27"/>
  <c r="BE46" i="27"/>
  <c r="BJ46" i="27"/>
  <c r="BP46" i="27"/>
  <c r="BU46" i="27"/>
  <c r="BZ46" i="27"/>
  <c r="CF46" i="27"/>
  <c r="CK46" i="27"/>
  <c r="CP46" i="27"/>
  <c r="CV46" i="27"/>
  <c r="DA46" i="27"/>
  <c r="DF46" i="27"/>
  <c r="DK46" i="27"/>
  <c r="DO46" i="27"/>
  <c r="DS46" i="27"/>
  <c r="DW46" i="27"/>
  <c r="C47" i="27"/>
  <c r="G47" i="27"/>
  <c r="K47" i="27"/>
  <c r="O47" i="27"/>
  <c r="S47" i="27"/>
  <c r="W47" i="27"/>
  <c r="AA47" i="27"/>
  <c r="AE47" i="27"/>
  <c r="AI47" i="27"/>
  <c r="AM47" i="27"/>
  <c r="AQ47" i="27"/>
  <c r="AU47" i="27"/>
  <c r="AY47" i="27"/>
  <c r="BC47" i="27"/>
  <c r="BG47" i="27"/>
  <c r="BK47" i="27"/>
  <c r="BO47" i="27"/>
  <c r="BS47" i="27"/>
  <c r="BW47" i="27"/>
  <c r="CA47" i="27"/>
  <c r="CE47" i="27"/>
  <c r="CI47" i="27"/>
  <c r="CM47" i="27"/>
  <c r="CQ47" i="27"/>
  <c r="CU47" i="27"/>
  <c r="CY47" i="27"/>
  <c r="DC47" i="27"/>
  <c r="DG47" i="27"/>
  <c r="DK47" i="27"/>
  <c r="DO47" i="27"/>
  <c r="DS47" i="27"/>
  <c r="DW47" i="27"/>
  <c r="C48" i="27"/>
  <c r="G48" i="27"/>
  <c r="K48" i="27"/>
  <c r="O48" i="27"/>
  <c r="S48" i="27"/>
  <c r="W48" i="27"/>
  <c r="AA48" i="27"/>
  <c r="AE48" i="27"/>
  <c r="AI48" i="27"/>
  <c r="AM48" i="27"/>
  <c r="AQ48" i="27"/>
  <c r="AU48" i="27"/>
  <c r="AY48" i="27"/>
  <c r="BC48" i="27"/>
  <c r="BG48" i="27"/>
  <c r="BK48" i="27"/>
  <c r="BO48" i="27"/>
  <c r="BS48" i="27"/>
  <c r="BW48" i="27"/>
  <c r="CA48" i="27"/>
  <c r="CE48" i="27"/>
  <c r="CI48" i="27"/>
  <c r="CM48" i="27"/>
  <c r="CQ48" i="27"/>
  <c r="CU48" i="27"/>
  <c r="CY48" i="27"/>
  <c r="DC48" i="27"/>
  <c r="DG48" i="27"/>
  <c r="DK48" i="27"/>
  <c r="DO48" i="27"/>
  <c r="DS48" i="27"/>
  <c r="DW48" i="27"/>
  <c r="C49" i="27"/>
  <c r="G49" i="27"/>
  <c r="K49" i="27"/>
  <c r="O49" i="27"/>
  <c r="S49" i="27"/>
  <c r="W49" i="27"/>
  <c r="AA49" i="27"/>
  <c r="AE49" i="27"/>
  <c r="AI49" i="27"/>
  <c r="AM49" i="27"/>
  <c r="AQ49" i="27"/>
  <c r="AU49" i="27"/>
  <c r="AY49" i="27"/>
  <c r="BC49" i="27"/>
  <c r="BG49" i="27"/>
  <c r="BK49" i="27"/>
  <c r="BO49" i="27"/>
  <c r="BS49" i="27"/>
  <c r="BW49" i="27"/>
  <c r="CA49" i="27"/>
  <c r="CE49" i="27"/>
  <c r="CI49" i="27"/>
  <c r="CM49" i="27"/>
  <c r="CQ49" i="27"/>
  <c r="CU49" i="27"/>
  <c r="CY49" i="27"/>
  <c r="DC49" i="27"/>
  <c r="DG49" i="27"/>
  <c r="DK49" i="27"/>
  <c r="DO49" i="27"/>
  <c r="DS49" i="27"/>
  <c r="DW49" i="27"/>
  <c r="C50" i="27"/>
  <c r="G50" i="27"/>
  <c r="K50" i="27"/>
  <c r="O50" i="27"/>
  <c r="S50" i="27"/>
  <c r="W50" i="27"/>
  <c r="AA50" i="27"/>
  <c r="AE50" i="27"/>
  <c r="AI50" i="27"/>
  <c r="AM50" i="27"/>
  <c r="AQ50" i="27"/>
  <c r="AU50" i="27"/>
  <c r="AY50" i="27"/>
  <c r="BC50" i="27"/>
  <c r="BG50" i="27"/>
  <c r="BK50" i="27"/>
  <c r="BO50" i="27"/>
  <c r="BS50" i="27"/>
  <c r="BW50" i="27"/>
  <c r="CA50" i="27"/>
  <c r="CE50" i="27"/>
  <c r="CI50" i="27"/>
  <c r="CM50" i="27"/>
  <c r="CQ50" i="27"/>
  <c r="CU50" i="27"/>
  <c r="CY50" i="27"/>
  <c r="DC50" i="27"/>
  <c r="DG50" i="27"/>
  <c r="DK50" i="27"/>
  <c r="DO50" i="27"/>
  <c r="DS50" i="27"/>
  <c r="DW50" i="27"/>
  <c r="C51" i="27"/>
  <c r="G51" i="27"/>
  <c r="K51" i="27"/>
  <c r="O51" i="27"/>
  <c r="S51" i="27"/>
  <c r="W51" i="27"/>
  <c r="AA51" i="27"/>
  <c r="AE51" i="27"/>
  <c r="AI51" i="27"/>
  <c r="AM51" i="27"/>
  <c r="AQ51" i="27"/>
  <c r="AU51" i="27"/>
  <c r="AY51" i="27"/>
  <c r="BC51" i="27"/>
  <c r="BG51" i="27"/>
  <c r="BK51" i="27"/>
  <c r="BO51" i="27"/>
  <c r="BS51" i="27"/>
  <c r="BW51" i="27"/>
  <c r="CA51" i="27"/>
  <c r="CE51" i="27"/>
  <c r="CI51" i="27"/>
  <c r="CM51" i="27"/>
  <c r="CQ51" i="27"/>
  <c r="CU51" i="27"/>
  <c r="CY51" i="27"/>
  <c r="DC51" i="27"/>
  <c r="DG51" i="27"/>
  <c r="DK51" i="27"/>
  <c r="DO51" i="27"/>
  <c r="DS51" i="27"/>
  <c r="DW51" i="27"/>
  <c r="C52" i="27"/>
  <c r="G52" i="27"/>
  <c r="K52" i="27"/>
  <c r="O52" i="27"/>
  <c r="S52" i="27"/>
  <c r="W52" i="27"/>
  <c r="AA52" i="27"/>
  <c r="AE52" i="27"/>
  <c r="AI52" i="27"/>
  <c r="AM52" i="27"/>
  <c r="AQ52" i="27"/>
  <c r="AU52" i="27"/>
  <c r="AY52" i="27"/>
  <c r="BC52" i="27"/>
  <c r="BG52" i="27"/>
  <c r="BK52" i="27"/>
  <c r="BO52" i="27"/>
  <c r="BS52" i="27"/>
  <c r="BW52" i="27"/>
  <c r="CA52" i="27"/>
  <c r="CE52" i="27"/>
  <c r="CI52" i="27"/>
  <c r="CM52" i="27"/>
  <c r="CQ52" i="27"/>
  <c r="CU52" i="27"/>
  <c r="CY52" i="27"/>
  <c r="DC52" i="27"/>
  <c r="DG52" i="27"/>
  <c r="DK52" i="27"/>
  <c r="DO52" i="27"/>
  <c r="DS52" i="27"/>
  <c r="DW52" i="27"/>
  <c r="C53" i="27"/>
  <c r="G53" i="27"/>
  <c r="K53" i="27"/>
  <c r="O53" i="27"/>
  <c r="S53" i="27"/>
  <c r="W53" i="27"/>
  <c r="AA53" i="27"/>
  <c r="AE53" i="27"/>
  <c r="AI53" i="27"/>
  <c r="AM53" i="27"/>
  <c r="AQ53" i="27"/>
  <c r="AU53" i="27"/>
  <c r="AY53" i="27"/>
  <c r="BC53" i="27"/>
  <c r="BG53" i="27"/>
  <c r="BK53" i="27"/>
  <c r="BO53" i="27"/>
  <c r="BS53" i="27"/>
  <c r="BW53" i="27"/>
  <c r="CA53" i="27"/>
  <c r="CE53" i="27"/>
  <c r="CI53" i="27"/>
  <c r="CM53" i="27"/>
  <c r="CQ53" i="27"/>
  <c r="CU53" i="27"/>
  <c r="CY53" i="27"/>
  <c r="DC53" i="27"/>
  <c r="DG53" i="27"/>
  <c r="DK53" i="27"/>
  <c r="DO53" i="27"/>
  <c r="DS53" i="27"/>
  <c r="DW53" i="27"/>
  <c r="C54" i="27"/>
  <c r="G54" i="27"/>
  <c r="K54" i="27"/>
  <c r="O54" i="27"/>
  <c r="S54" i="27"/>
  <c r="W54" i="27"/>
  <c r="AA54" i="27"/>
  <c r="AE54" i="27"/>
  <c r="AI54" i="27"/>
  <c r="AM54" i="27"/>
  <c r="AQ54" i="27"/>
  <c r="AU54" i="27"/>
  <c r="AY54" i="27"/>
  <c r="BC54" i="27"/>
  <c r="BG54" i="27"/>
  <c r="BK54" i="27"/>
  <c r="BO54" i="27"/>
  <c r="BS54" i="27"/>
  <c r="BW54" i="27"/>
  <c r="CA54" i="27"/>
  <c r="CE54" i="27"/>
  <c r="CI54" i="27"/>
  <c r="CM54" i="27"/>
  <c r="CQ54" i="27"/>
  <c r="CU54" i="27"/>
  <c r="CY54" i="27"/>
  <c r="DC54" i="27"/>
  <c r="DG54" i="27"/>
  <c r="DK54" i="27"/>
  <c r="DO54" i="27"/>
  <c r="DS54" i="27"/>
  <c r="DW54" i="27"/>
  <c r="C55" i="27"/>
  <c r="G55" i="27"/>
  <c r="K55" i="27"/>
  <c r="O55" i="27"/>
  <c r="S55" i="27"/>
  <c r="W55" i="27"/>
  <c r="AA55" i="27"/>
  <c r="AE55" i="27"/>
  <c r="AI55" i="27"/>
  <c r="AM55" i="27"/>
  <c r="AQ55" i="27"/>
  <c r="AU55" i="27"/>
  <c r="AY55" i="27"/>
  <c r="BC55" i="27"/>
  <c r="BG55" i="27"/>
  <c r="BK55" i="27"/>
  <c r="BO55" i="27"/>
  <c r="BS55" i="27"/>
  <c r="BW55" i="27"/>
  <c r="CA55" i="27"/>
  <c r="CE55" i="27"/>
  <c r="CI55" i="27"/>
  <c r="CM55" i="27"/>
  <c r="CQ55" i="27"/>
  <c r="CU55" i="27"/>
  <c r="CY55" i="27"/>
  <c r="DC55" i="27"/>
  <c r="DG55" i="27"/>
  <c r="DK55" i="27"/>
  <c r="DO55" i="27"/>
  <c r="DS55" i="27"/>
  <c r="DW55" i="27"/>
  <c r="C56" i="27"/>
  <c r="G56" i="27"/>
  <c r="K56" i="27"/>
  <c r="O56" i="27"/>
  <c r="S56" i="27"/>
  <c r="W56" i="27"/>
  <c r="AA56" i="27"/>
  <c r="AE56" i="27"/>
  <c r="AI56" i="27"/>
  <c r="AM56" i="27"/>
  <c r="AQ56" i="27"/>
  <c r="AU56" i="27"/>
  <c r="AY56" i="27"/>
  <c r="BC56" i="27"/>
  <c r="BG56" i="27"/>
  <c r="BK56" i="27"/>
  <c r="BO56" i="27"/>
  <c r="BS56" i="27"/>
  <c r="BW56" i="27"/>
  <c r="CA56" i="27"/>
  <c r="CE56" i="27"/>
  <c r="CI56" i="27"/>
  <c r="CM56" i="27"/>
  <c r="CQ56" i="27"/>
  <c r="CU56" i="27"/>
  <c r="CY56" i="27"/>
  <c r="DC56" i="27"/>
  <c r="DG56" i="27"/>
  <c r="DK56" i="27"/>
  <c r="DO56" i="27"/>
  <c r="DS56" i="27"/>
  <c r="DW56" i="27"/>
  <c r="C57" i="27"/>
  <c r="G57" i="27"/>
  <c r="K57" i="27"/>
  <c r="O57" i="27"/>
  <c r="S57" i="27"/>
  <c r="W57" i="27"/>
  <c r="AA57" i="27"/>
  <c r="AE57" i="27"/>
  <c r="AI57" i="27"/>
  <c r="AM57" i="27"/>
  <c r="AQ57" i="27"/>
  <c r="AU57" i="27"/>
  <c r="AY57" i="27"/>
  <c r="BC57" i="27"/>
  <c r="BG57" i="27"/>
  <c r="BK57" i="27"/>
  <c r="BO57" i="27"/>
  <c r="BS57" i="27"/>
  <c r="BW57" i="27"/>
  <c r="CA57" i="27"/>
  <c r="CE57" i="27"/>
  <c r="CI57" i="27"/>
  <c r="CM57" i="27"/>
  <c r="CQ57" i="27"/>
  <c r="CU57" i="27"/>
  <c r="CY57" i="27"/>
  <c r="DC57" i="27"/>
  <c r="DG57" i="27"/>
  <c r="DK57" i="27"/>
  <c r="DO57" i="27"/>
  <c r="DS57" i="27"/>
  <c r="DW57" i="27"/>
  <c r="C58" i="27"/>
  <c r="G58" i="27"/>
  <c r="K58" i="27"/>
  <c r="O58" i="27"/>
  <c r="S58" i="27"/>
  <c r="W58" i="27"/>
  <c r="AA58" i="27"/>
  <c r="AE58" i="27"/>
  <c r="AI58" i="27"/>
  <c r="AM58" i="27"/>
  <c r="AQ58" i="27"/>
  <c r="AU58" i="27"/>
  <c r="AY58" i="27"/>
  <c r="BC58" i="27"/>
  <c r="BG58" i="27"/>
  <c r="BK58" i="27"/>
  <c r="BO58" i="27"/>
  <c r="BS58" i="27"/>
  <c r="BW58" i="27"/>
  <c r="CA58" i="27"/>
  <c r="CE58" i="27"/>
  <c r="CI58" i="27"/>
  <c r="CM58" i="27"/>
  <c r="CQ58" i="27"/>
  <c r="CU58" i="27"/>
  <c r="CY58" i="27"/>
  <c r="DC58" i="27"/>
  <c r="DG58" i="27"/>
  <c r="DK58" i="27"/>
  <c r="DO58" i="27"/>
  <c r="DS58" i="27"/>
  <c r="DW58" i="27"/>
  <c r="C59" i="27"/>
  <c r="G59" i="27"/>
  <c r="K59" i="27"/>
  <c r="O59" i="27"/>
  <c r="S59" i="27"/>
  <c r="W59" i="27"/>
  <c r="AA59" i="27"/>
  <c r="AE59" i="27"/>
  <c r="AI59" i="27"/>
  <c r="AM59" i="27"/>
  <c r="AQ59" i="27"/>
  <c r="AU59" i="27"/>
  <c r="AY59" i="27"/>
  <c r="BC59" i="27"/>
  <c r="BG59" i="27"/>
  <c r="BK59" i="27"/>
  <c r="BO59" i="27"/>
  <c r="BS59" i="27"/>
  <c r="BW59" i="27"/>
  <c r="CA59" i="27"/>
  <c r="CE59" i="27"/>
  <c r="CI59" i="27"/>
  <c r="CM59" i="27"/>
  <c r="CQ59" i="27"/>
  <c r="CU59" i="27"/>
  <c r="CY59" i="27"/>
  <c r="DC59" i="27"/>
  <c r="DG59" i="27"/>
  <c r="DK59" i="27"/>
  <c r="DO59" i="27"/>
  <c r="DS59" i="27"/>
  <c r="DW59" i="27"/>
  <c r="C60" i="27"/>
  <c r="G60" i="27"/>
  <c r="K60" i="27"/>
  <c r="O60" i="27"/>
  <c r="S60" i="27"/>
  <c r="W60" i="27"/>
  <c r="AA60" i="27"/>
  <c r="AE60" i="27"/>
  <c r="AI60" i="27"/>
  <c r="AM60" i="27"/>
  <c r="AQ60" i="27"/>
  <c r="AU60" i="27"/>
  <c r="AY60" i="27"/>
  <c r="BC60" i="27"/>
  <c r="BG60" i="27"/>
  <c r="BK60" i="27"/>
  <c r="BO60" i="27"/>
  <c r="BS60" i="27"/>
  <c r="BW60" i="27"/>
  <c r="CA60" i="27"/>
  <c r="CE60" i="27"/>
  <c r="CI60" i="27"/>
  <c r="CM60" i="27"/>
  <c r="CQ60" i="27"/>
  <c r="CU60" i="27"/>
  <c r="CY60" i="27"/>
  <c r="DC60" i="27"/>
  <c r="DG60" i="27"/>
  <c r="DK60" i="27"/>
  <c r="DO60" i="27"/>
  <c r="DS60" i="27"/>
  <c r="DW60" i="27"/>
  <c r="C61" i="27"/>
  <c r="G61" i="27"/>
  <c r="K61" i="27"/>
  <c r="O61" i="27"/>
  <c r="S61" i="27"/>
  <c r="W61" i="27"/>
  <c r="AA61" i="27"/>
  <c r="AE61" i="27"/>
  <c r="AI61" i="27"/>
  <c r="AM61" i="27"/>
  <c r="AQ61" i="27"/>
  <c r="AU61" i="27"/>
  <c r="AY61" i="27"/>
  <c r="BC61" i="27"/>
  <c r="BG61" i="27"/>
  <c r="BK61" i="27"/>
  <c r="BO61" i="27"/>
  <c r="BS61" i="27"/>
  <c r="BW61" i="27"/>
  <c r="CA61" i="27"/>
  <c r="CE61" i="27"/>
  <c r="CI61" i="27"/>
  <c r="CM61" i="27"/>
  <c r="CQ61" i="27"/>
  <c r="CU61" i="27"/>
  <c r="CY61" i="27"/>
  <c r="DC61" i="27"/>
  <c r="DG61" i="27"/>
  <c r="DK61" i="27"/>
  <c r="DO61" i="27"/>
  <c r="DS61" i="27"/>
  <c r="DW61" i="27"/>
  <c r="C62" i="27"/>
  <c r="G62" i="27"/>
  <c r="K62" i="27"/>
  <c r="O62" i="27"/>
  <c r="S62" i="27"/>
  <c r="W62" i="27"/>
  <c r="AA62" i="27"/>
  <c r="AE62" i="27"/>
  <c r="AI62" i="27"/>
  <c r="AM62" i="27"/>
  <c r="AQ62" i="27"/>
  <c r="AU62" i="27"/>
  <c r="AY62" i="27"/>
  <c r="BC62" i="27"/>
  <c r="BG62" i="27"/>
  <c r="BK62" i="27"/>
  <c r="BO62" i="27"/>
  <c r="BS62" i="27"/>
  <c r="BW62" i="27"/>
  <c r="CA62" i="27"/>
  <c r="CE62" i="27"/>
  <c r="CI62" i="27"/>
  <c r="CM62" i="27"/>
  <c r="CQ62" i="27"/>
  <c r="CU62" i="27"/>
  <c r="CY62" i="27"/>
  <c r="DC62" i="27"/>
  <c r="DG62" i="27"/>
  <c r="DK62" i="27"/>
  <c r="DO62" i="27"/>
  <c r="DS62" i="27"/>
  <c r="DW62" i="27"/>
  <c r="C63" i="27"/>
  <c r="G63" i="27"/>
  <c r="K63" i="27"/>
  <c r="O63" i="27"/>
  <c r="S63" i="27"/>
  <c r="W63" i="27"/>
  <c r="AA63" i="27"/>
  <c r="AE63" i="27"/>
  <c r="AI63" i="27"/>
  <c r="AM63" i="27"/>
  <c r="AQ63" i="27"/>
  <c r="AU63" i="27"/>
  <c r="AY63" i="27"/>
  <c r="BC63" i="27"/>
  <c r="BG63" i="27"/>
  <c r="BK63" i="27"/>
  <c r="BO63" i="27"/>
  <c r="BS63" i="27"/>
  <c r="BW63" i="27"/>
  <c r="CA63" i="27"/>
  <c r="CE63" i="27"/>
  <c r="CI63" i="27"/>
  <c r="CM63" i="27"/>
  <c r="CQ63" i="27"/>
  <c r="CU63" i="27"/>
  <c r="CY63" i="27"/>
  <c r="DC63" i="27"/>
  <c r="DG63" i="27"/>
  <c r="DK63" i="27"/>
  <c r="DO63" i="27"/>
  <c r="DS63" i="27"/>
  <c r="DW63" i="27"/>
  <c r="C64" i="27"/>
  <c r="G64" i="27"/>
  <c r="K64" i="27"/>
  <c r="O64" i="27"/>
  <c r="S64" i="27"/>
  <c r="W64" i="27"/>
  <c r="AA64" i="27"/>
  <c r="AE64" i="27"/>
  <c r="AI64" i="27"/>
  <c r="AM64" i="27"/>
  <c r="AQ64" i="27"/>
  <c r="AU64" i="27"/>
  <c r="BN21" i="27"/>
  <c r="CW24" i="27"/>
  <c r="CW26" i="27"/>
  <c r="CW28" i="27"/>
  <c r="CZ29" i="27"/>
  <c r="CZ30" i="27"/>
  <c r="CS31" i="27"/>
  <c r="AM32" i="27"/>
  <c r="CY32" i="27"/>
  <c r="AM33" i="27"/>
  <c r="CY33" i="27"/>
  <c r="AM34" i="27"/>
  <c r="CY34" i="27"/>
  <c r="AM35" i="27"/>
  <c r="CN35" i="27"/>
  <c r="DT35" i="27"/>
  <c r="AB36" i="27"/>
  <c r="BH36" i="27"/>
  <c r="CN36" i="27"/>
  <c r="DT36" i="27"/>
  <c r="AB37" i="27"/>
  <c r="BH37" i="27"/>
  <c r="CN37" i="27"/>
  <c r="DT37" i="27"/>
  <c r="AB38" i="27"/>
  <c r="AY38" i="27"/>
  <c r="BT38" i="27"/>
  <c r="CP38" i="27"/>
  <c r="DK38" i="27"/>
  <c r="H39" i="27"/>
  <c r="Y39" i="27"/>
  <c r="AO39" i="27"/>
  <c r="BE39" i="27"/>
  <c r="BU39" i="27"/>
  <c r="CK39" i="27"/>
  <c r="DA39" i="27"/>
  <c r="DQ39" i="27"/>
  <c r="I40" i="27"/>
  <c r="Y40" i="27"/>
  <c r="AO40" i="27"/>
  <c r="BE40" i="27"/>
  <c r="BU40" i="27"/>
  <c r="CK40" i="27"/>
  <c r="DA40" i="27"/>
  <c r="DQ40" i="27"/>
  <c r="I41" i="27"/>
  <c r="Y41" i="27"/>
  <c r="AO41" i="27"/>
  <c r="BE41" i="27"/>
  <c r="BU41" i="27"/>
  <c r="CK41" i="27"/>
  <c r="DA41" i="27"/>
  <c r="DQ41" i="27"/>
  <c r="I42" i="27"/>
  <c r="Y42" i="27"/>
  <c r="AO42" i="27"/>
  <c r="BE42" i="27"/>
  <c r="BU42" i="27"/>
  <c r="CK42" i="27"/>
  <c r="DA42" i="27"/>
  <c r="DQ42" i="27"/>
  <c r="I43" i="27"/>
  <c r="Y43" i="27"/>
  <c r="AO43" i="27"/>
  <c r="BE43" i="27"/>
  <c r="BU43" i="27"/>
  <c r="CK43" i="27"/>
  <c r="DA43" i="27"/>
  <c r="DQ43" i="27"/>
  <c r="F44" i="27"/>
  <c r="N44" i="27"/>
  <c r="V44" i="27"/>
  <c r="AD44" i="27"/>
  <c r="AL44" i="27"/>
  <c r="AT44" i="27"/>
  <c r="BB44" i="27"/>
  <c r="BJ44" i="27"/>
  <c r="BR44" i="27"/>
  <c r="BZ44" i="27"/>
  <c r="CH44" i="27"/>
  <c r="CP44" i="27"/>
  <c r="CX44" i="27"/>
  <c r="DF44" i="27"/>
  <c r="DN44" i="27"/>
  <c r="DV44" i="27"/>
  <c r="F45" i="27"/>
  <c r="N45" i="27"/>
  <c r="V45" i="27"/>
  <c r="AD45" i="27"/>
  <c r="AL45" i="27"/>
  <c r="AT45" i="27"/>
  <c r="BB45" i="27"/>
  <c r="BJ45" i="27"/>
  <c r="BR45" i="27"/>
  <c r="BZ45" i="27"/>
  <c r="CH45" i="27"/>
  <c r="CP45" i="27"/>
  <c r="CX45" i="27"/>
  <c r="DF45" i="27"/>
  <c r="DN45" i="27"/>
  <c r="DV45" i="27"/>
  <c r="E46" i="27"/>
  <c r="J46" i="27"/>
  <c r="P46" i="27"/>
  <c r="U46" i="27"/>
  <c r="Z46" i="27"/>
  <c r="AF46" i="27"/>
  <c r="AK46" i="27"/>
  <c r="AP46" i="27"/>
  <c r="AV46" i="27"/>
  <c r="BA46" i="27"/>
  <c r="BF46" i="27"/>
  <c r="BL46" i="27"/>
  <c r="BQ46" i="27"/>
  <c r="BV46" i="27"/>
  <c r="CB46" i="27"/>
  <c r="CG46" i="27"/>
  <c r="CL46" i="27"/>
  <c r="CR46" i="27"/>
  <c r="CW46" i="27"/>
  <c r="DB46" i="27"/>
  <c r="DH46" i="27"/>
  <c r="DL46" i="27"/>
  <c r="DP46" i="27"/>
  <c r="DT46" i="27"/>
  <c r="DX46" i="27"/>
  <c r="D47" i="27"/>
  <c r="H47" i="27"/>
  <c r="L47" i="27"/>
  <c r="P47" i="27"/>
  <c r="T47" i="27"/>
  <c r="X47" i="27"/>
  <c r="AB47" i="27"/>
  <c r="AF47" i="27"/>
  <c r="AJ47" i="27"/>
  <c r="AN47" i="27"/>
  <c r="AR47" i="27"/>
  <c r="AV47" i="27"/>
  <c r="AZ47" i="27"/>
  <c r="BD47" i="27"/>
  <c r="BH47" i="27"/>
  <c r="BL47" i="27"/>
  <c r="BP47" i="27"/>
  <c r="BT47" i="27"/>
  <c r="BX47" i="27"/>
  <c r="CB47" i="27"/>
  <c r="CF47" i="27"/>
  <c r="CJ47" i="27"/>
  <c r="CN47" i="27"/>
  <c r="CR47" i="27"/>
  <c r="CV47" i="27"/>
  <c r="CZ47" i="27"/>
  <c r="DD47" i="27"/>
  <c r="DH47" i="27"/>
  <c r="DL47" i="27"/>
  <c r="DP47" i="27"/>
  <c r="DT47" i="27"/>
  <c r="DX47" i="27"/>
  <c r="D48" i="27"/>
  <c r="H48" i="27"/>
  <c r="L48" i="27"/>
  <c r="P48" i="27"/>
  <c r="T48" i="27"/>
  <c r="X48" i="27"/>
  <c r="AB48" i="27"/>
  <c r="AF48" i="27"/>
  <c r="AJ48" i="27"/>
  <c r="AN48" i="27"/>
  <c r="AR48" i="27"/>
  <c r="AV48" i="27"/>
  <c r="AZ48" i="27"/>
  <c r="BD48" i="27"/>
  <c r="BH48" i="27"/>
  <c r="BL48" i="27"/>
  <c r="BP48" i="27"/>
  <c r="BT48" i="27"/>
  <c r="BX48" i="27"/>
  <c r="CB48" i="27"/>
  <c r="CF48" i="27"/>
  <c r="CJ48" i="27"/>
  <c r="CN48" i="27"/>
  <c r="CR48" i="27"/>
  <c r="CV48" i="27"/>
  <c r="CZ48" i="27"/>
  <c r="DD48" i="27"/>
  <c r="DH48" i="27"/>
  <c r="DL48" i="27"/>
  <c r="DP48" i="27"/>
  <c r="DT48" i="27"/>
  <c r="DX48" i="27"/>
  <c r="D49" i="27"/>
  <c r="H49" i="27"/>
  <c r="L49" i="27"/>
  <c r="P49" i="27"/>
  <c r="T49" i="27"/>
  <c r="X49" i="27"/>
  <c r="AB49" i="27"/>
  <c r="AF49" i="27"/>
  <c r="AJ49" i="27"/>
  <c r="AN49" i="27"/>
  <c r="AR49" i="27"/>
  <c r="AV49" i="27"/>
  <c r="AZ49" i="27"/>
  <c r="BD49" i="27"/>
  <c r="BH49" i="27"/>
  <c r="BL49" i="27"/>
  <c r="BP49" i="27"/>
  <c r="BT49" i="27"/>
  <c r="BX49" i="27"/>
  <c r="CB49" i="27"/>
  <c r="CF49" i="27"/>
  <c r="CJ49" i="27"/>
  <c r="CN49" i="27"/>
  <c r="CR49" i="27"/>
  <c r="CV49" i="27"/>
  <c r="CZ49" i="27"/>
  <c r="DD49" i="27"/>
  <c r="DH49" i="27"/>
  <c r="DL49" i="27"/>
  <c r="DP49" i="27"/>
  <c r="DT49" i="27"/>
  <c r="DX49" i="27"/>
  <c r="D50" i="27"/>
  <c r="H50" i="27"/>
  <c r="L50" i="27"/>
  <c r="P50" i="27"/>
  <c r="T50" i="27"/>
  <c r="X50" i="27"/>
  <c r="AB50" i="27"/>
  <c r="AF50" i="27"/>
  <c r="AJ50" i="27"/>
  <c r="AN50" i="27"/>
  <c r="AR50" i="27"/>
  <c r="AV50" i="27"/>
  <c r="AZ50" i="27"/>
  <c r="BD50" i="27"/>
  <c r="BH50" i="27"/>
  <c r="BL50" i="27"/>
  <c r="BP50" i="27"/>
  <c r="BT50" i="27"/>
  <c r="BX50" i="27"/>
  <c r="CB50" i="27"/>
  <c r="CF50" i="27"/>
  <c r="CJ50" i="27"/>
  <c r="CN50" i="27"/>
  <c r="CR50" i="27"/>
  <c r="CV50" i="27"/>
  <c r="CZ50" i="27"/>
  <c r="DD50" i="27"/>
  <c r="DH50" i="27"/>
  <c r="DL50" i="27"/>
  <c r="DP50" i="27"/>
  <c r="DT50" i="27"/>
  <c r="DX50" i="27"/>
  <c r="D51" i="27"/>
  <c r="H51" i="27"/>
  <c r="L51" i="27"/>
  <c r="P51" i="27"/>
  <c r="T51" i="27"/>
  <c r="X51" i="27"/>
  <c r="AB51" i="27"/>
  <c r="AF51" i="27"/>
  <c r="AJ51" i="27"/>
  <c r="AN51" i="27"/>
  <c r="AR51" i="27"/>
  <c r="AV51" i="27"/>
  <c r="AZ51" i="27"/>
  <c r="BD51" i="27"/>
  <c r="BH51" i="27"/>
  <c r="BL51" i="27"/>
  <c r="BP51" i="27"/>
  <c r="BT51" i="27"/>
  <c r="BX51" i="27"/>
  <c r="CB51" i="27"/>
  <c r="CF51" i="27"/>
  <c r="CJ51" i="27"/>
  <c r="CN51" i="27"/>
  <c r="CR51" i="27"/>
  <c r="CV51" i="27"/>
  <c r="CZ51" i="27"/>
  <c r="DD51" i="27"/>
  <c r="DH51" i="27"/>
  <c r="DL51" i="27"/>
  <c r="DP51" i="27"/>
  <c r="DT51" i="27"/>
  <c r="DX51" i="27"/>
  <c r="D52" i="27"/>
  <c r="H52" i="27"/>
  <c r="L52" i="27"/>
  <c r="P52" i="27"/>
  <c r="T52" i="27"/>
  <c r="X52" i="27"/>
  <c r="AB52" i="27"/>
  <c r="AF52" i="27"/>
  <c r="AJ52" i="27"/>
  <c r="AN52" i="27"/>
  <c r="AR52" i="27"/>
  <c r="AV52" i="27"/>
  <c r="AZ52" i="27"/>
  <c r="BD52" i="27"/>
  <c r="BH52" i="27"/>
  <c r="BL52" i="27"/>
  <c r="BP52" i="27"/>
  <c r="BT52" i="27"/>
  <c r="BX52" i="27"/>
  <c r="CB52" i="27"/>
  <c r="CF52" i="27"/>
  <c r="CJ52" i="27"/>
  <c r="CN52" i="27"/>
  <c r="CR52" i="27"/>
  <c r="CV52" i="27"/>
  <c r="CZ52" i="27"/>
  <c r="DD52" i="27"/>
  <c r="DH52" i="27"/>
  <c r="DL52" i="27"/>
  <c r="DP52" i="27"/>
  <c r="DT52" i="27"/>
  <c r="DX52" i="27"/>
  <c r="D53" i="27"/>
  <c r="H53" i="27"/>
  <c r="L53" i="27"/>
  <c r="P53" i="27"/>
  <c r="T53" i="27"/>
  <c r="X53" i="27"/>
  <c r="AB53" i="27"/>
  <c r="AF53" i="27"/>
  <c r="AJ53" i="27"/>
  <c r="AN53" i="27"/>
  <c r="AR53" i="27"/>
  <c r="AV53" i="27"/>
  <c r="AZ53" i="27"/>
  <c r="BD53" i="27"/>
  <c r="BH53" i="27"/>
  <c r="BL53" i="27"/>
  <c r="BP53" i="27"/>
  <c r="BT53" i="27"/>
  <c r="BX53" i="27"/>
  <c r="CB53" i="27"/>
  <c r="CF53" i="27"/>
  <c r="CJ53" i="27"/>
  <c r="CN53" i="27"/>
  <c r="CR53" i="27"/>
  <c r="CV53" i="27"/>
  <c r="CZ53" i="27"/>
  <c r="DD53" i="27"/>
  <c r="DH53" i="27"/>
  <c r="DL53" i="27"/>
  <c r="DP53" i="27"/>
  <c r="DT53" i="27"/>
  <c r="DX53" i="27"/>
  <c r="D54" i="27"/>
  <c r="H54" i="27"/>
  <c r="L54" i="27"/>
  <c r="P54" i="27"/>
  <c r="T54" i="27"/>
  <c r="X54" i="27"/>
  <c r="AB54" i="27"/>
  <c r="AF54" i="27"/>
  <c r="AJ54" i="27"/>
  <c r="AN54" i="27"/>
  <c r="AR54" i="27"/>
  <c r="AV54" i="27"/>
  <c r="AZ54" i="27"/>
  <c r="BD54" i="27"/>
  <c r="BH54" i="27"/>
  <c r="BL54" i="27"/>
  <c r="BP54" i="27"/>
  <c r="BT54" i="27"/>
  <c r="BX54" i="27"/>
  <c r="CB54" i="27"/>
  <c r="CF54" i="27"/>
  <c r="CJ54" i="27"/>
  <c r="CN54" i="27"/>
  <c r="CR54" i="27"/>
  <c r="CV54" i="27"/>
  <c r="CZ54" i="27"/>
  <c r="DD54" i="27"/>
  <c r="DH54" i="27"/>
  <c r="DL54" i="27"/>
  <c r="DP54" i="27"/>
  <c r="DT54" i="27"/>
  <c r="DX54" i="27"/>
  <c r="D55" i="27"/>
  <c r="H55" i="27"/>
  <c r="L55" i="27"/>
  <c r="P55" i="27"/>
  <c r="T55" i="27"/>
  <c r="X55" i="27"/>
  <c r="AB55" i="27"/>
  <c r="AF55" i="27"/>
  <c r="AJ55" i="27"/>
  <c r="AN55" i="27"/>
  <c r="AR55" i="27"/>
  <c r="AV55" i="27"/>
  <c r="AZ55" i="27"/>
  <c r="BD55" i="27"/>
  <c r="BH55" i="27"/>
  <c r="BL55" i="27"/>
  <c r="BP55" i="27"/>
  <c r="BT55" i="27"/>
  <c r="BX55" i="27"/>
  <c r="CB55" i="27"/>
  <c r="CF55" i="27"/>
  <c r="CJ55" i="27"/>
  <c r="CN55" i="27"/>
  <c r="CR55" i="27"/>
  <c r="CV55" i="27"/>
  <c r="CZ55" i="27"/>
  <c r="DD55" i="27"/>
  <c r="DH55" i="27"/>
  <c r="DL55" i="27"/>
  <c r="DP55" i="27"/>
  <c r="DT55" i="27"/>
  <c r="DX55" i="27"/>
  <c r="D56" i="27"/>
  <c r="H56" i="27"/>
  <c r="L56" i="27"/>
  <c r="P56" i="27"/>
  <c r="T56" i="27"/>
  <c r="X56" i="27"/>
  <c r="AB56" i="27"/>
  <c r="AF56" i="27"/>
  <c r="AJ56" i="27"/>
  <c r="AN56" i="27"/>
  <c r="AR56" i="27"/>
  <c r="AV56" i="27"/>
  <c r="AZ56" i="27"/>
  <c r="BD56" i="27"/>
  <c r="BH56" i="27"/>
  <c r="BL56" i="27"/>
  <c r="BP56" i="27"/>
  <c r="BT56" i="27"/>
  <c r="BX56" i="27"/>
  <c r="CB56" i="27"/>
  <c r="CF56" i="27"/>
  <c r="CJ56" i="27"/>
  <c r="CN56" i="27"/>
  <c r="CR56" i="27"/>
  <c r="CV56" i="27"/>
  <c r="CZ56" i="27"/>
  <c r="DD56" i="27"/>
  <c r="DH56" i="27"/>
  <c r="DL56" i="27"/>
  <c r="DP56" i="27"/>
  <c r="DT56" i="27"/>
  <c r="DX56" i="27"/>
  <c r="D57" i="27"/>
  <c r="H57" i="27"/>
  <c r="L57" i="27"/>
  <c r="P57" i="27"/>
  <c r="T57" i="27"/>
  <c r="X57" i="27"/>
  <c r="AB57" i="27"/>
  <c r="AF57" i="27"/>
  <c r="AJ57" i="27"/>
  <c r="AN57" i="27"/>
  <c r="AR57" i="27"/>
  <c r="AV57" i="27"/>
  <c r="AZ57" i="27"/>
  <c r="BD57" i="27"/>
  <c r="BH57" i="27"/>
  <c r="BL57" i="27"/>
  <c r="BP57" i="27"/>
  <c r="BT57" i="27"/>
  <c r="BX57" i="27"/>
  <c r="CB57" i="27"/>
  <c r="CF57" i="27"/>
  <c r="CJ57" i="27"/>
  <c r="CN57" i="27"/>
  <c r="CR57" i="27"/>
  <c r="CV57" i="27"/>
  <c r="CZ57" i="27"/>
  <c r="DD57" i="27"/>
  <c r="DH57" i="27"/>
  <c r="DL57" i="27"/>
  <c r="DP57" i="27"/>
  <c r="DT57" i="27"/>
  <c r="DX57" i="27"/>
  <c r="D58" i="27"/>
  <c r="H58" i="27"/>
  <c r="L58" i="27"/>
  <c r="P58" i="27"/>
  <c r="T58" i="27"/>
  <c r="X58" i="27"/>
  <c r="AB58" i="27"/>
  <c r="AF58" i="27"/>
  <c r="AJ58" i="27"/>
  <c r="AN58" i="27"/>
  <c r="AR58" i="27"/>
  <c r="AV58" i="27"/>
  <c r="AZ58" i="27"/>
  <c r="BD58" i="27"/>
  <c r="BH58" i="27"/>
  <c r="BL58" i="27"/>
  <c r="BP58" i="27"/>
  <c r="BT58" i="27"/>
  <c r="BX58" i="27"/>
  <c r="CB58" i="27"/>
  <c r="CF58" i="27"/>
  <c r="CJ58" i="27"/>
  <c r="CN58" i="27"/>
  <c r="CR58" i="27"/>
  <c r="CV58" i="27"/>
  <c r="CZ58" i="27"/>
  <c r="DD58" i="27"/>
  <c r="DH58" i="27"/>
  <c r="DL58" i="27"/>
  <c r="DP58" i="27"/>
  <c r="DT58" i="27"/>
  <c r="DX58" i="27"/>
  <c r="D59" i="27"/>
  <c r="H59" i="27"/>
  <c r="L59" i="27"/>
  <c r="P59" i="27"/>
  <c r="T59" i="27"/>
  <c r="X59" i="27"/>
  <c r="AB59" i="27"/>
  <c r="AF59" i="27"/>
  <c r="AJ59" i="27"/>
  <c r="AN59" i="27"/>
  <c r="AR59" i="27"/>
  <c r="AV59" i="27"/>
  <c r="AZ59" i="27"/>
  <c r="BD59" i="27"/>
  <c r="BH59" i="27"/>
  <c r="BL59" i="27"/>
  <c r="BP59" i="27"/>
  <c r="BT59" i="27"/>
  <c r="BX59" i="27"/>
  <c r="CB59" i="27"/>
  <c r="CF59" i="27"/>
  <c r="CJ59" i="27"/>
  <c r="CN59" i="27"/>
  <c r="CR59" i="27"/>
  <c r="CV59" i="27"/>
  <c r="CZ59" i="27"/>
  <c r="DD59" i="27"/>
  <c r="DH59" i="27"/>
  <c r="DL59" i="27"/>
  <c r="DP59" i="27"/>
  <c r="DT59" i="27"/>
  <c r="DX59" i="27"/>
  <c r="D60" i="27"/>
  <c r="H60" i="27"/>
  <c r="L60" i="27"/>
  <c r="P60" i="27"/>
  <c r="T60" i="27"/>
  <c r="X60" i="27"/>
  <c r="AB60" i="27"/>
  <c r="AF60" i="27"/>
  <c r="AJ60" i="27"/>
  <c r="AN60" i="27"/>
  <c r="AR60" i="27"/>
  <c r="AV60" i="27"/>
  <c r="AZ60" i="27"/>
  <c r="BD60" i="27"/>
  <c r="BH60" i="27"/>
  <c r="BL60" i="27"/>
  <c r="BP60" i="27"/>
  <c r="BT60" i="27"/>
  <c r="BX60" i="27"/>
  <c r="CB60" i="27"/>
  <c r="CF60" i="27"/>
  <c r="CJ60" i="27"/>
  <c r="CN60" i="27"/>
  <c r="CR60" i="27"/>
  <c r="CV60" i="27"/>
  <c r="CZ60" i="27"/>
  <c r="DD60" i="27"/>
  <c r="DH60" i="27"/>
  <c r="DL60" i="27"/>
  <c r="DP60" i="27"/>
  <c r="DT60" i="27"/>
  <c r="DX60" i="27"/>
  <c r="D61" i="27"/>
  <c r="H61" i="27"/>
  <c r="L61" i="27"/>
  <c r="P61" i="27"/>
  <c r="T61" i="27"/>
  <c r="X61" i="27"/>
  <c r="AB61" i="27"/>
  <c r="AF61" i="27"/>
  <c r="AJ61" i="27"/>
  <c r="AN61" i="27"/>
  <c r="AR61" i="27"/>
  <c r="AV61" i="27"/>
  <c r="AZ61" i="27"/>
  <c r="BD61" i="27"/>
  <c r="BH61" i="27"/>
  <c r="BL61" i="27"/>
  <c r="BP61" i="27"/>
  <c r="BT61" i="27"/>
  <c r="BX61" i="27"/>
  <c r="CB61" i="27"/>
  <c r="CF61" i="27"/>
  <c r="CJ61" i="27"/>
  <c r="CN61" i="27"/>
  <c r="CR61" i="27"/>
  <c r="CV61" i="27"/>
  <c r="CZ61" i="27"/>
  <c r="DD61" i="27"/>
  <c r="DH61" i="27"/>
  <c r="DL61" i="27"/>
  <c r="DP61" i="27"/>
  <c r="DT61" i="27"/>
  <c r="DX61" i="27"/>
  <c r="D62" i="27"/>
  <c r="H62" i="27"/>
  <c r="L62" i="27"/>
  <c r="P62" i="27"/>
  <c r="T62" i="27"/>
  <c r="X62" i="27"/>
  <c r="AB62" i="27"/>
  <c r="AF62" i="27"/>
  <c r="AJ62" i="27"/>
  <c r="AN62" i="27"/>
  <c r="AR62" i="27"/>
  <c r="AV62" i="27"/>
  <c r="AZ62" i="27"/>
  <c r="BD62" i="27"/>
  <c r="BH62" i="27"/>
  <c r="BL62" i="27"/>
  <c r="BP62" i="27"/>
  <c r="BT62" i="27"/>
  <c r="BX62" i="27"/>
  <c r="CB62" i="27"/>
  <c r="CF62" i="27"/>
  <c r="CJ62" i="27"/>
  <c r="CN62" i="27"/>
  <c r="CR62" i="27"/>
  <c r="CV62" i="27"/>
  <c r="CZ62" i="27"/>
  <c r="DD62" i="27"/>
  <c r="DH62" i="27"/>
  <c r="DL62" i="27"/>
  <c r="DP62" i="27"/>
  <c r="DT62" i="27"/>
  <c r="DX62" i="27"/>
  <c r="D63" i="27"/>
  <c r="H63" i="27"/>
  <c r="L63" i="27"/>
  <c r="P63" i="27"/>
  <c r="T63" i="27"/>
  <c r="X63" i="27"/>
  <c r="AB63" i="27"/>
  <c r="BN22" i="27"/>
  <c r="H30" i="27"/>
  <c r="DO32" i="27"/>
  <c r="DO34" i="27"/>
  <c r="AJ36" i="27"/>
  <c r="AJ37" i="27"/>
  <c r="AI38" i="27"/>
  <c r="DP38" i="27"/>
  <c r="BI39" i="27"/>
  <c r="DU39" i="27"/>
  <c r="BI40" i="27"/>
  <c r="DU40" i="27"/>
  <c r="BI41" i="27"/>
  <c r="DU41" i="27"/>
  <c r="BI42" i="27"/>
  <c r="DU42" i="27"/>
  <c r="BI43" i="27"/>
  <c r="DU43" i="27"/>
  <c r="AG44" i="27"/>
  <c r="BM44" i="27"/>
  <c r="CS44" i="27"/>
  <c r="DY44" i="27"/>
  <c r="AG45" i="27"/>
  <c r="BM45" i="27"/>
  <c r="CS45" i="27"/>
  <c r="DY45" i="27"/>
  <c r="V46" i="27"/>
  <c r="AR46" i="27"/>
  <c r="BM46" i="27"/>
  <c r="CH46" i="27"/>
  <c r="DD46" i="27"/>
  <c r="DU46" i="27"/>
  <c r="M47" i="27"/>
  <c r="AC47" i="27"/>
  <c r="AS47" i="27"/>
  <c r="BI47" i="27"/>
  <c r="BY47" i="27"/>
  <c r="CO47" i="27"/>
  <c r="DE47" i="27"/>
  <c r="DU47" i="27"/>
  <c r="M48" i="27"/>
  <c r="AC48" i="27"/>
  <c r="AS48" i="27"/>
  <c r="BI48" i="27"/>
  <c r="BY48" i="27"/>
  <c r="CO48" i="27"/>
  <c r="DE48" i="27"/>
  <c r="DU48" i="27"/>
  <c r="M49" i="27"/>
  <c r="AC49" i="27"/>
  <c r="AS49" i="27"/>
  <c r="BI49" i="27"/>
  <c r="BY49" i="27"/>
  <c r="CO49" i="27"/>
  <c r="DE49" i="27"/>
  <c r="DU49" i="27"/>
  <c r="M50" i="27"/>
  <c r="AC50" i="27"/>
  <c r="AS50" i="27"/>
  <c r="BI50" i="27"/>
  <c r="BY50" i="27"/>
  <c r="CO50" i="27"/>
  <c r="DE50" i="27"/>
  <c r="DU50" i="27"/>
  <c r="M51" i="27"/>
  <c r="AC51" i="27"/>
  <c r="AS51" i="27"/>
  <c r="BI51" i="27"/>
  <c r="BY51" i="27"/>
  <c r="CO51" i="27"/>
  <c r="DE51" i="27"/>
  <c r="DU51" i="27"/>
  <c r="M52" i="27"/>
  <c r="AC52" i="27"/>
  <c r="AS52" i="27"/>
  <c r="BI52" i="27"/>
  <c r="BY52" i="27"/>
  <c r="CO52" i="27"/>
  <c r="DE52" i="27"/>
  <c r="DU52" i="27"/>
  <c r="M53" i="27"/>
  <c r="AC53" i="27"/>
  <c r="AS53" i="27"/>
  <c r="BI53" i="27"/>
  <c r="BY53" i="27"/>
  <c r="CO53" i="27"/>
  <c r="DE53" i="27"/>
  <c r="DU53" i="27"/>
  <c r="M54" i="27"/>
  <c r="AC54" i="27"/>
  <c r="AS54" i="27"/>
  <c r="BI54" i="27"/>
  <c r="BY54" i="27"/>
  <c r="CO54" i="27"/>
  <c r="DE54" i="27"/>
  <c r="DU54" i="27"/>
  <c r="M55" i="27"/>
  <c r="AC55" i="27"/>
  <c r="AS55" i="27"/>
  <c r="BI55" i="27"/>
  <c r="BY55" i="27"/>
  <c r="CO55" i="27"/>
  <c r="DE55" i="27"/>
  <c r="DU55" i="27"/>
  <c r="M56" i="27"/>
  <c r="AC56" i="27"/>
  <c r="AS56" i="27"/>
  <c r="BI56" i="27"/>
  <c r="BY56" i="27"/>
  <c r="CO56" i="27"/>
  <c r="DE56" i="27"/>
  <c r="DU56" i="27"/>
  <c r="M57" i="27"/>
  <c r="AC57" i="27"/>
  <c r="AS57" i="27"/>
  <c r="BI57" i="27"/>
  <c r="BY57" i="27"/>
  <c r="CO57" i="27"/>
  <c r="DE57" i="27"/>
  <c r="DU57" i="27"/>
  <c r="M58" i="27"/>
  <c r="AC58" i="27"/>
  <c r="AS58" i="27"/>
  <c r="BI58" i="27"/>
  <c r="BY58" i="27"/>
  <c r="CO58" i="27"/>
  <c r="DE58" i="27"/>
  <c r="DU58" i="27"/>
  <c r="M59" i="27"/>
  <c r="AC59" i="27"/>
  <c r="AS59" i="27"/>
  <c r="BI59" i="27"/>
  <c r="BY59" i="27"/>
  <c r="CO59" i="27"/>
  <c r="DE59" i="27"/>
  <c r="DU59" i="27"/>
  <c r="M60" i="27"/>
  <c r="AC60" i="27"/>
  <c r="AS60" i="27"/>
  <c r="BI60" i="27"/>
  <c r="BY60" i="27"/>
  <c r="CO60" i="27"/>
  <c r="DE60" i="27"/>
  <c r="DU60" i="27"/>
  <c r="M61" i="27"/>
  <c r="AC61" i="27"/>
  <c r="AS61" i="27"/>
  <c r="BI61" i="27"/>
  <c r="BY61" i="27"/>
  <c r="CO61" i="27"/>
  <c r="DE61" i="27"/>
  <c r="DU61" i="27"/>
  <c r="M62" i="27"/>
  <c r="AC62" i="27"/>
  <c r="AS62" i="27"/>
  <c r="BE62" i="27"/>
  <c r="BM62" i="27"/>
  <c r="BU62" i="27"/>
  <c r="CC62" i="27"/>
  <c r="CK62" i="27"/>
  <c r="CS62" i="27"/>
  <c r="DA62" i="27"/>
  <c r="DI62" i="27"/>
  <c r="DQ62" i="27"/>
  <c r="DY62" i="27"/>
  <c r="I63" i="27"/>
  <c r="Q63" i="27"/>
  <c r="Y63" i="27"/>
  <c r="AF63" i="27"/>
  <c r="AK63" i="27"/>
  <c r="AP63" i="27"/>
  <c r="AV63" i="27"/>
  <c r="BA63" i="27"/>
  <c r="BF63" i="27"/>
  <c r="BL63" i="27"/>
  <c r="BQ63" i="27"/>
  <c r="BV63" i="27"/>
  <c r="CB63" i="27"/>
  <c r="CG63" i="27"/>
  <c r="CL63" i="27"/>
  <c r="CR63" i="27"/>
  <c r="CW63" i="27"/>
  <c r="DB63" i="27"/>
  <c r="DH63" i="27"/>
  <c r="DM63" i="27"/>
  <c r="DR63" i="27"/>
  <c r="DX63" i="27"/>
  <c r="E64" i="27"/>
  <c r="J64" i="27"/>
  <c r="P64" i="27"/>
  <c r="U64" i="27"/>
  <c r="Z64" i="27"/>
  <c r="AF64" i="27"/>
  <c r="AK64" i="27"/>
  <c r="AP64" i="27"/>
  <c r="AV64" i="27"/>
  <c r="AZ64" i="27"/>
  <c r="BD64" i="27"/>
  <c r="BH64" i="27"/>
  <c r="BL64" i="27"/>
  <c r="BP64" i="27"/>
  <c r="BT64" i="27"/>
  <c r="BX64" i="27"/>
  <c r="CB64" i="27"/>
  <c r="CF64" i="27"/>
  <c r="CJ64" i="27"/>
  <c r="CN64" i="27"/>
  <c r="CR64" i="27"/>
  <c r="CV64" i="27"/>
  <c r="CZ64" i="27"/>
  <c r="DD64" i="27"/>
  <c r="DH64" i="27"/>
  <c r="DL64" i="27"/>
  <c r="DP64" i="27"/>
  <c r="DT64" i="27"/>
  <c r="DX64" i="27"/>
  <c r="D65" i="27"/>
  <c r="H65" i="27"/>
  <c r="L65" i="27"/>
  <c r="P65" i="27"/>
  <c r="T65" i="27"/>
  <c r="X65" i="27"/>
  <c r="AB65" i="27"/>
  <c r="AF65" i="27"/>
  <c r="AJ65" i="27"/>
  <c r="AN65" i="27"/>
  <c r="AR65" i="27"/>
  <c r="AV65" i="27"/>
  <c r="AZ65" i="27"/>
  <c r="BD65" i="27"/>
  <c r="BH65" i="27"/>
  <c r="BL65" i="27"/>
  <c r="BP65" i="27"/>
  <c r="BT65" i="27"/>
  <c r="BX65" i="27"/>
  <c r="CB65" i="27"/>
  <c r="CF65" i="27"/>
  <c r="CJ65" i="27"/>
  <c r="CN65" i="27"/>
  <c r="CR65" i="27"/>
  <c r="CV65" i="27"/>
  <c r="CZ65" i="27"/>
  <c r="DD65" i="27"/>
  <c r="DH65" i="27"/>
  <c r="DL65" i="27"/>
  <c r="DP65" i="27"/>
  <c r="DT65" i="27"/>
  <c r="DX65" i="27"/>
  <c r="D66" i="27"/>
  <c r="H66" i="27"/>
  <c r="L66" i="27"/>
  <c r="P66" i="27"/>
  <c r="T66" i="27"/>
  <c r="X66" i="27"/>
  <c r="AB66" i="27"/>
  <c r="AF66" i="27"/>
  <c r="AJ66" i="27"/>
  <c r="AN66" i="27"/>
  <c r="AR66" i="27"/>
  <c r="AV66" i="27"/>
  <c r="AZ66" i="27"/>
  <c r="BD66" i="27"/>
  <c r="BH66" i="27"/>
  <c r="BL66" i="27"/>
  <c r="BP66" i="27"/>
  <c r="BT66" i="27"/>
  <c r="BX66" i="27"/>
  <c r="CB66" i="27"/>
  <c r="CF66" i="27"/>
  <c r="CJ66" i="27"/>
  <c r="CN66" i="27"/>
  <c r="CR66" i="27"/>
  <c r="CV66" i="27"/>
  <c r="CZ66" i="27"/>
  <c r="DD66" i="27"/>
  <c r="DH66" i="27"/>
  <c r="DL66" i="27"/>
  <c r="DP66" i="27"/>
  <c r="DT66" i="27"/>
  <c r="DX66" i="27"/>
  <c r="D67" i="27"/>
  <c r="H67" i="27"/>
  <c r="L67" i="27"/>
  <c r="P67" i="27"/>
  <c r="T67" i="27"/>
  <c r="X67" i="27"/>
  <c r="AB67" i="27"/>
  <c r="AF67" i="27"/>
  <c r="AJ67" i="27"/>
  <c r="AN67" i="27"/>
  <c r="AR67" i="27"/>
  <c r="AV67" i="27"/>
  <c r="AZ67" i="27"/>
  <c r="BD67" i="27"/>
  <c r="BH67" i="27"/>
  <c r="BL67" i="27"/>
  <c r="BP67" i="27"/>
  <c r="BT67" i="27"/>
  <c r="BX67" i="27"/>
  <c r="CB67" i="27"/>
  <c r="CF67" i="27"/>
  <c r="CJ67" i="27"/>
  <c r="CN67" i="27"/>
  <c r="CR67" i="27"/>
  <c r="CV67" i="27"/>
  <c r="CZ67" i="27"/>
  <c r="DD67" i="27"/>
  <c r="DH67" i="27"/>
  <c r="DL67" i="27"/>
  <c r="DP67" i="27"/>
  <c r="DT67" i="27"/>
  <c r="DX67" i="27"/>
  <c r="D68" i="27"/>
  <c r="H68" i="27"/>
  <c r="L68" i="27"/>
  <c r="P68" i="27"/>
  <c r="T68" i="27"/>
  <c r="X68" i="27"/>
  <c r="AB68" i="27"/>
  <c r="AF68" i="27"/>
  <c r="AJ68" i="27"/>
  <c r="AN68" i="27"/>
  <c r="AR68" i="27"/>
  <c r="AV68" i="27"/>
  <c r="AZ68" i="27"/>
  <c r="BD68" i="27"/>
  <c r="BH68" i="27"/>
  <c r="BL68" i="27"/>
  <c r="BP68" i="27"/>
  <c r="BT68" i="27"/>
  <c r="BX68" i="27"/>
  <c r="CB68" i="27"/>
  <c r="CF68" i="27"/>
  <c r="CJ68" i="27"/>
  <c r="CN68" i="27"/>
  <c r="CR68" i="27"/>
  <c r="CV68" i="27"/>
  <c r="CZ68" i="27"/>
  <c r="DD68" i="27"/>
  <c r="DH68" i="27"/>
  <c r="DL68" i="27"/>
  <c r="DP68" i="27"/>
  <c r="DT68" i="27"/>
  <c r="DX68" i="27"/>
  <c r="D69" i="27"/>
  <c r="H69" i="27"/>
  <c r="L69" i="27"/>
  <c r="P69" i="27"/>
  <c r="T69" i="27"/>
  <c r="X69" i="27"/>
  <c r="AB69" i="27"/>
  <c r="AF69" i="27"/>
  <c r="AJ69" i="27"/>
  <c r="AN69" i="27"/>
  <c r="AR69" i="27"/>
  <c r="AV69" i="27"/>
  <c r="AZ69" i="27"/>
  <c r="BD69" i="27"/>
  <c r="BH69" i="27"/>
  <c r="BL69" i="27"/>
  <c r="BP69" i="27"/>
  <c r="BT69" i="27"/>
  <c r="BX69" i="27"/>
  <c r="CB69" i="27"/>
  <c r="CF69" i="27"/>
  <c r="CJ69" i="27"/>
  <c r="CN69" i="27"/>
  <c r="CR69" i="27"/>
  <c r="CV69" i="27"/>
  <c r="CZ69" i="27"/>
  <c r="DD69" i="27"/>
  <c r="DH69" i="27"/>
  <c r="DL69" i="27"/>
  <c r="DP69" i="27"/>
  <c r="DT69" i="27"/>
  <c r="DX69" i="27"/>
  <c r="D70" i="27"/>
  <c r="H70" i="27"/>
  <c r="L70" i="27"/>
  <c r="P70" i="27"/>
  <c r="T70" i="27"/>
  <c r="X70" i="27"/>
  <c r="AB70" i="27"/>
  <c r="AF70" i="27"/>
  <c r="AJ70" i="27"/>
  <c r="AN70" i="27"/>
  <c r="AR70" i="27"/>
  <c r="AV70" i="27"/>
  <c r="AZ70" i="27"/>
  <c r="BD70" i="27"/>
  <c r="BH70" i="27"/>
  <c r="BL70" i="27"/>
  <c r="BP70" i="27"/>
  <c r="BT70" i="27"/>
  <c r="BX70" i="27"/>
  <c r="CB70" i="27"/>
  <c r="CF70" i="27"/>
  <c r="CJ70" i="27"/>
  <c r="CN70" i="27"/>
  <c r="CR70" i="27"/>
  <c r="CV70" i="27"/>
  <c r="CZ70" i="27"/>
  <c r="DD70" i="27"/>
  <c r="DH70" i="27"/>
  <c r="DL70" i="27"/>
  <c r="DP70" i="27"/>
  <c r="DT70" i="27"/>
  <c r="DX70" i="27"/>
  <c r="D71" i="27"/>
  <c r="H71" i="27"/>
  <c r="L71" i="27"/>
  <c r="P71" i="27"/>
  <c r="T71" i="27"/>
  <c r="X71" i="27"/>
  <c r="AB71" i="27"/>
  <c r="AF71" i="27"/>
  <c r="AJ71" i="27"/>
  <c r="AN71" i="27"/>
  <c r="AR71" i="27"/>
  <c r="AV71" i="27"/>
  <c r="AZ71" i="27"/>
  <c r="BD71" i="27"/>
  <c r="BH71" i="27"/>
  <c r="BL71" i="27"/>
  <c r="BP71" i="27"/>
  <c r="BT71" i="27"/>
  <c r="BX71" i="27"/>
  <c r="CB71" i="27"/>
  <c r="CF71" i="27"/>
  <c r="CJ71" i="27"/>
  <c r="CN71" i="27"/>
  <c r="CR71" i="27"/>
  <c r="CV71" i="27"/>
  <c r="CZ71" i="27"/>
  <c r="DD71" i="27"/>
  <c r="DH71" i="27"/>
  <c r="DL71" i="27"/>
  <c r="DP71" i="27"/>
  <c r="DT71" i="27"/>
  <c r="DX71" i="27"/>
  <c r="D72" i="27"/>
  <c r="H72" i="27"/>
  <c r="L72" i="27"/>
  <c r="P72" i="27"/>
  <c r="T72" i="27"/>
  <c r="X72" i="27"/>
  <c r="AB72" i="27"/>
  <c r="AF72" i="27"/>
  <c r="AJ72" i="27"/>
  <c r="AN72" i="27"/>
  <c r="AR72" i="27"/>
  <c r="AV72" i="27"/>
  <c r="AZ72" i="27"/>
  <c r="BD72" i="27"/>
  <c r="BH72" i="27"/>
  <c r="BL72" i="27"/>
  <c r="BP72" i="27"/>
  <c r="BT72" i="27"/>
  <c r="BX72" i="27"/>
  <c r="CB72" i="27"/>
  <c r="CF72" i="27"/>
  <c r="CJ72" i="27"/>
  <c r="CN72" i="27"/>
  <c r="CR72" i="27"/>
  <c r="CV72" i="27"/>
  <c r="CZ72" i="27"/>
  <c r="DD72" i="27"/>
  <c r="DH72" i="27"/>
  <c r="DL72" i="27"/>
  <c r="DP72" i="27"/>
  <c r="DT72" i="27"/>
  <c r="DX72" i="27"/>
  <c r="D73" i="27"/>
  <c r="H73" i="27"/>
  <c r="L73" i="27"/>
  <c r="P73" i="27"/>
  <c r="T73" i="27"/>
  <c r="X73" i="27"/>
  <c r="AB73" i="27"/>
  <c r="AF73" i="27"/>
  <c r="AJ73" i="27"/>
  <c r="AN73" i="27"/>
  <c r="AR73" i="27"/>
  <c r="AV73" i="27"/>
  <c r="AZ73" i="27"/>
  <c r="BD73" i="27"/>
  <c r="BH73" i="27"/>
  <c r="BL73" i="27"/>
  <c r="BP73" i="27"/>
  <c r="BT73" i="27"/>
  <c r="BX73" i="27"/>
  <c r="CB73" i="27"/>
  <c r="CF73" i="27"/>
  <c r="CJ73" i="27"/>
  <c r="CN73" i="27"/>
  <c r="CR73" i="27"/>
  <c r="CV73" i="27"/>
  <c r="CZ73" i="27"/>
  <c r="DD73" i="27"/>
  <c r="DH73" i="27"/>
  <c r="DL73" i="27"/>
  <c r="DP73" i="27"/>
  <c r="DT73" i="27"/>
  <c r="DX73" i="27"/>
  <c r="D74" i="27"/>
  <c r="H74" i="27"/>
  <c r="L74" i="27"/>
  <c r="P74" i="27"/>
  <c r="T74" i="27"/>
  <c r="X74" i="27"/>
  <c r="AB74" i="27"/>
  <c r="AF74" i="27"/>
  <c r="AJ74" i="27"/>
  <c r="AN74" i="27"/>
  <c r="AR74" i="27"/>
  <c r="AV74" i="27"/>
  <c r="AZ74" i="27"/>
  <c r="BD74" i="27"/>
  <c r="BH74" i="27"/>
  <c r="BL74" i="27"/>
  <c r="BP74" i="27"/>
  <c r="BT74" i="27"/>
  <c r="BX74" i="27"/>
  <c r="CB74" i="27"/>
  <c r="CF74" i="27"/>
  <c r="CJ74" i="27"/>
  <c r="CN74" i="27"/>
  <c r="CR74" i="27"/>
  <c r="CV74" i="27"/>
  <c r="CZ74" i="27"/>
  <c r="DD74" i="27"/>
  <c r="DH74" i="27"/>
  <c r="DL74" i="27"/>
  <c r="DP74" i="27"/>
  <c r="DT74" i="27"/>
  <c r="DX74" i="27"/>
  <c r="D75" i="27"/>
  <c r="H75" i="27"/>
  <c r="L75" i="27"/>
  <c r="P75" i="27"/>
  <c r="T75" i="27"/>
  <c r="X75" i="27"/>
  <c r="AB75" i="27"/>
  <c r="AF75" i="27"/>
  <c r="AJ75" i="27"/>
  <c r="AN75" i="27"/>
  <c r="AR75" i="27"/>
  <c r="AV75" i="27"/>
  <c r="AZ75" i="27"/>
  <c r="BD75" i="27"/>
  <c r="BH75" i="27"/>
  <c r="BL75" i="27"/>
  <c r="BP75" i="27"/>
  <c r="BT75" i="27"/>
  <c r="BX75" i="27"/>
  <c r="CB75" i="27"/>
  <c r="CF75" i="27"/>
  <c r="CJ75" i="27"/>
  <c r="CN75" i="27"/>
  <c r="CR75" i="27"/>
  <c r="CV75" i="27"/>
  <c r="CZ75" i="27"/>
  <c r="DD75" i="27"/>
  <c r="DH75" i="27"/>
  <c r="DL75" i="27"/>
  <c r="DP75" i="27"/>
  <c r="DT75" i="27"/>
  <c r="DX75" i="27"/>
  <c r="D76" i="27"/>
  <c r="H76" i="27"/>
  <c r="L76" i="27"/>
  <c r="P76" i="27"/>
  <c r="T76" i="27"/>
  <c r="X76" i="27"/>
  <c r="AB76" i="27"/>
  <c r="AF76" i="27"/>
  <c r="AJ76" i="27"/>
  <c r="AN76" i="27"/>
  <c r="AR76" i="27"/>
  <c r="AV76" i="27"/>
  <c r="AZ76" i="27"/>
  <c r="BD76" i="27"/>
  <c r="BH76" i="27"/>
  <c r="BL76" i="27"/>
  <c r="BP76" i="27"/>
  <c r="BT76" i="27"/>
  <c r="BX76" i="27"/>
  <c r="CB76" i="27"/>
  <c r="CF76" i="27"/>
  <c r="CJ76" i="27"/>
  <c r="CN76" i="27"/>
  <c r="CR76" i="27"/>
  <c r="CV76" i="27"/>
  <c r="CZ76" i="27"/>
  <c r="DD76" i="27"/>
  <c r="DH76" i="27"/>
  <c r="DL76" i="27"/>
  <c r="DP76" i="27"/>
  <c r="DT76" i="27"/>
  <c r="DX76" i="27"/>
  <c r="D77" i="27"/>
  <c r="H77" i="27"/>
  <c r="L77" i="27"/>
  <c r="P77" i="27"/>
  <c r="T77" i="27"/>
  <c r="X77" i="27"/>
  <c r="AB77" i="27"/>
  <c r="AF77" i="27"/>
  <c r="AJ77" i="27"/>
  <c r="AN77" i="27"/>
  <c r="AR77" i="27"/>
  <c r="AV77" i="27"/>
  <c r="AZ77" i="27"/>
  <c r="BD77" i="27"/>
  <c r="BH77" i="27"/>
  <c r="BL77" i="27"/>
  <c r="BP77" i="27"/>
  <c r="BT77" i="27"/>
  <c r="BX77" i="27"/>
  <c r="CB77" i="27"/>
  <c r="CF77" i="27"/>
  <c r="CJ77" i="27"/>
  <c r="CN77" i="27"/>
  <c r="CR77" i="27"/>
  <c r="CV77" i="27"/>
  <c r="CZ77" i="27"/>
  <c r="DD77" i="27"/>
  <c r="DH77" i="27"/>
  <c r="DL77" i="27"/>
  <c r="DP77" i="27"/>
  <c r="DT77" i="27"/>
  <c r="DX77" i="27"/>
  <c r="D78" i="27"/>
  <c r="H78" i="27"/>
  <c r="L78" i="27"/>
  <c r="P78" i="27"/>
  <c r="T78" i="27"/>
  <c r="X78" i="27"/>
  <c r="AB78" i="27"/>
  <c r="AF78" i="27"/>
  <c r="AJ78" i="27"/>
  <c r="AN78" i="27"/>
  <c r="AR78" i="27"/>
  <c r="AV78" i="27"/>
  <c r="AZ78" i="27"/>
  <c r="BD78" i="27"/>
  <c r="BH78" i="27"/>
  <c r="BL78" i="27"/>
  <c r="BP78" i="27"/>
  <c r="BT78" i="27"/>
  <c r="BX78" i="27"/>
  <c r="CB78" i="27"/>
  <c r="CF78" i="27"/>
  <c r="CJ78" i="27"/>
  <c r="CN78" i="27"/>
  <c r="CR78" i="27"/>
  <c r="CV78" i="27"/>
  <c r="CZ78" i="27"/>
  <c r="DD78" i="27"/>
  <c r="DH78" i="27"/>
  <c r="DL78" i="27"/>
  <c r="DP78" i="27"/>
  <c r="DT78" i="27"/>
  <c r="DX78" i="27"/>
  <c r="D79" i="27"/>
  <c r="H79" i="27"/>
  <c r="L79" i="27"/>
  <c r="P79" i="27"/>
  <c r="T79" i="27"/>
  <c r="X79" i="27"/>
  <c r="AB79" i="27"/>
  <c r="AF79" i="27"/>
  <c r="AJ79" i="27"/>
  <c r="AN79" i="27"/>
  <c r="AR79" i="27"/>
  <c r="AV79" i="27"/>
  <c r="AZ79" i="27"/>
  <c r="BD79" i="27"/>
  <c r="BH79" i="27"/>
  <c r="BL79" i="27"/>
  <c r="BP79" i="27"/>
  <c r="BT79" i="27"/>
  <c r="AK25" i="27"/>
  <c r="H31" i="27"/>
  <c r="BC33" i="27"/>
  <c r="BC35" i="27"/>
  <c r="BP36" i="27"/>
  <c r="BP37" i="27"/>
  <c r="BD38" i="27"/>
  <c r="M39" i="27"/>
  <c r="BY39" i="27"/>
  <c r="M40" i="27"/>
  <c r="BY40" i="27"/>
  <c r="M41" i="27"/>
  <c r="BY41" i="27"/>
  <c r="M42" i="27"/>
  <c r="BY42" i="27"/>
  <c r="M43" i="27"/>
  <c r="BY43" i="27"/>
  <c r="I44" i="27"/>
  <c r="AO44" i="27"/>
  <c r="BU44" i="27"/>
  <c r="DA44" i="27"/>
  <c r="I45" i="27"/>
  <c r="AO45" i="27"/>
  <c r="BU45" i="27"/>
  <c r="DA45" i="27"/>
  <c r="F46" i="27"/>
  <c r="AB46" i="27"/>
  <c r="AW46" i="27"/>
  <c r="BR46" i="27"/>
  <c r="CN46" i="27"/>
  <c r="DI46" i="27"/>
  <c r="DY46" i="27"/>
  <c r="Q47" i="27"/>
  <c r="AG47" i="27"/>
  <c r="AW47" i="27"/>
  <c r="BM47" i="27"/>
  <c r="CC47" i="27"/>
  <c r="CS47" i="27"/>
  <c r="DI47" i="27"/>
  <c r="DY47" i="27"/>
  <c r="Q48" i="27"/>
  <c r="AG48" i="27"/>
  <c r="AW48" i="27"/>
  <c r="BM48" i="27"/>
  <c r="CC48" i="27"/>
  <c r="CS48" i="27"/>
  <c r="DI48" i="27"/>
  <c r="DY48" i="27"/>
  <c r="Q49" i="27"/>
  <c r="AG49" i="27"/>
  <c r="AW49" i="27"/>
  <c r="BM49" i="27"/>
  <c r="CC49" i="27"/>
  <c r="CS49" i="27"/>
  <c r="DI49" i="27"/>
  <c r="DY49" i="27"/>
  <c r="Q50" i="27"/>
  <c r="AG50" i="27"/>
  <c r="AW50" i="27"/>
  <c r="BM50" i="27"/>
  <c r="CC50" i="27"/>
  <c r="CS50" i="27"/>
  <c r="DI50" i="27"/>
  <c r="DY50" i="27"/>
  <c r="Q51" i="27"/>
  <c r="AG51" i="27"/>
  <c r="AW51" i="27"/>
  <c r="BM51" i="27"/>
  <c r="CC51" i="27"/>
  <c r="CS51" i="27"/>
  <c r="DI51" i="27"/>
  <c r="DY51" i="27"/>
  <c r="Q52" i="27"/>
  <c r="AG52" i="27"/>
  <c r="AW52" i="27"/>
  <c r="BM52" i="27"/>
  <c r="CC52" i="27"/>
  <c r="CS52" i="27"/>
  <c r="DI52" i="27"/>
  <c r="DY52" i="27"/>
  <c r="Q53" i="27"/>
  <c r="AG53" i="27"/>
  <c r="AW53" i="27"/>
  <c r="BM53" i="27"/>
  <c r="CC53" i="27"/>
  <c r="CS53" i="27"/>
  <c r="DI53" i="27"/>
  <c r="DY53" i="27"/>
  <c r="Q54" i="27"/>
  <c r="AG54" i="27"/>
  <c r="AW54" i="27"/>
  <c r="BM54" i="27"/>
  <c r="CC54" i="27"/>
  <c r="CS54" i="27"/>
  <c r="DI54" i="27"/>
  <c r="DY54" i="27"/>
  <c r="Q55" i="27"/>
  <c r="AG55" i="27"/>
  <c r="AW55" i="27"/>
  <c r="BM55" i="27"/>
  <c r="CC55" i="27"/>
  <c r="CS55" i="27"/>
  <c r="DI55" i="27"/>
  <c r="DY55" i="27"/>
  <c r="Q56" i="27"/>
  <c r="AG56" i="27"/>
  <c r="AW56" i="27"/>
  <c r="BM56" i="27"/>
  <c r="CC56" i="27"/>
  <c r="CS56" i="27"/>
  <c r="DI56" i="27"/>
  <c r="DY56" i="27"/>
  <c r="Q57" i="27"/>
  <c r="AG57" i="27"/>
  <c r="AW57" i="27"/>
  <c r="BM57" i="27"/>
  <c r="CC57" i="27"/>
  <c r="CS57" i="27"/>
  <c r="DI57" i="27"/>
  <c r="DY57" i="27"/>
  <c r="Q58" i="27"/>
  <c r="AG58" i="27"/>
  <c r="AW58" i="27"/>
  <c r="BM58" i="27"/>
  <c r="CC58" i="27"/>
  <c r="CS58" i="27"/>
  <c r="DI58" i="27"/>
  <c r="DY58" i="27"/>
  <c r="Q59" i="27"/>
  <c r="AG59" i="27"/>
  <c r="AW59" i="27"/>
  <c r="BM59" i="27"/>
  <c r="CC59" i="27"/>
  <c r="CS59" i="27"/>
  <c r="DI59" i="27"/>
  <c r="DY59" i="27"/>
  <c r="Q60" i="27"/>
  <c r="AG60" i="27"/>
  <c r="AW60" i="27"/>
  <c r="BM60" i="27"/>
  <c r="CC60" i="27"/>
  <c r="CS60" i="27"/>
  <c r="DI60" i="27"/>
  <c r="DY60" i="27"/>
  <c r="Q61" i="27"/>
  <c r="AG61" i="27"/>
  <c r="AW61" i="27"/>
  <c r="BM61" i="27"/>
  <c r="CC61" i="27"/>
  <c r="CS61" i="27"/>
  <c r="DI61" i="27"/>
  <c r="DY61" i="27"/>
  <c r="Q62" i="27"/>
  <c r="AG62" i="27"/>
  <c r="AW62" i="27"/>
  <c r="BF62" i="27"/>
  <c r="BN62" i="27"/>
  <c r="BV62" i="27"/>
  <c r="CD62" i="27"/>
  <c r="CL62" i="27"/>
  <c r="CT62" i="27"/>
  <c r="DB62" i="27"/>
  <c r="DJ62" i="27"/>
  <c r="DR62" i="27"/>
  <c r="B63" i="27"/>
  <c r="J63" i="27"/>
  <c r="R63" i="27"/>
  <c r="Z63" i="27"/>
  <c r="AG63" i="27"/>
  <c r="AL63" i="27"/>
  <c r="AR63" i="27"/>
  <c r="AW63" i="27"/>
  <c r="BB63" i="27"/>
  <c r="BH63" i="27"/>
  <c r="BM63" i="27"/>
  <c r="BR63" i="27"/>
  <c r="BX63" i="27"/>
  <c r="CC63" i="27"/>
  <c r="CH63" i="27"/>
  <c r="CN63" i="27"/>
  <c r="CS63" i="27"/>
  <c r="CX63" i="27"/>
  <c r="DD63" i="27"/>
  <c r="DI63" i="27"/>
  <c r="DN63" i="27"/>
  <c r="DT63" i="27"/>
  <c r="DY63" i="27"/>
  <c r="F64" i="27"/>
  <c r="L64" i="27"/>
  <c r="Q64" i="27"/>
  <c r="V64" i="27"/>
  <c r="AB64" i="27"/>
  <c r="AG64" i="27"/>
  <c r="AL64" i="27"/>
  <c r="AR64" i="27"/>
  <c r="AW64" i="27"/>
  <c r="BA64" i="27"/>
  <c r="BE64" i="27"/>
  <c r="BI64" i="27"/>
  <c r="BM64" i="27"/>
  <c r="BQ64" i="27"/>
  <c r="BU64" i="27"/>
  <c r="BY64" i="27"/>
  <c r="CC64" i="27"/>
  <c r="CG64" i="27"/>
  <c r="CK64" i="27"/>
  <c r="CO64" i="27"/>
  <c r="CS64" i="27"/>
  <c r="CW64" i="27"/>
  <c r="DA64" i="27"/>
  <c r="DE64" i="27"/>
  <c r="DI64" i="27"/>
  <c r="DM64" i="27"/>
  <c r="DQ64" i="27"/>
  <c r="DU64" i="27"/>
  <c r="DY64" i="27"/>
  <c r="E65" i="27"/>
  <c r="I65" i="27"/>
  <c r="M65" i="27"/>
  <c r="Q65" i="27"/>
  <c r="U65" i="27"/>
  <c r="Y65" i="27"/>
  <c r="AC65" i="27"/>
  <c r="AG65" i="27"/>
  <c r="AK65" i="27"/>
  <c r="AO65" i="27"/>
  <c r="AS65" i="27"/>
  <c r="AW65" i="27"/>
  <c r="BA65" i="27"/>
  <c r="BE65" i="27"/>
  <c r="BI65" i="27"/>
  <c r="BM65" i="27"/>
  <c r="BQ65" i="27"/>
  <c r="BU65" i="27"/>
  <c r="BY65" i="27"/>
  <c r="CC65" i="27"/>
  <c r="CG65" i="27"/>
  <c r="CK65" i="27"/>
  <c r="CO65" i="27"/>
  <c r="CS65" i="27"/>
  <c r="CW65" i="27"/>
  <c r="DA65" i="27"/>
  <c r="DE65" i="27"/>
  <c r="DI65" i="27"/>
  <c r="DM65" i="27"/>
  <c r="DQ65" i="27"/>
  <c r="DU65" i="27"/>
  <c r="DY65" i="27"/>
  <c r="E66" i="27"/>
  <c r="I66" i="27"/>
  <c r="M66" i="27"/>
  <c r="Q66" i="27"/>
  <c r="U66" i="27"/>
  <c r="Y66" i="27"/>
  <c r="AC66" i="27"/>
  <c r="AG66" i="27"/>
  <c r="AK66" i="27"/>
  <c r="AO66" i="27"/>
  <c r="AS66" i="27"/>
  <c r="AW66" i="27"/>
  <c r="BA66" i="27"/>
  <c r="BE66" i="27"/>
  <c r="BI66" i="27"/>
  <c r="BM66" i="27"/>
  <c r="BQ66" i="27"/>
  <c r="BU66" i="27"/>
  <c r="BY66" i="27"/>
  <c r="CC66" i="27"/>
  <c r="CG66" i="27"/>
  <c r="CK66" i="27"/>
  <c r="CO66" i="27"/>
  <c r="CS66" i="27"/>
  <c r="CW66" i="27"/>
  <c r="DA66" i="27"/>
  <c r="DE66" i="27"/>
  <c r="DI66" i="27"/>
  <c r="DM66" i="27"/>
  <c r="DQ66" i="27"/>
  <c r="DU66" i="27"/>
  <c r="DY66" i="27"/>
  <c r="E67" i="27"/>
  <c r="I67" i="27"/>
  <c r="M67" i="27"/>
  <c r="Q67" i="27"/>
  <c r="U67" i="27"/>
  <c r="Y67" i="27"/>
  <c r="AC67" i="27"/>
  <c r="AG67" i="27"/>
  <c r="AK67" i="27"/>
  <c r="AO67" i="27"/>
  <c r="AS67" i="27"/>
  <c r="AW67" i="27"/>
  <c r="BA67" i="27"/>
  <c r="BE67" i="27"/>
  <c r="BI67" i="27"/>
  <c r="BM67" i="27"/>
  <c r="BQ67" i="27"/>
  <c r="BU67" i="27"/>
  <c r="BY67" i="27"/>
  <c r="CC67" i="27"/>
  <c r="CG67" i="27"/>
  <c r="CK67" i="27"/>
  <c r="CO67" i="27"/>
  <c r="CS67" i="27"/>
  <c r="CW67" i="27"/>
  <c r="DA67" i="27"/>
  <c r="DE67" i="27"/>
  <c r="DI67" i="27"/>
  <c r="DM67" i="27"/>
  <c r="DQ67" i="27"/>
  <c r="DU67" i="27"/>
  <c r="DY67" i="27"/>
  <c r="E68" i="27"/>
  <c r="I68" i="27"/>
  <c r="M68" i="27"/>
  <c r="Q68" i="27"/>
  <c r="U68" i="27"/>
  <c r="Y68" i="27"/>
  <c r="AC68" i="27"/>
  <c r="AG68" i="27"/>
  <c r="AK68" i="27"/>
  <c r="AO68" i="27"/>
  <c r="AS68" i="27"/>
  <c r="AW68" i="27"/>
  <c r="BA68" i="27"/>
  <c r="BE68" i="27"/>
  <c r="BI68" i="27"/>
  <c r="BM68" i="27"/>
  <c r="BQ68" i="27"/>
  <c r="BU68" i="27"/>
  <c r="BY68" i="27"/>
  <c r="CC68" i="27"/>
  <c r="CG68" i="27"/>
  <c r="CK68" i="27"/>
  <c r="CO68" i="27"/>
  <c r="CS68" i="27"/>
  <c r="CW68" i="27"/>
  <c r="DA68" i="27"/>
  <c r="DE68" i="27"/>
  <c r="DI68" i="27"/>
  <c r="DM68" i="27"/>
  <c r="DQ68" i="27"/>
  <c r="DU68" i="27"/>
  <c r="DY68" i="27"/>
  <c r="E69" i="27"/>
  <c r="I69" i="27"/>
  <c r="M69" i="27"/>
  <c r="Q69" i="27"/>
  <c r="U69" i="27"/>
  <c r="Y69" i="27"/>
  <c r="AC69" i="27"/>
  <c r="AG69" i="27"/>
  <c r="AK69" i="27"/>
  <c r="AO69" i="27"/>
  <c r="AS69" i="27"/>
  <c r="AW69" i="27"/>
  <c r="BA69" i="27"/>
  <c r="BE69" i="27"/>
  <c r="BI69" i="27"/>
  <c r="BM69" i="27"/>
  <c r="BQ69" i="27"/>
  <c r="BU69" i="27"/>
  <c r="BY69" i="27"/>
  <c r="CC69" i="27"/>
  <c r="CG69" i="27"/>
  <c r="CK69" i="27"/>
  <c r="CO69" i="27"/>
  <c r="CS69" i="27"/>
  <c r="CW69" i="27"/>
  <c r="DA69" i="27"/>
  <c r="DE69" i="27"/>
  <c r="DI69" i="27"/>
  <c r="DM69" i="27"/>
  <c r="DQ69" i="27"/>
  <c r="DU69" i="27"/>
  <c r="DY69" i="27"/>
  <c r="E70" i="27"/>
  <c r="I70" i="27"/>
  <c r="M70" i="27"/>
  <c r="Q70" i="27"/>
  <c r="U70" i="27"/>
  <c r="Y70" i="27"/>
  <c r="AC70" i="27"/>
  <c r="AG70" i="27"/>
  <c r="AK70" i="27"/>
  <c r="AO70" i="27"/>
  <c r="AS70" i="27"/>
  <c r="AW70" i="27"/>
  <c r="BA70" i="27"/>
  <c r="BE70" i="27"/>
  <c r="BI70" i="27"/>
  <c r="BM70" i="27"/>
  <c r="BQ70" i="27"/>
  <c r="BU70" i="27"/>
  <c r="BY70" i="27"/>
  <c r="CC70" i="27"/>
  <c r="CG70" i="27"/>
  <c r="CK70" i="27"/>
  <c r="CO70" i="27"/>
  <c r="CS70" i="27"/>
  <c r="CW70" i="27"/>
  <c r="DA70" i="27"/>
  <c r="DE70" i="27"/>
  <c r="DI70" i="27"/>
  <c r="DM70" i="27"/>
  <c r="DQ70" i="27"/>
  <c r="DU70" i="27"/>
  <c r="DY70" i="27"/>
  <c r="E71" i="27"/>
  <c r="I71" i="27"/>
  <c r="M71" i="27"/>
  <c r="Q71" i="27"/>
  <c r="U71" i="27"/>
  <c r="Y71" i="27"/>
  <c r="AC71" i="27"/>
  <c r="AG71" i="27"/>
  <c r="AK71" i="27"/>
  <c r="AO71" i="27"/>
  <c r="AS71" i="27"/>
  <c r="AW71" i="27"/>
  <c r="BA71" i="27"/>
  <c r="BE71" i="27"/>
  <c r="BI71" i="27"/>
  <c r="BM71" i="27"/>
  <c r="BQ71" i="27"/>
  <c r="BU71" i="27"/>
  <c r="BY71" i="27"/>
  <c r="CC71" i="27"/>
  <c r="CG71" i="27"/>
  <c r="CK71" i="27"/>
  <c r="CO71" i="27"/>
  <c r="CS71" i="27"/>
  <c r="CW71" i="27"/>
  <c r="DA71" i="27"/>
  <c r="DE71" i="27"/>
  <c r="DI71" i="27"/>
  <c r="DM71" i="27"/>
  <c r="DQ71" i="27"/>
  <c r="DU71" i="27"/>
  <c r="DY71" i="27"/>
  <c r="E72" i="27"/>
  <c r="I72" i="27"/>
  <c r="M72" i="27"/>
  <c r="Q72" i="27"/>
  <c r="U72" i="27"/>
  <c r="Y72" i="27"/>
  <c r="AC72" i="27"/>
  <c r="AG72" i="27"/>
  <c r="AK72" i="27"/>
  <c r="AO72" i="27"/>
  <c r="AS72" i="27"/>
  <c r="AW72" i="27"/>
  <c r="BA72" i="27"/>
  <c r="BE72" i="27"/>
  <c r="BI72" i="27"/>
  <c r="BM72" i="27"/>
  <c r="BQ72" i="27"/>
  <c r="BU72" i="27"/>
  <c r="BY72" i="27"/>
  <c r="CC72" i="27"/>
  <c r="CG72" i="27"/>
  <c r="CK72" i="27"/>
  <c r="CO72" i="27"/>
  <c r="CS72" i="27"/>
  <c r="CW72" i="27"/>
  <c r="DA72" i="27"/>
  <c r="DE72" i="27"/>
  <c r="DI72" i="27"/>
  <c r="DM72" i="27"/>
  <c r="DQ72" i="27"/>
  <c r="DU72" i="27"/>
  <c r="DY72" i="27"/>
  <c r="E73" i="27"/>
  <c r="I73" i="27"/>
  <c r="M73" i="27"/>
  <c r="Q73" i="27"/>
  <c r="U73" i="27"/>
  <c r="Y73" i="27"/>
  <c r="AC73" i="27"/>
  <c r="AG73" i="27"/>
  <c r="AK73" i="27"/>
  <c r="AO73" i="27"/>
  <c r="AS73" i="27"/>
  <c r="AW73" i="27"/>
  <c r="BA73" i="27"/>
  <c r="BE73" i="27"/>
  <c r="BI73" i="27"/>
  <c r="BM73" i="27"/>
  <c r="BQ73" i="27"/>
  <c r="BU73" i="27"/>
  <c r="BY73" i="27"/>
  <c r="CC73" i="27"/>
  <c r="CG73" i="27"/>
  <c r="CK73" i="27"/>
  <c r="CO73" i="27"/>
  <c r="CS73" i="27"/>
  <c r="CW73" i="27"/>
  <c r="DA73" i="27"/>
  <c r="DE73" i="27"/>
  <c r="DI73" i="27"/>
  <c r="DM73" i="27"/>
  <c r="DQ73" i="27"/>
  <c r="DU73" i="27"/>
  <c r="DY73" i="27"/>
  <c r="E74" i="27"/>
  <c r="I74" i="27"/>
  <c r="M74" i="27"/>
  <c r="Q74" i="27"/>
  <c r="U74" i="27"/>
  <c r="Y74" i="27"/>
  <c r="AC74" i="27"/>
  <c r="AG74" i="27"/>
  <c r="AK74" i="27"/>
  <c r="AO74" i="27"/>
  <c r="AS74" i="27"/>
  <c r="AW74" i="27"/>
  <c r="BA74" i="27"/>
  <c r="BE74" i="27"/>
  <c r="BI74" i="27"/>
  <c r="BM74" i="27"/>
  <c r="BQ74" i="27"/>
  <c r="BU74" i="27"/>
  <c r="BY74" i="27"/>
  <c r="CC74" i="27"/>
  <c r="CG74" i="27"/>
  <c r="CK74" i="27"/>
  <c r="CO74" i="27"/>
  <c r="CS74" i="27"/>
  <c r="CW74" i="27"/>
  <c r="DA74" i="27"/>
  <c r="DE74" i="27"/>
  <c r="DI74" i="27"/>
  <c r="DM74" i="27"/>
  <c r="DQ74" i="27"/>
  <c r="DU74" i="27"/>
  <c r="DY74" i="27"/>
  <c r="E75" i="27"/>
  <c r="I75" i="27"/>
  <c r="M75" i="27"/>
  <c r="Q75" i="27"/>
  <c r="U75" i="27"/>
  <c r="Y75" i="27"/>
  <c r="AC75" i="27"/>
  <c r="AG75" i="27"/>
  <c r="AK75" i="27"/>
  <c r="AO75" i="27"/>
  <c r="AS75" i="27"/>
  <c r="AW75" i="27"/>
  <c r="BA75" i="27"/>
  <c r="BE75" i="27"/>
  <c r="BI75" i="27"/>
  <c r="BM75" i="27"/>
  <c r="BQ75" i="27"/>
  <c r="BU75" i="27"/>
  <c r="BY75" i="27"/>
  <c r="CC75" i="27"/>
  <c r="CG75" i="27"/>
  <c r="CK75" i="27"/>
  <c r="CO75" i="27"/>
  <c r="CS75" i="27"/>
  <c r="CW75" i="27"/>
  <c r="DA75" i="27"/>
  <c r="DE75" i="27"/>
  <c r="DI75" i="27"/>
  <c r="DM75" i="27"/>
  <c r="DQ75" i="27"/>
  <c r="DU75" i="27"/>
  <c r="DY75" i="27"/>
  <c r="E76" i="27"/>
  <c r="I76" i="27"/>
  <c r="M76" i="27"/>
  <c r="Q76" i="27"/>
  <c r="U76" i="27"/>
  <c r="Y76" i="27"/>
  <c r="AC76" i="27"/>
  <c r="AG76" i="27"/>
  <c r="AK76" i="27"/>
  <c r="AO76" i="27"/>
  <c r="AS76" i="27"/>
  <c r="AW76" i="27"/>
  <c r="BA76" i="27"/>
  <c r="BE76" i="27"/>
  <c r="BI76" i="27"/>
  <c r="BM76" i="27"/>
  <c r="BQ76" i="27"/>
  <c r="BU76" i="27"/>
  <c r="BY76" i="27"/>
  <c r="CC76" i="27"/>
  <c r="CG76" i="27"/>
  <c r="CK76" i="27"/>
  <c r="CO76" i="27"/>
  <c r="CS76" i="27"/>
  <c r="CW76" i="27"/>
  <c r="DA76" i="27"/>
  <c r="DE76" i="27"/>
  <c r="DI76" i="27"/>
  <c r="DM76" i="27"/>
  <c r="DQ76" i="27"/>
  <c r="DU76" i="27"/>
  <c r="DY76" i="27"/>
  <c r="E77" i="27"/>
  <c r="I77" i="27"/>
  <c r="M77" i="27"/>
  <c r="Q77" i="27"/>
  <c r="U77" i="27"/>
  <c r="Y77" i="27"/>
  <c r="AC77" i="27"/>
  <c r="AG77" i="27"/>
  <c r="AK77" i="27"/>
  <c r="AO77" i="27"/>
  <c r="AS77" i="27"/>
  <c r="AW77" i="27"/>
  <c r="BA77" i="27"/>
  <c r="BE77" i="27"/>
  <c r="BI77" i="27"/>
  <c r="BM77" i="27"/>
  <c r="BQ77" i="27"/>
  <c r="BU77" i="27"/>
  <c r="BY77" i="27"/>
  <c r="CC77" i="27"/>
  <c r="CG77" i="27"/>
  <c r="CK77" i="27"/>
  <c r="CO77" i="27"/>
  <c r="CS77" i="27"/>
  <c r="CW77" i="27"/>
  <c r="DA77" i="27"/>
  <c r="DE77" i="27"/>
  <c r="DI77" i="27"/>
  <c r="DM77" i="27"/>
  <c r="DQ77" i="27"/>
  <c r="DU77" i="27"/>
  <c r="DY77" i="27"/>
  <c r="E78" i="27"/>
  <c r="I78" i="27"/>
  <c r="M78" i="27"/>
  <c r="Q78" i="27"/>
  <c r="U78" i="27"/>
  <c r="Y78" i="27"/>
  <c r="AC78" i="27"/>
  <c r="AG78" i="27"/>
  <c r="AK78" i="27"/>
  <c r="AO78" i="27"/>
  <c r="AS78" i="27"/>
  <c r="AW78" i="27"/>
  <c r="BA78" i="27"/>
  <c r="BE78" i="27"/>
  <c r="BI78" i="27"/>
  <c r="BM78" i="27"/>
  <c r="BQ78" i="27"/>
  <c r="BU78" i="27"/>
  <c r="BY78" i="27"/>
  <c r="CC78" i="27"/>
  <c r="CG78" i="27"/>
  <c r="CK78" i="27"/>
  <c r="CO78" i="27"/>
  <c r="CS78" i="27"/>
  <c r="CW78" i="27"/>
  <c r="DA78" i="27"/>
  <c r="DE78" i="27"/>
  <c r="DI78" i="27"/>
  <c r="DM78" i="27"/>
  <c r="DQ78" i="27"/>
  <c r="DU78" i="27"/>
  <c r="DY78" i="27"/>
  <c r="E79" i="27"/>
  <c r="I79" i="27"/>
  <c r="M79" i="27"/>
  <c r="Q79" i="27"/>
  <c r="U79" i="27"/>
  <c r="Y79" i="27"/>
  <c r="AC79" i="27"/>
  <c r="AG79" i="27"/>
  <c r="AK79" i="27"/>
  <c r="AO79" i="27"/>
  <c r="AS79" i="27"/>
  <c r="AW79" i="27"/>
  <c r="BA79" i="27"/>
  <c r="BE79" i="27"/>
  <c r="BI79" i="27"/>
  <c r="BM79" i="27"/>
  <c r="BQ79" i="27"/>
  <c r="BU79" i="27"/>
  <c r="AK27" i="27"/>
  <c r="DO31" i="27"/>
  <c r="DO33" i="27"/>
  <c r="CV35" i="27"/>
  <c r="CV36" i="27"/>
  <c r="CV37" i="27"/>
  <c r="BZ38" i="27"/>
  <c r="AC39" i="27"/>
  <c r="CO39" i="27"/>
  <c r="AC40" i="27"/>
  <c r="CO40" i="27"/>
  <c r="AC41" i="27"/>
  <c r="CO41" i="27"/>
  <c r="AC42" i="27"/>
  <c r="CO42" i="27"/>
  <c r="AC43" i="27"/>
  <c r="CO43" i="27"/>
  <c r="Q44" i="27"/>
  <c r="AW44" i="27"/>
  <c r="CC44" i="27"/>
  <c r="DI44" i="27"/>
  <c r="Q45" i="27"/>
  <c r="AW45" i="27"/>
  <c r="CC45" i="27"/>
  <c r="DI45" i="27"/>
  <c r="L46" i="27"/>
  <c r="AG46" i="27"/>
  <c r="BB46" i="27"/>
  <c r="BX46" i="27"/>
  <c r="CS46" i="27"/>
  <c r="DM46" i="27"/>
  <c r="E47" i="27"/>
  <c r="U47" i="27"/>
  <c r="AK47" i="27"/>
  <c r="BA47" i="27"/>
  <c r="BQ47" i="27"/>
  <c r="CG47" i="27"/>
  <c r="CW47" i="27"/>
  <c r="DM47" i="27"/>
  <c r="E48" i="27"/>
  <c r="U48" i="27"/>
  <c r="AK48" i="27"/>
  <c r="BA48" i="27"/>
  <c r="BQ48" i="27"/>
  <c r="CG48" i="27"/>
  <c r="CW48" i="27"/>
  <c r="DM48" i="27"/>
  <c r="E49" i="27"/>
  <c r="U49" i="27"/>
  <c r="AK49" i="27"/>
  <c r="BA49" i="27"/>
  <c r="BQ49" i="27"/>
  <c r="CG49" i="27"/>
  <c r="CW49" i="27"/>
  <c r="DM49" i="27"/>
  <c r="E50" i="27"/>
  <c r="U50" i="27"/>
  <c r="AK50" i="27"/>
  <c r="BA50" i="27"/>
  <c r="BQ50" i="27"/>
  <c r="CG50" i="27"/>
  <c r="CW50" i="27"/>
  <c r="DM50" i="27"/>
  <c r="E51" i="27"/>
  <c r="U51" i="27"/>
  <c r="AK51" i="27"/>
  <c r="BA51" i="27"/>
  <c r="BQ51" i="27"/>
  <c r="CG51" i="27"/>
  <c r="CW51" i="27"/>
  <c r="DM51" i="27"/>
  <c r="E52" i="27"/>
  <c r="U52" i="27"/>
  <c r="AK52" i="27"/>
  <c r="BA52" i="27"/>
  <c r="BQ52" i="27"/>
  <c r="CG52" i="27"/>
  <c r="CW52" i="27"/>
  <c r="DM52" i="27"/>
  <c r="E53" i="27"/>
  <c r="U53" i="27"/>
  <c r="AK53" i="27"/>
  <c r="BA53" i="27"/>
  <c r="BQ53" i="27"/>
  <c r="CG53" i="27"/>
  <c r="CW53" i="27"/>
  <c r="DM53" i="27"/>
  <c r="E54" i="27"/>
  <c r="U54" i="27"/>
  <c r="AK54" i="27"/>
  <c r="BA54" i="27"/>
  <c r="BQ54" i="27"/>
  <c r="CG54" i="27"/>
  <c r="CW54" i="27"/>
  <c r="DM54" i="27"/>
  <c r="E55" i="27"/>
  <c r="U55" i="27"/>
  <c r="AK55" i="27"/>
  <c r="BA55" i="27"/>
  <c r="BQ55" i="27"/>
  <c r="CG55" i="27"/>
  <c r="CW55" i="27"/>
  <c r="DM55" i="27"/>
  <c r="E56" i="27"/>
  <c r="U56" i="27"/>
  <c r="AK56" i="27"/>
  <c r="BA56" i="27"/>
  <c r="BQ56" i="27"/>
  <c r="CG56" i="27"/>
  <c r="CW56" i="27"/>
  <c r="DM56" i="27"/>
  <c r="E57" i="27"/>
  <c r="U57" i="27"/>
  <c r="AK57" i="27"/>
  <c r="BA57" i="27"/>
  <c r="BQ57" i="27"/>
  <c r="CG57" i="27"/>
  <c r="CW57" i="27"/>
  <c r="DM57" i="27"/>
  <c r="E58" i="27"/>
  <c r="U58" i="27"/>
  <c r="AK58" i="27"/>
  <c r="BA58" i="27"/>
  <c r="BQ58" i="27"/>
  <c r="CG58" i="27"/>
  <c r="CW58" i="27"/>
  <c r="DM58" i="27"/>
  <c r="E59" i="27"/>
  <c r="U59" i="27"/>
  <c r="AK59" i="27"/>
  <c r="BA59" i="27"/>
  <c r="BQ59" i="27"/>
  <c r="CG59" i="27"/>
  <c r="CW59" i="27"/>
  <c r="DM59" i="27"/>
  <c r="E60" i="27"/>
  <c r="U60" i="27"/>
  <c r="AK60" i="27"/>
  <c r="BA60" i="27"/>
  <c r="BQ60" i="27"/>
  <c r="CG60" i="27"/>
  <c r="CW60" i="27"/>
  <c r="DM60" i="27"/>
  <c r="E61" i="27"/>
  <c r="U61" i="27"/>
  <c r="AK61" i="27"/>
  <c r="BA61" i="27"/>
  <c r="BQ61" i="27"/>
  <c r="CG61" i="27"/>
  <c r="CW61" i="27"/>
  <c r="DM61" i="27"/>
  <c r="E62" i="27"/>
  <c r="U62" i="27"/>
  <c r="AK62" i="27"/>
  <c r="BA62" i="27"/>
  <c r="BI62" i="27"/>
  <c r="BQ62" i="27"/>
  <c r="BY62" i="27"/>
  <c r="CG62" i="27"/>
  <c r="CO62" i="27"/>
  <c r="CW62" i="27"/>
  <c r="DE62" i="27"/>
  <c r="DM62" i="27"/>
  <c r="DU62" i="27"/>
  <c r="E63" i="27"/>
  <c r="M63" i="27"/>
  <c r="U63" i="27"/>
  <c r="AC63" i="27"/>
  <c r="AH63" i="27"/>
  <c r="AN63" i="27"/>
  <c r="AS63" i="27"/>
  <c r="AX63" i="27"/>
  <c r="BD63" i="27"/>
  <c r="BI63" i="27"/>
  <c r="BN63" i="27"/>
  <c r="BT63" i="27"/>
  <c r="BY63" i="27"/>
  <c r="CD63" i="27"/>
  <c r="CJ63" i="27"/>
  <c r="CO63" i="27"/>
  <c r="CT63" i="27"/>
  <c r="CZ63" i="27"/>
  <c r="DE63" i="27"/>
  <c r="DJ63" i="27"/>
  <c r="DP63" i="27"/>
  <c r="DU63" i="27"/>
  <c r="B64" i="27"/>
  <c r="H64" i="27"/>
  <c r="M64" i="27"/>
  <c r="R64" i="27"/>
  <c r="X64" i="27"/>
  <c r="AC64" i="27"/>
  <c r="AH64" i="27"/>
  <c r="AN64" i="27"/>
  <c r="AS64" i="27"/>
  <c r="AX64" i="27"/>
  <c r="BB64" i="27"/>
  <c r="BF64" i="27"/>
  <c r="BJ64" i="27"/>
  <c r="BN64" i="27"/>
  <c r="BR64" i="27"/>
  <c r="BV64" i="27"/>
  <c r="BZ64" i="27"/>
  <c r="CD64" i="27"/>
  <c r="CH64" i="27"/>
  <c r="CL64" i="27"/>
  <c r="CP64" i="27"/>
  <c r="CT64" i="27"/>
  <c r="CX64" i="27"/>
  <c r="DB64" i="27"/>
  <c r="DF64" i="27"/>
  <c r="DJ64" i="27"/>
  <c r="DN64" i="27"/>
  <c r="DR64" i="27"/>
  <c r="DV64" i="27"/>
  <c r="B65" i="27"/>
  <c r="F65" i="27"/>
  <c r="J65" i="27"/>
  <c r="N65" i="27"/>
  <c r="R65" i="27"/>
  <c r="V65" i="27"/>
  <c r="Z65" i="27"/>
  <c r="AD65" i="27"/>
  <c r="AH65" i="27"/>
  <c r="AL65" i="27"/>
  <c r="AP65" i="27"/>
  <c r="AT65" i="27"/>
  <c r="AX65" i="27"/>
  <c r="BB65" i="27"/>
  <c r="BF65" i="27"/>
  <c r="BJ65" i="27"/>
  <c r="BN65" i="27"/>
  <c r="BR65" i="27"/>
  <c r="BV65" i="27"/>
  <c r="BZ65" i="27"/>
  <c r="CD65" i="27"/>
  <c r="CH65" i="27"/>
  <c r="CL65" i="27"/>
  <c r="CP65" i="27"/>
  <c r="CT65" i="27"/>
  <c r="CX65" i="27"/>
  <c r="DB65" i="27"/>
  <c r="DF65" i="27"/>
  <c r="DJ65" i="27"/>
  <c r="DN65" i="27"/>
  <c r="DR65" i="27"/>
  <c r="DV65" i="27"/>
  <c r="B66" i="27"/>
  <c r="F66" i="27"/>
  <c r="J66" i="27"/>
  <c r="N66" i="27"/>
  <c r="R66" i="27"/>
  <c r="V66" i="27"/>
  <c r="Z66" i="27"/>
  <c r="AD66" i="27"/>
  <c r="AH66" i="27"/>
  <c r="AL66" i="27"/>
  <c r="AP66" i="27"/>
  <c r="AT66" i="27"/>
  <c r="AX66" i="27"/>
  <c r="BB66" i="27"/>
  <c r="BF66" i="27"/>
  <c r="BJ66" i="27"/>
  <c r="BN66" i="27"/>
  <c r="BR66" i="27"/>
  <c r="BV66" i="27"/>
  <c r="BZ66" i="27"/>
  <c r="CD66" i="27"/>
  <c r="CH66" i="27"/>
  <c r="CL66" i="27"/>
  <c r="CP66" i="27"/>
  <c r="CT66" i="27"/>
  <c r="CX66" i="27"/>
  <c r="DB66" i="27"/>
  <c r="DF66" i="27"/>
  <c r="DJ66" i="27"/>
  <c r="DN66" i="27"/>
  <c r="DR66" i="27"/>
  <c r="DV66" i="27"/>
  <c r="B67" i="27"/>
  <c r="F67" i="27"/>
  <c r="J67" i="27"/>
  <c r="N67" i="27"/>
  <c r="R67" i="27"/>
  <c r="V67" i="27"/>
  <c r="Z67" i="27"/>
  <c r="AD67" i="27"/>
  <c r="AH67" i="27"/>
  <c r="AL67" i="27"/>
  <c r="AP67" i="27"/>
  <c r="AT67" i="27"/>
  <c r="AX67" i="27"/>
  <c r="BB67" i="27"/>
  <c r="BF67" i="27"/>
  <c r="BJ67" i="27"/>
  <c r="BN67" i="27"/>
  <c r="BR67" i="27"/>
  <c r="BV67" i="27"/>
  <c r="BZ67" i="27"/>
  <c r="CD67" i="27"/>
  <c r="CH67" i="27"/>
  <c r="CL67" i="27"/>
  <c r="CP67" i="27"/>
  <c r="CT67" i="27"/>
  <c r="CX67" i="27"/>
  <c r="DB67" i="27"/>
  <c r="DF67" i="27"/>
  <c r="DJ67" i="27"/>
  <c r="DN67" i="27"/>
  <c r="DR67" i="27"/>
  <c r="DV67" i="27"/>
  <c r="B68" i="27"/>
  <c r="F68" i="27"/>
  <c r="J68" i="27"/>
  <c r="N68" i="27"/>
  <c r="R68" i="27"/>
  <c r="V68" i="27"/>
  <c r="Z68" i="27"/>
  <c r="AD68" i="27"/>
  <c r="AH68" i="27"/>
  <c r="AL68" i="27"/>
  <c r="AP68" i="27"/>
  <c r="AT68" i="27"/>
  <c r="AX68" i="27"/>
  <c r="BB68" i="27"/>
  <c r="BF68" i="27"/>
  <c r="BJ68" i="27"/>
  <c r="BN68" i="27"/>
  <c r="BR68" i="27"/>
  <c r="BV68" i="27"/>
  <c r="BZ68" i="27"/>
  <c r="CD68" i="27"/>
  <c r="CH68" i="27"/>
  <c r="CL68" i="27"/>
  <c r="CP68" i="27"/>
  <c r="CT68" i="27"/>
  <c r="CX68" i="27"/>
  <c r="DB68" i="27"/>
  <c r="DF68" i="27"/>
  <c r="DJ68" i="27"/>
  <c r="DN68" i="27"/>
  <c r="DR68" i="27"/>
  <c r="DV68" i="27"/>
  <c r="B69" i="27"/>
  <c r="F69" i="27"/>
  <c r="J69" i="27"/>
  <c r="N69" i="27"/>
  <c r="R69" i="27"/>
  <c r="V69" i="27"/>
  <c r="Z69" i="27"/>
  <c r="AD69" i="27"/>
  <c r="AH69" i="27"/>
  <c r="AL69" i="27"/>
  <c r="AP69" i="27"/>
  <c r="AT69" i="27"/>
  <c r="AX69" i="27"/>
  <c r="BB69" i="27"/>
  <c r="BF69" i="27"/>
  <c r="BJ69" i="27"/>
  <c r="BN69" i="27"/>
  <c r="BR69" i="27"/>
  <c r="BV69" i="27"/>
  <c r="BZ69" i="27"/>
  <c r="CD69" i="27"/>
  <c r="CH69" i="27"/>
  <c r="CL69" i="27"/>
  <c r="CP69" i="27"/>
  <c r="CT69" i="27"/>
  <c r="CX69" i="27"/>
  <c r="DB69" i="27"/>
  <c r="DF69" i="27"/>
  <c r="DJ69" i="27"/>
  <c r="DN69" i="27"/>
  <c r="DR69" i="27"/>
  <c r="DV69" i="27"/>
  <c r="B70" i="27"/>
  <c r="F70" i="27"/>
  <c r="J70" i="27"/>
  <c r="N70" i="27"/>
  <c r="R70" i="27"/>
  <c r="V70" i="27"/>
  <c r="Z70" i="27"/>
  <c r="AD70" i="27"/>
  <c r="AH70" i="27"/>
  <c r="AL70" i="27"/>
  <c r="AP70" i="27"/>
  <c r="AT70" i="27"/>
  <c r="AX70" i="27"/>
  <c r="BB70" i="27"/>
  <c r="BF70" i="27"/>
  <c r="BJ70" i="27"/>
  <c r="BN70" i="27"/>
  <c r="BR70" i="27"/>
  <c r="BV70" i="27"/>
  <c r="BZ70" i="27"/>
  <c r="CD70" i="27"/>
  <c r="CH70" i="27"/>
  <c r="CL70" i="27"/>
  <c r="CP70" i="27"/>
  <c r="CT70" i="27"/>
  <c r="CX70" i="27"/>
  <c r="DB70" i="27"/>
  <c r="DF70" i="27"/>
  <c r="DJ70" i="27"/>
  <c r="DN70" i="27"/>
  <c r="DR70" i="27"/>
  <c r="DV70" i="27"/>
  <c r="B71" i="27"/>
  <c r="F71" i="27"/>
  <c r="J71" i="27"/>
  <c r="N71" i="27"/>
  <c r="R71" i="27"/>
  <c r="V71" i="27"/>
  <c r="Z71" i="27"/>
  <c r="AD71" i="27"/>
  <c r="AH71" i="27"/>
  <c r="AL71" i="27"/>
  <c r="AP71" i="27"/>
  <c r="AT71" i="27"/>
  <c r="AX71" i="27"/>
  <c r="BB71" i="27"/>
  <c r="BF71" i="27"/>
  <c r="BJ71" i="27"/>
  <c r="BN71" i="27"/>
  <c r="BR71" i="27"/>
  <c r="BV71" i="27"/>
  <c r="BZ71" i="27"/>
  <c r="CD71" i="27"/>
  <c r="CH71" i="27"/>
  <c r="CL71" i="27"/>
  <c r="CP71" i="27"/>
  <c r="CT71" i="27"/>
  <c r="CX71" i="27"/>
  <c r="DB71" i="27"/>
  <c r="DF71" i="27"/>
  <c r="DJ71" i="27"/>
  <c r="DN71" i="27"/>
  <c r="DR71" i="27"/>
  <c r="DV71" i="27"/>
  <c r="B72" i="27"/>
  <c r="F72" i="27"/>
  <c r="J72" i="27"/>
  <c r="N72" i="27"/>
  <c r="R72" i="27"/>
  <c r="V72" i="27"/>
  <c r="Z72" i="27"/>
  <c r="AD72" i="27"/>
  <c r="AH72" i="27"/>
  <c r="AL72" i="27"/>
  <c r="AP72" i="27"/>
  <c r="AT72" i="27"/>
  <c r="AX72" i="27"/>
  <c r="BB72" i="27"/>
  <c r="BF72" i="27"/>
  <c r="BJ72" i="27"/>
  <c r="BN72" i="27"/>
  <c r="BR72" i="27"/>
  <c r="BV72" i="27"/>
  <c r="BZ72" i="27"/>
  <c r="CD72" i="27"/>
  <c r="CH72" i="27"/>
  <c r="CL72" i="27"/>
  <c r="CP72" i="27"/>
  <c r="CT72" i="27"/>
  <c r="CX72" i="27"/>
  <c r="DB72" i="27"/>
  <c r="DF72" i="27"/>
  <c r="DJ72" i="27"/>
  <c r="DN72" i="27"/>
  <c r="DR72" i="27"/>
  <c r="DV72" i="27"/>
  <c r="B73" i="27"/>
  <c r="F73" i="27"/>
  <c r="J73" i="27"/>
  <c r="N73" i="27"/>
  <c r="R73" i="27"/>
  <c r="V73" i="27"/>
  <c r="Z73" i="27"/>
  <c r="AD73" i="27"/>
  <c r="AH73" i="27"/>
  <c r="AL73" i="27"/>
  <c r="AP73" i="27"/>
  <c r="AT73" i="27"/>
  <c r="AX73" i="27"/>
  <c r="BB73" i="27"/>
  <c r="BF73" i="27"/>
  <c r="BJ73" i="27"/>
  <c r="BN73" i="27"/>
  <c r="BR73" i="27"/>
  <c r="BV73" i="27"/>
  <c r="BZ73" i="27"/>
  <c r="CD73" i="27"/>
  <c r="CH73" i="27"/>
  <c r="CL73" i="27"/>
  <c r="CP73" i="27"/>
  <c r="CT73" i="27"/>
  <c r="CX73" i="27"/>
  <c r="DB73" i="27"/>
  <c r="DF73" i="27"/>
  <c r="DJ73" i="27"/>
  <c r="DN73" i="27"/>
  <c r="DR73" i="27"/>
  <c r="DV73" i="27"/>
  <c r="B74" i="27"/>
  <c r="F74" i="27"/>
  <c r="J74" i="27"/>
  <c r="N74" i="27"/>
  <c r="R74" i="27"/>
  <c r="V74" i="27"/>
  <c r="Z74" i="27"/>
  <c r="AD74" i="27"/>
  <c r="AH74" i="27"/>
  <c r="AL74" i="27"/>
  <c r="AP74" i="27"/>
  <c r="AT74" i="27"/>
  <c r="AX74" i="27"/>
  <c r="BB74" i="27"/>
  <c r="BF74" i="27"/>
  <c r="BJ74" i="27"/>
  <c r="BN74" i="27"/>
  <c r="BR74" i="27"/>
  <c r="BV74" i="27"/>
  <c r="BZ74" i="27"/>
  <c r="CD74" i="27"/>
  <c r="CH74" i="27"/>
  <c r="CL74" i="27"/>
  <c r="CP74" i="27"/>
  <c r="CT74" i="27"/>
  <c r="CX74" i="27"/>
  <c r="DB74" i="27"/>
  <c r="DF74" i="27"/>
  <c r="DJ74" i="27"/>
  <c r="DN74" i="27"/>
  <c r="DR74" i="27"/>
  <c r="DV74" i="27"/>
  <c r="B75" i="27"/>
  <c r="F75" i="27"/>
  <c r="J75" i="27"/>
  <c r="N75" i="27"/>
  <c r="R75" i="27"/>
  <c r="V75" i="27"/>
  <c r="Z75" i="27"/>
  <c r="AD75" i="27"/>
  <c r="AH75" i="27"/>
  <c r="AL75" i="27"/>
  <c r="AP75" i="27"/>
  <c r="AT75" i="27"/>
  <c r="AX75" i="27"/>
  <c r="BB75" i="27"/>
  <c r="BF75" i="27"/>
  <c r="BJ75" i="27"/>
  <c r="BN75" i="27"/>
  <c r="BR75" i="27"/>
  <c r="BV75" i="27"/>
  <c r="BZ75" i="27"/>
  <c r="CD75" i="27"/>
  <c r="CH75" i="27"/>
  <c r="CL75" i="27"/>
  <c r="CP75" i="27"/>
  <c r="CT75" i="27"/>
  <c r="CX75" i="27"/>
  <c r="DB75" i="27"/>
  <c r="DF75" i="27"/>
  <c r="DJ75" i="27"/>
  <c r="DN75" i="27"/>
  <c r="DR75" i="27"/>
  <c r="DV75" i="27"/>
  <c r="B76" i="27"/>
  <c r="F76" i="27"/>
  <c r="H29" i="27"/>
  <c r="D37" i="27"/>
  <c r="DE39" i="27"/>
  <c r="DE41" i="27"/>
  <c r="DE43" i="27"/>
  <c r="DQ44" i="27"/>
  <c r="DQ45" i="27"/>
  <c r="CC46" i="27"/>
  <c r="Y47" i="27"/>
  <c r="CK47" i="27"/>
  <c r="Y48" i="27"/>
  <c r="CK48" i="27"/>
  <c r="Y49" i="27"/>
  <c r="CK49" i="27"/>
  <c r="Y50" i="27"/>
  <c r="CK50" i="27"/>
  <c r="Y51" i="27"/>
  <c r="CK51" i="27"/>
  <c r="Y52" i="27"/>
  <c r="CK52" i="27"/>
  <c r="Y53" i="27"/>
  <c r="CK53" i="27"/>
  <c r="Y54" i="27"/>
  <c r="CK54" i="27"/>
  <c r="Y55" i="27"/>
  <c r="CK55" i="27"/>
  <c r="Y56" i="27"/>
  <c r="CK56" i="27"/>
  <c r="Y57" i="27"/>
  <c r="CK57" i="27"/>
  <c r="Y58" i="27"/>
  <c r="CK58" i="27"/>
  <c r="Y59" i="27"/>
  <c r="CK59" i="27"/>
  <c r="Y60" i="27"/>
  <c r="CK60" i="27"/>
  <c r="Y61" i="27"/>
  <c r="CK61" i="27"/>
  <c r="Y62" i="27"/>
  <c r="BR62" i="27"/>
  <c r="CX62" i="27"/>
  <c r="F63" i="27"/>
  <c r="AJ63" i="27"/>
  <c r="BE63" i="27"/>
  <c r="BZ63" i="27"/>
  <c r="CV63" i="27"/>
  <c r="DQ63" i="27"/>
  <c r="N64" i="27"/>
  <c r="AJ64" i="27"/>
  <c r="BC64" i="27"/>
  <c r="BS64" i="27"/>
  <c r="CI64" i="27"/>
  <c r="CY64" i="27"/>
  <c r="DO64" i="27"/>
  <c r="G65" i="27"/>
  <c r="W65" i="27"/>
  <c r="AM65" i="27"/>
  <c r="BC65" i="27"/>
  <c r="BS65" i="27"/>
  <c r="CI65" i="27"/>
  <c r="CY65" i="27"/>
  <c r="DO65" i="27"/>
  <c r="G66" i="27"/>
  <c r="W66" i="27"/>
  <c r="AM66" i="27"/>
  <c r="BC66" i="27"/>
  <c r="BS66" i="27"/>
  <c r="CI66" i="27"/>
  <c r="CY66" i="27"/>
  <c r="DO66" i="27"/>
  <c r="G67" i="27"/>
  <c r="W67" i="27"/>
  <c r="AM67" i="27"/>
  <c r="BC67" i="27"/>
  <c r="BS67" i="27"/>
  <c r="CI67" i="27"/>
  <c r="CY67" i="27"/>
  <c r="DO67" i="27"/>
  <c r="G68" i="27"/>
  <c r="W68" i="27"/>
  <c r="AM68" i="27"/>
  <c r="BC68" i="27"/>
  <c r="BS68" i="27"/>
  <c r="CI68" i="27"/>
  <c r="CY68" i="27"/>
  <c r="DO68" i="27"/>
  <c r="G69" i="27"/>
  <c r="W69" i="27"/>
  <c r="AM69" i="27"/>
  <c r="BC69" i="27"/>
  <c r="BS69" i="27"/>
  <c r="CI69" i="27"/>
  <c r="CY69" i="27"/>
  <c r="DO69" i="27"/>
  <c r="G70" i="27"/>
  <c r="W70" i="27"/>
  <c r="AM70" i="27"/>
  <c r="BC70" i="27"/>
  <c r="BS70" i="27"/>
  <c r="CI70" i="27"/>
  <c r="CY70" i="27"/>
  <c r="DO70" i="27"/>
  <c r="G71" i="27"/>
  <c r="W71" i="27"/>
  <c r="AM71" i="27"/>
  <c r="BC71" i="27"/>
  <c r="BS71" i="27"/>
  <c r="CI71" i="27"/>
  <c r="CY71" i="27"/>
  <c r="DO71" i="27"/>
  <c r="G72" i="27"/>
  <c r="W72" i="27"/>
  <c r="AM72" i="27"/>
  <c r="BC72" i="27"/>
  <c r="BS72" i="27"/>
  <c r="CI72" i="27"/>
  <c r="CY72" i="27"/>
  <c r="DO72" i="27"/>
  <c r="G73" i="27"/>
  <c r="W73" i="27"/>
  <c r="AM73" i="27"/>
  <c r="BC73" i="27"/>
  <c r="BS73" i="27"/>
  <c r="CI73" i="27"/>
  <c r="CY73" i="27"/>
  <c r="DO73" i="27"/>
  <c r="G74" i="27"/>
  <c r="W74" i="27"/>
  <c r="AM74" i="27"/>
  <c r="BC74" i="27"/>
  <c r="BS74" i="27"/>
  <c r="CI74" i="27"/>
  <c r="CY74" i="27"/>
  <c r="DO74" i="27"/>
  <c r="G75" i="27"/>
  <c r="W75" i="27"/>
  <c r="AM75" i="27"/>
  <c r="BC75" i="27"/>
  <c r="BS75" i="27"/>
  <c r="CI75" i="27"/>
  <c r="CY75" i="27"/>
  <c r="DO75" i="27"/>
  <c r="G76" i="27"/>
  <c r="O76" i="27"/>
  <c r="W76" i="27"/>
  <c r="AE76" i="27"/>
  <c r="AM76" i="27"/>
  <c r="AU76" i="27"/>
  <c r="BC76" i="27"/>
  <c r="BK76" i="27"/>
  <c r="BS76" i="27"/>
  <c r="CA76" i="27"/>
  <c r="CI76" i="27"/>
  <c r="CQ76" i="27"/>
  <c r="CY76" i="27"/>
  <c r="DG76" i="27"/>
  <c r="DO76" i="27"/>
  <c r="DW76" i="27"/>
  <c r="G77" i="27"/>
  <c r="O77" i="27"/>
  <c r="W77" i="27"/>
  <c r="AE77" i="27"/>
  <c r="AM77" i="27"/>
  <c r="AU77" i="27"/>
  <c r="BC77" i="27"/>
  <c r="BK77" i="27"/>
  <c r="BS77" i="27"/>
  <c r="CA77" i="27"/>
  <c r="CI77" i="27"/>
  <c r="CQ77" i="27"/>
  <c r="CY77" i="27"/>
  <c r="DG77" i="27"/>
  <c r="DO77" i="27"/>
  <c r="DW77" i="27"/>
  <c r="G78" i="27"/>
  <c r="O78" i="27"/>
  <c r="W78" i="27"/>
  <c r="AE78" i="27"/>
  <c r="AM78" i="27"/>
  <c r="AU78" i="27"/>
  <c r="BC78" i="27"/>
  <c r="BK78" i="27"/>
  <c r="BS78" i="27"/>
  <c r="CA78" i="27"/>
  <c r="CI78" i="27"/>
  <c r="CQ78" i="27"/>
  <c r="CY78" i="27"/>
  <c r="DG78" i="27"/>
  <c r="DO78" i="27"/>
  <c r="DW78" i="27"/>
  <c r="G79" i="27"/>
  <c r="O79" i="27"/>
  <c r="W79" i="27"/>
  <c r="AE79" i="27"/>
  <c r="AM79" i="27"/>
  <c r="AU79" i="27"/>
  <c r="BC79" i="27"/>
  <c r="BK79" i="27"/>
  <c r="BS79" i="27"/>
  <c r="BY79" i="27"/>
  <c r="CC79" i="27"/>
  <c r="CG79" i="27"/>
  <c r="CK79" i="27"/>
  <c r="CO79" i="27"/>
  <c r="CS79" i="27"/>
  <c r="CW79" i="27"/>
  <c r="DA79" i="27"/>
  <c r="DE79" i="27"/>
  <c r="DI79" i="27"/>
  <c r="DM79" i="27"/>
  <c r="DQ79" i="27"/>
  <c r="DU79" i="27"/>
  <c r="DY79" i="27"/>
  <c r="E80" i="27"/>
  <c r="I80" i="27"/>
  <c r="M80" i="27"/>
  <c r="Q80" i="27"/>
  <c r="U80" i="27"/>
  <c r="Y80" i="27"/>
  <c r="AC80" i="27"/>
  <c r="AG80" i="27"/>
  <c r="AK80" i="27"/>
  <c r="AO80" i="27"/>
  <c r="AS80" i="27"/>
  <c r="AW80" i="27"/>
  <c r="BA80" i="27"/>
  <c r="BE80" i="27"/>
  <c r="BI80" i="27"/>
  <c r="BM80" i="27"/>
  <c r="BQ80" i="27"/>
  <c r="BU80" i="27"/>
  <c r="BY80" i="27"/>
  <c r="CC80" i="27"/>
  <c r="CG80" i="27"/>
  <c r="CK80" i="27"/>
  <c r="CO80" i="27"/>
  <c r="CS80" i="27"/>
  <c r="CW80" i="27"/>
  <c r="DA80" i="27"/>
  <c r="DE80" i="27"/>
  <c r="DI80" i="27"/>
  <c r="DM80" i="27"/>
  <c r="DQ80" i="27"/>
  <c r="DU80" i="27"/>
  <c r="DY80" i="27"/>
  <c r="E81" i="27"/>
  <c r="I81" i="27"/>
  <c r="M81" i="27"/>
  <c r="Q81" i="27"/>
  <c r="U81" i="27"/>
  <c r="Y81" i="27"/>
  <c r="AC81" i="27"/>
  <c r="AG81" i="27"/>
  <c r="AK81" i="27"/>
  <c r="AO81" i="27"/>
  <c r="AS81" i="27"/>
  <c r="AW81" i="27"/>
  <c r="BA81" i="27"/>
  <c r="BE81" i="27"/>
  <c r="BI81" i="27"/>
  <c r="BM81" i="27"/>
  <c r="BQ81" i="27"/>
  <c r="BU81" i="27"/>
  <c r="BY81" i="27"/>
  <c r="CC81" i="27"/>
  <c r="CG81" i="27"/>
  <c r="CK81" i="27"/>
  <c r="CO81" i="27"/>
  <c r="CS81" i="27"/>
  <c r="CW81" i="27"/>
  <c r="DA81" i="27"/>
  <c r="DE81" i="27"/>
  <c r="DI81" i="27"/>
  <c r="DM81" i="27"/>
  <c r="DQ81" i="27"/>
  <c r="DU81" i="27"/>
  <c r="DY81" i="27"/>
  <c r="E82" i="27"/>
  <c r="I82" i="27"/>
  <c r="M82" i="27"/>
  <c r="Q82" i="27"/>
  <c r="U82" i="27"/>
  <c r="Y82" i="27"/>
  <c r="AC82" i="27"/>
  <c r="AG82" i="27"/>
  <c r="AK82" i="27"/>
  <c r="AO82" i="27"/>
  <c r="AS82" i="27"/>
  <c r="AW82" i="27"/>
  <c r="BA82" i="27"/>
  <c r="BE82" i="27"/>
  <c r="BI82" i="27"/>
  <c r="BM82" i="27"/>
  <c r="BQ82" i="27"/>
  <c r="BU82" i="27"/>
  <c r="BY82" i="27"/>
  <c r="CC82" i="27"/>
  <c r="CG82" i="27"/>
  <c r="CK82" i="27"/>
  <c r="CO82" i="27"/>
  <c r="CS82" i="27"/>
  <c r="CW82" i="27"/>
  <c r="DA82" i="27"/>
  <c r="DE82" i="27"/>
  <c r="DI82" i="27"/>
  <c r="DM82" i="27"/>
  <c r="DQ82" i="27"/>
  <c r="DU82" i="27"/>
  <c r="DY82" i="27"/>
  <c r="E83" i="27"/>
  <c r="I83" i="27"/>
  <c r="M83" i="27"/>
  <c r="Q83" i="27"/>
  <c r="U83" i="27"/>
  <c r="Y83" i="27"/>
  <c r="AC83" i="27"/>
  <c r="AG83" i="27"/>
  <c r="AK83" i="27"/>
  <c r="AO83" i="27"/>
  <c r="AS83" i="27"/>
  <c r="AW83" i="27"/>
  <c r="BA83" i="27"/>
  <c r="BE83" i="27"/>
  <c r="BI83" i="27"/>
  <c r="BM83" i="27"/>
  <c r="BQ83" i="27"/>
  <c r="BU83" i="27"/>
  <c r="BY83" i="27"/>
  <c r="CC83" i="27"/>
  <c r="CG83" i="27"/>
  <c r="CK83" i="27"/>
  <c r="CO83" i="27"/>
  <c r="CS83" i="27"/>
  <c r="CW83" i="27"/>
  <c r="DA83" i="27"/>
  <c r="DE83" i="27"/>
  <c r="DI83" i="27"/>
  <c r="DM83" i="27"/>
  <c r="DQ83" i="27"/>
  <c r="DU83" i="27"/>
  <c r="DY83" i="27"/>
  <c r="E84" i="27"/>
  <c r="I84" i="27"/>
  <c r="M84" i="27"/>
  <c r="Q84" i="27"/>
  <c r="U84" i="27"/>
  <c r="Y84" i="27"/>
  <c r="AC84" i="27"/>
  <c r="AG84" i="27"/>
  <c r="AK84" i="27"/>
  <c r="AO84" i="27"/>
  <c r="AS84" i="27"/>
  <c r="AW84" i="27"/>
  <c r="BA84" i="27"/>
  <c r="BE84" i="27"/>
  <c r="BI84" i="27"/>
  <c r="BM84" i="27"/>
  <c r="BQ84" i="27"/>
  <c r="BU84" i="27"/>
  <c r="BY84" i="27"/>
  <c r="CC84" i="27"/>
  <c r="CG84" i="27"/>
  <c r="CK84" i="27"/>
  <c r="CO84" i="27"/>
  <c r="CS84" i="27"/>
  <c r="CW84" i="27"/>
  <c r="DA84" i="27"/>
  <c r="DE84" i="27"/>
  <c r="DI84" i="27"/>
  <c r="DM84" i="27"/>
  <c r="DQ84" i="27"/>
  <c r="DU84" i="27"/>
  <c r="DY84" i="27"/>
  <c r="E85" i="27"/>
  <c r="I85" i="27"/>
  <c r="M85" i="27"/>
  <c r="Q85" i="27"/>
  <c r="U85" i="27"/>
  <c r="Y85" i="27"/>
  <c r="AC85" i="27"/>
  <c r="AG85" i="27"/>
  <c r="AK85" i="27"/>
  <c r="AO85" i="27"/>
  <c r="AS85" i="27"/>
  <c r="AW85" i="27"/>
  <c r="BA85" i="27"/>
  <c r="BE85" i="27"/>
  <c r="BI85" i="27"/>
  <c r="BM85" i="27"/>
  <c r="BQ85" i="27"/>
  <c r="BU85" i="27"/>
  <c r="BY85" i="27"/>
  <c r="CC85" i="27"/>
  <c r="CG85" i="27"/>
  <c r="CK85" i="27"/>
  <c r="CO85" i="27"/>
  <c r="CS85" i="27"/>
  <c r="CW85" i="27"/>
  <c r="DA85" i="27"/>
  <c r="DE85" i="27"/>
  <c r="DI85" i="27"/>
  <c r="DM85" i="27"/>
  <c r="DQ85" i="27"/>
  <c r="DU85" i="27"/>
  <c r="DY85" i="27"/>
  <c r="E86" i="27"/>
  <c r="I86" i="27"/>
  <c r="M86" i="27"/>
  <c r="Q86" i="27"/>
  <c r="U86" i="27"/>
  <c r="Y86" i="27"/>
  <c r="AC86" i="27"/>
  <c r="AG86" i="27"/>
  <c r="AK86" i="27"/>
  <c r="AO86" i="27"/>
  <c r="AS86" i="27"/>
  <c r="AW86" i="27"/>
  <c r="BA86" i="27"/>
  <c r="BE86" i="27"/>
  <c r="BI86" i="27"/>
  <c r="BM86" i="27"/>
  <c r="BQ86" i="27"/>
  <c r="BU86" i="27"/>
  <c r="BY86" i="27"/>
  <c r="CC86" i="27"/>
  <c r="CG86" i="27"/>
  <c r="CK86" i="27"/>
  <c r="CO86" i="27"/>
  <c r="CS86" i="27"/>
  <c r="CW86" i="27"/>
  <c r="DA86" i="27"/>
  <c r="DE86" i="27"/>
  <c r="DI86" i="27"/>
  <c r="DM86" i="27"/>
  <c r="DQ86" i="27"/>
  <c r="DU86" i="27"/>
  <c r="DY86" i="27"/>
  <c r="E87" i="27"/>
  <c r="I87" i="27"/>
  <c r="M87" i="27"/>
  <c r="Q87" i="27"/>
  <c r="U87" i="27"/>
  <c r="Y87" i="27"/>
  <c r="AC87" i="27"/>
  <c r="AG87" i="27"/>
  <c r="AK87" i="27"/>
  <c r="AO87" i="27"/>
  <c r="AS87" i="27"/>
  <c r="AW87" i="27"/>
  <c r="BA87" i="27"/>
  <c r="BE87" i="27"/>
  <c r="BI87" i="27"/>
  <c r="BM87" i="27"/>
  <c r="BQ87" i="27"/>
  <c r="BU87" i="27"/>
  <c r="BY87" i="27"/>
  <c r="CC87" i="27"/>
  <c r="CG87" i="27"/>
  <c r="CK87" i="27"/>
  <c r="CO87" i="27"/>
  <c r="CS87" i="27"/>
  <c r="CW87" i="27"/>
  <c r="DA87" i="27"/>
  <c r="DE87" i="27"/>
  <c r="DI87" i="27"/>
  <c r="DM87" i="27"/>
  <c r="DQ87" i="27"/>
  <c r="DU87" i="27"/>
  <c r="DY87" i="27"/>
  <c r="E88" i="27"/>
  <c r="I88" i="27"/>
  <c r="M88" i="27"/>
  <c r="Q88" i="27"/>
  <c r="U88" i="27"/>
  <c r="Y88" i="27"/>
  <c r="AC88" i="27"/>
  <c r="AG88" i="27"/>
  <c r="AK88" i="27"/>
  <c r="AO88" i="27"/>
  <c r="AS88" i="27"/>
  <c r="AW88" i="27"/>
  <c r="BA88" i="27"/>
  <c r="BE88" i="27"/>
  <c r="BI88" i="27"/>
  <c r="BM88" i="27"/>
  <c r="BQ88" i="27"/>
  <c r="BU88" i="27"/>
  <c r="BY88" i="27"/>
  <c r="CC88" i="27"/>
  <c r="CG88" i="27"/>
  <c r="CK88" i="27"/>
  <c r="CO88" i="27"/>
  <c r="CS88" i="27"/>
  <c r="CW88" i="27"/>
  <c r="DA88" i="27"/>
  <c r="DE88" i="27"/>
  <c r="DI88" i="27"/>
  <c r="DM88" i="27"/>
  <c r="DQ88" i="27"/>
  <c r="DU88" i="27"/>
  <c r="DY88" i="27"/>
  <c r="E89" i="27"/>
  <c r="I89" i="27"/>
  <c r="M89" i="27"/>
  <c r="Q89" i="27"/>
  <c r="U89" i="27"/>
  <c r="Y89" i="27"/>
  <c r="AC89" i="27"/>
  <c r="AG89" i="27"/>
  <c r="AK89" i="27"/>
  <c r="AO89" i="27"/>
  <c r="AS89" i="27"/>
  <c r="AW89" i="27"/>
  <c r="BA89" i="27"/>
  <c r="BE89" i="27"/>
  <c r="BI89" i="27"/>
  <c r="BM89" i="27"/>
  <c r="BQ89" i="27"/>
  <c r="BU89" i="27"/>
  <c r="BY89" i="27"/>
  <c r="CC89" i="27"/>
  <c r="CG89" i="27"/>
  <c r="CK89" i="27"/>
  <c r="CO89" i="27"/>
  <c r="CS89" i="27"/>
  <c r="CW89" i="27"/>
  <c r="DA89" i="27"/>
  <c r="DE89" i="27"/>
  <c r="DI89" i="27"/>
  <c r="DM89" i="27"/>
  <c r="DQ89" i="27"/>
  <c r="DU89" i="27"/>
  <c r="DY89" i="27"/>
  <c r="E90" i="27"/>
  <c r="I90" i="27"/>
  <c r="M90" i="27"/>
  <c r="Q90" i="27"/>
  <c r="U90" i="27"/>
  <c r="Y90" i="27"/>
  <c r="AC90" i="27"/>
  <c r="AG90" i="27"/>
  <c r="AK90" i="27"/>
  <c r="AO90" i="27"/>
  <c r="AS90" i="27"/>
  <c r="AW90" i="27"/>
  <c r="BA90" i="27"/>
  <c r="BE90" i="27"/>
  <c r="BI90" i="27"/>
  <c r="BM90" i="27"/>
  <c r="BQ90" i="27"/>
  <c r="BU90" i="27"/>
  <c r="BY90" i="27"/>
  <c r="CC90" i="27"/>
  <c r="CG90" i="27"/>
  <c r="CK90" i="27"/>
  <c r="CO90" i="27"/>
  <c r="CS90" i="27"/>
  <c r="CW90" i="27"/>
  <c r="DA90" i="27"/>
  <c r="DE90" i="27"/>
  <c r="DI90" i="27"/>
  <c r="DM90" i="27"/>
  <c r="DQ90" i="27"/>
  <c r="DU90" i="27"/>
  <c r="DY90" i="27"/>
  <c r="E91" i="27"/>
  <c r="I91" i="27"/>
  <c r="M91" i="27"/>
  <c r="Q91" i="27"/>
  <c r="U91" i="27"/>
  <c r="Y91" i="27"/>
  <c r="AC91" i="27"/>
  <c r="AG91" i="27"/>
  <c r="AK91" i="27"/>
  <c r="AO91" i="27"/>
  <c r="AS91" i="27"/>
  <c r="AW91" i="27"/>
  <c r="BA91" i="27"/>
  <c r="BE91" i="27"/>
  <c r="BI91" i="27"/>
  <c r="BM91" i="27"/>
  <c r="BQ91" i="27"/>
  <c r="BU91" i="27"/>
  <c r="BY91" i="27"/>
  <c r="CC91" i="27"/>
  <c r="CG91" i="27"/>
  <c r="CK91" i="27"/>
  <c r="CO91" i="27"/>
  <c r="CS91" i="27"/>
  <c r="CW91" i="27"/>
  <c r="DA91" i="27"/>
  <c r="DE91" i="27"/>
  <c r="DI91" i="27"/>
  <c r="DM91" i="27"/>
  <c r="DQ91" i="27"/>
  <c r="DU91" i="27"/>
  <c r="DY91" i="27"/>
  <c r="E92" i="27"/>
  <c r="I92" i="27"/>
  <c r="M92" i="27"/>
  <c r="Q92" i="27"/>
  <c r="U92" i="27"/>
  <c r="Y92" i="27"/>
  <c r="AC92" i="27"/>
  <c r="AG92" i="27"/>
  <c r="AK92" i="27"/>
  <c r="AO92" i="27"/>
  <c r="AS92" i="27"/>
  <c r="AW92" i="27"/>
  <c r="BA92" i="27"/>
  <c r="BE92" i="27"/>
  <c r="BI92" i="27"/>
  <c r="BM92" i="27"/>
  <c r="BQ92" i="27"/>
  <c r="BU92" i="27"/>
  <c r="BY92" i="27"/>
  <c r="CC92" i="27"/>
  <c r="CG92" i="27"/>
  <c r="CK92" i="27"/>
  <c r="CO92" i="27"/>
  <c r="CS92" i="27"/>
  <c r="CW92" i="27"/>
  <c r="DA92" i="27"/>
  <c r="DE92" i="27"/>
  <c r="DI92" i="27"/>
  <c r="DM92" i="27"/>
  <c r="DQ92" i="27"/>
  <c r="DU92" i="27"/>
  <c r="DY92" i="27"/>
  <c r="E93" i="27"/>
  <c r="I93" i="27"/>
  <c r="M93" i="27"/>
  <c r="Q93" i="27"/>
  <c r="U93" i="27"/>
  <c r="Y93" i="27"/>
  <c r="AC93" i="27"/>
  <c r="AG93" i="27"/>
  <c r="AK93" i="27"/>
  <c r="AO93" i="27"/>
  <c r="AS93" i="27"/>
  <c r="AW93" i="27"/>
  <c r="BA93" i="27"/>
  <c r="BE93" i="27"/>
  <c r="BI93" i="27"/>
  <c r="BM93" i="27"/>
  <c r="BQ93" i="27"/>
  <c r="BU93" i="27"/>
  <c r="BY93" i="27"/>
  <c r="CC93" i="27"/>
  <c r="CG93" i="27"/>
  <c r="CK93" i="27"/>
  <c r="CO93" i="27"/>
  <c r="CS93" i="27"/>
  <c r="CW93" i="27"/>
  <c r="DA93" i="27"/>
  <c r="DE93" i="27"/>
  <c r="DI93" i="27"/>
  <c r="DM93" i="27"/>
  <c r="DQ93" i="27"/>
  <c r="DU93" i="27"/>
  <c r="DY93" i="27"/>
  <c r="E94" i="27"/>
  <c r="I94" i="27"/>
  <c r="M94" i="27"/>
  <c r="Q94" i="27"/>
  <c r="U94" i="27"/>
  <c r="Y94" i="27"/>
  <c r="AC94" i="27"/>
  <c r="AG94" i="27"/>
  <c r="AK94" i="27"/>
  <c r="AO94" i="27"/>
  <c r="AS94" i="27"/>
  <c r="AW94" i="27"/>
  <c r="BA94" i="27"/>
  <c r="BE94" i="27"/>
  <c r="BI94" i="27"/>
  <c r="BM94" i="27"/>
  <c r="BQ94" i="27"/>
  <c r="BU94" i="27"/>
  <c r="BY94" i="27"/>
  <c r="CC94" i="27"/>
  <c r="CG94" i="27"/>
  <c r="CK94" i="27"/>
  <c r="CO94" i="27"/>
  <c r="CS94" i="27"/>
  <c r="CW94" i="27"/>
  <c r="DA94" i="27"/>
  <c r="DE94" i="27"/>
  <c r="DI94" i="27"/>
  <c r="DM94" i="27"/>
  <c r="DQ94" i="27"/>
  <c r="DU94" i="27"/>
  <c r="DY94" i="27"/>
  <c r="E95" i="27"/>
  <c r="I95" i="27"/>
  <c r="M95" i="27"/>
  <c r="Q95" i="27"/>
  <c r="U95" i="27"/>
  <c r="Y95" i="27"/>
  <c r="AC95" i="27"/>
  <c r="AG95" i="27"/>
  <c r="AK95" i="27"/>
  <c r="AO95" i="27"/>
  <c r="AS95" i="27"/>
  <c r="AW95" i="27"/>
  <c r="BA95" i="27"/>
  <c r="BE95" i="27"/>
  <c r="BI95" i="27"/>
  <c r="BM95" i="27"/>
  <c r="BQ95" i="27"/>
  <c r="BU95" i="27"/>
  <c r="BY95" i="27"/>
  <c r="CC95" i="27"/>
  <c r="CG95" i="27"/>
  <c r="CK95" i="27"/>
  <c r="CO95" i="27"/>
  <c r="CS95" i="27"/>
  <c r="CW95" i="27"/>
  <c r="DA95" i="27"/>
  <c r="DE95" i="27"/>
  <c r="DI95" i="27"/>
  <c r="DM95" i="27"/>
  <c r="DQ95" i="27"/>
  <c r="DU95" i="27"/>
  <c r="DY95" i="27"/>
  <c r="E96" i="27"/>
  <c r="I96" i="27"/>
  <c r="M96" i="27"/>
  <c r="Q96" i="27"/>
  <c r="U96" i="27"/>
  <c r="Y96" i="27"/>
  <c r="AC96" i="27"/>
  <c r="AG96" i="27"/>
  <c r="AK96" i="27"/>
  <c r="AO96" i="27"/>
  <c r="AS96" i="27"/>
  <c r="AW96" i="27"/>
  <c r="BA96" i="27"/>
  <c r="BE96" i="27"/>
  <c r="BI96" i="27"/>
  <c r="BM96" i="27"/>
  <c r="BQ96" i="27"/>
  <c r="BU96" i="27"/>
  <c r="BY96" i="27"/>
  <c r="CC96" i="27"/>
  <c r="CG96" i="27"/>
  <c r="CK96" i="27"/>
  <c r="CO96" i="27"/>
  <c r="CS96" i="27"/>
  <c r="CW96" i="27"/>
  <c r="DA96" i="27"/>
  <c r="DE96" i="27"/>
  <c r="DI96" i="27"/>
  <c r="DM96" i="27"/>
  <c r="DQ96" i="27"/>
  <c r="DU96" i="27"/>
  <c r="DY96" i="27"/>
  <c r="E97" i="27"/>
  <c r="I97" i="27"/>
  <c r="M97" i="27"/>
  <c r="Q97" i="27"/>
  <c r="U97" i="27"/>
  <c r="Y97" i="27"/>
  <c r="AC97" i="27"/>
  <c r="AG97" i="27"/>
  <c r="AK97" i="27"/>
  <c r="AO97" i="27"/>
  <c r="BC32" i="27"/>
  <c r="D38" i="27"/>
  <c r="AS40" i="27"/>
  <c r="AS42" i="27"/>
  <c r="Y44" i="27"/>
  <c r="Y45" i="27"/>
  <c r="Q46" i="27"/>
  <c r="CX46" i="27"/>
  <c r="AO47" i="27"/>
  <c r="DA47" i="27"/>
  <c r="AO48" i="27"/>
  <c r="DA48" i="27"/>
  <c r="AO49" i="27"/>
  <c r="DA49" i="27"/>
  <c r="AO50" i="27"/>
  <c r="DA50" i="27"/>
  <c r="AO51" i="27"/>
  <c r="DA51" i="27"/>
  <c r="AO52" i="27"/>
  <c r="DA52" i="27"/>
  <c r="AO53" i="27"/>
  <c r="DA53" i="27"/>
  <c r="AO54" i="27"/>
  <c r="DA54" i="27"/>
  <c r="AO55" i="27"/>
  <c r="DA55" i="27"/>
  <c r="AO56" i="27"/>
  <c r="DA56" i="27"/>
  <c r="AO57" i="27"/>
  <c r="DA57" i="27"/>
  <c r="AO58" i="27"/>
  <c r="DA58" i="27"/>
  <c r="AO59" i="27"/>
  <c r="DA59" i="27"/>
  <c r="AO60" i="27"/>
  <c r="DA60" i="27"/>
  <c r="AO61" i="27"/>
  <c r="DA61" i="27"/>
  <c r="AO62" i="27"/>
  <c r="BZ62" i="27"/>
  <c r="DF62" i="27"/>
  <c r="N63" i="27"/>
  <c r="AO63" i="27"/>
  <c r="BJ63" i="27"/>
  <c r="CF63" i="27"/>
  <c r="DA63" i="27"/>
  <c r="DV63" i="27"/>
  <c r="T64" i="27"/>
  <c r="AO64" i="27"/>
  <c r="BG64" i="27"/>
  <c r="BW64" i="27"/>
  <c r="CM64" i="27"/>
  <c r="DC64" i="27"/>
  <c r="DS64" i="27"/>
  <c r="K65" i="27"/>
  <c r="AA65" i="27"/>
  <c r="AQ65" i="27"/>
  <c r="BG65" i="27"/>
  <c r="BW65" i="27"/>
  <c r="CM65" i="27"/>
  <c r="DC65" i="27"/>
  <c r="DS65" i="27"/>
  <c r="K66" i="27"/>
  <c r="AA66" i="27"/>
  <c r="AQ66" i="27"/>
  <c r="BG66" i="27"/>
  <c r="BW66" i="27"/>
  <c r="CM66" i="27"/>
  <c r="DC66" i="27"/>
  <c r="DS66" i="27"/>
  <c r="K67" i="27"/>
  <c r="AA67" i="27"/>
  <c r="AQ67" i="27"/>
  <c r="BG67" i="27"/>
  <c r="BW67" i="27"/>
  <c r="CM67" i="27"/>
  <c r="DC67" i="27"/>
  <c r="DS67" i="27"/>
  <c r="K68" i="27"/>
  <c r="AA68" i="27"/>
  <c r="AQ68" i="27"/>
  <c r="BG68" i="27"/>
  <c r="BW68" i="27"/>
  <c r="CM68" i="27"/>
  <c r="DC68" i="27"/>
  <c r="DS68" i="27"/>
  <c r="K69" i="27"/>
  <c r="AA69" i="27"/>
  <c r="AQ69" i="27"/>
  <c r="BG69" i="27"/>
  <c r="BW69" i="27"/>
  <c r="CM69" i="27"/>
  <c r="DC69" i="27"/>
  <c r="DS69" i="27"/>
  <c r="K70" i="27"/>
  <c r="AA70" i="27"/>
  <c r="AQ70" i="27"/>
  <c r="BG70" i="27"/>
  <c r="BW70" i="27"/>
  <c r="CM70" i="27"/>
  <c r="DC70" i="27"/>
  <c r="DS70" i="27"/>
  <c r="K71" i="27"/>
  <c r="AA71" i="27"/>
  <c r="AQ71" i="27"/>
  <c r="BG71" i="27"/>
  <c r="BW71" i="27"/>
  <c r="CM71" i="27"/>
  <c r="DC71" i="27"/>
  <c r="DS71" i="27"/>
  <c r="K72" i="27"/>
  <c r="AA72" i="27"/>
  <c r="AQ72" i="27"/>
  <c r="BG72" i="27"/>
  <c r="BW72" i="27"/>
  <c r="CM72" i="27"/>
  <c r="DC72" i="27"/>
  <c r="DS72" i="27"/>
  <c r="K73" i="27"/>
  <c r="AA73" i="27"/>
  <c r="AQ73" i="27"/>
  <c r="BG73" i="27"/>
  <c r="BW73" i="27"/>
  <c r="CM73" i="27"/>
  <c r="DC73" i="27"/>
  <c r="DS73" i="27"/>
  <c r="K74" i="27"/>
  <c r="AA74" i="27"/>
  <c r="AQ74" i="27"/>
  <c r="BG74" i="27"/>
  <c r="BW74" i="27"/>
  <c r="CM74" i="27"/>
  <c r="DC74" i="27"/>
  <c r="DS74" i="27"/>
  <c r="K75" i="27"/>
  <c r="AA75" i="27"/>
  <c r="AQ75" i="27"/>
  <c r="BG75" i="27"/>
  <c r="BW75" i="27"/>
  <c r="CM75" i="27"/>
  <c r="DC75" i="27"/>
  <c r="DS75" i="27"/>
  <c r="J76" i="27"/>
  <c r="R76" i="27"/>
  <c r="Z76" i="27"/>
  <c r="AH76" i="27"/>
  <c r="AP76" i="27"/>
  <c r="AX76" i="27"/>
  <c r="BF76" i="27"/>
  <c r="BN76" i="27"/>
  <c r="BV76" i="27"/>
  <c r="CD76" i="27"/>
  <c r="CL76" i="27"/>
  <c r="CT76" i="27"/>
  <c r="DB76" i="27"/>
  <c r="DJ76" i="27"/>
  <c r="DR76" i="27"/>
  <c r="B77" i="27"/>
  <c r="J77" i="27"/>
  <c r="R77" i="27"/>
  <c r="Z77" i="27"/>
  <c r="AH77" i="27"/>
  <c r="AP77" i="27"/>
  <c r="AX77" i="27"/>
  <c r="BF77" i="27"/>
  <c r="BN77" i="27"/>
  <c r="BV77" i="27"/>
  <c r="CD77" i="27"/>
  <c r="CL77" i="27"/>
  <c r="CT77" i="27"/>
  <c r="DB77" i="27"/>
  <c r="DJ77" i="27"/>
  <c r="DR77" i="27"/>
  <c r="B78" i="27"/>
  <c r="J78" i="27"/>
  <c r="R78" i="27"/>
  <c r="Z78" i="27"/>
  <c r="AH78" i="27"/>
  <c r="AP78" i="27"/>
  <c r="AX78" i="27"/>
  <c r="BF78" i="27"/>
  <c r="BN78" i="27"/>
  <c r="BV78" i="27"/>
  <c r="CD78" i="27"/>
  <c r="CL78" i="27"/>
  <c r="CT78" i="27"/>
  <c r="DB78" i="27"/>
  <c r="DJ78" i="27"/>
  <c r="DR78" i="27"/>
  <c r="B79" i="27"/>
  <c r="J79" i="27"/>
  <c r="R79" i="27"/>
  <c r="Z79" i="27"/>
  <c r="AH79" i="27"/>
  <c r="AP79" i="27"/>
  <c r="AX79" i="27"/>
  <c r="BF79" i="27"/>
  <c r="BN79" i="27"/>
  <c r="BV79" i="27"/>
  <c r="BZ79" i="27"/>
  <c r="CD79" i="27"/>
  <c r="CH79" i="27"/>
  <c r="CL79" i="27"/>
  <c r="CP79" i="27"/>
  <c r="CT79" i="27"/>
  <c r="CX79" i="27"/>
  <c r="DB79" i="27"/>
  <c r="DF79" i="27"/>
  <c r="DJ79" i="27"/>
  <c r="DN79" i="27"/>
  <c r="DR79" i="27"/>
  <c r="DV79" i="27"/>
  <c r="B80" i="27"/>
  <c r="F80" i="27"/>
  <c r="J80" i="27"/>
  <c r="N80" i="27"/>
  <c r="R80" i="27"/>
  <c r="V80" i="27"/>
  <c r="Z80" i="27"/>
  <c r="AD80" i="27"/>
  <c r="AH80" i="27"/>
  <c r="AL80" i="27"/>
  <c r="AP80" i="27"/>
  <c r="AT80" i="27"/>
  <c r="AX80" i="27"/>
  <c r="BB80" i="27"/>
  <c r="BF80" i="27"/>
  <c r="BJ80" i="27"/>
  <c r="BN80" i="27"/>
  <c r="BR80" i="27"/>
  <c r="BV80" i="27"/>
  <c r="BZ80" i="27"/>
  <c r="CD80" i="27"/>
  <c r="CH80" i="27"/>
  <c r="CL80" i="27"/>
  <c r="CP80" i="27"/>
  <c r="CT80" i="27"/>
  <c r="CX80" i="27"/>
  <c r="DB80" i="27"/>
  <c r="DF80" i="27"/>
  <c r="DJ80" i="27"/>
  <c r="DN80" i="27"/>
  <c r="DR80" i="27"/>
  <c r="DV80" i="27"/>
  <c r="B81" i="27"/>
  <c r="F81" i="27"/>
  <c r="J81" i="27"/>
  <c r="N81" i="27"/>
  <c r="R81" i="27"/>
  <c r="V81" i="27"/>
  <c r="Z81" i="27"/>
  <c r="AD81" i="27"/>
  <c r="AH81" i="27"/>
  <c r="AL81" i="27"/>
  <c r="AP81" i="27"/>
  <c r="AT81" i="27"/>
  <c r="AX81" i="27"/>
  <c r="BB81" i="27"/>
  <c r="BF81" i="27"/>
  <c r="BJ81" i="27"/>
  <c r="BN81" i="27"/>
  <c r="BR81" i="27"/>
  <c r="BV81" i="27"/>
  <c r="BZ81" i="27"/>
  <c r="CD81" i="27"/>
  <c r="CH81" i="27"/>
  <c r="CL81" i="27"/>
  <c r="CP81" i="27"/>
  <c r="CT81" i="27"/>
  <c r="CX81" i="27"/>
  <c r="DB81" i="27"/>
  <c r="DF81" i="27"/>
  <c r="DJ81" i="27"/>
  <c r="DN81" i="27"/>
  <c r="DR81" i="27"/>
  <c r="DV81" i="27"/>
  <c r="B82" i="27"/>
  <c r="F82" i="27"/>
  <c r="J82" i="27"/>
  <c r="N82" i="27"/>
  <c r="R82" i="27"/>
  <c r="V82" i="27"/>
  <c r="Z82" i="27"/>
  <c r="AD82" i="27"/>
  <c r="AH82" i="27"/>
  <c r="AL82" i="27"/>
  <c r="AP82" i="27"/>
  <c r="AT82" i="27"/>
  <c r="AX82" i="27"/>
  <c r="BB82" i="27"/>
  <c r="BF82" i="27"/>
  <c r="BJ82" i="27"/>
  <c r="BN82" i="27"/>
  <c r="BR82" i="27"/>
  <c r="BV82" i="27"/>
  <c r="BZ82" i="27"/>
  <c r="CD82" i="27"/>
  <c r="CH82" i="27"/>
  <c r="CL82" i="27"/>
  <c r="CP82" i="27"/>
  <c r="CT82" i="27"/>
  <c r="CX82" i="27"/>
  <c r="DB82" i="27"/>
  <c r="DF82" i="27"/>
  <c r="DJ82" i="27"/>
  <c r="DN82" i="27"/>
  <c r="DR82" i="27"/>
  <c r="DV82" i="27"/>
  <c r="B83" i="27"/>
  <c r="F83" i="27"/>
  <c r="J83" i="27"/>
  <c r="N83" i="27"/>
  <c r="R83" i="27"/>
  <c r="V83" i="27"/>
  <c r="Z83" i="27"/>
  <c r="AD83" i="27"/>
  <c r="AH83" i="27"/>
  <c r="AL83" i="27"/>
  <c r="AP83" i="27"/>
  <c r="AT83" i="27"/>
  <c r="AX83" i="27"/>
  <c r="BB83" i="27"/>
  <c r="BF83" i="27"/>
  <c r="BJ83" i="27"/>
  <c r="BN83" i="27"/>
  <c r="BR83" i="27"/>
  <c r="BV83" i="27"/>
  <c r="BZ83" i="27"/>
  <c r="CD83" i="27"/>
  <c r="CH83" i="27"/>
  <c r="CL83" i="27"/>
  <c r="CP83" i="27"/>
  <c r="CT83" i="27"/>
  <c r="CX83" i="27"/>
  <c r="DB83" i="27"/>
  <c r="DF83" i="27"/>
  <c r="DJ83" i="27"/>
  <c r="DN83" i="27"/>
  <c r="DR83" i="27"/>
  <c r="DV83" i="27"/>
  <c r="B84" i="27"/>
  <c r="F84" i="27"/>
  <c r="J84" i="27"/>
  <c r="N84" i="27"/>
  <c r="R84" i="27"/>
  <c r="V84" i="27"/>
  <c r="Z84" i="27"/>
  <c r="AD84" i="27"/>
  <c r="AH84" i="27"/>
  <c r="AL84" i="27"/>
  <c r="AP84" i="27"/>
  <c r="AT84" i="27"/>
  <c r="AX84" i="27"/>
  <c r="BB84" i="27"/>
  <c r="BF84" i="27"/>
  <c r="BJ84" i="27"/>
  <c r="BN84" i="27"/>
  <c r="BR84" i="27"/>
  <c r="BV84" i="27"/>
  <c r="BZ84" i="27"/>
  <c r="CD84" i="27"/>
  <c r="CH84" i="27"/>
  <c r="CL84" i="27"/>
  <c r="CP84" i="27"/>
  <c r="CT84" i="27"/>
  <c r="CX84" i="27"/>
  <c r="DB84" i="27"/>
  <c r="DF84" i="27"/>
  <c r="DJ84" i="27"/>
  <c r="DN84" i="27"/>
  <c r="DR84" i="27"/>
  <c r="DV84" i="27"/>
  <c r="B85" i="27"/>
  <c r="F85" i="27"/>
  <c r="J85" i="27"/>
  <c r="N85" i="27"/>
  <c r="R85" i="27"/>
  <c r="V85" i="27"/>
  <c r="Z85" i="27"/>
  <c r="AD85" i="27"/>
  <c r="AH85" i="27"/>
  <c r="AL85" i="27"/>
  <c r="AP85" i="27"/>
  <c r="AT85" i="27"/>
  <c r="AX85" i="27"/>
  <c r="BB85" i="27"/>
  <c r="BF85" i="27"/>
  <c r="BJ85" i="27"/>
  <c r="BN85" i="27"/>
  <c r="BR85" i="27"/>
  <c r="BV85" i="27"/>
  <c r="BZ85" i="27"/>
  <c r="CD85" i="27"/>
  <c r="CH85" i="27"/>
  <c r="CL85" i="27"/>
  <c r="CP85" i="27"/>
  <c r="CT85" i="27"/>
  <c r="CX85" i="27"/>
  <c r="DB85" i="27"/>
  <c r="DF85" i="27"/>
  <c r="DJ85" i="27"/>
  <c r="DN85" i="27"/>
  <c r="DR85" i="27"/>
  <c r="DV85" i="27"/>
  <c r="B86" i="27"/>
  <c r="F86" i="27"/>
  <c r="J86" i="27"/>
  <c r="N86" i="27"/>
  <c r="R86" i="27"/>
  <c r="V86" i="27"/>
  <c r="Z86" i="27"/>
  <c r="AD86" i="27"/>
  <c r="AH86" i="27"/>
  <c r="AL86" i="27"/>
  <c r="AP86" i="27"/>
  <c r="AT86" i="27"/>
  <c r="AX86" i="27"/>
  <c r="BB86" i="27"/>
  <c r="BF86" i="27"/>
  <c r="BJ86" i="27"/>
  <c r="BN86" i="27"/>
  <c r="BR86" i="27"/>
  <c r="BV86" i="27"/>
  <c r="BZ86" i="27"/>
  <c r="CD86" i="27"/>
  <c r="CH86" i="27"/>
  <c r="CL86" i="27"/>
  <c r="CP86" i="27"/>
  <c r="CT86" i="27"/>
  <c r="CX86" i="27"/>
  <c r="DB86" i="27"/>
  <c r="DF86" i="27"/>
  <c r="DJ86" i="27"/>
  <c r="DN86" i="27"/>
  <c r="DR86" i="27"/>
  <c r="DV86" i="27"/>
  <c r="B87" i="27"/>
  <c r="F87" i="27"/>
  <c r="J87" i="27"/>
  <c r="N87" i="27"/>
  <c r="R87" i="27"/>
  <c r="V87" i="27"/>
  <c r="Z87" i="27"/>
  <c r="AD87" i="27"/>
  <c r="AH87" i="27"/>
  <c r="AL87" i="27"/>
  <c r="AP87" i="27"/>
  <c r="AT87" i="27"/>
  <c r="AX87" i="27"/>
  <c r="BB87" i="27"/>
  <c r="BF87" i="27"/>
  <c r="BJ87" i="27"/>
  <c r="BN87" i="27"/>
  <c r="BR87" i="27"/>
  <c r="BV87" i="27"/>
  <c r="BZ87" i="27"/>
  <c r="CD87" i="27"/>
  <c r="CH87" i="27"/>
  <c r="CL87" i="27"/>
  <c r="CP87" i="27"/>
  <c r="CT87" i="27"/>
  <c r="CX87" i="27"/>
  <c r="DB87" i="27"/>
  <c r="DF87" i="27"/>
  <c r="DJ87" i="27"/>
  <c r="DN87" i="27"/>
  <c r="DR87" i="27"/>
  <c r="DV87" i="27"/>
  <c r="B88" i="27"/>
  <c r="F88" i="27"/>
  <c r="J88" i="27"/>
  <c r="N88" i="27"/>
  <c r="R88" i="27"/>
  <c r="V88" i="27"/>
  <c r="Z88" i="27"/>
  <c r="AD88" i="27"/>
  <c r="AH88" i="27"/>
  <c r="AL88" i="27"/>
  <c r="AP88" i="27"/>
  <c r="AT88" i="27"/>
  <c r="AX88" i="27"/>
  <c r="BB88" i="27"/>
  <c r="BF88" i="27"/>
  <c r="BJ88" i="27"/>
  <c r="BN88" i="27"/>
  <c r="BR88" i="27"/>
  <c r="BV88" i="27"/>
  <c r="BZ88" i="27"/>
  <c r="CD88" i="27"/>
  <c r="CH88" i="27"/>
  <c r="CL88" i="27"/>
  <c r="CP88" i="27"/>
  <c r="CT88" i="27"/>
  <c r="CX88" i="27"/>
  <c r="DB88" i="27"/>
  <c r="DF88" i="27"/>
  <c r="DJ88" i="27"/>
  <c r="DN88" i="27"/>
  <c r="DR88" i="27"/>
  <c r="DV88" i="27"/>
  <c r="B89" i="27"/>
  <c r="F89" i="27"/>
  <c r="J89" i="27"/>
  <c r="N89" i="27"/>
  <c r="R89" i="27"/>
  <c r="V89" i="27"/>
  <c r="Z89" i="27"/>
  <c r="AD89" i="27"/>
  <c r="AH89" i="27"/>
  <c r="AL89" i="27"/>
  <c r="AP89" i="27"/>
  <c r="AT89" i="27"/>
  <c r="AX89" i="27"/>
  <c r="BB89" i="27"/>
  <c r="BF89" i="27"/>
  <c r="BJ89" i="27"/>
  <c r="BN89" i="27"/>
  <c r="BR89" i="27"/>
  <c r="BV89" i="27"/>
  <c r="BZ89" i="27"/>
  <c r="CD89" i="27"/>
  <c r="CH89" i="27"/>
  <c r="CL89" i="27"/>
  <c r="CP89" i="27"/>
  <c r="CT89" i="27"/>
  <c r="CX89" i="27"/>
  <c r="DB89" i="27"/>
  <c r="DF89" i="27"/>
  <c r="DJ89" i="27"/>
  <c r="DN89" i="27"/>
  <c r="DR89" i="27"/>
  <c r="DV89" i="27"/>
  <c r="B90" i="27"/>
  <c r="F90" i="27"/>
  <c r="J90" i="27"/>
  <c r="N90" i="27"/>
  <c r="R90" i="27"/>
  <c r="V90" i="27"/>
  <c r="Z90" i="27"/>
  <c r="AD90" i="27"/>
  <c r="AH90" i="27"/>
  <c r="AL90" i="27"/>
  <c r="AP90" i="27"/>
  <c r="AT90" i="27"/>
  <c r="AX90" i="27"/>
  <c r="BB90" i="27"/>
  <c r="BF90" i="27"/>
  <c r="BJ90" i="27"/>
  <c r="BN90" i="27"/>
  <c r="BR90" i="27"/>
  <c r="BV90" i="27"/>
  <c r="BZ90" i="27"/>
  <c r="CD90" i="27"/>
  <c r="CH90" i="27"/>
  <c r="CL90" i="27"/>
  <c r="CP90" i="27"/>
  <c r="CT90" i="27"/>
  <c r="CX90" i="27"/>
  <c r="DB90" i="27"/>
  <c r="DF90" i="27"/>
  <c r="DJ90" i="27"/>
  <c r="DN90" i="27"/>
  <c r="DR90" i="27"/>
  <c r="DV90" i="27"/>
  <c r="B91" i="27"/>
  <c r="F91" i="27"/>
  <c r="J91" i="27"/>
  <c r="N91" i="27"/>
  <c r="R91" i="27"/>
  <c r="V91" i="27"/>
  <c r="Z91" i="27"/>
  <c r="AD91" i="27"/>
  <c r="AH91" i="27"/>
  <c r="AL91" i="27"/>
  <c r="AP91" i="27"/>
  <c r="AT91" i="27"/>
  <c r="AX91" i="27"/>
  <c r="BB91" i="27"/>
  <c r="BF91" i="27"/>
  <c r="BJ91" i="27"/>
  <c r="BN91" i="27"/>
  <c r="BR91" i="27"/>
  <c r="BV91" i="27"/>
  <c r="BZ91" i="27"/>
  <c r="CD91" i="27"/>
  <c r="CH91" i="27"/>
  <c r="CL91" i="27"/>
  <c r="CP91" i="27"/>
  <c r="CT91" i="27"/>
  <c r="CX91" i="27"/>
  <c r="DB91" i="27"/>
  <c r="DF91" i="27"/>
  <c r="DJ91" i="27"/>
  <c r="DN91" i="27"/>
  <c r="DR91" i="27"/>
  <c r="DV91" i="27"/>
  <c r="B92" i="27"/>
  <c r="F92" i="27"/>
  <c r="J92" i="27"/>
  <c r="N92" i="27"/>
  <c r="R92" i="27"/>
  <c r="V92" i="27"/>
  <c r="Z92" i="27"/>
  <c r="AD92" i="27"/>
  <c r="AH92" i="27"/>
  <c r="AL92" i="27"/>
  <c r="AP92" i="27"/>
  <c r="AT92" i="27"/>
  <c r="AX92" i="27"/>
  <c r="BB92" i="27"/>
  <c r="BF92" i="27"/>
  <c r="BJ92" i="27"/>
  <c r="BN92" i="27"/>
  <c r="BR92" i="27"/>
  <c r="BV92" i="27"/>
  <c r="BZ92" i="27"/>
  <c r="CD92" i="27"/>
  <c r="CH92" i="27"/>
  <c r="CL92" i="27"/>
  <c r="CP92" i="27"/>
  <c r="CT92" i="27"/>
  <c r="CX92" i="27"/>
  <c r="DB92" i="27"/>
  <c r="DF92" i="27"/>
  <c r="DJ92" i="27"/>
  <c r="DN92" i="27"/>
  <c r="DR92" i="27"/>
  <c r="DV92" i="27"/>
  <c r="B93" i="27"/>
  <c r="F93" i="27"/>
  <c r="J93" i="27"/>
  <c r="N93" i="27"/>
  <c r="R93" i="27"/>
  <c r="V93" i="27"/>
  <c r="Z93" i="27"/>
  <c r="AD93" i="27"/>
  <c r="AH93" i="27"/>
  <c r="AL93" i="27"/>
  <c r="AP93" i="27"/>
  <c r="AT93" i="27"/>
  <c r="AX93" i="27"/>
  <c r="BB93" i="27"/>
  <c r="BF93" i="27"/>
  <c r="BJ93" i="27"/>
  <c r="BN93" i="27"/>
  <c r="BR93" i="27"/>
  <c r="BV93" i="27"/>
  <c r="BZ93" i="27"/>
  <c r="CD93" i="27"/>
  <c r="CH93" i="27"/>
  <c r="CL93" i="27"/>
  <c r="CP93" i="27"/>
  <c r="CT93" i="27"/>
  <c r="CX93" i="27"/>
  <c r="DB93" i="27"/>
  <c r="DF93" i="27"/>
  <c r="DJ93" i="27"/>
  <c r="DN93" i="27"/>
  <c r="DR93" i="27"/>
  <c r="DV93" i="27"/>
  <c r="B94" i="27"/>
  <c r="F94" i="27"/>
  <c r="J94" i="27"/>
  <c r="N94" i="27"/>
  <c r="R94" i="27"/>
  <c r="V94" i="27"/>
  <c r="Z94" i="27"/>
  <c r="AD94" i="27"/>
  <c r="AH94" i="27"/>
  <c r="AL94" i="27"/>
  <c r="AP94" i="27"/>
  <c r="AT94" i="27"/>
  <c r="AX94" i="27"/>
  <c r="BB94" i="27"/>
  <c r="BF94" i="27"/>
  <c r="BJ94" i="27"/>
  <c r="BN94" i="27"/>
  <c r="BR94" i="27"/>
  <c r="BV94" i="27"/>
  <c r="BZ94" i="27"/>
  <c r="CD94" i="27"/>
  <c r="CH94" i="27"/>
  <c r="CL94" i="27"/>
  <c r="CP94" i="27"/>
  <c r="CT94" i="27"/>
  <c r="CX94" i="27"/>
  <c r="DB94" i="27"/>
  <c r="DF94" i="27"/>
  <c r="DJ94" i="27"/>
  <c r="DN94" i="27"/>
  <c r="DR94" i="27"/>
  <c r="DV94" i="27"/>
  <c r="B95" i="27"/>
  <c r="F95" i="27"/>
  <c r="J95" i="27"/>
  <c r="N95" i="27"/>
  <c r="R95" i="27"/>
  <c r="V95" i="27"/>
  <c r="Z95" i="27"/>
  <c r="AD95" i="27"/>
  <c r="AH95" i="27"/>
  <c r="AL95" i="27"/>
  <c r="AP95" i="27"/>
  <c r="AT95" i="27"/>
  <c r="AX95" i="27"/>
  <c r="BB95" i="27"/>
  <c r="BF95" i="27"/>
  <c r="BJ95" i="27"/>
  <c r="BN95" i="27"/>
  <c r="BR95" i="27"/>
  <c r="BV95" i="27"/>
  <c r="BZ95" i="27"/>
  <c r="CD95" i="27"/>
  <c r="CH95" i="27"/>
  <c r="CL95" i="27"/>
  <c r="CP95" i="27"/>
  <c r="CT95" i="27"/>
  <c r="CX95" i="27"/>
  <c r="DB95" i="27"/>
  <c r="DF95" i="27"/>
  <c r="DJ95" i="27"/>
  <c r="DN95" i="27"/>
  <c r="DR95" i="27"/>
  <c r="DV95" i="27"/>
  <c r="B96" i="27"/>
  <c r="F96" i="27"/>
  <c r="J96" i="27"/>
  <c r="N96" i="27"/>
  <c r="R96" i="27"/>
  <c r="V96" i="27"/>
  <c r="Z96" i="27"/>
  <c r="AD96" i="27"/>
  <c r="AH96" i="27"/>
  <c r="AL96" i="27"/>
  <c r="AP96" i="27"/>
  <c r="AT96" i="27"/>
  <c r="AX96" i="27"/>
  <c r="BB96" i="27"/>
  <c r="BF96" i="27"/>
  <c r="BJ96" i="27"/>
  <c r="BN96" i="27"/>
  <c r="BR96" i="27"/>
  <c r="BV96" i="27"/>
  <c r="BZ96" i="27"/>
  <c r="CD96" i="27"/>
  <c r="CH96" i="27"/>
  <c r="CL96" i="27"/>
  <c r="CP96" i="27"/>
  <c r="CT96" i="27"/>
  <c r="CX96" i="27"/>
  <c r="DB96" i="27"/>
  <c r="DF96" i="27"/>
  <c r="DJ96" i="27"/>
  <c r="DN96" i="27"/>
  <c r="DR96" i="27"/>
  <c r="DV96" i="27"/>
  <c r="B97" i="27"/>
  <c r="F97" i="27"/>
  <c r="J97" i="27"/>
  <c r="N97" i="27"/>
  <c r="R97" i="27"/>
  <c r="V97" i="27"/>
  <c r="Z97" i="27"/>
  <c r="AD97" i="27"/>
  <c r="AH97" i="27"/>
  <c r="AL97" i="27"/>
  <c r="AP97" i="27"/>
  <c r="AT97" i="27"/>
  <c r="BC34" i="27"/>
  <c r="CU38" i="27"/>
  <c r="DE40" i="27"/>
  <c r="DE42" i="27"/>
  <c r="BE44" i="27"/>
  <c r="BE45" i="27"/>
  <c r="AL46" i="27"/>
  <c r="DQ46" i="27"/>
  <c r="BE47" i="27"/>
  <c r="DQ47" i="27"/>
  <c r="BE48" i="27"/>
  <c r="DQ48" i="27"/>
  <c r="BE49" i="27"/>
  <c r="DQ49" i="27"/>
  <c r="BE50" i="27"/>
  <c r="DQ50" i="27"/>
  <c r="BE51" i="27"/>
  <c r="DQ51" i="27"/>
  <c r="BE52" i="27"/>
  <c r="DQ52" i="27"/>
  <c r="BE53" i="27"/>
  <c r="DQ53" i="27"/>
  <c r="BE54" i="27"/>
  <c r="DQ54" i="27"/>
  <c r="BE55" i="27"/>
  <c r="DQ55" i="27"/>
  <c r="BE56" i="27"/>
  <c r="DQ56" i="27"/>
  <c r="BE57" i="27"/>
  <c r="DQ57" i="27"/>
  <c r="BE58" i="27"/>
  <c r="DQ58" i="27"/>
  <c r="BE59" i="27"/>
  <c r="DQ59" i="27"/>
  <c r="BE60" i="27"/>
  <c r="DQ60" i="27"/>
  <c r="BE61" i="27"/>
  <c r="DQ61" i="27"/>
  <c r="BB62" i="27"/>
  <c r="CH62" i="27"/>
  <c r="DN62" i="27"/>
  <c r="V63" i="27"/>
  <c r="AT63" i="27"/>
  <c r="BP63" i="27"/>
  <c r="CK63" i="27"/>
  <c r="DF63" i="27"/>
  <c r="D64" i="27"/>
  <c r="Y64" i="27"/>
  <c r="AT64" i="27"/>
  <c r="BK64" i="27"/>
  <c r="CA64" i="27"/>
  <c r="CQ64" i="27"/>
  <c r="DG64" i="27"/>
  <c r="DW64" i="27"/>
  <c r="O65" i="27"/>
  <c r="AE65" i="27"/>
  <c r="AU65" i="27"/>
  <c r="BK65" i="27"/>
  <c r="CA65" i="27"/>
  <c r="CQ65" i="27"/>
  <c r="DG65" i="27"/>
  <c r="DW65" i="27"/>
  <c r="O66" i="27"/>
  <c r="AE66" i="27"/>
  <c r="AU66" i="27"/>
  <c r="BK66" i="27"/>
  <c r="CA66" i="27"/>
  <c r="CQ66" i="27"/>
  <c r="DG66" i="27"/>
  <c r="DW66" i="27"/>
  <c r="O67" i="27"/>
  <c r="AE67" i="27"/>
  <c r="AU67" i="27"/>
  <c r="BK67" i="27"/>
  <c r="CA67" i="27"/>
  <c r="CQ67" i="27"/>
  <c r="DG67" i="27"/>
  <c r="DW67" i="27"/>
  <c r="O68" i="27"/>
  <c r="AE68" i="27"/>
  <c r="AU68" i="27"/>
  <c r="BK68" i="27"/>
  <c r="CA68" i="27"/>
  <c r="CQ68" i="27"/>
  <c r="DG68" i="27"/>
  <c r="DW68" i="27"/>
  <c r="O69" i="27"/>
  <c r="AE69" i="27"/>
  <c r="AU69" i="27"/>
  <c r="BK69" i="27"/>
  <c r="CA69" i="27"/>
  <c r="CQ69" i="27"/>
  <c r="DG69" i="27"/>
  <c r="DW69" i="27"/>
  <c r="O70" i="27"/>
  <c r="AE70" i="27"/>
  <c r="AU70" i="27"/>
  <c r="BK70" i="27"/>
  <c r="CA70" i="27"/>
  <c r="CQ70" i="27"/>
  <c r="DG70" i="27"/>
  <c r="DW70" i="27"/>
  <c r="O71" i="27"/>
  <c r="AE71" i="27"/>
  <c r="AU71" i="27"/>
  <c r="BK71" i="27"/>
  <c r="CA71" i="27"/>
  <c r="CQ71" i="27"/>
  <c r="DG71" i="27"/>
  <c r="DW71" i="27"/>
  <c r="O72" i="27"/>
  <c r="AE72" i="27"/>
  <c r="AU72" i="27"/>
  <c r="BK72" i="27"/>
  <c r="CA72" i="27"/>
  <c r="CQ72" i="27"/>
  <c r="DG72" i="27"/>
  <c r="DW72" i="27"/>
  <c r="O73" i="27"/>
  <c r="AE73" i="27"/>
  <c r="AU73" i="27"/>
  <c r="BK73" i="27"/>
  <c r="CA73" i="27"/>
  <c r="CQ73" i="27"/>
  <c r="DG73" i="27"/>
  <c r="DW73" i="27"/>
  <c r="O74" i="27"/>
  <c r="AE74" i="27"/>
  <c r="AU74" i="27"/>
  <c r="BK74" i="27"/>
  <c r="CA74" i="27"/>
  <c r="CQ74" i="27"/>
  <c r="DG74" i="27"/>
  <c r="DW74" i="27"/>
  <c r="O75" i="27"/>
  <c r="AE75" i="27"/>
  <c r="AU75" i="27"/>
  <c r="BK75" i="27"/>
  <c r="CA75" i="27"/>
  <c r="CQ75" i="27"/>
  <c r="DG75" i="27"/>
  <c r="DW75" i="27"/>
  <c r="K76" i="27"/>
  <c r="S76" i="27"/>
  <c r="AA76" i="27"/>
  <c r="AI76" i="27"/>
  <c r="AQ76" i="27"/>
  <c r="AY76" i="27"/>
  <c r="BG76" i="27"/>
  <c r="BO76" i="27"/>
  <c r="BW76" i="27"/>
  <c r="CE76" i="27"/>
  <c r="CM76" i="27"/>
  <c r="CU76" i="27"/>
  <c r="DC76" i="27"/>
  <c r="DK76" i="27"/>
  <c r="DS76" i="27"/>
  <c r="C77" i="27"/>
  <c r="K77" i="27"/>
  <c r="S77" i="27"/>
  <c r="AA77" i="27"/>
  <c r="AI77" i="27"/>
  <c r="AQ77" i="27"/>
  <c r="AY77" i="27"/>
  <c r="BG77" i="27"/>
  <c r="BO77" i="27"/>
  <c r="BW77" i="27"/>
  <c r="CE77" i="27"/>
  <c r="CM77" i="27"/>
  <c r="CU77" i="27"/>
  <c r="DC77" i="27"/>
  <c r="DK77" i="27"/>
  <c r="DS77" i="27"/>
  <c r="C78" i="27"/>
  <c r="K78" i="27"/>
  <c r="S78" i="27"/>
  <c r="AA78" i="27"/>
  <c r="AI78" i="27"/>
  <c r="AQ78" i="27"/>
  <c r="AY78" i="27"/>
  <c r="BG78" i="27"/>
  <c r="BO78" i="27"/>
  <c r="BW78" i="27"/>
  <c r="CE78" i="27"/>
  <c r="CM78" i="27"/>
  <c r="CU78" i="27"/>
  <c r="DC78" i="27"/>
  <c r="DK78" i="27"/>
  <c r="DS78" i="27"/>
  <c r="C79" i="27"/>
  <c r="K79" i="27"/>
  <c r="S79" i="27"/>
  <c r="AA79" i="27"/>
  <c r="AI79" i="27"/>
  <c r="AQ79" i="27"/>
  <c r="AY79" i="27"/>
  <c r="BG79" i="27"/>
  <c r="BO79" i="27"/>
  <c r="BW79" i="27"/>
  <c r="CA79" i="27"/>
  <c r="CE79" i="27"/>
  <c r="CI79" i="27"/>
  <c r="CM79" i="27"/>
  <c r="CQ79" i="27"/>
  <c r="CU79" i="27"/>
  <c r="CY79" i="27"/>
  <c r="DC79" i="27"/>
  <c r="DG79" i="27"/>
  <c r="DK79" i="27"/>
  <c r="DO79" i="27"/>
  <c r="DS79" i="27"/>
  <c r="DW79" i="27"/>
  <c r="C80" i="27"/>
  <c r="G80" i="27"/>
  <c r="K80" i="27"/>
  <c r="O80" i="27"/>
  <c r="S80" i="27"/>
  <c r="W80" i="27"/>
  <c r="AA80" i="27"/>
  <c r="AE80" i="27"/>
  <c r="AI80" i="27"/>
  <c r="AM80" i="27"/>
  <c r="AQ80" i="27"/>
  <c r="AU80" i="27"/>
  <c r="AY80" i="27"/>
  <c r="BC80" i="27"/>
  <c r="BG80" i="27"/>
  <c r="BK80" i="27"/>
  <c r="BO80" i="27"/>
  <c r="BS80" i="27"/>
  <c r="BW80" i="27"/>
  <c r="CA80" i="27"/>
  <c r="CE80" i="27"/>
  <c r="CI80" i="27"/>
  <c r="CM80" i="27"/>
  <c r="CQ80" i="27"/>
  <c r="CU80" i="27"/>
  <c r="CY80" i="27"/>
  <c r="DC80" i="27"/>
  <c r="DG80" i="27"/>
  <c r="DK80" i="27"/>
  <c r="DO80" i="27"/>
  <c r="DS80" i="27"/>
  <c r="DW80" i="27"/>
  <c r="C81" i="27"/>
  <c r="G81" i="27"/>
  <c r="K81" i="27"/>
  <c r="O81" i="27"/>
  <c r="S81" i="27"/>
  <c r="W81" i="27"/>
  <c r="AA81" i="27"/>
  <c r="AE81" i="27"/>
  <c r="AI81" i="27"/>
  <c r="AM81" i="27"/>
  <c r="AQ81" i="27"/>
  <c r="AU81" i="27"/>
  <c r="AY81" i="27"/>
  <c r="BC81" i="27"/>
  <c r="BG81" i="27"/>
  <c r="BK81" i="27"/>
  <c r="BO81" i="27"/>
  <c r="BS81" i="27"/>
  <c r="BW81" i="27"/>
  <c r="CA81" i="27"/>
  <c r="CE81" i="27"/>
  <c r="CI81" i="27"/>
  <c r="CM81" i="27"/>
  <c r="CQ81" i="27"/>
  <c r="CU81" i="27"/>
  <c r="CY81" i="27"/>
  <c r="DC81" i="27"/>
  <c r="DG81" i="27"/>
  <c r="DK81" i="27"/>
  <c r="DO81" i="27"/>
  <c r="DS81" i="27"/>
  <c r="DW81" i="27"/>
  <c r="C82" i="27"/>
  <c r="G82" i="27"/>
  <c r="K82" i="27"/>
  <c r="O82" i="27"/>
  <c r="S82" i="27"/>
  <c r="W82" i="27"/>
  <c r="AA82" i="27"/>
  <c r="AE82" i="27"/>
  <c r="AI82" i="27"/>
  <c r="AM82" i="27"/>
  <c r="AQ82" i="27"/>
  <c r="AU82" i="27"/>
  <c r="AY82" i="27"/>
  <c r="BC82" i="27"/>
  <c r="BG82" i="27"/>
  <c r="BK82" i="27"/>
  <c r="BO82" i="27"/>
  <c r="BS82" i="27"/>
  <c r="BW82" i="27"/>
  <c r="CA82" i="27"/>
  <c r="CE82" i="27"/>
  <c r="CI82" i="27"/>
  <c r="CM82" i="27"/>
  <c r="CQ82" i="27"/>
  <c r="CU82" i="27"/>
  <c r="CY82" i="27"/>
  <c r="DC82" i="27"/>
  <c r="DG82" i="27"/>
  <c r="DK82" i="27"/>
  <c r="DO82" i="27"/>
  <c r="DS82" i="27"/>
  <c r="DW82" i="27"/>
  <c r="C83" i="27"/>
  <c r="G83" i="27"/>
  <c r="K83" i="27"/>
  <c r="O83" i="27"/>
  <c r="S83" i="27"/>
  <c r="W83" i="27"/>
  <c r="AA83" i="27"/>
  <c r="AE83" i="27"/>
  <c r="AI83" i="27"/>
  <c r="AM83" i="27"/>
  <c r="AQ83" i="27"/>
  <c r="AU83" i="27"/>
  <c r="AY83" i="27"/>
  <c r="BC83" i="27"/>
  <c r="BG83" i="27"/>
  <c r="BK83" i="27"/>
  <c r="BO83" i="27"/>
  <c r="BS83" i="27"/>
  <c r="BW83" i="27"/>
  <c r="CA83" i="27"/>
  <c r="CE83" i="27"/>
  <c r="CI83" i="27"/>
  <c r="CM83" i="27"/>
  <c r="CQ83" i="27"/>
  <c r="CU83" i="27"/>
  <c r="CY83" i="27"/>
  <c r="DC83" i="27"/>
  <c r="DG83" i="27"/>
  <c r="DK83" i="27"/>
  <c r="DO83" i="27"/>
  <c r="DS83" i="27"/>
  <c r="DW83" i="27"/>
  <c r="C84" i="27"/>
  <c r="G84" i="27"/>
  <c r="K84" i="27"/>
  <c r="O84" i="27"/>
  <c r="S84" i="27"/>
  <c r="W84" i="27"/>
  <c r="AA84" i="27"/>
  <c r="AE84" i="27"/>
  <c r="AI84" i="27"/>
  <c r="AM84" i="27"/>
  <c r="AQ84" i="27"/>
  <c r="AU84" i="27"/>
  <c r="AY84" i="27"/>
  <c r="BC84" i="27"/>
  <c r="BG84" i="27"/>
  <c r="BK84" i="27"/>
  <c r="BO84" i="27"/>
  <c r="BS84" i="27"/>
  <c r="BW84" i="27"/>
  <c r="CA84" i="27"/>
  <c r="CE84" i="27"/>
  <c r="CI84" i="27"/>
  <c r="CM84" i="27"/>
  <c r="CQ84" i="27"/>
  <c r="CU84" i="27"/>
  <c r="CY84" i="27"/>
  <c r="DC84" i="27"/>
  <c r="DG84" i="27"/>
  <c r="DK84" i="27"/>
  <c r="DO84" i="27"/>
  <c r="DS84" i="27"/>
  <c r="DW84" i="27"/>
  <c r="C85" i="27"/>
  <c r="G85" i="27"/>
  <c r="K85" i="27"/>
  <c r="O85" i="27"/>
  <c r="S85" i="27"/>
  <c r="W85" i="27"/>
  <c r="AA85" i="27"/>
  <c r="AE85" i="27"/>
  <c r="AI85" i="27"/>
  <c r="AM85" i="27"/>
  <c r="AQ85" i="27"/>
  <c r="AU85" i="27"/>
  <c r="AY85" i="27"/>
  <c r="BC85" i="27"/>
  <c r="BG85" i="27"/>
  <c r="BK85" i="27"/>
  <c r="BO85" i="27"/>
  <c r="BS85" i="27"/>
  <c r="BW85" i="27"/>
  <c r="CA85" i="27"/>
  <c r="CE85" i="27"/>
  <c r="CI85" i="27"/>
  <c r="CM85" i="27"/>
  <c r="CQ85" i="27"/>
  <c r="CU85" i="27"/>
  <c r="CY85" i="27"/>
  <c r="DC85" i="27"/>
  <c r="DG85" i="27"/>
  <c r="DK85" i="27"/>
  <c r="DO85" i="27"/>
  <c r="DS85" i="27"/>
  <c r="DW85" i="27"/>
  <c r="C86" i="27"/>
  <c r="G86" i="27"/>
  <c r="K86" i="27"/>
  <c r="O86" i="27"/>
  <c r="S86" i="27"/>
  <c r="W86" i="27"/>
  <c r="AA86" i="27"/>
  <c r="AE86" i="27"/>
  <c r="AI86" i="27"/>
  <c r="AM86" i="27"/>
  <c r="AQ86" i="27"/>
  <c r="AU86" i="27"/>
  <c r="AY86" i="27"/>
  <c r="BC86" i="27"/>
  <c r="BG86" i="27"/>
  <c r="BK86" i="27"/>
  <c r="BO86" i="27"/>
  <c r="BS86" i="27"/>
  <c r="BW86" i="27"/>
  <c r="CA86" i="27"/>
  <c r="CE86" i="27"/>
  <c r="CI86" i="27"/>
  <c r="CM86" i="27"/>
  <c r="CQ86" i="27"/>
  <c r="CU86" i="27"/>
  <c r="CY86" i="27"/>
  <c r="DC86" i="27"/>
  <c r="DG86" i="27"/>
  <c r="DK86" i="27"/>
  <c r="DO86" i="27"/>
  <c r="DS86" i="27"/>
  <c r="DW86" i="27"/>
  <c r="C87" i="27"/>
  <c r="G87" i="27"/>
  <c r="K87" i="27"/>
  <c r="O87" i="27"/>
  <c r="S87" i="27"/>
  <c r="W87" i="27"/>
  <c r="AA87" i="27"/>
  <c r="AE87" i="27"/>
  <c r="AI87" i="27"/>
  <c r="AM87" i="27"/>
  <c r="AQ87" i="27"/>
  <c r="AU87" i="27"/>
  <c r="AY87" i="27"/>
  <c r="BC87" i="27"/>
  <c r="BG87" i="27"/>
  <c r="BK87" i="27"/>
  <c r="BO87" i="27"/>
  <c r="BS87" i="27"/>
  <c r="BW87" i="27"/>
  <c r="CA87" i="27"/>
  <c r="CE87" i="27"/>
  <c r="CI87" i="27"/>
  <c r="CM87" i="27"/>
  <c r="CQ87" i="27"/>
  <c r="CU87" i="27"/>
  <c r="CY87" i="27"/>
  <c r="DC87" i="27"/>
  <c r="DG87" i="27"/>
  <c r="DK87" i="27"/>
  <c r="DO87" i="27"/>
  <c r="DS87" i="27"/>
  <c r="DW87" i="27"/>
  <c r="C88" i="27"/>
  <c r="G88" i="27"/>
  <c r="K88" i="27"/>
  <c r="O88" i="27"/>
  <c r="S88" i="27"/>
  <c r="W88" i="27"/>
  <c r="AA88" i="27"/>
  <c r="AE88" i="27"/>
  <c r="AI88" i="27"/>
  <c r="AM88" i="27"/>
  <c r="AQ88" i="27"/>
  <c r="AU88" i="27"/>
  <c r="AY88" i="27"/>
  <c r="BC88" i="27"/>
  <c r="BG88" i="27"/>
  <c r="BK88" i="27"/>
  <c r="BO88" i="27"/>
  <c r="BS88" i="27"/>
  <c r="BW88" i="27"/>
  <c r="CA88" i="27"/>
  <c r="CE88" i="27"/>
  <c r="CI88" i="27"/>
  <c r="CM88" i="27"/>
  <c r="CQ88" i="27"/>
  <c r="CU88" i="27"/>
  <c r="CY88" i="27"/>
  <c r="DC88" i="27"/>
  <c r="DG88" i="27"/>
  <c r="DK88" i="27"/>
  <c r="DO88" i="27"/>
  <c r="DS88" i="27"/>
  <c r="DW88" i="27"/>
  <c r="C89" i="27"/>
  <c r="G89" i="27"/>
  <c r="K89" i="27"/>
  <c r="O89" i="27"/>
  <c r="S89" i="27"/>
  <c r="W89" i="27"/>
  <c r="AA89" i="27"/>
  <c r="AE89" i="27"/>
  <c r="AI89" i="27"/>
  <c r="AM89" i="27"/>
  <c r="AQ89" i="27"/>
  <c r="AU89" i="27"/>
  <c r="AY89" i="27"/>
  <c r="BC89" i="27"/>
  <c r="BG89" i="27"/>
  <c r="BK89" i="27"/>
  <c r="BO89" i="27"/>
  <c r="BS89" i="27"/>
  <c r="BW89" i="27"/>
  <c r="CA89" i="27"/>
  <c r="CE89" i="27"/>
  <c r="CI89" i="27"/>
  <c r="CM89" i="27"/>
  <c r="CQ89" i="27"/>
  <c r="CU89" i="27"/>
  <c r="CY89" i="27"/>
  <c r="DC89" i="27"/>
  <c r="DG89" i="27"/>
  <c r="DK89" i="27"/>
  <c r="DO89" i="27"/>
  <c r="DS89" i="27"/>
  <c r="DW89" i="27"/>
  <c r="C90" i="27"/>
  <c r="G90" i="27"/>
  <c r="K90" i="27"/>
  <c r="O90" i="27"/>
  <c r="S90" i="27"/>
  <c r="W90" i="27"/>
  <c r="AA90" i="27"/>
  <c r="AE90" i="27"/>
  <c r="AI90" i="27"/>
  <c r="AM90" i="27"/>
  <c r="AQ90" i="27"/>
  <c r="AU90" i="27"/>
  <c r="AY90" i="27"/>
  <c r="BC90" i="27"/>
  <c r="BG90" i="27"/>
  <c r="BK90" i="27"/>
  <c r="BO90" i="27"/>
  <c r="BS90" i="27"/>
  <c r="BW90" i="27"/>
  <c r="CA90" i="27"/>
  <c r="CE90" i="27"/>
  <c r="CI90" i="27"/>
  <c r="CM90" i="27"/>
  <c r="CQ90" i="27"/>
  <c r="CU90" i="27"/>
  <c r="CY90" i="27"/>
  <c r="DC90" i="27"/>
  <c r="DG90" i="27"/>
  <c r="DK90" i="27"/>
  <c r="DO90" i="27"/>
  <c r="DS90" i="27"/>
  <c r="DW90" i="27"/>
  <c r="C91" i="27"/>
  <c r="G91" i="27"/>
  <c r="K91" i="27"/>
  <c r="O91" i="27"/>
  <c r="S91" i="27"/>
  <c r="W91" i="27"/>
  <c r="AA91" i="27"/>
  <c r="AE91" i="27"/>
  <c r="AI91" i="27"/>
  <c r="AM91" i="27"/>
  <c r="AQ91" i="27"/>
  <c r="AU91" i="27"/>
  <c r="AY91" i="27"/>
  <c r="BC91" i="27"/>
  <c r="BG91" i="27"/>
  <c r="BK91" i="27"/>
  <c r="BO91" i="27"/>
  <c r="BS91" i="27"/>
  <c r="BW91" i="27"/>
  <c r="CA91" i="27"/>
  <c r="CE91" i="27"/>
  <c r="CI91" i="27"/>
  <c r="CM91" i="27"/>
  <c r="CQ91" i="27"/>
  <c r="CU91" i="27"/>
  <c r="CY91" i="27"/>
  <c r="DC91" i="27"/>
  <c r="DG91" i="27"/>
  <c r="DK91" i="27"/>
  <c r="DO91" i="27"/>
  <c r="DS91" i="27"/>
  <c r="DW91" i="27"/>
  <c r="C92" i="27"/>
  <c r="G92" i="27"/>
  <c r="K92" i="27"/>
  <c r="O92" i="27"/>
  <c r="S92" i="27"/>
  <c r="W92" i="27"/>
  <c r="AA92" i="27"/>
  <c r="AE92" i="27"/>
  <c r="AI92" i="27"/>
  <c r="AM92" i="27"/>
  <c r="AQ92" i="27"/>
  <c r="AU92" i="27"/>
  <c r="AY92" i="27"/>
  <c r="BC92" i="27"/>
  <c r="BG92" i="27"/>
  <c r="BK92" i="27"/>
  <c r="BO92" i="27"/>
  <c r="BS92" i="27"/>
  <c r="BW92" i="27"/>
  <c r="CA92" i="27"/>
  <c r="CE92" i="27"/>
  <c r="CI92" i="27"/>
  <c r="CM92" i="27"/>
  <c r="CQ92" i="27"/>
  <c r="CU92" i="27"/>
  <c r="CY92" i="27"/>
  <c r="DC92" i="27"/>
  <c r="DG92" i="27"/>
  <c r="DK92" i="27"/>
  <c r="DO92" i="27"/>
  <c r="DS92" i="27"/>
  <c r="DW92" i="27"/>
  <c r="C93" i="27"/>
  <c r="G93" i="27"/>
  <c r="K93" i="27"/>
  <c r="O93" i="27"/>
  <c r="S93" i="27"/>
  <c r="W93" i="27"/>
  <c r="AA93" i="27"/>
  <c r="AE93" i="27"/>
  <c r="AI93" i="27"/>
  <c r="AM93" i="27"/>
  <c r="AQ93" i="27"/>
  <c r="AU93" i="27"/>
  <c r="AY93" i="27"/>
  <c r="BC93" i="27"/>
  <c r="BG93" i="27"/>
  <c r="BK93" i="27"/>
  <c r="BO93" i="27"/>
  <c r="BS93" i="27"/>
  <c r="BW93" i="27"/>
  <c r="CA93" i="27"/>
  <c r="CE93" i="27"/>
  <c r="CI93" i="27"/>
  <c r="CM93" i="27"/>
  <c r="CQ93" i="27"/>
  <c r="CU93" i="27"/>
  <c r="CY93" i="27"/>
  <c r="DC93" i="27"/>
  <c r="DG93" i="27"/>
  <c r="DK93" i="27"/>
  <c r="DO93" i="27"/>
  <c r="DS93" i="27"/>
  <c r="DW93" i="27"/>
  <c r="C94" i="27"/>
  <c r="G94" i="27"/>
  <c r="K94" i="27"/>
  <c r="O94" i="27"/>
  <c r="S94" i="27"/>
  <c r="W94" i="27"/>
  <c r="AA94" i="27"/>
  <c r="AE94" i="27"/>
  <c r="AI94" i="27"/>
  <c r="AM94" i="27"/>
  <c r="AQ94" i="27"/>
  <c r="AU94" i="27"/>
  <c r="AY94" i="27"/>
  <c r="BC94" i="27"/>
  <c r="BG94" i="27"/>
  <c r="BK94" i="27"/>
  <c r="BO94" i="27"/>
  <c r="BS94" i="27"/>
  <c r="BW94" i="27"/>
  <c r="CA94" i="27"/>
  <c r="CE94" i="27"/>
  <c r="CI94" i="27"/>
  <c r="D36" i="27"/>
  <c r="CK44" i="27"/>
  <c r="BU47" i="27"/>
  <c r="BU49" i="27"/>
  <c r="BU51" i="27"/>
  <c r="BU53" i="27"/>
  <c r="BU55" i="27"/>
  <c r="BU57" i="27"/>
  <c r="BU59" i="27"/>
  <c r="BU61" i="27"/>
  <c r="DV62" i="27"/>
  <c r="CP63" i="27"/>
  <c r="AY64" i="27"/>
  <c r="DK64" i="27"/>
  <c r="AY65" i="27"/>
  <c r="DK65" i="27"/>
  <c r="AY66" i="27"/>
  <c r="DK66" i="27"/>
  <c r="AY67" i="27"/>
  <c r="DK67" i="27"/>
  <c r="AY68" i="27"/>
  <c r="DK68" i="27"/>
  <c r="AY69" i="27"/>
  <c r="DK69" i="27"/>
  <c r="AY70" i="27"/>
  <c r="DK70" i="27"/>
  <c r="AY71" i="27"/>
  <c r="DK71" i="27"/>
  <c r="AY72" i="27"/>
  <c r="DK72" i="27"/>
  <c r="AY73" i="27"/>
  <c r="DK73" i="27"/>
  <c r="AY74" i="27"/>
  <c r="DK74" i="27"/>
  <c r="AY75" i="27"/>
  <c r="DK75" i="27"/>
  <c r="AD76" i="27"/>
  <c r="BJ76" i="27"/>
  <c r="CP76" i="27"/>
  <c r="DV76" i="27"/>
  <c r="AD77" i="27"/>
  <c r="BJ77" i="27"/>
  <c r="CP77" i="27"/>
  <c r="DV77" i="27"/>
  <c r="AD78" i="27"/>
  <c r="BJ78" i="27"/>
  <c r="CP78" i="27"/>
  <c r="DV78" i="27"/>
  <c r="AD79" i="27"/>
  <c r="BJ79" i="27"/>
  <c r="CF79" i="27"/>
  <c r="CV79" i="27"/>
  <c r="DL79" i="27"/>
  <c r="D80" i="27"/>
  <c r="T80" i="27"/>
  <c r="AJ80" i="27"/>
  <c r="AZ80" i="27"/>
  <c r="BP80" i="27"/>
  <c r="CF80" i="27"/>
  <c r="CV80" i="27"/>
  <c r="DL80" i="27"/>
  <c r="D81" i="27"/>
  <c r="T81" i="27"/>
  <c r="AJ81" i="27"/>
  <c r="AZ81" i="27"/>
  <c r="BP81" i="27"/>
  <c r="CF81" i="27"/>
  <c r="CV81" i="27"/>
  <c r="DL81" i="27"/>
  <c r="D82" i="27"/>
  <c r="T82" i="27"/>
  <c r="AJ82" i="27"/>
  <c r="AZ82" i="27"/>
  <c r="BP82" i="27"/>
  <c r="CF82" i="27"/>
  <c r="CV82" i="27"/>
  <c r="DL82" i="27"/>
  <c r="D83" i="27"/>
  <c r="T83" i="27"/>
  <c r="AJ83" i="27"/>
  <c r="AZ83" i="27"/>
  <c r="BP83" i="27"/>
  <c r="CF83" i="27"/>
  <c r="CV83" i="27"/>
  <c r="DL83" i="27"/>
  <c r="D84" i="27"/>
  <c r="T84" i="27"/>
  <c r="AJ84" i="27"/>
  <c r="AZ84" i="27"/>
  <c r="BP84" i="27"/>
  <c r="CF84" i="27"/>
  <c r="CV84" i="27"/>
  <c r="DL84" i="27"/>
  <c r="D85" i="27"/>
  <c r="T85" i="27"/>
  <c r="AJ85" i="27"/>
  <c r="AZ85" i="27"/>
  <c r="BP85" i="27"/>
  <c r="CF85" i="27"/>
  <c r="CV85" i="27"/>
  <c r="DL85" i="27"/>
  <c r="D86" i="27"/>
  <c r="T86" i="27"/>
  <c r="AJ86" i="27"/>
  <c r="AZ86" i="27"/>
  <c r="BP86" i="27"/>
  <c r="CF86" i="27"/>
  <c r="CV86" i="27"/>
  <c r="DL86" i="27"/>
  <c r="D87" i="27"/>
  <c r="T87" i="27"/>
  <c r="AJ87" i="27"/>
  <c r="AZ87" i="27"/>
  <c r="BP87" i="27"/>
  <c r="CF87" i="27"/>
  <c r="CV87" i="27"/>
  <c r="DL87" i="27"/>
  <c r="D88" i="27"/>
  <c r="T88" i="27"/>
  <c r="AJ88" i="27"/>
  <c r="AZ88" i="27"/>
  <c r="BP88" i="27"/>
  <c r="CF88" i="27"/>
  <c r="CV88" i="27"/>
  <c r="DL88" i="27"/>
  <c r="D89" i="27"/>
  <c r="T89" i="27"/>
  <c r="AJ89" i="27"/>
  <c r="AZ89" i="27"/>
  <c r="BP89" i="27"/>
  <c r="CF89" i="27"/>
  <c r="CV89" i="27"/>
  <c r="DL89" i="27"/>
  <c r="D90" i="27"/>
  <c r="T90" i="27"/>
  <c r="AJ90" i="27"/>
  <c r="AZ90" i="27"/>
  <c r="BP90" i="27"/>
  <c r="CF90" i="27"/>
  <c r="CV90" i="27"/>
  <c r="DL90" i="27"/>
  <c r="D91" i="27"/>
  <c r="T91" i="27"/>
  <c r="AJ91" i="27"/>
  <c r="AZ91" i="27"/>
  <c r="BP91" i="27"/>
  <c r="CF91" i="27"/>
  <c r="CV91" i="27"/>
  <c r="DL91" i="27"/>
  <c r="D92" i="27"/>
  <c r="T92" i="27"/>
  <c r="AJ92" i="27"/>
  <c r="AZ92" i="27"/>
  <c r="BP92" i="27"/>
  <c r="CF92" i="27"/>
  <c r="CV92" i="27"/>
  <c r="DL92" i="27"/>
  <c r="D93" i="27"/>
  <c r="T93" i="27"/>
  <c r="AJ93" i="27"/>
  <c r="AZ93" i="27"/>
  <c r="BP93" i="27"/>
  <c r="CF93" i="27"/>
  <c r="CV93" i="27"/>
  <c r="DL93" i="27"/>
  <c r="D94" i="27"/>
  <c r="T94" i="27"/>
  <c r="AJ94" i="27"/>
  <c r="AZ94" i="27"/>
  <c r="BP94" i="27"/>
  <c r="CF94" i="27"/>
  <c r="CQ94" i="27"/>
  <c r="CY94" i="27"/>
  <c r="DG94" i="27"/>
  <c r="DO94" i="27"/>
  <c r="DW94" i="27"/>
  <c r="G95" i="27"/>
  <c r="O95" i="27"/>
  <c r="W95" i="27"/>
  <c r="AE95" i="27"/>
  <c r="AM95" i="27"/>
  <c r="AU95" i="27"/>
  <c r="BC95" i="27"/>
  <c r="BK95" i="27"/>
  <c r="BS95" i="27"/>
  <c r="CA95" i="27"/>
  <c r="CI95" i="27"/>
  <c r="CQ95" i="27"/>
  <c r="CY95" i="27"/>
  <c r="DG95" i="27"/>
  <c r="DO95" i="27"/>
  <c r="DW95" i="27"/>
  <c r="G96" i="27"/>
  <c r="O96" i="27"/>
  <c r="W96" i="27"/>
  <c r="AE96" i="27"/>
  <c r="AM96" i="27"/>
  <c r="AU96" i="27"/>
  <c r="BC96" i="27"/>
  <c r="BK96" i="27"/>
  <c r="BS96" i="27"/>
  <c r="CA96" i="27"/>
  <c r="CI96" i="27"/>
  <c r="CQ96" i="27"/>
  <c r="CY96" i="27"/>
  <c r="DG96" i="27"/>
  <c r="DO96" i="27"/>
  <c r="DW96" i="27"/>
  <c r="G97" i="27"/>
  <c r="O97" i="27"/>
  <c r="W97" i="27"/>
  <c r="AE97" i="27"/>
  <c r="AM97" i="27"/>
  <c r="AS97" i="27"/>
  <c r="AX97" i="27"/>
  <c r="BB97" i="27"/>
  <c r="BF97" i="27"/>
  <c r="BJ97" i="27"/>
  <c r="BN97" i="27"/>
  <c r="BR97" i="27"/>
  <c r="BV97" i="27"/>
  <c r="BZ97" i="27"/>
  <c r="CD97" i="27"/>
  <c r="CH97" i="27"/>
  <c r="CL97" i="27"/>
  <c r="CP97" i="27"/>
  <c r="CT97" i="27"/>
  <c r="CX97" i="27"/>
  <c r="DB97" i="27"/>
  <c r="DF97" i="27"/>
  <c r="DJ97" i="27"/>
  <c r="DN97" i="27"/>
  <c r="DR97" i="27"/>
  <c r="DV97" i="27"/>
  <c r="B98" i="27"/>
  <c r="F98" i="27"/>
  <c r="J98" i="27"/>
  <c r="N98" i="27"/>
  <c r="R98" i="27"/>
  <c r="V98" i="27"/>
  <c r="Z98" i="27"/>
  <c r="AD98" i="27"/>
  <c r="AH98" i="27"/>
  <c r="AL98" i="27"/>
  <c r="AP98" i="27"/>
  <c r="AT98" i="27"/>
  <c r="AX98" i="27"/>
  <c r="BB98" i="27"/>
  <c r="BF98" i="27"/>
  <c r="BJ98" i="27"/>
  <c r="BN98" i="27"/>
  <c r="BR98" i="27"/>
  <c r="BV98" i="27"/>
  <c r="BZ98" i="27"/>
  <c r="CD98" i="27"/>
  <c r="CH98" i="27"/>
  <c r="CL98" i="27"/>
  <c r="CP98" i="27"/>
  <c r="CT98" i="27"/>
  <c r="CX98" i="27"/>
  <c r="DB98" i="27"/>
  <c r="DF98" i="27"/>
  <c r="DJ98" i="27"/>
  <c r="DN98" i="27"/>
  <c r="DR98" i="27"/>
  <c r="DV98" i="27"/>
  <c r="B99" i="27"/>
  <c r="F99" i="27"/>
  <c r="J99" i="27"/>
  <c r="N99" i="27"/>
  <c r="R99" i="27"/>
  <c r="V99" i="27"/>
  <c r="Z99" i="27"/>
  <c r="AD99" i="27"/>
  <c r="AH99" i="27"/>
  <c r="AL99" i="27"/>
  <c r="AP99" i="27"/>
  <c r="AT99" i="27"/>
  <c r="AX99" i="27"/>
  <c r="BB99" i="27"/>
  <c r="BF99" i="27"/>
  <c r="BJ99" i="27"/>
  <c r="BN99" i="27"/>
  <c r="BR99" i="27"/>
  <c r="BV99" i="27"/>
  <c r="BZ99" i="27"/>
  <c r="CD99" i="27"/>
  <c r="CH99" i="27"/>
  <c r="CL99" i="27"/>
  <c r="CP99" i="27"/>
  <c r="CT99" i="27"/>
  <c r="CX99" i="27"/>
  <c r="DB99" i="27"/>
  <c r="DF99" i="27"/>
  <c r="DJ99" i="27"/>
  <c r="DN99" i="27"/>
  <c r="DR99" i="27"/>
  <c r="DV99" i="27"/>
  <c r="B100" i="27"/>
  <c r="F100" i="27"/>
  <c r="J100" i="27"/>
  <c r="N100" i="27"/>
  <c r="R100" i="27"/>
  <c r="V100" i="27"/>
  <c r="Z100" i="27"/>
  <c r="AD100" i="27"/>
  <c r="AH100" i="27"/>
  <c r="AL100" i="27"/>
  <c r="AP100" i="27"/>
  <c r="AT100" i="27"/>
  <c r="AX100" i="27"/>
  <c r="BB100" i="27"/>
  <c r="BF100" i="27"/>
  <c r="BJ100" i="27"/>
  <c r="BN100" i="27"/>
  <c r="BR100" i="27"/>
  <c r="BV100" i="27"/>
  <c r="BZ100" i="27"/>
  <c r="CD100" i="27"/>
  <c r="CH100" i="27"/>
  <c r="CL100" i="27"/>
  <c r="CP100" i="27"/>
  <c r="CT100" i="27"/>
  <c r="CX100" i="27"/>
  <c r="DB100" i="27"/>
  <c r="DF100" i="27"/>
  <c r="DJ100" i="27"/>
  <c r="DN100" i="27"/>
  <c r="DR100" i="27"/>
  <c r="DV100" i="27"/>
  <c r="B101" i="27"/>
  <c r="F101" i="27"/>
  <c r="J101" i="27"/>
  <c r="N101" i="27"/>
  <c r="R101" i="27"/>
  <c r="V101" i="27"/>
  <c r="Z101" i="27"/>
  <c r="AD101" i="27"/>
  <c r="AH101" i="27"/>
  <c r="AL101" i="27"/>
  <c r="AP101" i="27"/>
  <c r="AT101" i="27"/>
  <c r="AX101" i="27"/>
  <c r="BB101" i="27"/>
  <c r="BF101" i="27"/>
  <c r="BJ101" i="27"/>
  <c r="BN101" i="27"/>
  <c r="BR101" i="27"/>
  <c r="BV101" i="27"/>
  <c r="BZ101" i="27"/>
  <c r="CD101" i="27"/>
  <c r="CH101" i="27"/>
  <c r="CL101" i="27"/>
  <c r="CP101" i="27"/>
  <c r="CT101" i="27"/>
  <c r="CX101" i="27"/>
  <c r="DB101" i="27"/>
  <c r="DF101" i="27"/>
  <c r="DJ101" i="27"/>
  <c r="DN101" i="27"/>
  <c r="DR101" i="27"/>
  <c r="DV101" i="27"/>
  <c r="B102" i="27"/>
  <c r="F102" i="27"/>
  <c r="J102" i="27"/>
  <c r="N102" i="27"/>
  <c r="R102" i="27"/>
  <c r="V102" i="27"/>
  <c r="Z102" i="27"/>
  <c r="AD102" i="27"/>
  <c r="AH102" i="27"/>
  <c r="AL102" i="27"/>
  <c r="AP102" i="27"/>
  <c r="AT102" i="27"/>
  <c r="AX102" i="27"/>
  <c r="BB102" i="27"/>
  <c r="BF102" i="27"/>
  <c r="BJ102" i="27"/>
  <c r="BN102" i="27"/>
  <c r="BR102" i="27"/>
  <c r="BV102" i="27"/>
  <c r="BZ102" i="27"/>
  <c r="CD102" i="27"/>
  <c r="CH102" i="27"/>
  <c r="CL102" i="27"/>
  <c r="CP102" i="27"/>
  <c r="CT102" i="27"/>
  <c r="CX102" i="27"/>
  <c r="DB102" i="27"/>
  <c r="DF102" i="27"/>
  <c r="DJ102" i="27"/>
  <c r="DN102" i="27"/>
  <c r="DR102" i="27"/>
  <c r="DV102" i="27"/>
  <c r="B103" i="27"/>
  <c r="F103" i="27"/>
  <c r="J103" i="27"/>
  <c r="N103" i="27"/>
  <c r="R103" i="27"/>
  <c r="V103" i="27"/>
  <c r="Z103" i="27"/>
  <c r="AD103" i="27"/>
  <c r="AH103" i="27"/>
  <c r="AL103" i="27"/>
  <c r="AP103" i="27"/>
  <c r="AT103" i="27"/>
  <c r="AX103" i="27"/>
  <c r="BB103" i="27"/>
  <c r="BF103" i="27"/>
  <c r="BJ103" i="27"/>
  <c r="BN103" i="27"/>
  <c r="BR103" i="27"/>
  <c r="BV103" i="27"/>
  <c r="BZ103" i="27"/>
  <c r="CD103" i="27"/>
  <c r="CH103" i="27"/>
  <c r="CL103" i="27"/>
  <c r="CP103" i="27"/>
  <c r="CT103" i="27"/>
  <c r="CX103" i="27"/>
  <c r="DB103" i="27"/>
  <c r="DF103" i="27"/>
  <c r="DJ103" i="27"/>
  <c r="DN103" i="27"/>
  <c r="DR103" i="27"/>
  <c r="DV103" i="27"/>
  <c r="B104" i="27"/>
  <c r="F104" i="27"/>
  <c r="J104" i="27"/>
  <c r="N104" i="27"/>
  <c r="R104" i="27"/>
  <c r="V104" i="27"/>
  <c r="Z104" i="27"/>
  <c r="AD104" i="27"/>
  <c r="AH104" i="27"/>
  <c r="AL104" i="27"/>
  <c r="AP104" i="27"/>
  <c r="AT104" i="27"/>
  <c r="AX104" i="27"/>
  <c r="BB104" i="27"/>
  <c r="BF104" i="27"/>
  <c r="BJ104" i="27"/>
  <c r="BN104" i="27"/>
  <c r="BR104" i="27"/>
  <c r="BV104" i="27"/>
  <c r="BZ104" i="27"/>
  <c r="CD104" i="27"/>
  <c r="CH104" i="27"/>
  <c r="CL104" i="27"/>
  <c r="CP104" i="27"/>
  <c r="CT104" i="27"/>
  <c r="CX104" i="27"/>
  <c r="DB104" i="27"/>
  <c r="DF104" i="27"/>
  <c r="DJ104" i="27"/>
  <c r="DN104" i="27"/>
  <c r="DR104" i="27"/>
  <c r="DV104" i="27"/>
  <c r="B105" i="27"/>
  <c r="F105" i="27"/>
  <c r="J105" i="27"/>
  <c r="N105" i="27"/>
  <c r="R105" i="27"/>
  <c r="V105" i="27"/>
  <c r="Z105" i="27"/>
  <c r="AD105" i="27"/>
  <c r="AH105" i="27"/>
  <c r="AL105" i="27"/>
  <c r="AP105" i="27"/>
  <c r="AT105" i="27"/>
  <c r="AX105" i="27"/>
  <c r="BB105" i="27"/>
  <c r="BF105" i="27"/>
  <c r="BJ105" i="27"/>
  <c r="BN105" i="27"/>
  <c r="BR105" i="27"/>
  <c r="BV105" i="27"/>
  <c r="BZ105" i="27"/>
  <c r="CD105" i="27"/>
  <c r="CH105" i="27"/>
  <c r="CL105" i="27"/>
  <c r="CP105" i="27"/>
  <c r="CT105" i="27"/>
  <c r="CX105" i="27"/>
  <c r="DB105" i="27"/>
  <c r="DF105" i="27"/>
  <c r="DJ105" i="27"/>
  <c r="DN105" i="27"/>
  <c r="DR105" i="27"/>
  <c r="DV105" i="27"/>
  <c r="B106" i="27"/>
  <c r="F106" i="27"/>
  <c r="J106" i="27"/>
  <c r="N106" i="27"/>
  <c r="R106" i="27"/>
  <c r="V106" i="27"/>
  <c r="Z106" i="27"/>
  <c r="AD106" i="27"/>
  <c r="AH106" i="27"/>
  <c r="AL106" i="27"/>
  <c r="AP106" i="27"/>
  <c r="AT106" i="27"/>
  <c r="AX106" i="27"/>
  <c r="BB106" i="27"/>
  <c r="BF106" i="27"/>
  <c r="BJ106" i="27"/>
  <c r="BN106" i="27"/>
  <c r="BR106" i="27"/>
  <c r="BV106" i="27"/>
  <c r="BZ106" i="27"/>
  <c r="CD106" i="27"/>
  <c r="CH106" i="27"/>
  <c r="CL106" i="27"/>
  <c r="CP106" i="27"/>
  <c r="CT106" i="27"/>
  <c r="CX106" i="27"/>
  <c r="DB106" i="27"/>
  <c r="DF106" i="27"/>
  <c r="DJ106" i="27"/>
  <c r="DN106" i="27"/>
  <c r="DR106" i="27"/>
  <c r="DV106" i="27"/>
  <c r="B107" i="27"/>
  <c r="F107" i="27"/>
  <c r="J107" i="27"/>
  <c r="N107" i="27"/>
  <c r="R107" i="27"/>
  <c r="V107" i="27"/>
  <c r="Z107" i="27"/>
  <c r="AD107" i="27"/>
  <c r="AH107" i="27"/>
  <c r="AL107" i="27"/>
  <c r="AP107" i="27"/>
  <c r="AT107" i="27"/>
  <c r="AX107" i="27"/>
  <c r="BB107" i="27"/>
  <c r="BF107" i="27"/>
  <c r="BJ107" i="27"/>
  <c r="BN107" i="27"/>
  <c r="BR107" i="27"/>
  <c r="BV107" i="27"/>
  <c r="BZ107" i="27"/>
  <c r="CD107" i="27"/>
  <c r="CH107" i="27"/>
  <c r="CL107" i="27"/>
  <c r="CP107" i="27"/>
  <c r="CT107" i="27"/>
  <c r="CX107" i="27"/>
  <c r="DB107" i="27"/>
  <c r="DF107" i="27"/>
  <c r="DJ107" i="27"/>
  <c r="DN107" i="27"/>
  <c r="DR107" i="27"/>
  <c r="DV107" i="27"/>
  <c r="B108" i="27"/>
  <c r="F108" i="27"/>
  <c r="J108" i="27"/>
  <c r="N108" i="27"/>
  <c r="R108" i="27"/>
  <c r="V108" i="27"/>
  <c r="Z108" i="27"/>
  <c r="AD108" i="27"/>
  <c r="AH108" i="27"/>
  <c r="AL108" i="27"/>
  <c r="AP108" i="27"/>
  <c r="AT108" i="27"/>
  <c r="AX108" i="27"/>
  <c r="BB108" i="27"/>
  <c r="BF108" i="27"/>
  <c r="BJ108" i="27"/>
  <c r="BN108" i="27"/>
  <c r="BR108" i="27"/>
  <c r="BV108" i="27"/>
  <c r="BZ108" i="27"/>
  <c r="CD108" i="27"/>
  <c r="CH108" i="27"/>
  <c r="CL108" i="27"/>
  <c r="CP108" i="27"/>
  <c r="CT108" i="27"/>
  <c r="CX108" i="27"/>
  <c r="DB108" i="27"/>
  <c r="DF108" i="27"/>
  <c r="DJ108" i="27"/>
  <c r="DN108" i="27"/>
  <c r="DR108" i="27"/>
  <c r="DV108" i="27"/>
  <c r="B109" i="27"/>
  <c r="F109" i="27"/>
  <c r="J109" i="27"/>
  <c r="N109" i="27"/>
  <c r="R109" i="27"/>
  <c r="V109" i="27"/>
  <c r="Z109" i="27"/>
  <c r="AD109" i="27"/>
  <c r="AH109" i="27"/>
  <c r="AL109" i="27"/>
  <c r="AP109" i="27"/>
  <c r="AT109" i="27"/>
  <c r="AX109" i="27"/>
  <c r="BB109" i="27"/>
  <c r="BF109" i="27"/>
  <c r="BJ109" i="27"/>
  <c r="BN109" i="27"/>
  <c r="BR109" i="27"/>
  <c r="BV109" i="27"/>
  <c r="BZ109" i="27"/>
  <c r="CD109" i="27"/>
  <c r="CH109" i="27"/>
  <c r="CL109" i="27"/>
  <c r="CP109" i="27"/>
  <c r="CT109" i="27"/>
  <c r="CX109" i="27"/>
  <c r="DB109" i="27"/>
  <c r="DF109" i="27"/>
  <c r="DJ109" i="27"/>
  <c r="DN109" i="27"/>
  <c r="DR109" i="27"/>
  <c r="DV109" i="27"/>
  <c r="B110" i="27"/>
  <c r="F110" i="27"/>
  <c r="J110" i="27"/>
  <c r="N110" i="27"/>
  <c r="R110" i="27"/>
  <c r="V110" i="27"/>
  <c r="Z110" i="27"/>
  <c r="AD110" i="27"/>
  <c r="AH110" i="27"/>
  <c r="AL110" i="27"/>
  <c r="AP110" i="27"/>
  <c r="AT110" i="27"/>
  <c r="AX110" i="27"/>
  <c r="BB110" i="27"/>
  <c r="BF110" i="27"/>
  <c r="BJ110" i="27"/>
  <c r="BN110" i="27"/>
  <c r="BR110" i="27"/>
  <c r="BV110" i="27"/>
  <c r="BZ110" i="27"/>
  <c r="CD110" i="27"/>
  <c r="CH110" i="27"/>
  <c r="CL110" i="27"/>
  <c r="CP110" i="27"/>
  <c r="CT110" i="27"/>
  <c r="CX110" i="27"/>
  <c r="DB110" i="27"/>
  <c r="DF110" i="27"/>
  <c r="DJ110" i="27"/>
  <c r="DN110" i="27"/>
  <c r="DR110" i="27"/>
  <c r="DV110" i="27"/>
  <c r="B111" i="27"/>
  <c r="F111" i="27"/>
  <c r="J111" i="27"/>
  <c r="N111" i="27"/>
  <c r="R111" i="27"/>
  <c r="V111" i="27"/>
  <c r="Z111" i="27"/>
  <c r="AD111" i="27"/>
  <c r="AH111" i="27"/>
  <c r="AL111" i="27"/>
  <c r="AP111" i="27"/>
  <c r="AT111" i="27"/>
  <c r="AX111" i="27"/>
  <c r="BB111" i="27"/>
  <c r="BF111" i="27"/>
  <c r="BJ111" i="27"/>
  <c r="BN111" i="27"/>
  <c r="BR111" i="27"/>
  <c r="BV111" i="27"/>
  <c r="BZ111" i="27"/>
  <c r="CD111" i="27"/>
  <c r="CH111" i="27"/>
  <c r="CL111" i="27"/>
  <c r="CP111" i="27"/>
  <c r="CT111" i="27"/>
  <c r="CX111" i="27"/>
  <c r="DB111" i="27"/>
  <c r="DF111" i="27"/>
  <c r="DJ111" i="27"/>
  <c r="DN111" i="27"/>
  <c r="DR111" i="27"/>
  <c r="DV111" i="27"/>
  <c r="B112" i="27"/>
  <c r="F112" i="27"/>
  <c r="J112" i="27"/>
  <c r="N112" i="27"/>
  <c r="R112" i="27"/>
  <c r="V112" i="27"/>
  <c r="Z112" i="27"/>
  <c r="AD112" i="27"/>
  <c r="AH112" i="27"/>
  <c r="AL112" i="27"/>
  <c r="AP112" i="27"/>
  <c r="AT112" i="27"/>
  <c r="AX112" i="27"/>
  <c r="BB112" i="27"/>
  <c r="BF112" i="27"/>
  <c r="BJ112" i="27"/>
  <c r="BN112" i="27"/>
  <c r="BR112" i="27"/>
  <c r="BV112" i="27"/>
  <c r="BZ112" i="27"/>
  <c r="CD112" i="27"/>
  <c r="CH112" i="27"/>
  <c r="CL112" i="27"/>
  <c r="CP112" i="27"/>
  <c r="CT112" i="27"/>
  <c r="CX112" i="27"/>
  <c r="DB112" i="27"/>
  <c r="DF112" i="27"/>
  <c r="DJ112" i="27"/>
  <c r="DN112" i="27"/>
  <c r="DR112" i="27"/>
  <c r="DV112" i="27"/>
  <c r="B113" i="27"/>
  <c r="F113" i="27"/>
  <c r="J113" i="27"/>
  <c r="N113" i="27"/>
  <c r="R113" i="27"/>
  <c r="V113" i="27"/>
  <c r="Z113" i="27"/>
  <c r="AD113" i="27"/>
  <c r="AH113" i="27"/>
  <c r="AL113" i="27"/>
  <c r="AP113" i="27"/>
  <c r="AT113" i="27"/>
  <c r="AX113" i="27"/>
  <c r="BB113" i="27"/>
  <c r="BF113" i="27"/>
  <c r="BJ113" i="27"/>
  <c r="BN113" i="27"/>
  <c r="BR113" i="27"/>
  <c r="BV113" i="27"/>
  <c r="BZ113" i="27"/>
  <c r="CD113" i="27"/>
  <c r="CH113" i="27"/>
  <c r="CL113" i="27"/>
  <c r="CP113" i="27"/>
  <c r="CT113" i="27"/>
  <c r="CX113" i="27"/>
  <c r="DB113" i="27"/>
  <c r="DF113" i="27"/>
  <c r="DJ113" i="27"/>
  <c r="DN113" i="27"/>
  <c r="DR113" i="27"/>
  <c r="DV113" i="27"/>
  <c r="B114" i="27"/>
  <c r="F114" i="27"/>
  <c r="J114" i="27"/>
  <c r="N114" i="27"/>
  <c r="R114" i="27"/>
  <c r="V114" i="27"/>
  <c r="Z114" i="27"/>
  <c r="AD114" i="27"/>
  <c r="AH114" i="27"/>
  <c r="AL114" i="27"/>
  <c r="AP114" i="27"/>
  <c r="AT114" i="27"/>
  <c r="AX114" i="27"/>
  <c r="BB114" i="27"/>
  <c r="BF114" i="27"/>
  <c r="BJ114" i="27"/>
  <c r="BN114" i="27"/>
  <c r="BR114" i="27"/>
  <c r="BV114" i="27"/>
  <c r="BZ114" i="27"/>
  <c r="CD114" i="27"/>
  <c r="CH114" i="27"/>
  <c r="CL114" i="27"/>
  <c r="CP114" i="27"/>
  <c r="CT114" i="27"/>
  <c r="CX114" i="27"/>
  <c r="DB114" i="27"/>
  <c r="DF114" i="27"/>
  <c r="DJ114" i="27"/>
  <c r="DN114" i="27"/>
  <c r="DR114" i="27"/>
  <c r="DV114" i="27"/>
  <c r="B115" i="27"/>
  <c r="F115" i="27"/>
  <c r="J115" i="27"/>
  <c r="N115" i="27"/>
  <c r="R115" i="27"/>
  <c r="V115" i="27"/>
  <c r="Z115" i="27"/>
  <c r="AD115" i="27"/>
  <c r="AH115" i="27"/>
  <c r="AL115" i="27"/>
  <c r="AP115" i="27"/>
  <c r="AT115" i="27"/>
  <c r="AX115" i="27"/>
  <c r="BB115" i="27"/>
  <c r="BF115" i="27"/>
  <c r="BJ115" i="27"/>
  <c r="BN115" i="27"/>
  <c r="BR115" i="27"/>
  <c r="BV115" i="27"/>
  <c r="BZ115" i="27"/>
  <c r="CD115" i="27"/>
  <c r="CH115" i="27"/>
  <c r="CL115" i="27"/>
  <c r="CP115" i="27"/>
  <c r="CT115" i="27"/>
  <c r="CX115" i="27"/>
  <c r="DB115" i="27"/>
  <c r="DF115" i="27"/>
  <c r="DJ115" i="27"/>
  <c r="DN115" i="27"/>
  <c r="DR115" i="27"/>
  <c r="DV115" i="27"/>
  <c r="B116" i="27"/>
  <c r="F116" i="27"/>
  <c r="J116" i="27"/>
  <c r="N116" i="27"/>
  <c r="R116" i="27"/>
  <c r="V116" i="27"/>
  <c r="Z116" i="27"/>
  <c r="AD116" i="27"/>
  <c r="AH116" i="27"/>
  <c r="AL116" i="27"/>
  <c r="AP116" i="27"/>
  <c r="AT116" i="27"/>
  <c r="AX116" i="27"/>
  <c r="BB116" i="27"/>
  <c r="BF116" i="27"/>
  <c r="BJ116" i="27"/>
  <c r="BN116" i="27"/>
  <c r="BR116" i="27"/>
  <c r="BV116" i="27"/>
  <c r="BZ116" i="27"/>
  <c r="CD116" i="27"/>
  <c r="CH116" i="27"/>
  <c r="CL116" i="27"/>
  <c r="CP116" i="27"/>
  <c r="CT116" i="27"/>
  <c r="CX116" i="27"/>
  <c r="DB116" i="27"/>
  <c r="DF116" i="27"/>
  <c r="DJ116" i="27"/>
  <c r="DN116" i="27"/>
  <c r="DR116" i="27"/>
  <c r="DV116" i="27"/>
  <c r="B117" i="27"/>
  <c r="F117" i="27"/>
  <c r="J117" i="27"/>
  <c r="N117" i="27"/>
  <c r="R117" i="27"/>
  <c r="V117" i="27"/>
  <c r="Z117" i="27"/>
  <c r="AD117" i="27"/>
  <c r="AH117" i="27"/>
  <c r="AL117" i="27"/>
  <c r="AP117" i="27"/>
  <c r="AT117" i="27"/>
  <c r="AX117" i="27"/>
  <c r="BB117" i="27"/>
  <c r="BF117" i="27"/>
  <c r="BJ117" i="27"/>
  <c r="BN117" i="27"/>
  <c r="BR117" i="27"/>
  <c r="BV117" i="27"/>
  <c r="BZ117" i="27"/>
  <c r="CD117" i="27"/>
  <c r="CH117" i="27"/>
  <c r="CL117" i="27"/>
  <c r="CP117" i="27"/>
  <c r="CT117" i="27"/>
  <c r="CX117" i="27"/>
  <c r="DB117" i="27"/>
  <c r="DF117" i="27"/>
  <c r="DJ117" i="27"/>
  <c r="DN117" i="27"/>
  <c r="DR117" i="27"/>
  <c r="DV117" i="27"/>
  <c r="B118" i="27"/>
  <c r="F118" i="27"/>
  <c r="J118" i="27"/>
  <c r="N118" i="27"/>
  <c r="R118" i="27"/>
  <c r="V118" i="27"/>
  <c r="Z118" i="27"/>
  <c r="AD118" i="27"/>
  <c r="AH118" i="27"/>
  <c r="AL118" i="27"/>
  <c r="AP118" i="27"/>
  <c r="AT118" i="27"/>
  <c r="AX118" i="27"/>
  <c r="BB118" i="27"/>
  <c r="BF118" i="27"/>
  <c r="BJ118" i="27"/>
  <c r="BN118" i="27"/>
  <c r="BR118" i="27"/>
  <c r="BV118" i="27"/>
  <c r="BZ118" i="27"/>
  <c r="CD118" i="27"/>
  <c r="CH118" i="27"/>
  <c r="CL118" i="27"/>
  <c r="CP118" i="27"/>
  <c r="CT118" i="27"/>
  <c r="CX118" i="27"/>
  <c r="DB118" i="27"/>
  <c r="DF118" i="27"/>
  <c r="DJ118" i="27"/>
  <c r="DN118" i="27"/>
  <c r="DR118" i="27"/>
  <c r="DV118" i="27"/>
  <c r="B119" i="27"/>
  <c r="F119" i="27"/>
  <c r="J119" i="27"/>
  <c r="N119" i="27"/>
  <c r="R119" i="27"/>
  <c r="V119" i="27"/>
  <c r="Z119" i="27"/>
  <c r="AD119" i="27"/>
  <c r="AH119" i="27"/>
  <c r="AL119" i="27"/>
  <c r="AP119" i="27"/>
  <c r="AT119" i="27"/>
  <c r="AX119" i="27"/>
  <c r="BB119" i="27"/>
  <c r="BF119" i="27"/>
  <c r="BJ119" i="27"/>
  <c r="BN119" i="27"/>
  <c r="BR119" i="27"/>
  <c r="BV119" i="27"/>
  <c r="BZ119" i="27"/>
  <c r="CD119" i="27"/>
  <c r="CH119" i="27"/>
  <c r="CL119" i="27"/>
  <c r="CP119" i="27"/>
  <c r="CT119" i="27"/>
  <c r="CX119" i="27"/>
  <c r="DB119" i="27"/>
  <c r="DF119" i="27"/>
  <c r="DJ119" i="27"/>
  <c r="DN119" i="27"/>
  <c r="DR119" i="27"/>
  <c r="DV119" i="27"/>
  <c r="B120" i="27"/>
  <c r="F120" i="27"/>
  <c r="J120" i="27"/>
  <c r="N120" i="27"/>
  <c r="R120" i="27"/>
  <c r="V120" i="27"/>
  <c r="Z120" i="27"/>
  <c r="AD120" i="27"/>
  <c r="AH120" i="27"/>
  <c r="AL120" i="27"/>
  <c r="AP120" i="27"/>
  <c r="AT120" i="27"/>
  <c r="AX120" i="27"/>
  <c r="BB120" i="27"/>
  <c r="BF120" i="27"/>
  <c r="BJ120" i="27"/>
  <c r="BN120" i="27"/>
  <c r="BR120" i="27"/>
  <c r="BV120" i="27"/>
  <c r="BZ120" i="27"/>
  <c r="CD120" i="27"/>
  <c r="CH120" i="27"/>
  <c r="CL120" i="27"/>
  <c r="CP120" i="27"/>
  <c r="CT120" i="27"/>
  <c r="CX120" i="27"/>
  <c r="DB120" i="27"/>
  <c r="DF120" i="27"/>
  <c r="DJ120" i="27"/>
  <c r="DN120" i="27"/>
  <c r="DR120" i="27"/>
  <c r="DV120" i="27"/>
  <c r="B121" i="27"/>
  <c r="F121" i="27"/>
  <c r="J121" i="27"/>
  <c r="N121" i="27"/>
  <c r="R121" i="27"/>
  <c r="V121" i="27"/>
  <c r="Z121" i="27"/>
  <c r="AD121" i="27"/>
  <c r="AH121" i="27"/>
  <c r="AL121" i="27"/>
  <c r="AP121" i="27"/>
  <c r="AT121" i="27"/>
  <c r="AX121" i="27"/>
  <c r="BB121" i="27"/>
  <c r="BF121" i="27"/>
  <c r="BJ121" i="27"/>
  <c r="BN121" i="27"/>
  <c r="BR121" i="27"/>
  <c r="BV121" i="27"/>
  <c r="BZ121" i="27"/>
  <c r="CD121" i="27"/>
  <c r="CH121" i="27"/>
  <c r="CL121" i="27"/>
  <c r="CP121" i="27"/>
  <c r="CT121" i="27"/>
  <c r="CX121" i="27"/>
  <c r="DB121" i="27"/>
  <c r="DF121" i="27"/>
  <c r="DJ121" i="27"/>
  <c r="DN121" i="27"/>
  <c r="DR121" i="27"/>
  <c r="DV121" i="27"/>
  <c r="B122" i="27"/>
  <c r="F122" i="27"/>
  <c r="J122" i="27"/>
  <c r="N122" i="27"/>
  <c r="R122" i="27"/>
  <c r="V122" i="27"/>
  <c r="Z122" i="27"/>
  <c r="AD122" i="27"/>
  <c r="AH122" i="27"/>
  <c r="AL122" i="27"/>
  <c r="AP122" i="27"/>
  <c r="AT122" i="27"/>
  <c r="AX122" i="27"/>
  <c r="BB122" i="27"/>
  <c r="BF122" i="27"/>
  <c r="BJ122" i="27"/>
  <c r="BN122" i="27"/>
  <c r="BR122" i="27"/>
  <c r="BV122" i="27"/>
  <c r="BZ122" i="27"/>
  <c r="CD122" i="27"/>
  <c r="CH122" i="27"/>
  <c r="CL122" i="27"/>
  <c r="CP122" i="27"/>
  <c r="CT122" i="27"/>
  <c r="CX122" i="27"/>
  <c r="DB122" i="27"/>
  <c r="DF122" i="27"/>
  <c r="DJ122" i="27"/>
  <c r="DN122" i="27"/>
  <c r="DR122" i="27"/>
  <c r="DV122" i="27"/>
  <c r="B123" i="27"/>
  <c r="F123" i="27"/>
  <c r="J123" i="27"/>
  <c r="N123" i="27"/>
  <c r="R123" i="27"/>
  <c r="V123" i="27"/>
  <c r="Z123" i="27"/>
  <c r="AD123" i="27"/>
  <c r="AH123" i="27"/>
  <c r="AL123" i="27"/>
  <c r="AP123" i="27"/>
  <c r="AT123" i="27"/>
  <c r="AX123" i="27"/>
  <c r="BB123" i="27"/>
  <c r="BF123" i="27"/>
  <c r="BJ123" i="27"/>
  <c r="BN123" i="27"/>
  <c r="BR123" i="27"/>
  <c r="BV123" i="27"/>
  <c r="BZ123" i="27"/>
  <c r="CD123" i="27"/>
  <c r="CH123" i="27"/>
  <c r="CL123" i="27"/>
  <c r="CP123" i="27"/>
  <c r="CT123" i="27"/>
  <c r="CX123" i="27"/>
  <c r="DB123" i="27"/>
  <c r="DF123" i="27"/>
  <c r="DJ123" i="27"/>
  <c r="DN123" i="27"/>
  <c r="DR123" i="27"/>
  <c r="DV123" i="27"/>
  <c r="B124" i="27"/>
  <c r="F124" i="27"/>
  <c r="J124" i="27"/>
  <c r="N124" i="27"/>
  <c r="R124" i="27"/>
  <c r="V124" i="27"/>
  <c r="Z124" i="27"/>
  <c r="AD124" i="27"/>
  <c r="AH124" i="27"/>
  <c r="AL124" i="27"/>
  <c r="AP124" i="27"/>
  <c r="AT124" i="27"/>
  <c r="AX124" i="27"/>
  <c r="BB124" i="27"/>
  <c r="BF124" i="27"/>
  <c r="BJ124" i="27"/>
  <c r="BN124" i="27"/>
  <c r="BR124" i="27"/>
  <c r="BV124" i="27"/>
  <c r="BZ124" i="27"/>
  <c r="CD124" i="27"/>
  <c r="CH124" i="27"/>
  <c r="CL124" i="27"/>
  <c r="CP124" i="27"/>
  <c r="CT124" i="27"/>
  <c r="CX124" i="27"/>
  <c r="DB124" i="27"/>
  <c r="DF124" i="27"/>
  <c r="DJ124" i="27"/>
  <c r="DN124" i="27"/>
  <c r="DR124" i="27"/>
  <c r="DV124" i="27"/>
  <c r="B125" i="27"/>
  <c r="F125" i="27"/>
  <c r="J125" i="27"/>
  <c r="N125" i="27"/>
  <c r="R125" i="27"/>
  <c r="V125" i="27"/>
  <c r="Z125" i="27"/>
  <c r="AD125" i="27"/>
  <c r="AH125" i="27"/>
  <c r="AL125" i="27"/>
  <c r="AP125" i="27"/>
  <c r="AT125" i="27"/>
  <c r="AX125" i="27"/>
  <c r="BB125" i="27"/>
  <c r="BF125" i="27"/>
  <c r="BJ125" i="27"/>
  <c r="BN125" i="27"/>
  <c r="BR125" i="27"/>
  <c r="BV125" i="27"/>
  <c r="BZ125" i="27"/>
  <c r="CD125" i="27"/>
  <c r="CH125" i="27"/>
  <c r="CL125" i="27"/>
  <c r="CP125" i="27"/>
  <c r="CT125" i="27"/>
  <c r="CX125" i="27"/>
  <c r="DB125" i="27"/>
  <c r="DF125" i="27"/>
  <c r="DJ125" i="27"/>
  <c r="DN125" i="27"/>
  <c r="DR125" i="27"/>
  <c r="DV125" i="27"/>
  <c r="B126" i="27"/>
  <c r="F126" i="27"/>
  <c r="J126" i="27"/>
  <c r="N126" i="27"/>
  <c r="R126" i="27"/>
  <c r="V126" i="27"/>
  <c r="Z126" i="27"/>
  <c r="AD126" i="27"/>
  <c r="AH126" i="27"/>
  <c r="AL126" i="27"/>
  <c r="AP126" i="27"/>
  <c r="AT126" i="27"/>
  <c r="AX126" i="27"/>
  <c r="BB126" i="27"/>
  <c r="BF126" i="27"/>
  <c r="BJ126" i="27"/>
  <c r="BN126" i="27"/>
  <c r="BR126" i="27"/>
  <c r="BV126" i="27"/>
  <c r="BZ126" i="27"/>
  <c r="CD126" i="27"/>
  <c r="CH126" i="27"/>
  <c r="CL126" i="27"/>
  <c r="CP126" i="27"/>
  <c r="CT126" i="27"/>
  <c r="CX126" i="27"/>
  <c r="DB126" i="27"/>
  <c r="DF126" i="27"/>
  <c r="DJ126" i="27"/>
  <c r="DN126" i="27"/>
  <c r="DR126" i="27"/>
  <c r="DV126" i="27"/>
  <c r="B127" i="27"/>
  <c r="F127" i="27"/>
  <c r="J127" i="27"/>
  <c r="N127" i="27"/>
  <c r="R127" i="27"/>
  <c r="V127" i="27"/>
  <c r="Z127" i="27"/>
  <c r="AD127" i="27"/>
  <c r="AH127" i="27"/>
  <c r="AL127" i="27"/>
  <c r="AP127" i="27"/>
  <c r="AT127" i="27"/>
  <c r="AX127" i="27"/>
  <c r="BB127" i="27"/>
  <c r="BF127" i="27"/>
  <c r="BJ127" i="27"/>
  <c r="BN127" i="27"/>
  <c r="BR127" i="27"/>
  <c r="BV127" i="27"/>
  <c r="BZ127" i="27"/>
  <c r="CD127" i="27"/>
  <c r="CH127" i="27"/>
  <c r="CL127" i="27"/>
  <c r="CP127" i="27"/>
  <c r="CT127" i="27"/>
  <c r="CX127" i="27"/>
  <c r="DB127" i="27"/>
  <c r="DF127" i="27"/>
  <c r="DJ127" i="27"/>
  <c r="DN127" i="27"/>
  <c r="DR127" i="27"/>
  <c r="DV127" i="27"/>
  <c r="B128" i="27"/>
  <c r="F128" i="27"/>
  <c r="J128" i="27"/>
  <c r="N128" i="27"/>
  <c r="R128" i="27"/>
  <c r="V128" i="27"/>
  <c r="Z128" i="27"/>
  <c r="AD128" i="27"/>
  <c r="AH128" i="27"/>
  <c r="AL128" i="27"/>
  <c r="AP128" i="27"/>
  <c r="AT128" i="27"/>
  <c r="AX128" i="27"/>
  <c r="BB128" i="27"/>
  <c r="BF128" i="27"/>
  <c r="BJ128" i="27"/>
  <c r="BN128" i="27"/>
  <c r="BR128" i="27"/>
  <c r="BV128" i="27"/>
  <c r="BZ128" i="27"/>
  <c r="CD128" i="27"/>
  <c r="CH128" i="27"/>
  <c r="CL128" i="27"/>
  <c r="CP128" i="27"/>
  <c r="CT128" i="27"/>
  <c r="CX128" i="27"/>
  <c r="DB128" i="27"/>
  <c r="DF128" i="27"/>
  <c r="DJ128" i="27"/>
  <c r="DN128" i="27"/>
  <c r="DR128" i="27"/>
  <c r="DV128" i="27"/>
  <c r="B129" i="27"/>
  <c r="F129" i="27"/>
  <c r="J129" i="27"/>
  <c r="N129" i="27"/>
  <c r="R129" i="27"/>
  <c r="V129" i="27"/>
  <c r="Z129" i="27"/>
  <c r="AD129" i="27"/>
  <c r="AH129" i="27"/>
  <c r="AL129" i="27"/>
  <c r="AP129" i="27"/>
  <c r="AT129" i="27"/>
  <c r="AX129" i="27"/>
  <c r="BB129" i="27"/>
  <c r="BF129" i="27"/>
  <c r="BJ129" i="27"/>
  <c r="BN129" i="27"/>
  <c r="BR129" i="27"/>
  <c r="BV129" i="27"/>
  <c r="BZ129" i="27"/>
  <c r="CD129" i="27"/>
  <c r="CH129" i="27"/>
  <c r="CL129" i="27"/>
  <c r="CP129" i="27"/>
  <c r="CT129" i="27"/>
  <c r="CX129" i="27"/>
  <c r="DB129" i="27"/>
  <c r="DF129" i="27"/>
  <c r="DJ129" i="27"/>
  <c r="DN129" i="27"/>
  <c r="DR129" i="27"/>
  <c r="DV129" i="27"/>
  <c r="B130" i="27"/>
  <c r="F130" i="27"/>
  <c r="J130" i="27"/>
  <c r="N130" i="27"/>
  <c r="R130" i="27"/>
  <c r="V130" i="27"/>
  <c r="Z130" i="27"/>
  <c r="AD130" i="27"/>
  <c r="AH130" i="27"/>
  <c r="AL130" i="27"/>
  <c r="AP130" i="27"/>
  <c r="AT130" i="27"/>
  <c r="AX130" i="27"/>
  <c r="BB130" i="27"/>
  <c r="BF130" i="27"/>
  <c r="BJ130" i="27"/>
  <c r="BN130" i="27"/>
  <c r="BR130" i="27"/>
  <c r="BV130" i="27"/>
  <c r="BZ130" i="27"/>
  <c r="CD130" i="27"/>
  <c r="CH130" i="27"/>
  <c r="CL130" i="27"/>
  <c r="CP130" i="27"/>
  <c r="CT130" i="27"/>
  <c r="CX130" i="27"/>
  <c r="DB130" i="27"/>
  <c r="DF130" i="27"/>
  <c r="DJ130" i="27"/>
  <c r="DN130" i="27"/>
  <c r="DR130" i="27"/>
  <c r="DV130" i="27"/>
  <c r="B131" i="27"/>
  <c r="F131" i="27"/>
  <c r="J131" i="27"/>
  <c r="N131" i="27"/>
  <c r="R131" i="27"/>
  <c r="V131" i="27"/>
  <c r="Z131" i="27"/>
  <c r="AD131" i="27"/>
  <c r="AH131" i="27"/>
  <c r="AL131" i="27"/>
  <c r="AP131" i="27"/>
  <c r="AT131" i="27"/>
  <c r="AX131" i="27"/>
  <c r="BB131" i="27"/>
  <c r="BF131" i="27"/>
  <c r="BJ131" i="27"/>
  <c r="BN131" i="27"/>
  <c r="BR131" i="27"/>
  <c r="BV131" i="27"/>
  <c r="BZ131" i="27"/>
  <c r="CD131" i="27"/>
  <c r="CH131" i="27"/>
  <c r="CL131" i="27"/>
  <c r="CP131" i="27"/>
  <c r="CT131" i="27"/>
  <c r="CX131" i="27"/>
  <c r="DB131" i="27"/>
  <c r="DF131" i="27"/>
  <c r="DJ131" i="27"/>
  <c r="DN131" i="27"/>
  <c r="DR131" i="27"/>
  <c r="DV131" i="27"/>
  <c r="I49" i="27"/>
  <c r="V76" i="27"/>
  <c r="CH77" i="27"/>
  <c r="BB78" i="27"/>
  <c r="V79" i="27"/>
  <c r="CR79" i="27"/>
  <c r="DH79" i="27"/>
  <c r="AF80" i="27"/>
  <c r="AV80" i="27"/>
  <c r="CR80" i="27"/>
  <c r="DX80" i="27"/>
  <c r="AF81" i="27"/>
  <c r="CB81" i="27"/>
  <c r="DH81" i="27"/>
  <c r="P82" i="27"/>
  <c r="BL82" i="27"/>
  <c r="DH82" i="27"/>
  <c r="P83" i="27"/>
  <c r="AV83" i="27"/>
  <c r="CR83" i="27"/>
  <c r="P84" i="27"/>
  <c r="AF84" i="27"/>
  <c r="CB84" i="27"/>
  <c r="DH84" i="27"/>
  <c r="P85" i="27"/>
  <c r="BL85" i="27"/>
  <c r="CR85" i="27"/>
  <c r="P86" i="27"/>
  <c r="AV86" i="27"/>
  <c r="CB86" i="27"/>
  <c r="DX86" i="27"/>
  <c r="AF87" i="27"/>
  <c r="CB87" i="27"/>
  <c r="DH87" i="27"/>
  <c r="AF88" i="27"/>
  <c r="BL88" i="27"/>
  <c r="AS39" i="27"/>
  <c r="CK45" i="27"/>
  <c r="I48" i="27"/>
  <c r="I50" i="27"/>
  <c r="I52" i="27"/>
  <c r="I54" i="27"/>
  <c r="I56" i="27"/>
  <c r="I58" i="27"/>
  <c r="I60" i="27"/>
  <c r="I62" i="27"/>
  <c r="AD63" i="27"/>
  <c r="DL63" i="27"/>
  <c r="BO64" i="27"/>
  <c r="C65" i="27"/>
  <c r="BO65" i="27"/>
  <c r="C66" i="27"/>
  <c r="BO66" i="27"/>
  <c r="C67" i="27"/>
  <c r="BO67" i="27"/>
  <c r="C68" i="27"/>
  <c r="BO68" i="27"/>
  <c r="C69" i="27"/>
  <c r="BO69" i="27"/>
  <c r="C70" i="27"/>
  <c r="BO70" i="27"/>
  <c r="C71" i="27"/>
  <c r="BO71" i="27"/>
  <c r="C72" i="27"/>
  <c r="BO72" i="27"/>
  <c r="C73" i="27"/>
  <c r="BO73" i="27"/>
  <c r="C74" i="27"/>
  <c r="BO74" i="27"/>
  <c r="C75" i="27"/>
  <c r="BO75" i="27"/>
  <c r="C76" i="27"/>
  <c r="AL76" i="27"/>
  <c r="BR76" i="27"/>
  <c r="CX76" i="27"/>
  <c r="F77" i="27"/>
  <c r="AL77" i="27"/>
  <c r="BR77" i="27"/>
  <c r="CX77" i="27"/>
  <c r="F78" i="27"/>
  <c r="AL78" i="27"/>
  <c r="BR78" i="27"/>
  <c r="CX78" i="27"/>
  <c r="F79" i="27"/>
  <c r="AL79" i="27"/>
  <c r="BR79" i="27"/>
  <c r="CJ79" i="27"/>
  <c r="CZ79" i="27"/>
  <c r="DP79" i="27"/>
  <c r="H80" i="27"/>
  <c r="X80" i="27"/>
  <c r="AN80" i="27"/>
  <c r="BD80" i="27"/>
  <c r="BT80" i="27"/>
  <c r="CJ80" i="27"/>
  <c r="CZ80" i="27"/>
  <c r="DP80" i="27"/>
  <c r="H81" i="27"/>
  <c r="X81" i="27"/>
  <c r="AN81" i="27"/>
  <c r="BD81" i="27"/>
  <c r="BT81" i="27"/>
  <c r="CJ81" i="27"/>
  <c r="CZ81" i="27"/>
  <c r="DP81" i="27"/>
  <c r="H82" i="27"/>
  <c r="X82" i="27"/>
  <c r="AN82" i="27"/>
  <c r="BD82" i="27"/>
  <c r="BT82" i="27"/>
  <c r="CJ82" i="27"/>
  <c r="CZ82" i="27"/>
  <c r="DP82" i="27"/>
  <c r="H83" i="27"/>
  <c r="X83" i="27"/>
  <c r="AN83" i="27"/>
  <c r="BD83" i="27"/>
  <c r="BT83" i="27"/>
  <c r="CJ83" i="27"/>
  <c r="CZ83" i="27"/>
  <c r="DP83" i="27"/>
  <c r="H84" i="27"/>
  <c r="X84" i="27"/>
  <c r="AN84" i="27"/>
  <c r="BD84" i="27"/>
  <c r="BT84" i="27"/>
  <c r="CJ84" i="27"/>
  <c r="CZ84" i="27"/>
  <c r="DP84" i="27"/>
  <c r="H85" i="27"/>
  <c r="X85" i="27"/>
  <c r="AN85" i="27"/>
  <c r="BD85" i="27"/>
  <c r="BT85" i="27"/>
  <c r="CJ85" i="27"/>
  <c r="CZ85" i="27"/>
  <c r="DP85" i="27"/>
  <c r="H86" i="27"/>
  <c r="X86" i="27"/>
  <c r="AN86" i="27"/>
  <c r="BD86" i="27"/>
  <c r="BT86" i="27"/>
  <c r="CJ86" i="27"/>
  <c r="CZ86" i="27"/>
  <c r="DP86" i="27"/>
  <c r="H87" i="27"/>
  <c r="X87" i="27"/>
  <c r="AN87" i="27"/>
  <c r="BD87" i="27"/>
  <c r="BT87" i="27"/>
  <c r="CJ87" i="27"/>
  <c r="CZ87" i="27"/>
  <c r="DP87" i="27"/>
  <c r="H88" i="27"/>
  <c r="X88" i="27"/>
  <c r="AN88" i="27"/>
  <c r="BD88" i="27"/>
  <c r="BT88" i="27"/>
  <c r="CJ88" i="27"/>
  <c r="CZ88" i="27"/>
  <c r="DP88" i="27"/>
  <c r="H89" i="27"/>
  <c r="X89" i="27"/>
  <c r="AN89" i="27"/>
  <c r="BD89" i="27"/>
  <c r="BT89" i="27"/>
  <c r="CJ89" i="27"/>
  <c r="CZ89" i="27"/>
  <c r="DP89" i="27"/>
  <c r="H90" i="27"/>
  <c r="X90" i="27"/>
  <c r="AN90" i="27"/>
  <c r="BD90" i="27"/>
  <c r="BT90" i="27"/>
  <c r="CJ90" i="27"/>
  <c r="CZ90" i="27"/>
  <c r="DP90" i="27"/>
  <c r="H91" i="27"/>
  <c r="X91" i="27"/>
  <c r="AN91" i="27"/>
  <c r="BD91" i="27"/>
  <c r="BT91" i="27"/>
  <c r="CJ91" i="27"/>
  <c r="CZ91" i="27"/>
  <c r="DP91" i="27"/>
  <c r="H92" i="27"/>
  <c r="X92" i="27"/>
  <c r="AN92" i="27"/>
  <c r="BD92" i="27"/>
  <c r="BT92" i="27"/>
  <c r="CJ92" i="27"/>
  <c r="CZ92" i="27"/>
  <c r="DP92" i="27"/>
  <c r="H93" i="27"/>
  <c r="X93" i="27"/>
  <c r="AN93" i="27"/>
  <c r="BD93" i="27"/>
  <c r="BT93" i="27"/>
  <c r="CJ93" i="27"/>
  <c r="CZ93" i="27"/>
  <c r="DP93" i="27"/>
  <c r="H94" i="27"/>
  <c r="X94" i="27"/>
  <c r="AN94" i="27"/>
  <c r="BD94" i="27"/>
  <c r="BT94" i="27"/>
  <c r="CJ94" i="27"/>
  <c r="CR94" i="27"/>
  <c r="CZ94" i="27"/>
  <c r="DH94" i="27"/>
  <c r="DP94" i="27"/>
  <c r="DX94" i="27"/>
  <c r="H95" i="27"/>
  <c r="P95" i="27"/>
  <c r="X95" i="27"/>
  <c r="AF95" i="27"/>
  <c r="AN95" i="27"/>
  <c r="AV95" i="27"/>
  <c r="BD95" i="27"/>
  <c r="BL95" i="27"/>
  <c r="BT95" i="27"/>
  <c r="CB95" i="27"/>
  <c r="CJ95" i="27"/>
  <c r="CR95" i="27"/>
  <c r="CZ95" i="27"/>
  <c r="DH95" i="27"/>
  <c r="DP95" i="27"/>
  <c r="DX95" i="27"/>
  <c r="H96" i="27"/>
  <c r="P96" i="27"/>
  <c r="X96" i="27"/>
  <c r="AF96" i="27"/>
  <c r="AN96" i="27"/>
  <c r="AV96" i="27"/>
  <c r="BD96" i="27"/>
  <c r="BL96" i="27"/>
  <c r="BT96" i="27"/>
  <c r="CB96" i="27"/>
  <c r="CJ96" i="27"/>
  <c r="CR96" i="27"/>
  <c r="CZ96" i="27"/>
  <c r="DH96" i="27"/>
  <c r="DP96" i="27"/>
  <c r="DX96" i="27"/>
  <c r="H97" i="27"/>
  <c r="P97" i="27"/>
  <c r="X97" i="27"/>
  <c r="AF97" i="27"/>
  <c r="AN97" i="27"/>
  <c r="AU97" i="27"/>
  <c r="AY97" i="27"/>
  <c r="BC97" i="27"/>
  <c r="BG97" i="27"/>
  <c r="BK97" i="27"/>
  <c r="BO97" i="27"/>
  <c r="BS97" i="27"/>
  <c r="BW97" i="27"/>
  <c r="CA97" i="27"/>
  <c r="CE97" i="27"/>
  <c r="CI97" i="27"/>
  <c r="CM97" i="27"/>
  <c r="CQ97" i="27"/>
  <c r="CU97" i="27"/>
  <c r="CY97" i="27"/>
  <c r="DC97" i="27"/>
  <c r="DG97" i="27"/>
  <c r="DK97" i="27"/>
  <c r="DO97" i="27"/>
  <c r="DS97" i="27"/>
  <c r="DW97" i="27"/>
  <c r="C98" i="27"/>
  <c r="G98" i="27"/>
  <c r="K98" i="27"/>
  <c r="O98" i="27"/>
  <c r="S98" i="27"/>
  <c r="W98" i="27"/>
  <c r="AA98" i="27"/>
  <c r="AE98" i="27"/>
  <c r="AI98" i="27"/>
  <c r="AM98" i="27"/>
  <c r="AQ98" i="27"/>
  <c r="AU98" i="27"/>
  <c r="AY98" i="27"/>
  <c r="BC98" i="27"/>
  <c r="BG98" i="27"/>
  <c r="BK98" i="27"/>
  <c r="BO98" i="27"/>
  <c r="BS98" i="27"/>
  <c r="BW98" i="27"/>
  <c r="CA98" i="27"/>
  <c r="CE98" i="27"/>
  <c r="CI98" i="27"/>
  <c r="CM98" i="27"/>
  <c r="CQ98" i="27"/>
  <c r="CU98" i="27"/>
  <c r="CY98" i="27"/>
  <c r="DC98" i="27"/>
  <c r="DG98" i="27"/>
  <c r="DK98" i="27"/>
  <c r="DO98" i="27"/>
  <c r="DS98" i="27"/>
  <c r="DW98" i="27"/>
  <c r="C99" i="27"/>
  <c r="G99" i="27"/>
  <c r="K99" i="27"/>
  <c r="O99" i="27"/>
  <c r="S99" i="27"/>
  <c r="W99" i="27"/>
  <c r="AA99" i="27"/>
  <c r="AE99" i="27"/>
  <c r="AI99" i="27"/>
  <c r="AM99" i="27"/>
  <c r="AQ99" i="27"/>
  <c r="AU99" i="27"/>
  <c r="AY99" i="27"/>
  <c r="BC99" i="27"/>
  <c r="BG99" i="27"/>
  <c r="BK99" i="27"/>
  <c r="BO99" i="27"/>
  <c r="BS99" i="27"/>
  <c r="BW99" i="27"/>
  <c r="CA99" i="27"/>
  <c r="CE99" i="27"/>
  <c r="CI99" i="27"/>
  <c r="CM99" i="27"/>
  <c r="CQ99" i="27"/>
  <c r="CU99" i="27"/>
  <c r="CY99" i="27"/>
  <c r="DC99" i="27"/>
  <c r="DG99" i="27"/>
  <c r="DK99" i="27"/>
  <c r="DO99" i="27"/>
  <c r="DS99" i="27"/>
  <c r="DW99" i="27"/>
  <c r="C100" i="27"/>
  <c r="G100" i="27"/>
  <c r="K100" i="27"/>
  <c r="O100" i="27"/>
  <c r="S100" i="27"/>
  <c r="W100" i="27"/>
  <c r="AA100" i="27"/>
  <c r="AE100" i="27"/>
  <c r="AI100" i="27"/>
  <c r="AM100" i="27"/>
  <c r="AQ100" i="27"/>
  <c r="AU100" i="27"/>
  <c r="AY100" i="27"/>
  <c r="BC100" i="27"/>
  <c r="BG100" i="27"/>
  <c r="BK100" i="27"/>
  <c r="BO100" i="27"/>
  <c r="BS100" i="27"/>
  <c r="BW100" i="27"/>
  <c r="CA100" i="27"/>
  <c r="CE100" i="27"/>
  <c r="CI100" i="27"/>
  <c r="CM100" i="27"/>
  <c r="CQ100" i="27"/>
  <c r="CU100" i="27"/>
  <c r="CY100" i="27"/>
  <c r="DC100" i="27"/>
  <c r="DG100" i="27"/>
  <c r="DK100" i="27"/>
  <c r="DO100" i="27"/>
  <c r="DS100" i="27"/>
  <c r="DW100" i="27"/>
  <c r="C101" i="27"/>
  <c r="G101" i="27"/>
  <c r="K101" i="27"/>
  <c r="O101" i="27"/>
  <c r="S101" i="27"/>
  <c r="W101" i="27"/>
  <c r="AA101" i="27"/>
  <c r="AE101" i="27"/>
  <c r="AI101" i="27"/>
  <c r="AM101" i="27"/>
  <c r="AQ101" i="27"/>
  <c r="AU101" i="27"/>
  <c r="AY101" i="27"/>
  <c r="BC101" i="27"/>
  <c r="BG101" i="27"/>
  <c r="BK101" i="27"/>
  <c r="BO101" i="27"/>
  <c r="BS101" i="27"/>
  <c r="BW101" i="27"/>
  <c r="CA101" i="27"/>
  <c r="CE101" i="27"/>
  <c r="CI101" i="27"/>
  <c r="CM101" i="27"/>
  <c r="CQ101" i="27"/>
  <c r="CU101" i="27"/>
  <c r="CY101" i="27"/>
  <c r="DC101" i="27"/>
  <c r="DG101" i="27"/>
  <c r="DK101" i="27"/>
  <c r="DO101" i="27"/>
  <c r="DS101" i="27"/>
  <c r="DW101" i="27"/>
  <c r="C102" i="27"/>
  <c r="G102" i="27"/>
  <c r="K102" i="27"/>
  <c r="O102" i="27"/>
  <c r="S102" i="27"/>
  <c r="W102" i="27"/>
  <c r="AA102" i="27"/>
  <c r="AE102" i="27"/>
  <c r="AI102" i="27"/>
  <c r="AM102" i="27"/>
  <c r="AQ102" i="27"/>
  <c r="AU102" i="27"/>
  <c r="AY102" i="27"/>
  <c r="BC102" i="27"/>
  <c r="BG102" i="27"/>
  <c r="BK102" i="27"/>
  <c r="BO102" i="27"/>
  <c r="BS102" i="27"/>
  <c r="BW102" i="27"/>
  <c r="CA102" i="27"/>
  <c r="CE102" i="27"/>
  <c r="CI102" i="27"/>
  <c r="CM102" i="27"/>
  <c r="CQ102" i="27"/>
  <c r="CU102" i="27"/>
  <c r="CY102" i="27"/>
  <c r="DC102" i="27"/>
  <c r="DG102" i="27"/>
  <c r="DK102" i="27"/>
  <c r="DO102" i="27"/>
  <c r="DS102" i="27"/>
  <c r="DW102" i="27"/>
  <c r="C103" i="27"/>
  <c r="G103" i="27"/>
  <c r="K103" i="27"/>
  <c r="O103" i="27"/>
  <c r="S103" i="27"/>
  <c r="W103" i="27"/>
  <c r="AA103" i="27"/>
  <c r="AE103" i="27"/>
  <c r="AI103" i="27"/>
  <c r="AM103" i="27"/>
  <c r="AQ103" i="27"/>
  <c r="AU103" i="27"/>
  <c r="AY103" i="27"/>
  <c r="BC103" i="27"/>
  <c r="BG103" i="27"/>
  <c r="BK103" i="27"/>
  <c r="BO103" i="27"/>
  <c r="BS103" i="27"/>
  <c r="BW103" i="27"/>
  <c r="CA103" i="27"/>
  <c r="CE103" i="27"/>
  <c r="CI103" i="27"/>
  <c r="CM103" i="27"/>
  <c r="CQ103" i="27"/>
  <c r="CU103" i="27"/>
  <c r="CY103" i="27"/>
  <c r="DC103" i="27"/>
  <c r="DG103" i="27"/>
  <c r="DK103" i="27"/>
  <c r="DO103" i="27"/>
  <c r="DS103" i="27"/>
  <c r="DW103" i="27"/>
  <c r="C104" i="27"/>
  <c r="G104" i="27"/>
  <c r="K104" i="27"/>
  <c r="O104" i="27"/>
  <c r="S104" i="27"/>
  <c r="W104" i="27"/>
  <c r="AA104" i="27"/>
  <c r="AE104" i="27"/>
  <c r="AI104" i="27"/>
  <c r="AM104" i="27"/>
  <c r="AQ104" i="27"/>
  <c r="AU104" i="27"/>
  <c r="AY104" i="27"/>
  <c r="BC104" i="27"/>
  <c r="BG104" i="27"/>
  <c r="BK104" i="27"/>
  <c r="BO104" i="27"/>
  <c r="BS104" i="27"/>
  <c r="BW104" i="27"/>
  <c r="CA104" i="27"/>
  <c r="CE104" i="27"/>
  <c r="CI104" i="27"/>
  <c r="CM104" i="27"/>
  <c r="CQ104" i="27"/>
  <c r="CU104" i="27"/>
  <c r="CY104" i="27"/>
  <c r="DC104" i="27"/>
  <c r="DG104" i="27"/>
  <c r="DK104" i="27"/>
  <c r="DO104" i="27"/>
  <c r="DS104" i="27"/>
  <c r="DW104" i="27"/>
  <c r="C105" i="27"/>
  <c r="G105" i="27"/>
  <c r="K105" i="27"/>
  <c r="O105" i="27"/>
  <c r="S105" i="27"/>
  <c r="W105" i="27"/>
  <c r="AA105" i="27"/>
  <c r="AE105" i="27"/>
  <c r="AI105" i="27"/>
  <c r="AM105" i="27"/>
  <c r="AQ105" i="27"/>
  <c r="AU105" i="27"/>
  <c r="AY105" i="27"/>
  <c r="BC105" i="27"/>
  <c r="BG105" i="27"/>
  <c r="BK105" i="27"/>
  <c r="BO105" i="27"/>
  <c r="BS105" i="27"/>
  <c r="BW105" i="27"/>
  <c r="CA105" i="27"/>
  <c r="CE105" i="27"/>
  <c r="CI105" i="27"/>
  <c r="CM105" i="27"/>
  <c r="CQ105" i="27"/>
  <c r="CU105" i="27"/>
  <c r="CY105" i="27"/>
  <c r="DC105" i="27"/>
  <c r="DG105" i="27"/>
  <c r="DK105" i="27"/>
  <c r="DO105" i="27"/>
  <c r="DS105" i="27"/>
  <c r="DW105" i="27"/>
  <c r="C106" i="27"/>
  <c r="G106" i="27"/>
  <c r="K106" i="27"/>
  <c r="O106" i="27"/>
  <c r="S106" i="27"/>
  <c r="W106" i="27"/>
  <c r="AA106" i="27"/>
  <c r="AE106" i="27"/>
  <c r="AI106" i="27"/>
  <c r="AM106" i="27"/>
  <c r="AQ106" i="27"/>
  <c r="AU106" i="27"/>
  <c r="AY106" i="27"/>
  <c r="BC106" i="27"/>
  <c r="BG106" i="27"/>
  <c r="BK106" i="27"/>
  <c r="BO106" i="27"/>
  <c r="BS106" i="27"/>
  <c r="BW106" i="27"/>
  <c r="CA106" i="27"/>
  <c r="CE106" i="27"/>
  <c r="CI106" i="27"/>
  <c r="CM106" i="27"/>
  <c r="CQ106" i="27"/>
  <c r="CU106" i="27"/>
  <c r="CY106" i="27"/>
  <c r="DC106" i="27"/>
  <c r="DG106" i="27"/>
  <c r="DK106" i="27"/>
  <c r="DO106" i="27"/>
  <c r="DS106" i="27"/>
  <c r="DW106" i="27"/>
  <c r="C107" i="27"/>
  <c r="G107" i="27"/>
  <c r="K107" i="27"/>
  <c r="O107" i="27"/>
  <c r="S107" i="27"/>
  <c r="W107" i="27"/>
  <c r="AA107" i="27"/>
  <c r="AE107" i="27"/>
  <c r="AI107" i="27"/>
  <c r="AM107" i="27"/>
  <c r="AQ107" i="27"/>
  <c r="AU107" i="27"/>
  <c r="AY107" i="27"/>
  <c r="BC107" i="27"/>
  <c r="BG107" i="27"/>
  <c r="BK107" i="27"/>
  <c r="BO107" i="27"/>
  <c r="BS107" i="27"/>
  <c r="BW107" i="27"/>
  <c r="CA107" i="27"/>
  <c r="CE107" i="27"/>
  <c r="CI107" i="27"/>
  <c r="CM107" i="27"/>
  <c r="CQ107" i="27"/>
  <c r="CU107" i="27"/>
  <c r="CY107" i="27"/>
  <c r="DC107" i="27"/>
  <c r="DG107" i="27"/>
  <c r="DK107" i="27"/>
  <c r="DO107" i="27"/>
  <c r="DS107" i="27"/>
  <c r="DW107" i="27"/>
  <c r="C108" i="27"/>
  <c r="G108" i="27"/>
  <c r="K108" i="27"/>
  <c r="O108" i="27"/>
  <c r="S108" i="27"/>
  <c r="W108" i="27"/>
  <c r="AA108" i="27"/>
  <c r="AE108" i="27"/>
  <c r="AI108" i="27"/>
  <c r="AM108" i="27"/>
  <c r="AQ108" i="27"/>
  <c r="AU108" i="27"/>
  <c r="AY108" i="27"/>
  <c r="BC108" i="27"/>
  <c r="BG108" i="27"/>
  <c r="BK108" i="27"/>
  <c r="BO108" i="27"/>
  <c r="BS108" i="27"/>
  <c r="BW108" i="27"/>
  <c r="CA108" i="27"/>
  <c r="CE108" i="27"/>
  <c r="CI108" i="27"/>
  <c r="CM108" i="27"/>
  <c r="CQ108" i="27"/>
  <c r="CU108" i="27"/>
  <c r="CY108" i="27"/>
  <c r="DC108" i="27"/>
  <c r="DG108" i="27"/>
  <c r="DK108" i="27"/>
  <c r="DO108" i="27"/>
  <c r="DS108" i="27"/>
  <c r="DW108" i="27"/>
  <c r="C109" i="27"/>
  <c r="G109" i="27"/>
  <c r="K109" i="27"/>
  <c r="O109" i="27"/>
  <c r="S109" i="27"/>
  <c r="W109" i="27"/>
  <c r="AA109" i="27"/>
  <c r="AE109" i="27"/>
  <c r="AI109" i="27"/>
  <c r="AM109" i="27"/>
  <c r="AQ109" i="27"/>
  <c r="AU109" i="27"/>
  <c r="AY109" i="27"/>
  <c r="BC109" i="27"/>
  <c r="BG109" i="27"/>
  <c r="BK109" i="27"/>
  <c r="BO109" i="27"/>
  <c r="BS109" i="27"/>
  <c r="BW109" i="27"/>
  <c r="CA109" i="27"/>
  <c r="CE109" i="27"/>
  <c r="CI109" i="27"/>
  <c r="CM109" i="27"/>
  <c r="CQ109" i="27"/>
  <c r="CU109" i="27"/>
  <c r="CY109" i="27"/>
  <c r="DC109" i="27"/>
  <c r="DG109" i="27"/>
  <c r="DK109" i="27"/>
  <c r="DO109" i="27"/>
  <c r="DS109" i="27"/>
  <c r="DW109" i="27"/>
  <c r="C110" i="27"/>
  <c r="G110" i="27"/>
  <c r="K110" i="27"/>
  <c r="O110" i="27"/>
  <c r="S110" i="27"/>
  <c r="W110" i="27"/>
  <c r="AA110" i="27"/>
  <c r="AE110" i="27"/>
  <c r="AI110" i="27"/>
  <c r="AM110" i="27"/>
  <c r="AQ110" i="27"/>
  <c r="AU110" i="27"/>
  <c r="AY110" i="27"/>
  <c r="BC110" i="27"/>
  <c r="BG110" i="27"/>
  <c r="BK110" i="27"/>
  <c r="BO110" i="27"/>
  <c r="BS110" i="27"/>
  <c r="BW110" i="27"/>
  <c r="CA110" i="27"/>
  <c r="CE110" i="27"/>
  <c r="CI110" i="27"/>
  <c r="CM110" i="27"/>
  <c r="CQ110" i="27"/>
  <c r="CU110" i="27"/>
  <c r="CY110" i="27"/>
  <c r="DC110" i="27"/>
  <c r="DG110" i="27"/>
  <c r="DK110" i="27"/>
  <c r="DO110" i="27"/>
  <c r="DS110" i="27"/>
  <c r="DW110" i="27"/>
  <c r="C111" i="27"/>
  <c r="G111" i="27"/>
  <c r="K111" i="27"/>
  <c r="O111" i="27"/>
  <c r="S111" i="27"/>
  <c r="W111" i="27"/>
  <c r="AA111" i="27"/>
  <c r="AE111" i="27"/>
  <c r="AI111" i="27"/>
  <c r="AM111" i="27"/>
  <c r="AQ111" i="27"/>
  <c r="AU111" i="27"/>
  <c r="AY111" i="27"/>
  <c r="BC111" i="27"/>
  <c r="BG111" i="27"/>
  <c r="BK111" i="27"/>
  <c r="BO111" i="27"/>
  <c r="BS111" i="27"/>
  <c r="BW111" i="27"/>
  <c r="CA111" i="27"/>
  <c r="CE111" i="27"/>
  <c r="CI111" i="27"/>
  <c r="CM111" i="27"/>
  <c r="CQ111" i="27"/>
  <c r="CU111" i="27"/>
  <c r="CY111" i="27"/>
  <c r="DC111" i="27"/>
  <c r="DG111" i="27"/>
  <c r="DK111" i="27"/>
  <c r="DO111" i="27"/>
  <c r="DS111" i="27"/>
  <c r="DW111" i="27"/>
  <c r="C112" i="27"/>
  <c r="G112" i="27"/>
  <c r="K112" i="27"/>
  <c r="O112" i="27"/>
  <c r="S112" i="27"/>
  <c r="W112" i="27"/>
  <c r="AA112" i="27"/>
  <c r="AE112" i="27"/>
  <c r="AI112" i="27"/>
  <c r="AM112" i="27"/>
  <c r="AQ112" i="27"/>
  <c r="AU112" i="27"/>
  <c r="AY112" i="27"/>
  <c r="BC112" i="27"/>
  <c r="BG112" i="27"/>
  <c r="BK112" i="27"/>
  <c r="BO112" i="27"/>
  <c r="BS112" i="27"/>
  <c r="BW112" i="27"/>
  <c r="CA112" i="27"/>
  <c r="CE112" i="27"/>
  <c r="CI112" i="27"/>
  <c r="CM112" i="27"/>
  <c r="CQ112" i="27"/>
  <c r="CU112" i="27"/>
  <c r="CY112" i="27"/>
  <c r="DC112" i="27"/>
  <c r="DG112" i="27"/>
  <c r="DK112" i="27"/>
  <c r="DO112" i="27"/>
  <c r="DS112" i="27"/>
  <c r="DW112" i="27"/>
  <c r="C113" i="27"/>
  <c r="G113" i="27"/>
  <c r="K113" i="27"/>
  <c r="O113" i="27"/>
  <c r="S113" i="27"/>
  <c r="W113" i="27"/>
  <c r="AA113" i="27"/>
  <c r="AE113" i="27"/>
  <c r="AI113" i="27"/>
  <c r="AM113" i="27"/>
  <c r="AQ113" i="27"/>
  <c r="AU113" i="27"/>
  <c r="AY113" i="27"/>
  <c r="BC113" i="27"/>
  <c r="BG113" i="27"/>
  <c r="BK113" i="27"/>
  <c r="BO113" i="27"/>
  <c r="BS113" i="27"/>
  <c r="BW113" i="27"/>
  <c r="CA113" i="27"/>
  <c r="CE113" i="27"/>
  <c r="CI113" i="27"/>
  <c r="CM113" i="27"/>
  <c r="CQ113" i="27"/>
  <c r="CU113" i="27"/>
  <c r="CY113" i="27"/>
  <c r="DC113" i="27"/>
  <c r="DG113" i="27"/>
  <c r="DK113" i="27"/>
  <c r="DO113" i="27"/>
  <c r="DS113" i="27"/>
  <c r="DW113" i="27"/>
  <c r="C114" i="27"/>
  <c r="G114" i="27"/>
  <c r="K114" i="27"/>
  <c r="O114" i="27"/>
  <c r="S114" i="27"/>
  <c r="W114" i="27"/>
  <c r="AA114" i="27"/>
  <c r="AE114" i="27"/>
  <c r="AI114" i="27"/>
  <c r="AM114" i="27"/>
  <c r="AQ114" i="27"/>
  <c r="AU114" i="27"/>
  <c r="AY114" i="27"/>
  <c r="BC114" i="27"/>
  <c r="BG114" i="27"/>
  <c r="BK114" i="27"/>
  <c r="BO114" i="27"/>
  <c r="BS114" i="27"/>
  <c r="BW114" i="27"/>
  <c r="CA114" i="27"/>
  <c r="CE114" i="27"/>
  <c r="CI114" i="27"/>
  <c r="CM114" i="27"/>
  <c r="CQ114" i="27"/>
  <c r="CU114" i="27"/>
  <c r="CY114" i="27"/>
  <c r="DC114" i="27"/>
  <c r="DG114" i="27"/>
  <c r="DK114" i="27"/>
  <c r="DO114" i="27"/>
  <c r="DS114" i="27"/>
  <c r="DW114" i="27"/>
  <c r="C115" i="27"/>
  <c r="G115" i="27"/>
  <c r="K115" i="27"/>
  <c r="O115" i="27"/>
  <c r="S115" i="27"/>
  <c r="W115" i="27"/>
  <c r="AA115" i="27"/>
  <c r="AE115" i="27"/>
  <c r="AI115" i="27"/>
  <c r="AM115" i="27"/>
  <c r="AQ115" i="27"/>
  <c r="AU115" i="27"/>
  <c r="AY115" i="27"/>
  <c r="BC115" i="27"/>
  <c r="BG115" i="27"/>
  <c r="BK115" i="27"/>
  <c r="BO115" i="27"/>
  <c r="BS115" i="27"/>
  <c r="BW115" i="27"/>
  <c r="CA115" i="27"/>
  <c r="CE115" i="27"/>
  <c r="CI115" i="27"/>
  <c r="CM115" i="27"/>
  <c r="CQ115" i="27"/>
  <c r="CU115" i="27"/>
  <c r="CY115" i="27"/>
  <c r="DC115" i="27"/>
  <c r="DG115" i="27"/>
  <c r="DK115" i="27"/>
  <c r="DO115" i="27"/>
  <c r="DS115" i="27"/>
  <c r="DW115" i="27"/>
  <c r="C116" i="27"/>
  <c r="G116" i="27"/>
  <c r="K116" i="27"/>
  <c r="O116" i="27"/>
  <c r="S116" i="27"/>
  <c r="W116" i="27"/>
  <c r="AA116" i="27"/>
  <c r="AE116" i="27"/>
  <c r="AI116" i="27"/>
  <c r="AM116" i="27"/>
  <c r="AQ116" i="27"/>
  <c r="AU116" i="27"/>
  <c r="AY116" i="27"/>
  <c r="BC116" i="27"/>
  <c r="BG116" i="27"/>
  <c r="BK116" i="27"/>
  <c r="BO116" i="27"/>
  <c r="BS116" i="27"/>
  <c r="BW116" i="27"/>
  <c r="CA116" i="27"/>
  <c r="CE116" i="27"/>
  <c r="CI116" i="27"/>
  <c r="CM116" i="27"/>
  <c r="CQ116" i="27"/>
  <c r="CU116" i="27"/>
  <c r="CY116" i="27"/>
  <c r="DC116" i="27"/>
  <c r="DG116" i="27"/>
  <c r="DK116" i="27"/>
  <c r="DO116" i="27"/>
  <c r="DS116" i="27"/>
  <c r="DW116" i="27"/>
  <c r="C117" i="27"/>
  <c r="G117" i="27"/>
  <c r="K117" i="27"/>
  <c r="O117" i="27"/>
  <c r="S117" i="27"/>
  <c r="W117" i="27"/>
  <c r="AA117" i="27"/>
  <c r="AE117" i="27"/>
  <c r="AI117" i="27"/>
  <c r="AM117" i="27"/>
  <c r="AQ117" i="27"/>
  <c r="AU117" i="27"/>
  <c r="AY117" i="27"/>
  <c r="BC117" i="27"/>
  <c r="BG117" i="27"/>
  <c r="BK117" i="27"/>
  <c r="BO117" i="27"/>
  <c r="BS117" i="27"/>
  <c r="BW117" i="27"/>
  <c r="CA117" i="27"/>
  <c r="CE117" i="27"/>
  <c r="CI117" i="27"/>
  <c r="CM117" i="27"/>
  <c r="CQ117" i="27"/>
  <c r="CU117" i="27"/>
  <c r="CY117" i="27"/>
  <c r="DC117" i="27"/>
  <c r="DG117" i="27"/>
  <c r="DK117" i="27"/>
  <c r="DO117" i="27"/>
  <c r="DS117" i="27"/>
  <c r="DW117" i="27"/>
  <c r="C118" i="27"/>
  <c r="G118" i="27"/>
  <c r="K118" i="27"/>
  <c r="O118" i="27"/>
  <c r="S118" i="27"/>
  <c r="W118" i="27"/>
  <c r="AA118" i="27"/>
  <c r="AE118" i="27"/>
  <c r="AI118" i="27"/>
  <c r="AM118" i="27"/>
  <c r="AQ118" i="27"/>
  <c r="AU118" i="27"/>
  <c r="AY118" i="27"/>
  <c r="BC118" i="27"/>
  <c r="BG118" i="27"/>
  <c r="BK118" i="27"/>
  <c r="BO118" i="27"/>
  <c r="BS118" i="27"/>
  <c r="BW118" i="27"/>
  <c r="CA118" i="27"/>
  <c r="CE118" i="27"/>
  <c r="CI118" i="27"/>
  <c r="CM118" i="27"/>
  <c r="CQ118" i="27"/>
  <c r="CU118" i="27"/>
  <c r="CY118" i="27"/>
  <c r="DC118" i="27"/>
  <c r="DG118" i="27"/>
  <c r="DK118" i="27"/>
  <c r="DO118" i="27"/>
  <c r="DS118" i="27"/>
  <c r="DW118" i="27"/>
  <c r="C119" i="27"/>
  <c r="G119" i="27"/>
  <c r="K119" i="27"/>
  <c r="O119" i="27"/>
  <c r="S119" i="27"/>
  <c r="W119" i="27"/>
  <c r="AA119" i="27"/>
  <c r="AE119" i="27"/>
  <c r="AI119" i="27"/>
  <c r="AM119" i="27"/>
  <c r="AQ119" i="27"/>
  <c r="AU119" i="27"/>
  <c r="AY119" i="27"/>
  <c r="BC119" i="27"/>
  <c r="BG119" i="27"/>
  <c r="BK119" i="27"/>
  <c r="BO119" i="27"/>
  <c r="BS119" i="27"/>
  <c r="BW119" i="27"/>
  <c r="CA119" i="27"/>
  <c r="CE119" i="27"/>
  <c r="CI119" i="27"/>
  <c r="CM119" i="27"/>
  <c r="CQ119" i="27"/>
  <c r="CU119" i="27"/>
  <c r="CY119" i="27"/>
  <c r="DC119" i="27"/>
  <c r="DG119" i="27"/>
  <c r="DK119" i="27"/>
  <c r="DO119" i="27"/>
  <c r="DS119" i="27"/>
  <c r="DW119" i="27"/>
  <c r="C120" i="27"/>
  <c r="G120" i="27"/>
  <c r="K120" i="27"/>
  <c r="O120" i="27"/>
  <c r="S120" i="27"/>
  <c r="W120" i="27"/>
  <c r="AA120" i="27"/>
  <c r="AE120" i="27"/>
  <c r="AI120" i="27"/>
  <c r="AM120" i="27"/>
  <c r="AQ120" i="27"/>
  <c r="AU120" i="27"/>
  <c r="AY120" i="27"/>
  <c r="BC120" i="27"/>
  <c r="BG120" i="27"/>
  <c r="BK120" i="27"/>
  <c r="BO120" i="27"/>
  <c r="BS120" i="27"/>
  <c r="BW120" i="27"/>
  <c r="CA120" i="27"/>
  <c r="CE120" i="27"/>
  <c r="CI120" i="27"/>
  <c r="CM120" i="27"/>
  <c r="CQ120" i="27"/>
  <c r="CU120" i="27"/>
  <c r="CY120" i="27"/>
  <c r="DC120" i="27"/>
  <c r="DG120" i="27"/>
  <c r="DK120" i="27"/>
  <c r="DO120" i="27"/>
  <c r="DS120" i="27"/>
  <c r="DW120" i="27"/>
  <c r="C121" i="27"/>
  <c r="G121" i="27"/>
  <c r="K121" i="27"/>
  <c r="O121" i="27"/>
  <c r="S121" i="27"/>
  <c r="W121" i="27"/>
  <c r="AA121" i="27"/>
  <c r="AE121" i="27"/>
  <c r="AI121" i="27"/>
  <c r="AM121" i="27"/>
  <c r="AQ121" i="27"/>
  <c r="AU121" i="27"/>
  <c r="AY121" i="27"/>
  <c r="BC121" i="27"/>
  <c r="BG121" i="27"/>
  <c r="BK121" i="27"/>
  <c r="BO121" i="27"/>
  <c r="BS121" i="27"/>
  <c r="BW121" i="27"/>
  <c r="CA121" i="27"/>
  <c r="CE121" i="27"/>
  <c r="CI121" i="27"/>
  <c r="CM121" i="27"/>
  <c r="CQ121" i="27"/>
  <c r="CU121" i="27"/>
  <c r="CY121" i="27"/>
  <c r="DC121" i="27"/>
  <c r="DG121" i="27"/>
  <c r="DK121" i="27"/>
  <c r="DO121" i="27"/>
  <c r="DS121" i="27"/>
  <c r="DW121" i="27"/>
  <c r="C122" i="27"/>
  <c r="G122" i="27"/>
  <c r="K122" i="27"/>
  <c r="O122" i="27"/>
  <c r="S122" i="27"/>
  <c r="W122" i="27"/>
  <c r="AA122" i="27"/>
  <c r="AE122" i="27"/>
  <c r="AI122" i="27"/>
  <c r="AM122" i="27"/>
  <c r="AQ122" i="27"/>
  <c r="AU122" i="27"/>
  <c r="AY122" i="27"/>
  <c r="BC122" i="27"/>
  <c r="BG122" i="27"/>
  <c r="BK122" i="27"/>
  <c r="BO122" i="27"/>
  <c r="BS122" i="27"/>
  <c r="BW122" i="27"/>
  <c r="CA122" i="27"/>
  <c r="CE122" i="27"/>
  <c r="CI122" i="27"/>
  <c r="CM122" i="27"/>
  <c r="CQ122" i="27"/>
  <c r="CU122" i="27"/>
  <c r="CY122" i="27"/>
  <c r="DC122" i="27"/>
  <c r="DG122" i="27"/>
  <c r="DK122" i="27"/>
  <c r="DO122" i="27"/>
  <c r="DS122" i="27"/>
  <c r="DW122" i="27"/>
  <c r="C123" i="27"/>
  <c r="G123" i="27"/>
  <c r="K123" i="27"/>
  <c r="O123" i="27"/>
  <c r="S123" i="27"/>
  <c r="W123" i="27"/>
  <c r="AA123" i="27"/>
  <c r="AE123" i="27"/>
  <c r="AI123" i="27"/>
  <c r="AM123" i="27"/>
  <c r="AQ123" i="27"/>
  <c r="AU123" i="27"/>
  <c r="AY123" i="27"/>
  <c r="BC123" i="27"/>
  <c r="BG123" i="27"/>
  <c r="BK123" i="27"/>
  <c r="BO123" i="27"/>
  <c r="BS123" i="27"/>
  <c r="BW123" i="27"/>
  <c r="CA123" i="27"/>
  <c r="CE123" i="27"/>
  <c r="CI123" i="27"/>
  <c r="CM123" i="27"/>
  <c r="CQ123" i="27"/>
  <c r="CU123" i="27"/>
  <c r="CY123" i="27"/>
  <c r="DC123" i="27"/>
  <c r="DG123" i="27"/>
  <c r="DK123" i="27"/>
  <c r="DO123" i="27"/>
  <c r="DS123" i="27"/>
  <c r="DW123" i="27"/>
  <c r="C124" i="27"/>
  <c r="G124" i="27"/>
  <c r="K124" i="27"/>
  <c r="O124" i="27"/>
  <c r="S124" i="27"/>
  <c r="W124" i="27"/>
  <c r="AA124" i="27"/>
  <c r="AE124" i="27"/>
  <c r="AI124" i="27"/>
  <c r="AM124" i="27"/>
  <c r="AQ124" i="27"/>
  <c r="AU124" i="27"/>
  <c r="AY124" i="27"/>
  <c r="BC124" i="27"/>
  <c r="BG124" i="27"/>
  <c r="BK124" i="27"/>
  <c r="BO124" i="27"/>
  <c r="BS124" i="27"/>
  <c r="BW124" i="27"/>
  <c r="CA124" i="27"/>
  <c r="CE124" i="27"/>
  <c r="CI124" i="27"/>
  <c r="CM124" i="27"/>
  <c r="CQ124" i="27"/>
  <c r="CU124" i="27"/>
  <c r="CY124" i="27"/>
  <c r="DC124" i="27"/>
  <c r="DG124" i="27"/>
  <c r="DK124" i="27"/>
  <c r="DO124" i="27"/>
  <c r="DS124" i="27"/>
  <c r="DW124" i="27"/>
  <c r="C125" i="27"/>
  <c r="G125" i="27"/>
  <c r="K125" i="27"/>
  <c r="O125" i="27"/>
  <c r="S125" i="27"/>
  <c r="W125" i="27"/>
  <c r="AA125" i="27"/>
  <c r="AE125" i="27"/>
  <c r="AI125" i="27"/>
  <c r="AM125" i="27"/>
  <c r="AQ125" i="27"/>
  <c r="AU125" i="27"/>
  <c r="AY125" i="27"/>
  <c r="BC125" i="27"/>
  <c r="BG125" i="27"/>
  <c r="BK125" i="27"/>
  <c r="BO125" i="27"/>
  <c r="BS125" i="27"/>
  <c r="BW125" i="27"/>
  <c r="CA125" i="27"/>
  <c r="CE125" i="27"/>
  <c r="CI125" i="27"/>
  <c r="CM125" i="27"/>
  <c r="CQ125" i="27"/>
  <c r="CU125" i="27"/>
  <c r="CY125" i="27"/>
  <c r="DC125" i="27"/>
  <c r="DG125" i="27"/>
  <c r="DK125" i="27"/>
  <c r="DO125" i="27"/>
  <c r="DS125" i="27"/>
  <c r="DW125" i="27"/>
  <c r="C126" i="27"/>
  <c r="G126" i="27"/>
  <c r="K126" i="27"/>
  <c r="O126" i="27"/>
  <c r="S126" i="27"/>
  <c r="W126" i="27"/>
  <c r="AA126" i="27"/>
  <c r="AE126" i="27"/>
  <c r="AI126" i="27"/>
  <c r="AM126" i="27"/>
  <c r="AQ126" i="27"/>
  <c r="AU126" i="27"/>
  <c r="AY126" i="27"/>
  <c r="BC126" i="27"/>
  <c r="BG126" i="27"/>
  <c r="BK126" i="27"/>
  <c r="BO126" i="27"/>
  <c r="BS126" i="27"/>
  <c r="BW126" i="27"/>
  <c r="CA126" i="27"/>
  <c r="CE126" i="27"/>
  <c r="CI126" i="27"/>
  <c r="CM126" i="27"/>
  <c r="CQ126" i="27"/>
  <c r="CU126" i="27"/>
  <c r="CY126" i="27"/>
  <c r="DC126" i="27"/>
  <c r="DG126" i="27"/>
  <c r="DK126" i="27"/>
  <c r="DO126" i="27"/>
  <c r="DS126" i="27"/>
  <c r="DW126" i="27"/>
  <c r="C127" i="27"/>
  <c r="G127" i="27"/>
  <c r="K127" i="27"/>
  <c r="O127" i="27"/>
  <c r="S127" i="27"/>
  <c r="W127" i="27"/>
  <c r="AA127" i="27"/>
  <c r="AE127" i="27"/>
  <c r="AI127" i="27"/>
  <c r="AM127" i="27"/>
  <c r="AQ127" i="27"/>
  <c r="AU127" i="27"/>
  <c r="AY127" i="27"/>
  <c r="BC127" i="27"/>
  <c r="BG127" i="27"/>
  <c r="BK127" i="27"/>
  <c r="BO127" i="27"/>
  <c r="BS127" i="27"/>
  <c r="BW127" i="27"/>
  <c r="CA127" i="27"/>
  <c r="CE127" i="27"/>
  <c r="CI127" i="27"/>
  <c r="CM127" i="27"/>
  <c r="CQ127" i="27"/>
  <c r="CU127" i="27"/>
  <c r="CY127" i="27"/>
  <c r="DC127" i="27"/>
  <c r="DG127" i="27"/>
  <c r="DK127" i="27"/>
  <c r="DO127" i="27"/>
  <c r="DS127" i="27"/>
  <c r="DW127" i="27"/>
  <c r="C128" i="27"/>
  <c r="G128" i="27"/>
  <c r="K128" i="27"/>
  <c r="O128" i="27"/>
  <c r="S128" i="27"/>
  <c r="W128" i="27"/>
  <c r="AA128" i="27"/>
  <c r="AE128" i="27"/>
  <c r="AI128" i="27"/>
  <c r="AM128" i="27"/>
  <c r="AQ128" i="27"/>
  <c r="AU128" i="27"/>
  <c r="AY128" i="27"/>
  <c r="BC128" i="27"/>
  <c r="BG128" i="27"/>
  <c r="BK128" i="27"/>
  <c r="BO128" i="27"/>
  <c r="BS128" i="27"/>
  <c r="BW128" i="27"/>
  <c r="CA128" i="27"/>
  <c r="CE128" i="27"/>
  <c r="CI128" i="27"/>
  <c r="CM128" i="27"/>
  <c r="CQ128" i="27"/>
  <c r="CU128" i="27"/>
  <c r="CY128" i="27"/>
  <c r="DC128" i="27"/>
  <c r="DG128" i="27"/>
  <c r="DK128" i="27"/>
  <c r="DO128" i="27"/>
  <c r="DS128" i="27"/>
  <c r="DW128" i="27"/>
  <c r="C129" i="27"/>
  <c r="G129" i="27"/>
  <c r="K129" i="27"/>
  <c r="O129" i="27"/>
  <c r="S129" i="27"/>
  <c r="W129" i="27"/>
  <c r="AA129" i="27"/>
  <c r="AE129" i="27"/>
  <c r="AI129" i="27"/>
  <c r="AM129" i="27"/>
  <c r="AQ129" i="27"/>
  <c r="AU129" i="27"/>
  <c r="AY129" i="27"/>
  <c r="BC129" i="27"/>
  <c r="BG129" i="27"/>
  <c r="BK129" i="27"/>
  <c r="BO129" i="27"/>
  <c r="BS129" i="27"/>
  <c r="BW129" i="27"/>
  <c r="CA129" i="27"/>
  <c r="CE129" i="27"/>
  <c r="CI129" i="27"/>
  <c r="CM129" i="27"/>
  <c r="CQ129" i="27"/>
  <c r="CU129" i="27"/>
  <c r="CY129" i="27"/>
  <c r="DC129" i="27"/>
  <c r="DG129" i="27"/>
  <c r="DK129" i="27"/>
  <c r="DO129" i="27"/>
  <c r="DS129" i="27"/>
  <c r="DW129" i="27"/>
  <c r="C130" i="27"/>
  <c r="G130" i="27"/>
  <c r="K130" i="27"/>
  <c r="O130" i="27"/>
  <c r="S130" i="27"/>
  <c r="W130" i="27"/>
  <c r="AA130" i="27"/>
  <c r="AE130" i="27"/>
  <c r="AI130" i="27"/>
  <c r="AM130" i="27"/>
  <c r="AQ130" i="27"/>
  <c r="AU130" i="27"/>
  <c r="AY130" i="27"/>
  <c r="BC130" i="27"/>
  <c r="BG130" i="27"/>
  <c r="BK130" i="27"/>
  <c r="BO130" i="27"/>
  <c r="BS130" i="27"/>
  <c r="BW130" i="27"/>
  <c r="CA130" i="27"/>
  <c r="CE130" i="27"/>
  <c r="CI130" i="27"/>
  <c r="CM130" i="27"/>
  <c r="CQ130" i="27"/>
  <c r="CU130" i="27"/>
  <c r="CY130" i="27"/>
  <c r="DC130" i="27"/>
  <c r="DG130" i="27"/>
  <c r="DK130" i="27"/>
  <c r="DO130" i="27"/>
  <c r="DS130" i="27"/>
  <c r="DW130" i="27"/>
  <c r="C131" i="27"/>
  <c r="G131" i="27"/>
  <c r="K131" i="27"/>
  <c r="O131" i="27"/>
  <c r="S131" i="27"/>
  <c r="W131" i="27"/>
  <c r="AA131" i="27"/>
  <c r="AE131" i="27"/>
  <c r="AI131" i="27"/>
  <c r="AM131" i="27"/>
  <c r="AQ131" i="27"/>
  <c r="AU131" i="27"/>
  <c r="AY131" i="27"/>
  <c r="BC131" i="27"/>
  <c r="BG131" i="27"/>
  <c r="BK131" i="27"/>
  <c r="BO131" i="27"/>
  <c r="BS131" i="27"/>
  <c r="BW131" i="27"/>
  <c r="CA131" i="27"/>
  <c r="CE131" i="27"/>
  <c r="CI131" i="27"/>
  <c r="CM131" i="27"/>
  <c r="CQ131" i="27"/>
  <c r="CU131" i="27"/>
  <c r="CY131" i="27"/>
  <c r="DC131" i="27"/>
  <c r="DG131" i="27"/>
  <c r="DK131" i="27"/>
  <c r="DO131" i="27"/>
  <c r="DS131" i="27"/>
  <c r="DW131" i="27"/>
  <c r="I47" i="27"/>
  <c r="I53" i="27"/>
  <c r="I57" i="27"/>
  <c r="I61" i="27"/>
  <c r="BU63" i="27"/>
  <c r="CU64" i="27"/>
  <c r="CU65" i="27"/>
  <c r="CU66" i="27"/>
  <c r="CU67" i="27"/>
  <c r="CU68" i="27"/>
  <c r="CU69" i="27"/>
  <c r="CU70" i="27"/>
  <c r="CU71" i="27"/>
  <c r="CU72" i="27"/>
  <c r="CU73" i="27"/>
  <c r="CU74" i="27"/>
  <c r="CU75" i="27"/>
  <c r="CH76" i="27"/>
  <c r="V77" i="27"/>
  <c r="DN77" i="27"/>
  <c r="CH78" i="27"/>
  <c r="BB79" i="27"/>
  <c r="DX79" i="27"/>
  <c r="CB80" i="27"/>
  <c r="P81" i="27"/>
  <c r="BL81" i="27"/>
  <c r="CR81" i="27"/>
  <c r="AF82" i="27"/>
  <c r="CB82" i="27"/>
  <c r="AF83" i="27"/>
  <c r="CB83" i="27"/>
  <c r="DH83" i="27"/>
  <c r="BL84" i="27"/>
  <c r="CR84" i="27"/>
  <c r="AF85" i="27"/>
  <c r="DH85" i="27"/>
  <c r="AF86" i="27"/>
  <c r="CR86" i="27"/>
  <c r="AV87" i="27"/>
  <c r="CR87" i="27"/>
  <c r="P88" i="27"/>
  <c r="AS41" i="27"/>
  <c r="BH46" i="27"/>
  <c r="BU48" i="27"/>
  <c r="BU50" i="27"/>
  <c r="BU52" i="27"/>
  <c r="BU54" i="27"/>
  <c r="BU56" i="27"/>
  <c r="BU58" i="27"/>
  <c r="BU60" i="27"/>
  <c r="BJ62" i="27"/>
  <c r="AZ63" i="27"/>
  <c r="I64" i="27"/>
  <c r="CE64" i="27"/>
  <c r="S65" i="27"/>
  <c r="CE65" i="27"/>
  <c r="S66" i="27"/>
  <c r="CE66" i="27"/>
  <c r="S67" i="27"/>
  <c r="CE67" i="27"/>
  <c r="S68" i="27"/>
  <c r="CE68" i="27"/>
  <c r="S69" i="27"/>
  <c r="CE69" i="27"/>
  <c r="S70" i="27"/>
  <c r="CE70" i="27"/>
  <c r="S71" i="27"/>
  <c r="CE71" i="27"/>
  <c r="S72" i="27"/>
  <c r="CE72" i="27"/>
  <c r="S73" i="27"/>
  <c r="CE73" i="27"/>
  <c r="S74" i="27"/>
  <c r="CE74" i="27"/>
  <c r="S75" i="27"/>
  <c r="CE75" i="27"/>
  <c r="N76" i="27"/>
  <c r="AT76" i="27"/>
  <c r="BZ76" i="27"/>
  <c r="DF76" i="27"/>
  <c r="N77" i="27"/>
  <c r="AT77" i="27"/>
  <c r="BZ77" i="27"/>
  <c r="DF77" i="27"/>
  <c r="N78" i="27"/>
  <c r="AT78" i="27"/>
  <c r="BZ78" i="27"/>
  <c r="DF78" i="27"/>
  <c r="N79" i="27"/>
  <c r="AT79" i="27"/>
  <c r="BX79" i="27"/>
  <c r="CN79" i="27"/>
  <c r="DD79" i="27"/>
  <c r="DT79" i="27"/>
  <c r="L80" i="27"/>
  <c r="AB80" i="27"/>
  <c r="AR80" i="27"/>
  <c r="BH80" i="27"/>
  <c r="BX80" i="27"/>
  <c r="CN80" i="27"/>
  <c r="DD80" i="27"/>
  <c r="DT80" i="27"/>
  <c r="L81" i="27"/>
  <c r="AB81" i="27"/>
  <c r="AR81" i="27"/>
  <c r="BH81" i="27"/>
  <c r="BX81" i="27"/>
  <c r="CN81" i="27"/>
  <c r="DD81" i="27"/>
  <c r="DT81" i="27"/>
  <c r="L82" i="27"/>
  <c r="AB82" i="27"/>
  <c r="AR82" i="27"/>
  <c r="BH82" i="27"/>
  <c r="BX82" i="27"/>
  <c r="CN82" i="27"/>
  <c r="DD82" i="27"/>
  <c r="DT82" i="27"/>
  <c r="L83" i="27"/>
  <c r="AB83" i="27"/>
  <c r="AR83" i="27"/>
  <c r="BH83" i="27"/>
  <c r="BX83" i="27"/>
  <c r="CN83" i="27"/>
  <c r="DD83" i="27"/>
  <c r="DT83" i="27"/>
  <c r="L84" i="27"/>
  <c r="AB84" i="27"/>
  <c r="AR84" i="27"/>
  <c r="BH84" i="27"/>
  <c r="BX84" i="27"/>
  <c r="CN84" i="27"/>
  <c r="DD84" i="27"/>
  <c r="DT84" i="27"/>
  <c r="L85" i="27"/>
  <c r="AB85" i="27"/>
  <c r="AR85" i="27"/>
  <c r="BH85" i="27"/>
  <c r="BX85" i="27"/>
  <c r="CN85" i="27"/>
  <c r="DD85" i="27"/>
  <c r="DT85" i="27"/>
  <c r="L86" i="27"/>
  <c r="AB86" i="27"/>
  <c r="AR86" i="27"/>
  <c r="BH86" i="27"/>
  <c r="BX86" i="27"/>
  <c r="CN86" i="27"/>
  <c r="DD86" i="27"/>
  <c r="DT86" i="27"/>
  <c r="L87" i="27"/>
  <c r="AB87" i="27"/>
  <c r="AR87" i="27"/>
  <c r="BH87" i="27"/>
  <c r="BX87" i="27"/>
  <c r="CN87" i="27"/>
  <c r="DD87" i="27"/>
  <c r="DT87" i="27"/>
  <c r="L88" i="27"/>
  <c r="AB88" i="27"/>
  <c r="AR88" i="27"/>
  <c r="BH88" i="27"/>
  <c r="BX88" i="27"/>
  <c r="CN88" i="27"/>
  <c r="DD88" i="27"/>
  <c r="DT88" i="27"/>
  <c r="L89" i="27"/>
  <c r="AB89" i="27"/>
  <c r="AR89" i="27"/>
  <c r="BH89" i="27"/>
  <c r="BX89" i="27"/>
  <c r="CN89" i="27"/>
  <c r="DD89" i="27"/>
  <c r="DT89" i="27"/>
  <c r="L90" i="27"/>
  <c r="AB90" i="27"/>
  <c r="AR90" i="27"/>
  <c r="BH90" i="27"/>
  <c r="BX90" i="27"/>
  <c r="CN90" i="27"/>
  <c r="DD90" i="27"/>
  <c r="DT90" i="27"/>
  <c r="L91" i="27"/>
  <c r="AB91" i="27"/>
  <c r="AR91" i="27"/>
  <c r="BH91" i="27"/>
  <c r="BX91" i="27"/>
  <c r="CN91" i="27"/>
  <c r="DD91" i="27"/>
  <c r="DT91" i="27"/>
  <c r="L92" i="27"/>
  <c r="AB92" i="27"/>
  <c r="AR92" i="27"/>
  <c r="BH92" i="27"/>
  <c r="BX92" i="27"/>
  <c r="CN92" i="27"/>
  <c r="DD92" i="27"/>
  <c r="DT92" i="27"/>
  <c r="L93" i="27"/>
  <c r="AB93" i="27"/>
  <c r="AR93" i="27"/>
  <c r="BH93" i="27"/>
  <c r="BX93" i="27"/>
  <c r="CN93" i="27"/>
  <c r="DD93" i="27"/>
  <c r="DT93" i="27"/>
  <c r="L94" i="27"/>
  <c r="AB94" i="27"/>
  <c r="AR94" i="27"/>
  <c r="BH94" i="27"/>
  <c r="BX94" i="27"/>
  <c r="CM94" i="27"/>
  <c r="CU94" i="27"/>
  <c r="DC94" i="27"/>
  <c r="DK94" i="27"/>
  <c r="DS94" i="27"/>
  <c r="C95" i="27"/>
  <c r="K95" i="27"/>
  <c r="S95" i="27"/>
  <c r="AA95" i="27"/>
  <c r="AI95" i="27"/>
  <c r="AQ95" i="27"/>
  <c r="AY95" i="27"/>
  <c r="BG95" i="27"/>
  <c r="BO95" i="27"/>
  <c r="BW95" i="27"/>
  <c r="CE95" i="27"/>
  <c r="CM95" i="27"/>
  <c r="CU95" i="27"/>
  <c r="DC95" i="27"/>
  <c r="DK95" i="27"/>
  <c r="DS95" i="27"/>
  <c r="C96" i="27"/>
  <c r="K96" i="27"/>
  <c r="S96" i="27"/>
  <c r="AA96" i="27"/>
  <c r="AI96" i="27"/>
  <c r="AQ96" i="27"/>
  <c r="AY96" i="27"/>
  <c r="BG96" i="27"/>
  <c r="BO96" i="27"/>
  <c r="BW96" i="27"/>
  <c r="CE96" i="27"/>
  <c r="CM96" i="27"/>
  <c r="CU96" i="27"/>
  <c r="DC96" i="27"/>
  <c r="DK96" i="27"/>
  <c r="DS96" i="27"/>
  <c r="C97" i="27"/>
  <c r="K97" i="27"/>
  <c r="S97" i="27"/>
  <c r="AA97" i="27"/>
  <c r="AI97" i="27"/>
  <c r="AQ97" i="27"/>
  <c r="AV97" i="27"/>
  <c r="AZ97" i="27"/>
  <c r="BD97" i="27"/>
  <c r="BH97" i="27"/>
  <c r="BL97" i="27"/>
  <c r="BP97" i="27"/>
  <c r="BT97" i="27"/>
  <c r="BX97" i="27"/>
  <c r="CB97" i="27"/>
  <c r="CF97" i="27"/>
  <c r="CJ97" i="27"/>
  <c r="CN97" i="27"/>
  <c r="CR97" i="27"/>
  <c r="CV97" i="27"/>
  <c r="CZ97" i="27"/>
  <c r="DD97" i="27"/>
  <c r="DH97" i="27"/>
  <c r="DL97" i="27"/>
  <c r="DP97" i="27"/>
  <c r="DT97" i="27"/>
  <c r="DX97" i="27"/>
  <c r="D98" i="27"/>
  <c r="H98" i="27"/>
  <c r="L98" i="27"/>
  <c r="P98" i="27"/>
  <c r="T98" i="27"/>
  <c r="X98" i="27"/>
  <c r="AB98" i="27"/>
  <c r="AF98" i="27"/>
  <c r="AJ98" i="27"/>
  <c r="AN98" i="27"/>
  <c r="AR98" i="27"/>
  <c r="AV98" i="27"/>
  <c r="AZ98" i="27"/>
  <c r="BD98" i="27"/>
  <c r="BH98" i="27"/>
  <c r="BL98" i="27"/>
  <c r="BP98" i="27"/>
  <c r="BT98" i="27"/>
  <c r="BX98" i="27"/>
  <c r="CB98" i="27"/>
  <c r="CF98" i="27"/>
  <c r="CJ98" i="27"/>
  <c r="CN98" i="27"/>
  <c r="CR98" i="27"/>
  <c r="CV98" i="27"/>
  <c r="CZ98" i="27"/>
  <c r="DD98" i="27"/>
  <c r="DH98" i="27"/>
  <c r="DL98" i="27"/>
  <c r="DP98" i="27"/>
  <c r="DT98" i="27"/>
  <c r="DX98" i="27"/>
  <c r="D99" i="27"/>
  <c r="H99" i="27"/>
  <c r="L99" i="27"/>
  <c r="P99" i="27"/>
  <c r="T99" i="27"/>
  <c r="X99" i="27"/>
  <c r="AB99" i="27"/>
  <c r="AF99" i="27"/>
  <c r="AJ99" i="27"/>
  <c r="AN99" i="27"/>
  <c r="AR99" i="27"/>
  <c r="AV99" i="27"/>
  <c r="AZ99" i="27"/>
  <c r="BD99" i="27"/>
  <c r="BH99" i="27"/>
  <c r="BL99" i="27"/>
  <c r="BP99" i="27"/>
  <c r="BT99" i="27"/>
  <c r="BX99" i="27"/>
  <c r="CB99" i="27"/>
  <c r="CF99" i="27"/>
  <c r="CJ99" i="27"/>
  <c r="CN99" i="27"/>
  <c r="CR99" i="27"/>
  <c r="CV99" i="27"/>
  <c r="CZ99" i="27"/>
  <c r="DD99" i="27"/>
  <c r="DH99" i="27"/>
  <c r="DL99" i="27"/>
  <c r="DP99" i="27"/>
  <c r="DT99" i="27"/>
  <c r="DX99" i="27"/>
  <c r="D100" i="27"/>
  <c r="H100" i="27"/>
  <c r="L100" i="27"/>
  <c r="P100" i="27"/>
  <c r="T100" i="27"/>
  <c r="X100" i="27"/>
  <c r="AB100" i="27"/>
  <c r="AF100" i="27"/>
  <c r="AJ100" i="27"/>
  <c r="AN100" i="27"/>
  <c r="AR100" i="27"/>
  <c r="AV100" i="27"/>
  <c r="AZ100" i="27"/>
  <c r="BD100" i="27"/>
  <c r="BH100" i="27"/>
  <c r="BL100" i="27"/>
  <c r="BP100" i="27"/>
  <c r="BT100" i="27"/>
  <c r="BX100" i="27"/>
  <c r="CB100" i="27"/>
  <c r="CF100" i="27"/>
  <c r="CJ100" i="27"/>
  <c r="CN100" i="27"/>
  <c r="CR100" i="27"/>
  <c r="CV100" i="27"/>
  <c r="CZ100" i="27"/>
  <c r="DD100" i="27"/>
  <c r="DH100" i="27"/>
  <c r="DL100" i="27"/>
  <c r="DP100" i="27"/>
  <c r="DT100" i="27"/>
  <c r="DX100" i="27"/>
  <c r="D101" i="27"/>
  <c r="H101" i="27"/>
  <c r="L101" i="27"/>
  <c r="P101" i="27"/>
  <c r="T101" i="27"/>
  <c r="X101" i="27"/>
  <c r="AB101" i="27"/>
  <c r="AF101" i="27"/>
  <c r="AJ101" i="27"/>
  <c r="AN101" i="27"/>
  <c r="AR101" i="27"/>
  <c r="AV101" i="27"/>
  <c r="AZ101" i="27"/>
  <c r="BD101" i="27"/>
  <c r="BH101" i="27"/>
  <c r="BL101" i="27"/>
  <c r="BP101" i="27"/>
  <c r="BT101" i="27"/>
  <c r="BX101" i="27"/>
  <c r="CB101" i="27"/>
  <c r="CF101" i="27"/>
  <c r="CJ101" i="27"/>
  <c r="CN101" i="27"/>
  <c r="CR101" i="27"/>
  <c r="CV101" i="27"/>
  <c r="CZ101" i="27"/>
  <c r="DD101" i="27"/>
  <c r="DH101" i="27"/>
  <c r="DL101" i="27"/>
  <c r="DP101" i="27"/>
  <c r="DT101" i="27"/>
  <c r="DX101" i="27"/>
  <c r="D102" i="27"/>
  <c r="H102" i="27"/>
  <c r="L102" i="27"/>
  <c r="P102" i="27"/>
  <c r="T102" i="27"/>
  <c r="X102" i="27"/>
  <c r="AB102" i="27"/>
  <c r="AF102" i="27"/>
  <c r="AJ102" i="27"/>
  <c r="AN102" i="27"/>
  <c r="AR102" i="27"/>
  <c r="AV102" i="27"/>
  <c r="AZ102" i="27"/>
  <c r="BD102" i="27"/>
  <c r="BH102" i="27"/>
  <c r="BL102" i="27"/>
  <c r="BP102" i="27"/>
  <c r="BT102" i="27"/>
  <c r="BX102" i="27"/>
  <c r="CB102" i="27"/>
  <c r="CF102" i="27"/>
  <c r="CJ102" i="27"/>
  <c r="CN102" i="27"/>
  <c r="CR102" i="27"/>
  <c r="CV102" i="27"/>
  <c r="CZ102" i="27"/>
  <c r="DD102" i="27"/>
  <c r="DH102" i="27"/>
  <c r="DL102" i="27"/>
  <c r="DP102" i="27"/>
  <c r="DT102" i="27"/>
  <c r="DX102" i="27"/>
  <c r="D103" i="27"/>
  <c r="H103" i="27"/>
  <c r="L103" i="27"/>
  <c r="P103" i="27"/>
  <c r="T103" i="27"/>
  <c r="X103" i="27"/>
  <c r="AB103" i="27"/>
  <c r="AF103" i="27"/>
  <c r="AJ103" i="27"/>
  <c r="AN103" i="27"/>
  <c r="AR103" i="27"/>
  <c r="AV103" i="27"/>
  <c r="AZ103" i="27"/>
  <c r="BD103" i="27"/>
  <c r="BH103" i="27"/>
  <c r="BL103" i="27"/>
  <c r="BP103" i="27"/>
  <c r="BT103" i="27"/>
  <c r="BX103" i="27"/>
  <c r="CB103" i="27"/>
  <c r="CF103" i="27"/>
  <c r="CJ103" i="27"/>
  <c r="CN103" i="27"/>
  <c r="CR103" i="27"/>
  <c r="CV103" i="27"/>
  <c r="CZ103" i="27"/>
  <c r="DD103" i="27"/>
  <c r="DH103" i="27"/>
  <c r="DL103" i="27"/>
  <c r="DP103" i="27"/>
  <c r="DT103" i="27"/>
  <c r="DX103" i="27"/>
  <c r="D104" i="27"/>
  <c r="H104" i="27"/>
  <c r="L104" i="27"/>
  <c r="P104" i="27"/>
  <c r="T104" i="27"/>
  <c r="X104" i="27"/>
  <c r="AB104" i="27"/>
  <c r="AF104" i="27"/>
  <c r="AJ104" i="27"/>
  <c r="AN104" i="27"/>
  <c r="AR104" i="27"/>
  <c r="AV104" i="27"/>
  <c r="AZ104" i="27"/>
  <c r="BD104" i="27"/>
  <c r="BH104" i="27"/>
  <c r="BL104" i="27"/>
  <c r="BP104" i="27"/>
  <c r="BT104" i="27"/>
  <c r="BX104" i="27"/>
  <c r="CB104" i="27"/>
  <c r="CF104" i="27"/>
  <c r="CJ104" i="27"/>
  <c r="CN104" i="27"/>
  <c r="CR104" i="27"/>
  <c r="CV104" i="27"/>
  <c r="CZ104" i="27"/>
  <c r="DD104" i="27"/>
  <c r="DH104" i="27"/>
  <c r="DL104" i="27"/>
  <c r="DP104" i="27"/>
  <c r="DT104" i="27"/>
  <c r="DX104" i="27"/>
  <c r="D105" i="27"/>
  <c r="H105" i="27"/>
  <c r="L105" i="27"/>
  <c r="P105" i="27"/>
  <c r="T105" i="27"/>
  <c r="X105" i="27"/>
  <c r="AB105" i="27"/>
  <c r="AF105" i="27"/>
  <c r="AJ105" i="27"/>
  <c r="AN105" i="27"/>
  <c r="AR105" i="27"/>
  <c r="AV105" i="27"/>
  <c r="AZ105" i="27"/>
  <c r="BD105" i="27"/>
  <c r="BH105" i="27"/>
  <c r="BL105" i="27"/>
  <c r="BP105" i="27"/>
  <c r="BT105" i="27"/>
  <c r="BX105" i="27"/>
  <c r="CB105" i="27"/>
  <c r="CF105" i="27"/>
  <c r="CJ105" i="27"/>
  <c r="CN105" i="27"/>
  <c r="CR105" i="27"/>
  <c r="CV105" i="27"/>
  <c r="CZ105" i="27"/>
  <c r="DD105" i="27"/>
  <c r="DH105" i="27"/>
  <c r="DL105" i="27"/>
  <c r="DP105" i="27"/>
  <c r="DT105" i="27"/>
  <c r="DX105" i="27"/>
  <c r="D106" i="27"/>
  <c r="H106" i="27"/>
  <c r="L106" i="27"/>
  <c r="P106" i="27"/>
  <c r="T106" i="27"/>
  <c r="X106" i="27"/>
  <c r="AB106" i="27"/>
  <c r="AF106" i="27"/>
  <c r="AJ106" i="27"/>
  <c r="AN106" i="27"/>
  <c r="AR106" i="27"/>
  <c r="AV106" i="27"/>
  <c r="AZ106" i="27"/>
  <c r="BD106" i="27"/>
  <c r="BH106" i="27"/>
  <c r="BL106" i="27"/>
  <c r="BP106" i="27"/>
  <c r="BT106" i="27"/>
  <c r="BX106" i="27"/>
  <c r="CB106" i="27"/>
  <c r="CF106" i="27"/>
  <c r="CJ106" i="27"/>
  <c r="CN106" i="27"/>
  <c r="CR106" i="27"/>
  <c r="CV106" i="27"/>
  <c r="CZ106" i="27"/>
  <c r="DD106" i="27"/>
  <c r="DH106" i="27"/>
  <c r="DL106" i="27"/>
  <c r="DP106" i="27"/>
  <c r="DT106" i="27"/>
  <c r="DX106" i="27"/>
  <c r="D107" i="27"/>
  <c r="H107" i="27"/>
  <c r="L107" i="27"/>
  <c r="P107" i="27"/>
  <c r="T107" i="27"/>
  <c r="X107" i="27"/>
  <c r="AB107" i="27"/>
  <c r="AF107" i="27"/>
  <c r="AJ107" i="27"/>
  <c r="AN107" i="27"/>
  <c r="AR107" i="27"/>
  <c r="AV107" i="27"/>
  <c r="AZ107" i="27"/>
  <c r="BD107" i="27"/>
  <c r="BH107" i="27"/>
  <c r="BL107" i="27"/>
  <c r="BP107" i="27"/>
  <c r="BT107" i="27"/>
  <c r="BX107" i="27"/>
  <c r="CB107" i="27"/>
  <c r="CF107" i="27"/>
  <c r="CJ107" i="27"/>
  <c r="CN107" i="27"/>
  <c r="CR107" i="27"/>
  <c r="CV107" i="27"/>
  <c r="CZ107" i="27"/>
  <c r="DD107" i="27"/>
  <c r="DH107" i="27"/>
  <c r="DL107" i="27"/>
  <c r="DP107" i="27"/>
  <c r="DT107" i="27"/>
  <c r="DX107" i="27"/>
  <c r="D108" i="27"/>
  <c r="H108" i="27"/>
  <c r="L108" i="27"/>
  <c r="P108" i="27"/>
  <c r="T108" i="27"/>
  <c r="X108" i="27"/>
  <c r="AB108" i="27"/>
  <c r="AF108" i="27"/>
  <c r="AJ108" i="27"/>
  <c r="AN108" i="27"/>
  <c r="AR108" i="27"/>
  <c r="AV108" i="27"/>
  <c r="AZ108" i="27"/>
  <c r="BD108" i="27"/>
  <c r="BH108" i="27"/>
  <c r="BL108" i="27"/>
  <c r="BP108" i="27"/>
  <c r="BT108" i="27"/>
  <c r="BX108" i="27"/>
  <c r="CB108" i="27"/>
  <c r="CF108" i="27"/>
  <c r="CJ108" i="27"/>
  <c r="CN108" i="27"/>
  <c r="CR108" i="27"/>
  <c r="CV108" i="27"/>
  <c r="CZ108" i="27"/>
  <c r="DD108" i="27"/>
  <c r="DH108" i="27"/>
  <c r="DL108" i="27"/>
  <c r="DP108" i="27"/>
  <c r="DT108" i="27"/>
  <c r="DX108" i="27"/>
  <c r="D109" i="27"/>
  <c r="H109" i="27"/>
  <c r="L109" i="27"/>
  <c r="P109" i="27"/>
  <c r="T109" i="27"/>
  <c r="X109" i="27"/>
  <c r="AB109" i="27"/>
  <c r="AF109" i="27"/>
  <c r="AJ109" i="27"/>
  <c r="AN109" i="27"/>
  <c r="AR109" i="27"/>
  <c r="AV109" i="27"/>
  <c r="AZ109" i="27"/>
  <c r="BD109" i="27"/>
  <c r="BH109" i="27"/>
  <c r="BL109" i="27"/>
  <c r="BP109" i="27"/>
  <c r="BT109" i="27"/>
  <c r="BX109" i="27"/>
  <c r="CB109" i="27"/>
  <c r="CF109" i="27"/>
  <c r="CJ109" i="27"/>
  <c r="CN109" i="27"/>
  <c r="CR109" i="27"/>
  <c r="CV109" i="27"/>
  <c r="CZ109" i="27"/>
  <c r="DD109" i="27"/>
  <c r="DH109" i="27"/>
  <c r="DL109" i="27"/>
  <c r="DP109" i="27"/>
  <c r="DT109" i="27"/>
  <c r="DX109" i="27"/>
  <c r="D110" i="27"/>
  <c r="H110" i="27"/>
  <c r="L110" i="27"/>
  <c r="P110" i="27"/>
  <c r="T110" i="27"/>
  <c r="X110" i="27"/>
  <c r="AB110" i="27"/>
  <c r="AF110" i="27"/>
  <c r="AJ110" i="27"/>
  <c r="AN110" i="27"/>
  <c r="AR110" i="27"/>
  <c r="AV110" i="27"/>
  <c r="AZ110" i="27"/>
  <c r="BD110" i="27"/>
  <c r="BH110" i="27"/>
  <c r="BL110" i="27"/>
  <c r="BP110" i="27"/>
  <c r="BT110" i="27"/>
  <c r="BX110" i="27"/>
  <c r="CB110" i="27"/>
  <c r="CF110" i="27"/>
  <c r="CJ110" i="27"/>
  <c r="CN110" i="27"/>
  <c r="CR110" i="27"/>
  <c r="CV110" i="27"/>
  <c r="CZ110" i="27"/>
  <c r="DD110" i="27"/>
  <c r="DH110" i="27"/>
  <c r="DL110" i="27"/>
  <c r="DP110" i="27"/>
  <c r="DT110" i="27"/>
  <c r="DX110" i="27"/>
  <c r="D111" i="27"/>
  <c r="H111" i="27"/>
  <c r="L111" i="27"/>
  <c r="P111" i="27"/>
  <c r="T111" i="27"/>
  <c r="X111" i="27"/>
  <c r="AB111" i="27"/>
  <c r="AF111" i="27"/>
  <c r="AJ111" i="27"/>
  <c r="AN111" i="27"/>
  <c r="AR111" i="27"/>
  <c r="AV111" i="27"/>
  <c r="AZ111" i="27"/>
  <c r="BD111" i="27"/>
  <c r="BH111" i="27"/>
  <c r="BL111" i="27"/>
  <c r="BP111" i="27"/>
  <c r="BT111" i="27"/>
  <c r="BX111" i="27"/>
  <c r="CB111" i="27"/>
  <c r="CF111" i="27"/>
  <c r="CJ111" i="27"/>
  <c r="CN111" i="27"/>
  <c r="CR111" i="27"/>
  <c r="CV111" i="27"/>
  <c r="CZ111" i="27"/>
  <c r="DD111" i="27"/>
  <c r="DH111" i="27"/>
  <c r="DL111" i="27"/>
  <c r="DP111" i="27"/>
  <c r="DT111" i="27"/>
  <c r="DX111" i="27"/>
  <c r="D112" i="27"/>
  <c r="H112" i="27"/>
  <c r="L112" i="27"/>
  <c r="P112" i="27"/>
  <c r="T112" i="27"/>
  <c r="X112" i="27"/>
  <c r="AB112" i="27"/>
  <c r="AF112" i="27"/>
  <c r="AJ112" i="27"/>
  <c r="AN112" i="27"/>
  <c r="AR112" i="27"/>
  <c r="AV112" i="27"/>
  <c r="AZ112" i="27"/>
  <c r="BD112" i="27"/>
  <c r="BH112" i="27"/>
  <c r="BL112" i="27"/>
  <c r="BP112" i="27"/>
  <c r="BT112" i="27"/>
  <c r="BX112" i="27"/>
  <c r="CB112" i="27"/>
  <c r="CF112" i="27"/>
  <c r="CJ112" i="27"/>
  <c r="CN112" i="27"/>
  <c r="CR112" i="27"/>
  <c r="CV112" i="27"/>
  <c r="CZ112" i="27"/>
  <c r="DD112" i="27"/>
  <c r="DH112" i="27"/>
  <c r="DL112" i="27"/>
  <c r="DP112" i="27"/>
  <c r="DT112" i="27"/>
  <c r="DX112" i="27"/>
  <c r="D113" i="27"/>
  <c r="H113" i="27"/>
  <c r="L113" i="27"/>
  <c r="P113" i="27"/>
  <c r="T113" i="27"/>
  <c r="X113" i="27"/>
  <c r="AB113" i="27"/>
  <c r="AF113" i="27"/>
  <c r="AJ113" i="27"/>
  <c r="AN113" i="27"/>
  <c r="AR113" i="27"/>
  <c r="AV113" i="27"/>
  <c r="AZ113" i="27"/>
  <c r="BD113" i="27"/>
  <c r="BH113" i="27"/>
  <c r="BL113" i="27"/>
  <c r="BP113" i="27"/>
  <c r="BT113" i="27"/>
  <c r="BX113" i="27"/>
  <c r="CB113" i="27"/>
  <c r="CF113" i="27"/>
  <c r="CJ113" i="27"/>
  <c r="CN113" i="27"/>
  <c r="CR113" i="27"/>
  <c r="CV113" i="27"/>
  <c r="CZ113" i="27"/>
  <c r="DD113" i="27"/>
  <c r="DH113" i="27"/>
  <c r="DL113" i="27"/>
  <c r="DP113" i="27"/>
  <c r="DT113" i="27"/>
  <c r="DX113" i="27"/>
  <c r="D114" i="27"/>
  <c r="H114" i="27"/>
  <c r="L114" i="27"/>
  <c r="P114" i="27"/>
  <c r="T114" i="27"/>
  <c r="X114" i="27"/>
  <c r="AB114" i="27"/>
  <c r="AF114" i="27"/>
  <c r="AJ114" i="27"/>
  <c r="AN114" i="27"/>
  <c r="AR114" i="27"/>
  <c r="AV114" i="27"/>
  <c r="AZ114" i="27"/>
  <c r="BD114" i="27"/>
  <c r="BH114" i="27"/>
  <c r="BL114" i="27"/>
  <c r="BP114" i="27"/>
  <c r="BT114" i="27"/>
  <c r="BX114" i="27"/>
  <c r="CB114" i="27"/>
  <c r="CF114" i="27"/>
  <c r="CJ114" i="27"/>
  <c r="CN114" i="27"/>
  <c r="CR114" i="27"/>
  <c r="CV114" i="27"/>
  <c r="CZ114" i="27"/>
  <c r="DD114" i="27"/>
  <c r="DH114" i="27"/>
  <c r="DL114" i="27"/>
  <c r="DP114" i="27"/>
  <c r="DT114" i="27"/>
  <c r="DX114" i="27"/>
  <c r="D115" i="27"/>
  <c r="H115" i="27"/>
  <c r="L115" i="27"/>
  <c r="P115" i="27"/>
  <c r="T115" i="27"/>
  <c r="X115" i="27"/>
  <c r="AB115" i="27"/>
  <c r="AF115" i="27"/>
  <c r="AJ115" i="27"/>
  <c r="AN115" i="27"/>
  <c r="AR115" i="27"/>
  <c r="AV115" i="27"/>
  <c r="AZ115" i="27"/>
  <c r="BD115" i="27"/>
  <c r="BH115" i="27"/>
  <c r="BL115" i="27"/>
  <c r="BP115" i="27"/>
  <c r="BT115" i="27"/>
  <c r="BX115" i="27"/>
  <c r="CB115" i="27"/>
  <c r="CF115" i="27"/>
  <c r="CJ115" i="27"/>
  <c r="CN115" i="27"/>
  <c r="CR115" i="27"/>
  <c r="CV115" i="27"/>
  <c r="CZ115" i="27"/>
  <c r="DD115" i="27"/>
  <c r="DH115" i="27"/>
  <c r="DL115" i="27"/>
  <c r="DP115" i="27"/>
  <c r="DT115" i="27"/>
  <c r="DX115" i="27"/>
  <c r="D116" i="27"/>
  <c r="H116" i="27"/>
  <c r="L116" i="27"/>
  <c r="P116" i="27"/>
  <c r="T116" i="27"/>
  <c r="X116" i="27"/>
  <c r="AB116" i="27"/>
  <c r="AF116" i="27"/>
  <c r="AJ116" i="27"/>
  <c r="AN116" i="27"/>
  <c r="AR116" i="27"/>
  <c r="AV116" i="27"/>
  <c r="AZ116" i="27"/>
  <c r="BD116" i="27"/>
  <c r="BH116" i="27"/>
  <c r="BL116" i="27"/>
  <c r="BP116" i="27"/>
  <c r="BT116" i="27"/>
  <c r="BX116" i="27"/>
  <c r="CB116" i="27"/>
  <c r="CF116" i="27"/>
  <c r="CJ116" i="27"/>
  <c r="CN116" i="27"/>
  <c r="CR116" i="27"/>
  <c r="CV116" i="27"/>
  <c r="CZ116" i="27"/>
  <c r="DD116" i="27"/>
  <c r="DH116" i="27"/>
  <c r="DL116" i="27"/>
  <c r="DP116" i="27"/>
  <c r="DT116" i="27"/>
  <c r="DX116" i="27"/>
  <c r="D117" i="27"/>
  <c r="H117" i="27"/>
  <c r="L117" i="27"/>
  <c r="P117" i="27"/>
  <c r="T117" i="27"/>
  <c r="X117" i="27"/>
  <c r="AB117" i="27"/>
  <c r="AF117" i="27"/>
  <c r="AJ117" i="27"/>
  <c r="AN117" i="27"/>
  <c r="AR117" i="27"/>
  <c r="AV117" i="27"/>
  <c r="AZ117" i="27"/>
  <c r="BD117" i="27"/>
  <c r="BH117" i="27"/>
  <c r="BL117" i="27"/>
  <c r="BP117" i="27"/>
  <c r="BT117" i="27"/>
  <c r="BX117" i="27"/>
  <c r="CB117" i="27"/>
  <c r="CF117" i="27"/>
  <c r="CJ117" i="27"/>
  <c r="CN117" i="27"/>
  <c r="CR117" i="27"/>
  <c r="CV117" i="27"/>
  <c r="CZ117" i="27"/>
  <c r="DD117" i="27"/>
  <c r="DH117" i="27"/>
  <c r="DL117" i="27"/>
  <c r="DP117" i="27"/>
  <c r="DT117" i="27"/>
  <c r="DX117" i="27"/>
  <c r="D118" i="27"/>
  <c r="H118" i="27"/>
  <c r="L118" i="27"/>
  <c r="P118" i="27"/>
  <c r="T118" i="27"/>
  <c r="X118" i="27"/>
  <c r="AB118" i="27"/>
  <c r="AF118" i="27"/>
  <c r="AJ118" i="27"/>
  <c r="AN118" i="27"/>
  <c r="AR118" i="27"/>
  <c r="AV118" i="27"/>
  <c r="AZ118" i="27"/>
  <c r="BD118" i="27"/>
  <c r="BH118" i="27"/>
  <c r="BL118" i="27"/>
  <c r="BP118" i="27"/>
  <c r="BT118" i="27"/>
  <c r="BX118" i="27"/>
  <c r="CB118" i="27"/>
  <c r="CF118" i="27"/>
  <c r="CJ118" i="27"/>
  <c r="CN118" i="27"/>
  <c r="CR118" i="27"/>
  <c r="CV118" i="27"/>
  <c r="CZ118" i="27"/>
  <c r="DD118" i="27"/>
  <c r="DH118" i="27"/>
  <c r="DL118" i="27"/>
  <c r="DP118" i="27"/>
  <c r="DT118" i="27"/>
  <c r="DX118" i="27"/>
  <c r="D119" i="27"/>
  <c r="H119" i="27"/>
  <c r="L119" i="27"/>
  <c r="P119" i="27"/>
  <c r="T119" i="27"/>
  <c r="X119" i="27"/>
  <c r="AB119" i="27"/>
  <c r="AF119" i="27"/>
  <c r="AJ119" i="27"/>
  <c r="AN119" i="27"/>
  <c r="AR119" i="27"/>
  <c r="AV119" i="27"/>
  <c r="AZ119" i="27"/>
  <c r="BD119" i="27"/>
  <c r="BH119" i="27"/>
  <c r="BL119" i="27"/>
  <c r="BP119" i="27"/>
  <c r="BT119" i="27"/>
  <c r="BX119" i="27"/>
  <c r="CB119" i="27"/>
  <c r="CF119" i="27"/>
  <c r="CJ119" i="27"/>
  <c r="CN119" i="27"/>
  <c r="CR119" i="27"/>
  <c r="CV119" i="27"/>
  <c r="CZ119" i="27"/>
  <c r="DD119" i="27"/>
  <c r="DH119" i="27"/>
  <c r="DL119" i="27"/>
  <c r="DP119" i="27"/>
  <c r="DT119" i="27"/>
  <c r="DX119" i="27"/>
  <c r="D120" i="27"/>
  <c r="H120" i="27"/>
  <c r="L120" i="27"/>
  <c r="P120" i="27"/>
  <c r="T120" i="27"/>
  <c r="X120" i="27"/>
  <c r="AB120" i="27"/>
  <c r="AF120" i="27"/>
  <c r="AJ120" i="27"/>
  <c r="AN120" i="27"/>
  <c r="AR120" i="27"/>
  <c r="AV120" i="27"/>
  <c r="AZ120" i="27"/>
  <c r="BD120" i="27"/>
  <c r="BH120" i="27"/>
  <c r="BL120" i="27"/>
  <c r="BP120" i="27"/>
  <c r="BT120" i="27"/>
  <c r="BX120" i="27"/>
  <c r="CB120" i="27"/>
  <c r="CF120" i="27"/>
  <c r="CJ120" i="27"/>
  <c r="CN120" i="27"/>
  <c r="CR120" i="27"/>
  <c r="CV120" i="27"/>
  <c r="CZ120" i="27"/>
  <c r="DD120" i="27"/>
  <c r="DH120" i="27"/>
  <c r="DL120" i="27"/>
  <c r="DP120" i="27"/>
  <c r="DT120" i="27"/>
  <c r="DX120" i="27"/>
  <c r="D121" i="27"/>
  <c r="H121" i="27"/>
  <c r="L121" i="27"/>
  <c r="P121" i="27"/>
  <c r="T121" i="27"/>
  <c r="X121" i="27"/>
  <c r="AB121" i="27"/>
  <c r="AF121" i="27"/>
  <c r="AJ121" i="27"/>
  <c r="AN121" i="27"/>
  <c r="AR121" i="27"/>
  <c r="AV121" i="27"/>
  <c r="AZ121" i="27"/>
  <c r="BD121" i="27"/>
  <c r="BH121" i="27"/>
  <c r="BL121" i="27"/>
  <c r="BP121" i="27"/>
  <c r="BT121" i="27"/>
  <c r="BX121" i="27"/>
  <c r="CB121" i="27"/>
  <c r="CF121" i="27"/>
  <c r="CJ121" i="27"/>
  <c r="CN121" i="27"/>
  <c r="CR121" i="27"/>
  <c r="CV121" i="27"/>
  <c r="CZ121" i="27"/>
  <c r="DD121" i="27"/>
  <c r="DH121" i="27"/>
  <c r="DL121" i="27"/>
  <c r="DP121" i="27"/>
  <c r="DT121" i="27"/>
  <c r="DX121" i="27"/>
  <c r="D122" i="27"/>
  <c r="H122" i="27"/>
  <c r="L122" i="27"/>
  <c r="P122" i="27"/>
  <c r="T122" i="27"/>
  <c r="X122" i="27"/>
  <c r="AB122" i="27"/>
  <c r="AF122" i="27"/>
  <c r="AJ122" i="27"/>
  <c r="AN122" i="27"/>
  <c r="AR122" i="27"/>
  <c r="AV122" i="27"/>
  <c r="AZ122" i="27"/>
  <c r="BD122" i="27"/>
  <c r="BH122" i="27"/>
  <c r="BL122" i="27"/>
  <c r="BP122" i="27"/>
  <c r="BT122" i="27"/>
  <c r="BX122" i="27"/>
  <c r="CB122" i="27"/>
  <c r="CF122" i="27"/>
  <c r="CJ122" i="27"/>
  <c r="CN122" i="27"/>
  <c r="CR122" i="27"/>
  <c r="CV122" i="27"/>
  <c r="CZ122" i="27"/>
  <c r="DD122" i="27"/>
  <c r="DH122" i="27"/>
  <c r="DL122" i="27"/>
  <c r="DP122" i="27"/>
  <c r="DT122" i="27"/>
  <c r="DX122" i="27"/>
  <c r="D123" i="27"/>
  <c r="H123" i="27"/>
  <c r="L123" i="27"/>
  <c r="P123" i="27"/>
  <c r="T123" i="27"/>
  <c r="X123" i="27"/>
  <c r="AB123" i="27"/>
  <c r="AF123" i="27"/>
  <c r="AJ123" i="27"/>
  <c r="AN123" i="27"/>
  <c r="AR123" i="27"/>
  <c r="AV123" i="27"/>
  <c r="AZ123" i="27"/>
  <c r="BD123" i="27"/>
  <c r="BH123" i="27"/>
  <c r="BL123" i="27"/>
  <c r="BP123" i="27"/>
  <c r="BT123" i="27"/>
  <c r="BX123" i="27"/>
  <c r="CB123" i="27"/>
  <c r="CF123" i="27"/>
  <c r="CJ123" i="27"/>
  <c r="CN123" i="27"/>
  <c r="CR123" i="27"/>
  <c r="CV123" i="27"/>
  <c r="CZ123" i="27"/>
  <c r="DD123" i="27"/>
  <c r="DH123" i="27"/>
  <c r="DL123" i="27"/>
  <c r="DP123" i="27"/>
  <c r="DT123" i="27"/>
  <c r="DX123" i="27"/>
  <c r="D124" i="27"/>
  <c r="H124" i="27"/>
  <c r="L124" i="27"/>
  <c r="P124" i="27"/>
  <c r="T124" i="27"/>
  <c r="X124" i="27"/>
  <c r="AB124" i="27"/>
  <c r="AF124" i="27"/>
  <c r="AJ124" i="27"/>
  <c r="AN124" i="27"/>
  <c r="AR124" i="27"/>
  <c r="AV124" i="27"/>
  <c r="AZ124" i="27"/>
  <c r="BD124" i="27"/>
  <c r="BH124" i="27"/>
  <c r="BL124" i="27"/>
  <c r="BP124" i="27"/>
  <c r="BT124" i="27"/>
  <c r="BX124" i="27"/>
  <c r="CB124" i="27"/>
  <c r="CF124" i="27"/>
  <c r="CJ124" i="27"/>
  <c r="CN124" i="27"/>
  <c r="CR124" i="27"/>
  <c r="CV124" i="27"/>
  <c r="CZ124" i="27"/>
  <c r="DD124" i="27"/>
  <c r="DH124" i="27"/>
  <c r="DL124" i="27"/>
  <c r="DP124" i="27"/>
  <c r="DT124" i="27"/>
  <c r="DX124" i="27"/>
  <c r="D125" i="27"/>
  <c r="H125" i="27"/>
  <c r="L125" i="27"/>
  <c r="P125" i="27"/>
  <c r="T125" i="27"/>
  <c r="X125" i="27"/>
  <c r="AB125" i="27"/>
  <c r="AF125" i="27"/>
  <c r="AJ125" i="27"/>
  <c r="AN125" i="27"/>
  <c r="AR125" i="27"/>
  <c r="AV125" i="27"/>
  <c r="AZ125" i="27"/>
  <c r="BD125" i="27"/>
  <c r="BH125" i="27"/>
  <c r="BL125" i="27"/>
  <c r="BP125" i="27"/>
  <c r="BT125" i="27"/>
  <c r="BX125" i="27"/>
  <c r="CB125" i="27"/>
  <c r="CF125" i="27"/>
  <c r="CJ125" i="27"/>
  <c r="CN125" i="27"/>
  <c r="CR125" i="27"/>
  <c r="CV125" i="27"/>
  <c r="CZ125" i="27"/>
  <c r="DD125" i="27"/>
  <c r="DH125" i="27"/>
  <c r="DL125" i="27"/>
  <c r="DP125" i="27"/>
  <c r="DT125" i="27"/>
  <c r="DX125" i="27"/>
  <c r="D126" i="27"/>
  <c r="H126" i="27"/>
  <c r="L126" i="27"/>
  <c r="P126" i="27"/>
  <c r="T126" i="27"/>
  <c r="X126" i="27"/>
  <c r="AB126" i="27"/>
  <c r="AF126" i="27"/>
  <c r="AJ126" i="27"/>
  <c r="AN126" i="27"/>
  <c r="AR126" i="27"/>
  <c r="AV126" i="27"/>
  <c r="AZ126" i="27"/>
  <c r="BD126" i="27"/>
  <c r="BH126" i="27"/>
  <c r="BL126" i="27"/>
  <c r="BP126" i="27"/>
  <c r="BT126" i="27"/>
  <c r="BX126" i="27"/>
  <c r="CB126" i="27"/>
  <c r="CF126" i="27"/>
  <c r="CJ126" i="27"/>
  <c r="CN126" i="27"/>
  <c r="CR126" i="27"/>
  <c r="CV126" i="27"/>
  <c r="CZ126" i="27"/>
  <c r="DD126" i="27"/>
  <c r="DH126" i="27"/>
  <c r="DL126" i="27"/>
  <c r="DP126" i="27"/>
  <c r="DT126" i="27"/>
  <c r="DX126" i="27"/>
  <c r="D127" i="27"/>
  <c r="H127" i="27"/>
  <c r="L127" i="27"/>
  <c r="P127" i="27"/>
  <c r="T127" i="27"/>
  <c r="X127" i="27"/>
  <c r="AB127" i="27"/>
  <c r="AF127" i="27"/>
  <c r="AJ127" i="27"/>
  <c r="AN127" i="27"/>
  <c r="AR127" i="27"/>
  <c r="AV127" i="27"/>
  <c r="AZ127" i="27"/>
  <c r="BD127" i="27"/>
  <c r="BH127" i="27"/>
  <c r="BL127" i="27"/>
  <c r="BP127" i="27"/>
  <c r="BT127" i="27"/>
  <c r="BX127" i="27"/>
  <c r="CB127" i="27"/>
  <c r="CF127" i="27"/>
  <c r="CJ127" i="27"/>
  <c r="CN127" i="27"/>
  <c r="CR127" i="27"/>
  <c r="CV127" i="27"/>
  <c r="CZ127" i="27"/>
  <c r="DD127" i="27"/>
  <c r="DH127" i="27"/>
  <c r="DL127" i="27"/>
  <c r="DP127" i="27"/>
  <c r="DT127" i="27"/>
  <c r="DX127" i="27"/>
  <c r="D128" i="27"/>
  <c r="H128" i="27"/>
  <c r="L128" i="27"/>
  <c r="P128" i="27"/>
  <c r="T128" i="27"/>
  <c r="X128" i="27"/>
  <c r="AB128" i="27"/>
  <c r="AF128" i="27"/>
  <c r="AJ128" i="27"/>
  <c r="AN128" i="27"/>
  <c r="AR128" i="27"/>
  <c r="AV128" i="27"/>
  <c r="AZ128" i="27"/>
  <c r="BD128" i="27"/>
  <c r="BH128" i="27"/>
  <c r="BL128" i="27"/>
  <c r="BP128" i="27"/>
  <c r="BT128" i="27"/>
  <c r="BX128" i="27"/>
  <c r="CB128" i="27"/>
  <c r="CF128" i="27"/>
  <c r="CJ128" i="27"/>
  <c r="CN128" i="27"/>
  <c r="CR128" i="27"/>
  <c r="CV128" i="27"/>
  <c r="CZ128" i="27"/>
  <c r="DD128" i="27"/>
  <c r="DH128" i="27"/>
  <c r="DL128" i="27"/>
  <c r="DP128" i="27"/>
  <c r="DT128" i="27"/>
  <c r="DX128" i="27"/>
  <c r="D129" i="27"/>
  <c r="H129" i="27"/>
  <c r="L129" i="27"/>
  <c r="P129" i="27"/>
  <c r="T129" i="27"/>
  <c r="X129" i="27"/>
  <c r="AB129" i="27"/>
  <c r="AF129" i="27"/>
  <c r="AJ129" i="27"/>
  <c r="AN129" i="27"/>
  <c r="AR129" i="27"/>
  <c r="AV129" i="27"/>
  <c r="AZ129" i="27"/>
  <c r="BD129" i="27"/>
  <c r="BH129" i="27"/>
  <c r="BL129" i="27"/>
  <c r="BP129" i="27"/>
  <c r="BT129" i="27"/>
  <c r="BX129" i="27"/>
  <c r="CB129" i="27"/>
  <c r="CF129" i="27"/>
  <c r="CJ129" i="27"/>
  <c r="CN129" i="27"/>
  <c r="CR129" i="27"/>
  <c r="CV129" i="27"/>
  <c r="CZ129" i="27"/>
  <c r="DD129" i="27"/>
  <c r="DH129" i="27"/>
  <c r="DL129" i="27"/>
  <c r="DP129" i="27"/>
  <c r="DT129" i="27"/>
  <c r="DX129" i="27"/>
  <c r="D130" i="27"/>
  <c r="H130" i="27"/>
  <c r="L130" i="27"/>
  <c r="P130" i="27"/>
  <c r="T130" i="27"/>
  <c r="X130" i="27"/>
  <c r="AB130" i="27"/>
  <c r="AF130" i="27"/>
  <c r="AJ130" i="27"/>
  <c r="AN130" i="27"/>
  <c r="AR130" i="27"/>
  <c r="AV130" i="27"/>
  <c r="AZ130" i="27"/>
  <c r="BD130" i="27"/>
  <c r="BH130" i="27"/>
  <c r="BL130" i="27"/>
  <c r="BP130" i="27"/>
  <c r="BT130" i="27"/>
  <c r="BX130" i="27"/>
  <c r="CB130" i="27"/>
  <c r="CF130" i="27"/>
  <c r="CJ130" i="27"/>
  <c r="CN130" i="27"/>
  <c r="CR130" i="27"/>
  <c r="CV130" i="27"/>
  <c r="CZ130" i="27"/>
  <c r="DD130" i="27"/>
  <c r="DH130" i="27"/>
  <c r="DL130" i="27"/>
  <c r="DP130" i="27"/>
  <c r="DT130" i="27"/>
  <c r="DX130" i="27"/>
  <c r="D131" i="27"/>
  <c r="H131" i="27"/>
  <c r="L131" i="27"/>
  <c r="P131" i="27"/>
  <c r="T131" i="27"/>
  <c r="X131" i="27"/>
  <c r="AB131" i="27"/>
  <c r="AF131" i="27"/>
  <c r="AJ131" i="27"/>
  <c r="AN131" i="27"/>
  <c r="AR131" i="27"/>
  <c r="AV131" i="27"/>
  <c r="AZ131" i="27"/>
  <c r="BD131" i="27"/>
  <c r="BH131" i="27"/>
  <c r="BL131" i="27"/>
  <c r="BP131" i="27"/>
  <c r="BT131" i="27"/>
  <c r="BX131" i="27"/>
  <c r="CB131" i="27"/>
  <c r="CF131" i="27"/>
  <c r="CJ131" i="27"/>
  <c r="CN131" i="27"/>
  <c r="CR131" i="27"/>
  <c r="CV131" i="27"/>
  <c r="CZ131" i="27"/>
  <c r="DD131" i="27"/>
  <c r="DH131" i="27"/>
  <c r="DL131" i="27"/>
  <c r="DP131" i="27"/>
  <c r="DT131" i="27"/>
  <c r="DX131" i="27"/>
  <c r="AS43" i="27"/>
  <c r="I51" i="27"/>
  <c r="I55" i="27"/>
  <c r="I59" i="27"/>
  <c r="CP62" i="27"/>
  <c r="AD64" i="27"/>
  <c r="AI65" i="27"/>
  <c r="AI66" i="27"/>
  <c r="AI67" i="27"/>
  <c r="AI68" i="27"/>
  <c r="AI69" i="27"/>
  <c r="AI70" i="27"/>
  <c r="AI71" i="27"/>
  <c r="AI72" i="27"/>
  <c r="AI73" i="27"/>
  <c r="AI74" i="27"/>
  <c r="AI75" i="27"/>
  <c r="BB76" i="27"/>
  <c r="DN76" i="27"/>
  <c r="BB77" i="27"/>
  <c r="V78" i="27"/>
  <c r="DN78" i="27"/>
  <c r="CB79" i="27"/>
  <c r="P80" i="27"/>
  <c r="BL80" i="27"/>
  <c r="DH80" i="27"/>
  <c r="AV81" i="27"/>
  <c r="DX81" i="27"/>
  <c r="AV82" i="27"/>
  <c r="CR82" i="27"/>
  <c r="DX82" i="27"/>
  <c r="BL83" i="27"/>
  <c r="DX83" i="27"/>
  <c r="AV84" i="27"/>
  <c r="DX84" i="27"/>
  <c r="AV85" i="27"/>
  <c r="CB85" i="27"/>
  <c r="DX85" i="27"/>
  <c r="BL86" i="27"/>
  <c r="DH86" i="27"/>
  <c r="P87" i="27"/>
  <c r="BL87" i="27"/>
  <c r="DX87" i="27"/>
  <c r="AV88" i="27"/>
  <c r="DX88" i="27"/>
  <c r="BL89" i="27"/>
  <c r="DX89" i="27"/>
  <c r="BL90" i="27"/>
  <c r="DX90" i="27"/>
  <c r="BL91" i="27"/>
  <c r="DX91" i="27"/>
  <c r="BL92" i="27"/>
  <c r="DX92" i="27"/>
  <c r="BL93" i="27"/>
  <c r="DX93" i="27"/>
  <c r="BL94" i="27"/>
  <c r="DD94" i="27"/>
  <c r="L95" i="27"/>
  <c r="AR95" i="27"/>
  <c r="BX95" i="27"/>
  <c r="DD95" i="27"/>
  <c r="L96" i="27"/>
  <c r="AR96" i="27"/>
  <c r="BX96" i="27"/>
  <c r="DD96" i="27"/>
  <c r="L97" i="27"/>
  <c r="AR97" i="27"/>
  <c r="BI97" i="27"/>
  <c r="BY97" i="27"/>
  <c r="CO97" i="27"/>
  <c r="DE97" i="27"/>
  <c r="DU97" i="27"/>
  <c r="M98" i="27"/>
  <c r="AC98" i="27"/>
  <c r="AS98" i="27"/>
  <c r="BI98" i="27"/>
  <c r="BY98" i="27"/>
  <c r="CO98" i="27"/>
  <c r="DE98" i="27"/>
  <c r="DU98" i="27"/>
  <c r="M99" i="27"/>
  <c r="AC99" i="27"/>
  <c r="AS99" i="27"/>
  <c r="BI99" i="27"/>
  <c r="BY99" i="27"/>
  <c r="CO99" i="27"/>
  <c r="DE99" i="27"/>
  <c r="DU99" i="27"/>
  <c r="M100" i="27"/>
  <c r="AC100" i="27"/>
  <c r="AS100" i="27"/>
  <c r="BI100" i="27"/>
  <c r="BY100" i="27"/>
  <c r="CO100" i="27"/>
  <c r="DE100" i="27"/>
  <c r="DU100" i="27"/>
  <c r="M101" i="27"/>
  <c r="AC101" i="27"/>
  <c r="AS101" i="27"/>
  <c r="BI101" i="27"/>
  <c r="BY101" i="27"/>
  <c r="CO101" i="27"/>
  <c r="DE101" i="27"/>
  <c r="DU101" i="27"/>
  <c r="M102" i="27"/>
  <c r="AC102" i="27"/>
  <c r="AS102" i="27"/>
  <c r="BI102" i="27"/>
  <c r="BY102" i="27"/>
  <c r="CO102" i="27"/>
  <c r="DE102" i="27"/>
  <c r="DU102" i="27"/>
  <c r="M103" i="27"/>
  <c r="AC103" i="27"/>
  <c r="AS103" i="27"/>
  <c r="BI103" i="27"/>
  <c r="BY103" i="27"/>
  <c r="CO103" i="27"/>
  <c r="DE103" i="27"/>
  <c r="DU103" i="27"/>
  <c r="M104" i="27"/>
  <c r="AC104" i="27"/>
  <c r="AS104" i="27"/>
  <c r="BI104" i="27"/>
  <c r="BY104" i="27"/>
  <c r="CO104" i="27"/>
  <c r="DE104" i="27"/>
  <c r="DU104" i="27"/>
  <c r="M105" i="27"/>
  <c r="AC105" i="27"/>
  <c r="AS105" i="27"/>
  <c r="BI105" i="27"/>
  <c r="BY105" i="27"/>
  <c r="CO105" i="27"/>
  <c r="DE105" i="27"/>
  <c r="DU105" i="27"/>
  <c r="M106" i="27"/>
  <c r="AC106" i="27"/>
  <c r="AS106" i="27"/>
  <c r="BI106" i="27"/>
  <c r="BY106" i="27"/>
  <c r="CO106" i="27"/>
  <c r="DE106" i="27"/>
  <c r="DU106" i="27"/>
  <c r="M107" i="27"/>
  <c r="AC107" i="27"/>
  <c r="AS107" i="27"/>
  <c r="BI107" i="27"/>
  <c r="BY107" i="27"/>
  <c r="CO107" i="27"/>
  <c r="DE107" i="27"/>
  <c r="DU107" i="27"/>
  <c r="M108" i="27"/>
  <c r="AC108" i="27"/>
  <c r="AS108" i="27"/>
  <c r="BI108" i="27"/>
  <c r="BY108" i="27"/>
  <c r="CO108" i="27"/>
  <c r="DE108" i="27"/>
  <c r="DU108" i="27"/>
  <c r="M109" i="27"/>
  <c r="AC109" i="27"/>
  <c r="AS109" i="27"/>
  <c r="BI109" i="27"/>
  <c r="BY109" i="27"/>
  <c r="CO109" i="27"/>
  <c r="DE109" i="27"/>
  <c r="DU109" i="27"/>
  <c r="M110" i="27"/>
  <c r="AC110" i="27"/>
  <c r="AS110" i="27"/>
  <c r="BI110" i="27"/>
  <c r="BY110" i="27"/>
  <c r="CO110" i="27"/>
  <c r="DE110" i="27"/>
  <c r="DU110" i="27"/>
  <c r="M111" i="27"/>
  <c r="AC111" i="27"/>
  <c r="AS111" i="27"/>
  <c r="BI111" i="27"/>
  <c r="BY111" i="27"/>
  <c r="CO111" i="27"/>
  <c r="DE111" i="27"/>
  <c r="DU111" i="27"/>
  <c r="M112" i="27"/>
  <c r="AC112" i="27"/>
  <c r="AS112" i="27"/>
  <c r="BI112" i="27"/>
  <c r="BY112" i="27"/>
  <c r="CO112" i="27"/>
  <c r="DE112" i="27"/>
  <c r="DU112" i="27"/>
  <c r="M113" i="27"/>
  <c r="AC113" i="27"/>
  <c r="AS113" i="27"/>
  <c r="BI113" i="27"/>
  <c r="BY113" i="27"/>
  <c r="CO113" i="27"/>
  <c r="DE113" i="27"/>
  <c r="DU113" i="27"/>
  <c r="M114" i="27"/>
  <c r="AC114" i="27"/>
  <c r="AS114" i="27"/>
  <c r="BI114" i="27"/>
  <c r="BY114" i="27"/>
  <c r="CO114" i="27"/>
  <c r="DE114" i="27"/>
  <c r="DU114" i="27"/>
  <c r="M115" i="27"/>
  <c r="AC115" i="27"/>
  <c r="AS115" i="27"/>
  <c r="BI115" i="27"/>
  <c r="BY115" i="27"/>
  <c r="CO115" i="27"/>
  <c r="DE115" i="27"/>
  <c r="DU115" i="27"/>
  <c r="M116" i="27"/>
  <c r="AC116" i="27"/>
  <c r="AS116" i="27"/>
  <c r="BI116" i="27"/>
  <c r="BY116" i="27"/>
  <c r="CO116" i="27"/>
  <c r="DE116" i="27"/>
  <c r="DU116" i="27"/>
  <c r="M117" i="27"/>
  <c r="AC117" i="27"/>
  <c r="AS117" i="27"/>
  <c r="BI117" i="27"/>
  <c r="BY117" i="27"/>
  <c r="CO117" i="27"/>
  <c r="DE117" i="27"/>
  <c r="DU117" i="27"/>
  <c r="M118" i="27"/>
  <c r="AC118" i="27"/>
  <c r="AS118" i="27"/>
  <c r="BI118" i="27"/>
  <c r="BY118" i="27"/>
  <c r="CO118" i="27"/>
  <c r="DE118" i="27"/>
  <c r="DU118" i="27"/>
  <c r="M119" i="27"/>
  <c r="AC119" i="27"/>
  <c r="AS119" i="27"/>
  <c r="BI119" i="27"/>
  <c r="BY119" i="27"/>
  <c r="CO119" i="27"/>
  <c r="DE119" i="27"/>
  <c r="DU119" i="27"/>
  <c r="M120" i="27"/>
  <c r="AC120" i="27"/>
  <c r="AS120" i="27"/>
  <c r="BI120" i="27"/>
  <c r="BY120" i="27"/>
  <c r="CO120" i="27"/>
  <c r="DE120" i="27"/>
  <c r="DU120" i="27"/>
  <c r="M121" i="27"/>
  <c r="AC121" i="27"/>
  <c r="AS121" i="27"/>
  <c r="BI121" i="27"/>
  <c r="BY121" i="27"/>
  <c r="CO121" i="27"/>
  <c r="DE121" i="27"/>
  <c r="DU121" i="27"/>
  <c r="M122" i="27"/>
  <c r="AC122" i="27"/>
  <c r="AS122" i="27"/>
  <c r="BI122" i="27"/>
  <c r="BY122" i="27"/>
  <c r="CO122" i="27"/>
  <c r="DE122" i="27"/>
  <c r="DU122" i="27"/>
  <c r="M123" i="27"/>
  <c r="AC123" i="27"/>
  <c r="AS123" i="27"/>
  <c r="BI123" i="27"/>
  <c r="BY123" i="27"/>
  <c r="CO123" i="27"/>
  <c r="DE123" i="27"/>
  <c r="DU123" i="27"/>
  <c r="M124" i="27"/>
  <c r="AC124" i="27"/>
  <c r="AS124" i="27"/>
  <c r="BI124" i="27"/>
  <c r="BY124" i="27"/>
  <c r="CO124" i="27"/>
  <c r="DE124" i="27"/>
  <c r="DU124" i="27"/>
  <c r="M125" i="27"/>
  <c r="AC125" i="27"/>
  <c r="AS125" i="27"/>
  <c r="BI125" i="27"/>
  <c r="BY125" i="27"/>
  <c r="CO125" i="27"/>
  <c r="DE125" i="27"/>
  <c r="DU125" i="27"/>
  <c r="M126" i="27"/>
  <c r="AC126" i="27"/>
  <c r="AS126" i="27"/>
  <c r="BI126" i="27"/>
  <c r="BY126" i="27"/>
  <c r="CO126" i="27"/>
  <c r="DE126" i="27"/>
  <c r="DU126" i="27"/>
  <c r="M127" i="27"/>
  <c r="AC127" i="27"/>
  <c r="AS127" i="27"/>
  <c r="BI127" i="27"/>
  <c r="BY127" i="27"/>
  <c r="CO127" i="27"/>
  <c r="DE127" i="27"/>
  <c r="DU127" i="27"/>
  <c r="M128" i="27"/>
  <c r="AC128" i="27"/>
  <c r="AS128" i="27"/>
  <c r="BI128" i="27"/>
  <c r="BY128" i="27"/>
  <c r="CO128" i="27"/>
  <c r="DE128" i="27"/>
  <c r="DU128" i="27"/>
  <c r="M129" i="27"/>
  <c r="AC129" i="27"/>
  <c r="AS129" i="27"/>
  <c r="BI129" i="27"/>
  <c r="BY129" i="27"/>
  <c r="CO129" i="27"/>
  <c r="DE129" i="27"/>
  <c r="DU129" i="27"/>
  <c r="M130" i="27"/>
  <c r="AC130" i="27"/>
  <c r="AS130" i="27"/>
  <c r="BI130" i="27"/>
  <c r="BY130" i="27"/>
  <c r="CO130" i="27"/>
  <c r="DE130" i="27"/>
  <c r="DU130" i="27"/>
  <c r="M131" i="27"/>
  <c r="AC131" i="27"/>
  <c r="AS131" i="27"/>
  <c r="BI131" i="27"/>
  <c r="BY131" i="27"/>
  <c r="CO131" i="27"/>
  <c r="DE131" i="27"/>
  <c r="DU131" i="27"/>
  <c r="DH89" i="27"/>
  <c r="AV90" i="27"/>
  <c r="AV91" i="27"/>
  <c r="AV92" i="27"/>
  <c r="AV93" i="27"/>
  <c r="AV94" i="27"/>
  <c r="D95" i="27"/>
  <c r="BP95" i="27"/>
  <c r="D96" i="27"/>
  <c r="BP96" i="27"/>
  <c r="D97" i="27"/>
  <c r="BE97" i="27"/>
  <c r="CK97" i="27"/>
  <c r="DQ97" i="27"/>
  <c r="Y98" i="27"/>
  <c r="BE98" i="27"/>
  <c r="CK98" i="27"/>
  <c r="DQ98" i="27"/>
  <c r="Y99" i="27"/>
  <c r="BE99" i="27"/>
  <c r="CK99" i="27"/>
  <c r="DQ99" i="27"/>
  <c r="Y100" i="27"/>
  <c r="BE100" i="27"/>
  <c r="CK100" i="27"/>
  <c r="DQ100" i="27"/>
  <c r="Y101" i="27"/>
  <c r="BE101" i="27"/>
  <c r="CK101" i="27"/>
  <c r="DQ101" i="27"/>
  <c r="Y102" i="27"/>
  <c r="BE102" i="27"/>
  <c r="CK102" i="27"/>
  <c r="DQ102" i="27"/>
  <c r="Y103" i="27"/>
  <c r="BE103" i="27"/>
  <c r="DQ103" i="27"/>
  <c r="Y104" i="27"/>
  <c r="BE104" i="27"/>
  <c r="CK104" i="27"/>
  <c r="DQ104" i="27"/>
  <c r="AO105" i="27"/>
  <c r="DA105" i="27"/>
  <c r="I106" i="27"/>
  <c r="BU106" i="27"/>
  <c r="DQ106" i="27"/>
  <c r="BU107" i="27"/>
  <c r="I108" i="27"/>
  <c r="BE108" i="27"/>
  <c r="CK108" i="27"/>
  <c r="Y109" i="27"/>
  <c r="DA109" i="27"/>
  <c r="Y110" i="27"/>
  <c r="BE110" i="27"/>
  <c r="DQ110" i="27"/>
  <c r="BU111" i="27"/>
  <c r="DA111" i="27"/>
  <c r="BE112" i="27"/>
  <c r="DA112" i="27"/>
  <c r="AO113" i="27"/>
  <c r="CK113" i="27"/>
  <c r="I114" i="27"/>
  <c r="BU114" i="27"/>
  <c r="DA114" i="27"/>
  <c r="Y115" i="27"/>
  <c r="BU115" i="27"/>
  <c r="I116" i="27"/>
  <c r="BE116" i="27"/>
  <c r="DA116" i="27"/>
  <c r="Y117" i="27"/>
  <c r="CK117" i="27"/>
  <c r="I118" i="27"/>
  <c r="BE118" i="27"/>
  <c r="DA118" i="27"/>
  <c r="Y119" i="27"/>
  <c r="BU119" i="27"/>
  <c r="DQ119" i="27"/>
  <c r="AO120" i="27"/>
  <c r="DA120" i="27"/>
  <c r="I121" i="27"/>
  <c r="BE121" i="27"/>
  <c r="DA121" i="27"/>
  <c r="Y122" i="27"/>
  <c r="BE122" i="27"/>
  <c r="DA122" i="27"/>
  <c r="I123" i="27"/>
  <c r="BE123" i="27"/>
  <c r="DA123" i="27"/>
  <c r="Y124" i="27"/>
  <c r="BU124" i="27"/>
  <c r="DQ124" i="27"/>
  <c r="Y125" i="27"/>
  <c r="CK125" i="27"/>
  <c r="DQ125" i="27"/>
  <c r="AO126" i="27"/>
  <c r="CK126" i="27"/>
  <c r="DQ126" i="27"/>
  <c r="AO127" i="27"/>
  <c r="BU127" i="27"/>
  <c r="DQ127" i="27"/>
  <c r="AO128" i="27"/>
  <c r="BU128" i="27"/>
  <c r="DA128" i="27"/>
  <c r="I129" i="27"/>
  <c r="BU129" i="27"/>
  <c r="DQ129" i="27"/>
  <c r="Y130" i="27"/>
  <c r="BU130" i="27"/>
  <c r="DQ130" i="27"/>
  <c r="AO131" i="27"/>
  <c r="BU131" i="27"/>
  <c r="DQ131" i="27"/>
  <c r="CB88" i="27"/>
  <c r="P89" i="27"/>
  <c r="CB89" i="27"/>
  <c r="P90" i="27"/>
  <c r="CB90" i="27"/>
  <c r="P91" i="27"/>
  <c r="CB91" i="27"/>
  <c r="P92" i="27"/>
  <c r="CB92" i="27"/>
  <c r="P93" i="27"/>
  <c r="CB93" i="27"/>
  <c r="P94" i="27"/>
  <c r="CB94" i="27"/>
  <c r="DL94" i="27"/>
  <c r="T95" i="27"/>
  <c r="AZ95" i="27"/>
  <c r="CF95" i="27"/>
  <c r="DL95" i="27"/>
  <c r="T96" i="27"/>
  <c r="AZ96" i="27"/>
  <c r="CF96" i="27"/>
  <c r="DL96" i="27"/>
  <c r="T97" i="27"/>
  <c r="AW97" i="27"/>
  <c r="BM97" i="27"/>
  <c r="CC97" i="27"/>
  <c r="CS97" i="27"/>
  <c r="DI97" i="27"/>
  <c r="DY97" i="27"/>
  <c r="Q98" i="27"/>
  <c r="AG98" i="27"/>
  <c r="AW98" i="27"/>
  <c r="BM98" i="27"/>
  <c r="CC98" i="27"/>
  <c r="CS98" i="27"/>
  <c r="DI98" i="27"/>
  <c r="DY98" i="27"/>
  <c r="Q99" i="27"/>
  <c r="AG99" i="27"/>
  <c r="AW99" i="27"/>
  <c r="BM99" i="27"/>
  <c r="CC99" i="27"/>
  <c r="CS99" i="27"/>
  <c r="DI99" i="27"/>
  <c r="DY99" i="27"/>
  <c r="Q100" i="27"/>
  <c r="AG100" i="27"/>
  <c r="AW100" i="27"/>
  <c r="BM100" i="27"/>
  <c r="CC100" i="27"/>
  <c r="CS100" i="27"/>
  <c r="DI100" i="27"/>
  <c r="DY100" i="27"/>
  <c r="Q101" i="27"/>
  <c r="AG101" i="27"/>
  <c r="AW101" i="27"/>
  <c r="BM101" i="27"/>
  <c r="CC101" i="27"/>
  <c r="CS101" i="27"/>
  <c r="DI101" i="27"/>
  <c r="DY101" i="27"/>
  <c r="Q102" i="27"/>
  <c r="AG102" i="27"/>
  <c r="AW102" i="27"/>
  <c r="BM102" i="27"/>
  <c r="CC102" i="27"/>
  <c r="CS102" i="27"/>
  <c r="DI102" i="27"/>
  <c r="DY102" i="27"/>
  <c r="Q103" i="27"/>
  <c r="AG103" i="27"/>
  <c r="AW103" i="27"/>
  <c r="BM103" i="27"/>
  <c r="CC103" i="27"/>
  <c r="CS103" i="27"/>
  <c r="DI103" i="27"/>
  <c r="DY103" i="27"/>
  <c r="Q104" i="27"/>
  <c r="AG104" i="27"/>
  <c r="AW104" i="27"/>
  <c r="BM104" i="27"/>
  <c r="CC104" i="27"/>
  <c r="CS104" i="27"/>
  <c r="DI104" i="27"/>
  <c r="DY104" i="27"/>
  <c r="Q105" i="27"/>
  <c r="AG105" i="27"/>
  <c r="AW105" i="27"/>
  <c r="BM105" i="27"/>
  <c r="CC105" i="27"/>
  <c r="CS105" i="27"/>
  <c r="DI105" i="27"/>
  <c r="DY105" i="27"/>
  <c r="Q106" i="27"/>
  <c r="AG106" i="27"/>
  <c r="AW106" i="27"/>
  <c r="BM106" i="27"/>
  <c r="CC106" i="27"/>
  <c r="CS106" i="27"/>
  <c r="DI106" i="27"/>
  <c r="DY106" i="27"/>
  <c r="Q107" i="27"/>
  <c r="AG107" i="27"/>
  <c r="AW107" i="27"/>
  <c r="BM107" i="27"/>
  <c r="CC107" i="27"/>
  <c r="CS107" i="27"/>
  <c r="DI107" i="27"/>
  <c r="DY107" i="27"/>
  <c r="Q108" i="27"/>
  <c r="AG108" i="27"/>
  <c r="AW108" i="27"/>
  <c r="BM108" i="27"/>
  <c r="CC108" i="27"/>
  <c r="CS108" i="27"/>
  <c r="DI108" i="27"/>
  <c r="DY108" i="27"/>
  <c r="Q109" i="27"/>
  <c r="AG109" i="27"/>
  <c r="AW109" i="27"/>
  <c r="BM109" i="27"/>
  <c r="CC109" i="27"/>
  <c r="CS109" i="27"/>
  <c r="DI109" i="27"/>
  <c r="DY109" i="27"/>
  <c r="Q110" i="27"/>
  <c r="AG110" i="27"/>
  <c r="AW110" i="27"/>
  <c r="BM110" i="27"/>
  <c r="CC110" i="27"/>
  <c r="CS110" i="27"/>
  <c r="DI110" i="27"/>
  <c r="DY110" i="27"/>
  <c r="Q111" i="27"/>
  <c r="AG111" i="27"/>
  <c r="AW111" i="27"/>
  <c r="BM111" i="27"/>
  <c r="CC111" i="27"/>
  <c r="CS111" i="27"/>
  <c r="DI111" i="27"/>
  <c r="DY111" i="27"/>
  <c r="Q112" i="27"/>
  <c r="AG112" i="27"/>
  <c r="AW112" i="27"/>
  <c r="BM112" i="27"/>
  <c r="CC112" i="27"/>
  <c r="CS112" i="27"/>
  <c r="DI112" i="27"/>
  <c r="DY112" i="27"/>
  <c r="Q113" i="27"/>
  <c r="AG113" i="27"/>
  <c r="AW113" i="27"/>
  <c r="BM113" i="27"/>
  <c r="CC113" i="27"/>
  <c r="CS113" i="27"/>
  <c r="DI113" i="27"/>
  <c r="DY113" i="27"/>
  <c r="Q114" i="27"/>
  <c r="AG114" i="27"/>
  <c r="AW114" i="27"/>
  <c r="BM114" i="27"/>
  <c r="CC114" i="27"/>
  <c r="CS114" i="27"/>
  <c r="DI114" i="27"/>
  <c r="DY114" i="27"/>
  <c r="Q115" i="27"/>
  <c r="AG115" i="27"/>
  <c r="AW115" i="27"/>
  <c r="BM115" i="27"/>
  <c r="CC115" i="27"/>
  <c r="CS115" i="27"/>
  <c r="DI115" i="27"/>
  <c r="DY115" i="27"/>
  <c r="Q116" i="27"/>
  <c r="AG116" i="27"/>
  <c r="AW116" i="27"/>
  <c r="BM116" i="27"/>
  <c r="CC116" i="27"/>
  <c r="CS116" i="27"/>
  <c r="DI116" i="27"/>
  <c r="DY116" i="27"/>
  <c r="Q117" i="27"/>
  <c r="AG117" i="27"/>
  <c r="AW117" i="27"/>
  <c r="BM117" i="27"/>
  <c r="CC117" i="27"/>
  <c r="CS117" i="27"/>
  <c r="DI117" i="27"/>
  <c r="DY117" i="27"/>
  <c r="Q118" i="27"/>
  <c r="AG118" i="27"/>
  <c r="AW118" i="27"/>
  <c r="BM118" i="27"/>
  <c r="CC118" i="27"/>
  <c r="CS118" i="27"/>
  <c r="DI118" i="27"/>
  <c r="DY118" i="27"/>
  <c r="Q119" i="27"/>
  <c r="AG119" i="27"/>
  <c r="AW119" i="27"/>
  <c r="BM119" i="27"/>
  <c r="CC119" i="27"/>
  <c r="CS119" i="27"/>
  <c r="DI119" i="27"/>
  <c r="DY119" i="27"/>
  <c r="Q120" i="27"/>
  <c r="AG120" i="27"/>
  <c r="AW120" i="27"/>
  <c r="BM120" i="27"/>
  <c r="CC120" i="27"/>
  <c r="CS120" i="27"/>
  <c r="DI120" i="27"/>
  <c r="DY120" i="27"/>
  <c r="Q121" i="27"/>
  <c r="AG121" i="27"/>
  <c r="AW121" i="27"/>
  <c r="BM121" i="27"/>
  <c r="CC121" i="27"/>
  <c r="CS121" i="27"/>
  <c r="DI121" i="27"/>
  <c r="DY121" i="27"/>
  <c r="Q122" i="27"/>
  <c r="AG122" i="27"/>
  <c r="AW122" i="27"/>
  <c r="BM122" i="27"/>
  <c r="CC122" i="27"/>
  <c r="CS122" i="27"/>
  <c r="DI122" i="27"/>
  <c r="DY122" i="27"/>
  <c r="Q123" i="27"/>
  <c r="AG123" i="27"/>
  <c r="AW123" i="27"/>
  <c r="BM123" i="27"/>
  <c r="CC123" i="27"/>
  <c r="CS123" i="27"/>
  <c r="DI123" i="27"/>
  <c r="DY123" i="27"/>
  <c r="Q124" i="27"/>
  <c r="AG124" i="27"/>
  <c r="AW124" i="27"/>
  <c r="BM124" i="27"/>
  <c r="CC124" i="27"/>
  <c r="CS124" i="27"/>
  <c r="DI124" i="27"/>
  <c r="DY124" i="27"/>
  <c r="Q125" i="27"/>
  <c r="AG125" i="27"/>
  <c r="AW125" i="27"/>
  <c r="BM125" i="27"/>
  <c r="CC125" i="27"/>
  <c r="CS125" i="27"/>
  <c r="DI125" i="27"/>
  <c r="DY125" i="27"/>
  <c r="Q126" i="27"/>
  <c r="AG126" i="27"/>
  <c r="AW126" i="27"/>
  <c r="BM126" i="27"/>
  <c r="CC126" i="27"/>
  <c r="CS126" i="27"/>
  <c r="DI126" i="27"/>
  <c r="DY126" i="27"/>
  <c r="Q127" i="27"/>
  <c r="AG127" i="27"/>
  <c r="AW127" i="27"/>
  <c r="BM127" i="27"/>
  <c r="CC127" i="27"/>
  <c r="CS127" i="27"/>
  <c r="DI127" i="27"/>
  <c r="DY127" i="27"/>
  <c r="Q128" i="27"/>
  <c r="AG128" i="27"/>
  <c r="AW128" i="27"/>
  <c r="BM128" i="27"/>
  <c r="CC128" i="27"/>
  <c r="CS128" i="27"/>
  <c r="DI128" i="27"/>
  <c r="DY128" i="27"/>
  <c r="Q129" i="27"/>
  <c r="AG129" i="27"/>
  <c r="AW129" i="27"/>
  <c r="BM129" i="27"/>
  <c r="CC129" i="27"/>
  <c r="CS129" i="27"/>
  <c r="DI129" i="27"/>
  <c r="DY129" i="27"/>
  <c r="Q130" i="27"/>
  <c r="AG130" i="27"/>
  <c r="AW130" i="27"/>
  <c r="BM130" i="27"/>
  <c r="CC130" i="27"/>
  <c r="CS130" i="27"/>
  <c r="DI130" i="27"/>
  <c r="DY130" i="27"/>
  <c r="Q131" i="27"/>
  <c r="AG131" i="27"/>
  <c r="AW131" i="27"/>
  <c r="BM131" i="27"/>
  <c r="CC131" i="27"/>
  <c r="CS131" i="27"/>
  <c r="DI131" i="27"/>
  <c r="DY131" i="27"/>
  <c r="AV89" i="27"/>
  <c r="DH90" i="27"/>
  <c r="DH91" i="27"/>
  <c r="DH92" i="27"/>
  <c r="DH93" i="27"/>
  <c r="CV94" i="27"/>
  <c r="AJ95" i="27"/>
  <c r="CV95" i="27"/>
  <c r="AJ96" i="27"/>
  <c r="CV96" i="27"/>
  <c r="AJ97" i="27"/>
  <c r="BU97" i="27"/>
  <c r="DA97" i="27"/>
  <c r="I98" i="27"/>
  <c r="AO98" i="27"/>
  <c r="BU98" i="27"/>
  <c r="DA98" i="27"/>
  <c r="I99" i="27"/>
  <c r="AO99" i="27"/>
  <c r="BU99" i="27"/>
  <c r="DA99" i="27"/>
  <c r="I100" i="27"/>
  <c r="AO100" i="27"/>
  <c r="BU100" i="27"/>
  <c r="DA100" i="27"/>
  <c r="I101" i="27"/>
  <c r="AO101" i="27"/>
  <c r="BU101" i="27"/>
  <c r="DA101" i="27"/>
  <c r="I102" i="27"/>
  <c r="AO102" i="27"/>
  <c r="BU102" i="27"/>
  <c r="DA102" i="27"/>
  <c r="I103" i="27"/>
  <c r="AO103" i="27"/>
  <c r="BU103" i="27"/>
  <c r="DA103" i="27"/>
  <c r="I104" i="27"/>
  <c r="AO104" i="27"/>
  <c r="BU104" i="27"/>
  <c r="I105" i="27"/>
  <c r="BE105" i="27"/>
  <c r="CK105" i="27"/>
  <c r="AO106" i="27"/>
  <c r="CK106" i="27"/>
  <c r="I107" i="27"/>
  <c r="BE107" i="27"/>
  <c r="DA107" i="27"/>
  <c r="AO108" i="27"/>
  <c r="DQ108" i="27"/>
  <c r="AO109" i="27"/>
  <c r="BU109" i="27"/>
  <c r="I110" i="27"/>
  <c r="CK110" i="27"/>
  <c r="I111" i="27"/>
  <c r="BE111" i="27"/>
  <c r="DQ111" i="27"/>
  <c r="Y112" i="27"/>
  <c r="BU112" i="27"/>
  <c r="I113" i="27"/>
  <c r="BE113" i="27"/>
  <c r="DA113" i="27"/>
  <c r="Y114" i="27"/>
  <c r="BE114" i="27"/>
  <c r="DQ114" i="27"/>
  <c r="BE115" i="27"/>
  <c r="DA115" i="27"/>
  <c r="Y116" i="27"/>
  <c r="BU116" i="27"/>
  <c r="DQ116" i="27"/>
  <c r="BE117" i="27"/>
  <c r="DA117" i="27"/>
  <c r="Y118" i="27"/>
  <c r="BU118" i="27"/>
  <c r="DQ118" i="27"/>
  <c r="AO119" i="27"/>
  <c r="CK119" i="27"/>
  <c r="I120" i="27"/>
  <c r="BE120" i="27"/>
  <c r="CK120" i="27"/>
  <c r="Y121" i="27"/>
  <c r="BU121" i="27"/>
  <c r="DQ121" i="27"/>
  <c r="AO122" i="27"/>
  <c r="CK122" i="27"/>
  <c r="DQ122" i="27"/>
  <c r="AO123" i="27"/>
  <c r="CK123" i="27"/>
  <c r="I124" i="27"/>
  <c r="BE124" i="27"/>
  <c r="DA124" i="27"/>
  <c r="AO125" i="27"/>
  <c r="BU125" i="27"/>
  <c r="I126" i="27"/>
  <c r="BE126" i="27"/>
  <c r="DA126" i="27"/>
  <c r="Y127" i="27"/>
  <c r="BE127" i="27"/>
  <c r="DA127" i="27"/>
  <c r="Y128" i="27"/>
  <c r="BE128" i="27"/>
  <c r="DQ128" i="27"/>
  <c r="Y129" i="27"/>
  <c r="BE129" i="27"/>
  <c r="DA129" i="27"/>
  <c r="AO130" i="27"/>
  <c r="CK130" i="27"/>
  <c r="I131" i="27"/>
  <c r="BE131" i="27"/>
  <c r="DA131" i="27"/>
  <c r="CR88" i="27"/>
  <c r="AF89" i="27"/>
  <c r="CR89" i="27"/>
  <c r="AF90" i="27"/>
  <c r="CR90" i="27"/>
  <c r="AF91" i="27"/>
  <c r="CR91" i="27"/>
  <c r="AF92" i="27"/>
  <c r="CR92" i="27"/>
  <c r="AF93" i="27"/>
  <c r="CR93" i="27"/>
  <c r="AF94" i="27"/>
  <c r="CN94" i="27"/>
  <c r="DT94" i="27"/>
  <c r="AB95" i="27"/>
  <c r="BH95" i="27"/>
  <c r="CN95" i="27"/>
  <c r="DT95" i="27"/>
  <c r="AB96" i="27"/>
  <c r="BH96" i="27"/>
  <c r="CN96" i="27"/>
  <c r="DT96" i="27"/>
  <c r="AB97" i="27"/>
  <c r="BA97" i="27"/>
  <c r="BQ97" i="27"/>
  <c r="CG97" i="27"/>
  <c r="CW97" i="27"/>
  <c r="DM97" i="27"/>
  <c r="E98" i="27"/>
  <c r="U98" i="27"/>
  <c r="AK98" i="27"/>
  <c r="BA98" i="27"/>
  <c r="BQ98" i="27"/>
  <c r="CG98" i="27"/>
  <c r="CW98" i="27"/>
  <c r="DM98" i="27"/>
  <c r="E99" i="27"/>
  <c r="U99" i="27"/>
  <c r="AK99" i="27"/>
  <c r="BA99" i="27"/>
  <c r="BQ99" i="27"/>
  <c r="CG99" i="27"/>
  <c r="CW99" i="27"/>
  <c r="DM99" i="27"/>
  <c r="E100" i="27"/>
  <c r="U100" i="27"/>
  <c r="AK100" i="27"/>
  <c r="BA100" i="27"/>
  <c r="BQ100" i="27"/>
  <c r="CG100" i="27"/>
  <c r="CW100" i="27"/>
  <c r="DM100" i="27"/>
  <c r="E101" i="27"/>
  <c r="U101" i="27"/>
  <c r="AK101" i="27"/>
  <c r="BA101" i="27"/>
  <c r="BQ101" i="27"/>
  <c r="CG101" i="27"/>
  <c r="CW101" i="27"/>
  <c r="DM101" i="27"/>
  <c r="E102" i="27"/>
  <c r="U102" i="27"/>
  <c r="AK102" i="27"/>
  <c r="BA102" i="27"/>
  <c r="BQ102" i="27"/>
  <c r="CG102" i="27"/>
  <c r="CW102" i="27"/>
  <c r="DM102" i="27"/>
  <c r="E103" i="27"/>
  <c r="U103" i="27"/>
  <c r="AK103" i="27"/>
  <c r="BA103" i="27"/>
  <c r="BQ103" i="27"/>
  <c r="CG103" i="27"/>
  <c r="CW103" i="27"/>
  <c r="DM103" i="27"/>
  <c r="E104" i="27"/>
  <c r="U104" i="27"/>
  <c r="AK104" i="27"/>
  <c r="BA104" i="27"/>
  <c r="BQ104" i="27"/>
  <c r="CG104" i="27"/>
  <c r="CW104" i="27"/>
  <c r="DM104" i="27"/>
  <c r="E105" i="27"/>
  <c r="U105" i="27"/>
  <c r="AK105" i="27"/>
  <c r="BA105" i="27"/>
  <c r="BQ105" i="27"/>
  <c r="CG105" i="27"/>
  <c r="CW105" i="27"/>
  <c r="DM105" i="27"/>
  <c r="E106" i="27"/>
  <c r="U106" i="27"/>
  <c r="AK106" i="27"/>
  <c r="BA106" i="27"/>
  <c r="BQ106" i="27"/>
  <c r="CG106" i="27"/>
  <c r="CW106" i="27"/>
  <c r="DM106" i="27"/>
  <c r="E107" i="27"/>
  <c r="U107" i="27"/>
  <c r="AK107" i="27"/>
  <c r="BA107" i="27"/>
  <c r="BQ107" i="27"/>
  <c r="CG107" i="27"/>
  <c r="CW107" i="27"/>
  <c r="DM107" i="27"/>
  <c r="E108" i="27"/>
  <c r="U108" i="27"/>
  <c r="AK108" i="27"/>
  <c r="BA108" i="27"/>
  <c r="BQ108" i="27"/>
  <c r="CG108" i="27"/>
  <c r="CW108" i="27"/>
  <c r="DM108" i="27"/>
  <c r="E109" i="27"/>
  <c r="U109" i="27"/>
  <c r="AK109" i="27"/>
  <c r="BA109" i="27"/>
  <c r="BQ109" i="27"/>
  <c r="CG109" i="27"/>
  <c r="CW109" i="27"/>
  <c r="DM109" i="27"/>
  <c r="E110" i="27"/>
  <c r="U110" i="27"/>
  <c r="AK110" i="27"/>
  <c r="BA110" i="27"/>
  <c r="BQ110" i="27"/>
  <c r="CG110" i="27"/>
  <c r="CW110" i="27"/>
  <c r="DM110" i="27"/>
  <c r="E111" i="27"/>
  <c r="U111" i="27"/>
  <c r="AK111" i="27"/>
  <c r="BA111" i="27"/>
  <c r="BQ111" i="27"/>
  <c r="CG111" i="27"/>
  <c r="CW111" i="27"/>
  <c r="DM111" i="27"/>
  <c r="E112" i="27"/>
  <c r="U112" i="27"/>
  <c r="AK112" i="27"/>
  <c r="BA112" i="27"/>
  <c r="BQ112" i="27"/>
  <c r="CG112" i="27"/>
  <c r="CW112" i="27"/>
  <c r="DM112" i="27"/>
  <c r="E113" i="27"/>
  <c r="U113" i="27"/>
  <c r="AK113" i="27"/>
  <c r="BA113" i="27"/>
  <c r="BQ113" i="27"/>
  <c r="CG113" i="27"/>
  <c r="CW113" i="27"/>
  <c r="DM113" i="27"/>
  <c r="E114" i="27"/>
  <c r="U114" i="27"/>
  <c r="AK114" i="27"/>
  <c r="BA114" i="27"/>
  <c r="BQ114" i="27"/>
  <c r="CG114" i="27"/>
  <c r="CW114" i="27"/>
  <c r="DM114" i="27"/>
  <c r="E115" i="27"/>
  <c r="U115" i="27"/>
  <c r="AK115" i="27"/>
  <c r="BA115" i="27"/>
  <c r="BQ115" i="27"/>
  <c r="CG115" i="27"/>
  <c r="CW115" i="27"/>
  <c r="DM115" i="27"/>
  <c r="E116" i="27"/>
  <c r="U116" i="27"/>
  <c r="AK116" i="27"/>
  <c r="BA116" i="27"/>
  <c r="BQ116" i="27"/>
  <c r="CG116" i="27"/>
  <c r="CW116" i="27"/>
  <c r="DM116" i="27"/>
  <c r="E117" i="27"/>
  <c r="U117" i="27"/>
  <c r="AK117" i="27"/>
  <c r="BA117" i="27"/>
  <c r="BQ117" i="27"/>
  <c r="CG117" i="27"/>
  <c r="CW117" i="27"/>
  <c r="DM117" i="27"/>
  <c r="E118" i="27"/>
  <c r="U118" i="27"/>
  <c r="AK118" i="27"/>
  <c r="BA118" i="27"/>
  <c r="BQ118" i="27"/>
  <c r="CG118" i="27"/>
  <c r="CW118" i="27"/>
  <c r="DM118" i="27"/>
  <c r="E119" i="27"/>
  <c r="U119" i="27"/>
  <c r="AK119" i="27"/>
  <c r="BA119" i="27"/>
  <c r="BQ119" i="27"/>
  <c r="CG119" i="27"/>
  <c r="CW119" i="27"/>
  <c r="DM119" i="27"/>
  <c r="E120" i="27"/>
  <c r="U120" i="27"/>
  <c r="AK120" i="27"/>
  <c r="BA120" i="27"/>
  <c r="BQ120" i="27"/>
  <c r="CG120" i="27"/>
  <c r="CW120" i="27"/>
  <c r="DM120" i="27"/>
  <c r="E121" i="27"/>
  <c r="U121" i="27"/>
  <c r="AK121" i="27"/>
  <c r="BA121" i="27"/>
  <c r="BQ121" i="27"/>
  <c r="CG121" i="27"/>
  <c r="CW121" i="27"/>
  <c r="DM121" i="27"/>
  <c r="E122" i="27"/>
  <c r="U122" i="27"/>
  <c r="AK122" i="27"/>
  <c r="BA122" i="27"/>
  <c r="BQ122" i="27"/>
  <c r="CG122" i="27"/>
  <c r="CW122" i="27"/>
  <c r="DM122" i="27"/>
  <c r="E123" i="27"/>
  <c r="U123" i="27"/>
  <c r="AK123" i="27"/>
  <c r="BA123" i="27"/>
  <c r="BQ123" i="27"/>
  <c r="CG123" i="27"/>
  <c r="CW123" i="27"/>
  <c r="DM123" i="27"/>
  <c r="E124" i="27"/>
  <c r="U124" i="27"/>
  <c r="AK124" i="27"/>
  <c r="BA124" i="27"/>
  <c r="BQ124" i="27"/>
  <c r="CG124" i="27"/>
  <c r="CW124" i="27"/>
  <c r="DM124" i="27"/>
  <c r="E125" i="27"/>
  <c r="U125" i="27"/>
  <c r="AK125" i="27"/>
  <c r="BA125" i="27"/>
  <c r="BQ125" i="27"/>
  <c r="CG125" i="27"/>
  <c r="CW125" i="27"/>
  <c r="DM125" i="27"/>
  <c r="E126" i="27"/>
  <c r="U126" i="27"/>
  <c r="AK126" i="27"/>
  <c r="BA126" i="27"/>
  <c r="BQ126" i="27"/>
  <c r="CG126" i="27"/>
  <c r="CW126" i="27"/>
  <c r="DM126" i="27"/>
  <c r="E127" i="27"/>
  <c r="U127" i="27"/>
  <c r="AK127" i="27"/>
  <c r="BA127" i="27"/>
  <c r="BQ127" i="27"/>
  <c r="CG127" i="27"/>
  <c r="CW127" i="27"/>
  <c r="DM127" i="27"/>
  <c r="E128" i="27"/>
  <c r="U128" i="27"/>
  <c r="AK128" i="27"/>
  <c r="BA128" i="27"/>
  <c r="BQ128" i="27"/>
  <c r="CG128" i="27"/>
  <c r="CW128" i="27"/>
  <c r="DM128" i="27"/>
  <c r="E129" i="27"/>
  <c r="U129" i="27"/>
  <c r="AK129" i="27"/>
  <c r="BA129" i="27"/>
  <c r="BQ129" i="27"/>
  <c r="CG129" i="27"/>
  <c r="CW129" i="27"/>
  <c r="DM129" i="27"/>
  <c r="E130" i="27"/>
  <c r="U130" i="27"/>
  <c r="AK130" i="27"/>
  <c r="BA130" i="27"/>
  <c r="BQ130" i="27"/>
  <c r="CG130" i="27"/>
  <c r="CW130" i="27"/>
  <c r="DM130" i="27"/>
  <c r="E131" i="27"/>
  <c r="U131" i="27"/>
  <c r="AK131" i="27"/>
  <c r="BA131" i="27"/>
  <c r="BQ131" i="27"/>
  <c r="CG131" i="27"/>
  <c r="CW131" i="27"/>
  <c r="DM131" i="27"/>
  <c r="DH88" i="27"/>
  <c r="CK103" i="27"/>
  <c r="DA104" i="27"/>
  <c r="Y105" i="27"/>
  <c r="BU105" i="27"/>
  <c r="DQ105" i="27"/>
  <c r="Y106" i="27"/>
  <c r="BE106" i="27"/>
  <c r="DA106" i="27"/>
  <c r="Y107" i="27"/>
  <c r="AO107" i="27"/>
  <c r="CK107" i="27"/>
  <c r="DQ107" i="27"/>
  <c r="Y108" i="27"/>
  <c r="BU108" i="27"/>
  <c r="DA108" i="27"/>
  <c r="I109" i="27"/>
  <c r="BE109" i="27"/>
  <c r="CK109" i="27"/>
  <c r="DQ109" i="27"/>
  <c r="AO110" i="27"/>
  <c r="BU110" i="27"/>
  <c r="DA110" i="27"/>
  <c r="Y111" i="27"/>
  <c r="AO111" i="27"/>
  <c r="CK111" i="27"/>
  <c r="I112" i="27"/>
  <c r="AO112" i="27"/>
  <c r="CK112" i="27"/>
  <c r="DQ112" i="27"/>
  <c r="Y113" i="27"/>
  <c r="BU113" i="27"/>
  <c r="DQ113" i="27"/>
  <c r="AO114" i="27"/>
  <c r="CK114" i="27"/>
  <c r="I115" i="27"/>
  <c r="AO115" i="27"/>
  <c r="CK115" i="27"/>
  <c r="DQ115" i="27"/>
  <c r="AO116" i="27"/>
  <c r="CK116" i="27"/>
  <c r="I117" i="27"/>
  <c r="AO117" i="27"/>
  <c r="BU117" i="27"/>
  <c r="DQ117" i="27"/>
  <c r="AO118" i="27"/>
  <c r="CK118" i="27"/>
  <c r="I119" i="27"/>
  <c r="BE119" i="27"/>
  <c r="DA119" i="27"/>
  <c r="Y120" i="27"/>
  <c r="BU120" i="27"/>
  <c r="DQ120" i="27"/>
  <c r="AO121" i="27"/>
  <c r="CK121" i="27"/>
  <c r="I122" i="27"/>
  <c r="BU122" i="27"/>
  <c r="Y123" i="27"/>
  <c r="BU123" i="27"/>
  <c r="DQ123" i="27"/>
  <c r="AO124" i="27"/>
  <c r="CK124" i="27"/>
  <c r="I125" i="27"/>
  <c r="BE125" i="27"/>
  <c r="DA125" i="27"/>
  <c r="Y126" i="27"/>
  <c r="BU126" i="27"/>
  <c r="I127" i="27"/>
  <c r="CK127" i="27"/>
  <c r="I128" i="27"/>
  <c r="CK128" i="27"/>
  <c r="AO129" i="27"/>
  <c r="CK129" i="27"/>
  <c r="I130" i="27"/>
  <c r="BE130" i="27"/>
  <c r="DA130" i="27"/>
  <c r="Y131" i="27"/>
  <c r="CK131" i="27"/>
  <c r="B4" i="36" a="1"/>
  <c r="B4" i="36" s="1"/>
  <c r="AQ13" i="36" s="1" a="1"/>
  <c r="AQ13" i="36" l="1"/>
  <c r="B55" i="36" s="1" a="1"/>
  <c r="AQ17" i="36"/>
  <c r="AQ21" i="36"/>
  <c r="AQ25" i="36"/>
  <c r="AQ29" i="36"/>
  <c r="AQ33" i="36"/>
  <c r="AQ37" i="36"/>
  <c r="AQ41" i="36"/>
  <c r="AQ45" i="36"/>
  <c r="AQ49" i="36"/>
  <c r="AQ15" i="36"/>
  <c r="AQ19" i="36"/>
  <c r="AQ23" i="36"/>
  <c r="AQ27" i="36"/>
  <c r="AQ31" i="36"/>
  <c r="AQ35" i="36"/>
  <c r="AQ39" i="36"/>
  <c r="AQ43" i="36"/>
  <c r="AQ47" i="36"/>
  <c r="AQ51" i="36"/>
  <c r="AQ16" i="36"/>
  <c r="AQ20" i="36"/>
  <c r="AQ24" i="36"/>
  <c r="AQ28" i="36"/>
  <c r="AQ32" i="36"/>
  <c r="AQ36" i="36"/>
  <c r="AQ40" i="36"/>
  <c r="AQ44" i="36"/>
  <c r="AQ48" i="36"/>
  <c r="AQ52" i="36"/>
  <c r="AQ14" i="36"/>
  <c r="AQ18" i="36"/>
  <c r="AQ22" i="36"/>
  <c r="AQ26" i="36"/>
  <c r="AQ30" i="36"/>
  <c r="AQ34" i="36"/>
  <c r="AQ38" i="36"/>
  <c r="AQ42" i="36"/>
  <c r="AQ46" i="36"/>
  <c r="AQ50" i="36"/>
  <c r="B56" i="36" l="1"/>
  <c r="B60" i="36"/>
  <c r="B64" i="36"/>
  <c r="B68" i="36"/>
  <c r="B72" i="36"/>
  <c r="B76" i="36"/>
  <c r="B80" i="36"/>
  <c r="B84" i="36"/>
  <c r="B88" i="36"/>
  <c r="B92" i="36"/>
  <c r="B57" i="36"/>
  <c r="B61" i="36"/>
  <c r="B65" i="36"/>
  <c r="B69" i="36"/>
  <c r="B73" i="36"/>
  <c r="B77" i="36"/>
  <c r="B81" i="36"/>
  <c r="B85" i="36"/>
  <c r="B89" i="36"/>
  <c r="B93" i="36"/>
  <c r="B58" i="36"/>
  <c r="B62" i="36"/>
  <c r="B66" i="36"/>
  <c r="B70" i="36"/>
  <c r="B74" i="36"/>
  <c r="B78" i="36"/>
  <c r="B82" i="36"/>
  <c r="B86" i="36"/>
  <c r="B90" i="36"/>
  <c r="B94" i="36"/>
  <c r="B55" i="36"/>
  <c r="B96" i="36" s="1"/>
  <c r="B59" i="36"/>
  <c r="B63" i="36"/>
  <c r="B67" i="36"/>
  <c r="B71" i="36"/>
  <c r="B75" i="36"/>
  <c r="B79" i="36"/>
  <c r="B83" i="36"/>
  <c r="B87" i="36"/>
  <c r="B91" i="36"/>
</calcChain>
</file>

<file path=xl/sharedStrings.xml><?xml version="1.0" encoding="utf-8"?>
<sst xmlns="http://schemas.openxmlformats.org/spreadsheetml/2006/main" count="1769" uniqueCount="177">
  <si>
    <t>Returns</t>
  </si>
  <si>
    <t xml:space="preserve">Correlation Matrix </t>
  </si>
  <si>
    <t xml:space="preserve">Triangular Correlation </t>
  </si>
  <si>
    <t>Average</t>
  </si>
  <si>
    <t>GSPC</t>
  </si>
  <si>
    <t>SINGLE-INDEX VARIANCE-COVARIANCE MATRIX</t>
  </si>
  <si>
    <t xml:space="preserve">Variance Covariance matrix </t>
  </si>
  <si>
    <t>Constant Correlation Model</t>
  </si>
  <si>
    <t xml:space="preserve">Shrinkage method </t>
  </si>
  <si>
    <t xml:space="preserve">Shrinkage factor </t>
  </si>
  <si>
    <t>Shrinkage Matrix</t>
  </si>
  <si>
    <t>constant sample covariance matrix</t>
  </si>
  <si>
    <t>matrix with only variances on diagonal and zeros elsewhere</t>
  </si>
  <si>
    <t>Price</t>
  </si>
  <si>
    <t>Date</t>
  </si>
  <si>
    <t>JNJ</t>
  </si>
  <si>
    <t>PFE</t>
  </si>
  <si>
    <t>LLY</t>
  </si>
  <si>
    <t>ABBV</t>
  </si>
  <si>
    <t>MRK</t>
  </si>
  <si>
    <t>AMGN</t>
  </si>
  <si>
    <t>BMY</t>
  </si>
  <si>
    <t>TMO</t>
  </si>
  <si>
    <t>ILMN</t>
  </si>
  <si>
    <t>IDXX</t>
  </si>
  <si>
    <t>DXCM</t>
  </si>
  <si>
    <t>A</t>
  </si>
  <si>
    <t>IQV</t>
  </si>
  <si>
    <t>MTD</t>
  </si>
  <si>
    <t>UNH</t>
  </si>
  <si>
    <t>CVS</t>
  </si>
  <si>
    <t>ANTM</t>
  </si>
  <si>
    <t>REGN</t>
  </si>
  <si>
    <t>ABT</t>
  </si>
  <si>
    <t>MDT</t>
  </si>
  <si>
    <t>SYK</t>
  </si>
  <si>
    <t>CTLT</t>
  </si>
  <si>
    <t>ZTS</t>
  </si>
  <si>
    <t>VTRS</t>
  </si>
  <si>
    <t>BDX</t>
  </si>
  <si>
    <t>ISRG</t>
  </si>
  <si>
    <t>RMD</t>
  </si>
  <si>
    <t>BAX</t>
  </si>
  <si>
    <t>MSFT</t>
  </si>
  <si>
    <t>ADBE</t>
  </si>
  <si>
    <t>ORCL</t>
  </si>
  <si>
    <t>SNPS</t>
  </si>
  <si>
    <t>FTNT</t>
  </si>
  <si>
    <t>VRSN</t>
  </si>
  <si>
    <t>AKAM</t>
  </si>
  <si>
    <t>NLOK</t>
  </si>
  <si>
    <t>FFIV</t>
  </si>
  <si>
    <t>NVDA</t>
  </si>
  <si>
    <t>INTC</t>
  </si>
  <si>
    <t>AVGO</t>
  </si>
  <si>
    <t>TXN</t>
  </si>
  <si>
    <t>QCOM</t>
  </si>
  <si>
    <t>AMD</t>
  </si>
  <si>
    <t>MU</t>
  </si>
  <si>
    <t>ADI</t>
  </si>
  <si>
    <t>NXPI</t>
  </si>
  <si>
    <t>MCHP</t>
  </si>
  <si>
    <t>XLNX</t>
  </si>
  <si>
    <t>SWKS</t>
  </si>
  <si>
    <t>AAPL</t>
  </si>
  <si>
    <t>CRM</t>
  </si>
  <si>
    <t>NOW</t>
  </si>
  <si>
    <t>GRMN</t>
  </si>
  <si>
    <t>KEYS</t>
  </si>
  <si>
    <t>FTV</t>
  </si>
  <si>
    <t>HPQ</t>
  </si>
  <si>
    <t>IBM</t>
  </si>
  <si>
    <t>AMZN</t>
  </si>
  <si>
    <t>EBAY</t>
  </si>
  <si>
    <t>ETSY</t>
  </si>
  <si>
    <t>GM</t>
  </si>
  <si>
    <t>MCD</t>
  </si>
  <si>
    <t>SBUX</t>
  </si>
  <si>
    <t>DRI</t>
  </si>
  <si>
    <t>NKE</t>
  </si>
  <si>
    <t>HD</t>
  </si>
  <si>
    <t>PKG</t>
  </si>
  <si>
    <t>BLL</t>
  </si>
  <si>
    <t>AMCR</t>
  </si>
  <si>
    <t>BKNG</t>
  </si>
  <si>
    <t>CCL</t>
  </si>
  <si>
    <t>YUM</t>
  </si>
  <si>
    <t>DPZ</t>
  </si>
  <si>
    <t>BBWI</t>
  </si>
  <si>
    <t>TSCO</t>
  </si>
  <si>
    <t>AAP</t>
  </si>
  <si>
    <t>PG</t>
  </si>
  <si>
    <t>KO</t>
  </si>
  <si>
    <t>PEP</t>
  </si>
  <si>
    <t>PM</t>
  </si>
  <si>
    <t>UL</t>
  </si>
  <si>
    <t>DEO</t>
  </si>
  <si>
    <t>BUD</t>
  </si>
  <si>
    <t>EL</t>
  </si>
  <si>
    <t>MDLZ</t>
  </si>
  <si>
    <t>VTI</t>
  </si>
  <si>
    <t>CL</t>
  </si>
  <si>
    <t>KHC</t>
  </si>
  <si>
    <t>SYY</t>
  </si>
  <si>
    <t>HRL</t>
  </si>
  <si>
    <t>K</t>
  </si>
  <si>
    <t>MKC</t>
  </si>
  <si>
    <t>CHD</t>
  </si>
  <si>
    <t>CLX</t>
  </si>
  <si>
    <t>CPB</t>
  </si>
  <si>
    <t>NWL</t>
  </si>
  <si>
    <t>USFD</t>
  </si>
  <si>
    <t>PPC</t>
  </si>
  <si>
    <t>UPS</t>
  </si>
  <si>
    <t>FDX</t>
  </si>
  <si>
    <t>RLGT</t>
  </si>
  <si>
    <t>AIRT</t>
  </si>
  <si>
    <t>DSGX</t>
  </si>
  <si>
    <t>ECHO</t>
  </si>
  <si>
    <t>VRTV</t>
  </si>
  <si>
    <t>ARCB</t>
  </si>
  <si>
    <t>PANL</t>
  </si>
  <si>
    <t>ODFL</t>
  </si>
  <si>
    <t>HUBG</t>
  </si>
  <si>
    <t>DLHC</t>
  </si>
  <si>
    <t>PLXS</t>
  </si>
  <si>
    <t>XOM</t>
  </si>
  <si>
    <t>CVX</t>
  </si>
  <si>
    <t>COP</t>
  </si>
  <si>
    <t>PXD</t>
  </si>
  <si>
    <t>EOG</t>
  </si>
  <si>
    <t>HES</t>
  </si>
  <si>
    <t>OXY</t>
  </si>
  <si>
    <t>DVN</t>
  </si>
  <si>
    <t>FANG</t>
  </si>
  <si>
    <t>SLB</t>
  </si>
  <si>
    <t>BKR</t>
  </si>
  <si>
    <t>FTI</t>
  </si>
  <si>
    <t>NOV</t>
  </si>
  <si>
    <t>TSLA</t>
  </si>
  <si>
    <t>RACE</t>
  </si>
  <si>
    <t>MGA</t>
  </si>
  <si>
    <t>F</t>
  </si>
  <si>
    <t>Average 
Returns</t>
  </si>
  <si>
    <t>APA</t>
  </si>
  <si>
    <t>constant</t>
  </si>
  <si>
    <t>Selected Stock</t>
  </si>
  <si>
    <t>Using the Shrinkage Matrix</t>
  </si>
  <si>
    <t>Mean</t>
  </si>
  <si>
    <t>Constant</t>
  </si>
  <si>
    <t>Envelope portfolio</t>
  </si>
  <si>
    <t>Portfolio mean</t>
  </si>
  <si>
    <t>Portfolio sigma</t>
  </si>
  <si>
    <r>
      <t xml:space="preserve">q </t>
    </r>
    <r>
      <rPr>
        <sz val="10"/>
        <rFont val="Arial"/>
        <family val="2"/>
      </rPr>
      <t>= Theta = 
(mean-constant)/sigma</t>
    </r>
  </si>
  <si>
    <t>Mrket Cap</t>
  </si>
  <si>
    <t>(billion $)</t>
  </si>
  <si>
    <t>Anticipated benchmark return</t>
  </si>
  <si>
    <t>Normalizing factor</t>
  </si>
  <si>
    <t>⏤S&amp;P 500 Average</t>
  </si>
  <si>
    <t>Risk-free rate</t>
  </si>
  <si>
    <t>Variance-covariance matrix</t>
  </si>
  <si>
    <t>Market cap (billion $)</t>
  </si>
  <si>
    <t>Benchmark proportions</t>
  </si>
  <si>
    <t>With normalizing factor</t>
  </si>
  <si>
    <t>Optimal portfolio</t>
  </si>
  <si>
    <t>Sum of proportions</t>
  </si>
  <si>
    <t xml:space="preserve">Applying Black-Litterman to the model </t>
  </si>
  <si>
    <t>Tracking matrix</t>
  </si>
  <si>
    <t>Expected benchmark returns, no opinions</t>
  </si>
  <si>
    <r>
      <t xml:space="preserve">Analyst
opinion,
delta, </t>
    </r>
    <r>
      <rPr>
        <sz val="10"/>
        <rFont val="Symbol"/>
        <family val="1"/>
        <charset val="2"/>
      </rPr>
      <t>d</t>
    </r>
  </si>
  <si>
    <t>Monthly returns adjusted for opinions</t>
  </si>
  <si>
    <t>Opinion-adjusted optimized portfolio</t>
  </si>
  <si>
    <t>Portfolio
benchmark, no opinions</t>
  </si>
  <si>
    <t>No short sale constrains</t>
  </si>
  <si>
    <t>No short sales</t>
  </si>
  <si>
    <t>short sales</t>
  </si>
  <si>
    <t>black litterman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</si>
</sst>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d\-mmm\-yy;@"/>
    <numFmt numFmtId="165" formatCode="yyyy\-mm\-dd;@"/>
    <numFmt numFmtId="166" formatCode="0.0000"/>
    <numFmt numFmtId="167" formatCode="0.000"/>
    <numFmt numFmtId="168" formatCode="0.000%"/>
  </numFmts>
  <fonts count="21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2"/>
      <color theme="1"/>
      <name val="TimesNewRomanPSMT"/>
      <family val="1"/>
    </font>
    <font>
      <sz val="11"/>
      <color theme="1"/>
      <name val="Arial"/>
      <family val="2"/>
    </font>
    <font>
      <b/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4"/>
      <charset val="134"/>
      <scheme val="minor"/>
    </font>
    <font>
      <b/>
      <sz val="11"/>
      <color theme="1"/>
      <name val="Arial"/>
      <family val="2"/>
    </font>
    <font>
      <sz val="12"/>
      <color rgb="FF000000"/>
      <name val="Calibri"/>
      <family val="2"/>
      <charset val="134"/>
    </font>
    <font>
      <b/>
      <sz val="28"/>
      <color theme="1"/>
      <name val="TimesNewRomanPSMT"/>
      <family val="1"/>
    </font>
    <font>
      <b/>
      <sz val="11"/>
      <color rgb="FF000000"/>
      <name val="Calibri"/>
      <family val="2"/>
      <scheme val="minor"/>
    </font>
    <font>
      <b/>
      <sz val="11"/>
      <color theme="1"/>
      <name val="Arial"/>
      <family val="2"/>
      <charset val="134"/>
    </font>
    <font>
      <b/>
      <sz val="11"/>
      <color rgb="FF000000"/>
      <name val="Calibri"/>
      <family val="4"/>
      <charset val="134"/>
      <scheme val="minor"/>
    </font>
    <font>
      <sz val="11"/>
      <color rgb="FF000000"/>
      <name val="Calibri"/>
      <family val="2"/>
      <scheme val="minor"/>
    </font>
    <font>
      <sz val="10"/>
      <name val="Symbol"/>
      <family val="1"/>
      <charset val="2"/>
    </font>
    <font>
      <b/>
      <sz val="22"/>
      <color theme="1"/>
      <name val="Arial"/>
      <family val="2"/>
    </font>
    <font>
      <b/>
      <sz val="16"/>
      <name val="Arial"/>
      <family val="2"/>
    </font>
    <font>
      <sz val="9"/>
      <name val="宋体"/>
      <family val="3"/>
      <charset val="134"/>
    </font>
    <font>
      <sz val="14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">
    <xf numFmtId="164" fontId="0" fillId="0" borderId="0"/>
    <xf numFmtId="164" fontId="2" fillId="0" borderId="0"/>
    <xf numFmtId="9" fontId="2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1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64" fontId="5" fillId="0" borderId="0"/>
    <xf numFmtId="0" fontId="3" fillId="0" borderId="0"/>
    <xf numFmtId="9" fontId="3" fillId="0" borderId="0" applyFont="0" applyFill="0" applyBorder="0" applyAlignment="0" applyProtection="0"/>
  </cellStyleXfs>
  <cellXfs count="39">
    <xf numFmtId="164" fontId="0" fillId="0" borderId="0" xfId="0"/>
    <xf numFmtId="166" fontId="0" fillId="0" borderId="0" xfId="0" applyNumberFormat="1"/>
    <xf numFmtId="164" fontId="4" fillId="0" borderId="0" xfId="0" applyFont="1"/>
    <xf numFmtId="0" fontId="0" fillId="0" borderId="0" xfId="0" applyNumberFormat="1"/>
    <xf numFmtId="1" fontId="0" fillId="0" borderId="0" xfId="0" applyNumberFormat="1"/>
    <xf numFmtId="0" fontId="6" fillId="0" borderId="0" xfId="3" applyFont="1" applyFill="1" applyAlignment="1">
      <alignment horizontal="center"/>
    </xf>
    <xf numFmtId="164" fontId="7" fillId="0" borderId="0" xfId="0" applyFont="1"/>
    <xf numFmtId="164" fontId="8" fillId="0" borderId="0" xfId="0" applyFont="1"/>
    <xf numFmtId="165" fontId="8" fillId="0" borderId="0" xfId="0" applyNumberFormat="1" applyFont="1"/>
    <xf numFmtId="0" fontId="8" fillId="0" borderId="0" xfId="0" applyNumberFormat="1" applyFont="1"/>
    <xf numFmtId="167" fontId="8" fillId="0" borderId="0" xfId="0" applyNumberFormat="1" applyFont="1"/>
    <xf numFmtId="167" fontId="0" fillId="0" borderId="0" xfId="7" applyNumberFormat="1" applyFont="1"/>
    <xf numFmtId="164" fontId="9" fillId="0" borderId="0" xfId="0" applyFont="1"/>
    <xf numFmtId="167" fontId="0" fillId="0" borderId="0" xfId="0" applyNumberFormat="1"/>
    <xf numFmtId="164" fontId="8" fillId="0" borderId="0" xfId="0" applyFont="1" applyFill="1"/>
    <xf numFmtId="0" fontId="10" fillId="0" borderId="0" xfId="0" applyNumberFormat="1" applyFont="1"/>
    <xf numFmtId="164" fontId="11" fillId="0" borderId="0" xfId="0" applyFont="1"/>
    <xf numFmtId="164" fontId="12" fillId="0" borderId="0" xfId="0" applyFont="1"/>
    <xf numFmtId="164" fontId="13" fillId="0" borderId="0" xfId="0" applyFont="1"/>
    <xf numFmtId="164" fontId="14" fillId="0" borderId="0" xfId="0" applyFont="1"/>
    <xf numFmtId="164" fontId="15" fillId="0" borderId="0" xfId="0" applyFont="1"/>
    <xf numFmtId="164" fontId="9" fillId="0" borderId="0" xfId="0" applyFont="1" applyAlignment="1">
      <alignment horizontal="center" wrapText="1"/>
    </xf>
    <xf numFmtId="9" fontId="0" fillId="0" borderId="0" xfId="7" applyFont="1"/>
    <xf numFmtId="10" fontId="0" fillId="0" borderId="0" xfId="7" applyNumberFormat="1" applyFont="1"/>
    <xf numFmtId="164" fontId="0" fillId="0" borderId="0" xfId="0" applyAlignment="1">
      <alignment wrapText="1"/>
    </xf>
    <xf numFmtId="10" fontId="7" fillId="0" borderId="0" xfId="7" applyNumberFormat="1" applyFont="1" applyAlignment="1">
      <alignment horizontal="center" vertical="center" wrapText="1"/>
    </xf>
    <xf numFmtId="164" fontId="16" fillId="0" borderId="0" xfId="0" applyFont="1" applyFill="1" applyAlignment="1">
      <alignment horizontal="left" wrapText="1"/>
    </xf>
    <xf numFmtId="164" fontId="0" fillId="0" borderId="0" xfId="0" applyFill="1"/>
    <xf numFmtId="164" fontId="6" fillId="0" borderId="0" xfId="0" applyFont="1"/>
    <xf numFmtId="168" fontId="0" fillId="0" borderId="0" xfId="7" applyNumberFormat="1" applyFont="1"/>
    <xf numFmtId="164" fontId="9" fillId="0" borderId="0" xfId="0" applyFont="1" applyFill="1" applyAlignment="1">
      <alignment horizontal="center" wrapText="1"/>
    </xf>
    <xf numFmtId="164" fontId="17" fillId="0" borderId="0" xfId="0" applyFont="1" applyAlignment="1">
      <alignment vertical="center"/>
    </xf>
    <xf numFmtId="164" fontId="18" fillId="0" borderId="0" xfId="0" applyFont="1"/>
    <xf numFmtId="164" fontId="0" fillId="0" borderId="0" xfId="0" applyAlignment="1">
      <alignment horizontal="center" vertical="center" wrapText="1"/>
    </xf>
    <xf numFmtId="164" fontId="3" fillId="0" borderId="0" xfId="0" applyFont="1" applyAlignment="1">
      <alignment horizontal="center" vertical="center" wrapText="1"/>
    </xf>
    <xf numFmtId="0" fontId="0" fillId="0" borderId="0" xfId="7" applyNumberFormat="1" applyFont="1"/>
    <xf numFmtId="166" fontId="0" fillId="0" borderId="0" xfId="7" applyNumberFormat="1" applyFont="1"/>
    <xf numFmtId="164" fontId="20" fillId="0" borderId="0" xfId="0" applyFont="1"/>
    <xf numFmtId="164" fontId="6" fillId="0" borderId="0" xfId="0" applyFont="1" applyAlignment="1">
      <alignment horizontal="center" vertical="center" wrapText="1"/>
    </xf>
  </cellXfs>
  <cellStyles count="13">
    <cellStyle name="Normal 2" xfId="1"/>
    <cellStyle name="Normal 2 2" xfId="5"/>
    <cellStyle name="Normal 3" xfId="3"/>
    <cellStyle name="Percent 2" xfId="2"/>
    <cellStyle name="Percent 2 2" xfId="6"/>
    <cellStyle name="Percent 3" xfId="4"/>
    <cellStyle name="常规" xfId="0" builtinId="0"/>
    <cellStyle name="常规 2" xfId="10"/>
    <cellStyle name="常规 3" xfId="11"/>
    <cellStyle name="常规 4" xfId="8"/>
    <cellStyle name="百分比" xfId="7" builtinId="5"/>
    <cellStyle name="百分比 2" xfId="12"/>
    <cellStyle name="百分比 3" xfId="9"/>
  </cellStyles>
  <dxfs count="7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imon/WORK/FM4/FM4BOOK/2FM4Portfolio/UVA%20homework%20for%20chap1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ce data"/>
      <sheetName val="Return data"/>
      <sheetName val="Var-cov, correlation matrices"/>
      <sheetName val="Questions 1-3"/>
      <sheetName val="Questions 1-3 template"/>
      <sheetName val="Additional"/>
      <sheetName val="Non-neg portfolios"/>
      <sheetName val="Non-neg portfolios (2)"/>
      <sheetName val="Question4 answer"/>
      <sheetName val="Question4 template"/>
    </sheetNames>
    <sheetDataSet>
      <sheetData sheetId="0" refreshError="1"/>
      <sheetData sheetId="1" refreshError="1"/>
      <sheetData sheetId="2" refreshError="1"/>
      <sheetData sheetId="3">
        <row r="4">
          <cell r="B4">
            <v>1.9810914800911777E-3</v>
          </cell>
          <cell r="M4">
            <v>1.6314405356698009E-2</v>
          </cell>
        </row>
        <row r="5">
          <cell r="M5">
            <v>-1.6754633534767572E-2</v>
          </cell>
        </row>
        <row r="6">
          <cell r="M6">
            <v>-1.0910787293871734E-2</v>
          </cell>
        </row>
        <row r="7">
          <cell r="M7">
            <v>3.111432634675974E-3</v>
          </cell>
        </row>
        <row r="8">
          <cell r="M8">
            <v>2.938002465421866E-2</v>
          </cell>
        </row>
        <row r="9">
          <cell r="M9">
            <v>2.4100559722535528E-3</v>
          </cell>
        </row>
        <row r="10">
          <cell r="M10">
            <v>-6.916717138818293E-3</v>
          </cell>
        </row>
        <row r="11">
          <cell r="M11">
            <v>-2.8297230393105721E-2</v>
          </cell>
        </row>
        <row r="12">
          <cell r="M12">
            <v>1.2861533172351114E-3</v>
          </cell>
        </row>
        <row r="13">
          <cell r="M13">
            <v>4.6539213934968732E-3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A194"/>
  <sheetViews>
    <sheetView topLeftCell="I128" zoomScale="50" zoomScaleNormal="14" workbookViewId="0">
      <selection activeCell="AG191" sqref="AG191"/>
    </sheetView>
  </sheetViews>
  <sheetFormatPr defaultColWidth="11" defaultRowHeight="14.25"/>
  <cols>
    <col min="1" max="1" width="12.5" customWidth="1"/>
    <col min="2" max="2" width="11.125" bestFit="1" customWidth="1"/>
    <col min="3" max="3" width="11" bestFit="1" customWidth="1"/>
    <col min="4" max="5" width="11.125" bestFit="1" customWidth="1"/>
    <col min="6" max="6" width="11" bestFit="1" customWidth="1"/>
    <col min="7" max="7" width="11.125" bestFit="1" customWidth="1"/>
    <col min="8" max="8" width="11" bestFit="1" customWidth="1"/>
    <col min="9" max="14" width="11.125" bestFit="1" customWidth="1"/>
    <col min="15" max="15" width="12.125" bestFit="1" customWidth="1"/>
    <col min="16" max="16" width="11.125" bestFit="1" customWidth="1"/>
    <col min="17" max="17" width="11" bestFit="1" customWidth="1"/>
    <col min="18" max="24" width="11.125" bestFit="1" customWidth="1"/>
    <col min="25" max="25" width="11" bestFit="1" customWidth="1"/>
    <col min="26" max="26" width="11.125" bestFit="1" customWidth="1"/>
    <col min="27" max="27" width="12.125" bestFit="1" customWidth="1"/>
    <col min="28" max="28" width="11.125" bestFit="1" customWidth="1"/>
    <col min="29" max="29" width="11" bestFit="1" customWidth="1"/>
    <col min="30" max="31" width="11.125" bestFit="1" customWidth="1"/>
    <col min="32" max="32" width="11" bestFit="1" customWidth="1"/>
    <col min="33" max="36" width="11.125" bestFit="1" customWidth="1"/>
    <col min="37" max="37" width="11" bestFit="1" customWidth="1"/>
    <col min="38" max="39" width="11.125" bestFit="1" customWidth="1"/>
    <col min="40" max="40" width="11" bestFit="1" customWidth="1"/>
    <col min="41" max="44" width="11.125" bestFit="1" customWidth="1"/>
    <col min="45" max="45" width="11" bestFit="1" customWidth="1"/>
    <col min="46" max="55" width="11.125" bestFit="1" customWidth="1"/>
    <col min="56" max="57" width="11" bestFit="1" customWidth="1"/>
    <col min="58" max="58" width="11.125" bestFit="1" customWidth="1"/>
    <col min="59" max="59" width="12.125" bestFit="1" customWidth="1"/>
    <col min="60" max="60" width="11" bestFit="1" customWidth="1"/>
    <col min="61" max="61" width="11.125" bestFit="1" customWidth="1"/>
    <col min="62" max="62" width="11" bestFit="1" customWidth="1"/>
    <col min="63" max="68" width="11.125" bestFit="1" customWidth="1"/>
    <col min="69" max="70" width="11" bestFit="1" customWidth="1"/>
    <col min="71" max="71" width="12.125" bestFit="1" customWidth="1"/>
    <col min="72" max="72" width="11" bestFit="1" customWidth="1"/>
    <col min="73" max="73" width="10.5" customWidth="1"/>
    <col min="74" max="74" width="11.125" bestFit="1" customWidth="1"/>
    <col min="75" max="75" width="11" bestFit="1" customWidth="1"/>
    <col min="76" max="78" width="11.125" bestFit="1" customWidth="1"/>
    <col min="79" max="79" width="11" bestFit="1" customWidth="1"/>
    <col min="80" max="81" width="11.125" bestFit="1" customWidth="1"/>
    <col min="82" max="82" width="11" bestFit="1" customWidth="1"/>
    <col min="83" max="85" width="11.125" bestFit="1" customWidth="1"/>
    <col min="86" max="86" width="11" bestFit="1" customWidth="1"/>
    <col min="87" max="87" width="11.125" bestFit="1" customWidth="1"/>
    <col min="88" max="92" width="11" bestFit="1" customWidth="1"/>
    <col min="93" max="93" width="11.125" bestFit="1" customWidth="1"/>
    <col min="94" max="94" width="11" bestFit="1" customWidth="1"/>
    <col min="95" max="95" width="11.125" bestFit="1" customWidth="1"/>
    <col min="96" max="99" width="11" bestFit="1" customWidth="1"/>
    <col min="100" max="101" width="11.125" bestFit="1" customWidth="1"/>
    <col min="102" max="108" width="11" bestFit="1" customWidth="1"/>
    <col min="109" max="109" width="11.125" bestFit="1" customWidth="1"/>
    <col min="110" max="113" width="11" bestFit="1" customWidth="1"/>
    <col min="114" max="114" width="11.125" bestFit="1" customWidth="1"/>
    <col min="115" max="115" width="11" bestFit="1" customWidth="1"/>
    <col min="116" max="117" width="11.125" bestFit="1" customWidth="1"/>
    <col min="118" max="120" width="11" bestFit="1" customWidth="1"/>
    <col min="121" max="121" width="11.125" bestFit="1" customWidth="1"/>
    <col min="122" max="125" width="11" bestFit="1" customWidth="1"/>
    <col min="126" max="126" width="11" customWidth="1"/>
    <col min="127" max="128" width="11.125" bestFit="1" customWidth="1"/>
    <col min="129" max="130" width="11" bestFit="1" customWidth="1"/>
  </cols>
  <sheetData>
    <row r="1" spans="1:131" ht="27">
      <c r="A1" s="2" t="s">
        <v>13</v>
      </c>
    </row>
    <row r="2" spans="1:131" ht="15">
      <c r="A2" s="7" t="s">
        <v>14</v>
      </c>
      <c r="B2" s="7" t="s">
        <v>15</v>
      </c>
      <c r="C2" s="7" t="s">
        <v>16</v>
      </c>
      <c r="D2" s="7" t="s">
        <v>17</v>
      </c>
      <c r="E2" s="7" t="s">
        <v>18</v>
      </c>
      <c r="F2" s="7" t="s">
        <v>19</v>
      </c>
      <c r="G2" s="7" t="s">
        <v>20</v>
      </c>
      <c r="H2" s="7" t="s">
        <v>21</v>
      </c>
      <c r="I2" s="7" t="s">
        <v>22</v>
      </c>
      <c r="J2" s="7" t="s">
        <v>23</v>
      </c>
      <c r="K2" s="7" t="s">
        <v>24</v>
      </c>
      <c r="L2" s="7" t="s">
        <v>25</v>
      </c>
      <c r="M2" s="7" t="s">
        <v>26</v>
      </c>
      <c r="N2" s="7" t="s">
        <v>27</v>
      </c>
      <c r="O2" s="7" t="s">
        <v>28</v>
      </c>
      <c r="P2" s="7" t="s">
        <v>29</v>
      </c>
      <c r="Q2" s="7" t="s">
        <v>30</v>
      </c>
      <c r="R2" s="7" t="s">
        <v>31</v>
      </c>
      <c r="S2" s="7" t="s">
        <v>32</v>
      </c>
      <c r="T2" s="7" t="s">
        <v>33</v>
      </c>
      <c r="U2" s="7" t="s">
        <v>34</v>
      </c>
      <c r="V2" s="7" t="s">
        <v>35</v>
      </c>
      <c r="W2" s="7" t="s">
        <v>36</v>
      </c>
      <c r="X2" s="7" t="s">
        <v>37</v>
      </c>
      <c r="Y2" s="7" t="s">
        <v>38</v>
      </c>
      <c r="Z2" s="7" t="s">
        <v>39</v>
      </c>
      <c r="AA2" s="7" t="s">
        <v>40</v>
      </c>
      <c r="AB2" s="7" t="s">
        <v>41</v>
      </c>
      <c r="AC2" s="7" t="s">
        <v>42</v>
      </c>
      <c r="AD2" s="7" t="s">
        <v>43</v>
      </c>
      <c r="AE2" s="7" t="s">
        <v>44</v>
      </c>
      <c r="AF2" s="7" t="s">
        <v>45</v>
      </c>
      <c r="AG2" s="7" t="s">
        <v>46</v>
      </c>
      <c r="AH2" s="7" t="s">
        <v>47</v>
      </c>
      <c r="AI2" s="7" t="s">
        <v>48</v>
      </c>
      <c r="AJ2" s="7" t="s">
        <v>49</v>
      </c>
      <c r="AK2" s="7" t="s">
        <v>50</v>
      </c>
      <c r="AL2" s="7" t="s">
        <v>51</v>
      </c>
      <c r="AM2" s="7" t="s">
        <v>52</v>
      </c>
      <c r="AN2" s="7" t="s">
        <v>53</v>
      </c>
      <c r="AO2" s="7" t="s">
        <v>54</v>
      </c>
      <c r="AP2" s="7" t="s">
        <v>55</v>
      </c>
      <c r="AQ2" s="7" t="s">
        <v>56</v>
      </c>
      <c r="AR2" s="7" t="s">
        <v>57</v>
      </c>
      <c r="AS2" s="7" t="s">
        <v>58</v>
      </c>
      <c r="AT2" s="7" t="s">
        <v>59</v>
      </c>
      <c r="AU2" s="7" t="s">
        <v>60</v>
      </c>
      <c r="AV2" s="7" t="s">
        <v>61</v>
      </c>
      <c r="AW2" s="7" t="s">
        <v>62</v>
      </c>
      <c r="AX2" s="7" t="s">
        <v>63</v>
      </c>
      <c r="AY2" s="7" t="s">
        <v>64</v>
      </c>
      <c r="AZ2" s="7" t="s">
        <v>65</v>
      </c>
      <c r="BA2" s="7" t="s">
        <v>66</v>
      </c>
      <c r="BB2" s="7" t="s">
        <v>67</v>
      </c>
      <c r="BC2" s="7" t="s">
        <v>68</v>
      </c>
      <c r="BD2" s="7" t="s">
        <v>69</v>
      </c>
      <c r="BE2" s="7" t="s">
        <v>70</v>
      </c>
      <c r="BF2" s="7" t="s">
        <v>71</v>
      </c>
      <c r="BG2" s="7" t="s">
        <v>72</v>
      </c>
      <c r="BH2" s="7" t="s">
        <v>73</v>
      </c>
      <c r="BI2" s="7" t="s">
        <v>74</v>
      </c>
      <c r="BJ2" s="7" t="s">
        <v>75</v>
      </c>
      <c r="BK2" s="7" t="s">
        <v>76</v>
      </c>
      <c r="BL2" s="7" t="s">
        <v>77</v>
      </c>
      <c r="BM2" s="7" t="s">
        <v>78</v>
      </c>
      <c r="BN2" s="7" t="s">
        <v>79</v>
      </c>
      <c r="BO2" s="7" t="s">
        <v>80</v>
      </c>
      <c r="BP2" s="7" t="s">
        <v>81</v>
      </c>
      <c r="BQ2" s="7" t="s">
        <v>82</v>
      </c>
      <c r="BR2" s="7" t="s">
        <v>83</v>
      </c>
      <c r="BS2" s="7" t="s">
        <v>84</v>
      </c>
      <c r="BT2" s="7" t="s">
        <v>85</v>
      </c>
      <c r="BU2" s="7" t="s">
        <v>86</v>
      </c>
      <c r="BV2" s="7" t="s">
        <v>87</v>
      </c>
      <c r="BW2" s="7" t="s">
        <v>88</v>
      </c>
      <c r="BX2" s="7" t="s">
        <v>89</v>
      </c>
      <c r="BY2" s="7" t="s">
        <v>90</v>
      </c>
      <c r="BZ2" s="7" t="s">
        <v>91</v>
      </c>
      <c r="CA2" s="7" t="s">
        <v>92</v>
      </c>
      <c r="CB2" s="7" t="s">
        <v>93</v>
      </c>
      <c r="CC2" s="7" t="s">
        <v>94</v>
      </c>
      <c r="CD2" s="7" t="s">
        <v>95</v>
      </c>
      <c r="CE2" s="7" t="s">
        <v>96</v>
      </c>
      <c r="CF2" s="7" t="s">
        <v>97</v>
      </c>
      <c r="CG2" s="7" t="s">
        <v>98</v>
      </c>
      <c r="CH2" s="7" t="s">
        <v>99</v>
      </c>
      <c r="CI2" s="7" t="s">
        <v>100</v>
      </c>
      <c r="CJ2" s="7" t="s">
        <v>101</v>
      </c>
      <c r="CK2" s="7" t="s">
        <v>102</v>
      </c>
      <c r="CL2" s="7" t="s">
        <v>103</v>
      </c>
      <c r="CM2" s="7" t="s">
        <v>104</v>
      </c>
      <c r="CN2" s="7" t="s">
        <v>105</v>
      </c>
      <c r="CO2" s="7" t="s">
        <v>106</v>
      </c>
      <c r="CP2" s="7" t="s">
        <v>107</v>
      </c>
      <c r="CQ2" s="7" t="s">
        <v>108</v>
      </c>
      <c r="CR2" s="7" t="s">
        <v>109</v>
      </c>
      <c r="CS2" s="7" t="s">
        <v>110</v>
      </c>
      <c r="CT2" s="7" t="s">
        <v>111</v>
      </c>
      <c r="CU2" s="7" t="s">
        <v>112</v>
      </c>
      <c r="CV2" s="7" t="s">
        <v>113</v>
      </c>
      <c r="CW2" s="7" t="s">
        <v>114</v>
      </c>
      <c r="CX2" s="7" t="s">
        <v>115</v>
      </c>
      <c r="CY2" s="7" t="s">
        <v>116</v>
      </c>
      <c r="CZ2" s="7" t="s">
        <v>117</v>
      </c>
      <c r="DA2" s="7" t="s">
        <v>118</v>
      </c>
      <c r="DB2" s="7" t="s">
        <v>119</v>
      </c>
      <c r="DC2" s="7" t="s">
        <v>120</v>
      </c>
      <c r="DD2" s="7" t="s">
        <v>121</v>
      </c>
      <c r="DE2" s="7" t="s">
        <v>122</v>
      </c>
      <c r="DF2" s="7" t="s">
        <v>123</v>
      </c>
      <c r="DG2" s="7" t="s">
        <v>124</v>
      </c>
      <c r="DH2" s="7" t="s">
        <v>125</v>
      </c>
      <c r="DI2" s="7" t="s">
        <v>126</v>
      </c>
      <c r="DJ2" s="7" t="s">
        <v>127</v>
      </c>
      <c r="DK2" s="7" t="s">
        <v>128</v>
      </c>
      <c r="DL2" s="7" t="s">
        <v>129</v>
      </c>
      <c r="DM2" s="7" t="s">
        <v>130</v>
      </c>
      <c r="DN2" s="7" t="s">
        <v>131</v>
      </c>
      <c r="DO2" s="7" t="s">
        <v>132</v>
      </c>
      <c r="DP2" s="7" t="s">
        <v>133</v>
      </c>
      <c r="DQ2" s="7" t="s">
        <v>134</v>
      </c>
      <c r="DR2" s="7" t="s">
        <v>135</v>
      </c>
      <c r="DS2" s="7" t="s">
        <v>136</v>
      </c>
      <c r="DT2" s="7" t="s">
        <v>137</v>
      </c>
      <c r="DU2" s="7" t="s">
        <v>138</v>
      </c>
      <c r="DV2" s="7" t="s">
        <v>144</v>
      </c>
      <c r="DW2" s="7" t="s">
        <v>139</v>
      </c>
      <c r="DX2" s="7" t="s">
        <v>140</v>
      </c>
      <c r="DY2" s="7" t="s">
        <v>141</v>
      </c>
      <c r="DZ2" s="7" t="s">
        <v>142</v>
      </c>
      <c r="EA2" s="9" t="s">
        <v>4</v>
      </c>
    </row>
    <row r="3" spans="1:131" ht="15.75">
      <c r="A3" s="8">
        <v>42675</v>
      </c>
      <c r="B3" s="10">
        <v>97.509190000000004</v>
      </c>
      <c r="C3" s="10">
        <v>25.22315</v>
      </c>
      <c r="D3" s="10">
        <v>60.06091</v>
      </c>
      <c r="E3" s="10">
        <v>48.903190000000002</v>
      </c>
      <c r="F3" s="10">
        <v>50.13447</v>
      </c>
      <c r="G3" s="10">
        <v>124.919</v>
      </c>
      <c r="H3" s="10">
        <v>48.640389999999996</v>
      </c>
      <c r="I3" s="10">
        <v>138.15860000000001</v>
      </c>
      <c r="J3" s="10">
        <v>133.13999999999999</v>
      </c>
      <c r="K3" s="10">
        <v>117.65</v>
      </c>
      <c r="L3" s="10">
        <v>65.290000000000006</v>
      </c>
      <c r="M3" s="10">
        <v>42.234229999999997</v>
      </c>
      <c r="N3" s="10">
        <v>76.83</v>
      </c>
      <c r="O3" s="10">
        <v>412.02</v>
      </c>
      <c r="P3" s="10">
        <v>146.7088</v>
      </c>
      <c r="Q3" s="10">
        <v>66.986509999999996</v>
      </c>
      <c r="R3" s="10">
        <v>133.61000000000001</v>
      </c>
      <c r="S3" s="10">
        <v>379.24</v>
      </c>
      <c r="T3" s="10">
        <v>34.979179999999999</v>
      </c>
      <c r="U3" s="10">
        <v>65.773769999999999</v>
      </c>
      <c r="V3" s="10">
        <v>107.28700000000001</v>
      </c>
      <c r="W3" s="10">
        <v>23.93</v>
      </c>
      <c r="X3" s="10">
        <v>48.8185</v>
      </c>
      <c r="Y3" s="10">
        <v>36.079479999999997</v>
      </c>
      <c r="Z3" s="10">
        <v>157.99080000000001</v>
      </c>
      <c r="AA3" s="10">
        <v>214.58</v>
      </c>
      <c r="AB3" s="10">
        <v>57.59234</v>
      </c>
      <c r="AC3" s="10">
        <v>41.966540000000002</v>
      </c>
      <c r="AD3" s="10">
        <v>55.754280000000001</v>
      </c>
      <c r="AE3" s="10">
        <v>102.81</v>
      </c>
      <c r="AF3" s="10">
        <v>37.173229999999997</v>
      </c>
      <c r="AG3" s="10">
        <v>60.48</v>
      </c>
      <c r="AH3" s="10">
        <v>30.1</v>
      </c>
      <c r="AI3" s="10">
        <v>78.849999999999994</v>
      </c>
      <c r="AJ3" s="10">
        <v>66.7</v>
      </c>
      <c r="AK3" s="10">
        <v>12.98603</v>
      </c>
      <c r="AL3" s="10">
        <v>140.75</v>
      </c>
      <c r="AM3" s="10">
        <v>22.718910000000001</v>
      </c>
      <c r="AN3" s="10">
        <v>30.525400000000001</v>
      </c>
      <c r="AO3" s="10">
        <v>142.9452</v>
      </c>
      <c r="AP3" s="10">
        <v>64.810980000000001</v>
      </c>
      <c r="AQ3" s="10">
        <v>57.988120000000002</v>
      </c>
      <c r="AR3" s="10">
        <v>8.91</v>
      </c>
      <c r="AS3" s="10">
        <v>19.502739999999999</v>
      </c>
      <c r="AT3" s="10">
        <v>67.105289999999997</v>
      </c>
      <c r="AU3" s="10">
        <v>95.339290000000005</v>
      </c>
      <c r="AV3" s="10">
        <v>61.106160000000003</v>
      </c>
      <c r="AW3" s="10">
        <v>49.997799999999998</v>
      </c>
      <c r="AX3" s="10">
        <v>71.27467</v>
      </c>
      <c r="AY3" s="10">
        <v>25.91253</v>
      </c>
      <c r="AZ3" s="10">
        <v>72</v>
      </c>
      <c r="BA3" s="10">
        <v>83.15</v>
      </c>
      <c r="BB3" s="10">
        <v>45.07047</v>
      </c>
      <c r="BC3" s="10">
        <v>36.83</v>
      </c>
      <c r="BD3" s="10">
        <v>45.106259999999999</v>
      </c>
      <c r="BE3" s="10">
        <v>13.24198</v>
      </c>
      <c r="BF3" s="10">
        <v>129.51990000000001</v>
      </c>
      <c r="BG3" s="10">
        <v>750.57</v>
      </c>
      <c r="BH3" s="10">
        <v>26.778870000000001</v>
      </c>
      <c r="BI3" s="10">
        <v>12.4</v>
      </c>
      <c r="BJ3" s="10">
        <v>29.87895</v>
      </c>
      <c r="BK3" s="10">
        <v>105.38209999999999</v>
      </c>
      <c r="BL3" s="10">
        <v>52.608699999999999</v>
      </c>
      <c r="BM3" s="10">
        <v>65.506410000000002</v>
      </c>
      <c r="BN3" s="10">
        <v>47.446930000000002</v>
      </c>
      <c r="BO3" s="10">
        <v>115.0938</v>
      </c>
      <c r="BP3" s="10">
        <v>73.54898</v>
      </c>
      <c r="BQ3" s="10">
        <v>35.976700000000001</v>
      </c>
      <c r="BR3" s="10">
        <v>9.5198079999999994</v>
      </c>
      <c r="BS3" s="10">
        <v>1503.68</v>
      </c>
      <c r="BT3" s="10">
        <v>45.819890000000001</v>
      </c>
      <c r="BU3" s="10">
        <v>58.35248</v>
      </c>
      <c r="BV3" s="10">
        <v>160.58420000000001</v>
      </c>
      <c r="BW3" s="10">
        <v>46.342080000000003</v>
      </c>
      <c r="BX3" s="10">
        <v>69.928060000000002</v>
      </c>
      <c r="BY3" s="10">
        <v>165.5821</v>
      </c>
      <c r="BZ3" s="10">
        <v>71.957700000000003</v>
      </c>
      <c r="CA3" s="10">
        <v>34.258659999999999</v>
      </c>
      <c r="CB3" s="10">
        <v>86.360529999999997</v>
      </c>
      <c r="CC3" s="10">
        <v>67.953710000000001</v>
      </c>
      <c r="CD3" s="10">
        <v>34.25197</v>
      </c>
      <c r="CE3" s="10">
        <v>89.755549999999999</v>
      </c>
      <c r="CF3" s="10">
        <v>90.681799999999996</v>
      </c>
      <c r="CG3" s="10">
        <v>73.820869999999999</v>
      </c>
      <c r="CH3" s="10">
        <v>37.095050000000001</v>
      </c>
      <c r="CI3" s="10">
        <v>104.01990000000001</v>
      </c>
      <c r="CJ3" s="10">
        <v>58.353830000000002</v>
      </c>
      <c r="CK3" s="10">
        <v>65.790959999999998</v>
      </c>
      <c r="CL3" s="10">
        <v>46.997880000000002</v>
      </c>
      <c r="CM3" s="10">
        <v>31.08662</v>
      </c>
      <c r="CN3" s="10">
        <v>60.594830000000002</v>
      </c>
      <c r="CO3" s="10">
        <v>42.168390000000002</v>
      </c>
      <c r="CP3" s="10">
        <v>40.843510000000002</v>
      </c>
      <c r="CQ3" s="10">
        <v>102.6075</v>
      </c>
      <c r="CR3" s="10">
        <v>49.093290000000003</v>
      </c>
      <c r="CS3" s="10">
        <v>38.452120000000001</v>
      </c>
      <c r="CT3" s="10">
        <v>22.86</v>
      </c>
      <c r="CU3" s="10">
        <v>17.61</v>
      </c>
      <c r="CV3" s="10">
        <v>99.471199999999996</v>
      </c>
      <c r="CW3" s="10">
        <v>180.52080000000001</v>
      </c>
      <c r="CX3" s="10">
        <v>3.64</v>
      </c>
      <c r="CY3" s="10">
        <v>13.06667</v>
      </c>
      <c r="CZ3" s="10">
        <v>22.15</v>
      </c>
      <c r="DA3" s="10">
        <v>25.1</v>
      </c>
      <c r="DB3" s="10">
        <v>46.85</v>
      </c>
      <c r="DC3" s="10">
        <v>28.968689999999999</v>
      </c>
      <c r="DD3" s="10">
        <v>3.0599280000000002</v>
      </c>
      <c r="DE3" s="10">
        <v>57.171309999999998</v>
      </c>
      <c r="DF3" s="10">
        <v>42.85</v>
      </c>
      <c r="DG3" s="10">
        <v>6.24</v>
      </c>
      <c r="DH3" s="10">
        <v>51.1</v>
      </c>
      <c r="DI3" s="10">
        <v>67.533659999999998</v>
      </c>
      <c r="DJ3" s="10">
        <v>89.411389999999997</v>
      </c>
      <c r="DK3" s="10">
        <v>42.77129</v>
      </c>
      <c r="DL3" s="10">
        <v>180.54230000000001</v>
      </c>
      <c r="DM3" s="10">
        <v>94.170299999999997</v>
      </c>
      <c r="DN3" s="10">
        <v>50.95637</v>
      </c>
      <c r="DO3" s="10">
        <v>58.408650000000002</v>
      </c>
      <c r="DP3" s="10">
        <v>42.361449999999998</v>
      </c>
      <c r="DQ3" s="10">
        <v>101.3339</v>
      </c>
      <c r="DR3" s="10">
        <v>70.89385</v>
      </c>
      <c r="DS3" s="10">
        <v>38.946080000000002</v>
      </c>
      <c r="DT3" s="10">
        <v>23.830649999999999</v>
      </c>
      <c r="DU3" s="10">
        <v>36.408569999999997</v>
      </c>
      <c r="DV3" s="15">
        <v>59.731613000000003</v>
      </c>
      <c r="DW3" s="10">
        <v>37.880000000000003</v>
      </c>
      <c r="DX3" s="10">
        <v>52.118220000000001</v>
      </c>
      <c r="DY3" s="10">
        <v>35.495559999999998</v>
      </c>
      <c r="DZ3" s="10">
        <v>9.7427879999999991</v>
      </c>
      <c r="EA3" s="9">
        <v>2198.81</v>
      </c>
    </row>
    <row r="4" spans="1:131" ht="15.75">
      <c r="A4" s="8">
        <v>42705</v>
      </c>
      <c r="B4" s="10">
        <v>101.6322</v>
      </c>
      <c r="C4" s="10">
        <v>25.74419</v>
      </c>
      <c r="D4" s="10">
        <v>66.245630000000006</v>
      </c>
      <c r="E4" s="10">
        <v>50.367069999999998</v>
      </c>
      <c r="F4" s="10">
        <v>48.233640000000001</v>
      </c>
      <c r="G4" s="10">
        <v>127.6309</v>
      </c>
      <c r="H4" s="10">
        <v>50.363990000000001</v>
      </c>
      <c r="I4" s="10">
        <v>139.13480000000001</v>
      </c>
      <c r="J4" s="10">
        <v>128.04</v>
      </c>
      <c r="K4" s="10">
        <v>117.27</v>
      </c>
      <c r="L4" s="10">
        <v>59.7</v>
      </c>
      <c r="M4" s="10">
        <v>43.7515</v>
      </c>
      <c r="N4" s="10">
        <v>76.05</v>
      </c>
      <c r="O4" s="10">
        <v>418.56</v>
      </c>
      <c r="P4" s="10">
        <v>148.8931</v>
      </c>
      <c r="Q4" s="10">
        <v>68.746350000000007</v>
      </c>
      <c r="R4" s="10">
        <v>134.7724</v>
      </c>
      <c r="S4" s="10">
        <v>367.09</v>
      </c>
      <c r="T4" s="10">
        <v>35.29157</v>
      </c>
      <c r="U4" s="10">
        <v>64.170180000000002</v>
      </c>
      <c r="V4" s="10">
        <v>113.09220000000001</v>
      </c>
      <c r="W4" s="10">
        <v>26.96</v>
      </c>
      <c r="X4" s="10">
        <v>51.974170000000001</v>
      </c>
      <c r="Y4" s="10">
        <v>37.597169999999998</v>
      </c>
      <c r="Z4" s="10">
        <v>154.67400000000001</v>
      </c>
      <c r="AA4" s="10">
        <v>211.39</v>
      </c>
      <c r="AB4" s="10">
        <v>58.459139999999998</v>
      </c>
      <c r="AC4" s="10">
        <v>42.06033</v>
      </c>
      <c r="AD4" s="10">
        <v>57.88212</v>
      </c>
      <c r="AE4" s="10">
        <v>102.95</v>
      </c>
      <c r="AF4" s="10">
        <v>35.563839999999999</v>
      </c>
      <c r="AG4" s="10">
        <v>58.86</v>
      </c>
      <c r="AH4" s="10">
        <v>30.12</v>
      </c>
      <c r="AI4" s="10">
        <v>76.069999999999993</v>
      </c>
      <c r="AJ4" s="10">
        <v>66.680000000000007</v>
      </c>
      <c r="AK4" s="10">
        <v>12.75986</v>
      </c>
      <c r="AL4" s="10">
        <v>144.72</v>
      </c>
      <c r="AM4" s="10">
        <v>26.341080000000002</v>
      </c>
      <c r="AN4" s="10">
        <v>32.148110000000003</v>
      </c>
      <c r="AO4" s="10">
        <v>148.2106</v>
      </c>
      <c r="AP4" s="10">
        <v>64.43741</v>
      </c>
      <c r="AQ4" s="10">
        <v>55.928339999999999</v>
      </c>
      <c r="AR4" s="10">
        <v>11.34</v>
      </c>
      <c r="AS4" s="10">
        <v>21.889399999999998</v>
      </c>
      <c r="AT4" s="10">
        <v>66.012979999999999</v>
      </c>
      <c r="AU4" s="10">
        <v>94.243089999999995</v>
      </c>
      <c r="AV4" s="10">
        <v>59.559310000000004</v>
      </c>
      <c r="AW4" s="10">
        <v>56.282800000000002</v>
      </c>
      <c r="AX4" s="10">
        <v>69.506410000000002</v>
      </c>
      <c r="AY4" s="10">
        <v>27.294589999999999</v>
      </c>
      <c r="AZ4" s="10">
        <v>68.459999999999994</v>
      </c>
      <c r="BA4" s="10">
        <v>74.34</v>
      </c>
      <c r="BB4" s="10">
        <v>41.899299999999997</v>
      </c>
      <c r="BC4" s="10">
        <v>36.57</v>
      </c>
      <c r="BD4" s="10">
        <v>44.046930000000003</v>
      </c>
      <c r="BE4" s="10">
        <v>12.760450000000001</v>
      </c>
      <c r="BF4" s="10">
        <v>133.73230000000001</v>
      </c>
      <c r="BG4" s="10">
        <v>749.87</v>
      </c>
      <c r="BH4" s="10">
        <v>28.58916</v>
      </c>
      <c r="BI4" s="10">
        <v>11.78</v>
      </c>
      <c r="BJ4" s="10">
        <v>30.147200000000002</v>
      </c>
      <c r="BK4" s="10">
        <v>108.3831</v>
      </c>
      <c r="BL4" s="10">
        <v>50.618679999999998</v>
      </c>
      <c r="BM4" s="10">
        <v>64.988060000000004</v>
      </c>
      <c r="BN4" s="10">
        <v>48.167119999999997</v>
      </c>
      <c r="BO4" s="10">
        <v>119.8896</v>
      </c>
      <c r="BP4" s="10">
        <v>73.601039999999998</v>
      </c>
      <c r="BQ4" s="10">
        <v>36.042059999999999</v>
      </c>
      <c r="BR4" s="10">
        <v>8.6418079999999993</v>
      </c>
      <c r="BS4" s="10">
        <v>1466.06</v>
      </c>
      <c r="BT4" s="10">
        <v>46.718200000000003</v>
      </c>
      <c r="BU4" s="10">
        <v>58.297249999999998</v>
      </c>
      <c r="BV4" s="10">
        <v>152.1747</v>
      </c>
      <c r="BW4" s="10">
        <v>43.83426</v>
      </c>
      <c r="BX4" s="10">
        <v>70.876140000000007</v>
      </c>
      <c r="BY4" s="10">
        <v>164.9967</v>
      </c>
      <c r="BZ4" s="10">
        <v>73.371390000000005</v>
      </c>
      <c r="CA4" s="10">
        <v>35.498699999999999</v>
      </c>
      <c r="CB4" s="10">
        <v>90.936539999999994</v>
      </c>
      <c r="CC4" s="10">
        <v>70.424610000000001</v>
      </c>
      <c r="CD4" s="10">
        <v>34.868819999999999</v>
      </c>
      <c r="CE4" s="10">
        <v>92.149270000000001</v>
      </c>
      <c r="CF4" s="10">
        <v>94.114239999999995</v>
      </c>
      <c r="CG4" s="10">
        <v>72.986810000000006</v>
      </c>
      <c r="CH4" s="10">
        <v>39.874490000000002</v>
      </c>
      <c r="CI4" s="10">
        <v>105.4278</v>
      </c>
      <c r="CJ4" s="10">
        <v>58.541690000000003</v>
      </c>
      <c r="CK4" s="10">
        <v>70.865849999999995</v>
      </c>
      <c r="CL4" s="10">
        <v>48.868969999999997</v>
      </c>
      <c r="CM4" s="10">
        <v>31.604130000000001</v>
      </c>
      <c r="CN4" s="10">
        <v>62.473610000000001</v>
      </c>
      <c r="CO4" s="10">
        <v>43.153239999999997</v>
      </c>
      <c r="CP4" s="10">
        <v>41.38514</v>
      </c>
      <c r="CQ4" s="10">
        <v>106.5676</v>
      </c>
      <c r="CR4" s="10">
        <v>52.182659999999998</v>
      </c>
      <c r="CS4" s="10">
        <v>36.665500000000002</v>
      </c>
      <c r="CT4" s="10">
        <v>27.48</v>
      </c>
      <c r="CU4" s="10">
        <v>18.989999999999998</v>
      </c>
      <c r="CV4" s="10">
        <v>99.062550000000002</v>
      </c>
      <c r="CW4" s="10">
        <v>175.369</v>
      </c>
      <c r="CX4" s="10">
        <v>3.9</v>
      </c>
      <c r="CY4" s="10">
        <v>15.33333</v>
      </c>
      <c r="CZ4" s="10">
        <v>21.4</v>
      </c>
      <c r="DA4" s="10">
        <v>25.05</v>
      </c>
      <c r="DB4" s="10">
        <v>53.75</v>
      </c>
      <c r="DC4" s="10">
        <v>26.387360000000001</v>
      </c>
      <c r="DD4" s="10">
        <v>3.220977</v>
      </c>
      <c r="DE4" s="10">
        <v>56.18244</v>
      </c>
      <c r="DF4" s="10">
        <v>43.75</v>
      </c>
      <c r="DG4" s="10">
        <v>5.94</v>
      </c>
      <c r="DH4" s="10">
        <v>54.04</v>
      </c>
      <c r="DI4" s="10">
        <v>70.441760000000002</v>
      </c>
      <c r="DJ4" s="10">
        <v>95.276759999999996</v>
      </c>
      <c r="DK4" s="10">
        <v>44.199350000000003</v>
      </c>
      <c r="DL4" s="10">
        <v>170.17509999999999</v>
      </c>
      <c r="DM4" s="10">
        <v>92.865939999999995</v>
      </c>
      <c r="DN4" s="10">
        <v>56.720379999999999</v>
      </c>
      <c r="DO4" s="10">
        <v>58.302230000000002</v>
      </c>
      <c r="DP4" s="10">
        <v>40.029949999999999</v>
      </c>
      <c r="DQ4" s="10">
        <v>94.954139999999995</v>
      </c>
      <c r="DR4" s="10">
        <v>70.809520000000006</v>
      </c>
      <c r="DS4" s="10">
        <v>39.456699999999998</v>
      </c>
      <c r="DT4" s="10">
        <v>24.714040000000001</v>
      </c>
      <c r="DU4" s="10">
        <v>36.53933</v>
      </c>
      <c r="DV4" s="15">
        <v>57.485469999999999</v>
      </c>
      <c r="DW4" s="10">
        <v>42.738</v>
      </c>
      <c r="DX4" s="10">
        <v>55.989530000000002</v>
      </c>
      <c r="DY4" s="10">
        <v>38.3172</v>
      </c>
      <c r="DZ4" s="10">
        <v>9.8812709999999999</v>
      </c>
      <c r="EA4" s="9">
        <v>2238.83</v>
      </c>
    </row>
    <row r="5" spans="1:131" ht="15.75">
      <c r="A5" s="8">
        <v>42736</v>
      </c>
      <c r="B5" s="10">
        <v>99.903210000000001</v>
      </c>
      <c r="C5" s="10">
        <v>25.149730000000002</v>
      </c>
      <c r="D5" s="10">
        <v>69.380020000000002</v>
      </c>
      <c r="E5" s="10">
        <v>49.152529999999999</v>
      </c>
      <c r="F5" s="10">
        <v>51.179679999999998</v>
      </c>
      <c r="G5" s="10">
        <v>136.7704</v>
      </c>
      <c r="H5" s="10">
        <v>42.366419999999998</v>
      </c>
      <c r="I5" s="10">
        <v>150.423</v>
      </c>
      <c r="J5" s="10">
        <v>160.1</v>
      </c>
      <c r="K5" s="10">
        <v>122.33</v>
      </c>
      <c r="L5" s="10">
        <v>79.150000000000006</v>
      </c>
      <c r="M5" s="10">
        <v>47.162309999999998</v>
      </c>
      <c r="N5" s="10">
        <v>78.489999999999995</v>
      </c>
      <c r="O5" s="10">
        <v>426.63</v>
      </c>
      <c r="P5" s="10">
        <v>150.80959999999999</v>
      </c>
      <c r="Q5" s="10">
        <v>68.659229999999994</v>
      </c>
      <c r="R5" s="10">
        <v>145.15539999999999</v>
      </c>
      <c r="S5" s="10">
        <v>359.29</v>
      </c>
      <c r="T5" s="10">
        <v>38.378799999999998</v>
      </c>
      <c r="U5" s="10">
        <v>68.894369999999995</v>
      </c>
      <c r="V5" s="10">
        <v>117.01519999999999</v>
      </c>
      <c r="W5" s="10">
        <v>26.76</v>
      </c>
      <c r="X5" s="10">
        <v>53.343200000000003</v>
      </c>
      <c r="Y5" s="10">
        <v>37.498620000000003</v>
      </c>
      <c r="Z5" s="10">
        <v>166.37989999999999</v>
      </c>
      <c r="AA5" s="10">
        <v>230.89670000000001</v>
      </c>
      <c r="AB5" s="10">
        <v>63.631419999999999</v>
      </c>
      <c r="AC5" s="10">
        <v>45.446770000000001</v>
      </c>
      <c r="AD5" s="10">
        <v>60.220129999999997</v>
      </c>
      <c r="AE5" s="10">
        <v>113.38</v>
      </c>
      <c r="AF5" s="10">
        <v>37.099229999999999</v>
      </c>
      <c r="AG5" s="10">
        <v>62.89</v>
      </c>
      <c r="AH5" s="10">
        <v>33.26</v>
      </c>
      <c r="AI5" s="10">
        <v>80.209999999999994</v>
      </c>
      <c r="AJ5" s="10">
        <v>68.59</v>
      </c>
      <c r="AK5" s="10">
        <v>14.714700000000001</v>
      </c>
      <c r="AL5" s="10">
        <v>134.03</v>
      </c>
      <c r="AM5" s="10">
        <v>26.94322</v>
      </c>
      <c r="AN5" s="10">
        <v>32.635590000000001</v>
      </c>
      <c r="AO5" s="10">
        <v>168.22450000000001</v>
      </c>
      <c r="AP5" s="10">
        <v>66.706890000000001</v>
      </c>
      <c r="AQ5" s="10">
        <v>45.832070000000002</v>
      </c>
      <c r="AR5" s="10">
        <v>10.37</v>
      </c>
      <c r="AS5" s="10">
        <v>24.076350000000001</v>
      </c>
      <c r="AT5" s="10">
        <v>68.12191</v>
      </c>
      <c r="AU5" s="10">
        <v>94.089230000000001</v>
      </c>
      <c r="AV5" s="10">
        <v>62.530329999999999</v>
      </c>
      <c r="AW5" s="10">
        <v>54.259720000000002</v>
      </c>
      <c r="AX5" s="10">
        <v>85.407430000000005</v>
      </c>
      <c r="AY5" s="10">
        <v>28.597809999999999</v>
      </c>
      <c r="AZ5" s="10">
        <v>79.099999999999994</v>
      </c>
      <c r="BA5" s="10">
        <v>90.62</v>
      </c>
      <c r="BB5" s="10">
        <v>42.156309999999998</v>
      </c>
      <c r="BC5" s="10">
        <v>37.07</v>
      </c>
      <c r="BD5" s="10">
        <v>45.426740000000002</v>
      </c>
      <c r="BE5" s="10">
        <v>13.051030000000001</v>
      </c>
      <c r="BF5" s="10">
        <v>140.6046</v>
      </c>
      <c r="BG5" s="10">
        <v>823.48</v>
      </c>
      <c r="BH5" s="10">
        <v>30.649809999999999</v>
      </c>
      <c r="BI5" s="10">
        <v>12.61</v>
      </c>
      <c r="BJ5" s="10">
        <v>32.022440000000003</v>
      </c>
      <c r="BK5" s="10">
        <v>109.14</v>
      </c>
      <c r="BL5" s="10">
        <v>50.34516</v>
      </c>
      <c r="BM5" s="10">
        <v>65.48854</v>
      </c>
      <c r="BN5" s="10">
        <v>50.309530000000002</v>
      </c>
      <c r="BO5" s="10">
        <v>123.0192</v>
      </c>
      <c r="BP5" s="10">
        <v>80.572890000000001</v>
      </c>
      <c r="BQ5" s="10">
        <v>36.613399999999999</v>
      </c>
      <c r="BR5" s="10">
        <v>8.6418079999999993</v>
      </c>
      <c r="BS5" s="10">
        <v>1575.13</v>
      </c>
      <c r="BT5" s="10">
        <v>49.69753</v>
      </c>
      <c r="BU5" s="10">
        <v>60.322400000000002</v>
      </c>
      <c r="BV5" s="10">
        <v>167.1883</v>
      </c>
      <c r="BW5" s="10">
        <v>40.085970000000003</v>
      </c>
      <c r="BX5" s="10">
        <v>68.875410000000002</v>
      </c>
      <c r="BY5" s="10">
        <v>160.29040000000001</v>
      </c>
      <c r="BZ5" s="10">
        <v>76.443070000000006</v>
      </c>
      <c r="CA5" s="10">
        <v>35.592880000000001</v>
      </c>
      <c r="CB5" s="10">
        <v>90.197770000000006</v>
      </c>
      <c r="CC5" s="10">
        <v>74.847369999999998</v>
      </c>
      <c r="CD5" s="10">
        <v>35.220080000000003</v>
      </c>
      <c r="CE5" s="10">
        <v>99.321550000000002</v>
      </c>
      <c r="CF5" s="10">
        <v>93.060990000000004</v>
      </c>
      <c r="CG5" s="10">
        <v>77.490650000000002</v>
      </c>
      <c r="CH5" s="10">
        <v>39.99823</v>
      </c>
      <c r="CI5" s="10">
        <v>108.0551</v>
      </c>
      <c r="CJ5" s="10">
        <v>57.77234</v>
      </c>
      <c r="CK5" s="10">
        <v>72.464650000000006</v>
      </c>
      <c r="CL5" s="10">
        <v>46.300629999999998</v>
      </c>
      <c r="CM5" s="10">
        <v>32.956910000000001</v>
      </c>
      <c r="CN5" s="10">
        <v>61.626060000000003</v>
      </c>
      <c r="CO5" s="10">
        <v>44.404000000000003</v>
      </c>
      <c r="CP5" s="10">
        <v>42.349760000000003</v>
      </c>
      <c r="CQ5" s="10">
        <v>106.5498</v>
      </c>
      <c r="CR5" s="10">
        <v>53.701450000000001</v>
      </c>
      <c r="CS5" s="10">
        <v>38.866250000000001</v>
      </c>
      <c r="CT5" s="10">
        <v>27.2</v>
      </c>
      <c r="CU5" s="10">
        <v>19.14</v>
      </c>
      <c r="CV5" s="10">
        <v>94.301249999999996</v>
      </c>
      <c r="CW5" s="10">
        <v>178.47300000000001</v>
      </c>
      <c r="CX5" s="10">
        <v>3.67</v>
      </c>
      <c r="CY5" s="10">
        <v>14.99333</v>
      </c>
      <c r="CZ5" s="10">
        <v>21.85</v>
      </c>
      <c r="DA5" s="10">
        <v>23.75</v>
      </c>
      <c r="DB5" s="10">
        <v>56.05</v>
      </c>
      <c r="DC5" s="10">
        <v>30.156980000000001</v>
      </c>
      <c r="DD5" s="10">
        <v>2.9860350000000002</v>
      </c>
      <c r="DE5" s="10">
        <v>57.813090000000003</v>
      </c>
      <c r="DF5" s="10">
        <v>44.35</v>
      </c>
      <c r="DG5" s="10">
        <v>6.07</v>
      </c>
      <c r="DH5" s="10">
        <v>54.3</v>
      </c>
      <c r="DI5" s="10">
        <v>65.470380000000006</v>
      </c>
      <c r="DJ5" s="10">
        <v>90.136510000000001</v>
      </c>
      <c r="DK5" s="10">
        <v>42.982849999999999</v>
      </c>
      <c r="DL5" s="10">
        <v>170.3263</v>
      </c>
      <c r="DM5" s="10">
        <v>93.306870000000004</v>
      </c>
      <c r="DN5" s="10">
        <v>49.531559999999999</v>
      </c>
      <c r="DO5" s="10">
        <v>56.075470000000003</v>
      </c>
      <c r="DP5" s="10">
        <v>39.965829999999997</v>
      </c>
      <c r="DQ5" s="10">
        <v>98.815830000000005</v>
      </c>
      <c r="DR5" s="10">
        <v>71.024820000000005</v>
      </c>
      <c r="DS5" s="10">
        <v>38.308900000000001</v>
      </c>
      <c r="DT5" s="10">
        <v>23.385470000000002</v>
      </c>
      <c r="DU5" s="10">
        <v>36.900440000000003</v>
      </c>
      <c r="DV5" s="15">
        <v>54.179625999999999</v>
      </c>
      <c r="DW5" s="10">
        <v>50.386000000000003</v>
      </c>
      <c r="DX5" s="10">
        <v>59.831940000000003</v>
      </c>
      <c r="DY5" s="10">
        <v>38.21125</v>
      </c>
      <c r="DZ5" s="10">
        <v>10.068630000000001</v>
      </c>
      <c r="EA5" s="9">
        <v>2278.87</v>
      </c>
    </row>
    <row r="6" spans="1:131" ht="15.75">
      <c r="A6" s="8">
        <v>42767</v>
      </c>
      <c r="B6" s="10">
        <v>107.80719999999999</v>
      </c>
      <c r="C6" s="10">
        <v>27.044090000000001</v>
      </c>
      <c r="D6" s="10">
        <v>74.586010000000002</v>
      </c>
      <c r="E6" s="10">
        <v>50.241549999999997</v>
      </c>
      <c r="F6" s="10">
        <v>54.383049999999997</v>
      </c>
      <c r="G6" s="10">
        <v>154.09800000000001</v>
      </c>
      <c r="H6" s="10">
        <v>49.195799999999998</v>
      </c>
      <c r="I6" s="10">
        <v>155.6447</v>
      </c>
      <c r="J6" s="10">
        <v>167.4</v>
      </c>
      <c r="K6" s="10">
        <v>144.94</v>
      </c>
      <c r="L6" s="10">
        <v>78.16</v>
      </c>
      <c r="M6" s="10">
        <v>49.406300000000002</v>
      </c>
      <c r="N6" s="10">
        <v>77.39</v>
      </c>
      <c r="O6" s="10">
        <v>476.22</v>
      </c>
      <c r="P6" s="10">
        <v>153.8612</v>
      </c>
      <c r="Q6" s="10">
        <v>70.625690000000006</v>
      </c>
      <c r="R6" s="10">
        <v>155.21289999999999</v>
      </c>
      <c r="S6" s="10">
        <v>373.5</v>
      </c>
      <c r="T6" s="10">
        <v>41.687609999999999</v>
      </c>
      <c r="U6" s="10">
        <v>73.32602</v>
      </c>
      <c r="V6" s="10">
        <v>121.7799</v>
      </c>
      <c r="W6" s="10">
        <v>28.7</v>
      </c>
      <c r="X6" s="10">
        <v>51.86289</v>
      </c>
      <c r="Y6" s="10">
        <v>41.243549999999999</v>
      </c>
      <c r="Z6" s="10">
        <v>171.78550000000001</v>
      </c>
      <c r="AA6" s="10">
        <v>245.66669999999999</v>
      </c>
      <c r="AB6" s="10">
        <v>67.861590000000007</v>
      </c>
      <c r="AC6" s="10">
        <v>48.302010000000003</v>
      </c>
      <c r="AD6" s="10">
        <v>59.596040000000002</v>
      </c>
      <c r="AE6" s="10">
        <v>118.34</v>
      </c>
      <c r="AF6" s="10">
        <v>39.547359999999998</v>
      </c>
      <c r="AG6" s="10">
        <v>71.44</v>
      </c>
      <c r="AH6" s="10">
        <v>37.35</v>
      </c>
      <c r="AI6" s="10">
        <v>82.47</v>
      </c>
      <c r="AJ6" s="10">
        <v>62.6</v>
      </c>
      <c r="AK6" s="10">
        <v>15.25949</v>
      </c>
      <c r="AL6" s="10">
        <v>143.27000000000001</v>
      </c>
      <c r="AM6" s="10">
        <v>25.043030000000002</v>
      </c>
      <c r="AN6" s="10">
        <v>32.086060000000003</v>
      </c>
      <c r="AO6" s="10">
        <v>177.86259999999999</v>
      </c>
      <c r="AP6" s="10">
        <v>68.090140000000005</v>
      </c>
      <c r="AQ6" s="10">
        <v>48.448349999999998</v>
      </c>
      <c r="AR6" s="10">
        <v>14.46</v>
      </c>
      <c r="AS6" s="10">
        <v>23.40728</v>
      </c>
      <c r="AT6" s="10">
        <v>74.475949999999997</v>
      </c>
      <c r="AU6" s="10">
        <v>98.858620000000002</v>
      </c>
      <c r="AV6" s="10">
        <v>67.330340000000007</v>
      </c>
      <c r="AW6" s="10">
        <v>54.837739999999997</v>
      </c>
      <c r="AX6" s="10">
        <v>88.532070000000004</v>
      </c>
      <c r="AY6" s="10">
        <v>32.2836</v>
      </c>
      <c r="AZ6" s="10">
        <v>81.349999999999994</v>
      </c>
      <c r="BA6" s="10">
        <v>86.92</v>
      </c>
      <c r="BB6" s="10">
        <v>45.054609999999997</v>
      </c>
      <c r="BC6" s="10">
        <v>37.6</v>
      </c>
      <c r="BD6" s="10">
        <v>47.348610000000001</v>
      </c>
      <c r="BE6" s="10">
        <v>15.06288</v>
      </c>
      <c r="BF6" s="10">
        <v>144.87459999999999</v>
      </c>
      <c r="BG6" s="10">
        <v>845.04</v>
      </c>
      <c r="BH6" s="10">
        <v>32.643059999999998</v>
      </c>
      <c r="BI6" s="10">
        <v>12.12</v>
      </c>
      <c r="BJ6" s="10">
        <v>32.223610000000001</v>
      </c>
      <c r="BK6" s="10">
        <v>113.66330000000001</v>
      </c>
      <c r="BL6" s="10">
        <v>51.849499999999999</v>
      </c>
      <c r="BM6" s="10">
        <v>67.260419999999996</v>
      </c>
      <c r="BN6" s="10">
        <v>54.360930000000003</v>
      </c>
      <c r="BO6" s="10">
        <v>129.5735</v>
      </c>
      <c r="BP6" s="10">
        <v>80.791420000000002</v>
      </c>
      <c r="BQ6" s="10">
        <v>35.302689999999998</v>
      </c>
      <c r="BR6" s="10">
        <v>8.6418079999999993</v>
      </c>
      <c r="BS6" s="10">
        <v>1724.13</v>
      </c>
      <c r="BT6" s="10">
        <v>50.209049999999998</v>
      </c>
      <c r="BU6" s="10">
        <v>60.407989999999998</v>
      </c>
      <c r="BV6" s="10">
        <v>181.815</v>
      </c>
      <c r="BW6" s="10">
        <v>35.032780000000002</v>
      </c>
      <c r="BX6" s="10">
        <v>66.295079999999999</v>
      </c>
      <c r="BY6" s="10">
        <v>152.84389999999999</v>
      </c>
      <c r="BZ6" s="10">
        <v>80.100949999999997</v>
      </c>
      <c r="CA6" s="10">
        <v>35.926789999999997</v>
      </c>
      <c r="CB6" s="10">
        <v>95.934010000000001</v>
      </c>
      <c r="CC6" s="10">
        <v>85.140519999999995</v>
      </c>
      <c r="CD6" s="10">
        <v>40.677430000000001</v>
      </c>
      <c r="CE6" s="10">
        <v>101.3429</v>
      </c>
      <c r="CF6" s="10">
        <v>97.729200000000006</v>
      </c>
      <c r="CG6" s="10">
        <v>79.055520000000001</v>
      </c>
      <c r="CH6" s="10">
        <v>39.67304</v>
      </c>
      <c r="CI6" s="10">
        <v>112.0476</v>
      </c>
      <c r="CJ6" s="10">
        <v>65.664249999999996</v>
      </c>
      <c r="CK6" s="10">
        <v>74.266300000000001</v>
      </c>
      <c r="CL6" s="10">
        <v>46.810969999999998</v>
      </c>
      <c r="CM6" s="10">
        <v>32.159500000000001</v>
      </c>
      <c r="CN6" s="10">
        <v>62.778750000000002</v>
      </c>
      <c r="CO6" s="10">
        <v>45.737740000000002</v>
      </c>
      <c r="CP6" s="10">
        <v>46.67651</v>
      </c>
      <c r="CQ6" s="10">
        <v>122.2813</v>
      </c>
      <c r="CR6" s="10">
        <v>51.513179999999998</v>
      </c>
      <c r="CS6" s="10">
        <v>40.262239999999998</v>
      </c>
      <c r="CT6" s="10">
        <v>27.55</v>
      </c>
      <c r="CU6" s="10">
        <v>20.38</v>
      </c>
      <c r="CV6" s="10">
        <v>91.389179999999996</v>
      </c>
      <c r="CW6" s="10">
        <v>182.12530000000001</v>
      </c>
      <c r="CX6" s="10">
        <v>5.6</v>
      </c>
      <c r="CY6" s="10">
        <v>14.16667</v>
      </c>
      <c r="CZ6" s="10">
        <v>21.05</v>
      </c>
      <c r="DA6" s="10">
        <v>21.85</v>
      </c>
      <c r="DB6" s="10">
        <v>55.65</v>
      </c>
      <c r="DC6" s="10">
        <v>28.009720000000002</v>
      </c>
      <c r="DD6" s="10">
        <v>2.9367730000000001</v>
      </c>
      <c r="DE6" s="10">
        <v>60.092080000000003</v>
      </c>
      <c r="DF6" s="10">
        <v>50.5</v>
      </c>
      <c r="DG6" s="10">
        <v>5.55</v>
      </c>
      <c r="DH6" s="10">
        <v>56.07</v>
      </c>
      <c r="DI6" s="10">
        <v>63.464680000000001</v>
      </c>
      <c r="DJ6" s="10">
        <v>91.067440000000005</v>
      </c>
      <c r="DK6" s="10">
        <v>41.93385</v>
      </c>
      <c r="DL6" s="10">
        <v>175.7509</v>
      </c>
      <c r="DM6" s="10">
        <v>89.23357</v>
      </c>
      <c r="DN6" s="10">
        <v>47.026629999999997</v>
      </c>
      <c r="DO6" s="10">
        <v>54.23856</v>
      </c>
      <c r="DP6" s="10">
        <v>38.052669999999999</v>
      </c>
      <c r="DQ6" s="10">
        <v>94.766239999999996</v>
      </c>
      <c r="DR6" s="10">
        <v>68.182469999999995</v>
      </c>
      <c r="DS6" s="10">
        <v>36.608440000000002</v>
      </c>
      <c r="DT6" s="10">
        <v>22.481210000000001</v>
      </c>
      <c r="DU6" s="10">
        <v>39.44764</v>
      </c>
      <c r="DV6" s="15">
        <v>47.820801000000003</v>
      </c>
      <c r="DW6" s="10">
        <v>49.997999999999998</v>
      </c>
      <c r="DX6" s="10">
        <v>62.653570000000002</v>
      </c>
      <c r="DY6" s="10">
        <v>37.840440000000001</v>
      </c>
      <c r="DZ6" s="10">
        <v>10.37162</v>
      </c>
      <c r="EA6" s="9">
        <v>2363.64</v>
      </c>
    </row>
    <row r="7" spans="1:131" ht="15.75">
      <c r="A7" s="8">
        <v>42795</v>
      </c>
      <c r="B7" s="10">
        <v>110.5985</v>
      </c>
      <c r="C7" s="10">
        <v>27.391670000000001</v>
      </c>
      <c r="D7" s="10">
        <v>76.266720000000007</v>
      </c>
      <c r="E7" s="10">
        <v>52.938870000000001</v>
      </c>
      <c r="F7" s="10">
        <v>52.459359999999997</v>
      </c>
      <c r="G7" s="10">
        <v>144.20920000000001</v>
      </c>
      <c r="H7" s="10">
        <v>47.17454</v>
      </c>
      <c r="I7" s="10">
        <v>151.6174</v>
      </c>
      <c r="J7" s="10">
        <v>170.64</v>
      </c>
      <c r="K7" s="10">
        <v>154.61000000000001</v>
      </c>
      <c r="L7" s="10">
        <v>84.73</v>
      </c>
      <c r="M7" s="10">
        <v>50.918340000000001</v>
      </c>
      <c r="N7" s="10">
        <v>80.53</v>
      </c>
      <c r="O7" s="10">
        <v>478.91</v>
      </c>
      <c r="P7" s="10">
        <v>152.5866</v>
      </c>
      <c r="Q7" s="10">
        <v>68.802629999999994</v>
      </c>
      <c r="R7" s="10">
        <v>155.74019999999999</v>
      </c>
      <c r="S7" s="10">
        <v>387.51</v>
      </c>
      <c r="T7" s="10">
        <v>41.068019999999997</v>
      </c>
      <c r="U7" s="10">
        <v>73.008809999999997</v>
      </c>
      <c r="V7" s="10">
        <v>124.7069</v>
      </c>
      <c r="W7" s="10">
        <v>28.32</v>
      </c>
      <c r="X7" s="10">
        <v>51.921250000000001</v>
      </c>
      <c r="Y7" s="10">
        <v>38.424999999999997</v>
      </c>
      <c r="Z7" s="10">
        <v>172.1515</v>
      </c>
      <c r="AA7" s="10">
        <v>255.49</v>
      </c>
      <c r="AB7" s="10">
        <v>68.132390000000001</v>
      </c>
      <c r="AC7" s="10">
        <v>49.193689999999997</v>
      </c>
      <c r="AD7" s="10">
        <v>61.71913</v>
      </c>
      <c r="AE7" s="10">
        <v>130.13</v>
      </c>
      <c r="AF7" s="10">
        <v>41.423050000000003</v>
      </c>
      <c r="AG7" s="10">
        <v>72.13</v>
      </c>
      <c r="AH7" s="10">
        <v>38.35</v>
      </c>
      <c r="AI7" s="10">
        <v>87.11</v>
      </c>
      <c r="AJ7" s="10">
        <v>59.7</v>
      </c>
      <c r="AK7" s="10">
        <v>16.42942</v>
      </c>
      <c r="AL7" s="10">
        <v>142.57</v>
      </c>
      <c r="AM7" s="10">
        <v>26.91545</v>
      </c>
      <c r="AN7" s="10">
        <v>32.199069999999999</v>
      </c>
      <c r="AO7" s="10">
        <v>184.63380000000001</v>
      </c>
      <c r="AP7" s="10">
        <v>71.591530000000006</v>
      </c>
      <c r="AQ7" s="10">
        <v>49.645910000000001</v>
      </c>
      <c r="AR7" s="10">
        <v>14.55</v>
      </c>
      <c r="AS7" s="10">
        <v>28.859660000000002</v>
      </c>
      <c r="AT7" s="10">
        <v>74.9011</v>
      </c>
      <c r="AU7" s="10">
        <v>99.522090000000006</v>
      </c>
      <c r="AV7" s="10">
        <v>68.845820000000003</v>
      </c>
      <c r="AW7" s="10">
        <v>54.278359999999999</v>
      </c>
      <c r="AX7" s="10">
        <v>91.492180000000005</v>
      </c>
      <c r="AY7" s="10">
        <v>34.00226</v>
      </c>
      <c r="AZ7" s="10">
        <v>82.49</v>
      </c>
      <c r="BA7" s="10">
        <v>87.47</v>
      </c>
      <c r="BB7" s="10">
        <v>44.618110000000001</v>
      </c>
      <c r="BC7" s="10">
        <v>36.14</v>
      </c>
      <c r="BD7" s="10">
        <v>49.519010000000002</v>
      </c>
      <c r="BE7" s="10">
        <v>15.505140000000001</v>
      </c>
      <c r="BF7" s="10">
        <v>141.40780000000001</v>
      </c>
      <c r="BG7" s="10">
        <v>886.54</v>
      </c>
      <c r="BH7" s="10">
        <v>32.325290000000003</v>
      </c>
      <c r="BI7" s="10">
        <v>10.63</v>
      </c>
      <c r="BJ7" s="10">
        <v>30.929079999999999</v>
      </c>
      <c r="BK7" s="10">
        <v>116.258</v>
      </c>
      <c r="BL7" s="10">
        <v>53.475189999999998</v>
      </c>
      <c r="BM7" s="10">
        <v>75.357259999999997</v>
      </c>
      <c r="BN7" s="10">
        <v>53.000959999999999</v>
      </c>
      <c r="BO7" s="10">
        <v>131.2903</v>
      </c>
      <c r="BP7" s="10">
        <v>80.083399999999997</v>
      </c>
      <c r="BQ7" s="10">
        <v>35.716720000000002</v>
      </c>
      <c r="BR7" s="10">
        <v>9.567952</v>
      </c>
      <c r="BS7" s="10">
        <v>1779.97</v>
      </c>
      <c r="BT7" s="10">
        <v>53.198480000000004</v>
      </c>
      <c r="BU7" s="10">
        <v>59.09478</v>
      </c>
      <c r="BV7" s="10">
        <v>176.53720000000001</v>
      </c>
      <c r="BW7" s="10">
        <v>31.684709999999999</v>
      </c>
      <c r="BX7" s="10">
        <v>64.696079999999995</v>
      </c>
      <c r="BY7" s="10">
        <v>144.69470000000001</v>
      </c>
      <c r="BZ7" s="10">
        <v>79.027900000000002</v>
      </c>
      <c r="CA7" s="10">
        <v>36.337769999999999</v>
      </c>
      <c r="CB7" s="10">
        <v>97.220309999999998</v>
      </c>
      <c r="CC7" s="10">
        <v>87.904579999999996</v>
      </c>
      <c r="CD7" s="10">
        <v>42.622729999999997</v>
      </c>
      <c r="CE7" s="10">
        <v>103.5381</v>
      </c>
      <c r="CF7" s="10">
        <v>97.970219999999998</v>
      </c>
      <c r="CG7" s="10">
        <v>81.235410000000002</v>
      </c>
      <c r="CH7" s="10">
        <v>38.914279999999998</v>
      </c>
      <c r="CI7" s="10">
        <v>111.60599999999999</v>
      </c>
      <c r="CJ7" s="10">
        <v>65.853200000000001</v>
      </c>
      <c r="CK7" s="10">
        <v>73.698220000000006</v>
      </c>
      <c r="CL7" s="10">
        <v>46.100630000000002</v>
      </c>
      <c r="CM7" s="10">
        <v>31.593859999999999</v>
      </c>
      <c r="CN7" s="10">
        <v>61.969659999999998</v>
      </c>
      <c r="CO7" s="10">
        <v>45.333440000000003</v>
      </c>
      <c r="CP7" s="10">
        <v>46.887189999999997</v>
      </c>
      <c r="CQ7" s="10">
        <v>120.5116</v>
      </c>
      <c r="CR7" s="10">
        <v>49.681789999999999</v>
      </c>
      <c r="CS7" s="10">
        <v>38.892119999999998</v>
      </c>
      <c r="CT7" s="10">
        <v>27.98</v>
      </c>
      <c r="CU7" s="10">
        <v>22.51</v>
      </c>
      <c r="CV7" s="10">
        <v>93.431240000000003</v>
      </c>
      <c r="CW7" s="10">
        <v>184.17320000000001</v>
      </c>
      <c r="CX7" s="10">
        <v>5</v>
      </c>
      <c r="CY7" s="10">
        <v>13.446669999999999</v>
      </c>
      <c r="CZ7" s="10">
        <v>22.9</v>
      </c>
      <c r="DA7" s="10">
        <v>21.35</v>
      </c>
      <c r="DB7" s="10">
        <v>51.8</v>
      </c>
      <c r="DC7" s="10">
        <v>24.876080000000002</v>
      </c>
      <c r="DD7" s="10">
        <v>3.2304499999999998</v>
      </c>
      <c r="DE7" s="10">
        <v>56.038359999999997</v>
      </c>
      <c r="DF7" s="10">
        <v>46.4</v>
      </c>
      <c r="DG7" s="10">
        <v>5.4</v>
      </c>
      <c r="DH7" s="10">
        <v>57.8</v>
      </c>
      <c r="DI7" s="10">
        <v>64.588419999999999</v>
      </c>
      <c r="DJ7" s="10">
        <v>87.746700000000004</v>
      </c>
      <c r="DK7" s="10">
        <v>44.196480000000001</v>
      </c>
      <c r="DL7" s="10">
        <v>175.9966</v>
      </c>
      <c r="DM7" s="10">
        <v>89.748810000000006</v>
      </c>
      <c r="DN7" s="10">
        <v>44.07376</v>
      </c>
      <c r="DO7" s="10">
        <v>52.426470000000002</v>
      </c>
      <c r="DP7" s="10">
        <v>36.613410000000002</v>
      </c>
      <c r="DQ7" s="10">
        <v>97.453450000000004</v>
      </c>
      <c r="DR7" s="10">
        <v>66.670670000000001</v>
      </c>
      <c r="DS7" s="10">
        <v>36.428040000000003</v>
      </c>
      <c r="DT7" s="10">
        <v>22.60642</v>
      </c>
      <c r="DU7" s="10">
        <v>39.125590000000003</v>
      </c>
      <c r="DV7" s="15">
        <v>46.729621999999999</v>
      </c>
      <c r="DW7" s="10">
        <v>55.66</v>
      </c>
      <c r="DX7" s="10">
        <v>71.609570000000005</v>
      </c>
      <c r="DY7" s="10">
        <v>38.1053</v>
      </c>
      <c r="DZ7" s="10">
        <v>9.6349250000000008</v>
      </c>
      <c r="EA7" s="9">
        <v>2362.7199999999998</v>
      </c>
    </row>
    <row r="8" spans="1:131" ht="15.75">
      <c r="A8" s="8">
        <v>42826</v>
      </c>
      <c r="B8" s="10">
        <v>109.6395</v>
      </c>
      <c r="C8" s="10">
        <v>27.159469999999999</v>
      </c>
      <c r="D8" s="10">
        <v>74.407880000000006</v>
      </c>
      <c r="E8" s="10">
        <v>53.572580000000002</v>
      </c>
      <c r="F8" s="10">
        <v>51.83173</v>
      </c>
      <c r="G8" s="10">
        <v>143.55000000000001</v>
      </c>
      <c r="H8" s="10">
        <v>48.623249999999999</v>
      </c>
      <c r="I8" s="10">
        <v>163.34979999999999</v>
      </c>
      <c r="J8" s="10">
        <v>184.86</v>
      </c>
      <c r="K8" s="10">
        <v>167.73</v>
      </c>
      <c r="L8" s="10">
        <v>77.959999999999994</v>
      </c>
      <c r="M8" s="10">
        <v>53.149450000000002</v>
      </c>
      <c r="N8" s="10">
        <v>84.28</v>
      </c>
      <c r="O8" s="10">
        <v>513.41999999999996</v>
      </c>
      <c r="P8" s="10">
        <v>163.30600000000001</v>
      </c>
      <c r="Q8" s="10">
        <v>72.25591</v>
      </c>
      <c r="R8" s="10">
        <v>168.17949999999999</v>
      </c>
      <c r="S8" s="10">
        <v>388.49</v>
      </c>
      <c r="T8" s="10">
        <v>40.355969999999999</v>
      </c>
      <c r="U8" s="10">
        <v>75.702969999999993</v>
      </c>
      <c r="V8" s="10">
        <v>129.59299999999999</v>
      </c>
      <c r="W8" s="10">
        <v>29.28</v>
      </c>
      <c r="X8" s="10">
        <v>54.586880000000001</v>
      </c>
      <c r="Y8" s="10">
        <v>36.808759999999999</v>
      </c>
      <c r="Z8" s="10">
        <v>176.1634</v>
      </c>
      <c r="AA8" s="10">
        <v>278.62329999999997</v>
      </c>
      <c r="AB8" s="10">
        <v>64.364599999999996</v>
      </c>
      <c r="AC8" s="10">
        <v>52.952480000000001</v>
      </c>
      <c r="AD8" s="10">
        <v>64.155680000000004</v>
      </c>
      <c r="AE8" s="10">
        <v>133.74</v>
      </c>
      <c r="AF8" s="10">
        <v>41.74803</v>
      </c>
      <c r="AG8" s="10">
        <v>73.7</v>
      </c>
      <c r="AH8" s="10">
        <v>39</v>
      </c>
      <c r="AI8" s="10">
        <v>88.92</v>
      </c>
      <c r="AJ8" s="10">
        <v>60.94</v>
      </c>
      <c r="AK8" s="10">
        <v>16.93815</v>
      </c>
      <c r="AL8" s="10">
        <v>129.13</v>
      </c>
      <c r="AM8" s="10">
        <v>25.771419999999999</v>
      </c>
      <c r="AN8" s="10">
        <v>32.270470000000003</v>
      </c>
      <c r="AO8" s="10">
        <v>187.03809999999999</v>
      </c>
      <c r="AP8" s="10">
        <v>70.365160000000003</v>
      </c>
      <c r="AQ8" s="10">
        <v>46.528970000000001</v>
      </c>
      <c r="AR8" s="10">
        <v>13.3</v>
      </c>
      <c r="AS8" s="10">
        <v>27.63138</v>
      </c>
      <c r="AT8" s="10">
        <v>69.645690000000002</v>
      </c>
      <c r="AU8" s="10">
        <v>101.68559999999999</v>
      </c>
      <c r="AV8" s="10">
        <v>70.525459999999995</v>
      </c>
      <c r="AW8" s="10">
        <v>59.172699999999999</v>
      </c>
      <c r="AX8" s="10">
        <v>93.13561</v>
      </c>
      <c r="AY8" s="10">
        <v>33.999890000000001</v>
      </c>
      <c r="AZ8" s="10">
        <v>86.12</v>
      </c>
      <c r="BA8" s="10">
        <v>94.48</v>
      </c>
      <c r="BB8" s="10">
        <v>44.817709999999998</v>
      </c>
      <c r="BC8" s="10">
        <v>37.43</v>
      </c>
      <c r="BD8" s="10">
        <v>52.018810000000002</v>
      </c>
      <c r="BE8" s="10">
        <v>16.446359999999999</v>
      </c>
      <c r="BF8" s="10">
        <v>130.1611</v>
      </c>
      <c r="BG8" s="10">
        <v>924.99</v>
      </c>
      <c r="BH8" s="10">
        <v>32.171230000000001</v>
      </c>
      <c r="BI8" s="10">
        <v>10.76</v>
      </c>
      <c r="BJ8" s="10">
        <v>30.609300000000001</v>
      </c>
      <c r="BK8" s="10">
        <v>125.5149</v>
      </c>
      <c r="BL8" s="10">
        <v>55.004629999999999</v>
      </c>
      <c r="BM8" s="10">
        <v>76.726249999999993</v>
      </c>
      <c r="BN8" s="10">
        <v>52.860819999999997</v>
      </c>
      <c r="BO8" s="10">
        <v>140.42859999999999</v>
      </c>
      <c r="BP8" s="10">
        <v>86.936000000000007</v>
      </c>
      <c r="BQ8" s="10">
        <v>36.981670000000001</v>
      </c>
      <c r="BR8" s="10">
        <v>9.6093729999999997</v>
      </c>
      <c r="BS8" s="10">
        <v>1846.82</v>
      </c>
      <c r="BT8" s="10">
        <v>55.781190000000002</v>
      </c>
      <c r="BU8" s="10">
        <v>60.80565</v>
      </c>
      <c r="BV8" s="10">
        <v>174.1788</v>
      </c>
      <c r="BW8" s="10">
        <v>35.525910000000003</v>
      </c>
      <c r="BX8" s="10">
        <v>58.073569999999997</v>
      </c>
      <c r="BY8" s="10">
        <v>138.77690000000001</v>
      </c>
      <c r="BZ8" s="10">
        <v>76.811419999999998</v>
      </c>
      <c r="CA8" s="10">
        <v>37.271790000000003</v>
      </c>
      <c r="CB8" s="10">
        <v>99.130719999999997</v>
      </c>
      <c r="CC8" s="10">
        <v>87.095129999999997</v>
      </c>
      <c r="CD8" s="10">
        <v>44.350450000000002</v>
      </c>
      <c r="CE8" s="10">
        <v>105.19540000000001</v>
      </c>
      <c r="CF8" s="10">
        <v>101.07640000000001</v>
      </c>
      <c r="CG8" s="10">
        <v>83.486909999999995</v>
      </c>
      <c r="CH8" s="10">
        <v>40.853340000000003</v>
      </c>
      <c r="CI8" s="10">
        <v>113.30159999999999</v>
      </c>
      <c r="CJ8" s="10">
        <v>64.818470000000005</v>
      </c>
      <c r="CK8" s="10">
        <v>73.841520000000003</v>
      </c>
      <c r="CL8" s="10">
        <v>46.944159999999997</v>
      </c>
      <c r="CM8" s="10">
        <v>32.004420000000003</v>
      </c>
      <c r="CN8" s="10">
        <v>60.595570000000002</v>
      </c>
      <c r="CO8" s="10">
        <v>46.425530000000002</v>
      </c>
      <c r="CP8" s="10">
        <v>46.567529999999998</v>
      </c>
      <c r="CQ8" s="10">
        <v>119.4927</v>
      </c>
      <c r="CR8" s="10">
        <v>49.94218</v>
      </c>
      <c r="CS8" s="10">
        <v>39.362090000000002</v>
      </c>
      <c r="CT8" s="10">
        <v>28.2</v>
      </c>
      <c r="CU8" s="10">
        <v>25.96</v>
      </c>
      <c r="CV8" s="10">
        <v>93.57056</v>
      </c>
      <c r="CW8" s="10">
        <v>179.40180000000001</v>
      </c>
      <c r="CX8" s="10">
        <v>6</v>
      </c>
      <c r="CY8" s="10">
        <v>12.57333</v>
      </c>
      <c r="CZ8" s="10">
        <v>23.15</v>
      </c>
      <c r="DA8" s="10">
        <v>18.75</v>
      </c>
      <c r="DB8" s="10">
        <v>51.65</v>
      </c>
      <c r="DC8" s="10">
        <v>25.306629999999998</v>
      </c>
      <c r="DD8" s="10">
        <v>3.1072950000000001</v>
      </c>
      <c r="DE8" s="10">
        <v>58.031640000000003</v>
      </c>
      <c r="DF8" s="10">
        <v>39.15</v>
      </c>
      <c r="DG8" s="10">
        <v>5</v>
      </c>
      <c r="DH8" s="10">
        <v>51.99</v>
      </c>
      <c r="DI8" s="10">
        <v>64.304919999999996</v>
      </c>
      <c r="DJ8" s="10">
        <v>87.199160000000006</v>
      </c>
      <c r="DK8" s="10">
        <v>42.459449999999997</v>
      </c>
      <c r="DL8" s="10">
        <v>163.51949999999999</v>
      </c>
      <c r="DM8" s="10">
        <v>85.10266</v>
      </c>
      <c r="DN8" s="10">
        <v>44.877160000000003</v>
      </c>
      <c r="DO8" s="10">
        <v>51.525770000000001</v>
      </c>
      <c r="DP8" s="10">
        <v>34.708089999999999</v>
      </c>
      <c r="DQ8" s="10">
        <v>93.807850000000002</v>
      </c>
      <c r="DR8" s="10">
        <v>61.967030000000001</v>
      </c>
      <c r="DS8" s="10">
        <v>36.15401</v>
      </c>
      <c r="DT8" s="10">
        <v>20.957889999999999</v>
      </c>
      <c r="DU8" s="10">
        <v>34.174010000000003</v>
      </c>
      <c r="DV8" s="15">
        <v>44.229008</v>
      </c>
      <c r="DW8" s="10">
        <v>62.814</v>
      </c>
      <c r="DX8" s="10">
        <v>72.418499999999995</v>
      </c>
      <c r="DY8" s="10">
        <v>37.116970000000002</v>
      </c>
      <c r="DZ8" s="10">
        <v>9.4942100000000007</v>
      </c>
      <c r="EA8" s="9">
        <v>2384.1999999999998</v>
      </c>
    </row>
    <row r="9" spans="1:131" ht="15.75">
      <c r="A9" s="8">
        <v>42856</v>
      </c>
      <c r="B9" s="10">
        <v>113.884</v>
      </c>
      <c r="C9" s="10">
        <v>26.142589999999998</v>
      </c>
      <c r="D9" s="10">
        <v>72.150069999999999</v>
      </c>
      <c r="E9" s="10">
        <v>54.171199999999999</v>
      </c>
      <c r="F9" s="10">
        <v>54.14349</v>
      </c>
      <c r="G9" s="10">
        <v>136.44800000000001</v>
      </c>
      <c r="H9" s="10">
        <v>47.141089999999998</v>
      </c>
      <c r="I9" s="10">
        <v>170.72040000000001</v>
      </c>
      <c r="J9" s="10">
        <v>177.36</v>
      </c>
      <c r="K9" s="10">
        <v>168.39</v>
      </c>
      <c r="L9" s="10">
        <v>66.84</v>
      </c>
      <c r="M9" s="10">
        <v>58.256810000000002</v>
      </c>
      <c r="N9" s="10">
        <v>86.44</v>
      </c>
      <c r="O9" s="10">
        <v>582.80999999999995</v>
      </c>
      <c r="P9" s="10">
        <v>163.58609999999999</v>
      </c>
      <c r="Q9" s="10">
        <v>67.772000000000006</v>
      </c>
      <c r="R9" s="10">
        <v>172.39609999999999</v>
      </c>
      <c r="S9" s="10">
        <v>459.06</v>
      </c>
      <c r="T9" s="10">
        <v>42.482230000000001</v>
      </c>
      <c r="U9" s="10">
        <v>76.787180000000006</v>
      </c>
      <c r="V9" s="10">
        <v>135.85560000000001</v>
      </c>
      <c r="W9" s="10">
        <v>35.53</v>
      </c>
      <c r="X9" s="10">
        <v>60.70928</v>
      </c>
      <c r="Y9" s="10">
        <v>38.415140000000001</v>
      </c>
      <c r="Z9" s="10">
        <v>178.2928</v>
      </c>
      <c r="AA9" s="10">
        <v>304.89330000000001</v>
      </c>
      <c r="AB9" s="10">
        <v>67.308769999999996</v>
      </c>
      <c r="AC9" s="10">
        <v>56.40466</v>
      </c>
      <c r="AD9" s="10">
        <v>65.448899999999995</v>
      </c>
      <c r="AE9" s="10">
        <v>141.86000000000001</v>
      </c>
      <c r="AF9" s="10">
        <v>42.32891</v>
      </c>
      <c r="AG9" s="10">
        <v>74.87</v>
      </c>
      <c r="AH9" s="10">
        <v>39.340000000000003</v>
      </c>
      <c r="AI9" s="10">
        <v>90.16</v>
      </c>
      <c r="AJ9" s="10">
        <v>47.15</v>
      </c>
      <c r="AK9" s="10">
        <v>16.231280000000002</v>
      </c>
      <c r="AL9" s="10">
        <v>128.13</v>
      </c>
      <c r="AM9" s="10">
        <v>35.667360000000002</v>
      </c>
      <c r="AN9" s="10">
        <v>32.234780000000001</v>
      </c>
      <c r="AO9" s="10">
        <v>202.8527</v>
      </c>
      <c r="AP9" s="10">
        <v>73.761369999999999</v>
      </c>
      <c r="AQ9" s="10">
        <v>49.585299999999997</v>
      </c>
      <c r="AR9" s="10">
        <v>11.19</v>
      </c>
      <c r="AS9" s="10">
        <v>30.727049999999998</v>
      </c>
      <c r="AT9" s="10">
        <v>78.383409999999998</v>
      </c>
      <c r="AU9" s="10">
        <v>105.67610000000001</v>
      </c>
      <c r="AV9" s="10">
        <v>77.729200000000006</v>
      </c>
      <c r="AW9" s="10">
        <v>62.548099999999998</v>
      </c>
      <c r="AX9" s="10">
        <v>99.382649999999998</v>
      </c>
      <c r="AY9" s="10">
        <v>36.156089999999999</v>
      </c>
      <c r="AZ9" s="10">
        <v>89.64</v>
      </c>
      <c r="BA9" s="10">
        <v>104.65</v>
      </c>
      <c r="BB9" s="10">
        <v>45.875549999999997</v>
      </c>
      <c r="BC9" s="10">
        <v>38.64</v>
      </c>
      <c r="BD9" s="10">
        <v>51.35275</v>
      </c>
      <c r="BE9" s="10">
        <v>16.393930000000001</v>
      </c>
      <c r="BF9" s="10">
        <v>123.9409</v>
      </c>
      <c r="BG9" s="10">
        <v>994.62</v>
      </c>
      <c r="BH9" s="10">
        <v>33.028230000000001</v>
      </c>
      <c r="BI9" s="10">
        <v>13.41</v>
      </c>
      <c r="BJ9" s="10">
        <v>29.981919999999999</v>
      </c>
      <c r="BK9" s="10">
        <v>135.3459</v>
      </c>
      <c r="BL9" s="10">
        <v>58.255809999999997</v>
      </c>
      <c r="BM9" s="10">
        <v>80.639529999999993</v>
      </c>
      <c r="BN9" s="10">
        <v>50.552160000000001</v>
      </c>
      <c r="BO9" s="10">
        <v>138.0986</v>
      </c>
      <c r="BP9" s="10">
        <v>89.910740000000004</v>
      </c>
      <c r="BQ9" s="10">
        <v>39.343229999999998</v>
      </c>
      <c r="BR9" s="10">
        <v>9.1123340000000006</v>
      </c>
      <c r="BS9" s="10">
        <v>1877.09</v>
      </c>
      <c r="BT9" s="10">
        <v>57.858199999999997</v>
      </c>
      <c r="BU9" s="10">
        <v>67.493260000000006</v>
      </c>
      <c r="BV9" s="10">
        <v>203.303</v>
      </c>
      <c r="BW9" s="10">
        <v>34.711910000000003</v>
      </c>
      <c r="BX9" s="10">
        <v>51.732460000000003</v>
      </c>
      <c r="BY9" s="10">
        <v>130.4683</v>
      </c>
      <c r="BZ9" s="10">
        <v>78.073139999999995</v>
      </c>
      <c r="CA9" s="10">
        <v>39.275750000000002</v>
      </c>
      <c r="CB9" s="10">
        <v>102.2723</v>
      </c>
      <c r="CC9" s="10">
        <v>94.135670000000005</v>
      </c>
      <c r="CD9" s="10">
        <v>48.047759999999997</v>
      </c>
      <c r="CE9" s="10">
        <v>109.2176</v>
      </c>
      <c r="CF9" s="10">
        <v>104.3879</v>
      </c>
      <c r="CG9" s="10">
        <v>90.193430000000006</v>
      </c>
      <c r="CH9" s="10">
        <v>42.268639999999998</v>
      </c>
      <c r="CI9" s="10">
        <v>114.4474</v>
      </c>
      <c r="CJ9" s="10">
        <v>69.07696</v>
      </c>
      <c r="CK9" s="10">
        <v>75.320139999999995</v>
      </c>
      <c r="CL9" s="10">
        <v>48.756489999999999</v>
      </c>
      <c r="CM9" s="10">
        <v>30.834579999999999</v>
      </c>
      <c r="CN9" s="10">
        <v>61.10765</v>
      </c>
      <c r="CO9" s="10">
        <v>48.627690000000001</v>
      </c>
      <c r="CP9" s="10">
        <v>48.570129999999999</v>
      </c>
      <c r="CQ9" s="10">
        <v>122.0454</v>
      </c>
      <c r="CR9" s="10">
        <v>50.350059999999999</v>
      </c>
      <c r="CS9" s="10">
        <v>43.657789999999999</v>
      </c>
      <c r="CT9" s="10">
        <v>29.96</v>
      </c>
      <c r="CU9" s="10">
        <v>23.27</v>
      </c>
      <c r="CV9" s="10">
        <v>92.273129999999995</v>
      </c>
      <c r="CW9" s="10">
        <v>183.31700000000001</v>
      </c>
      <c r="CX9" s="10">
        <v>5.88</v>
      </c>
      <c r="CY9" s="10">
        <v>12.66667</v>
      </c>
      <c r="CZ9" s="10">
        <v>25.05</v>
      </c>
      <c r="DA9" s="10">
        <v>18.649999999999999</v>
      </c>
      <c r="DB9" s="10">
        <v>44.2</v>
      </c>
      <c r="DC9" s="10">
        <v>17.98732</v>
      </c>
      <c r="DD9" s="10">
        <v>2.9746670000000002</v>
      </c>
      <c r="DE9" s="10">
        <v>58.556100000000001</v>
      </c>
      <c r="DF9" s="10">
        <v>35.85</v>
      </c>
      <c r="DG9" s="10">
        <v>5.27</v>
      </c>
      <c r="DH9" s="10">
        <v>51.98</v>
      </c>
      <c r="DI9" s="10">
        <v>63.3992</v>
      </c>
      <c r="DJ9" s="10">
        <v>84.567639999999997</v>
      </c>
      <c r="DK9" s="10">
        <v>39.605789999999999</v>
      </c>
      <c r="DL9" s="10">
        <v>157.72499999999999</v>
      </c>
      <c r="DM9" s="10">
        <v>83.229640000000003</v>
      </c>
      <c r="DN9" s="10">
        <v>42.175150000000002</v>
      </c>
      <c r="DO9" s="10">
        <v>49.340499999999999</v>
      </c>
      <c r="DP9" s="10">
        <v>29.865310000000001</v>
      </c>
      <c r="DQ9" s="10">
        <v>87.155619999999999</v>
      </c>
      <c r="DR9" s="10">
        <v>59.406039999999997</v>
      </c>
      <c r="DS9" s="10">
        <v>33.58419</v>
      </c>
      <c r="DT9" s="10">
        <v>20.1371</v>
      </c>
      <c r="DU9" s="10">
        <v>31.926369999999999</v>
      </c>
      <c r="DV9" s="15">
        <v>42.731254999999997</v>
      </c>
      <c r="DW9" s="10">
        <v>68.201999999999998</v>
      </c>
      <c r="DX9" s="10">
        <v>84.323250000000002</v>
      </c>
      <c r="DY9" s="10">
        <v>39.800550000000001</v>
      </c>
      <c r="DZ9" s="10">
        <v>9.3285470000000004</v>
      </c>
      <c r="EA9" s="9">
        <v>2411.8000000000002</v>
      </c>
    </row>
    <row r="10" spans="1:131" ht="15.75">
      <c r="A10" s="8">
        <v>42887</v>
      </c>
      <c r="B10" s="10">
        <v>118.2505</v>
      </c>
      <c r="C10" s="10">
        <v>27.155570000000001</v>
      </c>
      <c r="D10" s="10">
        <v>75.107380000000006</v>
      </c>
      <c r="E10" s="10">
        <v>59.496429999999997</v>
      </c>
      <c r="F10" s="10">
        <v>53.295299999999997</v>
      </c>
      <c r="G10" s="10">
        <v>152.47579999999999</v>
      </c>
      <c r="H10" s="10">
        <v>48.6877</v>
      </c>
      <c r="I10" s="10">
        <v>172.38030000000001</v>
      </c>
      <c r="J10" s="10">
        <v>173.52</v>
      </c>
      <c r="K10" s="10">
        <v>161.41999999999999</v>
      </c>
      <c r="L10" s="10">
        <v>73.150000000000006</v>
      </c>
      <c r="M10" s="10">
        <v>57.26238</v>
      </c>
      <c r="N10" s="10">
        <v>89.5</v>
      </c>
      <c r="O10" s="10">
        <v>588.54</v>
      </c>
      <c r="P10" s="10">
        <v>173.14840000000001</v>
      </c>
      <c r="Q10" s="10">
        <v>70.974010000000007</v>
      </c>
      <c r="R10" s="10">
        <v>177.86060000000001</v>
      </c>
      <c r="S10" s="10">
        <v>491.14</v>
      </c>
      <c r="T10" s="10">
        <v>45.226909999999997</v>
      </c>
      <c r="U10" s="10">
        <v>80.859790000000004</v>
      </c>
      <c r="V10" s="10">
        <v>131.88329999999999</v>
      </c>
      <c r="W10" s="10">
        <v>35.1</v>
      </c>
      <c r="X10" s="10">
        <v>60.806759999999997</v>
      </c>
      <c r="Y10" s="10">
        <v>38.257460000000002</v>
      </c>
      <c r="Z10" s="10">
        <v>183.8329</v>
      </c>
      <c r="AA10" s="10">
        <v>311.79000000000002</v>
      </c>
      <c r="AB10" s="10">
        <v>74.074370000000002</v>
      </c>
      <c r="AC10" s="10">
        <v>57.730049999999999</v>
      </c>
      <c r="AD10" s="10">
        <v>64.966369999999998</v>
      </c>
      <c r="AE10" s="10">
        <v>141.44</v>
      </c>
      <c r="AF10" s="10">
        <v>46.758569999999999</v>
      </c>
      <c r="AG10" s="10">
        <v>72.930000000000007</v>
      </c>
      <c r="AH10" s="10">
        <v>37.44</v>
      </c>
      <c r="AI10" s="10">
        <v>92.96</v>
      </c>
      <c r="AJ10" s="10">
        <v>49.81</v>
      </c>
      <c r="AK10" s="10">
        <v>15.12814</v>
      </c>
      <c r="AL10" s="10">
        <v>127.06</v>
      </c>
      <c r="AM10" s="10">
        <v>35.756860000000003</v>
      </c>
      <c r="AN10" s="10">
        <v>30.34318</v>
      </c>
      <c r="AO10" s="10">
        <v>197.40610000000001</v>
      </c>
      <c r="AP10" s="10">
        <v>68.789689999999993</v>
      </c>
      <c r="AQ10" s="10">
        <v>48.281210000000002</v>
      </c>
      <c r="AR10" s="10">
        <v>12.48</v>
      </c>
      <c r="AS10" s="10">
        <v>29.81832</v>
      </c>
      <c r="AT10" s="10">
        <v>71.108059999999995</v>
      </c>
      <c r="AU10" s="10">
        <v>105.24339999999999</v>
      </c>
      <c r="AV10" s="10">
        <v>72.348550000000003</v>
      </c>
      <c r="AW10" s="10">
        <v>60.635820000000002</v>
      </c>
      <c r="AX10" s="10">
        <v>89.841729999999998</v>
      </c>
      <c r="AY10" s="10">
        <v>34.228169999999999</v>
      </c>
      <c r="AZ10" s="10">
        <v>86.6</v>
      </c>
      <c r="BA10" s="10">
        <v>106</v>
      </c>
      <c r="BB10" s="10">
        <v>44.985199999999999</v>
      </c>
      <c r="BC10" s="10">
        <v>38.93</v>
      </c>
      <c r="BD10" s="10">
        <v>52.151110000000003</v>
      </c>
      <c r="BE10" s="10">
        <v>15.275370000000001</v>
      </c>
      <c r="BF10" s="10">
        <v>126.1356</v>
      </c>
      <c r="BG10" s="10">
        <v>968</v>
      </c>
      <c r="BH10" s="10">
        <v>33.625239999999998</v>
      </c>
      <c r="BI10" s="10">
        <v>15</v>
      </c>
      <c r="BJ10" s="10">
        <v>30.865559999999999</v>
      </c>
      <c r="BK10" s="10">
        <v>137.38200000000001</v>
      </c>
      <c r="BL10" s="10">
        <v>53.621920000000003</v>
      </c>
      <c r="BM10" s="10">
        <v>82.008769999999998</v>
      </c>
      <c r="BN10" s="10">
        <v>56.28566</v>
      </c>
      <c r="BO10" s="10">
        <v>138.7971</v>
      </c>
      <c r="BP10" s="10">
        <v>98.034019999999998</v>
      </c>
      <c r="BQ10" s="10">
        <v>40.703389999999999</v>
      </c>
      <c r="BR10" s="10">
        <v>10.296939999999999</v>
      </c>
      <c r="BS10" s="10">
        <v>1870.52</v>
      </c>
      <c r="BT10" s="10">
        <v>59.597760000000001</v>
      </c>
      <c r="BU10" s="10">
        <v>68.533910000000006</v>
      </c>
      <c r="BV10" s="10">
        <v>203.1206</v>
      </c>
      <c r="BW10" s="10">
        <v>36.681950000000001</v>
      </c>
      <c r="BX10" s="10">
        <v>51.089649999999999</v>
      </c>
      <c r="BY10" s="10">
        <v>113.83150000000001</v>
      </c>
      <c r="BZ10" s="10">
        <v>77.240030000000004</v>
      </c>
      <c r="CA10" s="10">
        <v>38.740200000000002</v>
      </c>
      <c r="CB10" s="10">
        <v>101.75879999999999</v>
      </c>
      <c r="CC10" s="10">
        <v>92.289100000000005</v>
      </c>
      <c r="CD10" s="10">
        <v>47.10022</v>
      </c>
      <c r="CE10" s="10">
        <v>107.34529999999999</v>
      </c>
      <c r="CF10" s="10">
        <v>100.38509999999999</v>
      </c>
      <c r="CG10" s="10">
        <v>92.291600000000003</v>
      </c>
      <c r="CH10" s="10">
        <v>39.184010000000001</v>
      </c>
      <c r="CI10" s="10">
        <v>115.00190000000001</v>
      </c>
      <c r="CJ10" s="10">
        <v>67.059650000000005</v>
      </c>
      <c r="CK10" s="10">
        <v>70.435389999999998</v>
      </c>
      <c r="CL10" s="10">
        <v>44.976430000000001</v>
      </c>
      <c r="CM10" s="10">
        <v>31.27468</v>
      </c>
      <c r="CN10" s="10">
        <v>59.708799999999997</v>
      </c>
      <c r="CO10" s="10">
        <v>45.527470000000001</v>
      </c>
      <c r="CP10" s="10">
        <v>48.960569999999997</v>
      </c>
      <c r="CQ10" s="10">
        <v>119.8065</v>
      </c>
      <c r="CR10" s="10">
        <v>45.546489999999999</v>
      </c>
      <c r="CS10" s="10">
        <v>44.401879999999998</v>
      </c>
      <c r="CT10" s="10">
        <v>27.22</v>
      </c>
      <c r="CU10" s="10">
        <v>21.92</v>
      </c>
      <c r="CV10" s="10">
        <v>97.062520000000006</v>
      </c>
      <c r="CW10" s="10">
        <v>205.5318</v>
      </c>
      <c r="CX10" s="10">
        <v>5.38</v>
      </c>
      <c r="CY10" s="10">
        <v>14.133330000000001</v>
      </c>
      <c r="CZ10" s="10">
        <v>24.35</v>
      </c>
      <c r="DA10" s="10">
        <v>19.899999999999999</v>
      </c>
      <c r="DB10" s="10">
        <v>45</v>
      </c>
      <c r="DC10" s="10">
        <v>19.79701</v>
      </c>
      <c r="DD10" s="10">
        <v>2.6336219999999999</v>
      </c>
      <c r="DE10" s="10">
        <v>62.43712</v>
      </c>
      <c r="DF10" s="10">
        <v>38.35</v>
      </c>
      <c r="DG10" s="10">
        <v>5.39</v>
      </c>
      <c r="DH10" s="10">
        <v>52.57</v>
      </c>
      <c r="DI10" s="10">
        <v>64.180750000000003</v>
      </c>
      <c r="DJ10" s="10">
        <v>86.129620000000003</v>
      </c>
      <c r="DK10" s="10">
        <v>39.176900000000003</v>
      </c>
      <c r="DL10" s="10">
        <v>150.84360000000001</v>
      </c>
      <c r="DM10" s="10">
        <v>83.423190000000005</v>
      </c>
      <c r="DN10" s="10">
        <v>40.318680000000001</v>
      </c>
      <c r="DO10" s="10">
        <v>50.12753</v>
      </c>
      <c r="DP10" s="10">
        <v>28.098700000000001</v>
      </c>
      <c r="DQ10" s="10">
        <v>83.44426</v>
      </c>
      <c r="DR10" s="10">
        <v>56.608669999999996</v>
      </c>
      <c r="DS10" s="10">
        <v>33.290289999999999</v>
      </c>
      <c r="DT10" s="10">
        <v>18.919830000000001</v>
      </c>
      <c r="DU10" s="10">
        <v>32.190219999999997</v>
      </c>
      <c r="DV10" s="15">
        <v>43.800446000000001</v>
      </c>
      <c r="DW10" s="10">
        <v>72.322000000000003</v>
      </c>
      <c r="DX10" s="10">
        <v>83.642600000000002</v>
      </c>
      <c r="DY10" s="10">
        <v>41.42163</v>
      </c>
      <c r="DZ10" s="10">
        <v>9.3872710000000001</v>
      </c>
      <c r="EA10" s="9">
        <v>2423.41</v>
      </c>
    </row>
    <row r="11" spans="1:131" ht="15.75">
      <c r="A11" s="8">
        <v>42917</v>
      </c>
      <c r="B11" s="10">
        <v>118.6349</v>
      </c>
      <c r="C11" s="10">
        <v>26.807950000000002</v>
      </c>
      <c r="D11" s="10">
        <v>75.435919999999996</v>
      </c>
      <c r="E11" s="10">
        <v>57.363050000000001</v>
      </c>
      <c r="F11" s="10">
        <v>53.511249999999997</v>
      </c>
      <c r="G11" s="10">
        <v>154.49430000000001</v>
      </c>
      <c r="H11" s="10">
        <v>49.718780000000002</v>
      </c>
      <c r="I11" s="10">
        <v>173.5778</v>
      </c>
      <c r="J11" s="10">
        <v>173.85</v>
      </c>
      <c r="K11" s="10">
        <v>166.46</v>
      </c>
      <c r="L11" s="10">
        <v>66.61</v>
      </c>
      <c r="M11" s="10">
        <v>57.854370000000003</v>
      </c>
      <c r="N11" s="10">
        <v>90.55</v>
      </c>
      <c r="O11" s="10">
        <v>573.08000000000004</v>
      </c>
      <c r="P11" s="10">
        <v>179.8552</v>
      </c>
      <c r="Q11" s="10">
        <v>70.506519999999995</v>
      </c>
      <c r="R11" s="10">
        <v>176.65729999999999</v>
      </c>
      <c r="S11" s="10">
        <v>491.62</v>
      </c>
      <c r="T11" s="10">
        <v>45.757249999999999</v>
      </c>
      <c r="U11" s="10">
        <v>76.504739999999998</v>
      </c>
      <c r="V11" s="10">
        <v>140.21680000000001</v>
      </c>
      <c r="W11" s="10">
        <v>34.700000000000003</v>
      </c>
      <c r="X11" s="10">
        <v>61.046880000000002</v>
      </c>
      <c r="Y11" s="10">
        <v>38.424999999999997</v>
      </c>
      <c r="Z11" s="10">
        <v>190.48400000000001</v>
      </c>
      <c r="AA11" s="10">
        <v>312.75330000000002</v>
      </c>
      <c r="AB11" s="10">
        <v>73.360919999999993</v>
      </c>
      <c r="AC11" s="10">
        <v>57.672840000000001</v>
      </c>
      <c r="AD11" s="10">
        <v>68.519589999999994</v>
      </c>
      <c r="AE11" s="10">
        <v>146.49</v>
      </c>
      <c r="AF11" s="10">
        <v>46.562739999999998</v>
      </c>
      <c r="AG11" s="10">
        <v>76.569999999999993</v>
      </c>
      <c r="AH11" s="10">
        <v>36.909999999999997</v>
      </c>
      <c r="AI11" s="10">
        <v>101.17</v>
      </c>
      <c r="AJ11" s="10">
        <v>47.14</v>
      </c>
      <c r="AK11" s="10">
        <v>16.63691</v>
      </c>
      <c r="AL11" s="10">
        <v>120.75</v>
      </c>
      <c r="AM11" s="10">
        <v>40.196779999999997</v>
      </c>
      <c r="AN11" s="10">
        <v>31.89902</v>
      </c>
      <c r="AO11" s="10">
        <v>209.82429999999999</v>
      </c>
      <c r="AP11" s="10">
        <v>72.768810000000002</v>
      </c>
      <c r="AQ11" s="10">
        <v>46.506279999999997</v>
      </c>
      <c r="AR11" s="10">
        <v>13.61</v>
      </c>
      <c r="AS11" s="10">
        <v>28.080749999999998</v>
      </c>
      <c r="AT11" s="10">
        <v>72.621989999999997</v>
      </c>
      <c r="AU11" s="10">
        <v>106.0896</v>
      </c>
      <c r="AV11" s="10">
        <v>75.029520000000005</v>
      </c>
      <c r="AW11" s="10">
        <v>59.636539999999997</v>
      </c>
      <c r="AX11" s="10">
        <v>98.193879999999993</v>
      </c>
      <c r="AY11" s="10">
        <v>35.347549999999998</v>
      </c>
      <c r="AZ11" s="10">
        <v>90.8</v>
      </c>
      <c r="BA11" s="10">
        <v>110.45</v>
      </c>
      <c r="BB11" s="10">
        <v>44.685339999999997</v>
      </c>
      <c r="BC11" s="10">
        <v>41.59</v>
      </c>
      <c r="BD11" s="10">
        <v>53.295389999999998</v>
      </c>
      <c r="BE11" s="10">
        <v>16.816700000000001</v>
      </c>
      <c r="BF11" s="10">
        <v>118.6247</v>
      </c>
      <c r="BG11" s="10">
        <v>987.78</v>
      </c>
      <c r="BH11" s="10">
        <v>34.405209999999997</v>
      </c>
      <c r="BI11" s="10">
        <v>14.37</v>
      </c>
      <c r="BJ11" s="10">
        <v>32.14819</v>
      </c>
      <c r="BK11" s="10">
        <v>140.03039999999999</v>
      </c>
      <c r="BL11" s="10">
        <v>49.640030000000003</v>
      </c>
      <c r="BM11" s="10">
        <v>76.060320000000004</v>
      </c>
      <c r="BN11" s="10">
        <v>56.525370000000002</v>
      </c>
      <c r="BO11" s="10">
        <v>135.35890000000001</v>
      </c>
      <c r="BP11" s="10">
        <v>96.933530000000005</v>
      </c>
      <c r="BQ11" s="10">
        <v>40.40446</v>
      </c>
      <c r="BR11" s="10">
        <v>10.189249999999999</v>
      </c>
      <c r="BS11" s="10">
        <v>2028.5</v>
      </c>
      <c r="BT11" s="10">
        <v>60.697560000000003</v>
      </c>
      <c r="BU11" s="10">
        <v>70.132040000000003</v>
      </c>
      <c r="BV11" s="10">
        <v>179.49029999999999</v>
      </c>
      <c r="BW11" s="10">
        <v>31.576840000000001</v>
      </c>
      <c r="BX11" s="10">
        <v>52.889719999999997</v>
      </c>
      <c r="BY11" s="10">
        <v>109.41289999999999</v>
      </c>
      <c r="BZ11" s="10">
        <v>80.492729999999995</v>
      </c>
      <c r="CA11" s="10">
        <v>39.921190000000003</v>
      </c>
      <c r="CB11" s="10">
        <v>102.7456</v>
      </c>
      <c r="CC11" s="10">
        <v>92.495410000000007</v>
      </c>
      <c r="CD11" s="10">
        <v>49.59796</v>
      </c>
      <c r="CE11" s="10">
        <v>116.96639999999999</v>
      </c>
      <c r="CF11" s="10">
        <v>109.75409999999999</v>
      </c>
      <c r="CG11" s="10">
        <v>95.185910000000007</v>
      </c>
      <c r="CH11" s="10">
        <v>40.110329999999998</v>
      </c>
      <c r="CI11" s="10">
        <v>117.7039</v>
      </c>
      <c r="CJ11" s="10">
        <v>65.313730000000007</v>
      </c>
      <c r="CK11" s="10">
        <v>71.932270000000003</v>
      </c>
      <c r="CL11" s="10">
        <v>47.022840000000002</v>
      </c>
      <c r="CM11" s="10">
        <v>31.329689999999999</v>
      </c>
      <c r="CN11" s="10">
        <v>58.453760000000003</v>
      </c>
      <c r="CO11" s="10">
        <v>44.495609999999999</v>
      </c>
      <c r="CP11" s="10">
        <v>50.347850000000001</v>
      </c>
      <c r="CQ11" s="10">
        <v>120.0312</v>
      </c>
      <c r="CR11" s="10">
        <v>46.140389999999996</v>
      </c>
      <c r="CS11" s="10">
        <v>43.656610000000001</v>
      </c>
      <c r="CT11" s="10">
        <v>28.15</v>
      </c>
      <c r="CU11" s="10">
        <v>24.29</v>
      </c>
      <c r="CV11" s="10">
        <v>96.799239999999998</v>
      </c>
      <c r="CW11" s="10">
        <v>197.20410000000001</v>
      </c>
      <c r="CX11" s="10">
        <v>4.33</v>
      </c>
      <c r="CY11" s="10">
        <v>10.83333</v>
      </c>
      <c r="CZ11" s="10">
        <v>25.1</v>
      </c>
      <c r="DA11" s="10">
        <v>13.65</v>
      </c>
      <c r="DB11" s="10">
        <v>37.15</v>
      </c>
      <c r="DC11" s="10">
        <v>26.716360000000002</v>
      </c>
      <c r="DD11" s="10">
        <v>2.5483609999999999</v>
      </c>
      <c r="DE11" s="10">
        <v>62.946289999999998</v>
      </c>
      <c r="DF11" s="10">
        <v>34.049999999999997</v>
      </c>
      <c r="DG11" s="10">
        <v>5.68</v>
      </c>
      <c r="DH11" s="10">
        <v>53.61</v>
      </c>
      <c r="DI11" s="10">
        <v>63.632179999999998</v>
      </c>
      <c r="DJ11" s="10">
        <v>90.141769999999994</v>
      </c>
      <c r="DK11" s="10">
        <v>40.433480000000003</v>
      </c>
      <c r="DL11" s="10">
        <v>154.17089999999999</v>
      </c>
      <c r="DM11" s="10">
        <v>87.680959999999999</v>
      </c>
      <c r="DN11" s="10">
        <v>41.155369999999998</v>
      </c>
      <c r="DO11" s="10">
        <v>52.499510000000001</v>
      </c>
      <c r="DP11" s="10">
        <v>29.33023</v>
      </c>
      <c r="DQ11" s="10">
        <v>90.087140000000005</v>
      </c>
      <c r="DR11" s="10">
        <v>58.98169</v>
      </c>
      <c r="DS11" s="10">
        <v>22.529419999999998</v>
      </c>
      <c r="DT11" s="10">
        <v>19.85192</v>
      </c>
      <c r="DU11" s="10">
        <v>32.011830000000003</v>
      </c>
      <c r="DV11" s="15">
        <v>45.216907999999997</v>
      </c>
      <c r="DW11" s="10">
        <v>64.694000000000003</v>
      </c>
      <c r="DX11" s="10">
        <v>102.28279999999999</v>
      </c>
      <c r="DY11" s="10">
        <v>42.637540000000001</v>
      </c>
      <c r="DZ11" s="10">
        <v>9.4124370000000006</v>
      </c>
      <c r="EA11" s="9">
        <v>2470.3000000000002</v>
      </c>
    </row>
    <row r="12" spans="1:131" ht="15.75">
      <c r="A12" s="8">
        <v>42948</v>
      </c>
      <c r="B12" s="10">
        <v>118.322</v>
      </c>
      <c r="C12" s="10">
        <v>27.422350000000002</v>
      </c>
      <c r="D12" s="10">
        <v>74.185649999999995</v>
      </c>
      <c r="E12" s="10">
        <v>62.341079999999998</v>
      </c>
      <c r="F12" s="10">
        <v>53.494509999999998</v>
      </c>
      <c r="G12" s="10">
        <v>157.38040000000001</v>
      </c>
      <c r="H12" s="10">
        <v>53.215780000000002</v>
      </c>
      <c r="I12" s="10">
        <v>185.05860000000001</v>
      </c>
      <c r="J12" s="10">
        <v>204.46</v>
      </c>
      <c r="K12" s="10">
        <v>155.43</v>
      </c>
      <c r="L12" s="10">
        <v>74.61</v>
      </c>
      <c r="M12" s="10">
        <v>62.624780000000001</v>
      </c>
      <c r="N12" s="10">
        <v>96.03</v>
      </c>
      <c r="O12" s="10">
        <v>605.09</v>
      </c>
      <c r="P12" s="10">
        <v>186.5033</v>
      </c>
      <c r="Q12" s="10">
        <v>68.665490000000005</v>
      </c>
      <c r="R12" s="10">
        <v>185.983</v>
      </c>
      <c r="S12" s="10">
        <v>496.9</v>
      </c>
      <c r="T12" s="10">
        <v>47.657049999999998</v>
      </c>
      <c r="U12" s="10">
        <v>73.835009999999997</v>
      </c>
      <c r="V12" s="10">
        <v>134.75479999999999</v>
      </c>
      <c r="W12" s="10">
        <v>41.29</v>
      </c>
      <c r="X12" s="10">
        <v>61.222639999999998</v>
      </c>
      <c r="Y12" s="10">
        <v>31.023820000000001</v>
      </c>
      <c r="Z12" s="10">
        <v>188.6302</v>
      </c>
      <c r="AA12" s="10">
        <v>334.89</v>
      </c>
      <c r="AB12" s="10">
        <v>73.798519999999996</v>
      </c>
      <c r="AC12" s="10">
        <v>59.160420000000002</v>
      </c>
      <c r="AD12" s="10">
        <v>70.470569999999995</v>
      </c>
      <c r="AE12" s="10">
        <v>155.16</v>
      </c>
      <c r="AF12" s="10">
        <v>47.112810000000003</v>
      </c>
      <c r="AG12" s="10">
        <v>80.42</v>
      </c>
      <c r="AH12" s="10">
        <v>38.200000000000003</v>
      </c>
      <c r="AI12" s="10">
        <v>103.75</v>
      </c>
      <c r="AJ12" s="10">
        <v>47.15</v>
      </c>
      <c r="AK12" s="10">
        <v>16.09469</v>
      </c>
      <c r="AL12" s="10">
        <v>119.38</v>
      </c>
      <c r="AM12" s="10">
        <v>41.910919999999997</v>
      </c>
      <c r="AN12" s="10">
        <v>31.539280000000002</v>
      </c>
      <c r="AO12" s="10">
        <v>214.4264</v>
      </c>
      <c r="AP12" s="10">
        <v>74.507859999999994</v>
      </c>
      <c r="AQ12" s="10">
        <v>45.701889999999999</v>
      </c>
      <c r="AR12" s="10">
        <v>13</v>
      </c>
      <c r="AS12" s="10">
        <v>31.925370000000001</v>
      </c>
      <c r="AT12" s="10">
        <v>76.90522</v>
      </c>
      <c r="AU12" s="10">
        <v>108.6185</v>
      </c>
      <c r="AV12" s="10">
        <v>81.366349999999997</v>
      </c>
      <c r="AW12" s="10">
        <v>62.27617</v>
      </c>
      <c r="AX12" s="10">
        <v>98.652699999999996</v>
      </c>
      <c r="AY12" s="10">
        <v>38.976660000000003</v>
      </c>
      <c r="AZ12" s="10">
        <v>95.49</v>
      </c>
      <c r="BA12" s="10">
        <v>116.19</v>
      </c>
      <c r="BB12" s="10">
        <v>45.851660000000003</v>
      </c>
      <c r="BC12" s="10">
        <v>40.86</v>
      </c>
      <c r="BD12" s="10">
        <v>53.484729999999999</v>
      </c>
      <c r="BE12" s="10">
        <v>16.79909</v>
      </c>
      <c r="BF12" s="10">
        <v>117.2799</v>
      </c>
      <c r="BG12" s="10">
        <v>980.6</v>
      </c>
      <c r="BH12" s="10">
        <v>34.790379999999999</v>
      </c>
      <c r="BI12" s="10">
        <v>16.37</v>
      </c>
      <c r="BJ12" s="10">
        <v>32.648560000000003</v>
      </c>
      <c r="BK12" s="10">
        <v>144.38999999999999</v>
      </c>
      <c r="BL12" s="10">
        <v>50.449280000000002</v>
      </c>
      <c r="BM12" s="10">
        <v>74.961160000000007</v>
      </c>
      <c r="BN12" s="10">
        <v>50.552160000000001</v>
      </c>
      <c r="BO12" s="10">
        <v>135.60319999999999</v>
      </c>
      <c r="BP12" s="10">
        <v>99.527760000000001</v>
      </c>
      <c r="BQ12" s="10">
        <v>38.562629999999999</v>
      </c>
      <c r="BR12" s="10">
        <v>10.57859</v>
      </c>
      <c r="BS12" s="10">
        <v>1852.08</v>
      </c>
      <c r="BT12" s="10">
        <v>63.151629999999997</v>
      </c>
      <c r="BU12" s="10">
        <v>71.667760000000001</v>
      </c>
      <c r="BV12" s="10">
        <v>175.40960000000001</v>
      </c>
      <c r="BW12" s="10">
        <v>24.654299999999999</v>
      </c>
      <c r="BX12" s="10">
        <v>56.084589999999999</v>
      </c>
      <c r="BY12" s="10">
        <v>95.630099999999999</v>
      </c>
      <c r="BZ12" s="10">
        <v>82.419430000000006</v>
      </c>
      <c r="CA12" s="10">
        <v>39.668640000000003</v>
      </c>
      <c r="CB12" s="10">
        <v>101.97029999999999</v>
      </c>
      <c r="CC12" s="10">
        <v>92.669749999999993</v>
      </c>
      <c r="CD12" s="10">
        <v>50.65972</v>
      </c>
      <c r="CE12" s="10">
        <v>120.4063</v>
      </c>
      <c r="CF12" s="10">
        <v>107.6711</v>
      </c>
      <c r="CG12" s="10">
        <v>102.8785</v>
      </c>
      <c r="CH12" s="10">
        <v>37.048760000000001</v>
      </c>
      <c r="CI12" s="10">
        <v>117.88030000000001</v>
      </c>
      <c r="CJ12" s="10">
        <v>65.168040000000005</v>
      </c>
      <c r="CK12" s="10">
        <v>66.413560000000004</v>
      </c>
      <c r="CL12" s="10">
        <v>47.376869999999997</v>
      </c>
      <c r="CM12" s="10">
        <v>28.332460000000001</v>
      </c>
      <c r="CN12" s="10">
        <v>56.270339999999997</v>
      </c>
      <c r="CO12" s="10">
        <v>44.633069999999996</v>
      </c>
      <c r="CP12" s="10">
        <v>47.346789999999999</v>
      </c>
      <c r="CQ12" s="10">
        <v>125.36150000000001</v>
      </c>
      <c r="CR12" s="10">
        <v>40.628959999999999</v>
      </c>
      <c r="CS12" s="10">
        <v>39.97992</v>
      </c>
      <c r="CT12" s="10">
        <v>27.45</v>
      </c>
      <c r="CU12" s="10">
        <v>29.45</v>
      </c>
      <c r="CV12" s="10">
        <v>100.37139999999999</v>
      </c>
      <c r="CW12" s="10">
        <v>203.22370000000001</v>
      </c>
      <c r="CX12" s="10">
        <v>5.05</v>
      </c>
      <c r="CY12" s="10">
        <v>11.66667</v>
      </c>
      <c r="CZ12" s="10">
        <v>28.05</v>
      </c>
      <c r="DA12" s="10">
        <v>15.2</v>
      </c>
      <c r="DB12" s="10">
        <v>28</v>
      </c>
      <c r="DC12" s="10">
        <v>28.542300000000001</v>
      </c>
      <c r="DD12" s="10">
        <v>2.3399450000000002</v>
      </c>
      <c r="DE12" s="10">
        <v>65.564940000000007</v>
      </c>
      <c r="DF12" s="10">
        <v>38.450000000000003</v>
      </c>
      <c r="DG12" s="10">
        <v>5.93</v>
      </c>
      <c r="DH12" s="10">
        <v>52.08</v>
      </c>
      <c r="DI12" s="10">
        <v>60.682720000000003</v>
      </c>
      <c r="DJ12" s="10">
        <v>88.845669999999998</v>
      </c>
      <c r="DK12" s="10">
        <v>39.14714</v>
      </c>
      <c r="DL12" s="10">
        <v>122.5521</v>
      </c>
      <c r="DM12" s="10">
        <v>78.472290000000001</v>
      </c>
      <c r="DN12" s="10">
        <v>35.943959999999997</v>
      </c>
      <c r="DO12" s="10">
        <v>50.609090000000002</v>
      </c>
      <c r="DP12" s="10">
        <v>27.648430000000001</v>
      </c>
      <c r="DQ12" s="10">
        <v>85.304640000000006</v>
      </c>
      <c r="DR12" s="10">
        <v>54.605359999999997</v>
      </c>
      <c r="DS12" s="10">
        <v>29.72052</v>
      </c>
      <c r="DT12" s="10">
        <v>17.966889999999999</v>
      </c>
      <c r="DU12" s="10">
        <v>30.01538</v>
      </c>
      <c r="DV12" s="15">
        <v>35.680508000000003</v>
      </c>
      <c r="DW12" s="10">
        <v>71.180000000000007</v>
      </c>
      <c r="DX12" s="10">
        <v>111.3258</v>
      </c>
      <c r="DY12" s="10">
        <v>43.004109999999997</v>
      </c>
      <c r="DZ12" s="10">
        <v>9.3718800000000009</v>
      </c>
      <c r="EA12" s="9">
        <v>2471.65</v>
      </c>
    </row>
    <row r="13" spans="1:131" ht="15.75">
      <c r="A13" s="8">
        <v>42979</v>
      </c>
      <c r="B13" s="10">
        <v>116.9517</v>
      </c>
      <c r="C13" s="10">
        <v>29.1433</v>
      </c>
      <c r="D13" s="10">
        <v>78.562100000000001</v>
      </c>
      <c r="E13" s="10">
        <v>73.567430000000002</v>
      </c>
      <c r="F13" s="10">
        <v>53.63691</v>
      </c>
      <c r="G13" s="10">
        <v>166.1781</v>
      </c>
      <c r="H13" s="10">
        <v>56.084229999999998</v>
      </c>
      <c r="I13" s="10">
        <v>187.09569999999999</v>
      </c>
      <c r="J13" s="10">
        <v>199.2</v>
      </c>
      <c r="K13" s="10">
        <v>155.49</v>
      </c>
      <c r="L13" s="10">
        <v>48.93</v>
      </c>
      <c r="M13" s="10">
        <v>62.121589999999998</v>
      </c>
      <c r="N13" s="10">
        <v>95.07</v>
      </c>
      <c r="O13" s="10">
        <v>626.16</v>
      </c>
      <c r="P13" s="10">
        <v>183.64340000000001</v>
      </c>
      <c r="Q13" s="10">
        <v>72.199079999999995</v>
      </c>
      <c r="R13" s="10">
        <v>180.13900000000001</v>
      </c>
      <c r="S13" s="10">
        <v>447.12</v>
      </c>
      <c r="T13" s="10">
        <v>49.921080000000003</v>
      </c>
      <c r="U13" s="10">
        <v>71.224850000000004</v>
      </c>
      <c r="V13" s="10">
        <v>135.37450000000001</v>
      </c>
      <c r="W13" s="10">
        <v>39.92</v>
      </c>
      <c r="X13" s="10">
        <v>62.257649999999998</v>
      </c>
      <c r="Y13" s="10">
        <v>30.915420000000001</v>
      </c>
      <c r="Z13" s="10">
        <v>185.32939999999999</v>
      </c>
      <c r="AA13" s="10">
        <v>348.62670000000003</v>
      </c>
      <c r="AB13" s="10">
        <v>73.558430000000001</v>
      </c>
      <c r="AC13" s="10">
        <v>59.993780000000001</v>
      </c>
      <c r="AD13" s="10">
        <v>70.580719999999999</v>
      </c>
      <c r="AE13" s="10">
        <v>149.18</v>
      </c>
      <c r="AF13" s="10">
        <v>45.259369999999997</v>
      </c>
      <c r="AG13" s="10">
        <v>80.53</v>
      </c>
      <c r="AH13" s="10">
        <v>35.840000000000003</v>
      </c>
      <c r="AI13" s="10">
        <v>106.39</v>
      </c>
      <c r="AJ13" s="10">
        <v>48.72</v>
      </c>
      <c r="AK13" s="10">
        <v>17.660779999999999</v>
      </c>
      <c r="AL13" s="10">
        <v>120.56</v>
      </c>
      <c r="AM13" s="10">
        <v>44.257629999999999</v>
      </c>
      <c r="AN13" s="10">
        <v>34.503329999999998</v>
      </c>
      <c r="AO13" s="10">
        <v>206.31960000000001</v>
      </c>
      <c r="AP13" s="10">
        <v>80.643360000000001</v>
      </c>
      <c r="AQ13" s="10">
        <v>45.827979999999997</v>
      </c>
      <c r="AR13" s="10">
        <v>12.75</v>
      </c>
      <c r="AS13" s="10">
        <v>39.275100000000002</v>
      </c>
      <c r="AT13" s="10">
        <v>79.203090000000003</v>
      </c>
      <c r="AU13" s="10">
        <v>108.7435</v>
      </c>
      <c r="AV13" s="10">
        <v>84.523349999999994</v>
      </c>
      <c r="AW13" s="10">
        <v>67.141099999999994</v>
      </c>
      <c r="AX13" s="10">
        <v>95.71387</v>
      </c>
      <c r="AY13" s="10">
        <v>36.772399999999998</v>
      </c>
      <c r="AZ13" s="10">
        <v>93.42</v>
      </c>
      <c r="BA13" s="10">
        <v>117.53</v>
      </c>
      <c r="BB13" s="10">
        <v>48.050759999999997</v>
      </c>
      <c r="BC13" s="10">
        <v>41.66</v>
      </c>
      <c r="BD13" s="10">
        <v>58.337899999999998</v>
      </c>
      <c r="BE13" s="10">
        <v>17.573889999999999</v>
      </c>
      <c r="BF13" s="10">
        <v>120.2178</v>
      </c>
      <c r="BG13" s="10">
        <v>961.35</v>
      </c>
      <c r="BH13" s="10">
        <v>37.033990000000003</v>
      </c>
      <c r="BI13" s="10">
        <v>16.88</v>
      </c>
      <c r="BJ13" s="10">
        <v>36.079610000000002</v>
      </c>
      <c r="BK13" s="10">
        <v>142.2594</v>
      </c>
      <c r="BL13" s="10">
        <v>49.614699999999999</v>
      </c>
      <c r="BM13" s="10">
        <v>71.938609999999997</v>
      </c>
      <c r="BN13" s="10">
        <v>49.803759999999997</v>
      </c>
      <c r="BO13" s="10">
        <v>148.86510000000001</v>
      </c>
      <c r="BP13" s="10">
        <v>101.5376</v>
      </c>
      <c r="BQ13" s="10">
        <v>39.928089999999997</v>
      </c>
      <c r="BR13" s="10">
        <v>9.9821489999999997</v>
      </c>
      <c r="BS13" s="10">
        <v>1830.82</v>
      </c>
      <c r="BT13" s="10">
        <v>59.03463</v>
      </c>
      <c r="BU13" s="10">
        <v>68.673060000000007</v>
      </c>
      <c r="BV13" s="10">
        <v>191.0874</v>
      </c>
      <c r="BW13" s="10">
        <v>28.75947</v>
      </c>
      <c r="BX13" s="10">
        <v>59.948259999999998</v>
      </c>
      <c r="BY13" s="10">
        <v>96.899959999999993</v>
      </c>
      <c r="BZ13" s="10">
        <v>81.267139999999998</v>
      </c>
      <c r="CA13" s="10">
        <v>39.198349999999998</v>
      </c>
      <c r="CB13" s="10">
        <v>98.868589999999998</v>
      </c>
      <c r="CC13" s="10">
        <v>87.978030000000004</v>
      </c>
      <c r="CD13" s="10">
        <v>50.812370000000001</v>
      </c>
      <c r="CE13" s="10">
        <v>120.20659999999999</v>
      </c>
      <c r="CF13" s="10">
        <v>108.5171</v>
      </c>
      <c r="CG13" s="10">
        <v>104.0296</v>
      </c>
      <c r="CH13" s="10">
        <v>37.048760000000001</v>
      </c>
      <c r="CI13" s="10">
        <v>120.2383</v>
      </c>
      <c r="CJ13" s="10">
        <v>66.268720000000002</v>
      </c>
      <c r="CK13" s="10">
        <v>64.244609999999994</v>
      </c>
      <c r="CL13" s="10">
        <v>48.528230000000001</v>
      </c>
      <c r="CM13" s="10">
        <v>29.622810000000001</v>
      </c>
      <c r="CN13" s="10">
        <v>54.054389999999998</v>
      </c>
      <c r="CO13" s="10">
        <v>48.156610000000001</v>
      </c>
      <c r="CP13" s="10">
        <v>45.899479999999997</v>
      </c>
      <c r="CQ13" s="10">
        <v>119.3708</v>
      </c>
      <c r="CR13" s="10">
        <v>41.174190000000003</v>
      </c>
      <c r="CS13" s="10">
        <v>35.503839999999997</v>
      </c>
      <c r="CT13" s="10">
        <v>26.7</v>
      </c>
      <c r="CU13" s="10">
        <v>28.41</v>
      </c>
      <c r="CV13" s="10">
        <v>106.1845</v>
      </c>
      <c r="CW13" s="10">
        <v>213.8408</v>
      </c>
      <c r="CX13" s="10">
        <v>5.31</v>
      </c>
      <c r="CY13" s="10">
        <v>11.77333</v>
      </c>
      <c r="CZ13" s="10">
        <v>27.35</v>
      </c>
      <c r="DA13" s="10">
        <v>18.850000000000001</v>
      </c>
      <c r="DB13" s="10">
        <v>32.5</v>
      </c>
      <c r="DC13" s="10">
        <v>32.249519999999997</v>
      </c>
      <c r="DD13" s="10">
        <v>2.3304719999999999</v>
      </c>
      <c r="DE13" s="10">
        <v>72.265820000000005</v>
      </c>
      <c r="DF13" s="10">
        <v>42.95</v>
      </c>
      <c r="DG13" s="10">
        <v>6.48</v>
      </c>
      <c r="DH13" s="10">
        <v>56.08</v>
      </c>
      <c r="DI13" s="10">
        <v>65.806229999999999</v>
      </c>
      <c r="DJ13" s="10">
        <v>97.976730000000003</v>
      </c>
      <c r="DK13" s="10">
        <v>44.876649999999998</v>
      </c>
      <c r="DL13" s="10">
        <v>139.46270000000001</v>
      </c>
      <c r="DM13" s="10">
        <v>89.321209999999994</v>
      </c>
      <c r="DN13" s="10">
        <v>43.326790000000003</v>
      </c>
      <c r="DO13" s="10">
        <v>54.43233</v>
      </c>
      <c r="DP13" s="10">
        <v>32.323999999999998</v>
      </c>
      <c r="DQ13" s="10">
        <v>92.041439999999994</v>
      </c>
      <c r="DR13" s="10">
        <v>59.979050000000001</v>
      </c>
      <c r="DS13" s="10">
        <v>32.262149999999998</v>
      </c>
      <c r="DT13" s="10">
        <v>19.420649999999998</v>
      </c>
      <c r="DU13" s="10">
        <v>34.967370000000003</v>
      </c>
      <c r="DV13" s="15">
        <v>42.074337</v>
      </c>
      <c r="DW13" s="10">
        <v>68.22</v>
      </c>
      <c r="DX13" s="10">
        <v>107.42659999999999</v>
      </c>
      <c r="DY13" s="10">
        <v>48.009509999999999</v>
      </c>
      <c r="DZ13" s="10">
        <v>10.17057</v>
      </c>
      <c r="EA13" s="9">
        <v>2519.36</v>
      </c>
    </row>
    <row r="14" spans="1:131" ht="15.75">
      <c r="A14" s="8">
        <v>43009</v>
      </c>
      <c r="B14" s="10">
        <v>125.4076</v>
      </c>
      <c r="C14" s="10">
        <v>28.620840000000001</v>
      </c>
      <c r="D14" s="10">
        <v>75.255780000000001</v>
      </c>
      <c r="E14" s="10">
        <v>74.718209999999999</v>
      </c>
      <c r="F14" s="10">
        <v>46.481810000000003</v>
      </c>
      <c r="G14" s="10">
        <v>156.16900000000001</v>
      </c>
      <c r="H14" s="10">
        <v>54.254049999999999</v>
      </c>
      <c r="I14" s="10">
        <v>191.8245</v>
      </c>
      <c r="J14" s="10">
        <v>205.19</v>
      </c>
      <c r="K14" s="10">
        <v>166.17</v>
      </c>
      <c r="L14" s="10">
        <v>44.97</v>
      </c>
      <c r="M14" s="10">
        <v>65.827610000000007</v>
      </c>
      <c r="N14" s="10">
        <v>108.1</v>
      </c>
      <c r="O14" s="10">
        <v>682.63</v>
      </c>
      <c r="P14" s="10">
        <v>197.86580000000001</v>
      </c>
      <c r="Q14" s="10">
        <v>60.843620000000001</v>
      </c>
      <c r="R14" s="10">
        <v>199.19739999999999</v>
      </c>
      <c r="S14" s="10">
        <v>402.62</v>
      </c>
      <c r="T14" s="10">
        <v>50.735019999999999</v>
      </c>
      <c r="U14" s="10">
        <v>74.181799999999996</v>
      </c>
      <c r="V14" s="10">
        <v>148.06960000000001</v>
      </c>
      <c r="W14" s="10">
        <v>42.59</v>
      </c>
      <c r="X14" s="10">
        <v>62.316240000000001</v>
      </c>
      <c r="Y14" s="10">
        <v>35.192520000000002</v>
      </c>
      <c r="Z14" s="10">
        <v>198.08580000000001</v>
      </c>
      <c r="AA14" s="10">
        <v>375.36</v>
      </c>
      <c r="AB14" s="10">
        <v>80.459320000000005</v>
      </c>
      <c r="AC14" s="10">
        <v>61.63823</v>
      </c>
      <c r="AD14" s="10">
        <v>78.814670000000007</v>
      </c>
      <c r="AE14" s="10">
        <v>175.16</v>
      </c>
      <c r="AF14" s="10">
        <v>47.646369999999997</v>
      </c>
      <c r="AG14" s="10">
        <v>86.52</v>
      </c>
      <c r="AH14" s="10">
        <v>39.409999999999997</v>
      </c>
      <c r="AI14" s="10">
        <v>107.52</v>
      </c>
      <c r="AJ14" s="10">
        <v>52.25</v>
      </c>
      <c r="AK14" s="10">
        <v>17.49391</v>
      </c>
      <c r="AL14" s="10">
        <v>121.27</v>
      </c>
      <c r="AM14" s="10">
        <v>51.19941</v>
      </c>
      <c r="AN14" s="10">
        <v>41.217350000000003</v>
      </c>
      <c r="AO14" s="10">
        <v>225.41589999999999</v>
      </c>
      <c r="AP14" s="10">
        <v>86.985789999999994</v>
      </c>
      <c r="AQ14" s="10">
        <v>45.094239999999999</v>
      </c>
      <c r="AR14" s="10">
        <v>10.99</v>
      </c>
      <c r="AS14" s="10">
        <v>44.248150000000003</v>
      </c>
      <c r="AT14" s="10">
        <v>84.378519999999995</v>
      </c>
      <c r="AU14" s="10">
        <v>112.5513</v>
      </c>
      <c r="AV14" s="10">
        <v>89.249440000000007</v>
      </c>
      <c r="AW14" s="10">
        <v>69.852140000000006</v>
      </c>
      <c r="AX14" s="10">
        <v>106.9478</v>
      </c>
      <c r="AY14" s="10">
        <v>40.332250000000002</v>
      </c>
      <c r="AZ14" s="10">
        <v>102.34</v>
      </c>
      <c r="BA14" s="10">
        <v>126.37</v>
      </c>
      <c r="BB14" s="10">
        <v>50.900329999999997</v>
      </c>
      <c r="BC14" s="10">
        <v>44.67</v>
      </c>
      <c r="BD14" s="10">
        <v>59.549320000000002</v>
      </c>
      <c r="BE14" s="10">
        <v>19.105329999999999</v>
      </c>
      <c r="BF14" s="10">
        <v>127.6589</v>
      </c>
      <c r="BG14" s="10">
        <v>1105.28</v>
      </c>
      <c r="BH14" s="10">
        <v>36.244390000000003</v>
      </c>
      <c r="BI14" s="10">
        <v>16.7</v>
      </c>
      <c r="BJ14" s="10">
        <v>38.794040000000003</v>
      </c>
      <c r="BK14" s="10">
        <v>151.5479</v>
      </c>
      <c r="BL14" s="10">
        <v>50.658549999999998</v>
      </c>
      <c r="BM14" s="10">
        <v>75.125529999999998</v>
      </c>
      <c r="BN14" s="10">
        <v>52.819839999999999</v>
      </c>
      <c r="BO14" s="10">
        <v>150.88570000000001</v>
      </c>
      <c r="BP14" s="10">
        <v>103.5046</v>
      </c>
      <c r="BQ14" s="10">
        <v>41.503950000000003</v>
      </c>
      <c r="BR14" s="10">
        <v>10.171720000000001</v>
      </c>
      <c r="BS14" s="10">
        <v>1911.96</v>
      </c>
      <c r="BT14" s="10">
        <v>60.698599999999999</v>
      </c>
      <c r="BU14" s="10">
        <v>69.456720000000004</v>
      </c>
      <c r="BV14" s="10">
        <v>176.55250000000001</v>
      </c>
      <c r="BW14" s="10">
        <v>29.74785</v>
      </c>
      <c r="BX14" s="10">
        <v>57.078240000000001</v>
      </c>
      <c r="BY14" s="10">
        <v>79.895380000000003</v>
      </c>
      <c r="BZ14" s="10">
        <v>77.122510000000005</v>
      </c>
      <c r="CA14" s="10">
        <v>40.361739999999998</v>
      </c>
      <c r="CB14" s="10">
        <v>97.803870000000003</v>
      </c>
      <c r="CC14" s="10">
        <v>83.720659999999995</v>
      </c>
      <c r="CD14" s="10">
        <v>49.663919999999997</v>
      </c>
      <c r="CE14" s="10">
        <v>124.6463</v>
      </c>
      <c r="CF14" s="10">
        <v>111.6825</v>
      </c>
      <c r="CG14" s="10">
        <v>107.8593</v>
      </c>
      <c r="CH14" s="10">
        <v>37.956189999999999</v>
      </c>
      <c r="CI14" s="10">
        <v>123.37649999999999</v>
      </c>
      <c r="CJ14" s="10">
        <v>64.085520000000002</v>
      </c>
      <c r="CK14" s="10">
        <v>64.062359999999998</v>
      </c>
      <c r="CL14" s="10">
        <v>50.030410000000003</v>
      </c>
      <c r="CM14" s="10">
        <v>28.719560000000001</v>
      </c>
      <c r="CN14" s="10">
        <v>54.193069999999999</v>
      </c>
      <c r="CO14" s="10">
        <v>46.69746</v>
      </c>
      <c r="CP14" s="10">
        <v>42.792149999999999</v>
      </c>
      <c r="CQ14" s="10">
        <v>114.5022</v>
      </c>
      <c r="CR14" s="10">
        <v>41.657870000000003</v>
      </c>
      <c r="CS14" s="10">
        <v>33.931260000000002</v>
      </c>
      <c r="CT14" s="10">
        <v>27.28</v>
      </c>
      <c r="CU14" s="10">
        <v>31.78</v>
      </c>
      <c r="CV14" s="10">
        <v>103.9209</v>
      </c>
      <c r="CW14" s="10">
        <v>214.5609</v>
      </c>
      <c r="CX14" s="10">
        <v>4.88</v>
      </c>
      <c r="CY14" s="10">
        <v>13</v>
      </c>
      <c r="CZ14" s="10">
        <v>29.05</v>
      </c>
      <c r="DA14" s="10">
        <v>24.05</v>
      </c>
      <c r="DB14" s="10">
        <v>32.15</v>
      </c>
      <c r="DC14" s="10">
        <v>31.430029999999999</v>
      </c>
      <c r="DD14" s="10">
        <v>2.273631</v>
      </c>
      <c r="DE14" s="10">
        <v>79.577969999999993</v>
      </c>
      <c r="DF14" s="10">
        <v>43.3</v>
      </c>
      <c r="DG14" s="10">
        <v>6.13</v>
      </c>
      <c r="DH14" s="10">
        <v>61.43</v>
      </c>
      <c r="DI14" s="10">
        <v>66.905940000000001</v>
      </c>
      <c r="DJ14" s="10">
        <v>96.634240000000005</v>
      </c>
      <c r="DK14" s="10">
        <v>45.862949999999998</v>
      </c>
      <c r="DL14" s="10">
        <v>141.51390000000001</v>
      </c>
      <c r="DM14" s="10">
        <v>92.211200000000005</v>
      </c>
      <c r="DN14" s="10">
        <v>41.047130000000003</v>
      </c>
      <c r="DO14" s="10">
        <v>55.427430000000001</v>
      </c>
      <c r="DP14" s="10">
        <v>32.549579999999999</v>
      </c>
      <c r="DQ14" s="10">
        <v>100.68559999999999</v>
      </c>
      <c r="DR14" s="10">
        <v>55.463299999999997</v>
      </c>
      <c r="DS14" s="10">
        <v>27.689769999999999</v>
      </c>
      <c r="DT14" s="10">
        <v>19.05199</v>
      </c>
      <c r="DU14" s="10">
        <v>33.50976</v>
      </c>
      <c r="DV14" s="15">
        <v>38.004711</v>
      </c>
      <c r="DW14" s="10">
        <v>66.305999999999997</v>
      </c>
      <c r="DX14" s="10">
        <v>116.3723</v>
      </c>
      <c r="DY14" s="10">
        <v>49.061790000000002</v>
      </c>
      <c r="DZ14" s="10">
        <v>10.425470000000001</v>
      </c>
      <c r="EA14" s="9">
        <v>2575.2600000000002</v>
      </c>
    </row>
    <row r="15" spans="1:131" ht="15.75">
      <c r="A15" s="8">
        <v>43040</v>
      </c>
      <c r="B15" s="10">
        <v>125.3356</v>
      </c>
      <c r="C15" s="10">
        <v>29.600460000000002</v>
      </c>
      <c r="D15" s="10">
        <v>77.735510000000005</v>
      </c>
      <c r="E15" s="10">
        <v>80.8001</v>
      </c>
      <c r="F15" s="10">
        <v>46.633670000000002</v>
      </c>
      <c r="G15" s="10">
        <v>156.56120000000001</v>
      </c>
      <c r="H15" s="10">
        <v>55.937249999999999</v>
      </c>
      <c r="I15" s="10">
        <v>190.76560000000001</v>
      </c>
      <c r="J15" s="10">
        <v>230.03</v>
      </c>
      <c r="K15" s="10">
        <v>156.41</v>
      </c>
      <c r="L15" s="10">
        <v>58.43</v>
      </c>
      <c r="M15" s="10">
        <v>67.136480000000006</v>
      </c>
      <c r="N15" s="10">
        <v>102.01</v>
      </c>
      <c r="O15" s="10">
        <v>629.21</v>
      </c>
      <c r="P15" s="10">
        <v>214.76089999999999</v>
      </c>
      <c r="Q15" s="10">
        <v>68.455969999999994</v>
      </c>
      <c r="R15" s="10">
        <v>223.715</v>
      </c>
      <c r="S15" s="10">
        <v>361.86</v>
      </c>
      <c r="T15" s="10">
        <v>52.995060000000002</v>
      </c>
      <c r="U15" s="10">
        <v>75.665059999999997</v>
      </c>
      <c r="V15" s="10">
        <v>149.1499</v>
      </c>
      <c r="W15" s="10">
        <v>39.79</v>
      </c>
      <c r="X15" s="10">
        <v>70.586659999999995</v>
      </c>
      <c r="Y15" s="10">
        <v>36.000639999999997</v>
      </c>
      <c r="Z15" s="10">
        <v>216.63460000000001</v>
      </c>
      <c r="AA15" s="10">
        <v>399.78</v>
      </c>
      <c r="AB15" s="10">
        <v>81.625399999999999</v>
      </c>
      <c r="AC15" s="10">
        <v>62.65166</v>
      </c>
      <c r="AD15" s="10">
        <v>79.752700000000004</v>
      </c>
      <c r="AE15" s="10">
        <v>181.47</v>
      </c>
      <c r="AF15" s="10">
        <v>46.105130000000003</v>
      </c>
      <c r="AG15" s="10">
        <v>90.38</v>
      </c>
      <c r="AH15" s="10">
        <v>42.06</v>
      </c>
      <c r="AI15" s="10">
        <v>115.1</v>
      </c>
      <c r="AJ15" s="10">
        <v>55.78</v>
      </c>
      <c r="AK15" s="10">
        <v>15.5938</v>
      </c>
      <c r="AL15" s="10">
        <v>134.19999999999999</v>
      </c>
      <c r="AM15" s="10">
        <v>49.689250000000001</v>
      </c>
      <c r="AN15" s="10">
        <v>40.628390000000003</v>
      </c>
      <c r="AO15" s="10">
        <v>237.39949999999999</v>
      </c>
      <c r="AP15" s="10">
        <v>88.085729999999998</v>
      </c>
      <c r="AQ15" s="10">
        <v>58.646389999999997</v>
      </c>
      <c r="AR15" s="10">
        <v>10.89</v>
      </c>
      <c r="AS15" s="10">
        <v>42.330829999999999</v>
      </c>
      <c r="AT15" s="10">
        <v>79.581959999999995</v>
      </c>
      <c r="AU15" s="10">
        <v>109.032</v>
      </c>
      <c r="AV15" s="10">
        <v>81.896709999999999</v>
      </c>
      <c r="AW15" s="10">
        <v>65.889849999999996</v>
      </c>
      <c r="AX15" s="10">
        <v>98.381450000000001</v>
      </c>
      <c r="AY15" s="10">
        <v>41.002699999999997</v>
      </c>
      <c r="AZ15" s="10">
        <v>104.32</v>
      </c>
      <c r="BA15" s="10">
        <v>123</v>
      </c>
      <c r="BB15" s="10">
        <v>55.818629999999999</v>
      </c>
      <c r="BC15" s="10">
        <v>43.5</v>
      </c>
      <c r="BD15" s="10">
        <v>61.518920000000001</v>
      </c>
      <c r="BE15" s="10">
        <v>19.016680000000001</v>
      </c>
      <c r="BF15" s="10">
        <v>127.5843</v>
      </c>
      <c r="BG15" s="10">
        <v>1176.75</v>
      </c>
      <c r="BH15" s="10">
        <v>33.384509999999999</v>
      </c>
      <c r="BI15" s="10">
        <v>16.46</v>
      </c>
      <c r="BJ15" s="10">
        <v>38.893340000000002</v>
      </c>
      <c r="BK15" s="10">
        <v>156.1422</v>
      </c>
      <c r="BL15" s="10">
        <v>53.41133</v>
      </c>
      <c r="BM15" s="10">
        <v>77.610830000000007</v>
      </c>
      <c r="BN15" s="10">
        <v>58.035550000000001</v>
      </c>
      <c r="BO15" s="10">
        <v>163.6643</v>
      </c>
      <c r="BP15" s="10">
        <v>105.5788</v>
      </c>
      <c r="BQ15" s="10">
        <v>38.584269999999997</v>
      </c>
      <c r="BR15" s="10">
        <v>9.5386290000000002</v>
      </c>
      <c r="BS15" s="10">
        <v>1739.71</v>
      </c>
      <c r="BT15" s="10">
        <v>60.012909999999998</v>
      </c>
      <c r="BU15" s="10">
        <v>77.871780000000001</v>
      </c>
      <c r="BV15" s="10">
        <v>179.60120000000001</v>
      </c>
      <c r="BW15" s="10">
        <v>38.75376</v>
      </c>
      <c r="BX15" s="10">
        <v>64.636899999999997</v>
      </c>
      <c r="BY15" s="10">
        <v>98.720749999999995</v>
      </c>
      <c r="BZ15" s="10">
        <v>80.98518</v>
      </c>
      <c r="CA15" s="10">
        <v>40.177399999999999</v>
      </c>
      <c r="CB15" s="10">
        <v>103.3848</v>
      </c>
      <c r="CC15" s="10">
        <v>82.208500000000001</v>
      </c>
      <c r="CD15" s="10">
        <v>49.514890000000001</v>
      </c>
      <c r="CE15" s="10">
        <v>125.97450000000001</v>
      </c>
      <c r="CF15" s="10">
        <v>104.1418</v>
      </c>
      <c r="CG15" s="10">
        <v>120.41930000000001</v>
      </c>
      <c r="CH15" s="10">
        <v>39.339579999999998</v>
      </c>
      <c r="CI15" s="10">
        <v>127.1152</v>
      </c>
      <c r="CJ15" s="10">
        <v>66.267259999999993</v>
      </c>
      <c r="CK15" s="10">
        <v>67.409229999999994</v>
      </c>
      <c r="CL15" s="10">
        <v>52.246229999999997</v>
      </c>
      <c r="CM15" s="10">
        <v>33.782820000000001</v>
      </c>
      <c r="CN15" s="10">
        <v>57.339080000000003</v>
      </c>
      <c r="CO15" s="10">
        <v>48.171059999999997</v>
      </c>
      <c r="CP15" s="10">
        <v>44.611069999999998</v>
      </c>
      <c r="CQ15" s="10">
        <v>126.87820000000001</v>
      </c>
      <c r="CR15" s="10">
        <v>43.689450000000001</v>
      </c>
      <c r="CS15" s="10">
        <v>25.768789999999999</v>
      </c>
      <c r="CT15" s="10">
        <v>29.12</v>
      </c>
      <c r="CU15" s="10">
        <v>36.67</v>
      </c>
      <c r="CV15" s="10">
        <v>107.387</v>
      </c>
      <c r="CW15" s="10">
        <v>219.92949999999999</v>
      </c>
      <c r="CX15" s="10">
        <v>4.8099999999999996</v>
      </c>
      <c r="CY15" s="10">
        <v>16.033329999999999</v>
      </c>
      <c r="CZ15" s="10">
        <v>27.75</v>
      </c>
      <c r="DA15" s="10">
        <v>27</v>
      </c>
      <c r="DB15" s="10">
        <v>27.25</v>
      </c>
      <c r="DC15" s="10">
        <v>36.491619999999998</v>
      </c>
      <c r="DD15" s="10">
        <v>4.1777959999999998</v>
      </c>
      <c r="DE15" s="10">
        <v>84.905950000000004</v>
      </c>
      <c r="DF15" s="10">
        <v>47.8</v>
      </c>
      <c r="DG15" s="10">
        <v>6.28</v>
      </c>
      <c r="DH15" s="10">
        <v>62.51</v>
      </c>
      <c r="DI15" s="10">
        <v>66.857789999999994</v>
      </c>
      <c r="DJ15" s="10">
        <v>99.219149999999999</v>
      </c>
      <c r="DK15" s="10">
        <v>45.864870000000003</v>
      </c>
      <c r="DL15" s="10">
        <v>147.5368</v>
      </c>
      <c r="DM15" s="10">
        <v>94.637839999999997</v>
      </c>
      <c r="DN15" s="10">
        <v>42.645899999999997</v>
      </c>
      <c r="DO15" s="10">
        <v>60.517789999999998</v>
      </c>
      <c r="DP15" s="10">
        <v>33.987400000000001</v>
      </c>
      <c r="DQ15" s="10">
        <v>102.70569999999999</v>
      </c>
      <c r="DR15" s="10">
        <v>54.46669</v>
      </c>
      <c r="DS15" s="10">
        <v>26.192070000000001</v>
      </c>
      <c r="DT15" s="10">
        <v>19.921469999999999</v>
      </c>
      <c r="DU15" s="10">
        <v>32.882489999999997</v>
      </c>
      <c r="DV15" s="15">
        <v>38.656567000000003</v>
      </c>
      <c r="DW15" s="10">
        <v>61.77</v>
      </c>
      <c r="DX15" s="10">
        <v>105.5985</v>
      </c>
      <c r="DY15" s="10">
        <v>50.365920000000003</v>
      </c>
      <c r="DZ15" s="10">
        <v>10.76999</v>
      </c>
      <c r="EA15" s="9">
        <v>2647.58</v>
      </c>
    </row>
    <row r="16" spans="1:131" ht="15.75">
      <c r="A16" s="8">
        <v>43070</v>
      </c>
      <c r="B16" s="10">
        <v>126.45610000000001</v>
      </c>
      <c r="C16" s="10">
        <v>29.837980000000002</v>
      </c>
      <c r="D16" s="10">
        <v>78.060090000000002</v>
      </c>
      <c r="E16" s="10">
        <v>80.625029999999995</v>
      </c>
      <c r="F16" s="10">
        <v>47.477420000000002</v>
      </c>
      <c r="G16" s="10">
        <v>156.0521</v>
      </c>
      <c r="H16" s="10">
        <v>54.246490000000001</v>
      </c>
      <c r="I16" s="10">
        <v>187.91540000000001</v>
      </c>
      <c r="J16" s="10">
        <v>218.49</v>
      </c>
      <c r="K16" s="10">
        <v>156.38</v>
      </c>
      <c r="L16" s="10">
        <v>57.39</v>
      </c>
      <c r="M16" s="10">
        <v>64.93544</v>
      </c>
      <c r="N16" s="10">
        <v>97.9</v>
      </c>
      <c r="O16" s="10">
        <v>619.52</v>
      </c>
      <c r="P16" s="10">
        <v>208.2046</v>
      </c>
      <c r="Q16" s="10">
        <v>64.791880000000006</v>
      </c>
      <c r="R16" s="10">
        <v>214.24119999999999</v>
      </c>
      <c r="S16" s="10">
        <v>375.96</v>
      </c>
      <c r="T16" s="10">
        <v>53.653149999999997</v>
      </c>
      <c r="U16" s="10">
        <v>74.393680000000003</v>
      </c>
      <c r="V16" s="10">
        <v>148.04089999999999</v>
      </c>
      <c r="W16" s="10">
        <v>41.08</v>
      </c>
      <c r="X16" s="10">
        <v>70.450620000000001</v>
      </c>
      <c r="Y16" s="10">
        <v>41.69688</v>
      </c>
      <c r="Z16" s="10">
        <v>203.20240000000001</v>
      </c>
      <c r="AA16" s="10">
        <v>364.94</v>
      </c>
      <c r="AB16" s="10">
        <v>81.291700000000006</v>
      </c>
      <c r="AC16" s="10">
        <v>61.952840000000002</v>
      </c>
      <c r="AD16" s="10">
        <v>81.457840000000004</v>
      </c>
      <c r="AE16" s="10">
        <v>175.24</v>
      </c>
      <c r="AF16" s="10">
        <v>44.432340000000003</v>
      </c>
      <c r="AG16" s="10">
        <v>85.24</v>
      </c>
      <c r="AH16" s="10">
        <v>43.69</v>
      </c>
      <c r="AI16" s="10">
        <v>114.44</v>
      </c>
      <c r="AJ16" s="10">
        <v>65.040000000000006</v>
      </c>
      <c r="AK16" s="10">
        <v>15.14414</v>
      </c>
      <c r="AL16" s="10">
        <v>131.22</v>
      </c>
      <c r="AM16" s="10">
        <v>47.937570000000001</v>
      </c>
      <c r="AN16" s="10">
        <v>42.072270000000003</v>
      </c>
      <c r="AO16" s="10">
        <v>219.42840000000001</v>
      </c>
      <c r="AP16" s="10">
        <v>94.559269999999998</v>
      </c>
      <c r="AQ16" s="10">
        <v>57.072850000000003</v>
      </c>
      <c r="AR16" s="10">
        <v>10.28</v>
      </c>
      <c r="AS16" s="10">
        <v>41.062600000000003</v>
      </c>
      <c r="AT16" s="10">
        <v>82.715130000000002</v>
      </c>
      <c r="AU16" s="10">
        <v>112.5898</v>
      </c>
      <c r="AV16" s="10">
        <v>83.064850000000007</v>
      </c>
      <c r="AW16" s="10">
        <v>64.219440000000006</v>
      </c>
      <c r="AX16" s="10">
        <v>89.445970000000003</v>
      </c>
      <c r="AY16" s="10">
        <v>40.522739999999999</v>
      </c>
      <c r="AZ16" s="10">
        <v>102.23</v>
      </c>
      <c r="BA16" s="10">
        <v>130.38999999999999</v>
      </c>
      <c r="BB16" s="10">
        <v>53.561790000000002</v>
      </c>
      <c r="BC16" s="10">
        <v>41.6</v>
      </c>
      <c r="BD16" s="10">
        <v>59.681150000000002</v>
      </c>
      <c r="BE16" s="10">
        <v>18.6266</v>
      </c>
      <c r="BF16" s="10">
        <v>128.39930000000001</v>
      </c>
      <c r="BG16" s="10">
        <v>1169.47</v>
      </c>
      <c r="BH16" s="10">
        <v>36.340690000000002</v>
      </c>
      <c r="BI16" s="10">
        <v>20.45</v>
      </c>
      <c r="BJ16" s="10">
        <v>36.997860000000003</v>
      </c>
      <c r="BK16" s="10">
        <v>157.21</v>
      </c>
      <c r="BL16" s="10">
        <v>53.332120000000003</v>
      </c>
      <c r="BM16" s="10">
        <v>88.379890000000003</v>
      </c>
      <c r="BN16" s="10">
        <v>60.081490000000002</v>
      </c>
      <c r="BO16" s="10">
        <v>173.3758</v>
      </c>
      <c r="BP16" s="10">
        <v>107.3147</v>
      </c>
      <c r="BQ16" s="10">
        <v>36.68544</v>
      </c>
      <c r="BR16" s="10">
        <v>9.9606919999999999</v>
      </c>
      <c r="BS16" s="10">
        <v>1737.74</v>
      </c>
      <c r="BT16" s="10">
        <v>61.090649999999997</v>
      </c>
      <c r="BU16" s="10">
        <v>76.424030000000002</v>
      </c>
      <c r="BV16" s="10">
        <v>182.30260000000001</v>
      </c>
      <c r="BW16" s="10">
        <v>42.130830000000003</v>
      </c>
      <c r="BX16" s="10">
        <v>71.106480000000005</v>
      </c>
      <c r="BY16" s="10">
        <v>97.440309999999997</v>
      </c>
      <c r="BZ16" s="10">
        <v>82.686059999999998</v>
      </c>
      <c r="CA16" s="10">
        <v>40.604149999999997</v>
      </c>
      <c r="CB16" s="10">
        <v>107.1397</v>
      </c>
      <c r="CC16" s="10">
        <v>84.528720000000007</v>
      </c>
      <c r="CD16" s="10">
        <v>48.882660000000001</v>
      </c>
      <c r="CE16" s="10">
        <v>132.85230000000001</v>
      </c>
      <c r="CF16" s="10">
        <v>103.0988</v>
      </c>
      <c r="CG16" s="10">
        <v>123.11750000000001</v>
      </c>
      <c r="CH16" s="10">
        <v>39.211320000000001</v>
      </c>
      <c r="CI16" s="10">
        <v>127.9636</v>
      </c>
      <c r="CJ16" s="10">
        <v>69.011250000000004</v>
      </c>
      <c r="CK16" s="10">
        <v>64.933750000000003</v>
      </c>
      <c r="CL16" s="10">
        <v>54.961269999999999</v>
      </c>
      <c r="CM16" s="10">
        <v>33.727200000000003</v>
      </c>
      <c r="CN16" s="10">
        <v>59.396569999999997</v>
      </c>
      <c r="CO16" s="10">
        <v>48.043770000000002</v>
      </c>
      <c r="CP16" s="10">
        <v>47.728050000000003</v>
      </c>
      <c r="CQ16" s="10">
        <v>135.48609999999999</v>
      </c>
      <c r="CR16" s="10">
        <v>42.634880000000003</v>
      </c>
      <c r="CS16" s="10">
        <v>25.904109999999999</v>
      </c>
      <c r="CT16" s="10">
        <v>31.93</v>
      </c>
      <c r="CU16" s="10">
        <v>31.06</v>
      </c>
      <c r="CV16" s="10">
        <v>106.1361</v>
      </c>
      <c r="CW16" s="10">
        <v>237.1088</v>
      </c>
      <c r="CX16" s="10">
        <v>4.5999999999999996</v>
      </c>
      <c r="CY16" s="10">
        <v>16.46</v>
      </c>
      <c r="CZ16" s="10">
        <v>28.4</v>
      </c>
      <c r="DA16" s="10">
        <v>28</v>
      </c>
      <c r="DB16" s="10">
        <v>28.9</v>
      </c>
      <c r="DC16" s="10">
        <v>34.553510000000003</v>
      </c>
      <c r="DD16" s="10">
        <v>3.4862340000000001</v>
      </c>
      <c r="DE16" s="10">
        <v>86.423519999999996</v>
      </c>
      <c r="DF16" s="10">
        <v>47.9</v>
      </c>
      <c r="DG16" s="10">
        <v>6.16</v>
      </c>
      <c r="DH16" s="10">
        <v>60.72</v>
      </c>
      <c r="DI16" s="10">
        <v>67.760090000000005</v>
      </c>
      <c r="DJ16" s="10">
        <v>105.36620000000001</v>
      </c>
      <c r="DK16" s="10">
        <v>49.479610000000001</v>
      </c>
      <c r="DL16" s="10">
        <v>163.4308</v>
      </c>
      <c r="DM16" s="10">
        <v>99.808160000000001</v>
      </c>
      <c r="DN16" s="10">
        <v>44.123809999999999</v>
      </c>
      <c r="DO16" s="10">
        <v>63.230370000000001</v>
      </c>
      <c r="DP16" s="10">
        <v>36.519039999999997</v>
      </c>
      <c r="DQ16" s="10">
        <v>118.62220000000001</v>
      </c>
      <c r="DR16" s="10">
        <v>58.401119999999999</v>
      </c>
      <c r="DS16" s="10">
        <v>28.036110000000001</v>
      </c>
      <c r="DT16" s="10">
        <v>21.885560000000002</v>
      </c>
      <c r="DU16" s="10">
        <v>35.303350000000002</v>
      </c>
      <c r="DV16" s="15">
        <v>39.016978999999999</v>
      </c>
      <c r="DW16" s="10">
        <v>62.27</v>
      </c>
      <c r="DX16" s="10">
        <v>101.9425</v>
      </c>
      <c r="DY16" s="10">
        <v>51.227989999999998</v>
      </c>
      <c r="DZ16" s="10">
        <v>10.74418</v>
      </c>
      <c r="EA16" s="9">
        <v>2673.61</v>
      </c>
    </row>
    <row r="17" spans="1:131" ht="15.75">
      <c r="A17" s="8">
        <v>43101</v>
      </c>
      <c r="B17" s="10">
        <v>125.0714</v>
      </c>
      <c r="C17" s="10">
        <v>30.513490000000001</v>
      </c>
      <c r="D17" s="10">
        <v>75.27816</v>
      </c>
      <c r="E17" s="10">
        <v>93.55538</v>
      </c>
      <c r="F17" s="10">
        <v>50.417009999999998</v>
      </c>
      <c r="G17" s="10">
        <v>166.95500000000001</v>
      </c>
      <c r="H17" s="10">
        <v>55.41498</v>
      </c>
      <c r="I17" s="10">
        <v>221.96510000000001</v>
      </c>
      <c r="J17" s="10">
        <v>232.64</v>
      </c>
      <c r="K17" s="10">
        <v>187.04</v>
      </c>
      <c r="L17" s="10">
        <v>58.2</v>
      </c>
      <c r="M17" s="10">
        <v>71.356830000000002</v>
      </c>
      <c r="N17" s="10">
        <v>102.19</v>
      </c>
      <c r="O17" s="10">
        <v>675.26</v>
      </c>
      <c r="P17" s="10">
        <v>223.6174</v>
      </c>
      <c r="Q17" s="10">
        <v>70.323759999999993</v>
      </c>
      <c r="R17" s="10">
        <v>236.7013</v>
      </c>
      <c r="S17" s="10">
        <v>366.65</v>
      </c>
      <c r="T17" s="10">
        <v>58.438400000000001</v>
      </c>
      <c r="U17" s="10">
        <v>79.576809999999995</v>
      </c>
      <c r="V17" s="10">
        <v>157.63810000000001</v>
      </c>
      <c r="W17" s="10">
        <v>46.54</v>
      </c>
      <c r="X17" s="10">
        <v>75.037139999999994</v>
      </c>
      <c r="Y17" s="10">
        <v>42.229059999999997</v>
      </c>
      <c r="Z17" s="10">
        <v>231.41030000000001</v>
      </c>
      <c r="AA17" s="10">
        <v>431.67</v>
      </c>
      <c r="AB17" s="10">
        <v>96.745670000000004</v>
      </c>
      <c r="AC17" s="10">
        <v>69.035619999999994</v>
      </c>
      <c r="AD17" s="10">
        <v>90.475930000000005</v>
      </c>
      <c r="AE17" s="10">
        <v>199.76</v>
      </c>
      <c r="AF17" s="10">
        <v>48.48274</v>
      </c>
      <c r="AG17" s="10">
        <v>92.61</v>
      </c>
      <c r="AH17" s="10">
        <v>46.04</v>
      </c>
      <c r="AI17" s="10">
        <v>114.92</v>
      </c>
      <c r="AJ17" s="10">
        <v>66.989999999999995</v>
      </c>
      <c r="AK17" s="10">
        <v>14.69618</v>
      </c>
      <c r="AL17" s="10">
        <v>144.54</v>
      </c>
      <c r="AM17" s="10">
        <v>60.89434</v>
      </c>
      <c r="AN17" s="10">
        <v>43.876919999999998</v>
      </c>
      <c r="AO17" s="10">
        <v>213.25659999999999</v>
      </c>
      <c r="AP17" s="10">
        <v>99.294489999999996</v>
      </c>
      <c r="AQ17" s="10">
        <v>60.843850000000003</v>
      </c>
      <c r="AR17" s="10">
        <v>13.74</v>
      </c>
      <c r="AS17" s="10">
        <v>43.658969999999997</v>
      </c>
      <c r="AT17" s="10">
        <v>85.362979999999993</v>
      </c>
      <c r="AU17" s="10">
        <v>115.6956</v>
      </c>
      <c r="AV17" s="10">
        <v>90.002709999999993</v>
      </c>
      <c r="AW17" s="10">
        <v>69.553600000000003</v>
      </c>
      <c r="AX17" s="10">
        <v>91.574979999999996</v>
      </c>
      <c r="AY17" s="10">
        <v>40.091720000000002</v>
      </c>
      <c r="AZ17" s="10">
        <v>113.91</v>
      </c>
      <c r="BA17" s="10">
        <v>148.87</v>
      </c>
      <c r="BB17" s="10">
        <v>57.070360000000001</v>
      </c>
      <c r="BC17" s="10">
        <v>46.72</v>
      </c>
      <c r="BD17" s="10">
        <v>62.708509999999997</v>
      </c>
      <c r="BE17" s="10">
        <v>20.81035</v>
      </c>
      <c r="BF17" s="10">
        <v>137.0027</v>
      </c>
      <c r="BG17" s="10">
        <v>1450.89</v>
      </c>
      <c r="BH17" s="10">
        <v>39.075380000000003</v>
      </c>
      <c r="BI17" s="10">
        <v>18.760000000000002</v>
      </c>
      <c r="BJ17" s="10">
        <v>38.627800000000001</v>
      </c>
      <c r="BK17" s="10">
        <v>156.31489999999999</v>
      </c>
      <c r="BL17" s="10">
        <v>52.756349999999998</v>
      </c>
      <c r="BM17" s="10">
        <v>88.223410000000001</v>
      </c>
      <c r="BN17" s="10">
        <v>65.745360000000005</v>
      </c>
      <c r="BO17" s="10">
        <v>183.77670000000001</v>
      </c>
      <c r="BP17" s="10">
        <v>112.4258</v>
      </c>
      <c r="BQ17" s="10">
        <v>37.102200000000003</v>
      </c>
      <c r="BR17" s="10">
        <v>9.9184870000000007</v>
      </c>
      <c r="BS17" s="10">
        <v>1912.05</v>
      </c>
      <c r="BT17" s="10">
        <v>65.913830000000004</v>
      </c>
      <c r="BU17" s="10">
        <v>79.214669999999998</v>
      </c>
      <c r="BV17" s="10">
        <v>209.74440000000001</v>
      </c>
      <c r="BW17" s="10">
        <v>35.043729999999996</v>
      </c>
      <c r="BX17" s="10">
        <v>72.533349999999999</v>
      </c>
      <c r="BY17" s="10">
        <v>114.4195</v>
      </c>
      <c r="BZ17" s="10">
        <v>77.700419999999994</v>
      </c>
      <c r="CA17" s="10">
        <v>42.1175</v>
      </c>
      <c r="CB17" s="10">
        <v>107.47920000000001</v>
      </c>
      <c r="CC17" s="10">
        <v>86.650390000000002</v>
      </c>
      <c r="CD17" s="10">
        <v>49.880800000000001</v>
      </c>
      <c r="CE17" s="10">
        <v>130.9691</v>
      </c>
      <c r="CF17" s="10">
        <v>104.8732</v>
      </c>
      <c r="CG17" s="10">
        <v>130.5874</v>
      </c>
      <c r="CH17" s="10">
        <v>40.88514</v>
      </c>
      <c r="CI17" s="10">
        <v>135.31800000000001</v>
      </c>
      <c r="CJ17" s="10">
        <v>67.904510000000002</v>
      </c>
      <c r="CK17" s="10">
        <v>65.459819999999993</v>
      </c>
      <c r="CL17" s="10">
        <v>56.89799</v>
      </c>
      <c r="CM17" s="10">
        <v>31.81795</v>
      </c>
      <c r="CN17" s="10">
        <v>59.510170000000002</v>
      </c>
      <c r="CO17" s="10">
        <v>51.540219999999998</v>
      </c>
      <c r="CP17" s="10">
        <v>46.472299999999997</v>
      </c>
      <c r="CQ17" s="10">
        <v>129.0643</v>
      </c>
      <c r="CR17" s="10">
        <v>41.252409999999998</v>
      </c>
      <c r="CS17" s="10">
        <v>22.165199999999999</v>
      </c>
      <c r="CT17" s="10">
        <v>32.130000000000003</v>
      </c>
      <c r="CU17" s="10">
        <v>27.77</v>
      </c>
      <c r="CV17" s="10">
        <v>113.41370000000001</v>
      </c>
      <c r="CW17" s="10">
        <v>249.9264</v>
      </c>
      <c r="CX17" s="10">
        <v>4.8099999999999996</v>
      </c>
      <c r="CY17" s="10">
        <v>21.49333</v>
      </c>
      <c r="CZ17" s="10">
        <v>28.35</v>
      </c>
      <c r="DA17" s="10">
        <v>29.2</v>
      </c>
      <c r="DB17" s="10">
        <v>28.7</v>
      </c>
      <c r="DC17" s="10">
        <v>34.360190000000003</v>
      </c>
      <c r="DD17" s="10">
        <v>2.3020510000000001</v>
      </c>
      <c r="DE17" s="10">
        <v>96.287670000000006</v>
      </c>
      <c r="DF17" s="10">
        <v>48.05</v>
      </c>
      <c r="DG17" s="10">
        <v>6.11</v>
      </c>
      <c r="DH17" s="10">
        <v>59.75</v>
      </c>
      <c r="DI17" s="10">
        <v>70.725210000000004</v>
      </c>
      <c r="DJ17" s="10">
        <v>105.5009</v>
      </c>
      <c r="DK17" s="10">
        <v>53.01323</v>
      </c>
      <c r="DL17" s="10">
        <v>172.9426</v>
      </c>
      <c r="DM17" s="10">
        <v>106.36579999999999</v>
      </c>
      <c r="DN17" s="10">
        <v>47.226210000000002</v>
      </c>
      <c r="DO17" s="10">
        <v>65.076819999999998</v>
      </c>
      <c r="DP17" s="10">
        <v>36.550109999999997</v>
      </c>
      <c r="DQ17" s="10">
        <v>117.9175</v>
      </c>
      <c r="DR17" s="10">
        <v>64.262839999999997</v>
      </c>
      <c r="DS17" s="10">
        <v>28.488019999999999</v>
      </c>
      <c r="DT17" s="10">
        <v>22.689399999999999</v>
      </c>
      <c r="DU17" s="10">
        <v>36.005249999999997</v>
      </c>
      <c r="DV17" s="15">
        <v>41.465938999999999</v>
      </c>
      <c r="DW17" s="10">
        <v>70.861999999999995</v>
      </c>
      <c r="DX17" s="10">
        <v>116.1973</v>
      </c>
      <c r="DY17" s="10">
        <v>51.661909999999999</v>
      </c>
      <c r="DZ17" s="10">
        <v>9.4366389999999996</v>
      </c>
      <c r="EA17" s="9">
        <v>2823.81</v>
      </c>
    </row>
    <row r="18" spans="1:131" ht="15.75">
      <c r="A18" s="8">
        <v>43132</v>
      </c>
      <c r="B18" s="10">
        <v>117.55029999999999</v>
      </c>
      <c r="C18" s="10">
        <v>29.912109999999998</v>
      </c>
      <c r="D18" s="10">
        <v>71.183840000000004</v>
      </c>
      <c r="E18" s="10">
        <v>97.257620000000003</v>
      </c>
      <c r="F18" s="10">
        <v>46.136879999999998</v>
      </c>
      <c r="G18" s="10">
        <v>164.9091</v>
      </c>
      <c r="H18" s="10">
        <v>58.9863</v>
      </c>
      <c r="I18" s="10">
        <v>206.58369999999999</v>
      </c>
      <c r="J18" s="10">
        <v>228.02</v>
      </c>
      <c r="K18" s="10">
        <v>187.23</v>
      </c>
      <c r="L18" s="10">
        <v>56.14</v>
      </c>
      <c r="M18" s="10">
        <v>66.653469999999999</v>
      </c>
      <c r="N18" s="10">
        <v>98.33</v>
      </c>
      <c r="O18" s="10">
        <v>616.22</v>
      </c>
      <c r="P18" s="10">
        <v>213.58779999999999</v>
      </c>
      <c r="Q18" s="10">
        <v>60.905209999999997</v>
      </c>
      <c r="R18" s="10">
        <v>224.79220000000001</v>
      </c>
      <c r="S18" s="10">
        <v>320.44</v>
      </c>
      <c r="T18" s="10">
        <v>56.98921</v>
      </c>
      <c r="U18" s="10">
        <v>74.017830000000004</v>
      </c>
      <c r="V18" s="10">
        <v>155.50909999999999</v>
      </c>
      <c r="W18" s="10">
        <v>41.75</v>
      </c>
      <c r="X18" s="10">
        <v>79.206029999999998</v>
      </c>
      <c r="Y18" s="10">
        <v>39.735720000000001</v>
      </c>
      <c r="Z18" s="10">
        <v>211.48310000000001</v>
      </c>
      <c r="AA18" s="10">
        <v>426.45</v>
      </c>
      <c r="AB18" s="10">
        <v>91.447140000000005</v>
      </c>
      <c r="AC18" s="10">
        <v>64.971890000000002</v>
      </c>
      <c r="AD18" s="10">
        <v>89.295109999999994</v>
      </c>
      <c r="AE18" s="10">
        <v>209.13</v>
      </c>
      <c r="AF18" s="10">
        <v>47.80359</v>
      </c>
      <c r="AG18" s="10">
        <v>84.67</v>
      </c>
      <c r="AH18" s="10">
        <v>50.47</v>
      </c>
      <c r="AI18" s="10">
        <v>116.02</v>
      </c>
      <c r="AJ18" s="10">
        <v>67.459999999999994</v>
      </c>
      <c r="AK18" s="10">
        <v>14.18886</v>
      </c>
      <c r="AL18" s="10">
        <v>148.52000000000001</v>
      </c>
      <c r="AM18" s="10">
        <v>59.952930000000002</v>
      </c>
      <c r="AN18" s="10">
        <v>44.925089999999997</v>
      </c>
      <c r="AO18" s="10">
        <v>211.9067</v>
      </c>
      <c r="AP18" s="10">
        <v>98.642269999999996</v>
      </c>
      <c r="AQ18" s="10">
        <v>57.946510000000004</v>
      </c>
      <c r="AR18" s="10">
        <v>12.11</v>
      </c>
      <c r="AS18" s="10">
        <v>48.741869999999999</v>
      </c>
      <c r="AT18" s="10">
        <v>83.755700000000004</v>
      </c>
      <c r="AU18" s="10">
        <v>119.86879999999999</v>
      </c>
      <c r="AV18" s="10">
        <v>84.057339999999996</v>
      </c>
      <c r="AW18" s="10">
        <v>67.867639999999994</v>
      </c>
      <c r="AX18" s="10">
        <v>102.9171</v>
      </c>
      <c r="AY18" s="10">
        <v>42.651470000000003</v>
      </c>
      <c r="AZ18" s="10">
        <v>116.25</v>
      </c>
      <c r="BA18" s="10">
        <v>161.01</v>
      </c>
      <c r="BB18" s="10">
        <v>53.715420000000002</v>
      </c>
      <c r="BC18" s="10">
        <v>47.01</v>
      </c>
      <c r="BD18" s="10">
        <v>63.351939999999999</v>
      </c>
      <c r="BE18" s="10">
        <v>20.872820000000001</v>
      </c>
      <c r="BF18" s="10">
        <v>130.4162</v>
      </c>
      <c r="BG18" s="10">
        <v>1512.45</v>
      </c>
      <c r="BH18" s="10">
        <v>41.270850000000003</v>
      </c>
      <c r="BI18" s="10">
        <v>25.31</v>
      </c>
      <c r="BJ18" s="10">
        <v>35.840699999999998</v>
      </c>
      <c r="BK18" s="10">
        <v>144.07570000000001</v>
      </c>
      <c r="BL18" s="10">
        <v>53.025660000000002</v>
      </c>
      <c r="BM18" s="10">
        <v>85.399299999999997</v>
      </c>
      <c r="BN18" s="10">
        <v>64.598519999999994</v>
      </c>
      <c r="BO18" s="10">
        <v>166.7346</v>
      </c>
      <c r="BP18" s="10">
        <v>106.6716</v>
      </c>
      <c r="BQ18" s="10">
        <v>38.720829999999999</v>
      </c>
      <c r="BR18" s="10">
        <v>9.3782429999999994</v>
      </c>
      <c r="BS18" s="10">
        <v>2034.04</v>
      </c>
      <c r="BT18" s="10">
        <v>61.587679999999999</v>
      </c>
      <c r="BU18" s="10">
        <v>76.208650000000006</v>
      </c>
      <c r="BV18" s="10">
        <v>215.1223</v>
      </c>
      <c r="BW18" s="10">
        <v>34.51202</v>
      </c>
      <c r="BX18" s="10">
        <v>61.765129999999999</v>
      </c>
      <c r="BY18" s="10">
        <v>111.7397</v>
      </c>
      <c r="BZ18" s="10">
        <v>71.201639999999998</v>
      </c>
      <c r="CA18" s="10">
        <v>38.250019999999999</v>
      </c>
      <c r="CB18" s="10">
        <v>98.035690000000002</v>
      </c>
      <c r="CC18" s="10">
        <v>83.676659999999998</v>
      </c>
      <c r="CD18" s="10">
        <v>45.579059999999998</v>
      </c>
      <c r="CE18" s="10">
        <v>123.3999</v>
      </c>
      <c r="CF18" s="10">
        <v>98.126850000000005</v>
      </c>
      <c r="CG18" s="10">
        <v>133.9547</v>
      </c>
      <c r="CH18" s="10">
        <v>40.424709999999997</v>
      </c>
      <c r="CI18" s="10">
        <v>130.23060000000001</v>
      </c>
      <c r="CJ18" s="10">
        <v>63.411549999999998</v>
      </c>
      <c r="CK18" s="10">
        <v>55.990310000000001</v>
      </c>
      <c r="CL18" s="10">
        <v>54.306310000000003</v>
      </c>
      <c r="CM18" s="10">
        <v>30.245450000000002</v>
      </c>
      <c r="CN18" s="10">
        <v>57.841329999999999</v>
      </c>
      <c r="CO18" s="10">
        <v>50.597270000000002</v>
      </c>
      <c r="CP18" s="10">
        <v>46.795760000000001</v>
      </c>
      <c r="CQ18" s="10">
        <v>118.2655</v>
      </c>
      <c r="CR18" s="10">
        <v>38.433149999999998</v>
      </c>
      <c r="CS18" s="10">
        <v>21.536460000000002</v>
      </c>
      <c r="CT18" s="10">
        <v>33.39</v>
      </c>
      <c r="CU18" s="10">
        <v>25.2</v>
      </c>
      <c r="CV18" s="10">
        <v>93.006020000000007</v>
      </c>
      <c r="CW18" s="10">
        <v>234.625</v>
      </c>
      <c r="CX18" s="10">
        <v>3.7</v>
      </c>
      <c r="CY18" s="10">
        <v>16.633330000000001</v>
      </c>
      <c r="CZ18" s="10">
        <v>26.45</v>
      </c>
      <c r="DA18" s="10">
        <v>26.45</v>
      </c>
      <c r="DB18" s="10">
        <v>24.25</v>
      </c>
      <c r="DC18" s="10">
        <v>31.992190000000001</v>
      </c>
      <c r="DD18" s="10">
        <v>2.5578340000000002</v>
      </c>
      <c r="DE18" s="10">
        <v>91.336849999999998</v>
      </c>
      <c r="DF18" s="10">
        <v>43.65</v>
      </c>
      <c r="DG18" s="10">
        <v>5.85</v>
      </c>
      <c r="DH18" s="10">
        <v>60.32</v>
      </c>
      <c r="DI18" s="10">
        <v>61.359990000000003</v>
      </c>
      <c r="DJ18" s="10">
        <v>94.197500000000005</v>
      </c>
      <c r="DK18" s="10">
        <v>48.956780000000002</v>
      </c>
      <c r="DL18" s="10">
        <v>160.95359999999999</v>
      </c>
      <c r="DM18" s="10">
        <v>93.941810000000004</v>
      </c>
      <c r="DN18" s="10">
        <v>42.467120000000001</v>
      </c>
      <c r="DO18" s="10">
        <v>56.943300000000001</v>
      </c>
      <c r="DP18" s="10">
        <v>27.09674</v>
      </c>
      <c r="DQ18" s="10">
        <v>117.1095</v>
      </c>
      <c r="DR18" s="10">
        <v>57.32826</v>
      </c>
      <c r="DS18" s="10">
        <v>23.392959999999999</v>
      </c>
      <c r="DT18" s="10">
        <v>20.145060000000001</v>
      </c>
      <c r="DU18" s="10">
        <v>34.444490000000002</v>
      </c>
      <c r="DV18" s="15">
        <v>31.729064999999999</v>
      </c>
      <c r="DW18" s="10">
        <v>68.611999999999995</v>
      </c>
      <c r="DX18" s="10">
        <v>120.7771</v>
      </c>
      <c r="DY18" s="10">
        <v>49.691249999999997</v>
      </c>
      <c r="DZ18" s="10">
        <v>9.3517209999999995</v>
      </c>
      <c r="EA18" s="9">
        <v>2713.83</v>
      </c>
    </row>
    <row r="19" spans="1:131" ht="15.75">
      <c r="A19" s="8">
        <v>43160</v>
      </c>
      <c r="B19" s="10">
        <v>116.7272</v>
      </c>
      <c r="C19" s="10">
        <v>29.507459999999998</v>
      </c>
      <c r="D19" s="10">
        <v>72.039519999999996</v>
      </c>
      <c r="E19" s="10">
        <v>79.473669999999998</v>
      </c>
      <c r="F19" s="10">
        <v>46.349609999999998</v>
      </c>
      <c r="G19" s="10">
        <v>154.1395</v>
      </c>
      <c r="H19" s="10">
        <v>56.357770000000002</v>
      </c>
      <c r="I19" s="10">
        <v>204.48410000000001</v>
      </c>
      <c r="J19" s="10">
        <v>236.42</v>
      </c>
      <c r="K19" s="10">
        <v>191.39</v>
      </c>
      <c r="L19" s="10">
        <v>74.16</v>
      </c>
      <c r="M19" s="10">
        <v>65.011189999999999</v>
      </c>
      <c r="N19" s="10">
        <v>98.11</v>
      </c>
      <c r="O19" s="10">
        <v>575.03</v>
      </c>
      <c r="P19" s="10">
        <v>202.1037</v>
      </c>
      <c r="Q19" s="10">
        <v>55.941429999999997</v>
      </c>
      <c r="R19" s="10">
        <v>209.8175</v>
      </c>
      <c r="S19" s="10">
        <v>344.36</v>
      </c>
      <c r="T19" s="10">
        <v>56.601909999999997</v>
      </c>
      <c r="U19" s="10">
        <v>74.323580000000007</v>
      </c>
      <c r="V19" s="10">
        <v>154.32</v>
      </c>
      <c r="W19" s="10">
        <v>41.06</v>
      </c>
      <c r="X19" s="10">
        <v>81.801829999999995</v>
      </c>
      <c r="Y19" s="10">
        <v>40.573399999999999</v>
      </c>
      <c r="Z19" s="10">
        <v>206.41560000000001</v>
      </c>
      <c r="AA19" s="10">
        <v>412.83</v>
      </c>
      <c r="AB19" s="10">
        <v>94.868080000000006</v>
      </c>
      <c r="AC19" s="10">
        <v>62.336219999999997</v>
      </c>
      <c r="AD19" s="10">
        <v>87.322680000000005</v>
      </c>
      <c r="AE19" s="10">
        <v>216.08</v>
      </c>
      <c r="AF19" s="10">
        <v>43.161920000000002</v>
      </c>
      <c r="AG19" s="10">
        <v>83.24</v>
      </c>
      <c r="AH19" s="10">
        <v>53.58</v>
      </c>
      <c r="AI19" s="10">
        <v>118.56</v>
      </c>
      <c r="AJ19" s="10">
        <v>70.98</v>
      </c>
      <c r="AK19" s="10">
        <v>13.990220000000001</v>
      </c>
      <c r="AL19" s="10">
        <v>144.61000000000001</v>
      </c>
      <c r="AM19" s="10">
        <v>57.409619999999997</v>
      </c>
      <c r="AN19" s="10">
        <v>47.790059999999997</v>
      </c>
      <c r="AO19" s="10">
        <v>202.6123</v>
      </c>
      <c r="AP19" s="10">
        <v>94.581860000000006</v>
      </c>
      <c r="AQ19" s="10">
        <v>49.82114</v>
      </c>
      <c r="AR19" s="10">
        <v>10.050000000000001</v>
      </c>
      <c r="AS19" s="10">
        <v>52.067219999999999</v>
      </c>
      <c r="AT19" s="10">
        <v>84.666169999999994</v>
      </c>
      <c r="AU19" s="10">
        <v>112.50320000000001</v>
      </c>
      <c r="AV19" s="10">
        <v>86.731639999999999</v>
      </c>
      <c r="AW19" s="10">
        <v>69.172139999999999</v>
      </c>
      <c r="AX19" s="10">
        <v>94.733080000000001</v>
      </c>
      <c r="AY19" s="10">
        <v>40.339329999999997</v>
      </c>
      <c r="AZ19" s="10">
        <v>116.3</v>
      </c>
      <c r="BA19" s="10">
        <v>165.45</v>
      </c>
      <c r="BB19" s="10">
        <v>53.43432</v>
      </c>
      <c r="BC19" s="10">
        <v>52.39</v>
      </c>
      <c r="BD19" s="10">
        <v>64.004810000000006</v>
      </c>
      <c r="BE19" s="10">
        <v>19.56101</v>
      </c>
      <c r="BF19" s="10">
        <v>129.67189999999999</v>
      </c>
      <c r="BG19" s="10">
        <v>1447.34</v>
      </c>
      <c r="BH19" s="10">
        <v>38.747990000000001</v>
      </c>
      <c r="BI19" s="10">
        <v>28.06</v>
      </c>
      <c r="BJ19" s="10">
        <v>33.099139999999998</v>
      </c>
      <c r="BK19" s="10">
        <v>143.7371</v>
      </c>
      <c r="BL19" s="10">
        <v>54.050870000000003</v>
      </c>
      <c r="BM19" s="10">
        <v>78.970489999999998</v>
      </c>
      <c r="BN19" s="10">
        <v>64.029920000000004</v>
      </c>
      <c r="BO19" s="10">
        <v>163.04810000000001</v>
      </c>
      <c r="BP19" s="10">
        <v>100.8548</v>
      </c>
      <c r="BQ19" s="10">
        <v>38.58464</v>
      </c>
      <c r="BR19" s="10">
        <v>9.2457949999999993</v>
      </c>
      <c r="BS19" s="10">
        <v>2080.39</v>
      </c>
      <c r="BT19" s="10">
        <v>60.756410000000002</v>
      </c>
      <c r="BU19" s="10">
        <v>80.089669999999998</v>
      </c>
      <c r="BV19" s="10">
        <v>225.90690000000001</v>
      </c>
      <c r="BW19" s="10">
        <v>27.071249999999999</v>
      </c>
      <c r="BX19" s="10">
        <v>60.195259999999998</v>
      </c>
      <c r="BY19" s="10">
        <v>115.9453</v>
      </c>
      <c r="BZ19" s="10">
        <v>71.890780000000007</v>
      </c>
      <c r="CA19" s="10">
        <v>38.435859999999998</v>
      </c>
      <c r="CB19" s="10">
        <v>97.517480000000006</v>
      </c>
      <c r="CC19" s="10">
        <v>80.32311</v>
      </c>
      <c r="CD19" s="10">
        <v>49.490169999999999</v>
      </c>
      <c r="CE19" s="10">
        <v>124.4824</v>
      </c>
      <c r="CF19" s="10">
        <v>101.60169999999999</v>
      </c>
      <c r="CG19" s="10">
        <v>145.2544</v>
      </c>
      <c r="CH19" s="10">
        <v>38.42651</v>
      </c>
      <c r="CI19" s="10">
        <v>127.1575</v>
      </c>
      <c r="CJ19" s="10">
        <v>65.903120000000001</v>
      </c>
      <c r="CK19" s="10">
        <v>52.015459999999997</v>
      </c>
      <c r="CL19" s="10">
        <v>54.588529999999999</v>
      </c>
      <c r="CM19" s="10">
        <v>31.978560000000002</v>
      </c>
      <c r="CN19" s="10">
        <v>56.801580000000001</v>
      </c>
      <c r="CO19" s="10">
        <v>50.412469999999999</v>
      </c>
      <c r="CP19" s="10">
        <v>48.124499999999998</v>
      </c>
      <c r="CQ19" s="10">
        <v>121.9579</v>
      </c>
      <c r="CR19" s="10">
        <v>38.66527</v>
      </c>
      <c r="CS19" s="10">
        <v>21.53848</v>
      </c>
      <c r="CT19" s="10">
        <v>32.770000000000003</v>
      </c>
      <c r="CU19" s="10">
        <v>24.61</v>
      </c>
      <c r="CV19" s="10">
        <v>94.018640000000005</v>
      </c>
      <c r="CW19" s="10">
        <v>228.62629999999999</v>
      </c>
      <c r="CX19" s="10">
        <v>3.87</v>
      </c>
      <c r="CY19" s="10">
        <v>16.866669999999999</v>
      </c>
      <c r="CZ19" s="10">
        <v>28.55</v>
      </c>
      <c r="DA19" s="10">
        <v>27.6</v>
      </c>
      <c r="DB19" s="10">
        <v>39.200000000000003</v>
      </c>
      <c r="DC19" s="10">
        <v>31.047599999999999</v>
      </c>
      <c r="DD19" s="10">
        <v>2.5104669999999998</v>
      </c>
      <c r="DE19" s="10">
        <v>96.629559999999998</v>
      </c>
      <c r="DF19" s="10">
        <v>41.85</v>
      </c>
      <c r="DG19" s="10">
        <v>5.84</v>
      </c>
      <c r="DH19" s="10">
        <v>59.73</v>
      </c>
      <c r="DI19" s="10">
        <v>61.062609999999999</v>
      </c>
      <c r="DJ19" s="10">
        <v>96.937259999999995</v>
      </c>
      <c r="DK19" s="10">
        <v>53.733550000000001</v>
      </c>
      <c r="DL19" s="10">
        <v>162.41909999999999</v>
      </c>
      <c r="DM19" s="10">
        <v>97.507940000000005</v>
      </c>
      <c r="DN19" s="10">
        <v>47.329059999999998</v>
      </c>
      <c r="DO19" s="10">
        <v>56.38776</v>
      </c>
      <c r="DP19" s="10">
        <v>28.08625</v>
      </c>
      <c r="DQ19" s="10">
        <v>118.8759</v>
      </c>
      <c r="DR19" s="10">
        <v>56.976439999999997</v>
      </c>
      <c r="DS19" s="10">
        <v>24.74417</v>
      </c>
      <c r="DT19" s="10">
        <v>20.585419999999999</v>
      </c>
      <c r="DU19" s="10">
        <v>36.132860000000001</v>
      </c>
      <c r="DV19" s="15">
        <v>35.752110000000002</v>
      </c>
      <c r="DW19" s="10">
        <v>53.225999999999999</v>
      </c>
      <c r="DX19" s="10">
        <v>117.1891</v>
      </c>
      <c r="DY19" s="10">
        <v>50.938720000000004</v>
      </c>
      <c r="DZ19" s="10">
        <v>9.7659819999999993</v>
      </c>
      <c r="EA19" s="9">
        <v>2640.87</v>
      </c>
    </row>
    <row r="20" spans="1:131" ht="15.75">
      <c r="A20" s="8">
        <v>43191</v>
      </c>
      <c r="B20" s="10">
        <v>115.21510000000001</v>
      </c>
      <c r="C20" s="10">
        <v>30.438659999999999</v>
      </c>
      <c r="D20" s="10">
        <v>75.4846</v>
      </c>
      <c r="E20" s="10">
        <v>81.069019999999995</v>
      </c>
      <c r="F20" s="10">
        <v>50.53172</v>
      </c>
      <c r="G20" s="10">
        <v>157.7561</v>
      </c>
      <c r="H20" s="10">
        <v>46.449489999999997</v>
      </c>
      <c r="I20" s="10">
        <v>208.5016</v>
      </c>
      <c r="J20" s="10">
        <v>240.93</v>
      </c>
      <c r="K20" s="10">
        <v>194.49</v>
      </c>
      <c r="L20" s="10">
        <v>73.180000000000007</v>
      </c>
      <c r="M20" s="10">
        <v>63.883929999999999</v>
      </c>
      <c r="N20" s="10">
        <v>95.76</v>
      </c>
      <c r="O20" s="10">
        <v>559.92999999999995</v>
      </c>
      <c r="P20" s="10">
        <v>223.99770000000001</v>
      </c>
      <c r="Q20" s="10">
        <v>62.793599999999998</v>
      </c>
      <c r="R20" s="10">
        <v>226.1062</v>
      </c>
      <c r="S20" s="10">
        <v>303.68</v>
      </c>
      <c r="T20" s="10">
        <v>54.911029999999997</v>
      </c>
      <c r="U20" s="10">
        <v>74.669330000000002</v>
      </c>
      <c r="V20" s="10">
        <v>162.95439999999999</v>
      </c>
      <c r="W20" s="10">
        <v>41.11</v>
      </c>
      <c r="X20" s="10">
        <v>81.772450000000006</v>
      </c>
      <c r="Y20" s="10">
        <v>38.198329999999999</v>
      </c>
      <c r="Z20" s="10">
        <v>221.62430000000001</v>
      </c>
      <c r="AA20" s="10">
        <v>440.78</v>
      </c>
      <c r="AB20" s="10">
        <v>91.178190000000001</v>
      </c>
      <c r="AC20" s="10">
        <v>66.768389999999997</v>
      </c>
      <c r="AD20" s="10">
        <v>89.475369999999998</v>
      </c>
      <c r="AE20" s="10">
        <v>221.6</v>
      </c>
      <c r="AF20" s="10">
        <v>43.08643</v>
      </c>
      <c r="AG20" s="10">
        <v>85.51</v>
      </c>
      <c r="AH20" s="10">
        <v>55.36</v>
      </c>
      <c r="AI20" s="10">
        <v>117.42</v>
      </c>
      <c r="AJ20" s="10">
        <v>71.650000000000006</v>
      </c>
      <c r="AK20" s="10">
        <v>15.04017</v>
      </c>
      <c r="AL20" s="10">
        <v>163.09</v>
      </c>
      <c r="AM20" s="10">
        <v>55.751220000000004</v>
      </c>
      <c r="AN20" s="10">
        <v>47.36795</v>
      </c>
      <c r="AO20" s="10">
        <v>200.14609999999999</v>
      </c>
      <c r="AP20" s="10">
        <v>92.342290000000006</v>
      </c>
      <c r="AQ20" s="10">
        <v>45.864939999999997</v>
      </c>
      <c r="AR20" s="10">
        <v>10.88</v>
      </c>
      <c r="AS20" s="10">
        <v>45.915819999999997</v>
      </c>
      <c r="AT20" s="10">
        <v>81.576509999999999</v>
      </c>
      <c r="AU20" s="10">
        <v>100.8683</v>
      </c>
      <c r="AV20" s="10">
        <v>79.42174</v>
      </c>
      <c r="AW20" s="10">
        <v>61.511879999999998</v>
      </c>
      <c r="AX20" s="10">
        <v>81.977260000000001</v>
      </c>
      <c r="AY20" s="10">
        <v>39.733440000000002</v>
      </c>
      <c r="AZ20" s="10">
        <v>120.99</v>
      </c>
      <c r="BA20" s="10">
        <v>166.14</v>
      </c>
      <c r="BB20" s="10">
        <v>53.646000000000001</v>
      </c>
      <c r="BC20" s="10">
        <v>51.68</v>
      </c>
      <c r="BD20" s="10">
        <v>58.051819999999999</v>
      </c>
      <c r="BE20" s="10">
        <v>19.289809999999999</v>
      </c>
      <c r="BF20" s="10">
        <v>122.51349999999999</v>
      </c>
      <c r="BG20" s="10">
        <v>1566.13</v>
      </c>
      <c r="BH20" s="10">
        <v>36.475490000000001</v>
      </c>
      <c r="BI20" s="10">
        <v>29.94</v>
      </c>
      <c r="BJ20" s="10">
        <v>33.803840000000001</v>
      </c>
      <c r="BK20" s="10">
        <v>153.90299999999999</v>
      </c>
      <c r="BL20" s="10">
        <v>53.752099999999999</v>
      </c>
      <c r="BM20" s="10">
        <v>86.019949999999994</v>
      </c>
      <c r="BN20" s="10">
        <v>66.108549999999994</v>
      </c>
      <c r="BO20" s="10">
        <v>170.01300000000001</v>
      </c>
      <c r="BP20" s="10">
        <v>104.0759</v>
      </c>
      <c r="BQ20" s="10">
        <v>38.953870000000002</v>
      </c>
      <c r="BR20" s="10">
        <v>9.3317999999999994</v>
      </c>
      <c r="BS20" s="10">
        <v>2178</v>
      </c>
      <c r="BT20" s="10">
        <v>58.421759999999999</v>
      </c>
      <c r="BU20" s="10">
        <v>81.943020000000004</v>
      </c>
      <c r="BV20" s="10">
        <v>234.37860000000001</v>
      </c>
      <c r="BW20" s="10">
        <v>24.733250000000002</v>
      </c>
      <c r="BX20" s="10">
        <v>64.952039999999997</v>
      </c>
      <c r="BY20" s="10">
        <v>111.9936</v>
      </c>
      <c r="BZ20" s="10">
        <v>65.597629999999995</v>
      </c>
      <c r="CA20" s="10">
        <v>38.578749999999999</v>
      </c>
      <c r="CB20" s="10">
        <v>90.848950000000002</v>
      </c>
      <c r="CC20" s="10">
        <v>66.977260000000001</v>
      </c>
      <c r="CD20" s="10">
        <v>49.85539</v>
      </c>
      <c r="CE20" s="10">
        <v>130.49420000000001</v>
      </c>
      <c r="CF20" s="10">
        <v>92.489500000000007</v>
      </c>
      <c r="CG20" s="10">
        <v>143.673</v>
      </c>
      <c r="CH20" s="10">
        <v>36.569699999999997</v>
      </c>
      <c r="CI20" s="10">
        <v>128.24780000000001</v>
      </c>
      <c r="CJ20" s="10">
        <v>59.972949999999997</v>
      </c>
      <c r="CK20" s="10">
        <v>47.520569999999999</v>
      </c>
      <c r="CL20" s="10">
        <v>56.93741</v>
      </c>
      <c r="CM20" s="10">
        <v>33.776879999999998</v>
      </c>
      <c r="CN20" s="10">
        <v>51.881770000000003</v>
      </c>
      <c r="CO20" s="10">
        <v>49.948090000000001</v>
      </c>
      <c r="CP20" s="10">
        <v>44.149160000000002</v>
      </c>
      <c r="CQ20" s="10">
        <v>107.3809</v>
      </c>
      <c r="CR20" s="10">
        <v>36.406590000000001</v>
      </c>
      <c r="CS20" s="10">
        <v>23.355899999999998</v>
      </c>
      <c r="CT20" s="10">
        <v>34.18</v>
      </c>
      <c r="CU20" s="10">
        <v>21.6</v>
      </c>
      <c r="CV20" s="10">
        <v>101.9598</v>
      </c>
      <c r="CW20" s="10">
        <v>235.86760000000001</v>
      </c>
      <c r="CX20" s="10">
        <v>3.53</v>
      </c>
      <c r="CY20" s="10">
        <v>18.16667</v>
      </c>
      <c r="CZ20" s="10">
        <v>29.55</v>
      </c>
      <c r="DA20" s="10">
        <v>27.3</v>
      </c>
      <c r="DB20" s="10">
        <v>38.049999999999997</v>
      </c>
      <c r="DC20" s="10">
        <v>31.096029999999999</v>
      </c>
      <c r="DD20" s="10">
        <v>2.8856160000000002</v>
      </c>
      <c r="DE20" s="10">
        <v>88.092529999999996</v>
      </c>
      <c r="DF20" s="10">
        <v>43.95</v>
      </c>
      <c r="DG20" s="10">
        <v>5.83</v>
      </c>
      <c r="DH20" s="10">
        <v>54.84</v>
      </c>
      <c r="DI20" s="10">
        <v>63.632460000000002</v>
      </c>
      <c r="DJ20" s="10">
        <v>106.3471</v>
      </c>
      <c r="DK20" s="10">
        <v>59.361579999999996</v>
      </c>
      <c r="DL20" s="10">
        <v>190.74449999999999</v>
      </c>
      <c r="DM20" s="10">
        <v>109.4568</v>
      </c>
      <c r="DN20" s="10">
        <v>53.558970000000002</v>
      </c>
      <c r="DO20" s="10">
        <v>67.866240000000005</v>
      </c>
      <c r="DP20" s="10">
        <v>32.156140000000001</v>
      </c>
      <c r="DQ20" s="10">
        <v>120.6893</v>
      </c>
      <c r="DR20" s="10">
        <v>60.301090000000002</v>
      </c>
      <c r="DS20" s="10">
        <v>32.175440000000002</v>
      </c>
      <c r="DT20" s="10">
        <v>23.139779999999998</v>
      </c>
      <c r="DU20" s="10">
        <v>38.00947</v>
      </c>
      <c r="DV20" s="15">
        <v>38.047009000000003</v>
      </c>
      <c r="DW20" s="10">
        <v>58.78</v>
      </c>
      <c r="DX20" s="10">
        <v>119.2894</v>
      </c>
      <c r="DY20" s="10">
        <v>53.67174</v>
      </c>
      <c r="DZ20" s="10">
        <v>9.9070090000000004</v>
      </c>
      <c r="EA20" s="9">
        <v>2648.05</v>
      </c>
    </row>
    <row r="21" spans="1:131" ht="15.75">
      <c r="A21" s="8">
        <v>43221</v>
      </c>
      <c r="B21" s="10">
        <v>108.9575</v>
      </c>
      <c r="C21" s="10">
        <v>29.873290000000001</v>
      </c>
      <c r="D21" s="10">
        <v>79.181079999999994</v>
      </c>
      <c r="E21" s="10">
        <v>83.936329999999998</v>
      </c>
      <c r="F21" s="10">
        <v>51.098239999999997</v>
      </c>
      <c r="G21" s="10">
        <v>162.4034</v>
      </c>
      <c r="H21" s="10">
        <v>47.185780000000001</v>
      </c>
      <c r="I21" s="10">
        <v>206.43979999999999</v>
      </c>
      <c r="J21" s="10">
        <v>272.44</v>
      </c>
      <c r="K21" s="10">
        <v>208.21</v>
      </c>
      <c r="L21" s="10">
        <v>87.99</v>
      </c>
      <c r="M21" s="10">
        <v>60.306089999999998</v>
      </c>
      <c r="N21" s="10">
        <v>98.93</v>
      </c>
      <c r="O21" s="10">
        <v>550.74</v>
      </c>
      <c r="P21" s="10">
        <v>228.83969999999999</v>
      </c>
      <c r="Q21" s="10">
        <v>57.438589999999998</v>
      </c>
      <c r="R21" s="10">
        <v>212.1464</v>
      </c>
      <c r="S21" s="10">
        <v>300.32</v>
      </c>
      <c r="T21" s="10">
        <v>58.402529999999999</v>
      </c>
      <c r="U21" s="10">
        <v>80.437479999999994</v>
      </c>
      <c r="V21" s="10">
        <v>167.37889999999999</v>
      </c>
      <c r="W21" s="10">
        <v>39.26</v>
      </c>
      <c r="X21" s="10">
        <v>82.108279999999993</v>
      </c>
      <c r="Y21" s="10">
        <v>37.902679999999997</v>
      </c>
      <c r="Z21" s="10">
        <v>211.79859999999999</v>
      </c>
      <c r="AA21" s="10">
        <v>459.67</v>
      </c>
      <c r="AB21" s="10">
        <v>99.049340000000001</v>
      </c>
      <c r="AC21" s="10">
        <v>68.055719999999994</v>
      </c>
      <c r="AD21" s="10">
        <v>94.565290000000005</v>
      </c>
      <c r="AE21" s="10">
        <v>249.28</v>
      </c>
      <c r="AF21" s="10">
        <v>44.259540000000001</v>
      </c>
      <c r="AG21" s="10">
        <v>88.07</v>
      </c>
      <c r="AH21" s="10">
        <v>61.18</v>
      </c>
      <c r="AI21" s="10">
        <v>130.44</v>
      </c>
      <c r="AJ21" s="10">
        <v>75.38</v>
      </c>
      <c r="AK21" s="10">
        <v>11.2463</v>
      </c>
      <c r="AL21" s="10">
        <v>173.11</v>
      </c>
      <c r="AM21" s="10">
        <v>62.516219999999997</v>
      </c>
      <c r="AN21" s="10">
        <v>50.65305</v>
      </c>
      <c r="AO21" s="10">
        <v>219.9059</v>
      </c>
      <c r="AP21" s="10">
        <v>101.88330000000001</v>
      </c>
      <c r="AQ21" s="10">
        <v>52.257820000000002</v>
      </c>
      <c r="AR21" s="10">
        <v>13.73</v>
      </c>
      <c r="AS21" s="10">
        <v>57.509610000000002</v>
      </c>
      <c r="AT21" s="10">
        <v>90.756799999999998</v>
      </c>
      <c r="AU21" s="10">
        <v>109.6185</v>
      </c>
      <c r="AV21" s="10">
        <v>92.446669999999997</v>
      </c>
      <c r="AW21" s="10">
        <v>65.217529999999996</v>
      </c>
      <c r="AX21" s="10">
        <v>93.174030000000002</v>
      </c>
      <c r="AY21" s="10">
        <v>44.929130000000001</v>
      </c>
      <c r="AZ21" s="10">
        <v>129.33000000000001</v>
      </c>
      <c r="BA21" s="10">
        <v>177.61</v>
      </c>
      <c r="BB21" s="10">
        <v>54.944400000000002</v>
      </c>
      <c r="BC21" s="10">
        <v>58.74</v>
      </c>
      <c r="BD21" s="10">
        <v>60.016889999999997</v>
      </c>
      <c r="BE21" s="10">
        <v>19.774519999999999</v>
      </c>
      <c r="BF21" s="10">
        <v>119.4286</v>
      </c>
      <c r="BG21" s="10">
        <v>1629.62</v>
      </c>
      <c r="BH21" s="10">
        <v>36.321429999999999</v>
      </c>
      <c r="BI21" s="10">
        <v>32.340000000000003</v>
      </c>
      <c r="BJ21" s="10">
        <v>39.287529999999997</v>
      </c>
      <c r="BK21" s="10">
        <v>147.0736</v>
      </c>
      <c r="BL21" s="10">
        <v>52.91178</v>
      </c>
      <c r="BM21" s="10">
        <v>81.562979999999996</v>
      </c>
      <c r="BN21" s="10">
        <v>69.404790000000006</v>
      </c>
      <c r="BO21" s="10">
        <v>171.62299999999999</v>
      </c>
      <c r="BP21" s="10">
        <v>105.7041</v>
      </c>
      <c r="BQ21" s="10">
        <v>35.902859999999997</v>
      </c>
      <c r="BR21" s="10">
        <v>8.9619700000000009</v>
      </c>
      <c r="BS21" s="10">
        <v>2108.92</v>
      </c>
      <c r="BT21" s="10">
        <v>57.69914</v>
      </c>
      <c r="BU21" s="10">
        <v>76.514660000000006</v>
      </c>
      <c r="BV21" s="10">
        <v>243.83199999999999</v>
      </c>
      <c r="BW21" s="10">
        <v>24.024760000000001</v>
      </c>
      <c r="BX21" s="10">
        <v>70.979209999999995</v>
      </c>
      <c r="BY21" s="10">
        <v>125.8595</v>
      </c>
      <c r="BZ21" s="10">
        <v>66.964240000000004</v>
      </c>
      <c r="CA21" s="10">
        <v>38.391249999999999</v>
      </c>
      <c r="CB21" s="10">
        <v>90.227940000000004</v>
      </c>
      <c r="CC21" s="10">
        <v>64.967939999999999</v>
      </c>
      <c r="CD21" s="10">
        <v>49.240760000000002</v>
      </c>
      <c r="CE21" s="10">
        <v>134.6859</v>
      </c>
      <c r="CF21" s="10">
        <v>86.491720000000001</v>
      </c>
      <c r="CG21" s="10">
        <v>144.9828</v>
      </c>
      <c r="CH21" s="10">
        <v>36.356760000000001</v>
      </c>
      <c r="CI21" s="10">
        <v>131.7379</v>
      </c>
      <c r="CJ21" s="10">
        <v>58.345390000000002</v>
      </c>
      <c r="CK21" s="10">
        <v>48.447710000000001</v>
      </c>
      <c r="CL21" s="10">
        <v>59.554600000000001</v>
      </c>
      <c r="CM21" s="10">
        <v>33.621580000000002</v>
      </c>
      <c r="CN21" s="10">
        <v>56.717610000000001</v>
      </c>
      <c r="CO21" s="10">
        <v>48.095950000000002</v>
      </c>
      <c r="CP21" s="10">
        <v>44.865870000000001</v>
      </c>
      <c r="CQ21" s="10">
        <v>111.6403</v>
      </c>
      <c r="CR21" s="10">
        <v>30.277270000000001</v>
      </c>
      <c r="CS21" s="10">
        <v>19.932390000000002</v>
      </c>
      <c r="CT21" s="10">
        <v>35.68</v>
      </c>
      <c r="CU21" s="10">
        <v>19.489999999999998</v>
      </c>
      <c r="CV21" s="10">
        <v>104.3134</v>
      </c>
      <c r="CW21" s="10">
        <v>237.6996</v>
      </c>
      <c r="CX21" s="10">
        <v>4.05</v>
      </c>
      <c r="CY21" s="10">
        <v>21.16667</v>
      </c>
      <c r="CZ21" s="10">
        <v>29.8</v>
      </c>
      <c r="DA21" s="10">
        <v>27.8</v>
      </c>
      <c r="DB21" s="10">
        <v>33.25</v>
      </c>
      <c r="DC21" s="10">
        <v>45.965949999999999</v>
      </c>
      <c r="DD21" s="10">
        <v>3.031507</v>
      </c>
      <c r="DE21" s="10">
        <v>102.63639999999999</v>
      </c>
      <c r="DF21" s="10">
        <v>49.95</v>
      </c>
      <c r="DG21" s="10">
        <v>5.5</v>
      </c>
      <c r="DH21" s="10">
        <v>58.15</v>
      </c>
      <c r="DI21" s="10">
        <v>66.488780000000006</v>
      </c>
      <c r="DJ21" s="10">
        <v>105.65860000000001</v>
      </c>
      <c r="DK21" s="10">
        <v>61.074449999999999</v>
      </c>
      <c r="DL21" s="10">
        <v>182.7475</v>
      </c>
      <c r="DM21" s="10">
        <v>109.30719999999999</v>
      </c>
      <c r="DN21" s="10">
        <v>56.78246</v>
      </c>
      <c r="DO21" s="10">
        <v>73.962419999999995</v>
      </c>
      <c r="DP21" s="10">
        <v>36.794139999999999</v>
      </c>
      <c r="DQ21" s="10">
        <v>113.4639</v>
      </c>
      <c r="DR21" s="10">
        <v>60.397840000000002</v>
      </c>
      <c r="DS21" s="10">
        <v>30.821059999999999</v>
      </c>
      <c r="DT21" s="10">
        <v>21.869050000000001</v>
      </c>
      <c r="DU21" s="10">
        <v>40.712499999999999</v>
      </c>
      <c r="DV21" s="15">
        <v>37.386733999999997</v>
      </c>
      <c r="DW21" s="10">
        <v>56.945999999999998</v>
      </c>
      <c r="DX21" s="10">
        <v>128.63409999999999</v>
      </c>
      <c r="DY21" s="10">
        <v>58.28387</v>
      </c>
      <c r="DZ21" s="10">
        <v>10.31683</v>
      </c>
      <c r="EA21" s="9">
        <v>2705.27</v>
      </c>
    </row>
    <row r="22" spans="1:131" ht="15.75">
      <c r="A22" s="8">
        <v>43252</v>
      </c>
      <c r="B22" s="10">
        <v>111.3439</v>
      </c>
      <c r="C22" s="10">
        <v>30.458749999999998</v>
      </c>
      <c r="D22" s="10">
        <v>79.998959999999997</v>
      </c>
      <c r="E22" s="10">
        <v>78.600170000000006</v>
      </c>
      <c r="F22" s="10">
        <v>52.102510000000002</v>
      </c>
      <c r="G22" s="10">
        <v>168.18520000000001</v>
      </c>
      <c r="H22" s="10">
        <v>49.624879999999997</v>
      </c>
      <c r="I22" s="10">
        <v>205.31970000000001</v>
      </c>
      <c r="J22" s="10">
        <v>279.29000000000002</v>
      </c>
      <c r="K22" s="10">
        <v>217.94</v>
      </c>
      <c r="L22" s="10">
        <v>94.98</v>
      </c>
      <c r="M22" s="10">
        <v>60.228180000000002</v>
      </c>
      <c r="N22" s="10">
        <v>99.82</v>
      </c>
      <c r="O22" s="10">
        <v>578.63</v>
      </c>
      <c r="P22" s="10">
        <v>232.46870000000001</v>
      </c>
      <c r="Q22" s="10">
        <v>58.308459999999997</v>
      </c>
      <c r="R22" s="10">
        <v>228.0607</v>
      </c>
      <c r="S22" s="10">
        <v>344.99</v>
      </c>
      <c r="T22" s="10">
        <v>57.889989999999997</v>
      </c>
      <c r="U22" s="10">
        <v>79.775890000000004</v>
      </c>
      <c r="V22" s="10">
        <v>162.41579999999999</v>
      </c>
      <c r="W22" s="10">
        <v>41.89</v>
      </c>
      <c r="X22" s="10">
        <v>83.569950000000006</v>
      </c>
      <c r="Y22" s="10">
        <v>35.616289999999999</v>
      </c>
      <c r="Z22" s="10">
        <v>228.97450000000001</v>
      </c>
      <c r="AA22" s="10">
        <v>478.48</v>
      </c>
      <c r="AB22" s="10">
        <v>100.1495</v>
      </c>
      <c r="AC22" s="10">
        <v>71.125839999999997</v>
      </c>
      <c r="AD22" s="10">
        <v>94.754170000000002</v>
      </c>
      <c r="AE22" s="10">
        <v>243.81</v>
      </c>
      <c r="AF22" s="10">
        <v>41.739629999999998</v>
      </c>
      <c r="AG22" s="10">
        <v>85.57</v>
      </c>
      <c r="AH22" s="10">
        <v>62.43</v>
      </c>
      <c r="AI22" s="10">
        <v>137.41999999999999</v>
      </c>
      <c r="AJ22" s="10">
        <v>73.23</v>
      </c>
      <c r="AK22" s="10">
        <v>11.175940000000001</v>
      </c>
      <c r="AL22" s="10">
        <v>172.45</v>
      </c>
      <c r="AM22" s="10">
        <v>58.762250000000002</v>
      </c>
      <c r="AN22" s="10">
        <v>45.878540000000001</v>
      </c>
      <c r="AO22" s="10">
        <v>211.67920000000001</v>
      </c>
      <c r="AP22" s="10">
        <v>100.97629999999999</v>
      </c>
      <c r="AQ22" s="10">
        <v>50.986750000000001</v>
      </c>
      <c r="AR22" s="10">
        <v>14.99</v>
      </c>
      <c r="AS22" s="10">
        <v>52.366799999999998</v>
      </c>
      <c r="AT22" s="10">
        <v>89.580070000000006</v>
      </c>
      <c r="AU22" s="10">
        <v>105.0703</v>
      </c>
      <c r="AV22" s="10">
        <v>86.680319999999995</v>
      </c>
      <c r="AW22" s="10">
        <v>62.815370000000001</v>
      </c>
      <c r="AX22" s="10">
        <v>91.619749999999996</v>
      </c>
      <c r="AY22" s="10">
        <v>44.677599999999998</v>
      </c>
      <c r="AZ22" s="10">
        <v>136.4</v>
      </c>
      <c r="BA22" s="10">
        <v>172.47</v>
      </c>
      <c r="BB22" s="10">
        <v>55.776470000000003</v>
      </c>
      <c r="BC22" s="10">
        <v>59.03</v>
      </c>
      <c r="BD22" s="10">
        <v>63.724850000000004</v>
      </c>
      <c r="BE22" s="10">
        <v>20.366949999999999</v>
      </c>
      <c r="BF22" s="10">
        <v>119.37860000000001</v>
      </c>
      <c r="BG22" s="10">
        <v>1699.8</v>
      </c>
      <c r="BH22" s="10">
        <v>34.915559999999999</v>
      </c>
      <c r="BI22" s="10">
        <v>42.19</v>
      </c>
      <c r="BJ22" s="10">
        <v>36.251260000000002</v>
      </c>
      <c r="BK22" s="10">
        <v>144.02199999999999</v>
      </c>
      <c r="BL22" s="10">
        <v>45.848889999999997</v>
      </c>
      <c r="BM22" s="10">
        <v>99.89855</v>
      </c>
      <c r="BN22" s="10">
        <v>77.021919999999994</v>
      </c>
      <c r="BO22" s="10">
        <v>180.49379999999999</v>
      </c>
      <c r="BP22" s="10">
        <v>100.56740000000001</v>
      </c>
      <c r="BQ22" s="10">
        <v>34.634480000000003</v>
      </c>
      <c r="BR22" s="10">
        <v>9.0307759999999995</v>
      </c>
      <c r="BS22" s="10">
        <v>2027.09</v>
      </c>
      <c r="BT22" s="10">
        <v>53.508339999999997</v>
      </c>
      <c r="BU22" s="10">
        <v>73.907039999999995</v>
      </c>
      <c r="BV22" s="10">
        <v>273.58870000000002</v>
      </c>
      <c r="BW22" s="10">
        <v>26.569590000000002</v>
      </c>
      <c r="BX22" s="10">
        <v>73.367980000000003</v>
      </c>
      <c r="BY22" s="10">
        <v>132.7876</v>
      </c>
      <c r="BZ22" s="10">
        <v>71.439509999999999</v>
      </c>
      <c r="CA22" s="10">
        <v>39.159080000000003</v>
      </c>
      <c r="CB22" s="10">
        <v>98.887370000000004</v>
      </c>
      <c r="CC22" s="10">
        <v>65.948099999999997</v>
      </c>
      <c r="CD22" s="10">
        <v>49.683349999999997</v>
      </c>
      <c r="CE22" s="10">
        <v>132.37860000000001</v>
      </c>
      <c r="CF22" s="10">
        <v>95.482079999999996</v>
      </c>
      <c r="CG22" s="10">
        <v>138.78540000000001</v>
      </c>
      <c r="CH22" s="10">
        <v>37.958419999999997</v>
      </c>
      <c r="CI22" s="10">
        <v>132.10470000000001</v>
      </c>
      <c r="CJ22" s="10">
        <v>59.936019999999999</v>
      </c>
      <c r="CK22" s="10">
        <v>53.512689999999999</v>
      </c>
      <c r="CL22" s="10">
        <v>62.540120000000002</v>
      </c>
      <c r="CM22" s="10">
        <v>34.858139999999999</v>
      </c>
      <c r="CN22" s="10">
        <v>62.052570000000003</v>
      </c>
      <c r="CO22" s="10">
        <v>55.281770000000002</v>
      </c>
      <c r="CP22" s="10">
        <v>51.03463</v>
      </c>
      <c r="CQ22" s="10">
        <v>124.9636</v>
      </c>
      <c r="CR22" s="10">
        <v>36.487540000000003</v>
      </c>
      <c r="CS22" s="10">
        <v>22.004349999999999</v>
      </c>
      <c r="CT22" s="10">
        <v>37.82</v>
      </c>
      <c r="CU22" s="10">
        <v>20.13</v>
      </c>
      <c r="CV22" s="10">
        <v>96.179699999999997</v>
      </c>
      <c r="CW22" s="10">
        <v>216.65090000000001</v>
      </c>
      <c r="CX22" s="10">
        <v>3.91</v>
      </c>
      <c r="CY22" s="10">
        <v>22.233329999999999</v>
      </c>
      <c r="CZ22" s="10">
        <v>32.5</v>
      </c>
      <c r="DA22" s="10">
        <v>29.25</v>
      </c>
      <c r="DB22" s="10">
        <v>39.85</v>
      </c>
      <c r="DC22" s="10">
        <v>44.345689999999998</v>
      </c>
      <c r="DD22" s="10">
        <v>2.8515109999999999</v>
      </c>
      <c r="DE22" s="10">
        <v>98.029759999999996</v>
      </c>
      <c r="DF22" s="10">
        <v>49.8</v>
      </c>
      <c r="DG22" s="10">
        <v>5.48</v>
      </c>
      <c r="DH22" s="10">
        <v>59.54</v>
      </c>
      <c r="DI22" s="10">
        <v>68.394509999999997</v>
      </c>
      <c r="DJ22" s="10">
        <v>108.4063</v>
      </c>
      <c r="DK22" s="10">
        <v>63.35586</v>
      </c>
      <c r="DL22" s="10">
        <v>179.09450000000001</v>
      </c>
      <c r="DM22" s="10">
        <v>115.4494</v>
      </c>
      <c r="DN22" s="10">
        <v>62.862929999999999</v>
      </c>
      <c r="DO22" s="10">
        <v>73.505650000000003</v>
      </c>
      <c r="DP22" s="10">
        <v>38.909550000000003</v>
      </c>
      <c r="DQ22" s="10">
        <v>123.7343</v>
      </c>
      <c r="DR22" s="10">
        <v>58.955379999999998</v>
      </c>
      <c r="DS22" s="10">
        <v>29.579470000000001</v>
      </c>
      <c r="DT22" s="10">
        <v>22.368320000000001</v>
      </c>
      <c r="DU22" s="10">
        <v>42.658679999999997</v>
      </c>
      <c r="DV22" s="15">
        <v>43.695746999999997</v>
      </c>
      <c r="DW22" s="10">
        <v>68.59</v>
      </c>
      <c r="DX22" s="10">
        <v>132.2184</v>
      </c>
      <c r="DY22" s="10">
        <v>53.148049999999998</v>
      </c>
      <c r="DZ22" s="10">
        <v>9.8880780000000001</v>
      </c>
      <c r="EA22" s="9">
        <v>2718.37</v>
      </c>
    </row>
    <row r="23" spans="1:131" ht="15.75">
      <c r="A23" s="8">
        <v>43282</v>
      </c>
      <c r="B23" s="10">
        <v>121.60290000000001</v>
      </c>
      <c r="C23" s="10">
        <v>33.523090000000003</v>
      </c>
      <c r="D23" s="10">
        <v>92.636790000000005</v>
      </c>
      <c r="E23" s="10">
        <v>78.243870000000001</v>
      </c>
      <c r="F23" s="10">
        <v>56.977200000000003</v>
      </c>
      <c r="G23" s="10">
        <v>179.0823</v>
      </c>
      <c r="H23" s="10">
        <v>52.682729999999999</v>
      </c>
      <c r="I23" s="10">
        <v>232.65190000000001</v>
      </c>
      <c r="J23" s="10">
        <v>324.36</v>
      </c>
      <c r="K23" s="10">
        <v>244.93</v>
      </c>
      <c r="L23" s="10">
        <v>95.13</v>
      </c>
      <c r="M23" s="10">
        <v>64.318700000000007</v>
      </c>
      <c r="N23" s="10">
        <v>121.94</v>
      </c>
      <c r="O23" s="10">
        <v>592.51</v>
      </c>
      <c r="P23" s="10">
        <v>240.78399999999999</v>
      </c>
      <c r="Q23" s="10">
        <v>58.770580000000002</v>
      </c>
      <c r="R23" s="10">
        <v>243.20429999999999</v>
      </c>
      <c r="S23" s="10">
        <v>368.01</v>
      </c>
      <c r="T23" s="10">
        <v>62.20872</v>
      </c>
      <c r="U23" s="10">
        <v>84.081029999999998</v>
      </c>
      <c r="V23" s="10">
        <v>157.45740000000001</v>
      </c>
      <c r="W23" s="10">
        <v>41.7</v>
      </c>
      <c r="X23" s="10">
        <v>84.835400000000007</v>
      </c>
      <c r="Y23" s="10">
        <v>36.76934</v>
      </c>
      <c r="Z23" s="10">
        <v>240.08430000000001</v>
      </c>
      <c r="AA23" s="10">
        <v>508.19</v>
      </c>
      <c r="AB23" s="10">
        <v>102.2766</v>
      </c>
      <c r="AC23" s="10">
        <v>69.786929999999998</v>
      </c>
      <c r="AD23" s="10">
        <v>101.93210000000001</v>
      </c>
      <c r="AE23" s="10">
        <v>244.68</v>
      </c>
      <c r="AF23" s="10">
        <v>45.168979999999998</v>
      </c>
      <c r="AG23" s="10">
        <v>89.43</v>
      </c>
      <c r="AH23" s="10">
        <v>62.91</v>
      </c>
      <c r="AI23" s="10">
        <v>145.22999999999999</v>
      </c>
      <c r="AJ23" s="10">
        <v>75.260000000000005</v>
      </c>
      <c r="AK23" s="10">
        <v>10.98146</v>
      </c>
      <c r="AL23" s="10">
        <v>171.38</v>
      </c>
      <c r="AM23" s="10">
        <v>60.736699999999999</v>
      </c>
      <c r="AN23" s="10">
        <v>44.392629999999997</v>
      </c>
      <c r="AO23" s="10">
        <v>196.0667</v>
      </c>
      <c r="AP23" s="10">
        <v>101.9563</v>
      </c>
      <c r="AQ23" s="10">
        <v>58.227739999999997</v>
      </c>
      <c r="AR23" s="10">
        <v>18.329999999999998</v>
      </c>
      <c r="AS23" s="10">
        <v>52.71631</v>
      </c>
      <c r="AT23" s="10">
        <v>90.209630000000004</v>
      </c>
      <c r="AU23" s="10">
        <v>91.675709999999995</v>
      </c>
      <c r="AV23" s="10">
        <v>89.043899999999994</v>
      </c>
      <c r="AW23" s="10">
        <v>69.370260000000002</v>
      </c>
      <c r="AX23" s="10">
        <v>89.657470000000004</v>
      </c>
      <c r="AY23" s="10">
        <v>45.927810000000001</v>
      </c>
      <c r="AZ23" s="10">
        <v>137.15</v>
      </c>
      <c r="BA23" s="10">
        <v>175.96</v>
      </c>
      <c r="BB23" s="10">
        <v>57.595120000000001</v>
      </c>
      <c r="BC23" s="10">
        <v>58</v>
      </c>
      <c r="BD23" s="10">
        <v>67.83211</v>
      </c>
      <c r="BE23" s="10">
        <v>20.83765</v>
      </c>
      <c r="BF23" s="10">
        <v>123.84780000000001</v>
      </c>
      <c r="BG23" s="10">
        <v>1777.44</v>
      </c>
      <c r="BH23" s="10">
        <v>32.20975</v>
      </c>
      <c r="BI23" s="10">
        <v>40.86</v>
      </c>
      <c r="BJ23" s="10">
        <v>35.184690000000003</v>
      </c>
      <c r="BK23" s="10">
        <v>145.72309999999999</v>
      </c>
      <c r="BL23" s="10">
        <v>49.171410000000002</v>
      </c>
      <c r="BM23" s="10">
        <v>99.786580000000001</v>
      </c>
      <c r="BN23" s="10">
        <v>74.551990000000004</v>
      </c>
      <c r="BO23" s="10">
        <v>182.73259999999999</v>
      </c>
      <c r="BP23" s="10">
        <v>102.2349</v>
      </c>
      <c r="BQ23" s="10">
        <v>37.9664</v>
      </c>
      <c r="BR23" s="10">
        <v>9.5468220000000006</v>
      </c>
      <c r="BS23" s="10">
        <v>2028.72</v>
      </c>
      <c r="BT23" s="10">
        <v>55.310310000000001</v>
      </c>
      <c r="BU23" s="10">
        <v>74.918059999999997</v>
      </c>
      <c r="BV23" s="10">
        <v>255.18510000000001</v>
      </c>
      <c r="BW23" s="10">
        <v>22.816130000000001</v>
      </c>
      <c r="BX23" s="10">
        <v>74.854709999999997</v>
      </c>
      <c r="BY23" s="10">
        <v>138.2585</v>
      </c>
      <c r="BZ23" s="10">
        <v>74.020349999999993</v>
      </c>
      <c r="CA23" s="10">
        <v>42.002969999999998</v>
      </c>
      <c r="CB23" s="10">
        <v>104.45529999999999</v>
      </c>
      <c r="CC23" s="10">
        <v>71.486369999999994</v>
      </c>
      <c r="CD23" s="10">
        <v>51.238210000000002</v>
      </c>
      <c r="CE23" s="10">
        <v>135.37530000000001</v>
      </c>
      <c r="CF23" s="10">
        <v>96.39179</v>
      </c>
      <c r="CG23" s="10">
        <v>131.2474</v>
      </c>
      <c r="CH23" s="10">
        <v>40.378579999999999</v>
      </c>
      <c r="CI23" s="10">
        <v>137.06710000000001</v>
      </c>
      <c r="CJ23" s="10">
        <v>61.970590000000001</v>
      </c>
      <c r="CK23" s="10">
        <v>51.323459999999997</v>
      </c>
      <c r="CL23" s="10">
        <v>61.55106</v>
      </c>
      <c r="CM23" s="10">
        <v>33.69652</v>
      </c>
      <c r="CN23" s="10">
        <v>63.08278</v>
      </c>
      <c r="CO23" s="10">
        <v>55.972250000000003</v>
      </c>
      <c r="CP23" s="10">
        <v>53.66507</v>
      </c>
      <c r="CQ23" s="10">
        <v>124.8897</v>
      </c>
      <c r="CR23" s="10">
        <v>36.811549999999997</v>
      </c>
      <c r="CS23" s="10">
        <v>22.34564</v>
      </c>
      <c r="CT23" s="10">
        <v>33.81</v>
      </c>
      <c r="CU23" s="10">
        <v>17.82</v>
      </c>
      <c r="CV23" s="10">
        <v>108.54730000000001</v>
      </c>
      <c r="CW23" s="10">
        <v>235.2183</v>
      </c>
      <c r="CX23" s="10">
        <v>3.99</v>
      </c>
      <c r="CY23" s="10">
        <v>21.83333</v>
      </c>
      <c r="CZ23" s="10">
        <v>31.9</v>
      </c>
      <c r="DA23" s="10">
        <v>34.450000000000003</v>
      </c>
      <c r="DB23" s="10">
        <v>38.299999999999997</v>
      </c>
      <c r="DC23" s="10">
        <v>45.170490000000001</v>
      </c>
      <c r="DD23" s="10">
        <v>3.0125609999999998</v>
      </c>
      <c r="DE23" s="10">
        <v>96.689830000000001</v>
      </c>
      <c r="DF23" s="10">
        <v>46.4</v>
      </c>
      <c r="DG23" s="10">
        <v>5.45</v>
      </c>
      <c r="DH23" s="10">
        <v>59.42</v>
      </c>
      <c r="DI23" s="10">
        <v>67.385919999999999</v>
      </c>
      <c r="DJ23" s="10">
        <v>108.26909999999999</v>
      </c>
      <c r="DK23" s="10">
        <v>65.676439999999999</v>
      </c>
      <c r="DL23" s="10">
        <v>179.12289999999999</v>
      </c>
      <c r="DM23" s="10">
        <v>119.6339</v>
      </c>
      <c r="DN23" s="10">
        <v>61.932760000000002</v>
      </c>
      <c r="DO23" s="10">
        <v>74.38758</v>
      </c>
      <c r="DP23" s="10">
        <v>39.913899999999998</v>
      </c>
      <c r="DQ23" s="10">
        <v>124.0917</v>
      </c>
      <c r="DR23" s="10">
        <v>59.819389999999999</v>
      </c>
      <c r="DS23" s="10">
        <v>30.967549999999999</v>
      </c>
      <c r="DT23" s="10">
        <v>22.939160000000001</v>
      </c>
      <c r="DU23" s="10">
        <v>47.846080000000001</v>
      </c>
      <c r="DV23" s="15">
        <v>42.99474</v>
      </c>
      <c r="DW23" s="10">
        <v>59.628</v>
      </c>
      <c r="DX23" s="10">
        <v>129.87780000000001</v>
      </c>
      <c r="DY23" s="10">
        <v>55.570920000000001</v>
      </c>
      <c r="DZ23" s="10">
        <v>8.9680490000000006</v>
      </c>
      <c r="EA23" s="9">
        <v>2816.29</v>
      </c>
    </row>
    <row r="24" spans="1:131" ht="15.75">
      <c r="A24" s="8">
        <v>43313</v>
      </c>
      <c r="B24" s="10">
        <v>123.5941</v>
      </c>
      <c r="C24" s="10">
        <v>34.857970000000002</v>
      </c>
      <c r="D24" s="10">
        <v>99.049449999999993</v>
      </c>
      <c r="E24" s="10">
        <v>82.256780000000006</v>
      </c>
      <c r="F24" s="10">
        <v>59.329979999999999</v>
      </c>
      <c r="G24" s="10">
        <v>182.05260000000001</v>
      </c>
      <c r="H24" s="10">
        <v>54.689920000000001</v>
      </c>
      <c r="I24" s="10">
        <v>237.18530000000001</v>
      </c>
      <c r="J24" s="10">
        <v>354.83</v>
      </c>
      <c r="K24" s="10">
        <v>254.04</v>
      </c>
      <c r="L24" s="10">
        <v>144.38</v>
      </c>
      <c r="M24" s="10">
        <v>65.938479999999998</v>
      </c>
      <c r="N24" s="10">
        <v>127.09</v>
      </c>
      <c r="O24" s="10">
        <v>584.46</v>
      </c>
      <c r="P24" s="10">
        <v>255.27549999999999</v>
      </c>
      <c r="Q24" s="10">
        <v>68.693780000000004</v>
      </c>
      <c r="R24" s="10">
        <v>254.48009999999999</v>
      </c>
      <c r="S24" s="10">
        <v>406.75</v>
      </c>
      <c r="T24" s="10">
        <v>63.727809999999998</v>
      </c>
      <c r="U24" s="10">
        <v>90.365390000000005</v>
      </c>
      <c r="V24" s="10">
        <v>163.41810000000001</v>
      </c>
      <c r="W24" s="10">
        <v>41.8</v>
      </c>
      <c r="X24" s="10">
        <v>89.007549999999995</v>
      </c>
      <c r="Y24" s="10">
        <v>38.56297</v>
      </c>
      <c r="Z24" s="10">
        <v>251.11179999999999</v>
      </c>
      <c r="AA24" s="10">
        <v>560</v>
      </c>
      <c r="AB24" s="10">
        <v>107.7201</v>
      </c>
      <c r="AC24" s="10">
        <v>71.636359999999996</v>
      </c>
      <c r="AD24" s="10">
        <v>107.93770000000001</v>
      </c>
      <c r="AE24" s="10">
        <v>263.51</v>
      </c>
      <c r="AF24" s="10">
        <v>46.202100000000002</v>
      </c>
      <c r="AG24" s="10">
        <v>102.14</v>
      </c>
      <c r="AH24" s="10">
        <v>83.76</v>
      </c>
      <c r="AI24" s="10">
        <v>158.61000000000001</v>
      </c>
      <c r="AJ24" s="10">
        <v>75.14</v>
      </c>
      <c r="AK24" s="10">
        <v>10.948869999999999</v>
      </c>
      <c r="AL24" s="10">
        <v>189.12</v>
      </c>
      <c r="AM24" s="10">
        <v>69.621740000000003</v>
      </c>
      <c r="AN24" s="10">
        <v>44.697200000000002</v>
      </c>
      <c r="AO24" s="10">
        <v>193.64420000000001</v>
      </c>
      <c r="AP24" s="10">
        <v>103.5155</v>
      </c>
      <c r="AQ24" s="10">
        <v>62.425159999999998</v>
      </c>
      <c r="AR24" s="10">
        <v>25.17</v>
      </c>
      <c r="AS24" s="10">
        <v>52.446689999999997</v>
      </c>
      <c r="AT24" s="10">
        <v>92.752470000000002</v>
      </c>
      <c r="AU24" s="10">
        <v>89.560270000000003</v>
      </c>
      <c r="AV24" s="10">
        <v>81.991299999999995</v>
      </c>
      <c r="AW24" s="10">
        <v>74.914469999999994</v>
      </c>
      <c r="AX24" s="10">
        <v>86.548199999999994</v>
      </c>
      <c r="AY24" s="10">
        <v>54.940100000000001</v>
      </c>
      <c r="AZ24" s="10">
        <v>152.68</v>
      </c>
      <c r="BA24" s="10">
        <v>196.36</v>
      </c>
      <c r="BB24" s="10">
        <v>62.842790000000001</v>
      </c>
      <c r="BC24" s="10">
        <v>64.89</v>
      </c>
      <c r="BD24" s="10">
        <v>69.40231</v>
      </c>
      <c r="BE24" s="10">
        <v>22.255120000000002</v>
      </c>
      <c r="BF24" s="10">
        <v>125.17230000000001</v>
      </c>
      <c r="BG24" s="10">
        <v>2012.71</v>
      </c>
      <c r="BH24" s="10">
        <v>33.326740000000001</v>
      </c>
      <c r="BI24" s="10">
        <v>48.69</v>
      </c>
      <c r="BJ24" s="10">
        <v>33.458399999999997</v>
      </c>
      <c r="BK24" s="10">
        <v>150.06139999999999</v>
      </c>
      <c r="BL24" s="10">
        <v>50.166289999999996</v>
      </c>
      <c r="BM24" s="10">
        <v>109.01390000000001</v>
      </c>
      <c r="BN24" s="10">
        <v>79.679789999999997</v>
      </c>
      <c r="BO24" s="10">
        <v>185.73929999999999</v>
      </c>
      <c r="BP24" s="10">
        <v>99.536370000000005</v>
      </c>
      <c r="BQ24" s="10">
        <v>40.801459999999999</v>
      </c>
      <c r="BR24" s="10">
        <v>8.884563</v>
      </c>
      <c r="BS24" s="10">
        <v>1951.55</v>
      </c>
      <c r="BT24" s="10">
        <v>57.411050000000003</v>
      </c>
      <c r="BU24" s="10">
        <v>82.099000000000004</v>
      </c>
      <c r="BV24" s="10">
        <v>290.0634</v>
      </c>
      <c r="BW24" s="10">
        <v>19.041060000000002</v>
      </c>
      <c r="BX24" s="10">
        <v>84.676760000000002</v>
      </c>
      <c r="BY24" s="10">
        <v>160.5788</v>
      </c>
      <c r="BZ24" s="10">
        <v>76.603750000000005</v>
      </c>
      <c r="CA24" s="10">
        <v>40.147379999999998</v>
      </c>
      <c r="CB24" s="10">
        <v>101.7394</v>
      </c>
      <c r="CC24" s="10">
        <v>64.519959999999998</v>
      </c>
      <c r="CD24" s="10">
        <v>51.112380000000002</v>
      </c>
      <c r="CE24" s="10">
        <v>128.15020000000001</v>
      </c>
      <c r="CF24" s="10">
        <v>88.346509999999995</v>
      </c>
      <c r="CG24" s="10">
        <v>136.28569999999999</v>
      </c>
      <c r="CH24" s="10">
        <v>39.764249999999997</v>
      </c>
      <c r="CI24" s="10">
        <v>141.77170000000001</v>
      </c>
      <c r="CJ24" s="10">
        <v>61.811329999999998</v>
      </c>
      <c r="CK24" s="10">
        <v>49.63682</v>
      </c>
      <c r="CL24" s="10">
        <v>68.882099999999994</v>
      </c>
      <c r="CM24" s="10">
        <v>36.860019999999999</v>
      </c>
      <c r="CN24" s="10">
        <v>63.757759999999998</v>
      </c>
      <c r="CO24" s="10">
        <v>59.730490000000003</v>
      </c>
      <c r="CP24" s="10">
        <v>54.317889999999998</v>
      </c>
      <c r="CQ24" s="10">
        <v>134.91560000000001</v>
      </c>
      <c r="CR24" s="10">
        <v>35.802030000000002</v>
      </c>
      <c r="CS24" s="10">
        <v>18.531770000000002</v>
      </c>
      <c r="CT24" s="10">
        <v>32.590000000000003</v>
      </c>
      <c r="CU24" s="10">
        <v>18.489999999999998</v>
      </c>
      <c r="CV24" s="10">
        <v>111.2544</v>
      </c>
      <c r="CW24" s="10">
        <v>233.38149999999999</v>
      </c>
      <c r="CX24" s="10">
        <v>4.3499999999999996</v>
      </c>
      <c r="CY24" s="10">
        <v>21.5</v>
      </c>
      <c r="CZ24" s="10">
        <v>35</v>
      </c>
      <c r="DA24" s="10">
        <v>33.200000000000003</v>
      </c>
      <c r="DB24" s="10">
        <v>47.75</v>
      </c>
      <c r="DC24" s="10">
        <v>46.67456</v>
      </c>
      <c r="DD24" s="10">
        <v>3.1736089999999999</v>
      </c>
      <c r="DE24" s="10">
        <v>100.3783</v>
      </c>
      <c r="DF24" s="10">
        <v>52.85</v>
      </c>
      <c r="DG24" s="10">
        <v>5.44</v>
      </c>
      <c r="DH24" s="10">
        <v>63.29</v>
      </c>
      <c r="DI24" s="10">
        <v>66.278109999999998</v>
      </c>
      <c r="DJ24" s="10">
        <v>101.5724</v>
      </c>
      <c r="DK24" s="10">
        <v>67.097470000000001</v>
      </c>
      <c r="DL24" s="10">
        <v>165.334</v>
      </c>
      <c r="DM24" s="10">
        <v>109.8582</v>
      </c>
      <c r="DN24" s="10">
        <v>63.546410000000002</v>
      </c>
      <c r="DO24" s="10">
        <v>70.789180000000002</v>
      </c>
      <c r="DP24" s="10">
        <v>38.069389999999999</v>
      </c>
      <c r="DQ24" s="10">
        <v>113.869</v>
      </c>
      <c r="DR24" s="10">
        <v>55.956659999999999</v>
      </c>
      <c r="DS24" s="10">
        <v>29.525739999999999</v>
      </c>
      <c r="DT24" s="10">
        <v>21.58606</v>
      </c>
      <c r="DU24" s="10">
        <v>46.320740000000001</v>
      </c>
      <c r="DV24" s="15">
        <v>41.197696999999998</v>
      </c>
      <c r="DW24" s="10">
        <v>60.332000000000001</v>
      </c>
      <c r="DX24" s="10">
        <v>128.37950000000001</v>
      </c>
      <c r="DY24" s="10">
        <v>49.481720000000003</v>
      </c>
      <c r="DZ24" s="10">
        <v>8.586881</v>
      </c>
      <c r="EA24" s="9">
        <v>2901.52</v>
      </c>
    </row>
    <row r="25" spans="1:131" ht="15.75">
      <c r="A25" s="8">
        <v>43344</v>
      </c>
      <c r="B25" s="10">
        <v>127.6324</v>
      </c>
      <c r="C25" s="10">
        <v>37.313859999999998</v>
      </c>
      <c r="D25" s="10">
        <v>101.1617</v>
      </c>
      <c r="E25" s="10">
        <v>81.056950000000001</v>
      </c>
      <c r="F25" s="10">
        <v>61.362720000000003</v>
      </c>
      <c r="G25" s="10">
        <v>190.1533</v>
      </c>
      <c r="H25" s="10">
        <v>56.071860000000001</v>
      </c>
      <c r="I25" s="10">
        <v>242.12540000000001</v>
      </c>
      <c r="J25" s="10">
        <v>367.06</v>
      </c>
      <c r="K25" s="10">
        <v>249.66</v>
      </c>
      <c r="L25" s="10">
        <v>143.04</v>
      </c>
      <c r="M25" s="10">
        <v>68.867339999999999</v>
      </c>
      <c r="N25" s="10">
        <v>129.74</v>
      </c>
      <c r="O25" s="10">
        <v>608.98</v>
      </c>
      <c r="P25" s="10">
        <v>252.9744</v>
      </c>
      <c r="Q25" s="10">
        <v>71.870999999999995</v>
      </c>
      <c r="R25" s="10">
        <v>263.43920000000003</v>
      </c>
      <c r="S25" s="10">
        <v>404.04</v>
      </c>
      <c r="T25" s="10">
        <v>69.944230000000005</v>
      </c>
      <c r="U25" s="10">
        <v>92.202500000000001</v>
      </c>
      <c r="V25" s="10">
        <v>171.37530000000001</v>
      </c>
      <c r="W25" s="10">
        <v>45.55</v>
      </c>
      <c r="X25" s="10">
        <v>89.950680000000006</v>
      </c>
      <c r="Y25" s="10">
        <v>36.069629999999997</v>
      </c>
      <c r="Z25" s="10">
        <v>250.27760000000001</v>
      </c>
      <c r="AA25" s="10">
        <v>574</v>
      </c>
      <c r="AB25" s="10">
        <v>111.9024</v>
      </c>
      <c r="AC25" s="10">
        <v>74.447649999999996</v>
      </c>
      <c r="AD25" s="10">
        <v>110.32080000000001</v>
      </c>
      <c r="AE25" s="10">
        <v>269.95</v>
      </c>
      <c r="AF25" s="10">
        <v>49.03622</v>
      </c>
      <c r="AG25" s="10">
        <v>98.61</v>
      </c>
      <c r="AH25" s="10">
        <v>92.27</v>
      </c>
      <c r="AI25" s="10">
        <v>160.12</v>
      </c>
      <c r="AJ25" s="10">
        <v>73.150000000000006</v>
      </c>
      <c r="AK25" s="10">
        <v>11.60197</v>
      </c>
      <c r="AL25" s="10">
        <v>199.42</v>
      </c>
      <c r="AM25" s="10">
        <v>69.744190000000003</v>
      </c>
      <c r="AN25" s="10">
        <v>43.910499999999999</v>
      </c>
      <c r="AO25" s="10">
        <v>218.13380000000001</v>
      </c>
      <c r="AP25" s="10">
        <v>98.809380000000004</v>
      </c>
      <c r="AQ25" s="10">
        <v>65.441460000000006</v>
      </c>
      <c r="AR25" s="10">
        <v>30.89</v>
      </c>
      <c r="AS25" s="10">
        <v>45.16686</v>
      </c>
      <c r="AT25" s="10">
        <v>87.174359999999993</v>
      </c>
      <c r="AU25" s="10">
        <v>82.213890000000006</v>
      </c>
      <c r="AV25" s="10">
        <v>75.536779999999993</v>
      </c>
      <c r="AW25" s="10">
        <v>77.54862</v>
      </c>
      <c r="AX25" s="10">
        <v>86.33202</v>
      </c>
      <c r="AY25" s="10">
        <v>54.674999999999997</v>
      </c>
      <c r="AZ25" s="10">
        <v>159.03</v>
      </c>
      <c r="BA25" s="10">
        <v>195.63</v>
      </c>
      <c r="BB25" s="10">
        <v>64.604309999999998</v>
      </c>
      <c r="BC25" s="10">
        <v>66.28</v>
      </c>
      <c r="BD25" s="10">
        <v>69.642240000000001</v>
      </c>
      <c r="BE25" s="10">
        <v>23.266310000000001</v>
      </c>
      <c r="BF25" s="10">
        <v>130.6103</v>
      </c>
      <c r="BG25" s="10">
        <v>2003</v>
      </c>
      <c r="BH25" s="10">
        <v>31.79569</v>
      </c>
      <c r="BI25" s="10">
        <v>51.38</v>
      </c>
      <c r="BJ25" s="10">
        <v>31.249490000000002</v>
      </c>
      <c r="BK25" s="10">
        <v>155.70779999999999</v>
      </c>
      <c r="BL25" s="10">
        <v>53.719430000000003</v>
      </c>
      <c r="BM25" s="10">
        <v>104.4576</v>
      </c>
      <c r="BN25" s="10">
        <v>82.324809999999999</v>
      </c>
      <c r="BO25" s="10">
        <v>192.62389999999999</v>
      </c>
      <c r="BP25" s="10">
        <v>99.328090000000003</v>
      </c>
      <c r="BQ25" s="10">
        <v>42.959800000000001</v>
      </c>
      <c r="BR25" s="10">
        <v>8.557734</v>
      </c>
      <c r="BS25" s="10">
        <v>1984</v>
      </c>
      <c r="BT25" s="10">
        <v>60.024900000000002</v>
      </c>
      <c r="BU25" s="10">
        <v>86.266170000000002</v>
      </c>
      <c r="BV25" s="10">
        <v>286.41039999999998</v>
      </c>
      <c r="BW25" s="10">
        <v>22.239840000000001</v>
      </c>
      <c r="BX25" s="10">
        <v>87.475809999999996</v>
      </c>
      <c r="BY25" s="10">
        <v>164.78829999999999</v>
      </c>
      <c r="BZ25" s="10">
        <v>76.86233</v>
      </c>
      <c r="CA25" s="10">
        <v>41.606619999999999</v>
      </c>
      <c r="CB25" s="10">
        <v>101.5487</v>
      </c>
      <c r="CC25" s="10">
        <v>67.543430000000001</v>
      </c>
      <c r="CD25" s="10">
        <v>49.800449999999998</v>
      </c>
      <c r="CE25" s="10">
        <v>132.1567</v>
      </c>
      <c r="CF25" s="10">
        <v>82.982990000000001</v>
      </c>
      <c r="CG25" s="10">
        <v>141.72710000000001</v>
      </c>
      <c r="CH25" s="10">
        <v>39.987639999999999</v>
      </c>
      <c r="CI25" s="10">
        <v>141.3749</v>
      </c>
      <c r="CJ25" s="10">
        <v>62.313929999999999</v>
      </c>
      <c r="CK25" s="10">
        <v>47.446840000000002</v>
      </c>
      <c r="CL25" s="10">
        <v>67.436700000000002</v>
      </c>
      <c r="CM25" s="10">
        <v>37.095399999999998</v>
      </c>
      <c r="CN25" s="10">
        <v>62.674970000000002</v>
      </c>
      <c r="CO25" s="10">
        <v>63.01643</v>
      </c>
      <c r="CP25" s="10">
        <v>57.219520000000003</v>
      </c>
      <c r="CQ25" s="10">
        <v>139.96870000000001</v>
      </c>
      <c r="CR25" s="10">
        <v>33.242800000000003</v>
      </c>
      <c r="CS25" s="10">
        <v>17.499089999999999</v>
      </c>
      <c r="CT25" s="10">
        <v>30.82</v>
      </c>
      <c r="CU25" s="10">
        <v>18.09</v>
      </c>
      <c r="CV25" s="10">
        <v>106.5047</v>
      </c>
      <c r="CW25" s="10">
        <v>230.35839999999999</v>
      </c>
      <c r="CX25" s="10">
        <v>5.91</v>
      </c>
      <c r="CY25" s="10">
        <v>22.466670000000001</v>
      </c>
      <c r="CZ25" s="10">
        <v>33.9</v>
      </c>
      <c r="DA25" s="10">
        <v>30.95</v>
      </c>
      <c r="DB25" s="10">
        <v>36.4</v>
      </c>
      <c r="DC25" s="10">
        <v>47.190199999999997</v>
      </c>
      <c r="DD25" s="10">
        <v>3.3157109999999999</v>
      </c>
      <c r="DE25" s="10">
        <v>106.2139</v>
      </c>
      <c r="DF25" s="10">
        <v>45.6</v>
      </c>
      <c r="DG25" s="10">
        <v>5.76</v>
      </c>
      <c r="DH25" s="10">
        <v>58.51</v>
      </c>
      <c r="DI25" s="10">
        <v>71.01267</v>
      </c>
      <c r="DJ25" s="10">
        <v>105.8531</v>
      </c>
      <c r="DK25" s="10">
        <v>70.725080000000005</v>
      </c>
      <c r="DL25" s="10">
        <v>164.85140000000001</v>
      </c>
      <c r="DM25" s="10">
        <v>118.5369</v>
      </c>
      <c r="DN25" s="10">
        <v>67.547560000000004</v>
      </c>
      <c r="DO25" s="10">
        <v>72.827699999999993</v>
      </c>
      <c r="DP25" s="10">
        <v>35.417920000000002</v>
      </c>
      <c r="DQ25" s="10">
        <v>127.27079999999999</v>
      </c>
      <c r="DR25" s="10">
        <v>53.972119999999997</v>
      </c>
      <c r="DS25" s="10">
        <v>30.45364</v>
      </c>
      <c r="DT25" s="10">
        <v>22.125610000000002</v>
      </c>
      <c r="DU25" s="10">
        <v>42.39425</v>
      </c>
      <c r="DV25" s="15">
        <v>44.807087000000003</v>
      </c>
      <c r="DW25" s="10">
        <v>52.954000000000001</v>
      </c>
      <c r="DX25" s="10">
        <v>134.07910000000001</v>
      </c>
      <c r="DY25" s="10">
        <v>48.312269999999998</v>
      </c>
      <c r="DZ25" s="10">
        <v>8.3785500000000006</v>
      </c>
      <c r="EA25" s="9">
        <v>2913.98</v>
      </c>
    </row>
    <row r="26" spans="1:131" ht="15.75">
      <c r="A26" s="8">
        <v>43374</v>
      </c>
      <c r="B26" s="10">
        <v>129.31360000000001</v>
      </c>
      <c r="C26" s="10">
        <v>36.458689999999997</v>
      </c>
      <c r="D26" s="10">
        <v>102.227</v>
      </c>
      <c r="E26" s="10">
        <v>66.718990000000005</v>
      </c>
      <c r="F26" s="10">
        <v>64.106710000000007</v>
      </c>
      <c r="G26" s="10">
        <v>176.85210000000001</v>
      </c>
      <c r="H26" s="10">
        <v>45.648710000000001</v>
      </c>
      <c r="I26" s="10">
        <v>231.94049999999999</v>
      </c>
      <c r="J26" s="10">
        <v>311.14999999999998</v>
      </c>
      <c r="K26" s="10">
        <v>212.12</v>
      </c>
      <c r="L26" s="10">
        <v>132.77000000000001</v>
      </c>
      <c r="M26" s="10">
        <v>63.253700000000002</v>
      </c>
      <c r="N26" s="10">
        <v>122.93</v>
      </c>
      <c r="O26" s="10">
        <v>546.82000000000005</v>
      </c>
      <c r="P26" s="10">
        <v>249.35329999999999</v>
      </c>
      <c r="Q26" s="10">
        <v>66.091740000000001</v>
      </c>
      <c r="R26" s="10">
        <v>265.63589999999999</v>
      </c>
      <c r="S26" s="10">
        <v>339.24</v>
      </c>
      <c r="T26" s="10">
        <v>65.730040000000002</v>
      </c>
      <c r="U26" s="10">
        <v>84.188540000000003</v>
      </c>
      <c r="V26" s="10">
        <v>156.88339999999999</v>
      </c>
      <c r="W26" s="10">
        <v>40.340000000000003</v>
      </c>
      <c r="X26" s="10">
        <v>88.565460000000002</v>
      </c>
      <c r="Y26" s="10">
        <v>30.797149999999998</v>
      </c>
      <c r="Z26" s="10">
        <v>221.67599999999999</v>
      </c>
      <c r="AA26" s="10">
        <v>521.17999999999995</v>
      </c>
      <c r="AB26" s="10">
        <v>102.7632</v>
      </c>
      <c r="AC26" s="10">
        <v>60.367379999999997</v>
      </c>
      <c r="AD26" s="10">
        <v>103.02849999999999</v>
      </c>
      <c r="AE26" s="10">
        <v>245.76</v>
      </c>
      <c r="AF26" s="10">
        <v>46.449370000000002</v>
      </c>
      <c r="AG26" s="10">
        <v>89.53</v>
      </c>
      <c r="AH26" s="10">
        <v>82.18</v>
      </c>
      <c r="AI26" s="10">
        <v>142.54</v>
      </c>
      <c r="AJ26" s="10">
        <v>72.25</v>
      </c>
      <c r="AK26" s="10">
        <v>9.8954769999999996</v>
      </c>
      <c r="AL26" s="10">
        <v>175.28</v>
      </c>
      <c r="AM26" s="10">
        <v>52.324289999999998</v>
      </c>
      <c r="AN26" s="10">
        <v>43.529800000000002</v>
      </c>
      <c r="AO26" s="10">
        <v>199.07079999999999</v>
      </c>
      <c r="AP26" s="10">
        <v>85.492360000000005</v>
      </c>
      <c r="AQ26" s="10">
        <v>57.657769999999999</v>
      </c>
      <c r="AR26" s="10">
        <v>18.21</v>
      </c>
      <c r="AS26" s="10">
        <v>37.667349999999999</v>
      </c>
      <c r="AT26" s="10">
        <v>78.924580000000006</v>
      </c>
      <c r="AU26" s="10">
        <v>72.30068</v>
      </c>
      <c r="AV26" s="10">
        <v>62.968060000000001</v>
      </c>
      <c r="AW26" s="10">
        <v>82.578599999999994</v>
      </c>
      <c r="AX26" s="10">
        <v>82.572680000000005</v>
      </c>
      <c r="AY26" s="10">
        <v>53.008650000000003</v>
      </c>
      <c r="AZ26" s="10">
        <v>137.24</v>
      </c>
      <c r="BA26" s="10">
        <v>181.04</v>
      </c>
      <c r="BB26" s="10">
        <v>61.492849999999997</v>
      </c>
      <c r="BC26" s="10">
        <v>57.08</v>
      </c>
      <c r="BD26" s="10">
        <v>61.41254</v>
      </c>
      <c r="BE26" s="10">
        <v>21.91827</v>
      </c>
      <c r="BF26" s="10">
        <v>99.704700000000003</v>
      </c>
      <c r="BG26" s="10">
        <v>1598.01</v>
      </c>
      <c r="BH26" s="10">
        <v>27.95363</v>
      </c>
      <c r="BI26" s="10">
        <v>42.52</v>
      </c>
      <c r="BJ26" s="10">
        <v>34.329230000000003</v>
      </c>
      <c r="BK26" s="10">
        <v>164.6525</v>
      </c>
      <c r="BL26" s="10">
        <v>55.070920000000001</v>
      </c>
      <c r="BM26" s="10">
        <v>100.0985</v>
      </c>
      <c r="BN26" s="10">
        <v>72.918490000000006</v>
      </c>
      <c r="BO26" s="10">
        <v>163.54669999999999</v>
      </c>
      <c r="BP26" s="10">
        <v>83.723029999999994</v>
      </c>
      <c r="BQ26" s="10">
        <v>43.750830000000001</v>
      </c>
      <c r="BR26" s="10">
        <v>7.920858</v>
      </c>
      <c r="BS26" s="10">
        <v>1874.58</v>
      </c>
      <c r="BT26" s="10">
        <v>52.748869999999997</v>
      </c>
      <c r="BU26" s="10">
        <v>85.791719999999998</v>
      </c>
      <c r="BV26" s="10">
        <v>261.64510000000001</v>
      </c>
      <c r="BW26" s="10">
        <v>23.7959</v>
      </c>
      <c r="BX26" s="10">
        <v>88.447980000000001</v>
      </c>
      <c r="BY26" s="10">
        <v>156.45400000000001</v>
      </c>
      <c r="BZ26" s="10">
        <v>81.895380000000003</v>
      </c>
      <c r="CA26" s="10">
        <v>43.495780000000003</v>
      </c>
      <c r="CB26" s="10">
        <v>102.9198</v>
      </c>
      <c r="CC26" s="10">
        <v>73.986050000000006</v>
      </c>
      <c r="CD26" s="10">
        <v>47.997599999999998</v>
      </c>
      <c r="CE26" s="10">
        <v>128.88239999999999</v>
      </c>
      <c r="CF26" s="10">
        <v>70.104839999999996</v>
      </c>
      <c r="CG26" s="10">
        <v>134.0419</v>
      </c>
      <c r="CH26" s="10">
        <v>39.31183</v>
      </c>
      <c r="CI26" s="10">
        <v>131.523</v>
      </c>
      <c r="CJ26" s="10">
        <v>55.426360000000003</v>
      </c>
      <c r="CK26" s="10">
        <v>47.326309999999999</v>
      </c>
      <c r="CL26" s="10">
        <v>65.669079999999994</v>
      </c>
      <c r="CM26" s="10">
        <v>41.087400000000002</v>
      </c>
      <c r="CN26" s="10">
        <v>58.611199999999997</v>
      </c>
      <c r="CO26" s="10">
        <v>68.875640000000004</v>
      </c>
      <c r="CP26" s="10">
        <v>57.219520000000003</v>
      </c>
      <c r="CQ26" s="10">
        <v>138.1448</v>
      </c>
      <c r="CR26" s="10">
        <v>33.950679999999998</v>
      </c>
      <c r="CS26" s="10">
        <v>13.688940000000001</v>
      </c>
      <c r="CT26" s="10">
        <v>29.17</v>
      </c>
      <c r="CU26" s="10">
        <v>17.66</v>
      </c>
      <c r="CV26" s="10">
        <v>97.190640000000002</v>
      </c>
      <c r="CW26" s="10">
        <v>211.35239999999999</v>
      </c>
      <c r="CX26" s="10">
        <v>5.44</v>
      </c>
      <c r="CY26" s="10">
        <v>24.126670000000001</v>
      </c>
      <c r="CZ26" s="10">
        <v>30.59</v>
      </c>
      <c r="DA26" s="10">
        <v>25.71</v>
      </c>
      <c r="DB26" s="10">
        <v>33.340000000000003</v>
      </c>
      <c r="DC26" s="10">
        <v>36.080329999999996</v>
      </c>
      <c r="DD26" s="10">
        <v>3.211503</v>
      </c>
      <c r="DE26" s="10">
        <v>85.973500000000001</v>
      </c>
      <c r="DF26" s="10">
        <v>45.82</v>
      </c>
      <c r="DG26" s="10">
        <v>5.42</v>
      </c>
      <c r="DH26" s="10">
        <v>58.4</v>
      </c>
      <c r="DI26" s="10">
        <v>66.552459999999996</v>
      </c>
      <c r="DJ26" s="10">
        <v>96.651110000000003</v>
      </c>
      <c r="DK26" s="10">
        <v>63.87189</v>
      </c>
      <c r="DL26" s="10">
        <v>139.50290000000001</v>
      </c>
      <c r="DM26" s="10">
        <v>97.880939999999995</v>
      </c>
      <c r="DN26" s="10">
        <v>54.374749999999999</v>
      </c>
      <c r="DO26" s="10">
        <v>60.048290000000001</v>
      </c>
      <c r="DP26" s="10">
        <v>28.786519999999999</v>
      </c>
      <c r="DQ26" s="10">
        <v>105.77809999999999</v>
      </c>
      <c r="DR26" s="10">
        <v>45.820869999999999</v>
      </c>
      <c r="DS26" s="10">
        <v>24.026250000000001</v>
      </c>
      <c r="DT26" s="10">
        <v>18.620920000000002</v>
      </c>
      <c r="DU26" s="10">
        <v>36.254730000000002</v>
      </c>
      <c r="DV26" s="15">
        <v>35.558047999999999</v>
      </c>
      <c r="DW26" s="10">
        <v>67.463999999999999</v>
      </c>
      <c r="DX26" s="10">
        <v>114.6885</v>
      </c>
      <c r="DY26" s="10">
        <v>45.286430000000003</v>
      </c>
      <c r="DZ26" s="10">
        <v>8.6502870000000005</v>
      </c>
      <c r="EA26" s="9">
        <v>2711.74</v>
      </c>
    </row>
    <row r="27" spans="1:131" ht="15.75">
      <c r="A27" s="8">
        <v>43405</v>
      </c>
      <c r="B27" s="10">
        <v>135.69659999999999</v>
      </c>
      <c r="C27" s="10">
        <v>39.142719999999997</v>
      </c>
      <c r="D27" s="10">
        <v>111.8426</v>
      </c>
      <c r="E27" s="10">
        <v>81.655529999999999</v>
      </c>
      <c r="F27" s="10">
        <v>69.096950000000007</v>
      </c>
      <c r="G27" s="10">
        <v>191.03399999999999</v>
      </c>
      <c r="H27" s="10">
        <v>48.596380000000003</v>
      </c>
      <c r="I27" s="10">
        <v>247.7242</v>
      </c>
      <c r="J27" s="10">
        <v>337.5</v>
      </c>
      <c r="K27" s="10">
        <v>203.76</v>
      </c>
      <c r="L27" s="10">
        <v>129.59</v>
      </c>
      <c r="M27" s="10">
        <v>70.783940000000001</v>
      </c>
      <c r="N27" s="10">
        <v>125.07</v>
      </c>
      <c r="O27" s="10">
        <v>636.66</v>
      </c>
      <c r="P27" s="10">
        <v>268.44470000000001</v>
      </c>
      <c r="Q27" s="10">
        <v>73.72833</v>
      </c>
      <c r="R27" s="10">
        <v>279.613</v>
      </c>
      <c r="S27" s="10">
        <v>365.65</v>
      </c>
      <c r="T27" s="10">
        <v>70.892399999999995</v>
      </c>
      <c r="U27" s="10">
        <v>91.415149999999997</v>
      </c>
      <c r="V27" s="10">
        <v>169.68780000000001</v>
      </c>
      <c r="W27" s="10">
        <v>39.65</v>
      </c>
      <c r="X27" s="10">
        <v>92.220060000000004</v>
      </c>
      <c r="Y27" s="10">
        <v>33.369329999999998</v>
      </c>
      <c r="Z27" s="10">
        <v>243.07429999999999</v>
      </c>
      <c r="AA27" s="10">
        <v>530.87</v>
      </c>
      <c r="AB27" s="10">
        <v>108.45820000000001</v>
      </c>
      <c r="AC27" s="10">
        <v>66.200360000000003</v>
      </c>
      <c r="AD27" s="10">
        <v>106.964</v>
      </c>
      <c r="AE27" s="10">
        <v>250.89</v>
      </c>
      <c r="AF27" s="10">
        <v>46.559989999999999</v>
      </c>
      <c r="AG27" s="10">
        <v>91.94</v>
      </c>
      <c r="AH27" s="10">
        <v>73.84</v>
      </c>
      <c r="AI27" s="10">
        <v>156.06</v>
      </c>
      <c r="AJ27" s="10">
        <v>68.75</v>
      </c>
      <c r="AK27" s="10">
        <v>12.054489999999999</v>
      </c>
      <c r="AL27" s="10">
        <v>171.97</v>
      </c>
      <c r="AM27" s="10">
        <v>40.56044</v>
      </c>
      <c r="AN27" s="10">
        <v>45.786140000000003</v>
      </c>
      <c r="AO27" s="10">
        <v>211.4699</v>
      </c>
      <c r="AP27" s="10">
        <v>92.749399999999994</v>
      </c>
      <c r="AQ27" s="10">
        <v>53.412979999999997</v>
      </c>
      <c r="AR27" s="10">
        <v>21.3</v>
      </c>
      <c r="AS27" s="10">
        <v>38.506180000000001</v>
      </c>
      <c r="AT27" s="10">
        <v>86.665220000000005</v>
      </c>
      <c r="AU27" s="10">
        <v>80.380170000000007</v>
      </c>
      <c r="AV27" s="10">
        <v>71.793930000000003</v>
      </c>
      <c r="AW27" s="10">
        <v>89.456119999999999</v>
      </c>
      <c r="AX27" s="10">
        <v>69.257869999999997</v>
      </c>
      <c r="AY27" s="10">
        <v>43.252699999999997</v>
      </c>
      <c r="AZ27" s="10">
        <v>142.76</v>
      </c>
      <c r="BA27" s="10">
        <v>185.27</v>
      </c>
      <c r="BB27" s="10">
        <v>61.957569999999997</v>
      </c>
      <c r="BC27" s="10">
        <v>61.82</v>
      </c>
      <c r="BD27" s="10">
        <v>62.917870000000001</v>
      </c>
      <c r="BE27" s="10">
        <v>20.883189999999999</v>
      </c>
      <c r="BF27" s="10">
        <v>107.3404</v>
      </c>
      <c r="BG27" s="10">
        <v>1690.17</v>
      </c>
      <c r="BH27" s="10">
        <v>28.743230000000001</v>
      </c>
      <c r="BI27" s="10">
        <v>54.04</v>
      </c>
      <c r="BJ27" s="10">
        <v>35.605200000000004</v>
      </c>
      <c r="BK27" s="10">
        <v>175.45869999999999</v>
      </c>
      <c r="BL27" s="10">
        <v>63.057000000000002</v>
      </c>
      <c r="BM27" s="10">
        <v>104.57080000000001</v>
      </c>
      <c r="BN27" s="10">
        <v>72.996219999999994</v>
      </c>
      <c r="BO27" s="10">
        <v>167.6754</v>
      </c>
      <c r="BP27" s="10">
        <v>89.203649999999996</v>
      </c>
      <c r="BQ27" s="10">
        <v>47.959899999999998</v>
      </c>
      <c r="BR27" s="10">
        <v>8.67774</v>
      </c>
      <c r="BS27" s="10">
        <v>1891.88</v>
      </c>
      <c r="BT27" s="10">
        <v>56.749270000000003</v>
      </c>
      <c r="BU27" s="10">
        <v>87.509249999999994</v>
      </c>
      <c r="BV27" s="10">
        <v>269.94839999999999</v>
      </c>
      <c r="BW27" s="10">
        <v>24.302350000000001</v>
      </c>
      <c r="BX27" s="10">
        <v>91.566609999999997</v>
      </c>
      <c r="BY27" s="10">
        <v>174.0325</v>
      </c>
      <c r="BZ27" s="10">
        <v>88.050550000000001</v>
      </c>
      <c r="CA27" s="10">
        <v>45.785040000000002</v>
      </c>
      <c r="CB27" s="10">
        <v>111.6751</v>
      </c>
      <c r="CC27" s="10">
        <v>72.692310000000006</v>
      </c>
      <c r="CD27" s="10">
        <v>49.18441</v>
      </c>
      <c r="CE27" s="10">
        <v>134.6568</v>
      </c>
      <c r="CF27" s="10">
        <v>72.843459999999993</v>
      </c>
      <c r="CG27" s="10">
        <v>139.1328</v>
      </c>
      <c r="CH27" s="10">
        <v>42.12115</v>
      </c>
      <c r="CI27" s="10">
        <v>134.1713</v>
      </c>
      <c r="CJ27" s="10">
        <v>59.514780000000002</v>
      </c>
      <c r="CK27" s="10">
        <v>44.011659999999999</v>
      </c>
      <c r="CL27" s="10">
        <v>62.36016</v>
      </c>
      <c r="CM27" s="10">
        <v>42.647559999999999</v>
      </c>
      <c r="CN27" s="10">
        <v>56.973170000000003</v>
      </c>
      <c r="CO27" s="10">
        <v>72.021420000000006</v>
      </c>
      <c r="CP27" s="10">
        <v>63.79251</v>
      </c>
      <c r="CQ27" s="10">
        <v>155.1172</v>
      </c>
      <c r="CR27" s="10">
        <v>35.908340000000003</v>
      </c>
      <c r="CS27" s="10">
        <v>20.17137</v>
      </c>
      <c r="CT27" s="10">
        <v>33.18</v>
      </c>
      <c r="CU27" s="10">
        <v>19.84</v>
      </c>
      <c r="CV27" s="10">
        <v>105.1728</v>
      </c>
      <c r="CW27" s="10">
        <v>219.6591</v>
      </c>
      <c r="CX27" s="10">
        <v>5.44</v>
      </c>
      <c r="CY27" s="10">
        <v>20.079999999999998</v>
      </c>
      <c r="CZ27" s="10">
        <v>29.42</v>
      </c>
      <c r="DA27" s="10">
        <v>25.37</v>
      </c>
      <c r="DB27" s="10">
        <v>30.35</v>
      </c>
      <c r="DC27" s="10">
        <v>39.132390000000001</v>
      </c>
      <c r="DD27" s="10">
        <v>2.8609849999999999</v>
      </c>
      <c r="DE27" s="10">
        <v>90.13306</v>
      </c>
      <c r="DF27" s="10">
        <v>44.44</v>
      </c>
      <c r="DG27" s="10">
        <v>5.22</v>
      </c>
      <c r="DH27" s="10">
        <v>61.04</v>
      </c>
      <c r="DI27" s="10">
        <v>66.402119999999996</v>
      </c>
      <c r="DJ27" s="10">
        <v>102.9618</v>
      </c>
      <c r="DK27" s="10">
        <v>60.727159999999998</v>
      </c>
      <c r="DL27" s="10">
        <v>139.95760000000001</v>
      </c>
      <c r="DM27" s="10">
        <v>96.167289999999994</v>
      </c>
      <c r="DN27" s="10">
        <v>51.04974</v>
      </c>
      <c r="DO27" s="10">
        <v>62.913260000000001</v>
      </c>
      <c r="DP27" s="10">
        <v>24.015419999999999</v>
      </c>
      <c r="DQ27" s="10">
        <v>103.9141</v>
      </c>
      <c r="DR27" s="10">
        <v>40.275219999999997</v>
      </c>
      <c r="DS27" s="10">
        <v>20.542480000000001</v>
      </c>
      <c r="DT27" s="10">
        <v>16.34817</v>
      </c>
      <c r="DU27" s="10">
        <v>31.634219999999999</v>
      </c>
      <c r="DV27" s="15">
        <v>33.216369999999998</v>
      </c>
      <c r="DW27" s="10">
        <v>70.096000000000004</v>
      </c>
      <c r="DX27" s="10">
        <v>107.3338</v>
      </c>
      <c r="DY27" s="10">
        <v>45.865850000000002</v>
      </c>
      <c r="DZ27" s="10">
        <v>8.6765919999999994</v>
      </c>
      <c r="EA27" s="9">
        <v>2760.17</v>
      </c>
    </row>
    <row r="28" spans="1:131" ht="15.75">
      <c r="A28" s="8">
        <v>43435</v>
      </c>
      <c r="B28" s="10">
        <v>119.967</v>
      </c>
      <c r="C28" s="10">
        <v>37.24344</v>
      </c>
      <c r="D28" s="10">
        <v>109.6391</v>
      </c>
      <c r="E28" s="10">
        <v>79.853870000000001</v>
      </c>
      <c r="F28" s="10">
        <v>66.545199999999994</v>
      </c>
      <c r="G28" s="10">
        <v>179.8235</v>
      </c>
      <c r="H28" s="10">
        <v>47.251019999999997</v>
      </c>
      <c r="I28" s="10">
        <v>222.15260000000001</v>
      </c>
      <c r="J28" s="10">
        <v>299.93</v>
      </c>
      <c r="K28" s="10">
        <v>186.02</v>
      </c>
      <c r="L28" s="10">
        <v>119.8</v>
      </c>
      <c r="M28" s="10">
        <v>65.999790000000004</v>
      </c>
      <c r="N28" s="10">
        <v>116.17</v>
      </c>
      <c r="O28" s="10">
        <v>565.58000000000004</v>
      </c>
      <c r="P28" s="10">
        <v>238.4442</v>
      </c>
      <c r="Q28" s="10">
        <v>60.232930000000003</v>
      </c>
      <c r="R28" s="10">
        <v>253.16229999999999</v>
      </c>
      <c r="S28" s="10">
        <v>373.5</v>
      </c>
      <c r="T28" s="10">
        <v>69.245739999999998</v>
      </c>
      <c r="U28" s="10">
        <v>85.257090000000005</v>
      </c>
      <c r="V28" s="10">
        <v>151.5934</v>
      </c>
      <c r="W28" s="10">
        <v>31.18</v>
      </c>
      <c r="X28" s="10">
        <v>84.151380000000003</v>
      </c>
      <c r="Y28" s="10">
        <v>27.002949999999998</v>
      </c>
      <c r="Z28" s="10">
        <v>216.6944</v>
      </c>
      <c r="AA28" s="10">
        <v>478.92</v>
      </c>
      <c r="AB28" s="10">
        <v>110.8669</v>
      </c>
      <c r="AC28" s="10">
        <v>63.741970000000002</v>
      </c>
      <c r="AD28" s="10">
        <v>98.397260000000003</v>
      </c>
      <c r="AE28" s="10">
        <v>226.24</v>
      </c>
      <c r="AF28" s="10">
        <v>43.112870000000001</v>
      </c>
      <c r="AG28" s="10">
        <v>84.24</v>
      </c>
      <c r="AH28" s="10">
        <v>70.430000000000007</v>
      </c>
      <c r="AI28" s="10">
        <v>148.29</v>
      </c>
      <c r="AJ28" s="10">
        <v>61.08</v>
      </c>
      <c r="AK28" s="10">
        <v>10.337630000000001</v>
      </c>
      <c r="AL28" s="10">
        <v>162.03</v>
      </c>
      <c r="AM28" s="10">
        <v>33.165500000000002</v>
      </c>
      <c r="AN28" s="10">
        <v>43.850450000000002</v>
      </c>
      <c r="AO28" s="10">
        <v>226.4966</v>
      </c>
      <c r="AP28" s="10">
        <v>87.779849999999996</v>
      </c>
      <c r="AQ28" s="10">
        <v>52.175289999999997</v>
      </c>
      <c r="AR28" s="10">
        <v>18.46</v>
      </c>
      <c r="AS28" s="10">
        <v>31.68571</v>
      </c>
      <c r="AT28" s="10">
        <v>81.359309999999994</v>
      </c>
      <c r="AU28" s="10">
        <v>70.652029999999996</v>
      </c>
      <c r="AV28" s="10">
        <v>69.187389999999994</v>
      </c>
      <c r="AW28" s="10">
        <v>82.728710000000007</v>
      </c>
      <c r="AX28" s="10">
        <v>64.130570000000006</v>
      </c>
      <c r="AY28" s="10">
        <v>38.338479999999997</v>
      </c>
      <c r="AZ28" s="10">
        <v>136.97</v>
      </c>
      <c r="BA28" s="10">
        <v>178.05</v>
      </c>
      <c r="BB28" s="10">
        <v>58.853189999999998</v>
      </c>
      <c r="BC28" s="10">
        <v>62.08</v>
      </c>
      <c r="BD28" s="10">
        <v>56.014200000000002</v>
      </c>
      <c r="BE28" s="10">
        <v>18.57695</v>
      </c>
      <c r="BF28" s="10">
        <v>99.434970000000007</v>
      </c>
      <c r="BG28" s="10">
        <v>1501.97</v>
      </c>
      <c r="BH28" s="10">
        <v>27.029219999999999</v>
      </c>
      <c r="BI28" s="10">
        <v>47.57</v>
      </c>
      <c r="BJ28" s="10">
        <v>31.383240000000001</v>
      </c>
      <c r="BK28" s="10">
        <v>166.2953</v>
      </c>
      <c r="BL28" s="10">
        <v>61.19117</v>
      </c>
      <c r="BM28" s="10">
        <v>94.467550000000003</v>
      </c>
      <c r="BN28" s="10">
        <v>72.257769999999994</v>
      </c>
      <c r="BO28" s="10">
        <v>160.72710000000001</v>
      </c>
      <c r="BP28" s="10">
        <v>76.108530000000002</v>
      </c>
      <c r="BQ28" s="10">
        <v>44.993969999999997</v>
      </c>
      <c r="BR28" s="10">
        <v>8.1848880000000008</v>
      </c>
      <c r="BS28" s="10">
        <v>1722.42</v>
      </c>
      <c r="BT28" s="10">
        <v>46.795430000000003</v>
      </c>
      <c r="BU28" s="10">
        <v>87.586870000000005</v>
      </c>
      <c r="BV28" s="10">
        <v>241.398</v>
      </c>
      <c r="BW28" s="10">
        <v>19.247689999999999</v>
      </c>
      <c r="BX28" s="10">
        <v>80.595219999999998</v>
      </c>
      <c r="BY28" s="10">
        <v>154.20160000000001</v>
      </c>
      <c r="BZ28" s="10">
        <v>85.637559999999993</v>
      </c>
      <c r="CA28" s="10">
        <v>43.35445</v>
      </c>
      <c r="CB28" s="10">
        <v>101.1798</v>
      </c>
      <c r="CC28" s="10">
        <v>56.0839</v>
      </c>
      <c r="CD28" s="10">
        <v>47.740859999999998</v>
      </c>
      <c r="CE28" s="10">
        <v>132.27799999999999</v>
      </c>
      <c r="CF28" s="10">
        <v>63.110030000000002</v>
      </c>
      <c r="CG28" s="10">
        <v>127.27370000000001</v>
      </c>
      <c r="CH28" s="10">
        <v>37.485770000000002</v>
      </c>
      <c r="CI28" s="10">
        <v>121.1481</v>
      </c>
      <c r="CJ28" s="10">
        <v>55.76699</v>
      </c>
      <c r="CK28" s="10">
        <v>37.500450000000001</v>
      </c>
      <c r="CL28" s="10">
        <v>57.974580000000003</v>
      </c>
      <c r="CM28" s="10">
        <v>40.368099999999998</v>
      </c>
      <c r="CN28" s="10">
        <v>51.485529999999997</v>
      </c>
      <c r="CO28" s="10">
        <v>66.855080000000001</v>
      </c>
      <c r="CP28" s="10">
        <v>63.589579999999998</v>
      </c>
      <c r="CQ28" s="10">
        <v>144.36519999999999</v>
      </c>
      <c r="CR28" s="10">
        <v>30.219799999999999</v>
      </c>
      <c r="CS28" s="10">
        <v>16.182880000000001</v>
      </c>
      <c r="CT28" s="10">
        <v>31.64</v>
      </c>
      <c r="CU28" s="10">
        <v>15.51</v>
      </c>
      <c r="CV28" s="10">
        <v>89.710430000000002</v>
      </c>
      <c r="CW28" s="10">
        <v>154.74930000000001</v>
      </c>
      <c r="CX28" s="10">
        <v>4.25</v>
      </c>
      <c r="CY28" s="10">
        <v>16.33333</v>
      </c>
      <c r="CZ28" s="10">
        <v>26.46</v>
      </c>
      <c r="DA28" s="10">
        <v>20.329999999999998</v>
      </c>
      <c r="DB28" s="10">
        <v>24.97</v>
      </c>
      <c r="DC28" s="10">
        <v>33.36477</v>
      </c>
      <c r="DD28" s="10">
        <v>2.8704589999999999</v>
      </c>
      <c r="DE28" s="10">
        <v>81.405209999999997</v>
      </c>
      <c r="DF28" s="10">
        <v>37.07</v>
      </c>
      <c r="DG28" s="10">
        <v>4.6500000000000004</v>
      </c>
      <c r="DH28" s="10">
        <v>51.08</v>
      </c>
      <c r="DI28" s="10">
        <v>57.532850000000003</v>
      </c>
      <c r="DJ28" s="10">
        <v>95.095699999999994</v>
      </c>
      <c r="DK28" s="10">
        <v>57.212719999999997</v>
      </c>
      <c r="DL28" s="10">
        <v>124.5835</v>
      </c>
      <c r="DM28" s="10">
        <v>81.180440000000004</v>
      </c>
      <c r="DN28" s="10">
        <v>38.365450000000003</v>
      </c>
      <c r="DO28" s="10">
        <v>54.953989999999997</v>
      </c>
      <c r="DP28" s="10">
        <v>20.02618</v>
      </c>
      <c r="DQ28" s="10">
        <v>87.367090000000005</v>
      </c>
      <c r="DR28" s="10">
        <v>32.220179999999999</v>
      </c>
      <c r="DS28" s="10">
        <v>19.505890000000001</v>
      </c>
      <c r="DT28" s="10">
        <v>13.937709999999999</v>
      </c>
      <c r="DU28" s="10">
        <v>25.319199999999999</v>
      </c>
      <c r="DV28" s="15">
        <v>24.820091000000001</v>
      </c>
      <c r="DW28" s="10">
        <v>66.56</v>
      </c>
      <c r="DX28" s="10">
        <v>97.383899999999997</v>
      </c>
      <c r="DY28" s="10">
        <v>42.078130000000002</v>
      </c>
      <c r="DZ28" s="10">
        <v>7.0537650000000003</v>
      </c>
      <c r="EA28" s="9">
        <v>2506.85</v>
      </c>
    </row>
    <row r="29" spans="1:131" ht="15.75">
      <c r="A29" s="8">
        <v>43466</v>
      </c>
      <c r="B29" s="10">
        <v>123.71339999999999</v>
      </c>
      <c r="C29" s="10">
        <v>36.219569999999997</v>
      </c>
      <c r="D29" s="10">
        <v>113.5615</v>
      </c>
      <c r="E29" s="10">
        <v>69.546220000000005</v>
      </c>
      <c r="F29" s="10">
        <v>65.275220000000004</v>
      </c>
      <c r="G29" s="10">
        <v>172.84010000000001</v>
      </c>
      <c r="H29" s="10">
        <v>44.87847</v>
      </c>
      <c r="I29" s="10">
        <v>244.0444</v>
      </c>
      <c r="J29" s="10">
        <v>279.79000000000002</v>
      </c>
      <c r="K29" s="10">
        <v>212.78</v>
      </c>
      <c r="L29" s="10">
        <v>141.03</v>
      </c>
      <c r="M29" s="10">
        <v>74.587869999999995</v>
      </c>
      <c r="N29" s="10">
        <v>129.01</v>
      </c>
      <c r="O29" s="10">
        <v>638.16</v>
      </c>
      <c r="P29" s="10">
        <v>258.62079999999997</v>
      </c>
      <c r="Q29" s="10">
        <v>60.260509999999996</v>
      </c>
      <c r="R29" s="10">
        <v>292.81830000000002</v>
      </c>
      <c r="S29" s="10">
        <v>429.27</v>
      </c>
      <c r="T29" s="10">
        <v>69.868030000000005</v>
      </c>
      <c r="U29" s="10">
        <v>83.318089999999998</v>
      </c>
      <c r="V29" s="10">
        <v>172.30799999999999</v>
      </c>
      <c r="W29" s="10">
        <v>36.93</v>
      </c>
      <c r="X29" s="10">
        <v>84.761330000000001</v>
      </c>
      <c r="Y29" s="10">
        <v>29.515999999999998</v>
      </c>
      <c r="Z29" s="10">
        <v>240.67850000000001</v>
      </c>
      <c r="AA29" s="10">
        <v>523.64</v>
      </c>
      <c r="AB29" s="10">
        <v>92.660110000000003</v>
      </c>
      <c r="AC29" s="10">
        <v>70.201390000000004</v>
      </c>
      <c r="AD29" s="10">
        <v>101.1679</v>
      </c>
      <c r="AE29" s="10">
        <v>247.82</v>
      </c>
      <c r="AF29" s="10">
        <v>47.96367</v>
      </c>
      <c r="AG29" s="10">
        <v>93.35</v>
      </c>
      <c r="AH29" s="10">
        <v>76.569999999999993</v>
      </c>
      <c r="AI29" s="10">
        <v>169.27</v>
      </c>
      <c r="AJ29" s="10">
        <v>65.099999999999994</v>
      </c>
      <c r="AK29" s="10">
        <v>11.497199999999999</v>
      </c>
      <c r="AL29" s="10">
        <v>160.94999999999999</v>
      </c>
      <c r="AM29" s="10">
        <v>35.711910000000003</v>
      </c>
      <c r="AN29" s="10">
        <v>44.027990000000003</v>
      </c>
      <c r="AO29" s="10">
        <v>241.4581</v>
      </c>
      <c r="AP29" s="10">
        <v>93.520390000000006</v>
      </c>
      <c r="AQ29" s="10">
        <v>45.892980000000001</v>
      </c>
      <c r="AR29" s="10">
        <v>24.41</v>
      </c>
      <c r="AS29" s="10">
        <v>38.166649999999997</v>
      </c>
      <c r="AT29" s="10">
        <v>93.710620000000006</v>
      </c>
      <c r="AU29" s="10">
        <v>84.172799999999995</v>
      </c>
      <c r="AV29" s="10">
        <v>77.316339999999997</v>
      </c>
      <c r="AW29" s="10">
        <v>108.73139999999999</v>
      </c>
      <c r="AX29" s="10">
        <v>69.891019999999997</v>
      </c>
      <c r="AY29" s="10">
        <v>40.453000000000003</v>
      </c>
      <c r="AZ29" s="10">
        <v>151.97</v>
      </c>
      <c r="BA29" s="10">
        <v>220.02</v>
      </c>
      <c r="BB29" s="10">
        <v>64.818190000000001</v>
      </c>
      <c r="BC29" s="10">
        <v>74.02</v>
      </c>
      <c r="BD29" s="10">
        <v>62.082549999999998</v>
      </c>
      <c r="BE29" s="10">
        <v>20.145399999999999</v>
      </c>
      <c r="BF29" s="10">
        <v>117.5864</v>
      </c>
      <c r="BG29" s="10">
        <v>1718.73</v>
      </c>
      <c r="BH29" s="10">
        <v>32.402340000000002</v>
      </c>
      <c r="BI29" s="10">
        <v>54.65</v>
      </c>
      <c r="BJ29" s="10">
        <v>36.994030000000002</v>
      </c>
      <c r="BK29" s="10">
        <v>167.42850000000001</v>
      </c>
      <c r="BL29" s="10">
        <v>64.744820000000004</v>
      </c>
      <c r="BM29" s="10">
        <v>99.263769999999994</v>
      </c>
      <c r="BN29" s="10">
        <v>79.801259999999999</v>
      </c>
      <c r="BO29" s="10">
        <v>171.68119999999999</v>
      </c>
      <c r="BP29" s="10">
        <v>86.746840000000006</v>
      </c>
      <c r="BQ29" s="10">
        <v>51.158859999999997</v>
      </c>
      <c r="BR29" s="10">
        <v>8.5281249999999993</v>
      </c>
      <c r="BS29" s="10">
        <v>1832.81</v>
      </c>
      <c r="BT29" s="10">
        <v>54.654789999999998</v>
      </c>
      <c r="BU29" s="10">
        <v>89.549779999999998</v>
      </c>
      <c r="BV29" s="10">
        <v>276.79770000000002</v>
      </c>
      <c r="BW29" s="10">
        <v>20.874790000000001</v>
      </c>
      <c r="BX29" s="10">
        <v>82.488399999999999</v>
      </c>
      <c r="BY29" s="10">
        <v>155.96549999999999</v>
      </c>
      <c r="BZ29" s="10">
        <v>89.876580000000004</v>
      </c>
      <c r="CA29" s="10">
        <v>44.068640000000002</v>
      </c>
      <c r="CB29" s="10">
        <v>104.0048</v>
      </c>
      <c r="CC29" s="10">
        <v>65.443600000000004</v>
      </c>
      <c r="CD29" s="10">
        <v>48.060650000000003</v>
      </c>
      <c r="CE29" s="10">
        <v>142.39940000000001</v>
      </c>
      <c r="CF29" s="10">
        <v>73.303929999999994</v>
      </c>
      <c r="CG29" s="10">
        <v>133.4564</v>
      </c>
      <c r="CH29" s="10">
        <v>43.601590000000002</v>
      </c>
      <c r="CI29" s="10">
        <v>132.26669999999999</v>
      </c>
      <c r="CJ29" s="10">
        <v>60.601640000000003</v>
      </c>
      <c r="CK29" s="10">
        <v>41.87433</v>
      </c>
      <c r="CL29" s="10">
        <v>59.075609999999998</v>
      </c>
      <c r="CM29" s="10">
        <v>40.0276</v>
      </c>
      <c r="CN29" s="10">
        <v>53.291730000000001</v>
      </c>
      <c r="CO29" s="10">
        <v>59.607489999999999</v>
      </c>
      <c r="CP29" s="10">
        <v>62.477550000000001</v>
      </c>
      <c r="CQ29" s="10">
        <v>138.97049999999999</v>
      </c>
      <c r="CR29" s="10">
        <v>32.454909999999998</v>
      </c>
      <c r="CS29" s="10">
        <v>18.463619999999999</v>
      </c>
      <c r="CT29" s="10">
        <v>33.72</v>
      </c>
      <c r="CU29" s="10">
        <v>20.260000000000002</v>
      </c>
      <c r="CV29" s="10">
        <v>96.949449999999999</v>
      </c>
      <c r="CW29" s="10">
        <v>170.8433</v>
      </c>
      <c r="CX29" s="10">
        <v>4.9400000000000004</v>
      </c>
      <c r="CY29" s="10">
        <v>20.28</v>
      </c>
      <c r="CZ29" s="10">
        <v>31.06</v>
      </c>
      <c r="DA29" s="10">
        <v>23.76</v>
      </c>
      <c r="DB29" s="10">
        <v>34.15</v>
      </c>
      <c r="DC29" s="10">
        <v>36.636969999999998</v>
      </c>
      <c r="DD29" s="10">
        <v>2.889405</v>
      </c>
      <c r="DE29" s="10">
        <v>89.695629999999994</v>
      </c>
      <c r="DF29" s="10">
        <v>44.51</v>
      </c>
      <c r="DG29" s="10">
        <v>4.95</v>
      </c>
      <c r="DH29" s="10">
        <v>56.12</v>
      </c>
      <c r="DI29" s="10">
        <v>61.827350000000003</v>
      </c>
      <c r="DJ29" s="10">
        <v>100.21810000000001</v>
      </c>
      <c r="DK29" s="10">
        <v>62.112720000000003</v>
      </c>
      <c r="DL29" s="10">
        <v>134.81389999999999</v>
      </c>
      <c r="DM29" s="10">
        <v>92.341449999999995</v>
      </c>
      <c r="DN29" s="10">
        <v>51.400069999999999</v>
      </c>
      <c r="DO29" s="10">
        <v>60.487409999999997</v>
      </c>
      <c r="DP29" s="10">
        <v>23.747440000000001</v>
      </c>
      <c r="DQ29" s="10">
        <v>97.187640000000002</v>
      </c>
      <c r="DR29" s="10">
        <v>39.911439999999999</v>
      </c>
      <c r="DS29" s="10">
        <v>21.383900000000001</v>
      </c>
      <c r="DT29" s="10">
        <v>16.343710000000002</v>
      </c>
      <c r="DU29" s="10">
        <v>29.089099999999998</v>
      </c>
      <c r="DV29" s="15">
        <v>31.032204</v>
      </c>
      <c r="DW29" s="10">
        <v>61.404000000000003</v>
      </c>
      <c r="DX29" s="10">
        <v>123.6885</v>
      </c>
      <c r="DY29" s="10">
        <v>48.984670000000001</v>
      </c>
      <c r="DZ29" s="10">
        <v>8.1141349999999992</v>
      </c>
      <c r="EA29" s="9">
        <v>2704.1</v>
      </c>
    </row>
    <row r="30" spans="1:131" ht="15.75">
      <c r="A30" s="8">
        <v>43497</v>
      </c>
      <c r="B30" s="10">
        <v>127.0228</v>
      </c>
      <c r="C30" s="10">
        <v>37.310510000000001</v>
      </c>
      <c r="D30" s="10">
        <v>119.6537</v>
      </c>
      <c r="E30" s="10">
        <v>69.478549999999998</v>
      </c>
      <c r="F30" s="10">
        <v>71.291470000000004</v>
      </c>
      <c r="G30" s="10">
        <v>175.58359999999999</v>
      </c>
      <c r="H30" s="10">
        <v>47.330249999999999</v>
      </c>
      <c r="I30" s="10">
        <v>257.85239999999999</v>
      </c>
      <c r="J30" s="10">
        <v>312.77</v>
      </c>
      <c r="K30" s="10">
        <v>211.03</v>
      </c>
      <c r="L30" s="10">
        <v>139.33000000000001</v>
      </c>
      <c r="M30" s="10">
        <v>77.912679999999995</v>
      </c>
      <c r="N30" s="10">
        <v>140.1</v>
      </c>
      <c r="O30" s="10">
        <v>680.91</v>
      </c>
      <c r="P30" s="10">
        <v>231.8399</v>
      </c>
      <c r="Q30" s="10">
        <v>53.568620000000003</v>
      </c>
      <c r="R30" s="10">
        <v>290.62459999999999</v>
      </c>
      <c r="S30" s="10">
        <v>430.74</v>
      </c>
      <c r="T30" s="10">
        <v>74.654740000000004</v>
      </c>
      <c r="U30" s="10">
        <v>85.307010000000005</v>
      </c>
      <c r="V30" s="10">
        <v>182.9238</v>
      </c>
      <c r="W30" s="10">
        <v>43.22</v>
      </c>
      <c r="X30" s="10">
        <v>92.883390000000006</v>
      </c>
      <c r="Y30" s="10">
        <v>26.007580000000001</v>
      </c>
      <c r="Z30" s="10">
        <v>240.03200000000001</v>
      </c>
      <c r="AA30" s="10">
        <v>547.61</v>
      </c>
      <c r="AB30" s="10">
        <v>99.728650000000002</v>
      </c>
      <c r="AC30" s="10">
        <v>72.370689999999996</v>
      </c>
      <c r="AD30" s="10">
        <v>108.5305</v>
      </c>
      <c r="AE30" s="10">
        <v>262.5</v>
      </c>
      <c r="AF30" s="10">
        <v>49.975029999999997</v>
      </c>
      <c r="AG30" s="10">
        <v>101.68</v>
      </c>
      <c r="AH30" s="10">
        <v>86.79</v>
      </c>
      <c r="AI30" s="10">
        <v>178.04</v>
      </c>
      <c r="AJ30" s="10">
        <v>69.66</v>
      </c>
      <c r="AK30" s="10">
        <v>12.30123</v>
      </c>
      <c r="AL30" s="10">
        <v>168.14</v>
      </c>
      <c r="AM30" s="10">
        <v>38.32291</v>
      </c>
      <c r="AN30" s="10">
        <v>49.484769999999997</v>
      </c>
      <c r="AO30" s="10">
        <v>247.8579</v>
      </c>
      <c r="AP30" s="10">
        <v>99.00994</v>
      </c>
      <c r="AQ30" s="10">
        <v>49.479529999999997</v>
      </c>
      <c r="AR30" s="10">
        <v>23.53</v>
      </c>
      <c r="AS30" s="10">
        <v>40.822940000000003</v>
      </c>
      <c r="AT30" s="10">
        <v>101.3887</v>
      </c>
      <c r="AU30" s="10">
        <v>88.321960000000004</v>
      </c>
      <c r="AV30" s="10">
        <v>83.569379999999995</v>
      </c>
      <c r="AW30" s="10">
        <v>121.7085</v>
      </c>
      <c r="AX30" s="10">
        <v>78.139399999999995</v>
      </c>
      <c r="AY30" s="10">
        <v>42.083860000000001</v>
      </c>
      <c r="AZ30" s="10">
        <v>163.65</v>
      </c>
      <c r="BA30" s="10">
        <v>239.44</v>
      </c>
      <c r="BB30" s="10">
        <v>78.675669999999997</v>
      </c>
      <c r="BC30" s="10">
        <v>84.41</v>
      </c>
      <c r="BD30" s="10">
        <v>67.53</v>
      </c>
      <c r="BE30" s="10">
        <v>18.042159999999999</v>
      </c>
      <c r="BF30" s="10">
        <v>120.8318</v>
      </c>
      <c r="BG30" s="10">
        <v>1639.83</v>
      </c>
      <c r="BH30" s="10">
        <v>35.772559999999999</v>
      </c>
      <c r="BI30" s="10">
        <v>71.27</v>
      </c>
      <c r="BJ30" s="10">
        <v>37.430140000000002</v>
      </c>
      <c r="BK30" s="10">
        <v>172.16720000000001</v>
      </c>
      <c r="BL30" s="10">
        <v>66.759190000000004</v>
      </c>
      <c r="BM30" s="10">
        <v>106.8145</v>
      </c>
      <c r="BN30" s="10">
        <v>83.553510000000003</v>
      </c>
      <c r="BO30" s="10">
        <v>173.18719999999999</v>
      </c>
      <c r="BP30" s="10">
        <v>87.914869999999993</v>
      </c>
      <c r="BQ30" s="10">
        <v>53.605249999999998</v>
      </c>
      <c r="BR30" s="10">
        <v>9.4170200000000008</v>
      </c>
      <c r="BS30" s="10">
        <v>1697.04</v>
      </c>
      <c r="BT30" s="10">
        <v>54.82564</v>
      </c>
      <c r="BU30" s="10">
        <v>90.045249999999996</v>
      </c>
      <c r="BV30" s="10">
        <v>244.80889999999999</v>
      </c>
      <c r="BW30" s="10">
        <v>19.600100000000001</v>
      </c>
      <c r="BX30" s="10">
        <v>92.099170000000001</v>
      </c>
      <c r="BY30" s="10">
        <v>158.4931</v>
      </c>
      <c r="BZ30" s="10">
        <v>92.540620000000004</v>
      </c>
      <c r="CA30" s="10">
        <v>41.514069999999997</v>
      </c>
      <c r="CB30" s="10">
        <v>106.74639999999999</v>
      </c>
      <c r="CC30" s="10">
        <v>74.161450000000002</v>
      </c>
      <c r="CD30" s="10">
        <v>48.636279999999999</v>
      </c>
      <c r="CE30" s="10">
        <v>144.38640000000001</v>
      </c>
      <c r="CF30" s="10">
        <v>74.953360000000004</v>
      </c>
      <c r="CG30" s="10">
        <v>153.53059999999999</v>
      </c>
      <c r="CH30" s="10">
        <v>44.449860000000001</v>
      </c>
      <c r="CI30" s="10">
        <v>136.97380000000001</v>
      </c>
      <c r="CJ30" s="10">
        <v>62.133270000000003</v>
      </c>
      <c r="CK30" s="10">
        <v>28.918209999999998</v>
      </c>
      <c r="CL30" s="10">
        <v>62.894240000000003</v>
      </c>
      <c r="CM30" s="10">
        <v>41.211370000000002</v>
      </c>
      <c r="CN30" s="10">
        <v>50.808210000000003</v>
      </c>
      <c r="CO30" s="10">
        <v>65.556659999999994</v>
      </c>
      <c r="CP30" s="10">
        <v>63.628270000000001</v>
      </c>
      <c r="CQ30" s="10">
        <v>148.9348</v>
      </c>
      <c r="CR30" s="10">
        <v>33.341749999999998</v>
      </c>
      <c r="CS30" s="10">
        <v>14.12846</v>
      </c>
      <c r="CT30" s="10">
        <v>35.24</v>
      </c>
      <c r="CU30" s="10">
        <v>19.670000000000002</v>
      </c>
      <c r="CV30" s="10">
        <v>101.3646</v>
      </c>
      <c r="CW30" s="10">
        <v>174.14330000000001</v>
      </c>
      <c r="CX30" s="10">
        <v>6.39</v>
      </c>
      <c r="CY30" s="10">
        <v>21.56</v>
      </c>
      <c r="CZ30" s="10">
        <v>34.54</v>
      </c>
      <c r="DA30" s="10">
        <v>24.02</v>
      </c>
      <c r="DB30" s="10">
        <v>28.89</v>
      </c>
      <c r="DC30" s="10">
        <v>33.919879999999999</v>
      </c>
      <c r="DD30" s="10">
        <v>3.4293930000000001</v>
      </c>
      <c r="DE30" s="10">
        <v>99.488069999999993</v>
      </c>
      <c r="DF30" s="10">
        <v>42.98</v>
      </c>
      <c r="DG30" s="10">
        <v>6.5</v>
      </c>
      <c r="DH30" s="10">
        <v>61.76</v>
      </c>
      <c r="DI30" s="10">
        <v>66.678700000000006</v>
      </c>
      <c r="DJ30" s="10">
        <v>104.5275</v>
      </c>
      <c r="DK30" s="10">
        <v>62.259549999999997</v>
      </c>
      <c r="DL30" s="10">
        <v>133.5162</v>
      </c>
      <c r="DM30" s="10">
        <v>87.696669999999997</v>
      </c>
      <c r="DN30" s="10">
        <v>55.064700000000002</v>
      </c>
      <c r="DO30" s="10">
        <v>59.916780000000003</v>
      </c>
      <c r="DP30" s="10">
        <v>26.295940000000002</v>
      </c>
      <c r="DQ30" s="10">
        <v>97.008579999999995</v>
      </c>
      <c r="DR30" s="10">
        <v>39.776029999999999</v>
      </c>
      <c r="DS30" s="10">
        <v>23.93327</v>
      </c>
      <c r="DT30" s="10">
        <v>15.86678</v>
      </c>
      <c r="DU30" s="10">
        <v>27.766870000000001</v>
      </c>
      <c r="DV30" s="15">
        <v>31.622055</v>
      </c>
      <c r="DW30" s="10">
        <v>63.975999999999999</v>
      </c>
      <c r="DX30" s="10">
        <v>125.608</v>
      </c>
      <c r="DY30" s="10">
        <v>48.81803</v>
      </c>
      <c r="DZ30" s="10">
        <v>8.2273530000000008</v>
      </c>
      <c r="EA30" s="9">
        <v>2784.49</v>
      </c>
    </row>
    <row r="31" spans="1:131" ht="15.75">
      <c r="A31" s="8">
        <v>43525</v>
      </c>
      <c r="B31" s="10">
        <v>130.81299999999999</v>
      </c>
      <c r="C31" s="10">
        <v>36.553100000000001</v>
      </c>
      <c r="D31" s="10">
        <v>123.60760000000001</v>
      </c>
      <c r="E31" s="10">
        <v>70.662260000000003</v>
      </c>
      <c r="F31" s="10">
        <v>72.940209999999993</v>
      </c>
      <c r="G31" s="10">
        <v>176.84819999999999</v>
      </c>
      <c r="H31" s="10">
        <v>43.711309999999997</v>
      </c>
      <c r="I31" s="10">
        <v>271.90879999999999</v>
      </c>
      <c r="J31" s="10">
        <v>310.69</v>
      </c>
      <c r="K31" s="10">
        <v>223.6</v>
      </c>
      <c r="L31" s="10">
        <v>119.1</v>
      </c>
      <c r="M31" s="10">
        <v>78.834609999999998</v>
      </c>
      <c r="N31" s="10">
        <v>143.85</v>
      </c>
      <c r="O31" s="10">
        <v>723</v>
      </c>
      <c r="P31" s="10">
        <v>236.66380000000001</v>
      </c>
      <c r="Q31" s="10">
        <v>49.956000000000003</v>
      </c>
      <c r="R31" s="10">
        <v>277.33659999999998</v>
      </c>
      <c r="S31" s="10">
        <v>410.62</v>
      </c>
      <c r="T31" s="10">
        <v>76.886120000000005</v>
      </c>
      <c r="U31" s="10">
        <v>85.853719999999996</v>
      </c>
      <c r="V31" s="10">
        <v>191.66679999999999</v>
      </c>
      <c r="W31" s="10">
        <v>40.590000000000003</v>
      </c>
      <c r="X31" s="10">
        <v>99.231350000000006</v>
      </c>
      <c r="Y31" s="10">
        <v>27.929320000000001</v>
      </c>
      <c r="Z31" s="10">
        <v>240.93889999999999</v>
      </c>
      <c r="AA31" s="10">
        <v>570.58000000000004</v>
      </c>
      <c r="AB31" s="10">
        <v>101.6232</v>
      </c>
      <c r="AC31" s="10">
        <v>78.942750000000004</v>
      </c>
      <c r="AD31" s="10">
        <v>114.7439</v>
      </c>
      <c r="AE31" s="10">
        <v>266.49</v>
      </c>
      <c r="AF31" s="10">
        <v>51.489699999999999</v>
      </c>
      <c r="AG31" s="10">
        <v>115.15</v>
      </c>
      <c r="AH31" s="10">
        <v>83.97</v>
      </c>
      <c r="AI31" s="10">
        <v>181.56</v>
      </c>
      <c r="AJ31" s="10">
        <v>71.709999999999994</v>
      </c>
      <c r="AK31" s="10">
        <v>12.61575</v>
      </c>
      <c r="AL31" s="10">
        <v>156.93</v>
      </c>
      <c r="AM31" s="10">
        <v>44.65419</v>
      </c>
      <c r="AN31" s="10">
        <v>50.494259999999997</v>
      </c>
      <c r="AO31" s="10">
        <v>270.67610000000002</v>
      </c>
      <c r="AP31" s="10">
        <v>99.281369999999995</v>
      </c>
      <c r="AQ31" s="10">
        <v>52.852930000000001</v>
      </c>
      <c r="AR31" s="10">
        <v>25.52</v>
      </c>
      <c r="AS31" s="10">
        <v>41.272309999999997</v>
      </c>
      <c r="AT31" s="10">
        <v>100.298</v>
      </c>
      <c r="AU31" s="10">
        <v>85.488169999999997</v>
      </c>
      <c r="AV31" s="10">
        <v>80.130439999999993</v>
      </c>
      <c r="AW31" s="10">
        <v>123.5594</v>
      </c>
      <c r="AX31" s="10">
        <v>79.289609999999996</v>
      </c>
      <c r="AY31" s="10">
        <v>46.365070000000003</v>
      </c>
      <c r="AZ31" s="10">
        <v>158.37</v>
      </c>
      <c r="BA31" s="10">
        <v>246.49</v>
      </c>
      <c r="BB31" s="10">
        <v>80.905609999999996</v>
      </c>
      <c r="BC31" s="10">
        <v>87.2</v>
      </c>
      <c r="BD31" s="10">
        <v>69.5107</v>
      </c>
      <c r="BE31" s="10">
        <v>17.76782</v>
      </c>
      <c r="BF31" s="10">
        <v>124.86799999999999</v>
      </c>
      <c r="BG31" s="10">
        <v>1780.75</v>
      </c>
      <c r="BH31" s="10">
        <v>35.896659999999997</v>
      </c>
      <c r="BI31" s="10">
        <v>67.22</v>
      </c>
      <c r="BJ31" s="10">
        <v>35.17371</v>
      </c>
      <c r="BK31" s="10">
        <v>178.97470000000001</v>
      </c>
      <c r="BL31" s="10">
        <v>71.004519999999999</v>
      </c>
      <c r="BM31" s="10">
        <v>115.7324</v>
      </c>
      <c r="BN31" s="10">
        <v>82.072109999999995</v>
      </c>
      <c r="BO31" s="10">
        <v>179.50139999999999</v>
      </c>
      <c r="BP31" s="10">
        <v>91.400559999999999</v>
      </c>
      <c r="BQ31" s="10">
        <v>56.721400000000003</v>
      </c>
      <c r="BR31" s="10">
        <v>9.4610269999999996</v>
      </c>
      <c r="BS31" s="10">
        <v>1744.91</v>
      </c>
      <c r="BT31" s="10">
        <v>48.555840000000003</v>
      </c>
      <c r="BU31" s="10">
        <v>95.531549999999996</v>
      </c>
      <c r="BV31" s="10">
        <v>251.79390000000001</v>
      </c>
      <c r="BW31" s="10">
        <v>20.908090000000001</v>
      </c>
      <c r="BX31" s="10">
        <v>94.729709999999997</v>
      </c>
      <c r="BY31" s="10">
        <v>167.06530000000001</v>
      </c>
      <c r="BZ31" s="10">
        <v>97.70523</v>
      </c>
      <c r="CA31" s="10">
        <v>42.905810000000002</v>
      </c>
      <c r="CB31" s="10">
        <v>114.04219999999999</v>
      </c>
      <c r="CC31" s="10">
        <v>75.398330000000001</v>
      </c>
      <c r="CD31" s="10">
        <v>53.167870000000001</v>
      </c>
      <c r="CE31" s="10">
        <v>153.97540000000001</v>
      </c>
      <c r="CF31" s="10">
        <v>80.524990000000003</v>
      </c>
      <c r="CG31" s="10">
        <v>162.4</v>
      </c>
      <c r="CH31" s="10">
        <v>47.051250000000003</v>
      </c>
      <c r="CI31" s="10">
        <v>138.16730000000001</v>
      </c>
      <c r="CJ31" s="10">
        <v>64.651799999999994</v>
      </c>
      <c r="CK31" s="10">
        <v>28.44772</v>
      </c>
      <c r="CL31" s="10">
        <v>62.158700000000003</v>
      </c>
      <c r="CM31" s="10">
        <v>42.542000000000002</v>
      </c>
      <c r="CN31" s="10">
        <v>51.819679999999998</v>
      </c>
      <c r="CO31" s="10">
        <v>72.619510000000005</v>
      </c>
      <c r="CP31" s="10">
        <v>69.122190000000003</v>
      </c>
      <c r="CQ31" s="10">
        <v>151.22489999999999</v>
      </c>
      <c r="CR31" s="10">
        <v>35.29486</v>
      </c>
      <c r="CS31" s="10">
        <v>13.535550000000001</v>
      </c>
      <c r="CT31" s="10">
        <v>34.909999999999997</v>
      </c>
      <c r="CU31" s="10">
        <v>22.29</v>
      </c>
      <c r="CV31" s="10">
        <v>103.6831</v>
      </c>
      <c r="CW31" s="10">
        <v>174.5378</v>
      </c>
      <c r="CX31" s="10">
        <v>6.3</v>
      </c>
      <c r="CY31" s="10">
        <v>20.126670000000001</v>
      </c>
      <c r="CZ31" s="10">
        <v>36.380000000000003</v>
      </c>
      <c r="DA31" s="10">
        <v>24.78</v>
      </c>
      <c r="DB31" s="10">
        <v>26.32</v>
      </c>
      <c r="DC31" s="10">
        <v>30.049969999999998</v>
      </c>
      <c r="DD31" s="10">
        <v>2.908353</v>
      </c>
      <c r="DE31" s="10">
        <v>95.278109999999998</v>
      </c>
      <c r="DF31" s="10">
        <v>40.85</v>
      </c>
      <c r="DG31" s="10">
        <v>6.4</v>
      </c>
      <c r="DH31" s="10">
        <v>60.95</v>
      </c>
      <c r="DI31" s="10">
        <v>68.928929999999994</v>
      </c>
      <c r="DJ31" s="10">
        <v>108.7567</v>
      </c>
      <c r="DK31" s="10">
        <v>61.519069999999999</v>
      </c>
      <c r="DL31" s="10">
        <v>144.24860000000001</v>
      </c>
      <c r="DM31" s="10">
        <v>88.797550000000001</v>
      </c>
      <c r="DN31" s="10">
        <v>57.330109999999998</v>
      </c>
      <c r="DO31" s="10">
        <v>59.962060000000001</v>
      </c>
      <c r="DP31" s="10">
        <v>28.122669999999999</v>
      </c>
      <c r="DQ31" s="10">
        <v>95.803380000000004</v>
      </c>
      <c r="DR31" s="10">
        <v>39.789020000000001</v>
      </c>
      <c r="DS31" s="10">
        <v>25.34252</v>
      </c>
      <c r="DT31" s="10">
        <v>16.742339999999999</v>
      </c>
      <c r="DU31" s="10">
        <v>26.286760000000001</v>
      </c>
      <c r="DV31" s="15">
        <v>33.03257</v>
      </c>
      <c r="DW31" s="10">
        <v>55.972000000000001</v>
      </c>
      <c r="DX31" s="10">
        <v>131.0334</v>
      </c>
      <c r="DY31" s="10">
        <v>45.077750000000002</v>
      </c>
      <c r="DZ31" s="10">
        <v>8.2367329999999992</v>
      </c>
      <c r="EA31" s="9">
        <v>2834.4</v>
      </c>
    </row>
    <row r="32" spans="1:131" ht="15.75">
      <c r="A32" s="8">
        <v>43556</v>
      </c>
      <c r="B32" s="10">
        <v>132.13249999999999</v>
      </c>
      <c r="C32" s="10">
        <v>34.952240000000003</v>
      </c>
      <c r="D32" s="10">
        <v>111.4907</v>
      </c>
      <c r="E32" s="10">
        <v>69.610069999999993</v>
      </c>
      <c r="F32" s="10">
        <v>69.497240000000005</v>
      </c>
      <c r="G32" s="10">
        <v>166.92500000000001</v>
      </c>
      <c r="H32" s="10">
        <v>42.538589999999999</v>
      </c>
      <c r="I32" s="10">
        <v>275.81650000000002</v>
      </c>
      <c r="J32" s="10">
        <v>312</v>
      </c>
      <c r="K32" s="10">
        <v>232</v>
      </c>
      <c r="L32" s="10">
        <v>121.07</v>
      </c>
      <c r="M32" s="10">
        <v>76.990759999999995</v>
      </c>
      <c r="N32" s="10">
        <v>138.9</v>
      </c>
      <c r="O32" s="10">
        <v>745.26</v>
      </c>
      <c r="P32" s="10">
        <v>223.93350000000001</v>
      </c>
      <c r="Q32" s="10">
        <v>50.372839999999997</v>
      </c>
      <c r="R32" s="10">
        <v>254.85890000000001</v>
      </c>
      <c r="S32" s="10">
        <v>343.14</v>
      </c>
      <c r="T32" s="10">
        <v>76.520619999999994</v>
      </c>
      <c r="U32" s="10">
        <v>84.172839999999994</v>
      </c>
      <c r="V32" s="10">
        <v>183.79910000000001</v>
      </c>
      <c r="W32" s="10">
        <v>44.82</v>
      </c>
      <c r="X32" s="10">
        <v>100.38460000000001</v>
      </c>
      <c r="Y32" s="10">
        <v>26.598890000000001</v>
      </c>
      <c r="Z32" s="10">
        <v>232.9871</v>
      </c>
      <c r="AA32" s="10">
        <v>510.63</v>
      </c>
      <c r="AB32" s="10">
        <v>102.151</v>
      </c>
      <c r="AC32" s="10">
        <v>74.078609999999998</v>
      </c>
      <c r="AD32" s="10">
        <v>127.0608</v>
      </c>
      <c r="AE32" s="10">
        <v>289.25</v>
      </c>
      <c r="AF32" s="10">
        <v>53.042740000000002</v>
      </c>
      <c r="AG32" s="10">
        <v>121.08</v>
      </c>
      <c r="AH32" s="10">
        <v>93.42</v>
      </c>
      <c r="AI32" s="10">
        <v>197.45</v>
      </c>
      <c r="AJ32" s="10">
        <v>80.06</v>
      </c>
      <c r="AK32" s="10">
        <v>13.285220000000001</v>
      </c>
      <c r="AL32" s="10">
        <v>156.9</v>
      </c>
      <c r="AM32" s="10">
        <v>45.01229</v>
      </c>
      <c r="AN32" s="10">
        <v>47.993049999999997</v>
      </c>
      <c r="AO32" s="10">
        <v>289.15940000000001</v>
      </c>
      <c r="AP32" s="10">
        <v>110.28870000000001</v>
      </c>
      <c r="AQ32" s="10">
        <v>80.749700000000004</v>
      </c>
      <c r="AR32" s="10">
        <v>27.63</v>
      </c>
      <c r="AS32" s="10">
        <v>42.001289999999997</v>
      </c>
      <c r="AT32" s="10">
        <v>110.7499</v>
      </c>
      <c r="AU32" s="10">
        <v>102.42829999999999</v>
      </c>
      <c r="AV32" s="10">
        <v>96.482990000000001</v>
      </c>
      <c r="AW32" s="10">
        <v>117.0788</v>
      </c>
      <c r="AX32" s="10">
        <v>84.769120000000001</v>
      </c>
      <c r="AY32" s="10">
        <v>48.981729999999999</v>
      </c>
      <c r="AZ32" s="10">
        <v>165.35</v>
      </c>
      <c r="BA32" s="10">
        <v>271.51</v>
      </c>
      <c r="BB32" s="10">
        <v>80.844530000000006</v>
      </c>
      <c r="BC32" s="10">
        <v>87.03</v>
      </c>
      <c r="BD32" s="10">
        <v>71.54074</v>
      </c>
      <c r="BE32" s="10">
        <v>18.397939999999998</v>
      </c>
      <c r="BF32" s="10">
        <v>124.1335</v>
      </c>
      <c r="BG32" s="10">
        <v>1926.52</v>
      </c>
      <c r="BH32" s="10">
        <v>37.452759999999998</v>
      </c>
      <c r="BI32" s="10">
        <v>67.540000000000006</v>
      </c>
      <c r="BJ32" s="10">
        <v>37.294139999999999</v>
      </c>
      <c r="BK32" s="10">
        <v>186.20349999999999</v>
      </c>
      <c r="BL32" s="10">
        <v>74.194659999999999</v>
      </c>
      <c r="BM32" s="10">
        <v>112.04519999999999</v>
      </c>
      <c r="BN32" s="10">
        <v>85.820440000000005</v>
      </c>
      <c r="BO32" s="10">
        <v>191.96780000000001</v>
      </c>
      <c r="BP32" s="10">
        <v>91.91677</v>
      </c>
      <c r="BQ32" s="10">
        <v>58.760469999999998</v>
      </c>
      <c r="BR32" s="10">
        <v>9.8757959999999994</v>
      </c>
      <c r="BS32" s="10">
        <v>1854.99</v>
      </c>
      <c r="BT32" s="10">
        <v>52.519190000000002</v>
      </c>
      <c r="BU32" s="10">
        <v>99.915239999999997</v>
      </c>
      <c r="BV32" s="10">
        <v>264.67009999999999</v>
      </c>
      <c r="BW32" s="10">
        <v>19.4374</v>
      </c>
      <c r="BX32" s="10">
        <v>100.29179999999999</v>
      </c>
      <c r="BY32" s="10">
        <v>163.00040000000001</v>
      </c>
      <c r="BZ32" s="10">
        <v>99.98706</v>
      </c>
      <c r="CA32" s="10">
        <v>45.312309999999997</v>
      </c>
      <c r="CB32" s="10">
        <v>119.1604</v>
      </c>
      <c r="CC32" s="10">
        <v>74.772260000000003</v>
      </c>
      <c r="CD32" s="10">
        <v>56.004959999999997</v>
      </c>
      <c r="CE32" s="10">
        <v>158.70910000000001</v>
      </c>
      <c r="CF32" s="10">
        <v>85.291079999999994</v>
      </c>
      <c r="CG32" s="10">
        <v>168.54079999999999</v>
      </c>
      <c r="CH32" s="10">
        <v>48.180210000000002</v>
      </c>
      <c r="CI32" s="10">
        <v>144.36680000000001</v>
      </c>
      <c r="CJ32" s="10">
        <v>68.660700000000006</v>
      </c>
      <c r="CK32" s="10">
        <v>29.318670000000001</v>
      </c>
      <c r="CL32" s="10">
        <v>65.519880000000001</v>
      </c>
      <c r="CM32" s="10">
        <v>37.960839999999997</v>
      </c>
      <c r="CN32" s="10">
        <v>54.998579999999997</v>
      </c>
      <c r="CO32" s="10">
        <v>74.229740000000007</v>
      </c>
      <c r="CP32" s="10">
        <v>72.732100000000003</v>
      </c>
      <c r="CQ32" s="10">
        <v>150.5369</v>
      </c>
      <c r="CR32" s="10">
        <v>35.813220000000001</v>
      </c>
      <c r="CS32" s="10">
        <v>12.68848</v>
      </c>
      <c r="CT32" s="10">
        <v>36.549999999999997</v>
      </c>
      <c r="CU32" s="10">
        <v>26.91</v>
      </c>
      <c r="CV32" s="10">
        <v>98.561070000000001</v>
      </c>
      <c r="CW32" s="10">
        <v>182.9709</v>
      </c>
      <c r="CX32" s="10">
        <v>6.54</v>
      </c>
      <c r="CY32" s="10">
        <v>18</v>
      </c>
      <c r="CZ32" s="10">
        <v>39.979999999999997</v>
      </c>
      <c r="DA32" s="10">
        <v>22.94</v>
      </c>
      <c r="DB32" s="10">
        <v>27.89</v>
      </c>
      <c r="DC32" s="10">
        <v>29.825489999999999</v>
      </c>
      <c r="DD32" s="10">
        <v>3.2967650000000002</v>
      </c>
      <c r="DE32" s="10">
        <v>98.617649999999998</v>
      </c>
      <c r="DF32" s="10">
        <v>41.57</v>
      </c>
      <c r="DG32" s="10">
        <v>6.25</v>
      </c>
      <c r="DH32" s="10">
        <v>60.18</v>
      </c>
      <c r="DI32" s="10">
        <v>68.485320000000002</v>
      </c>
      <c r="DJ32" s="10">
        <v>106.002</v>
      </c>
      <c r="DK32" s="10">
        <v>58.182250000000003</v>
      </c>
      <c r="DL32" s="10">
        <v>158.02440000000001</v>
      </c>
      <c r="DM32" s="10">
        <v>89.609210000000004</v>
      </c>
      <c r="DN32" s="10">
        <v>61.29721</v>
      </c>
      <c r="DO32" s="10">
        <v>53.972200000000001</v>
      </c>
      <c r="DP32" s="10">
        <v>28.717829999999999</v>
      </c>
      <c r="DQ32" s="10">
        <v>100.38930000000001</v>
      </c>
      <c r="DR32" s="10">
        <v>38.976260000000003</v>
      </c>
      <c r="DS32" s="10">
        <v>21.959869999999999</v>
      </c>
      <c r="DT32" s="10">
        <v>17.60389</v>
      </c>
      <c r="DU32" s="10">
        <v>25.841059999999999</v>
      </c>
      <c r="DV32" s="15">
        <v>31.364729000000001</v>
      </c>
      <c r="DW32" s="10">
        <v>47.738</v>
      </c>
      <c r="DX32" s="10">
        <v>133.21729999999999</v>
      </c>
      <c r="DY32" s="10">
        <v>51.881279999999997</v>
      </c>
      <c r="DZ32" s="10">
        <v>9.8034020000000002</v>
      </c>
      <c r="EA32" s="9">
        <v>2945.83</v>
      </c>
    </row>
    <row r="33" spans="1:131" ht="15.75">
      <c r="A33" s="8">
        <v>43586</v>
      </c>
      <c r="B33" s="10">
        <v>122.7278</v>
      </c>
      <c r="C33" s="10">
        <v>35.735460000000003</v>
      </c>
      <c r="D33" s="10">
        <v>110.44289999999999</v>
      </c>
      <c r="E33" s="10">
        <v>68.152019999999993</v>
      </c>
      <c r="F33" s="10">
        <v>69.938680000000005</v>
      </c>
      <c r="G33" s="10">
        <v>155.1773</v>
      </c>
      <c r="H33" s="10">
        <v>41.934179999999998</v>
      </c>
      <c r="I33" s="10">
        <v>265.40820000000002</v>
      </c>
      <c r="J33" s="10">
        <v>306.91000000000003</v>
      </c>
      <c r="K33" s="10">
        <v>249.77</v>
      </c>
      <c r="L33" s="10">
        <v>121.3</v>
      </c>
      <c r="M33" s="10">
        <v>65.895359999999997</v>
      </c>
      <c r="N33" s="10">
        <v>135.85</v>
      </c>
      <c r="O33" s="10">
        <v>723.09</v>
      </c>
      <c r="P33" s="10">
        <v>232.3212</v>
      </c>
      <c r="Q33" s="10">
        <v>48.976239999999997</v>
      </c>
      <c r="R33" s="10">
        <v>269.34449999999998</v>
      </c>
      <c r="S33" s="10">
        <v>301.72000000000003</v>
      </c>
      <c r="T33" s="10">
        <v>73.521320000000003</v>
      </c>
      <c r="U33" s="10">
        <v>87.746009999999998</v>
      </c>
      <c r="V33" s="10">
        <v>178.2825</v>
      </c>
      <c r="W33" s="10">
        <v>45.5</v>
      </c>
      <c r="X33" s="10">
        <v>99.770920000000004</v>
      </c>
      <c r="Y33" s="10">
        <v>16.556550000000001</v>
      </c>
      <c r="Z33" s="10">
        <v>225.9222</v>
      </c>
      <c r="AA33" s="10">
        <v>464.85</v>
      </c>
      <c r="AB33" s="10">
        <v>111.5441</v>
      </c>
      <c r="AC33" s="10">
        <v>71.301879999999997</v>
      </c>
      <c r="AD33" s="10">
        <v>120.3283</v>
      </c>
      <c r="AE33" s="10">
        <v>270.89999999999998</v>
      </c>
      <c r="AF33" s="10">
        <v>48.72551</v>
      </c>
      <c r="AG33" s="10">
        <v>116.44</v>
      </c>
      <c r="AH33" s="10">
        <v>72.48</v>
      </c>
      <c r="AI33" s="10">
        <v>194.98</v>
      </c>
      <c r="AJ33" s="10">
        <v>75.36</v>
      </c>
      <c r="AK33" s="10">
        <v>10.27807</v>
      </c>
      <c r="AL33" s="10">
        <v>132.08000000000001</v>
      </c>
      <c r="AM33" s="10">
        <v>33.687100000000001</v>
      </c>
      <c r="AN33" s="10">
        <v>41.41093</v>
      </c>
      <c r="AO33" s="10">
        <v>228.53039999999999</v>
      </c>
      <c r="AP33" s="10">
        <v>97.634010000000004</v>
      </c>
      <c r="AQ33" s="10">
        <v>62.645940000000003</v>
      </c>
      <c r="AR33" s="10">
        <v>27.41</v>
      </c>
      <c r="AS33" s="10">
        <v>32.564480000000003</v>
      </c>
      <c r="AT33" s="10">
        <v>92.05659</v>
      </c>
      <c r="AU33" s="10">
        <v>85.495919999999998</v>
      </c>
      <c r="AV33" s="10">
        <v>77.300370000000001</v>
      </c>
      <c r="AW33" s="10">
        <v>99.703130000000002</v>
      </c>
      <c r="AX33" s="10">
        <v>64.052689999999998</v>
      </c>
      <c r="AY33" s="10">
        <v>42.73301</v>
      </c>
      <c r="AZ33" s="10">
        <v>151.41</v>
      </c>
      <c r="BA33" s="10">
        <v>261.93</v>
      </c>
      <c r="BB33" s="10">
        <v>72.113249999999994</v>
      </c>
      <c r="BC33" s="10">
        <v>75.13</v>
      </c>
      <c r="BD33" s="10">
        <v>63.097380000000001</v>
      </c>
      <c r="BE33" s="10">
        <v>17.226739999999999</v>
      </c>
      <c r="BF33" s="10">
        <v>112.38120000000001</v>
      </c>
      <c r="BG33" s="10">
        <v>1775.07</v>
      </c>
      <c r="BH33" s="10">
        <v>34.727170000000001</v>
      </c>
      <c r="BI33" s="10">
        <v>62.31</v>
      </c>
      <c r="BJ33" s="10">
        <v>31.922630000000002</v>
      </c>
      <c r="BK33" s="10">
        <v>186.86320000000001</v>
      </c>
      <c r="BL33" s="10">
        <v>72.64734</v>
      </c>
      <c r="BM33" s="10">
        <v>111.5266</v>
      </c>
      <c r="BN33" s="10">
        <v>75.375039999999998</v>
      </c>
      <c r="BO33" s="10">
        <v>178.91550000000001</v>
      </c>
      <c r="BP33" s="10">
        <v>82.573059999999998</v>
      </c>
      <c r="BQ33" s="10">
        <v>60.181930000000001</v>
      </c>
      <c r="BR33" s="10">
        <v>10.119020000000001</v>
      </c>
      <c r="BS33" s="10">
        <v>1656.22</v>
      </c>
      <c r="BT33" s="10">
        <v>49.005780000000001</v>
      </c>
      <c r="BU33" s="10">
        <v>97.962680000000006</v>
      </c>
      <c r="BV33" s="10">
        <v>273.39530000000002</v>
      </c>
      <c r="BW33" s="10">
        <v>17.026669999999999</v>
      </c>
      <c r="BX33" s="10">
        <v>97.656109999999998</v>
      </c>
      <c r="BY33" s="10">
        <v>151.90629999999999</v>
      </c>
      <c r="BZ33" s="10">
        <v>97.316929999999999</v>
      </c>
      <c r="CA33" s="10">
        <v>45.376959999999997</v>
      </c>
      <c r="CB33" s="10">
        <v>119.1139</v>
      </c>
      <c r="CC33" s="10">
        <v>66.626429999999999</v>
      </c>
      <c r="CD33" s="10">
        <v>56.106290000000001</v>
      </c>
      <c r="CE33" s="10">
        <v>158.16329999999999</v>
      </c>
      <c r="CF33" s="10">
        <v>78.06044</v>
      </c>
      <c r="CG33" s="10">
        <v>157.96600000000001</v>
      </c>
      <c r="CH33" s="10">
        <v>48.180210000000002</v>
      </c>
      <c r="CI33" s="10">
        <v>135.05529999999999</v>
      </c>
      <c r="CJ33" s="10">
        <v>66.082120000000003</v>
      </c>
      <c r="CK33" s="10">
        <v>24.388120000000001</v>
      </c>
      <c r="CL33" s="10">
        <v>64.454890000000006</v>
      </c>
      <c r="CM33" s="10">
        <v>37.723759999999999</v>
      </c>
      <c r="CN33" s="10">
        <v>47.939059999999998</v>
      </c>
      <c r="CO33" s="10">
        <v>75.510859999999994</v>
      </c>
      <c r="CP33" s="10">
        <v>72.208089999999999</v>
      </c>
      <c r="CQ33" s="10">
        <v>141.12219999999999</v>
      </c>
      <c r="CR33" s="10">
        <v>33.910739999999997</v>
      </c>
      <c r="CS33" s="10">
        <v>11.8414</v>
      </c>
      <c r="CT33" s="10">
        <v>34.56</v>
      </c>
      <c r="CU33" s="10">
        <v>25.57</v>
      </c>
      <c r="CV33" s="10">
        <v>86.220060000000004</v>
      </c>
      <c r="CW33" s="10">
        <v>148.9958</v>
      </c>
      <c r="CX33" s="10">
        <v>6.36</v>
      </c>
      <c r="CY33" s="10">
        <v>18.14</v>
      </c>
      <c r="CZ33" s="10">
        <v>40.1</v>
      </c>
      <c r="DA33" s="10">
        <v>19.670000000000002</v>
      </c>
      <c r="DB33" s="10">
        <v>17.66</v>
      </c>
      <c r="DC33" s="10">
        <v>24.46744</v>
      </c>
      <c r="DD33" s="10">
        <v>3.2683439999999999</v>
      </c>
      <c r="DE33" s="10">
        <v>87.492779999999996</v>
      </c>
      <c r="DF33" s="10">
        <v>38.96</v>
      </c>
      <c r="DG33" s="10">
        <v>4.75</v>
      </c>
      <c r="DH33" s="10">
        <v>49.53</v>
      </c>
      <c r="DI33" s="10">
        <v>60.372529999999998</v>
      </c>
      <c r="DJ33" s="10">
        <v>100.5192</v>
      </c>
      <c r="DK33" s="10">
        <v>54.347679999999997</v>
      </c>
      <c r="DL33" s="10">
        <v>134.76599999999999</v>
      </c>
      <c r="DM33" s="10">
        <v>76.549310000000006</v>
      </c>
      <c r="DN33" s="10">
        <v>53.400849999999998</v>
      </c>
      <c r="DO33" s="10">
        <v>45.62153</v>
      </c>
      <c r="DP33" s="10">
        <v>22.48104</v>
      </c>
      <c r="DQ33" s="10">
        <v>92.5291</v>
      </c>
      <c r="DR33" s="10">
        <v>31.67963</v>
      </c>
      <c r="DS33" s="10">
        <v>19.573720000000002</v>
      </c>
      <c r="DT33" s="10">
        <v>14.890639999999999</v>
      </c>
      <c r="DU33" s="10">
        <v>20.611560000000001</v>
      </c>
      <c r="DV33" s="15">
        <v>25.015658999999999</v>
      </c>
      <c r="DW33" s="10">
        <v>37.031999999999996</v>
      </c>
      <c r="DX33" s="10">
        <v>141.23500000000001</v>
      </c>
      <c r="DY33" s="10">
        <v>40.039209999999997</v>
      </c>
      <c r="DZ33" s="10">
        <v>9.0742239999999992</v>
      </c>
      <c r="EA33" s="9">
        <v>2752.06</v>
      </c>
    </row>
    <row r="34" spans="1:131" ht="15.75">
      <c r="A34" s="8">
        <v>43617</v>
      </c>
      <c r="B34" s="10">
        <v>131.22749999999999</v>
      </c>
      <c r="C34" s="10">
        <v>37.615369999999999</v>
      </c>
      <c r="D34" s="10">
        <v>106.12909999999999</v>
      </c>
      <c r="E34" s="10">
        <v>64.607159999999993</v>
      </c>
      <c r="F34" s="10">
        <v>74.035589999999999</v>
      </c>
      <c r="G34" s="10">
        <v>173.01900000000001</v>
      </c>
      <c r="H34" s="10">
        <v>41.915689999999998</v>
      </c>
      <c r="I34" s="10">
        <v>291.95100000000002</v>
      </c>
      <c r="J34" s="10">
        <v>368.15</v>
      </c>
      <c r="K34" s="10">
        <v>275.33</v>
      </c>
      <c r="L34" s="10">
        <v>149.84</v>
      </c>
      <c r="M34" s="10">
        <v>73.384119999999996</v>
      </c>
      <c r="N34" s="10">
        <v>160.9</v>
      </c>
      <c r="O34" s="10">
        <v>840</v>
      </c>
      <c r="P34" s="10">
        <v>234.44460000000001</v>
      </c>
      <c r="Q34" s="10">
        <v>50.958860000000001</v>
      </c>
      <c r="R34" s="10">
        <v>273.44310000000002</v>
      </c>
      <c r="S34" s="10">
        <v>313</v>
      </c>
      <c r="T34" s="10">
        <v>81.218220000000002</v>
      </c>
      <c r="U34" s="10">
        <v>92.304839999999999</v>
      </c>
      <c r="V34" s="10">
        <v>200.0181</v>
      </c>
      <c r="W34" s="10">
        <v>54.21</v>
      </c>
      <c r="X34" s="10">
        <v>112.0535</v>
      </c>
      <c r="Y34" s="10">
        <v>18.764089999999999</v>
      </c>
      <c r="Z34" s="10">
        <v>243.89420000000001</v>
      </c>
      <c r="AA34" s="10">
        <v>524.54999999999995</v>
      </c>
      <c r="AB34" s="10">
        <v>119.6696</v>
      </c>
      <c r="AC34" s="10">
        <v>79.515569999999997</v>
      </c>
      <c r="AD34" s="10">
        <v>130.81219999999999</v>
      </c>
      <c r="AE34" s="10">
        <v>294.64999999999998</v>
      </c>
      <c r="AF34" s="10">
        <v>54.859540000000003</v>
      </c>
      <c r="AG34" s="10">
        <v>128.69</v>
      </c>
      <c r="AH34" s="10">
        <v>76.83</v>
      </c>
      <c r="AI34" s="10">
        <v>209.16</v>
      </c>
      <c r="AJ34" s="10">
        <v>80.14</v>
      </c>
      <c r="AK34" s="10">
        <v>11.94078</v>
      </c>
      <c r="AL34" s="10">
        <v>145.63</v>
      </c>
      <c r="AM34" s="10">
        <v>40.88843</v>
      </c>
      <c r="AN34" s="10">
        <v>45.287959999999998</v>
      </c>
      <c r="AO34" s="10">
        <v>261.42399999999998</v>
      </c>
      <c r="AP34" s="10">
        <v>108.124</v>
      </c>
      <c r="AQ34" s="10">
        <v>71.318119999999993</v>
      </c>
      <c r="AR34" s="10">
        <v>30.37</v>
      </c>
      <c r="AS34" s="10">
        <v>38.53613</v>
      </c>
      <c r="AT34" s="10">
        <v>108.1343</v>
      </c>
      <c r="AU34" s="10">
        <v>94.660349999999994</v>
      </c>
      <c r="AV34" s="10">
        <v>84.112629999999996</v>
      </c>
      <c r="AW34" s="10">
        <v>115.2923</v>
      </c>
      <c r="AX34" s="10">
        <v>74.684200000000004</v>
      </c>
      <c r="AY34" s="10">
        <v>48.496519999999997</v>
      </c>
      <c r="AZ34" s="10">
        <v>151.72999999999999</v>
      </c>
      <c r="BA34" s="10">
        <v>274.57</v>
      </c>
      <c r="BB34" s="10">
        <v>75.243700000000004</v>
      </c>
      <c r="BC34" s="10">
        <v>89.81</v>
      </c>
      <c r="BD34" s="10">
        <v>67.608720000000005</v>
      </c>
      <c r="BE34" s="10">
        <v>19.17259</v>
      </c>
      <c r="BF34" s="10">
        <v>123.48569999999999</v>
      </c>
      <c r="BG34" s="10">
        <v>1893.63</v>
      </c>
      <c r="BH34" s="10">
        <v>38.32629</v>
      </c>
      <c r="BI34" s="10">
        <v>61.37</v>
      </c>
      <c r="BJ34" s="10">
        <v>36.89199</v>
      </c>
      <c r="BK34" s="10">
        <v>196.85910000000001</v>
      </c>
      <c r="BL34" s="10">
        <v>80.440190000000001</v>
      </c>
      <c r="BM34" s="10">
        <v>116.7137</v>
      </c>
      <c r="BN34" s="10">
        <v>82.257540000000006</v>
      </c>
      <c r="BO34" s="10">
        <v>195.99189999999999</v>
      </c>
      <c r="BP34" s="10">
        <v>88.357249999999993</v>
      </c>
      <c r="BQ34" s="10">
        <v>68.781720000000007</v>
      </c>
      <c r="BR34" s="10">
        <v>10.427580000000001</v>
      </c>
      <c r="BS34" s="10">
        <v>1874.71</v>
      </c>
      <c r="BT34" s="10">
        <v>44.991190000000003</v>
      </c>
      <c r="BU34" s="10">
        <v>106.3698</v>
      </c>
      <c r="BV34" s="10">
        <v>272.202</v>
      </c>
      <c r="BW34" s="10">
        <v>20.051819999999999</v>
      </c>
      <c r="BX34" s="10">
        <v>105.79040000000001</v>
      </c>
      <c r="BY34" s="10">
        <v>151.0635</v>
      </c>
      <c r="BZ34" s="10">
        <v>103.6906</v>
      </c>
      <c r="CA34" s="10">
        <v>47.03022</v>
      </c>
      <c r="CB34" s="10">
        <v>122.0266</v>
      </c>
      <c r="CC34" s="10">
        <v>67.835790000000003</v>
      </c>
      <c r="CD34" s="10">
        <v>57.525700000000001</v>
      </c>
      <c r="CE34" s="10">
        <v>162.17250000000001</v>
      </c>
      <c r="CF34" s="10">
        <v>85.970879999999994</v>
      </c>
      <c r="CG34" s="10">
        <v>180.09790000000001</v>
      </c>
      <c r="CH34" s="10">
        <v>51.07009</v>
      </c>
      <c r="CI34" s="10">
        <v>144.0789</v>
      </c>
      <c r="CJ34" s="10">
        <v>68.027940000000001</v>
      </c>
      <c r="CK34" s="10">
        <v>27.765450000000001</v>
      </c>
      <c r="CL34" s="10">
        <v>66.234380000000002</v>
      </c>
      <c r="CM34" s="10">
        <v>38.726799999999997</v>
      </c>
      <c r="CN34" s="10">
        <v>49.391249999999999</v>
      </c>
      <c r="CO34" s="10">
        <v>75.012420000000006</v>
      </c>
      <c r="CP34" s="10">
        <v>71.117419999999996</v>
      </c>
      <c r="CQ34" s="10">
        <v>145.20009999999999</v>
      </c>
      <c r="CR34" s="10">
        <v>37.422280000000001</v>
      </c>
      <c r="CS34" s="10">
        <v>13.83933</v>
      </c>
      <c r="CT34" s="10">
        <v>35.76</v>
      </c>
      <c r="CU34" s="10">
        <v>25.39</v>
      </c>
      <c r="CV34" s="10">
        <v>96.740470000000002</v>
      </c>
      <c r="CW34" s="10">
        <v>158.56639999999999</v>
      </c>
      <c r="CX34" s="10">
        <v>6.14</v>
      </c>
      <c r="CY34" s="10">
        <v>17.489999999999998</v>
      </c>
      <c r="CZ34" s="10">
        <v>36.950000000000003</v>
      </c>
      <c r="DA34" s="10">
        <v>20.87</v>
      </c>
      <c r="DB34" s="10">
        <v>19.420000000000002</v>
      </c>
      <c r="DC34" s="10">
        <v>27.511199999999999</v>
      </c>
      <c r="DD34" s="10">
        <v>3.2047669999999999</v>
      </c>
      <c r="DE34" s="10">
        <v>98.60445</v>
      </c>
      <c r="DF34" s="10">
        <v>41.98</v>
      </c>
      <c r="DG34" s="10">
        <v>5.08</v>
      </c>
      <c r="DH34" s="10">
        <v>58.37</v>
      </c>
      <c r="DI34" s="10">
        <v>66.120900000000006</v>
      </c>
      <c r="DJ34" s="10">
        <v>110.9502</v>
      </c>
      <c r="DK34" s="10">
        <v>56.508159999999997</v>
      </c>
      <c r="DL34" s="10">
        <v>146.06290000000001</v>
      </c>
      <c r="DM34" s="10">
        <v>87.09496</v>
      </c>
      <c r="DN34" s="10">
        <v>60.771439999999998</v>
      </c>
      <c r="DO34" s="10">
        <v>46.089019999999998</v>
      </c>
      <c r="DP34" s="10">
        <v>25.483280000000001</v>
      </c>
      <c r="DQ34" s="10">
        <v>103.0099</v>
      </c>
      <c r="DR34" s="10">
        <v>36.29139</v>
      </c>
      <c r="DS34" s="10">
        <v>22.69586</v>
      </c>
      <c r="DT34" s="10">
        <v>18.678460000000001</v>
      </c>
      <c r="DU34" s="10">
        <v>21.97578</v>
      </c>
      <c r="DV34" s="15">
        <v>27.798378</v>
      </c>
      <c r="DW34" s="10">
        <v>44.692</v>
      </c>
      <c r="DX34" s="10">
        <v>159.40530000000001</v>
      </c>
      <c r="DY34" s="10">
        <v>46.728430000000003</v>
      </c>
      <c r="DZ34" s="10">
        <v>9.7509779999999999</v>
      </c>
      <c r="EA34" s="9">
        <v>2941.76</v>
      </c>
    </row>
    <row r="35" spans="1:131" ht="15.75">
      <c r="A35" s="8">
        <v>43647</v>
      </c>
      <c r="B35" s="10">
        <v>122.6914</v>
      </c>
      <c r="C35" s="10">
        <v>33.725320000000004</v>
      </c>
      <c r="D35" s="10">
        <v>104.3665</v>
      </c>
      <c r="E35" s="10">
        <v>59.1877</v>
      </c>
      <c r="F35" s="10">
        <v>73.765659999999997</v>
      </c>
      <c r="G35" s="10">
        <v>175.17850000000001</v>
      </c>
      <c r="H35" s="10">
        <v>41.046880000000002</v>
      </c>
      <c r="I35" s="10">
        <v>276.22910000000002</v>
      </c>
      <c r="J35" s="10">
        <v>299.38</v>
      </c>
      <c r="K35" s="10">
        <v>282.05</v>
      </c>
      <c r="L35" s="10">
        <v>156.87</v>
      </c>
      <c r="M35" s="10">
        <v>68.214709999999997</v>
      </c>
      <c r="N35" s="10">
        <v>159.16999999999999</v>
      </c>
      <c r="O35" s="10">
        <v>756.75</v>
      </c>
      <c r="P35" s="10">
        <v>240.30799999999999</v>
      </c>
      <c r="Q35" s="10">
        <v>52.249429999999997</v>
      </c>
      <c r="R35" s="10">
        <v>286.28309999999999</v>
      </c>
      <c r="S35" s="10">
        <v>304.76</v>
      </c>
      <c r="T35" s="10">
        <v>84.115430000000003</v>
      </c>
      <c r="U35" s="10">
        <v>96.617270000000005</v>
      </c>
      <c r="V35" s="10">
        <v>204.6302</v>
      </c>
      <c r="W35" s="10">
        <v>56.49</v>
      </c>
      <c r="X35" s="10">
        <v>113.4357</v>
      </c>
      <c r="Y35" s="10">
        <v>20.59714</v>
      </c>
      <c r="Z35" s="10">
        <v>245.44829999999999</v>
      </c>
      <c r="AA35" s="10">
        <v>519.51</v>
      </c>
      <c r="AB35" s="10">
        <v>126.2106</v>
      </c>
      <c r="AC35" s="10">
        <v>81.758930000000007</v>
      </c>
      <c r="AD35" s="10">
        <v>133.06790000000001</v>
      </c>
      <c r="AE35" s="10">
        <v>298.86</v>
      </c>
      <c r="AF35" s="10">
        <v>54.214359999999999</v>
      </c>
      <c r="AG35" s="10">
        <v>132.76</v>
      </c>
      <c r="AH35" s="10">
        <v>80.31</v>
      </c>
      <c r="AI35" s="10">
        <v>211.09</v>
      </c>
      <c r="AJ35" s="10">
        <v>88.13</v>
      </c>
      <c r="AK35" s="10">
        <v>11.87805</v>
      </c>
      <c r="AL35" s="10">
        <v>146.72</v>
      </c>
      <c r="AM35" s="10">
        <v>42.006309999999999</v>
      </c>
      <c r="AN35" s="10">
        <v>47.823410000000003</v>
      </c>
      <c r="AO35" s="10">
        <v>265.88339999999999</v>
      </c>
      <c r="AP35" s="10">
        <v>117.7813</v>
      </c>
      <c r="AQ35" s="10">
        <v>69.216859999999997</v>
      </c>
      <c r="AR35" s="10">
        <v>30.45</v>
      </c>
      <c r="AS35" s="10">
        <v>44.82734</v>
      </c>
      <c r="AT35" s="10">
        <v>112.5317</v>
      </c>
      <c r="AU35" s="10">
        <v>100.5337</v>
      </c>
      <c r="AV35" s="10">
        <v>91.602230000000006</v>
      </c>
      <c r="AW35" s="10">
        <v>111.66500000000001</v>
      </c>
      <c r="AX35" s="10">
        <v>82.426150000000007</v>
      </c>
      <c r="AY35" s="10">
        <v>52.201390000000004</v>
      </c>
      <c r="AZ35" s="10">
        <v>154.5</v>
      </c>
      <c r="BA35" s="10">
        <v>277.39</v>
      </c>
      <c r="BB35" s="10">
        <v>74.631290000000007</v>
      </c>
      <c r="BC35" s="10">
        <v>89.52</v>
      </c>
      <c r="BD35" s="10">
        <v>63.072159999999997</v>
      </c>
      <c r="BE35" s="10">
        <v>19.560569999999998</v>
      </c>
      <c r="BF35" s="10">
        <v>132.7449</v>
      </c>
      <c r="BG35" s="10">
        <v>1866.78</v>
      </c>
      <c r="BH35" s="10">
        <v>39.966070000000002</v>
      </c>
      <c r="BI35" s="10">
        <v>67.02</v>
      </c>
      <c r="BJ35" s="10">
        <v>39.038960000000003</v>
      </c>
      <c r="BK35" s="10">
        <v>199.75989999999999</v>
      </c>
      <c r="BL35" s="10">
        <v>90.861050000000006</v>
      </c>
      <c r="BM35" s="10">
        <v>116.55070000000001</v>
      </c>
      <c r="BN35" s="10">
        <v>84.295609999999996</v>
      </c>
      <c r="BO35" s="10">
        <v>202.79499999999999</v>
      </c>
      <c r="BP35" s="10">
        <v>94.374830000000003</v>
      </c>
      <c r="BQ35" s="10">
        <v>70.245999999999995</v>
      </c>
      <c r="BR35" s="10">
        <v>9.6198720000000009</v>
      </c>
      <c r="BS35" s="10">
        <v>1886.61</v>
      </c>
      <c r="BT35" s="10">
        <v>45.648420000000002</v>
      </c>
      <c r="BU35" s="10">
        <v>108.14790000000001</v>
      </c>
      <c r="BV35" s="10">
        <v>239.74170000000001</v>
      </c>
      <c r="BW35" s="10">
        <v>19.936579999999999</v>
      </c>
      <c r="BX35" s="10">
        <v>105.8001</v>
      </c>
      <c r="BY35" s="10">
        <v>147.691</v>
      </c>
      <c r="BZ35" s="10">
        <v>111.6246</v>
      </c>
      <c r="CA35" s="10">
        <v>48.989060000000002</v>
      </c>
      <c r="CB35" s="10">
        <v>119.8079</v>
      </c>
      <c r="CC35" s="10">
        <v>73.31438</v>
      </c>
      <c r="CD35" s="10">
        <v>55.80838</v>
      </c>
      <c r="CE35" s="10">
        <v>157.05279999999999</v>
      </c>
      <c r="CF35" s="10">
        <v>98.08314</v>
      </c>
      <c r="CG35" s="10">
        <v>181.1602</v>
      </c>
      <c r="CH35" s="10">
        <v>50.924729999999997</v>
      </c>
      <c r="CI35" s="10">
        <v>146.6574</v>
      </c>
      <c r="CJ35" s="10">
        <v>68.094380000000001</v>
      </c>
      <c r="CK35" s="10">
        <v>28.633120000000002</v>
      </c>
      <c r="CL35" s="10">
        <v>64.220740000000006</v>
      </c>
      <c r="CM35" s="10">
        <v>39.156669999999998</v>
      </c>
      <c r="CN35" s="10">
        <v>53.678530000000002</v>
      </c>
      <c r="CO35" s="10">
        <v>76.720659999999995</v>
      </c>
      <c r="CP35" s="10">
        <v>73.434139999999999</v>
      </c>
      <c r="CQ35" s="10">
        <v>154.19980000000001</v>
      </c>
      <c r="CR35" s="10">
        <v>38.608359999999998</v>
      </c>
      <c r="CS35" s="10">
        <v>12.73541</v>
      </c>
      <c r="CT35" s="10">
        <v>35.369999999999997</v>
      </c>
      <c r="CU35" s="10">
        <v>27.06</v>
      </c>
      <c r="CV35" s="10">
        <v>111.9162</v>
      </c>
      <c r="CW35" s="10">
        <v>165.327</v>
      </c>
      <c r="CX35" s="10">
        <v>5.49</v>
      </c>
      <c r="CY35" s="10">
        <v>17.57</v>
      </c>
      <c r="CZ35" s="10">
        <v>36.299999999999997</v>
      </c>
      <c r="DA35" s="10">
        <v>21.06</v>
      </c>
      <c r="DB35" s="10">
        <v>17.420000000000002</v>
      </c>
      <c r="DC35" s="10">
        <v>29.29243</v>
      </c>
      <c r="DD35" s="10">
        <v>3.38653</v>
      </c>
      <c r="DE35" s="10">
        <v>110.4533</v>
      </c>
      <c r="DF35" s="10">
        <v>45.35</v>
      </c>
      <c r="DG35" s="10">
        <v>4.8</v>
      </c>
      <c r="DH35" s="10">
        <v>59.71</v>
      </c>
      <c r="DI35" s="10">
        <v>64.162199999999999</v>
      </c>
      <c r="DJ35" s="10">
        <v>109.76430000000001</v>
      </c>
      <c r="DK35" s="10">
        <v>54.729529999999997</v>
      </c>
      <c r="DL35" s="10">
        <v>131.0446</v>
      </c>
      <c r="DM35" s="10">
        <v>80.260850000000005</v>
      </c>
      <c r="DN35" s="10">
        <v>62.252409999999998</v>
      </c>
      <c r="DO35" s="10">
        <v>47.839910000000003</v>
      </c>
      <c r="DP35" s="10">
        <v>24.210640000000001</v>
      </c>
      <c r="DQ35" s="10">
        <v>97.772900000000007</v>
      </c>
      <c r="DR35" s="10">
        <v>37.023029999999999</v>
      </c>
      <c r="DS35" s="10">
        <v>23.396180000000001</v>
      </c>
      <c r="DT35" s="10">
        <v>19.830559999999998</v>
      </c>
      <c r="DU35" s="10">
        <v>23.605060000000002</v>
      </c>
      <c r="DV35" s="15">
        <v>23.432388</v>
      </c>
      <c r="DW35" s="10">
        <v>48.322000000000003</v>
      </c>
      <c r="DX35" s="10">
        <v>159.06960000000001</v>
      </c>
      <c r="DY35" s="10">
        <v>47.405380000000001</v>
      </c>
      <c r="DZ35" s="10">
        <v>9.083755</v>
      </c>
      <c r="EA35" s="9">
        <v>2980.38</v>
      </c>
    </row>
    <row r="36" spans="1:131" ht="15.75">
      <c r="A36" s="8">
        <v>43678</v>
      </c>
      <c r="B36" s="10">
        <v>120.9389</v>
      </c>
      <c r="C36" s="10">
        <v>30.868569999999998</v>
      </c>
      <c r="D36" s="10">
        <v>108.2174</v>
      </c>
      <c r="E36" s="10">
        <v>59.296489999999999</v>
      </c>
      <c r="F36" s="10">
        <v>76.858860000000007</v>
      </c>
      <c r="G36" s="10">
        <v>195.8716</v>
      </c>
      <c r="H36" s="10">
        <v>44.823399999999999</v>
      </c>
      <c r="I36" s="10">
        <v>285.56009999999998</v>
      </c>
      <c r="J36" s="10">
        <v>281.33999999999997</v>
      </c>
      <c r="K36" s="10">
        <v>289.74</v>
      </c>
      <c r="L36" s="10">
        <v>171.61</v>
      </c>
      <c r="M36" s="10">
        <v>70.039259999999999</v>
      </c>
      <c r="N36" s="10">
        <v>155.15</v>
      </c>
      <c r="O36" s="10">
        <v>656.79</v>
      </c>
      <c r="P36" s="10">
        <v>225.82259999999999</v>
      </c>
      <c r="Q36" s="10">
        <v>57.482950000000002</v>
      </c>
      <c r="R36" s="10">
        <v>254.1284</v>
      </c>
      <c r="S36" s="10">
        <v>290.05</v>
      </c>
      <c r="T36" s="10">
        <v>82.704980000000006</v>
      </c>
      <c r="U36" s="10">
        <v>102.8185</v>
      </c>
      <c r="V36" s="10">
        <v>215.2432</v>
      </c>
      <c r="W36" s="10">
        <v>52.74</v>
      </c>
      <c r="X36" s="10">
        <v>125.0001</v>
      </c>
      <c r="Y36" s="10">
        <v>19.187860000000001</v>
      </c>
      <c r="Z36" s="10">
        <v>246.53579999999999</v>
      </c>
      <c r="AA36" s="10">
        <v>511.34</v>
      </c>
      <c r="AB36" s="10">
        <v>136.60560000000001</v>
      </c>
      <c r="AC36" s="10">
        <v>85.634129999999999</v>
      </c>
      <c r="AD36" s="10">
        <v>134.62049999999999</v>
      </c>
      <c r="AE36" s="10">
        <v>284.51</v>
      </c>
      <c r="AF36" s="10">
        <v>50.334350000000001</v>
      </c>
      <c r="AG36" s="10">
        <v>141.81</v>
      </c>
      <c r="AH36" s="10">
        <v>79.180000000000007</v>
      </c>
      <c r="AI36" s="10">
        <v>203.85</v>
      </c>
      <c r="AJ36" s="10">
        <v>89.13</v>
      </c>
      <c r="AK36" s="10">
        <v>12.80912</v>
      </c>
      <c r="AL36" s="10">
        <v>128.72999999999999</v>
      </c>
      <c r="AM36" s="10">
        <v>41.705060000000003</v>
      </c>
      <c r="AN36" s="10">
        <v>44.85277</v>
      </c>
      <c r="AO36" s="10">
        <v>259.14440000000002</v>
      </c>
      <c r="AP36" s="10">
        <v>117.289</v>
      </c>
      <c r="AQ36" s="10">
        <v>73.578379999999996</v>
      </c>
      <c r="AR36" s="10">
        <v>31.45</v>
      </c>
      <c r="AS36" s="10">
        <v>45.206809999999997</v>
      </c>
      <c r="AT36" s="10">
        <v>105.2218</v>
      </c>
      <c r="AU36" s="10">
        <v>99.318269999999998</v>
      </c>
      <c r="AV36" s="10">
        <v>83.75367</v>
      </c>
      <c r="AW36" s="10">
        <v>101.7411</v>
      </c>
      <c r="AX36" s="10">
        <v>72.751140000000007</v>
      </c>
      <c r="AY36" s="10">
        <v>51.147759999999998</v>
      </c>
      <c r="AZ36" s="10">
        <v>156.07</v>
      </c>
      <c r="BA36" s="10">
        <v>261.83999999999997</v>
      </c>
      <c r="BB36" s="10">
        <v>77.461169999999996</v>
      </c>
      <c r="BC36" s="10">
        <v>96.86</v>
      </c>
      <c r="BD36" s="10">
        <v>58.801000000000002</v>
      </c>
      <c r="BE36" s="10">
        <v>17.00394</v>
      </c>
      <c r="BF36" s="10">
        <v>121.3634</v>
      </c>
      <c r="BG36" s="10">
        <v>1776.29</v>
      </c>
      <c r="BH36" s="10">
        <v>39.092820000000003</v>
      </c>
      <c r="BI36" s="10">
        <v>52.79</v>
      </c>
      <c r="BJ36" s="10">
        <v>35.89378</v>
      </c>
      <c r="BK36" s="10">
        <v>206.6328</v>
      </c>
      <c r="BL36" s="10">
        <v>92.655420000000007</v>
      </c>
      <c r="BM36" s="10">
        <v>116.8171</v>
      </c>
      <c r="BN36" s="10">
        <v>82.796459999999996</v>
      </c>
      <c r="BO36" s="10">
        <v>216.29</v>
      </c>
      <c r="BP36" s="10">
        <v>94.010300000000001</v>
      </c>
      <c r="BQ36" s="10">
        <v>79.021839999999997</v>
      </c>
      <c r="BR36" s="10">
        <v>8.9119949999999992</v>
      </c>
      <c r="BS36" s="10">
        <v>1966.41</v>
      </c>
      <c r="BT36" s="10">
        <v>42.603909999999999</v>
      </c>
      <c r="BU36" s="10">
        <v>112.2424</v>
      </c>
      <c r="BV36" s="10">
        <v>222.3981</v>
      </c>
      <c r="BW36" s="10">
        <v>12.68412</v>
      </c>
      <c r="BX36" s="10">
        <v>99.061819999999997</v>
      </c>
      <c r="BY36" s="10">
        <v>135.24940000000001</v>
      </c>
      <c r="BZ36" s="10">
        <v>114.4319</v>
      </c>
      <c r="CA36" s="10">
        <v>51.232340000000001</v>
      </c>
      <c r="CB36" s="10">
        <v>128.1694</v>
      </c>
      <c r="CC36" s="10">
        <v>63.212919999999997</v>
      </c>
      <c r="CD36" s="10">
        <v>58.648919999999997</v>
      </c>
      <c r="CE36" s="10">
        <v>161.19370000000001</v>
      </c>
      <c r="CF36" s="10">
        <v>91.789029999999997</v>
      </c>
      <c r="CG36" s="10">
        <v>194.73310000000001</v>
      </c>
      <c r="CH36" s="10">
        <v>52.571770000000001</v>
      </c>
      <c r="CI36" s="10">
        <v>143.60300000000001</v>
      </c>
      <c r="CJ36" s="10">
        <v>70.790499999999994</v>
      </c>
      <c r="CK36" s="10">
        <v>22.827780000000001</v>
      </c>
      <c r="CL36" s="10">
        <v>69.997640000000004</v>
      </c>
      <c r="CM36" s="10">
        <v>40.912649999999999</v>
      </c>
      <c r="CN36" s="10">
        <v>57.901269999999997</v>
      </c>
      <c r="CO36" s="10">
        <v>79.093699999999998</v>
      </c>
      <c r="CP36" s="10">
        <v>77.658739999999995</v>
      </c>
      <c r="CQ36" s="10">
        <v>150.95679999999999</v>
      </c>
      <c r="CR36" s="10">
        <v>42.38485</v>
      </c>
      <c r="CS36" s="10">
        <v>14.89837</v>
      </c>
      <c r="CT36" s="10">
        <v>40.450000000000003</v>
      </c>
      <c r="CU36" s="10">
        <v>31.16</v>
      </c>
      <c r="CV36" s="10">
        <v>111.1574</v>
      </c>
      <c r="CW36" s="10">
        <v>153.77070000000001</v>
      </c>
      <c r="CX36" s="10">
        <v>4.88</v>
      </c>
      <c r="CY36" s="10">
        <v>17.75</v>
      </c>
      <c r="CZ36" s="10">
        <v>35.479999999999997</v>
      </c>
      <c r="DA36" s="10">
        <v>20.04</v>
      </c>
      <c r="DB36" s="10">
        <v>16.559999999999999</v>
      </c>
      <c r="DC36" s="10">
        <v>28.979240000000001</v>
      </c>
      <c r="DD36" s="10">
        <v>2.9847380000000001</v>
      </c>
      <c r="DE36" s="10">
        <v>108.3233</v>
      </c>
      <c r="DF36" s="10">
        <v>43.06</v>
      </c>
      <c r="DG36" s="10">
        <v>4.13</v>
      </c>
      <c r="DH36" s="10">
        <v>57.21</v>
      </c>
      <c r="DI36" s="10">
        <v>59.0886</v>
      </c>
      <c r="DJ36" s="10">
        <v>104.9586</v>
      </c>
      <c r="DK36" s="10">
        <v>48.583289999999998</v>
      </c>
      <c r="DL36" s="10">
        <v>117.16549999999999</v>
      </c>
      <c r="DM36" s="10">
        <v>69.58578</v>
      </c>
      <c r="DN36" s="10">
        <v>60.437840000000001</v>
      </c>
      <c r="DO36" s="10">
        <v>40.499989999999997</v>
      </c>
      <c r="DP36" s="10">
        <v>19.718219999999999</v>
      </c>
      <c r="DQ36" s="10">
        <v>92.715519999999998</v>
      </c>
      <c r="DR36" s="10">
        <v>30.03895</v>
      </c>
      <c r="DS36" s="10">
        <v>19.986740000000001</v>
      </c>
      <c r="DT36" s="10">
        <v>17.886389999999999</v>
      </c>
      <c r="DU36" s="10">
        <v>20.245650000000001</v>
      </c>
      <c r="DV36" s="15">
        <v>20.919730999999999</v>
      </c>
      <c r="DW36" s="10">
        <v>45.122</v>
      </c>
      <c r="DX36" s="10">
        <v>155.78110000000001</v>
      </c>
      <c r="DY36" s="10">
        <v>47.113909999999997</v>
      </c>
      <c r="DZ36" s="10">
        <v>8.8710690000000003</v>
      </c>
      <c r="EA36" s="9">
        <v>2926.46</v>
      </c>
    </row>
    <row r="37" spans="1:131" ht="15.75">
      <c r="A37" s="8">
        <v>43709</v>
      </c>
      <c r="B37" s="10">
        <v>122.8134</v>
      </c>
      <c r="C37" s="10">
        <v>31.490400000000001</v>
      </c>
      <c r="D37" s="10">
        <v>107.7259</v>
      </c>
      <c r="E37" s="10">
        <v>68.298289999999994</v>
      </c>
      <c r="F37" s="10">
        <v>74.82338</v>
      </c>
      <c r="G37" s="10">
        <v>182.97219999999999</v>
      </c>
      <c r="H37" s="10">
        <v>47.2851</v>
      </c>
      <c r="I37" s="10">
        <v>289.74810000000002</v>
      </c>
      <c r="J37" s="10">
        <v>304.22000000000003</v>
      </c>
      <c r="K37" s="10">
        <v>271.93</v>
      </c>
      <c r="L37" s="10">
        <v>149.24</v>
      </c>
      <c r="M37" s="10">
        <v>75.476140000000001</v>
      </c>
      <c r="N37" s="10">
        <v>149.38</v>
      </c>
      <c r="O37" s="10">
        <v>704.4</v>
      </c>
      <c r="P37" s="10">
        <v>209.72550000000001</v>
      </c>
      <c r="Q37" s="10">
        <v>59.511650000000003</v>
      </c>
      <c r="R37" s="10">
        <v>233.31389999999999</v>
      </c>
      <c r="S37" s="10">
        <v>277.39999999999998</v>
      </c>
      <c r="T37" s="10">
        <v>81.105559999999997</v>
      </c>
      <c r="U37" s="10">
        <v>103.5142</v>
      </c>
      <c r="V37" s="10">
        <v>210.99019999999999</v>
      </c>
      <c r="W37" s="10">
        <v>47.66</v>
      </c>
      <c r="X37" s="10">
        <v>123.19070000000001</v>
      </c>
      <c r="Y37" s="10">
        <v>19.493369999999999</v>
      </c>
      <c r="Z37" s="10">
        <v>245.6037</v>
      </c>
      <c r="AA37" s="10">
        <v>539.92999999999995</v>
      </c>
      <c r="AB37" s="10">
        <v>132.88050000000001</v>
      </c>
      <c r="AC37" s="10">
        <v>85.382840000000002</v>
      </c>
      <c r="AD37" s="10">
        <v>136.21510000000001</v>
      </c>
      <c r="AE37" s="10">
        <v>276.25</v>
      </c>
      <c r="AF37" s="10">
        <v>53.205910000000003</v>
      </c>
      <c r="AG37" s="10">
        <v>137.25</v>
      </c>
      <c r="AH37" s="10">
        <v>76.760000000000005</v>
      </c>
      <c r="AI37" s="10">
        <v>188.63</v>
      </c>
      <c r="AJ37" s="10">
        <v>91.38</v>
      </c>
      <c r="AK37" s="10">
        <v>13.0601</v>
      </c>
      <c r="AL37" s="10">
        <v>140.41999999999999</v>
      </c>
      <c r="AM37" s="10">
        <v>43.381210000000003</v>
      </c>
      <c r="AN37" s="10">
        <v>49.079700000000003</v>
      </c>
      <c r="AO37" s="10">
        <v>253.1206</v>
      </c>
      <c r="AP37" s="10">
        <v>122.4924</v>
      </c>
      <c r="AQ37" s="10">
        <v>72.168689999999998</v>
      </c>
      <c r="AR37" s="10">
        <v>28.99</v>
      </c>
      <c r="AS37" s="10">
        <v>42.790179999999999</v>
      </c>
      <c r="AT37" s="10">
        <v>107.57980000000001</v>
      </c>
      <c r="AU37" s="10">
        <v>106.1054</v>
      </c>
      <c r="AV37" s="10">
        <v>90.505139999999997</v>
      </c>
      <c r="AW37" s="10">
        <v>94.088310000000007</v>
      </c>
      <c r="AX37" s="10">
        <v>77.058930000000004</v>
      </c>
      <c r="AY37" s="10">
        <v>55.088090000000001</v>
      </c>
      <c r="AZ37" s="10">
        <v>148.44</v>
      </c>
      <c r="BA37" s="10">
        <v>253.85</v>
      </c>
      <c r="BB37" s="10">
        <v>80.424019999999999</v>
      </c>
      <c r="BC37" s="10">
        <v>97.25</v>
      </c>
      <c r="BD37" s="10">
        <v>56.917529999999999</v>
      </c>
      <c r="BE37" s="10">
        <v>17.589639999999999</v>
      </c>
      <c r="BF37" s="10">
        <v>131.75399999999999</v>
      </c>
      <c r="BG37" s="10">
        <v>1735.91</v>
      </c>
      <c r="BH37" s="10">
        <v>37.952840000000002</v>
      </c>
      <c r="BI37" s="10">
        <v>56.5</v>
      </c>
      <c r="BJ37" s="10">
        <v>36.2712</v>
      </c>
      <c r="BK37" s="10">
        <v>204.61869999999999</v>
      </c>
      <c r="BL37" s="10">
        <v>85.166169999999994</v>
      </c>
      <c r="BM37" s="10">
        <v>114.1521</v>
      </c>
      <c r="BN37" s="10">
        <v>92.264279999999999</v>
      </c>
      <c r="BO37" s="10">
        <v>220.19049999999999</v>
      </c>
      <c r="BP37" s="10">
        <v>99.169740000000004</v>
      </c>
      <c r="BQ37" s="10">
        <v>71.686710000000005</v>
      </c>
      <c r="BR37" s="10">
        <v>8.8484660000000002</v>
      </c>
      <c r="BS37" s="10">
        <v>1962.61</v>
      </c>
      <c r="BT37" s="10">
        <v>42.711039999999997</v>
      </c>
      <c r="BU37" s="10">
        <v>109.4173</v>
      </c>
      <c r="BV37" s="10">
        <v>239.8005</v>
      </c>
      <c r="BW37" s="10">
        <v>15.27581</v>
      </c>
      <c r="BX37" s="10">
        <v>88.242699999999999</v>
      </c>
      <c r="BY37" s="10">
        <v>162.16200000000001</v>
      </c>
      <c r="BZ37" s="10">
        <v>118.3818</v>
      </c>
      <c r="CA37" s="10">
        <v>50.673839999999998</v>
      </c>
      <c r="CB37" s="10">
        <v>128.5162</v>
      </c>
      <c r="CC37" s="10">
        <v>66.580089999999998</v>
      </c>
      <c r="CD37" s="10">
        <v>56.224339999999998</v>
      </c>
      <c r="CE37" s="10">
        <v>155.8956</v>
      </c>
      <c r="CF37" s="10">
        <v>92.420400000000001</v>
      </c>
      <c r="CG37" s="10">
        <v>196.09370000000001</v>
      </c>
      <c r="CH37" s="10">
        <v>52.666969999999999</v>
      </c>
      <c r="CI37" s="10">
        <v>145.4915</v>
      </c>
      <c r="CJ37" s="10">
        <v>70.179509999999993</v>
      </c>
      <c r="CK37" s="10">
        <v>25.382919999999999</v>
      </c>
      <c r="CL37" s="10">
        <v>74.772130000000004</v>
      </c>
      <c r="CM37" s="10">
        <v>41.988030000000002</v>
      </c>
      <c r="CN37" s="10">
        <v>59.872399999999999</v>
      </c>
      <c r="CO37" s="10">
        <v>75.90316</v>
      </c>
      <c r="CP37" s="10">
        <v>73.453000000000003</v>
      </c>
      <c r="CQ37" s="10">
        <v>144.95330000000001</v>
      </c>
      <c r="CR37" s="10">
        <v>44.193269999999998</v>
      </c>
      <c r="CS37" s="10">
        <v>17.042110000000001</v>
      </c>
      <c r="CT37" s="10">
        <v>41.1</v>
      </c>
      <c r="CU37" s="10">
        <v>32.049999999999997</v>
      </c>
      <c r="CV37" s="10">
        <v>113.1981</v>
      </c>
      <c r="CW37" s="10">
        <v>141.12860000000001</v>
      </c>
      <c r="CX37" s="10">
        <v>5.17</v>
      </c>
      <c r="CY37" s="10">
        <v>18.78</v>
      </c>
      <c r="CZ37" s="10">
        <v>40.31</v>
      </c>
      <c r="DA37" s="10">
        <v>22.65</v>
      </c>
      <c r="DB37" s="10">
        <v>18.079999999999998</v>
      </c>
      <c r="DC37" s="10">
        <v>29.88711</v>
      </c>
      <c r="DD37" s="10">
        <v>3.1042670000000001</v>
      </c>
      <c r="DE37" s="10">
        <v>112.4311</v>
      </c>
      <c r="DF37" s="10">
        <v>46.5</v>
      </c>
      <c r="DG37" s="10">
        <v>4.46</v>
      </c>
      <c r="DH37" s="10">
        <v>62.51</v>
      </c>
      <c r="DI37" s="10">
        <v>61.684040000000003</v>
      </c>
      <c r="DJ37" s="10">
        <v>106.8302</v>
      </c>
      <c r="DK37" s="10">
        <v>53.052430000000001</v>
      </c>
      <c r="DL37" s="10">
        <v>119.3964</v>
      </c>
      <c r="DM37" s="10">
        <v>69.613910000000004</v>
      </c>
      <c r="DN37" s="10">
        <v>58.066409999999998</v>
      </c>
      <c r="DO37" s="10">
        <v>41.422139999999999</v>
      </c>
      <c r="DP37" s="10">
        <v>21.574369999999998</v>
      </c>
      <c r="DQ37" s="10">
        <v>85.158619999999999</v>
      </c>
      <c r="DR37" s="10">
        <v>31.650649999999999</v>
      </c>
      <c r="DS37" s="10">
        <v>21.541910000000001</v>
      </c>
      <c r="DT37" s="10">
        <v>17.477969999999999</v>
      </c>
      <c r="DU37" s="10">
        <v>21.008700000000001</v>
      </c>
      <c r="DV37" s="15">
        <v>24.828239</v>
      </c>
      <c r="DW37" s="10">
        <v>48.173999999999999</v>
      </c>
      <c r="DX37" s="10">
        <v>152.16679999999999</v>
      </c>
      <c r="DY37" s="10">
        <v>50.519880000000001</v>
      </c>
      <c r="DZ37" s="10">
        <v>8.8613949999999999</v>
      </c>
      <c r="EA37" s="9">
        <v>2976.74</v>
      </c>
    </row>
    <row r="38" spans="1:131" ht="15.75">
      <c r="A38" s="8">
        <v>43739</v>
      </c>
      <c r="B38" s="10">
        <v>125.33839999999999</v>
      </c>
      <c r="C38" s="10">
        <v>33.628909999999998</v>
      </c>
      <c r="D38" s="10">
        <v>109.7681</v>
      </c>
      <c r="E38" s="10">
        <v>71.752899999999997</v>
      </c>
      <c r="F38" s="10">
        <v>77.539640000000006</v>
      </c>
      <c r="G38" s="10">
        <v>201.63720000000001</v>
      </c>
      <c r="H38" s="10">
        <v>53.495289999999997</v>
      </c>
      <c r="I38" s="10">
        <v>300.59410000000003</v>
      </c>
      <c r="J38" s="10">
        <v>295.52</v>
      </c>
      <c r="K38" s="10">
        <v>285.01</v>
      </c>
      <c r="L38" s="10">
        <v>154.24</v>
      </c>
      <c r="M38" s="10">
        <v>74.769909999999996</v>
      </c>
      <c r="N38" s="10">
        <v>144.41999999999999</v>
      </c>
      <c r="O38" s="10">
        <v>704.94</v>
      </c>
      <c r="P38" s="10">
        <v>245.01910000000001</v>
      </c>
      <c r="Q38" s="10">
        <v>62.644329999999997</v>
      </c>
      <c r="R38" s="10">
        <v>262.31630000000001</v>
      </c>
      <c r="S38" s="10">
        <v>306.27999999999997</v>
      </c>
      <c r="T38" s="10">
        <v>81.047399999999996</v>
      </c>
      <c r="U38" s="10">
        <v>104.3044</v>
      </c>
      <c r="V38" s="10">
        <v>211.4691</v>
      </c>
      <c r="W38" s="10">
        <v>48.65</v>
      </c>
      <c r="X38" s="10">
        <v>126.4833</v>
      </c>
      <c r="Y38" s="10">
        <v>18.872499999999999</v>
      </c>
      <c r="Z38" s="10">
        <v>249.2979</v>
      </c>
      <c r="AA38" s="10">
        <v>552.95000000000005</v>
      </c>
      <c r="AB38" s="10">
        <v>145.47919999999999</v>
      </c>
      <c r="AC38" s="10">
        <v>74.869839999999996</v>
      </c>
      <c r="AD38" s="10">
        <v>140.46719999999999</v>
      </c>
      <c r="AE38" s="10">
        <v>277.93</v>
      </c>
      <c r="AF38" s="10">
        <v>52.683810000000001</v>
      </c>
      <c r="AG38" s="10">
        <v>135.75</v>
      </c>
      <c r="AH38" s="10">
        <v>81.56</v>
      </c>
      <c r="AI38" s="10">
        <v>190.02</v>
      </c>
      <c r="AJ38" s="10">
        <v>86.5</v>
      </c>
      <c r="AK38" s="10">
        <v>12.645580000000001</v>
      </c>
      <c r="AL38" s="10">
        <v>144.08000000000001</v>
      </c>
      <c r="AM38" s="10">
        <v>50.0976</v>
      </c>
      <c r="AN38" s="10">
        <v>53.841929999999998</v>
      </c>
      <c r="AO38" s="10">
        <v>270.97640000000001</v>
      </c>
      <c r="AP38" s="10">
        <v>111.82980000000001</v>
      </c>
      <c r="AQ38" s="10">
        <v>76.708709999999996</v>
      </c>
      <c r="AR38" s="10">
        <v>33.93</v>
      </c>
      <c r="AS38" s="10">
        <v>47.483620000000002</v>
      </c>
      <c r="AT38" s="10">
        <v>102.66930000000001</v>
      </c>
      <c r="AU38" s="10">
        <v>110.9175</v>
      </c>
      <c r="AV38" s="10">
        <v>91.849429999999998</v>
      </c>
      <c r="AW38" s="10">
        <v>89.025790000000001</v>
      </c>
      <c r="AX38" s="10">
        <v>88.542410000000004</v>
      </c>
      <c r="AY38" s="10">
        <v>61.185490000000001</v>
      </c>
      <c r="AZ38" s="10">
        <v>156.49</v>
      </c>
      <c r="BA38" s="10">
        <v>247.26</v>
      </c>
      <c r="BB38" s="10">
        <v>89.625020000000006</v>
      </c>
      <c r="BC38" s="10">
        <v>100.91</v>
      </c>
      <c r="BD38" s="10">
        <v>57.282809999999998</v>
      </c>
      <c r="BE38" s="10">
        <v>16.285699999999999</v>
      </c>
      <c r="BF38" s="10">
        <v>121.1626</v>
      </c>
      <c r="BG38" s="10">
        <v>1776.66</v>
      </c>
      <c r="BH38" s="10">
        <v>34.321129999999997</v>
      </c>
      <c r="BI38" s="10">
        <v>44.49</v>
      </c>
      <c r="BJ38" s="10">
        <v>36.32246</v>
      </c>
      <c r="BK38" s="10">
        <v>187.45509999999999</v>
      </c>
      <c r="BL38" s="10">
        <v>81.4482</v>
      </c>
      <c r="BM38" s="10">
        <v>108.4068</v>
      </c>
      <c r="BN38" s="10">
        <v>87.971310000000003</v>
      </c>
      <c r="BO38" s="10">
        <v>223.9794</v>
      </c>
      <c r="BP38" s="10">
        <v>103.0635</v>
      </c>
      <c r="BQ38" s="10">
        <v>68.890529999999998</v>
      </c>
      <c r="BR38" s="10">
        <v>8.7467279999999992</v>
      </c>
      <c r="BS38" s="10">
        <v>2048.77</v>
      </c>
      <c r="BT38" s="10">
        <v>41.909790000000001</v>
      </c>
      <c r="BU38" s="10">
        <v>98.111930000000001</v>
      </c>
      <c r="BV38" s="10">
        <v>266.99799999999999</v>
      </c>
      <c r="BW38" s="10">
        <v>13.287380000000001</v>
      </c>
      <c r="BX38" s="10">
        <v>92.711429999999993</v>
      </c>
      <c r="BY38" s="10">
        <v>159.3614</v>
      </c>
      <c r="BZ38" s="10">
        <v>118.5055</v>
      </c>
      <c r="CA38" s="10">
        <v>51.034959999999998</v>
      </c>
      <c r="CB38" s="10">
        <v>129.47040000000001</v>
      </c>
      <c r="CC38" s="10">
        <v>72.591210000000004</v>
      </c>
      <c r="CD38" s="10">
        <v>56.233710000000002</v>
      </c>
      <c r="CE38" s="10">
        <v>156.22929999999999</v>
      </c>
      <c r="CF38" s="10">
        <v>78.4529</v>
      </c>
      <c r="CG38" s="10">
        <v>183.59569999999999</v>
      </c>
      <c r="CH38" s="10">
        <v>50.191470000000002</v>
      </c>
      <c r="CI38" s="10">
        <v>149.23609999999999</v>
      </c>
      <c r="CJ38" s="10">
        <v>65.491950000000003</v>
      </c>
      <c r="CK38" s="10">
        <v>29.3764</v>
      </c>
      <c r="CL38" s="10">
        <v>75.21472</v>
      </c>
      <c r="CM38" s="10">
        <v>39.261159999999997</v>
      </c>
      <c r="CN38" s="10">
        <v>59.109459999999999</v>
      </c>
      <c r="CO38" s="10">
        <v>78.035049999999998</v>
      </c>
      <c r="CP38" s="10">
        <v>68.278850000000006</v>
      </c>
      <c r="CQ38" s="10">
        <v>140.96360000000001</v>
      </c>
      <c r="CR38" s="10">
        <v>43.618720000000003</v>
      </c>
      <c r="CS38" s="10">
        <v>17.26971</v>
      </c>
      <c r="CT38" s="10">
        <v>39.67</v>
      </c>
      <c r="CU38" s="10">
        <v>30.36</v>
      </c>
      <c r="CV38" s="10">
        <v>108.8051</v>
      </c>
      <c r="CW38" s="10">
        <v>148.5898</v>
      </c>
      <c r="CX38" s="10">
        <v>5.39</v>
      </c>
      <c r="CY38" s="10">
        <v>18.71</v>
      </c>
      <c r="CZ38" s="10">
        <v>38.909999999999997</v>
      </c>
      <c r="DA38" s="10">
        <v>19.91</v>
      </c>
      <c r="DB38" s="10">
        <v>13.64</v>
      </c>
      <c r="DC38" s="10">
        <v>28.35594</v>
      </c>
      <c r="DD38" s="10">
        <v>3.1429490000000002</v>
      </c>
      <c r="DE38" s="10">
        <v>120.5667</v>
      </c>
      <c r="DF38" s="10">
        <v>45.8</v>
      </c>
      <c r="DG38" s="10">
        <v>4.1900000000000004</v>
      </c>
      <c r="DH38" s="10">
        <v>73.94</v>
      </c>
      <c r="DI38" s="10">
        <v>59.028329999999997</v>
      </c>
      <c r="DJ38" s="10">
        <v>104.6144</v>
      </c>
      <c r="DK38" s="10">
        <v>51.395119999999999</v>
      </c>
      <c r="DL38" s="10">
        <v>117.18810000000001</v>
      </c>
      <c r="DM38" s="10">
        <v>65.008619999999993</v>
      </c>
      <c r="DN38" s="10">
        <v>63.375700000000002</v>
      </c>
      <c r="DO38" s="10">
        <v>38.391390000000001</v>
      </c>
      <c r="DP38" s="10">
        <v>18.25066</v>
      </c>
      <c r="DQ38" s="10">
        <v>81.227930000000001</v>
      </c>
      <c r="DR38" s="10">
        <v>30.75394</v>
      </c>
      <c r="DS38" s="10">
        <v>19.870550000000001</v>
      </c>
      <c r="DT38" s="10">
        <v>14.285019999999999</v>
      </c>
      <c r="DU38" s="10">
        <v>22.462610000000002</v>
      </c>
      <c r="DV38" s="15">
        <v>21.007017000000001</v>
      </c>
      <c r="DW38" s="10">
        <v>62.984000000000002</v>
      </c>
      <c r="DX38" s="10">
        <v>158.1215</v>
      </c>
      <c r="DY38" s="10">
        <v>50.936689999999999</v>
      </c>
      <c r="DZ38" s="10">
        <v>8.3099769999999999</v>
      </c>
      <c r="EA38" s="9">
        <v>3037.56</v>
      </c>
    </row>
    <row r="39" spans="1:131" ht="15.75">
      <c r="A39" s="8">
        <v>43770</v>
      </c>
      <c r="B39" s="10">
        <v>130.51169999999999</v>
      </c>
      <c r="C39" s="10">
        <v>33.760379999999998</v>
      </c>
      <c r="D39" s="10">
        <v>113.04340000000001</v>
      </c>
      <c r="E39" s="10">
        <v>80.284989999999993</v>
      </c>
      <c r="F39" s="10">
        <v>78.004900000000006</v>
      </c>
      <c r="G39" s="10">
        <v>221.93799999999999</v>
      </c>
      <c r="H39" s="10">
        <v>53.540410000000001</v>
      </c>
      <c r="I39" s="10">
        <v>312.50920000000002</v>
      </c>
      <c r="J39" s="10">
        <v>320.76</v>
      </c>
      <c r="K39" s="10">
        <v>251.58</v>
      </c>
      <c r="L39" s="10">
        <v>227.31</v>
      </c>
      <c r="M39" s="10">
        <v>79.724959999999996</v>
      </c>
      <c r="N39" s="10">
        <v>145.97999999999999</v>
      </c>
      <c r="O39" s="10">
        <v>719.41</v>
      </c>
      <c r="P39" s="10">
        <v>271.36329999999998</v>
      </c>
      <c r="Q39" s="10">
        <v>71.560900000000004</v>
      </c>
      <c r="R39" s="10">
        <v>281.40410000000003</v>
      </c>
      <c r="S39" s="10">
        <v>369</v>
      </c>
      <c r="T39" s="10">
        <v>83.163079999999994</v>
      </c>
      <c r="U39" s="10">
        <v>106.6893</v>
      </c>
      <c r="V39" s="10">
        <v>200.3124</v>
      </c>
      <c r="W39" s="10">
        <v>51.99</v>
      </c>
      <c r="X39" s="10">
        <v>119.31910000000001</v>
      </c>
      <c r="Y39" s="10">
        <v>18.507860000000001</v>
      </c>
      <c r="Z39" s="10">
        <v>251.73249999999999</v>
      </c>
      <c r="AA39" s="10">
        <v>592.9</v>
      </c>
      <c r="AB39" s="10">
        <v>147.13149999999999</v>
      </c>
      <c r="AC39" s="10">
        <v>80.014089999999996</v>
      </c>
      <c r="AD39" s="10">
        <v>148.3151</v>
      </c>
      <c r="AE39" s="10">
        <v>309.52999999999997</v>
      </c>
      <c r="AF39" s="10">
        <v>54.521210000000004</v>
      </c>
      <c r="AG39" s="10">
        <v>141.04</v>
      </c>
      <c r="AH39" s="10">
        <v>105.11</v>
      </c>
      <c r="AI39" s="10">
        <v>190.74</v>
      </c>
      <c r="AJ39" s="10">
        <v>87.12</v>
      </c>
      <c r="AK39" s="10">
        <v>13.76202</v>
      </c>
      <c r="AL39" s="10">
        <v>145.71</v>
      </c>
      <c r="AM39" s="10">
        <v>54.015300000000003</v>
      </c>
      <c r="AN39" s="10">
        <v>55.289659999999998</v>
      </c>
      <c r="AO39" s="10">
        <v>292.5915</v>
      </c>
      <c r="AP39" s="10">
        <v>114.7927</v>
      </c>
      <c r="AQ39" s="10">
        <v>79.674449999999993</v>
      </c>
      <c r="AR39" s="10">
        <v>39.15</v>
      </c>
      <c r="AS39" s="10">
        <v>47.443680000000001</v>
      </c>
      <c r="AT39" s="10">
        <v>108.75449999999999</v>
      </c>
      <c r="AU39" s="10">
        <v>112.7713</v>
      </c>
      <c r="AV39" s="10">
        <v>92.092960000000005</v>
      </c>
      <c r="AW39" s="10">
        <v>91.027249999999995</v>
      </c>
      <c r="AX39" s="10">
        <v>95.582250000000002</v>
      </c>
      <c r="AY39" s="10">
        <v>65.733310000000003</v>
      </c>
      <c r="AZ39" s="10">
        <v>162.88999999999999</v>
      </c>
      <c r="BA39" s="10">
        <v>283.04000000000002</v>
      </c>
      <c r="BB39" s="10">
        <v>93.391660000000002</v>
      </c>
      <c r="BC39" s="10">
        <v>107.03</v>
      </c>
      <c r="BD39" s="10">
        <v>59.91451</v>
      </c>
      <c r="BE39" s="10">
        <v>18.826530000000002</v>
      </c>
      <c r="BF39" s="10">
        <v>121.815</v>
      </c>
      <c r="BG39" s="10">
        <v>1800.8</v>
      </c>
      <c r="BH39" s="10">
        <v>34.584009999999999</v>
      </c>
      <c r="BI39" s="10">
        <v>43.39</v>
      </c>
      <c r="BJ39" s="10">
        <v>35.188609999999997</v>
      </c>
      <c r="BK39" s="10">
        <v>185.33940000000001</v>
      </c>
      <c r="BL39" s="10">
        <v>82.286199999999994</v>
      </c>
      <c r="BM39" s="10">
        <v>115.2547</v>
      </c>
      <c r="BN39" s="10">
        <v>91.841849999999994</v>
      </c>
      <c r="BO39" s="10">
        <v>210.54519999999999</v>
      </c>
      <c r="BP39" s="10">
        <v>105.361</v>
      </c>
      <c r="BQ39" s="10">
        <v>65.040859999999995</v>
      </c>
      <c r="BR39" s="10">
        <v>9.4266199999999998</v>
      </c>
      <c r="BS39" s="10">
        <v>1904.03</v>
      </c>
      <c r="BT39" s="10">
        <v>44.04974</v>
      </c>
      <c r="BU39" s="10">
        <v>97.108729999999994</v>
      </c>
      <c r="BV39" s="10">
        <v>289.29199999999997</v>
      </c>
      <c r="BW39" s="10">
        <v>14.924910000000001</v>
      </c>
      <c r="BX39" s="10">
        <v>92.145529999999994</v>
      </c>
      <c r="BY39" s="10">
        <v>154.065</v>
      </c>
      <c r="BZ39" s="10">
        <v>116.9157</v>
      </c>
      <c r="CA39" s="10">
        <v>50.069200000000002</v>
      </c>
      <c r="CB39" s="10">
        <v>128.20570000000001</v>
      </c>
      <c r="CC39" s="10">
        <v>73.919300000000007</v>
      </c>
      <c r="CD39" s="10">
        <v>56.07499</v>
      </c>
      <c r="CE39" s="10">
        <v>155.8193</v>
      </c>
      <c r="CF39" s="10">
        <v>77.073650000000001</v>
      </c>
      <c r="CG39" s="10">
        <v>192.6636</v>
      </c>
      <c r="CH39" s="10">
        <v>50.27758</v>
      </c>
      <c r="CI39" s="10">
        <v>154.88890000000001</v>
      </c>
      <c r="CJ39" s="10">
        <v>65.157510000000002</v>
      </c>
      <c r="CK39" s="10">
        <v>27.71359</v>
      </c>
      <c r="CL39" s="10">
        <v>76.23321</v>
      </c>
      <c r="CM39" s="10">
        <v>42.977049999999998</v>
      </c>
      <c r="CN39" s="10">
        <v>60.588830000000002</v>
      </c>
      <c r="CO39" s="10">
        <v>82.472890000000007</v>
      </c>
      <c r="CP39" s="10">
        <v>68.571730000000002</v>
      </c>
      <c r="CQ39" s="10">
        <v>142.48070000000001</v>
      </c>
      <c r="CR39" s="10">
        <v>44.194339999999997</v>
      </c>
      <c r="CS39" s="10">
        <v>17.497299999999999</v>
      </c>
      <c r="CT39" s="10">
        <v>39.770000000000003</v>
      </c>
      <c r="CU39" s="10">
        <v>31.5</v>
      </c>
      <c r="CV39" s="10">
        <v>113.1131</v>
      </c>
      <c r="CW39" s="10">
        <v>155.78270000000001</v>
      </c>
      <c r="CX39" s="10">
        <v>5.35</v>
      </c>
      <c r="CY39" s="10">
        <v>22.07</v>
      </c>
      <c r="CZ39" s="10">
        <v>42.83</v>
      </c>
      <c r="DA39" s="10">
        <v>20.03</v>
      </c>
      <c r="DB39" s="10">
        <v>18.34</v>
      </c>
      <c r="DC39" s="10">
        <v>28.247979999999998</v>
      </c>
      <c r="DD39" s="10">
        <v>2.939867</v>
      </c>
      <c r="DE39" s="10">
        <v>126.8639</v>
      </c>
      <c r="DF39" s="10">
        <v>51.07</v>
      </c>
      <c r="DG39" s="10">
        <v>4.3</v>
      </c>
      <c r="DH39" s="10">
        <v>75.900000000000006</v>
      </c>
      <c r="DI39" s="10">
        <v>59.517539999999997</v>
      </c>
      <c r="DJ39" s="10">
        <v>105.5061</v>
      </c>
      <c r="DK39" s="10">
        <v>56.230499999999999</v>
      </c>
      <c r="DL39" s="10">
        <v>121.7796</v>
      </c>
      <c r="DM39" s="10">
        <v>66.777659999999997</v>
      </c>
      <c r="DN39" s="10">
        <v>59.847859999999997</v>
      </c>
      <c r="DO39" s="10">
        <v>36.561869999999999</v>
      </c>
      <c r="DP39" s="10">
        <v>19.699549999999999</v>
      </c>
      <c r="DQ39" s="10">
        <v>73.252880000000005</v>
      </c>
      <c r="DR39" s="10">
        <v>34.056060000000002</v>
      </c>
      <c r="DS39" s="10">
        <v>20.81765</v>
      </c>
      <c r="DT39" s="10">
        <v>13.640639999999999</v>
      </c>
      <c r="DU39" s="10">
        <v>22.393090000000001</v>
      </c>
      <c r="DV39" s="15">
        <v>21.851776000000001</v>
      </c>
      <c r="DW39" s="10">
        <v>65.988</v>
      </c>
      <c r="DX39" s="10">
        <v>166.16980000000001</v>
      </c>
      <c r="DY39" s="10">
        <v>52.120820000000002</v>
      </c>
      <c r="DZ39" s="10">
        <v>8.9084959999999995</v>
      </c>
      <c r="EA39" s="9">
        <v>3140.98</v>
      </c>
    </row>
    <row r="40" spans="1:131" ht="15.75">
      <c r="A40" s="8">
        <v>43800</v>
      </c>
      <c r="B40" s="10">
        <v>139.42580000000001</v>
      </c>
      <c r="C40" s="10">
        <v>34.67069</v>
      </c>
      <c r="D40" s="10">
        <v>127.3348</v>
      </c>
      <c r="E40" s="10">
        <v>81.026250000000005</v>
      </c>
      <c r="F40" s="10">
        <v>81.378150000000005</v>
      </c>
      <c r="G40" s="10">
        <v>229.45679999999999</v>
      </c>
      <c r="H40" s="10">
        <v>60.357550000000003</v>
      </c>
      <c r="I40" s="10">
        <v>323.37900000000002</v>
      </c>
      <c r="J40" s="10">
        <v>331.74</v>
      </c>
      <c r="K40" s="10">
        <v>261.13</v>
      </c>
      <c r="L40" s="10">
        <v>218.74</v>
      </c>
      <c r="M40" s="10">
        <v>84.206220000000002</v>
      </c>
      <c r="N40" s="10">
        <v>154.51</v>
      </c>
      <c r="O40" s="10">
        <v>793.28</v>
      </c>
      <c r="P40" s="10">
        <v>285.0444</v>
      </c>
      <c r="Q40" s="10">
        <v>70.629189999999994</v>
      </c>
      <c r="R40" s="10">
        <v>294.43799999999999</v>
      </c>
      <c r="S40" s="10">
        <v>375.48</v>
      </c>
      <c r="T40" s="10">
        <v>84.535340000000005</v>
      </c>
      <c r="U40" s="10">
        <v>108.66240000000001</v>
      </c>
      <c r="V40" s="10">
        <v>205.27959999999999</v>
      </c>
      <c r="W40" s="10">
        <v>56.3</v>
      </c>
      <c r="X40" s="10">
        <v>131.03129999999999</v>
      </c>
      <c r="Y40" s="10">
        <v>19.808730000000001</v>
      </c>
      <c r="Z40" s="10">
        <v>264.84980000000002</v>
      </c>
      <c r="AA40" s="10">
        <v>591.15</v>
      </c>
      <c r="AB40" s="10">
        <v>152.82570000000001</v>
      </c>
      <c r="AC40" s="10">
        <v>81.624719999999996</v>
      </c>
      <c r="AD40" s="10">
        <v>155.03290000000001</v>
      </c>
      <c r="AE40" s="10">
        <v>329.81</v>
      </c>
      <c r="AF40" s="10">
        <v>51.45232</v>
      </c>
      <c r="AG40" s="10">
        <v>139.19999999999999</v>
      </c>
      <c r="AH40" s="10">
        <v>106.76</v>
      </c>
      <c r="AI40" s="10">
        <v>192.68</v>
      </c>
      <c r="AJ40" s="10">
        <v>86.38</v>
      </c>
      <c r="AK40" s="10">
        <v>14.17681</v>
      </c>
      <c r="AL40" s="10">
        <v>139.65</v>
      </c>
      <c r="AM40" s="10">
        <v>58.68403</v>
      </c>
      <c r="AN40" s="10">
        <v>57.317799999999998</v>
      </c>
      <c r="AO40" s="10">
        <v>292.41570000000002</v>
      </c>
      <c r="AP40" s="10">
        <v>122.5086</v>
      </c>
      <c r="AQ40" s="10">
        <v>84.137370000000004</v>
      </c>
      <c r="AR40" s="10">
        <v>45.86</v>
      </c>
      <c r="AS40" s="10">
        <v>53.704929999999997</v>
      </c>
      <c r="AT40" s="10">
        <v>114.42570000000001</v>
      </c>
      <c r="AU40" s="10">
        <v>124.1675</v>
      </c>
      <c r="AV40" s="10">
        <v>102.4152</v>
      </c>
      <c r="AW40" s="10">
        <v>96.29392</v>
      </c>
      <c r="AX40" s="10">
        <v>117.538</v>
      </c>
      <c r="AY40" s="10">
        <v>72.443560000000005</v>
      </c>
      <c r="AZ40" s="10">
        <v>162.63999999999999</v>
      </c>
      <c r="BA40" s="10">
        <v>282.32</v>
      </c>
      <c r="BB40" s="10">
        <v>93.26737</v>
      </c>
      <c r="BC40" s="10">
        <v>102.63</v>
      </c>
      <c r="BD40" s="10">
        <v>63.479469999999999</v>
      </c>
      <c r="BE40" s="10">
        <v>19.267189999999999</v>
      </c>
      <c r="BF40" s="10">
        <v>122.87779999999999</v>
      </c>
      <c r="BG40" s="10">
        <v>1847.84</v>
      </c>
      <c r="BH40" s="10">
        <v>35.296309999999998</v>
      </c>
      <c r="BI40" s="10">
        <v>44.3</v>
      </c>
      <c r="BJ40" s="10">
        <v>35.775089999999999</v>
      </c>
      <c r="BK40" s="10">
        <v>189.52930000000001</v>
      </c>
      <c r="BL40" s="10">
        <v>85.107889999999998</v>
      </c>
      <c r="BM40" s="10">
        <v>106.0783</v>
      </c>
      <c r="BN40" s="10">
        <v>99.783680000000004</v>
      </c>
      <c r="BO40" s="10">
        <v>208.51140000000001</v>
      </c>
      <c r="BP40" s="10">
        <v>105.4457</v>
      </c>
      <c r="BQ40" s="10">
        <v>63.81615</v>
      </c>
      <c r="BR40" s="10">
        <v>10.0741</v>
      </c>
      <c r="BS40" s="10">
        <v>2053.73</v>
      </c>
      <c r="BT40" s="10">
        <v>50.243600000000001</v>
      </c>
      <c r="BU40" s="10">
        <v>97.584479999999999</v>
      </c>
      <c r="BV40" s="10">
        <v>288.78089999999997</v>
      </c>
      <c r="BW40" s="10">
        <v>14.40143</v>
      </c>
      <c r="BX40" s="10">
        <v>91.500659999999996</v>
      </c>
      <c r="BY40" s="10">
        <v>157.08590000000001</v>
      </c>
      <c r="BZ40" s="10">
        <v>119.6361</v>
      </c>
      <c r="CA40" s="10">
        <v>52.285229999999999</v>
      </c>
      <c r="CB40" s="10">
        <v>128.99850000000001</v>
      </c>
      <c r="CC40" s="10">
        <v>75.844610000000003</v>
      </c>
      <c r="CD40" s="10">
        <v>53.888170000000002</v>
      </c>
      <c r="CE40" s="10">
        <v>160.56710000000001</v>
      </c>
      <c r="CF40" s="10">
        <v>80.583420000000004</v>
      </c>
      <c r="CG40" s="10">
        <v>204.07589999999999</v>
      </c>
      <c r="CH40" s="10">
        <v>52.708219999999997</v>
      </c>
      <c r="CI40" s="10">
        <v>158.37350000000001</v>
      </c>
      <c r="CJ40" s="10">
        <v>66.137460000000004</v>
      </c>
      <c r="CK40" s="10">
        <v>29.549630000000001</v>
      </c>
      <c r="CL40" s="10">
        <v>80.955799999999996</v>
      </c>
      <c r="CM40" s="10">
        <v>43.536819999999999</v>
      </c>
      <c r="CN40" s="10">
        <v>64.911649999999995</v>
      </c>
      <c r="CO40" s="10">
        <v>82.706800000000001</v>
      </c>
      <c r="CP40" s="10">
        <v>68.908919999999995</v>
      </c>
      <c r="CQ40" s="10">
        <v>147.5848</v>
      </c>
      <c r="CR40" s="10">
        <v>46.898949999999999</v>
      </c>
      <c r="CS40" s="10">
        <v>17.708549999999999</v>
      </c>
      <c r="CT40" s="10">
        <v>41.89</v>
      </c>
      <c r="CU40" s="10">
        <v>32.72</v>
      </c>
      <c r="CV40" s="10">
        <v>111.453</v>
      </c>
      <c r="CW40" s="10">
        <v>147.17850000000001</v>
      </c>
      <c r="CX40" s="10">
        <v>5.57</v>
      </c>
      <c r="CY40" s="10">
        <v>20.149999999999999</v>
      </c>
      <c r="CZ40" s="10">
        <v>42.72</v>
      </c>
      <c r="DA40" s="10">
        <v>20.7</v>
      </c>
      <c r="DB40" s="10">
        <v>19.670000000000002</v>
      </c>
      <c r="DC40" s="10">
        <v>27.159279999999999</v>
      </c>
      <c r="DD40" s="10">
        <v>2.8848859999999998</v>
      </c>
      <c r="DE40" s="10">
        <v>125.66540000000001</v>
      </c>
      <c r="DF40" s="10">
        <v>51.29</v>
      </c>
      <c r="DG40" s="10">
        <v>4.1900000000000004</v>
      </c>
      <c r="DH40" s="10">
        <v>76.94</v>
      </c>
      <c r="DI40" s="10">
        <v>61.694119999999998</v>
      </c>
      <c r="DJ40" s="10">
        <v>109.6203</v>
      </c>
      <c r="DK40" s="10">
        <v>61.005499999999998</v>
      </c>
      <c r="DL40" s="10">
        <v>144.1942</v>
      </c>
      <c r="DM40" s="10">
        <v>78.889949999999999</v>
      </c>
      <c r="DN40" s="10">
        <v>64.397419999999997</v>
      </c>
      <c r="DO40" s="10">
        <v>39.064430000000002</v>
      </c>
      <c r="DP40" s="10">
        <v>23.371279999999999</v>
      </c>
      <c r="DQ40" s="10">
        <v>88.167950000000005</v>
      </c>
      <c r="DR40" s="10">
        <v>37.819159999999997</v>
      </c>
      <c r="DS40" s="10">
        <v>23.995010000000001</v>
      </c>
      <c r="DT40" s="10">
        <v>15.62321</v>
      </c>
      <c r="DU40" s="10">
        <v>24.875689999999999</v>
      </c>
      <c r="DV40" s="15">
        <v>25.098154000000001</v>
      </c>
      <c r="DW40" s="10">
        <v>83.665999999999997</v>
      </c>
      <c r="DX40" s="10">
        <v>163.47389999999999</v>
      </c>
      <c r="DY40" s="10">
        <v>52.301940000000002</v>
      </c>
      <c r="DZ40" s="10">
        <v>9.144482</v>
      </c>
      <c r="EA40" s="9">
        <v>3230.78</v>
      </c>
    </row>
    <row r="41" spans="1:131" ht="15.75">
      <c r="A41" s="8">
        <v>43831</v>
      </c>
      <c r="B41" s="10">
        <v>142.29320000000001</v>
      </c>
      <c r="C41" s="10">
        <v>32.953969999999998</v>
      </c>
      <c r="D41" s="10">
        <v>135.28899999999999</v>
      </c>
      <c r="E41" s="10">
        <v>74.144419999999997</v>
      </c>
      <c r="F41" s="10">
        <v>76.972239999999999</v>
      </c>
      <c r="G41" s="10">
        <v>205.6421</v>
      </c>
      <c r="H41" s="10">
        <v>59.191589999999998</v>
      </c>
      <c r="I41" s="10">
        <v>311.93759999999997</v>
      </c>
      <c r="J41" s="10">
        <v>290.07</v>
      </c>
      <c r="K41" s="10">
        <v>271.01</v>
      </c>
      <c r="L41" s="10">
        <v>240.75</v>
      </c>
      <c r="M41" s="10">
        <v>81.663880000000006</v>
      </c>
      <c r="N41" s="10">
        <v>155.25</v>
      </c>
      <c r="O41" s="10">
        <v>757.18</v>
      </c>
      <c r="P41" s="10">
        <v>265.18439999999998</v>
      </c>
      <c r="Q41" s="10">
        <v>64.478030000000004</v>
      </c>
      <c r="R41" s="10">
        <v>259.33679999999998</v>
      </c>
      <c r="S41" s="10">
        <v>337.94</v>
      </c>
      <c r="T41" s="10">
        <v>84.807850000000002</v>
      </c>
      <c r="U41" s="10">
        <v>111.09569999999999</v>
      </c>
      <c r="V41" s="10">
        <v>206.58690000000001</v>
      </c>
      <c r="W41" s="10">
        <v>61.1</v>
      </c>
      <c r="X41" s="10">
        <v>132.87270000000001</v>
      </c>
      <c r="Y41" s="10">
        <v>21.1096</v>
      </c>
      <c r="Z41" s="10">
        <v>268.7903</v>
      </c>
      <c r="AA41" s="10">
        <v>559.78</v>
      </c>
      <c r="AB41" s="10">
        <v>156.77029999999999</v>
      </c>
      <c r="AC41" s="10">
        <v>87.324160000000006</v>
      </c>
      <c r="AD41" s="10">
        <v>167.3509</v>
      </c>
      <c r="AE41" s="10">
        <v>351.14</v>
      </c>
      <c r="AF41" s="10">
        <v>50.937609999999999</v>
      </c>
      <c r="AG41" s="10">
        <v>147.51</v>
      </c>
      <c r="AH41" s="10">
        <v>115.36</v>
      </c>
      <c r="AI41" s="10">
        <v>208.14</v>
      </c>
      <c r="AJ41" s="10">
        <v>93.35</v>
      </c>
      <c r="AK41" s="10">
        <v>15.78781</v>
      </c>
      <c r="AL41" s="10">
        <v>122.12</v>
      </c>
      <c r="AM41" s="10">
        <v>58.965859999999999</v>
      </c>
      <c r="AN41" s="10">
        <v>61.225180000000002</v>
      </c>
      <c r="AO41" s="10">
        <v>285.22710000000001</v>
      </c>
      <c r="AP41" s="10">
        <v>115.2129</v>
      </c>
      <c r="AQ41" s="10">
        <v>81.983599999999996</v>
      </c>
      <c r="AR41" s="10">
        <v>47</v>
      </c>
      <c r="AS41" s="10">
        <v>53.015889999999999</v>
      </c>
      <c r="AT41" s="10">
        <v>106.1746</v>
      </c>
      <c r="AU41" s="10">
        <v>124.1527</v>
      </c>
      <c r="AV41" s="10">
        <v>95.334530000000001</v>
      </c>
      <c r="AW41" s="10">
        <v>83.204580000000007</v>
      </c>
      <c r="AX41" s="10">
        <v>110.5164</v>
      </c>
      <c r="AY41" s="10">
        <v>76.356219999999993</v>
      </c>
      <c r="AZ41" s="10">
        <v>182.31</v>
      </c>
      <c r="BA41" s="10">
        <v>338.23</v>
      </c>
      <c r="BB41" s="10">
        <v>93.22766</v>
      </c>
      <c r="BC41" s="10">
        <v>92.99</v>
      </c>
      <c r="BD41" s="10">
        <v>62.266219999999997</v>
      </c>
      <c r="BE41" s="10">
        <v>20.162479999999999</v>
      </c>
      <c r="BF41" s="10">
        <v>131.76089999999999</v>
      </c>
      <c r="BG41" s="10">
        <v>2008.72</v>
      </c>
      <c r="BH41" s="10">
        <v>32.803759999999997</v>
      </c>
      <c r="BI41" s="10">
        <v>48.81</v>
      </c>
      <c r="BJ41" s="10">
        <v>32.987580000000001</v>
      </c>
      <c r="BK41" s="10">
        <v>205.22030000000001</v>
      </c>
      <c r="BL41" s="10">
        <v>82.116709999999998</v>
      </c>
      <c r="BM41" s="10">
        <v>113.2987</v>
      </c>
      <c r="BN41" s="10">
        <v>94.849170000000001</v>
      </c>
      <c r="BO41" s="10">
        <v>219.18520000000001</v>
      </c>
      <c r="BP41" s="10">
        <v>90.796409999999995</v>
      </c>
      <c r="BQ41" s="10">
        <v>71.227000000000004</v>
      </c>
      <c r="BR41" s="10">
        <v>9.8417630000000003</v>
      </c>
      <c r="BS41" s="10">
        <v>1830.55</v>
      </c>
      <c r="BT41" s="10">
        <v>43.027810000000002</v>
      </c>
      <c r="BU41" s="10">
        <v>102.4671</v>
      </c>
      <c r="BV41" s="10">
        <v>277.57010000000002</v>
      </c>
      <c r="BW41" s="10">
        <v>18.407129999999999</v>
      </c>
      <c r="BX41" s="10">
        <v>91.020830000000004</v>
      </c>
      <c r="BY41" s="10">
        <v>129.27029999999999</v>
      </c>
      <c r="BZ41" s="10">
        <v>119.36790000000001</v>
      </c>
      <c r="CA41" s="10">
        <v>55.166350000000001</v>
      </c>
      <c r="CB41" s="10">
        <v>134.9871</v>
      </c>
      <c r="CC41" s="10">
        <v>74.731579999999994</v>
      </c>
      <c r="CD41" s="10">
        <v>56.338920000000002</v>
      </c>
      <c r="CE41" s="10">
        <v>150.58529999999999</v>
      </c>
      <c r="CF41" s="10">
        <v>73.963089999999994</v>
      </c>
      <c r="CG41" s="10">
        <v>192.83170000000001</v>
      </c>
      <c r="CH41" s="10">
        <v>55.193739999999998</v>
      </c>
      <c r="CI41" s="10">
        <v>159.13489999999999</v>
      </c>
      <c r="CJ41" s="10">
        <v>70.883539999999996</v>
      </c>
      <c r="CK41" s="10">
        <v>26.854939999999999</v>
      </c>
      <c r="CL41" s="10">
        <v>77.738010000000003</v>
      </c>
      <c r="CM41" s="10">
        <v>45.611840000000001</v>
      </c>
      <c r="CN41" s="10">
        <v>64.02</v>
      </c>
      <c r="CO41" s="10">
        <v>79.895910000000001</v>
      </c>
      <c r="CP41" s="10">
        <v>72.699640000000002</v>
      </c>
      <c r="CQ41" s="10">
        <v>151.20859999999999</v>
      </c>
      <c r="CR41" s="10">
        <v>45.921489999999999</v>
      </c>
      <c r="CS41" s="10">
        <v>17.99418</v>
      </c>
      <c r="CT41" s="10">
        <v>40.17</v>
      </c>
      <c r="CU41" s="10">
        <v>26.05</v>
      </c>
      <c r="CV41" s="10">
        <v>98.561520000000002</v>
      </c>
      <c r="CW41" s="10">
        <v>141.38059999999999</v>
      </c>
      <c r="CX41" s="10">
        <v>4.83</v>
      </c>
      <c r="CY41" s="10">
        <v>21.25</v>
      </c>
      <c r="CZ41" s="10">
        <v>44.81</v>
      </c>
      <c r="DA41" s="10">
        <v>19.38</v>
      </c>
      <c r="DB41" s="10">
        <v>14.08</v>
      </c>
      <c r="DC41" s="10">
        <v>21.953749999999999</v>
      </c>
      <c r="DD41" s="10">
        <v>2.8555480000000002</v>
      </c>
      <c r="DE41" s="10">
        <v>130.05500000000001</v>
      </c>
      <c r="DF41" s="10">
        <v>52.87</v>
      </c>
      <c r="DG41" s="10">
        <v>4.33</v>
      </c>
      <c r="DH41" s="10">
        <v>71.12</v>
      </c>
      <c r="DI41" s="10">
        <v>54.921729999999997</v>
      </c>
      <c r="DJ41" s="10">
        <v>97.458460000000002</v>
      </c>
      <c r="DK41" s="10">
        <v>55.752070000000003</v>
      </c>
      <c r="DL41" s="10">
        <v>128.97409999999999</v>
      </c>
      <c r="DM41" s="10">
        <v>68.6708</v>
      </c>
      <c r="DN41" s="10">
        <v>54.743119999999998</v>
      </c>
      <c r="DO41" s="10">
        <v>38.430259999999997</v>
      </c>
      <c r="DP41" s="10">
        <v>19.621970000000001</v>
      </c>
      <c r="DQ41" s="10">
        <v>70.640709999999999</v>
      </c>
      <c r="DR41" s="10">
        <v>31.964939999999999</v>
      </c>
      <c r="DS41" s="10">
        <v>20.27826</v>
      </c>
      <c r="DT41" s="10">
        <v>12.03074</v>
      </c>
      <c r="DU41" s="10">
        <v>20.511669999999999</v>
      </c>
      <c r="DV41" s="15">
        <v>26.912597999999999</v>
      </c>
      <c r="DW41" s="10">
        <v>130.114</v>
      </c>
      <c r="DX41" s="10">
        <v>166.71299999999999</v>
      </c>
      <c r="DY41" s="10">
        <v>48.344009999999997</v>
      </c>
      <c r="DZ41" s="10">
        <v>8.6725080000000005</v>
      </c>
      <c r="EA41" s="9">
        <v>3225.52</v>
      </c>
    </row>
    <row r="42" spans="1:131" ht="15.75">
      <c r="A42" s="8">
        <v>43862</v>
      </c>
      <c r="B42" s="10">
        <v>128.53899999999999</v>
      </c>
      <c r="C42" s="10">
        <v>29.875720000000001</v>
      </c>
      <c r="D42" s="10">
        <v>122.1999</v>
      </c>
      <c r="E42" s="10">
        <v>79.496120000000005</v>
      </c>
      <c r="F42" s="10">
        <v>68.972309999999993</v>
      </c>
      <c r="G42" s="10">
        <v>190.10830000000001</v>
      </c>
      <c r="H42" s="10">
        <v>55.925910000000002</v>
      </c>
      <c r="I42" s="10">
        <v>289.63709999999998</v>
      </c>
      <c r="J42" s="10">
        <v>265.67</v>
      </c>
      <c r="K42" s="10">
        <v>254.51</v>
      </c>
      <c r="L42" s="10">
        <v>276</v>
      </c>
      <c r="M42" s="10">
        <v>76.233469999999997</v>
      </c>
      <c r="N42" s="10">
        <v>139.49</v>
      </c>
      <c r="O42" s="10">
        <v>701.7</v>
      </c>
      <c r="P42" s="10">
        <v>248.16079999999999</v>
      </c>
      <c r="Q42" s="10">
        <v>56.643470000000001</v>
      </c>
      <c r="R42" s="10">
        <v>251.33019999999999</v>
      </c>
      <c r="S42" s="10">
        <v>444.57</v>
      </c>
      <c r="T42" s="10">
        <v>75.286829999999995</v>
      </c>
      <c r="U42" s="10">
        <v>96.881529999999998</v>
      </c>
      <c r="V42" s="10">
        <v>186.86949999999999</v>
      </c>
      <c r="W42" s="10">
        <v>51.53</v>
      </c>
      <c r="X42" s="10">
        <v>132.0932</v>
      </c>
      <c r="Y42" s="10">
        <v>16.940899999999999</v>
      </c>
      <c r="Z42" s="10">
        <v>232.2978</v>
      </c>
      <c r="AA42" s="10">
        <v>533.96</v>
      </c>
      <c r="AB42" s="10">
        <v>156.76050000000001</v>
      </c>
      <c r="AC42" s="10">
        <v>81.696340000000006</v>
      </c>
      <c r="AD42" s="10">
        <v>159.27000000000001</v>
      </c>
      <c r="AE42" s="10">
        <v>345.12</v>
      </c>
      <c r="AF42" s="10">
        <v>48.247619999999998</v>
      </c>
      <c r="AG42" s="10">
        <v>137.93</v>
      </c>
      <c r="AH42" s="10">
        <v>102.06</v>
      </c>
      <c r="AI42" s="10">
        <v>189.75</v>
      </c>
      <c r="AJ42" s="10">
        <v>86.51</v>
      </c>
      <c r="AK42" s="10">
        <v>10.5715</v>
      </c>
      <c r="AL42" s="10">
        <v>119.95</v>
      </c>
      <c r="AM42" s="10">
        <v>67.355699999999999</v>
      </c>
      <c r="AN42" s="10">
        <v>53.170999999999999</v>
      </c>
      <c r="AO42" s="10">
        <v>254.8126</v>
      </c>
      <c r="AP42" s="10">
        <v>109.78360000000001</v>
      </c>
      <c r="AQ42" s="10">
        <v>75.246939999999995</v>
      </c>
      <c r="AR42" s="10">
        <v>45.48</v>
      </c>
      <c r="AS42" s="10">
        <v>52.486629999999998</v>
      </c>
      <c r="AT42" s="10">
        <v>105.4974</v>
      </c>
      <c r="AU42" s="10">
        <v>111.2638</v>
      </c>
      <c r="AV42" s="10">
        <v>88.713530000000006</v>
      </c>
      <c r="AW42" s="10">
        <v>82.229519999999994</v>
      </c>
      <c r="AX42" s="10">
        <v>97.848249999999993</v>
      </c>
      <c r="AY42" s="10">
        <v>67.438000000000002</v>
      </c>
      <c r="AZ42" s="10">
        <v>170.4</v>
      </c>
      <c r="BA42" s="10">
        <v>326.08999999999997</v>
      </c>
      <c r="BB42" s="10">
        <v>84.996319999999997</v>
      </c>
      <c r="BC42" s="10">
        <v>94.76</v>
      </c>
      <c r="BD42" s="10">
        <v>57.471409999999999</v>
      </c>
      <c r="BE42" s="10">
        <v>19.661259999999999</v>
      </c>
      <c r="BF42" s="10">
        <v>119.31180000000001</v>
      </c>
      <c r="BG42" s="10">
        <v>1883.75</v>
      </c>
      <c r="BH42" s="10">
        <v>33.859430000000003</v>
      </c>
      <c r="BI42" s="10">
        <v>57.81</v>
      </c>
      <c r="BJ42" s="10">
        <v>30.13241</v>
      </c>
      <c r="BK42" s="10">
        <v>186.22989999999999</v>
      </c>
      <c r="BL42" s="10">
        <v>75.921419999999998</v>
      </c>
      <c r="BM42" s="10">
        <v>95.616910000000004</v>
      </c>
      <c r="BN42" s="10">
        <v>88.033429999999996</v>
      </c>
      <c r="BO42" s="10">
        <v>209.3262</v>
      </c>
      <c r="BP42" s="10">
        <v>85.931799999999996</v>
      </c>
      <c r="BQ42" s="10">
        <v>69.529709999999994</v>
      </c>
      <c r="BR42" s="10">
        <v>8.6614959999999996</v>
      </c>
      <c r="BS42" s="10">
        <v>1695.66</v>
      </c>
      <c r="BT42" s="10">
        <v>33.073979999999999</v>
      </c>
      <c r="BU42" s="10">
        <v>86.462980000000002</v>
      </c>
      <c r="BV42" s="10">
        <v>334.4239</v>
      </c>
      <c r="BW42" s="10">
        <v>17.214960000000001</v>
      </c>
      <c r="BX42" s="10">
        <v>86.672979999999995</v>
      </c>
      <c r="BY42" s="10">
        <v>130.47710000000001</v>
      </c>
      <c r="BZ42" s="10">
        <v>109.1023</v>
      </c>
      <c r="CA42" s="10">
        <v>50.528219999999997</v>
      </c>
      <c r="CB42" s="10">
        <v>125.4918</v>
      </c>
      <c r="CC42" s="10">
        <v>73.981570000000005</v>
      </c>
      <c r="CD42" s="10">
        <v>50.834159999999997</v>
      </c>
      <c r="CE42" s="10">
        <v>135.29320000000001</v>
      </c>
      <c r="CF42" s="10">
        <v>57.333669999999998</v>
      </c>
      <c r="CG42" s="10">
        <v>181.40960000000001</v>
      </c>
      <c r="CH42" s="10">
        <v>50.788240000000002</v>
      </c>
      <c r="CI42" s="10">
        <v>146.4057</v>
      </c>
      <c r="CJ42" s="10">
        <v>65.311260000000004</v>
      </c>
      <c r="CK42" s="10">
        <v>22.780709999999999</v>
      </c>
      <c r="CL42" s="10">
        <v>63.411720000000003</v>
      </c>
      <c r="CM42" s="10">
        <v>40.360599999999998</v>
      </c>
      <c r="CN42" s="10">
        <v>56.755450000000003</v>
      </c>
      <c r="CO42" s="10">
        <v>71.494060000000005</v>
      </c>
      <c r="CP42" s="10">
        <v>68.095920000000007</v>
      </c>
      <c r="CQ42" s="10">
        <v>154.25899999999999</v>
      </c>
      <c r="CR42" s="10">
        <v>43.129489999999997</v>
      </c>
      <c r="CS42" s="10">
        <v>14.2166</v>
      </c>
      <c r="CT42" s="10">
        <v>33.64</v>
      </c>
      <c r="CU42" s="10">
        <v>21.16</v>
      </c>
      <c r="CV42" s="10">
        <v>86.155649999999994</v>
      </c>
      <c r="CW42" s="10">
        <v>137.9888</v>
      </c>
      <c r="CX42" s="10">
        <v>4.4000000000000004</v>
      </c>
      <c r="CY42" s="10">
        <v>18.5</v>
      </c>
      <c r="CZ42" s="10">
        <v>41.32</v>
      </c>
      <c r="DA42" s="10">
        <v>18.45</v>
      </c>
      <c r="DB42" s="10">
        <v>12.04</v>
      </c>
      <c r="DC42" s="10">
        <v>19.493670000000002</v>
      </c>
      <c r="DD42" s="10">
        <v>2.6892999999999998</v>
      </c>
      <c r="DE42" s="10">
        <v>128.44450000000001</v>
      </c>
      <c r="DF42" s="10">
        <v>46.23</v>
      </c>
      <c r="DG42" s="10">
        <v>5.07</v>
      </c>
      <c r="DH42" s="10">
        <v>66.349999999999994</v>
      </c>
      <c r="DI42" s="10">
        <v>45.479300000000002</v>
      </c>
      <c r="DJ42" s="10">
        <v>84.905469999999994</v>
      </c>
      <c r="DK42" s="10">
        <v>45.423439999999999</v>
      </c>
      <c r="DL42" s="10">
        <v>117.29949999999999</v>
      </c>
      <c r="DM42" s="10">
        <v>59.780369999999998</v>
      </c>
      <c r="DN42" s="10">
        <v>54.365720000000003</v>
      </c>
      <c r="DO42" s="10">
        <v>31.676909999999999</v>
      </c>
      <c r="DP42" s="10">
        <v>14.67131</v>
      </c>
      <c r="DQ42" s="10">
        <v>58.867249999999999</v>
      </c>
      <c r="DR42" s="10">
        <v>25.84094</v>
      </c>
      <c r="DS42" s="10">
        <v>15.185890000000001</v>
      </c>
      <c r="DT42" s="10">
        <v>10.81382</v>
      </c>
      <c r="DU42" s="10">
        <v>18.620729999999998</v>
      </c>
      <c r="DV42" s="15">
        <v>24.629503</v>
      </c>
      <c r="DW42" s="10">
        <v>133.59800000000001</v>
      </c>
      <c r="DX42" s="10">
        <v>155.78110000000001</v>
      </c>
      <c r="DY42" s="10">
        <v>43.699399999999997</v>
      </c>
      <c r="DZ42" s="10">
        <v>6.96</v>
      </c>
      <c r="EA42" s="9">
        <v>2954.22</v>
      </c>
    </row>
    <row r="43" spans="1:131" ht="15.75">
      <c r="A43" s="8">
        <v>43891</v>
      </c>
      <c r="B43" s="10">
        <v>126.1362</v>
      </c>
      <c r="C43" s="10">
        <v>29.178439999999998</v>
      </c>
      <c r="D43" s="10">
        <v>135.0943</v>
      </c>
      <c r="E43" s="10">
        <v>70.666309999999996</v>
      </c>
      <c r="F43" s="10">
        <v>69.31465</v>
      </c>
      <c r="G43" s="10">
        <v>194.33349999999999</v>
      </c>
      <c r="H43" s="10">
        <v>52.782089999999997</v>
      </c>
      <c r="I43" s="10">
        <v>282.46589999999998</v>
      </c>
      <c r="J43" s="10">
        <v>273.12</v>
      </c>
      <c r="K43" s="10">
        <v>242.24</v>
      </c>
      <c r="L43" s="10">
        <v>269.27</v>
      </c>
      <c r="M43" s="10">
        <v>70.842640000000003</v>
      </c>
      <c r="N43" s="10">
        <v>107.86</v>
      </c>
      <c r="O43" s="10">
        <v>690.51</v>
      </c>
      <c r="P43" s="10">
        <v>242.72970000000001</v>
      </c>
      <c r="Q43" s="10">
        <v>56.787050000000001</v>
      </c>
      <c r="R43" s="10">
        <v>221.95339999999999</v>
      </c>
      <c r="S43" s="10">
        <v>488.29</v>
      </c>
      <c r="T43" s="10">
        <v>77.124290000000002</v>
      </c>
      <c r="U43" s="10">
        <v>86.786289999999994</v>
      </c>
      <c r="V43" s="10">
        <v>163.23990000000001</v>
      </c>
      <c r="W43" s="10">
        <v>51.95</v>
      </c>
      <c r="X43" s="10">
        <v>116.6858</v>
      </c>
      <c r="Y43" s="10">
        <v>14.69394</v>
      </c>
      <c r="Z43" s="10">
        <v>224.4348</v>
      </c>
      <c r="AA43" s="10">
        <v>495.21</v>
      </c>
      <c r="AB43" s="10">
        <v>145.57759999999999</v>
      </c>
      <c r="AC43" s="10">
        <v>79.666169999999994</v>
      </c>
      <c r="AD43" s="10">
        <v>155.46619999999999</v>
      </c>
      <c r="AE43" s="10">
        <v>318.24</v>
      </c>
      <c r="AF43" s="10">
        <v>47.145319999999998</v>
      </c>
      <c r="AG43" s="10">
        <v>128.79</v>
      </c>
      <c r="AH43" s="10">
        <v>101.17</v>
      </c>
      <c r="AI43" s="10">
        <v>180.09</v>
      </c>
      <c r="AJ43" s="10">
        <v>91.49</v>
      </c>
      <c r="AK43" s="10">
        <v>18.098459999999999</v>
      </c>
      <c r="AL43" s="10">
        <v>106.63</v>
      </c>
      <c r="AM43" s="10">
        <v>65.781400000000005</v>
      </c>
      <c r="AN43" s="10">
        <v>52.085470000000001</v>
      </c>
      <c r="AO43" s="10">
        <v>221.61269999999999</v>
      </c>
      <c r="AP43" s="10">
        <v>96.115970000000004</v>
      </c>
      <c r="AQ43" s="10">
        <v>65.012209999999996</v>
      </c>
      <c r="AR43" s="10">
        <v>45.48</v>
      </c>
      <c r="AS43" s="10">
        <v>42.001289999999997</v>
      </c>
      <c r="AT43" s="10">
        <v>87.200190000000006</v>
      </c>
      <c r="AU43" s="10">
        <v>81.160229999999999</v>
      </c>
      <c r="AV43" s="10">
        <v>66.530109999999993</v>
      </c>
      <c r="AW43" s="10">
        <v>77.09648</v>
      </c>
      <c r="AX43" s="10">
        <v>87.638050000000007</v>
      </c>
      <c r="AY43" s="10">
        <v>62.88232</v>
      </c>
      <c r="AZ43" s="10">
        <v>143.97999999999999</v>
      </c>
      <c r="BA43" s="10">
        <v>286.58</v>
      </c>
      <c r="BB43" s="10">
        <v>72.081959999999995</v>
      </c>
      <c r="BC43" s="10">
        <v>83.68</v>
      </c>
      <c r="BD43" s="10">
        <v>45.907859999999999</v>
      </c>
      <c r="BE43" s="10">
        <v>16.417480000000001</v>
      </c>
      <c r="BF43" s="10">
        <v>102.7542</v>
      </c>
      <c r="BG43" s="10">
        <v>1949.72</v>
      </c>
      <c r="BH43" s="10">
        <v>29.517420000000001</v>
      </c>
      <c r="BI43" s="10">
        <v>38.44</v>
      </c>
      <c r="BJ43" s="10">
        <v>20.52956</v>
      </c>
      <c r="BK43" s="10">
        <v>159.58080000000001</v>
      </c>
      <c r="BL43" s="10">
        <v>63.933889999999998</v>
      </c>
      <c r="BM43" s="10">
        <v>53.408169999999998</v>
      </c>
      <c r="BN43" s="10">
        <v>81.719560000000001</v>
      </c>
      <c r="BO43" s="10">
        <v>179.4128</v>
      </c>
      <c r="BP43" s="10">
        <v>82.337879999999998</v>
      </c>
      <c r="BQ43" s="10">
        <v>63.939480000000003</v>
      </c>
      <c r="BR43" s="10">
        <v>7.5462819999999997</v>
      </c>
      <c r="BS43" s="10">
        <v>1345.32</v>
      </c>
      <c r="BT43" s="10">
        <v>13.17</v>
      </c>
      <c r="BU43" s="10">
        <v>66.687529999999995</v>
      </c>
      <c r="BV43" s="10">
        <v>319.26220000000001</v>
      </c>
      <c r="BW43" s="10">
        <v>9.3010959999999994</v>
      </c>
      <c r="BX43" s="10">
        <v>83.088920000000002</v>
      </c>
      <c r="BY43" s="10">
        <v>91.563590000000005</v>
      </c>
      <c r="BZ43" s="10">
        <v>105.99</v>
      </c>
      <c r="CA43" s="10">
        <v>41.799840000000003</v>
      </c>
      <c r="CB43" s="10">
        <v>114.15260000000001</v>
      </c>
      <c r="CC43" s="10">
        <v>65.930070000000001</v>
      </c>
      <c r="CD43" s="10">
        <v>48.029159999999997</v>
      </c>
      <c r="CE43" s="10">
        <v>122.3669</v>
      </c>
      <c r="CF43" s="10">
        <v>43.336669999999998</v>
      </c>
      <c r="CG43" s="10">
        <v>157.83930000000001</v>
      </c>
      <c r="CH43" s="10">
        <v>48.171880000000002</v>
      </c>
      <c r="CI43" s="10">
        <v>125.453</v>
      </c>
      <c r="CJ43" s="10">
        <v>64.141710000000003</v>
      </c>
      <c r="CK43" s="10">
        <v>22.753119999999999</v>
      </c>
      <c r="CL43" s="10">
        <v>43.41301</v>
      </c>
      <c r="CM43" s="10">
        <v>45.250439999999998</v>
      </c>
      <c r="CN43" s="10">
        <v>56.304940000000002</v>
      </c>
      <c r="CO43" s="10">
        <v>69.058589999999995</v>
      </c>
      <c r="CP43" s="10">
        <v>63.065309999999997</v>
      </c>
      <c r="CQ43" s="10">
        <v>167.6413</v>
      </c>
      <c r="CR43" s="10">
        <v>44.123600000000003</v>
      </c>
      <c r="CS43" s="10">
        <v>12.407690000000001</v>
      </c>
      <c r="CT43" s="10">
        <v>17.71</v>
      </c>
      <c r="CU43" s="10">
        <v>18.12</v>
      </c>
      <c r="CV43" s="10">
        <v>89.826639999999998</v>
      </c>
      <c r="CW43" s="10">
        <v>118.5274</v>
      </c>
      <c r="CX43" s="10">
        <v>3.87</v>
      </c>
      <c r="CY43" s="10">
        <v>12.51</v>
      </c>
      <c r="CZ43" s="10">
        <v>34.39</v>
      </c>
      <c r="DA43" s="10">
        <v>17.079999999999998</v>
      </c>
      <c r="DB43" s="10">
        <v>7.86</v>
      </c>
      <c r="DC43" s="10">
        <v>17.3002</v>
      </c>
      <c r="DD43" s="10">
        <v>1.9558549999999999</v>
      </c>
      <c r="DE43" s="10">
        <v>130.4924</v>
      </c>
      <c r="DF43" s="10">
        <v>45.47</v>
      </c>
      <c r="DG43" s="10">
        <v>4.21</v>
      </c>
      <c r="DH43" s="10">
        <v>54.56</v>
      </c>
      <c r="DI43" s="10">
        <v>34.052109999999999</v>
      </c>
      <c r="DJ43" s="10">
        <v>66.682649999999995</v>
      </c>
      <c r="DK43" s="10">
        <v>29.098389999999998</v>
      </c>
      <c r="DL43" s="10">
        <v>67.01876</v>
      </c>
      <c r="DM43" s="10">
        <v>33.944209999999998</v>
      </c>
      <c r="DN43" s="10">
        <v>32.224609999999998</v>
      </c>
      <c r="DO43" s="10">
        <v>11.203989999999999</v>
      </c>
      <c r="DP43" s="10">
        <v>6.2425329999999999</v>
      </c>
      <c r="DQ43" s="10">
        <v>24.876159999999999</v>
      </c>
      <c r="DR43" s="10">
        <v>13.05808</v>
      </c>
      <c r="DS43" s="10">
        <v>9.9099939999999993</v>
      </c>
      <c r="DT43" s="10">
        <v>4.9114000000000004</v>
      </c>
      <c r="DU43" s="10">
        <v>9.7831010000000003</v>
      </c>
      <c r="DV43" s="15">
        <v>4.1312720000000001</v>
      </c>
      <c r="DW43" s="10">
        <v>104.8</v>
      </c>
      <c r="DX43" s="10">
        <v>150.66579999999999</v>
      </c>
      <c r="DY43" s="10">
        <v>30.442699999999999</v>
      </c>
      <c r="DZ43" s="10">
        <v>4.83</v>
      </c>
      <c r="EA43" s="9">
        <v>2584.59</v>
      </c>
    </row>
    <row r="44" spans="1:131" ht="15.75">
      <c r="A44" s="8">
        <v>43922</v>
      </c>
      <c r="B44" s="10">
        <v>144.32599999999999</v>
      </c>
      <c r="C44" s="10">
        <v>34.291820000000001</v>
      </c>
      <c r="D44" s="10">
        <v>150.59819999999999</v>
      </c>
      <c r="E44" s="10">
        <v>76.240589999999997</v>
      </c>
      <c r="F44" s="10">
        <v>72.067279999999997</v>
      </c>
      <c r="G44" s="10">
        <v>229.31219999999999</v>
      </c>
      <c r="H44" s="10">
        <v>57.583039999999997</v>
      </c>
      <c r="I44" s="10">
        <v>333.59969999999998</v>
      </c>
      <c r="J44" s="10">
        <v>319.02999999999997</v>
      </c>
      <c r="K44" s="10">
        <v>277.60000000000002</v>
      </c>
      <c r="L44" s="10">
        <v>335.2</v>
      </c>
      <c r="M44" s="10">
        <v>76.020910000000001</v>
      </c>
      <c r="N44" s="10">
        <v>142.59</v>
      </c>
      <c r="O44" s="10">
        <v>719.94</v>
      </c>
      <c r="P44" s="10">
        <v>285.90359999999998</v>
      </c>
      <c r="Q44" s="10">
        <v>58.91189</v>
      </c>
      <c r="R44" s="10">
        <v>275.46199999999999</v>
      </c>
      <c r="S44" s="10">
        <v>525.88</v>
      </c>
      <c r="T44" s="10">
        <v>90.006020000000007</v>
      </c>
      <c r="U44" s="10">
        <v>94.543970000000002</v>
      </c>
      <c r="V44" s="10">
        <v>183.45320000000001</v>
      </c>
      <c r="W44" s="10">
        <v>69.150000000000006</v>
      </c>
      <c r="X44" s="10">
        <v>128.20660000000001</v>
      </c>
      <c r="Y44" s="10">
        <v>16.526990000000001</v>
      </c>
      <c r="Z44" s="10">
        <v>247.48390000000001</v>
      </c>
      <c r="AA44" s="10">
        <v>510.88</v>
      </c>
      <c r="AB44" s="10">
        <v>153.51419999999999</v>
      </c>
      <c r="AC44" s="10">
        <v>87.113720000000001</v>
      </c>
      <c r="AD44" s="10">
        <v>176.66030000000001</v>
      </c>
      <c r="AE44" s="10">
        <v>353.64</v>
      </c>
      <c r="AF44" s="10">
        <v>51.671579999999999</v>
      </c>
      <c r="AG44" s="10">
        <v>157.12</v>
      </c>
      <c r="AH44" s="10">
        <v>107.74</v>
      </c>
      <c r="AI44" s="10">
        <v>209.49</v>
      </c>
      <c r="AJ44" s="10">
        <v>97.71</v>
      </c>
      <c r="AK44" s="10">
        <v>20.57479</v>
      </c>
      <c r="AL44" s="10">
        <v>139.26</v>
      </c>
      <c r="AM44" s="10">
        <v>72.938490000000002</v>
      </c>
      <c r="AN44" s="10">
        <v>57.725180000000002</v>
      </c>
      <c r="AO44" s="10">
        <v>258.19330000000002</v>
      </c>
      <c r="AP44" s="10">
        <v>111.64</v>
      </c>
      <c r="AQ44" s="10">
        <v>76.20393</v>
      </c>
      <c r="AR44" s="10">
        <v>52.39</v>
      </c>
      <c r="AS44" s="10">
        <v>47.823149999999998</v>
      </c>
      <c r="AT44" s="10">
        <v>106.605</v>
      </c>
      <c r="AU44" s="10">
        <v>97.844059999999999</v>
      </c>
      <c r="AV44" s="10">
        <v>86.08681</v>
      </c>
      <c r="AW44" s="10">
        <v>86.454089999999994</v>
      </c>
      <c r="AX44" s="10">
        <v>101.85550000000001</v>
      </c>
      <c r="AY44" s="10">
        <v>72.65258</v>
      </c>
      <c r="AZ44" s="10">
        <v>161.94999999999999</v>
      </c>
      <c r="BA44" s="10">
        <v>351.54</v>
      </c>
      <c r="BB44" s="10">
        <v>78.659120000000001</v>
      </c>
      <c r="BC44" s="10">
        <v>96.77</v>
      </c>
      <c r="BD44" s="10">
        <v>53.236159999999998</v>
      </c>
      <c r="BE44" s="10">
        <v>14.805350000000001</v>
      </c>
      <c r="BF44" s="10">
        <v>116.30589999999999</v>
      </c>
      <c r="BG44" s="10">
        <v>2474</v>
      </c>
      <c r="BH44" s="10">
        <v>39.111069999999998</v>
      </c>
      <c r="BI44" s="10">
        <v>64.87</v>
      </c>
      <c r="BJ44" s="10">
        <v>22.29</v>
      </c>
      <c r="BK44" s="10">
        <v>181.01589999999999</v>
      </c>
      <c r="BL44" s="10">
        <v>74.621970000000005</v>
      </c>
      <c r="BM44" s="10">
        <v>72.364840000000001</v>
      </c>
      <c r="BN44" s="10">
        <v>86.104810000000001</v>
      </c>
      <c r="BO44" s="10">
        <v>212.65170000000001</v>
      </c>
      <c r="BP44" s="10">
        <v>92.505880000000005</v>
      </c>
      <c r="BQ44" s="10">
        <v>64.859110000000001</v>
      </c>
      <c r="BR44" s="10">
        <v>8.4353130000000007</v>
      </c>
      <c r="BS44" s="10">
        <v>1480.57</v>
      </c>
      <c r="BT44" s="10">
        <v>15.9</v>
      </c>
      <c r="BU44" s="10">
        <v>84.106290000000001</v>
      </c>
      <c r="BV44" s="10">
        <v>357.39850000000001</v>
      </c>
      <c r="BW44" s="10">
        <v>9.5666119999999992</v>
      </c>
      <c r="BX44" s="10">
        <v>99.677220000000005</v>
      </c>
      <c r="BY44" s="10">
        <v>118.9695</v>
      </c>
      <c r="BZ44" s="10">
        <v>113.5731</v>
      </c>
      <c r="CA44" s="10">
        <v>43.729210000000002</v>
      </c>
      <c r="CB44" s="10">
        <v>126.58799999999999</v>
      </c>
      <c r="CC44" s="10">
        <v>68.620630000000006</v>
      </c>
      <c r="CD44" s="10">
        <v>49.263849999999998</v>
      </c>
      <c r="CE44" s="10">
        <v>133.4657</v>
      </c>
      <c r="CF44" s="10">
        <v>45.69406</v>
      </c>
      <c r="CG44" s="10">
        <v>174.73859999999999</v>
      </c>
      <c r="CH44" s="10">
        <v>49.77628</v>
      </c>
      <c r="CI44" s="10">
        <v>142.63399999999999</v>
      </c>
      <c r="CJ44" s="10">
        <v>67.921009999999995</v>
      </c>
      <c r="CK44" s="10">
        <v>28.37388</v>
      </c>
      <c r="CL44" s="10">
        <v>53.536050000000003</v>
      </c>
      <c r="CM44" s="10">
        <v>45.454189999999997</v>
      </c>
      <c r="CN44" s="10">
        <v>62.061480000000003</v>
      </c>
      <c r="CO44" s="10">
        <v>76.702420000000004</v>
      </c>
      <c r="CP44" s="10">
        <v>68.774389999999997</v>
      </c>
      <c r="CQ44" s="10">
        <v>180.4042</v>
      </c>
      <c r="CR44" s="10">
        <v>47.775080000000003</v>
      </c>
      <c r="CS44" s="10">
        <v>12.96828</v>
      </c>
      <c r="CT44" s="10">
        <v>21.5</v>
      </c>
      <c r="CU44" s="10">
        <v>22</v>
      </c>
      <c r="CV44" s="10">
        <v>91.018960000000007</v>
      </c>
      <c r="CW44" s="10">
        <v>124.5363</v>
      </c>
      <c r="CX44" s="10">
        <v>4.28</v>
      </c>
      <c r="CY44" s="10">
        <v>12.01</v>
      </c>
      <c r="CZ44" s="10">
        <v>42.08</v>
      </c>
      <c r="DA44" s="10">
        <v>17.53</v>
      </c>
      <c r="DB44" s="10">
        <v>9.3699999999999992</v>
      </c>
      <c r="DC44" s="10">
        <v>20.114450000000001</v>
      </c>
      <c r="DD44" s="10">
        <v>2.327467</v>
      </c>
      <c r="DE44" s="10">
        <v>144.60669999999999</v>
      </c>
      <c r="DF44" s="10">
        <v>48.11</v>
      </c>
      <c r="DG44" s="10">
        <v>5.6</v>
      </c>
      <c r="DH44" s="10">
        <v>62.69</v>
      </c>
      <c r="DI44" s="10">
        <v>41.675049999999999</v>
      </c>
      <c r="DJ44" s="10">
        <v>84.664699999999996</v>
      </c>
      <c r="DK44" s="10">
        <v>39.77411</v>
      </c>
      <c r="DL44" s="10">
        <v>86.012630000000001</v>
      </c>
      <c r="DM44" s="10">
        <v>44.89669</v>
      </c>
      <c r="DN44" s="10">
        <v>47.430280000000003</v>
      </c>
      <c r="DO44" s="10">
        <v>16.54768</v>
      </c>
      <c r="DP44" s="10">
        <v>11.38733</v>
      </c>
      <c r="DQ44" s="10">
        <v>41.591569999999997</v>
      </c>
      <c r="DR44" s="10">
        <v>16.281469999999999</v>
      </c>
      <c r="DS44" s="10">
        <v>13.16614</v>
      </c>
      <c r="DT44" s="10">
        <v>6.6294639999999996</v>
      </c>
      <c r="DU44" s="10">
        <v>12.64</v>
      </c>
      <c r="DV44" s="15">
        <v>12.927524</v>
      </c>
      <c r="DW44" s="10">
        <v>156.376</v>
      </c>
      <c r="DX44" s="10">
        <v>153.67769999999999</v>
      </c>
      <c r="DY44" s="10">
        <v>37.53698</v>
      </c>
      <c r="DZ44" s="10">
        <v>5.09</v>
      </c>
      <c r="EA44" s="9">
        <v>2912.43</v>
      </c>
    </row>
    <row r="45" spans="1:131" ht="15.75">
      <c r="A45" s="8">
        <v>43952</v>
      </c>
      <c r="B45" s="10">
        <v>143.08510000000001</v>
      </c>
      <c r="C45" s="10">
        <v>34.139850000000003</v>
      </c>
      <c r="D45" s="10">
        <v>148.95230000000001</v>
      </c>
      <c r="E45" s="10">
        <v>87.233410000000006</v>
      </c>
      <c r="F45" s="10">
        <v>73.320779999999999</v>
      </c>
      <c r="G45" s="10">
        <v>220.1865</v>
      </c>
      <c r="H45" s="10">
        <v>57.018940000000001</v>
      </c>
      <c r="I45" s="10">
        <v>348.06290000000001</v>
      </c>
      <c r="J45" s="10">
        <v>363.05</v>
      </c>
      <c r="K45" s="10">
        <v>308.88</v>
      </c>
      <c r="L45" s="10">
        <v>378.31</v>
      </c>
      <c r="M45" s="10">
        <v>87.405199999999994</v>
      </c>
      <c r="N45" s="10">
        <v>149.52000000000001</v>
      </c>
      <c r="O45" s="10">
        <v>795</v>
      </c>
      <c r="P45" s="10">
        <v>298.00569999999999</v>
      </c>
      <c r="Q45" s="10">
        <v>63.284779999999998</v>
      </c>
      <c r="R45" s="10">
        <v>288.59089999999998</v>
      </c>
      <c r="S45" s="10">
        <v>612.80999999999995</v>
      </c>
      <c r="T45" s="10">
        <v>93.162639999999996</v>
      </c>
      <c r="U45" s="10">
        <v>95.463939999999994</v>
      </c>
      <c r="V45" s="10">
        <v>192.60470000000001</v>
      </c>
      <c r="W45" s="10">
        <v>77.73</v>
      </c>
      <c r="X45" s="10">
        <v>138.42420000000001</v>
      </c>
      <c r="Y45" s="10">
        <v>16.82264</v>
      </c>
      <c r="Z45" s="10">
        <v>241.9958</v>
      </c>
      <c r="AA45" s="10">
        <v>580.03</v>
      </c>
      <c r="AB45" s="10">
        <v>158.9503</v>
      </c>
      <c r="AC45" s="10">
        <v>88.320629999999994</v>
      </c>
      <c r="AD45" s="10">
        <v>180.64279999999999</v>
      </c>
      <c r="AE45" s="10">
        <v>386.6</v>
      </c>
      <c r="AF45" s="10">
        <v>52.701149999999998</v>
      </c>
      <c r="AG45" s="10">
        <v>180.91</v>
      </c>
      <c r="AH45" s="10">
        <v>139.19999999999999</v>
      </c>
      <c r="AI45" s="10">
        <v>219.01</v>
      </c>
      <c r="AJ45" s="10">
        <v>105.8</v>
      </c>
      <c r="AK45" s="10">
        <v>22.035430000000002</v>
      </c>
      <c r="AL45" s="10">
        <v>144.91999999999999</v>
      </c>
      <c r="AM45" s="10">
        <v>88.595269999999999</v>
      </c>
      <c r="AN45" s="10">
        <v>60.564279999999997</v>
      </c>
      <c r="AO45" s="10">
        <v>276.87200000000001</v>
      </c>
      <c r="AP45" s="10">
        <v>114.2081</v>
      </c>
      <c r="AQ45" s="10">
        <v>78.344639999999998</v>
      </c>
      <c r="AR45" s="10">
        <v>53.8</v>
      </c>
      <c r="AS45" s="10">
        <v>47.843119999999999</v>
      </c>
      <c r="AT45" s="10">
        <v>109.8635</v>
      </c>
      <c r="AU45" s="10">
        <v>94.434209999999993</v>
      </c>
      <c r="AV45" s="10">
        <v>94.221530000000001</v>
      </c>
      <c r="AW45" s="10">
        <v>90.954830000000001</v>
      </c>
      <c r="AX45" s="10">
        <v>116.22969999999999</v>
      </c>
      <c r="AY45" s="10">
        <v>78.622060000000005</v>
      </c>
      <c r="AZ45" s="10">
        <v>174.79</v>
      </c>
      <c r="BA45" s="10">
        <v>387.93</v>
      </c>
      <c r="BB45" s="10">
        <v>87.391480000000001</v>
      </c>
      <c r="BC45" s="10">
        <v>108.13</v>
      </c>
      <c r="BD45" s="10">
        <v>50.724069999999998</v>
      </c>
      <c r="BE45" s="10">
        <v>14.452170000000001</v>
      </c>
      <c r="BF45" s="10">
        <v>115.69459999999999</v>
      </c>
      <c r="BG45" s="10">
        <v>2442.37</v>
      </c>
      <c r="BH45" s="10">
        <v>44.718000000000004</v>
      </c>
      <c r="BI45" s="10">
        <v>80.98</v>
      </c>
      <c r="BJ45" s="10">
        <v>25.88</v>
      </c>
      <c r="BK45" s="10">
        <v>179.8192</v>
      </c>
      <c r="BL45" s="10">
        <v>75.847359999999995</v>
      </c>
      <c r="BM45" s="10">
        <v>75.375550000000004</v>
      </c>
      <c r="BN45" s="10">
        <v>97.364199999999997</v>
      </c>
      <c r="BO45" s="10">
        <v>240.36609999999999</v>
      </c>
      <c r="BP45" s="10">
        <v>97.061790000000002</v>
      </c>
      <c r="BQ45" s="10">
        <v>70.46593</v>
      </c>
      <c r="BR45" s="10">
        <v>9.6013990000000007</v>
      </c>
      <c r="BS45" s="10">
        <v>1639.42</v>
      </c>
      <c r="BT45" s="10">
        <v>15.74</v>
      </c>
      <c r="BU45" s="10">
        <v>87.317570000000003</v>
      </c>
      <c r="BV45" s="10">
        <v>381.00920000000002</v>
      </c>
      <c r="BW45" s="10">
        <v>13.02636</v>
      </c>
      <c r="BX45" s="10">
        <v>119.9114</v>
      </c>
      <c r="BY45" s="10">
        <v>137.084</v>
      </c>
      <c r="BZ45" s="10">
        <v>112.4391</v>
      </c>
      <c r="CA45" s="10">
        <v>44.482010000000002</v>
      </c>
      <c r="CB45" s="10">
        <v>125.87990000000001</v>
      </c>
      <c r="CC45" s="10">
        <v>67.480019999999996</v>
      </c>
      <c r="CD45" s="10">
        <v>51.334310000000002</v>
      </c>
      <c r="CE45" s="10">
        <v>135.35249999999999</v>
      </c>
      <c r="CF45" s="10">
        <v>46.047669999999997</v>
      </c>
      <c r="CG45" s="10">
        <v>195.61019999999999</v>
      </c>
      <c r="CH45" s="10">
        <v>50.434280000000001</v>
      </c>
      <c r="CI45" s="10">
        <v>150.33099999999999</v>
      </c>
      <c r="CJ45" s="10">
        <v>70.337029999999999</v>
      </c>
      <c r="CK45" s="10">
        <v>28.504850000000001</v>
      </c>
      <c r="CL45" s="10">
        <v>53.050139999999999</v>
      </c>
      <c r="CM45" s="10">
        <v>47.609380000000002</v>
      </c>
      <c r="CN45" s="10">
        <v>61.881439999999998</v>
      </c>
      <c r="CO45" s="10">
        <v>86.019490000000005</v>
      </c>
      <c r="CP45" s="10">
        <v>73.766170000000002</v>
      </c>
      <c r="CQ45" s="10">
        <v>200.67830000000001</v>
      </c>
      <c r="CR45" s="10">
        <v>49.09863</v>
      </c>
      <c r="CS45" s="10">
        <v>12.28623</v>
      </c>
      <c r="CT45" s="10">
        <v>19.14</v>
      </c>
      <c r="CU45" s="10">
        <v>20.67</v>
      </c>
      <c r="CV45" s="10">
        <v>95.874700000000004</v>
      </c>
      <c r="CW45" s="10">
        <v>128.2595</v>
      </c>
      <c r="CX45" s="10">
        <v>3.99</v>
      </c>
      <c r="CY45" s="10">
        <v>11.54</v>
      </c>
      <c r="CZ45" s="10">
        <v>47.59</v>
      </c>
      <c r="DA45" s="10">
        <v>20.7</v>
      </c>
      <c r="DB45" s="10">
        <v>12.46</v>
      </c>
      <c r="DC45" s="10">
        <v>22.109110000000001</v>
      </c>
      <c r="DD45" s="10">
        <v>2.0340889999999998</v>
      </c>
      <c r="DE45" s="10">
        <v>170.28530000000001</v>
      </c>
      <c r="DF45" s="10">
        <v>46.77</v>
      </c>
      <c r="DG45" s="10">
        <v>7.4</v>
      </c>
      <c r="DH45" s="10">
        <v>64.22</v>
      </c>
      <c r="DI45" s="10">
        <v>40.778230000000001</v>
      </c>
      <c r="DJ45" s="10">
        <v>84.388599999999997</v>
      </c>
      <c r="DK45" s="10">
        <v>39.849690000000002</v>
      </c>
      <c r="DL45" s="10">
        <v>88.218090000000004</v>
      </c>
      <c r="DM45" s="10">
        <v>48.597929999999998</v>
      </c>
      <c r="DN45" s="10">
        <v>46.289380000000001</v>
      </c>
      <c r="DO45" s="10">
        <v>12.909190000000001</v>
      </c>
      <c r="DP45" s="10">
        <v>9.8714560000000002</v>
      </c>
      <c r="DQ45" s="10">
        <v>40.674529999999997</v>
      </c>
      <c r="DR45" s="10">
        <v>17.878630000000001</v>
      </c>
      <c r="DS45" s="10">
        <v>15.58229</v>
      </c>
      <c r="DT45" s="10">
        <v>5.5059519999999997</v>
      </c>
      <c r="DU45" s="10">
        <v>12.47</v>
      </c>
      <c r="DV45" s="15">
        <v>10.695752000000001</v>
      </c>
      <c r="DW45" s="10">
        <v>167</v>
      </c>
      <c r="DX45" s="10">
        <v>167.88319999999999</v>
      </c>
      <c r="DY45" s="10">
        <v>40.566479999999999</v>
      </c>
      <c r="DZ45" s="10">
        <v>5.71</v>
      </c>
      <c r="EA45" s="9">
        <v>3044.31</v>
      </c>
    </row>
    <row r="46" spans="1:131" ht="15.75">
      <c r="A46" s="8">
        <v>43983</v>
      </c>
      <c r="B46" s="10">
        <v>136.21209999999999</v>
      </c>
      <c r="C46" s="10">
        <v>29.523399999999999</v>
      </c>
      <c r="D46" s="10">
        <v>160.64150000000001</v>
      </c>
      <c r="E46" s="10">
        <v>92.420169999999999</v>
      </c>
      <c r="F46" s="10">
        <v>70.241519999999994</v>
      </c>
      <c r="G46" s="10">
        <v>227.6217</v>
      </c>
      <c r="H46" s="10">
        <v>56.140540000000001</v>
      </c>
      <c r="I46" s="10">
        <v>361.1705</v>
      </c>
      <c r="J46" s="10">
        <v>370.35</v>
      </c>
      <c r="K46" s="10">
        <v>330.16</v>
      </c>
      <c r="L46" s="10">
        <v>405.4</v>
      </c>
      <c r="M46" s="10">
        <v>87.633290000000002</v>
      </c>
      <c r="N46" s="10">
        <v>141.88</v>
      </c>
      <c r="O46" s="10">
        <v>805.55</v>
      </c>
      <c r="P46" s="10">
        <v>288.32799999999997</v>
      </c>
      <c r="Q46" s="10">
        <v>62.705689999999997</v>
      </c>
      <c r="R46" s="10">
        <v>258.04509999999999</v>
      </c>
      <c r="S46" s="10">
        <v>623.65</v>
      </c>
      <c r="T46" s="10">
        <v>89.737269999999995</v>
      </c>
      <c r="U46" s="10">
        <v>88.801419999999993</v>
      </c>
      <c r="V46" s="10">
        <v>177.31280000000001</v>
      </c>
      <c r="W46" s="10">
        <v>73.3</v>
      </c>
      <c r="X46" s="10">
        <v>136.09049999999999</v>
      </c>
      <c r="Y46" s="10">
        <v>15.84698</v>
      </c>
      <c r="Z46" s="10">
        <v>234.4889</v>
      </c>
      <c r="AA46" s="10">
        <v>569.83000000000004</v>
      </c>
      <c r="AB46" s="10">
        <v>190.2116</v>
      </c>
      <c r="AC46" s="10">
        <v>84.484020000000001</v>
      </c>
      <c r="AD46" s="10">
        <v>201.17330000000001</v>
      </c>
      <c r="AE46" s="10">
        <v>435.31</v>
      </c>
      <c r="AF46" s="10">
        <v>54.171340000000001</v>
      </c>
      <c r="AG46" s="10">
        <v>195</v>
      </c>
      <c r="AH46" s="10">
        <v>137.27000000000001</v>
      </c>
      <c r="AI46" s="10">
        <v>206.83</v>
      </c>
      <c r="AJ46" s="10">
        <v>107.09</v>
      </c>
      <c r="AK46" s="10">
        <v>19.181850000000001</v>
      </c>
      <c r="AL46" s="10">
        <v>139.47999999999999</v>
      </c>
      <c r="AM46" s="10">
        <v>94.806560000000005</v>
      </c>
      <c r="AN46" s="10">
        <v>57.906080000000003</v>
      </c>
      <c r="AO46" s="10">
        <v>300.00880000000001</v>
      </c>
      <c r="AP46" s="10">
        <v>123.0783</v>
      </c>
      <c r="AQ46" s="10">
        <v>88.350819999999999</v>
      </c>
      <c r="AR46" s="10">
        <v>52.61</v>
      </c>
      <c r="AS46" s="10">
        <v>51.448090000000001</v>
      </c>
      <c r="AT46" s="10">
        <v>119.9371</v>
      </c>
      <c r="AU46" s="10">
        <v>112.06319999999999</v>
      </c>
      <c r="AV46" s="10">
        <v>103.77079999999999</v>
      </c>
      <c r="AW46" s="10">
        <v>97.754840000000002</v>
      </c>
      <c r="AX46" s="10">
        <v>125.8601</v>
      </c>
      <c r="AY46" s="10">
        <v>90.454080000000005</v>
      </c>
      <c r="AZ46" s="10">
        <v>187.33</v>
      </c>
      <c r="BA46" s="10">
        <v>405.06</v>
      </c>
      <c r="BB46" s="10">
        <v>94.495609999999999</v>
      </c>
      <c r="BC46" s="10">
        <v>100.78</v>
      </c>
      <c r="BD46" s="10">
        <v>56.342550000000003</v>
      </c>
      <c r="BE46" s="10">
        <v>16.63813</v>
      </c>
      <c r="BF46" s="10">
        <v>113.3693</v>
      </c>
      <c r="BG46" s="10">
        <v>2758.82</v>
      </c>
      <c r="BH46" s="10">
        <v>51.690260000000002</v>
      </c>
      <c r="BI46" s="10">
        <v>106.23</v>
      </c>
      <c r="BJ46" s="10">
        <v>25.3</v>
      </c>
      <c r="BK46" s="10">
        <v>179.22069999999999</v>
      </c>
      <c r="BL46" s="10">
        <v>71.97269</v>
      </c>
      <c r="BM46" s="10">
        <v>74.306600000000003</v>
      </c>
      <c r="BN46" s="10">
        <v>97.082310000000007</v>
      </c>
      <c r="BO46" s="10">
        <v>242.32980000000001</v>
      </c>
      <c r="BP46" s="10">
        <v>95.520809999999997</v>
      </c>
      <c r="BQ46" s="10">
        <v>68.86206</v>
      </c>
      <c r="BR46" s="10">
        <v>9.7130989999999997</v>
      </c>
      <c r="BS46" s="10">
        <v>1592.34</v>
      </c>
      <c r="BT46" s="10">
        <v>16.420000000000002</v>
      </c>
      <c r="BU46" s="10">
        <v>85.016170000000002</v>
      </c>
      <c r="BV46" s="10">
        <v>364.81450000000001</v>
      </c>
      <c r="BW46" s="10">
        <v>12.04476</v>
      </c>
      <c r="BX46" s="10">
        <v>129.93</v>
      </c>
      <c r="BY46" s="10">
        <v>140.16380000000001</v>
      </c>
      <c r="BZ46" s="10">
        <v>115.9795</v>
      </c>
      <c r="CA46" s="10">
        <v>42.576189999999997</v>
      </c>
      <c r="CB46" s="10">
        <v>126.5592</v>
      </c>
      <c r="CC46" s="10">
        <v>64.444500000000005</v>
      </c>
      <c r="CD46" s="10">
        <v>52.574440000000003</v>
      </c>
      <c r="CE46" s="10">
        <v>129.36500000000001</v>
      </c>
      <c r="CF46" s="10">
        <v>48.424700000000001</v>
      </c>
      <c r="CG46" s="10">
        <v>186.90299999999999</v>
      </c>
      <c r="CH46" s="10">
        <v>49.476309999999998</v>
      </c>
      <c r="CI46" s="10">
        <v>153.089</v>
      </c>
      <c r="CJ46" s="10">
        <v>71.241389999999996</v>
      </c>
      <c r="CK46" s="10">
        <v>30.222860000000001</v>
      </c>
      <c r="CL46" s="10">
        <v>52.56926</v>
      </c>
      <c r="CM46" s="10">
        <v>47.063380000000002</v>
      </c>
      <c r="CN46" s="10">
        <v>63.142229999999998</v>
      </c>
      <c r="CO46" s="10">
        <v>88.106639999999999</v>
      </c>
      <c r="CP46" s="10">
        <v>76.206450000000004</v>
      </c>
      <c r="CQ46" s="10">
        <v>213.44390000000001</v>
      </c>
      <c r="CR46" s="10">
        <v>47.798450000000003</v>
      </c>
      <c r="CS46" s="10">
        <v>15.0779</v>
      </c>
      <c r="CT46" s="10">
        <v>19.72</v>
      </c>
      <c r="CU46" s="10">
        <v>16.89</v>
      </c>
      <c r="CV46" s="10">
        <v>108.0247</v>
      </c>
      <c r="CW46" s="10">
        <v>137.74930000000001</v>
      </c>
      <c r="CX46" s="10">
        <v>3.93</v>
      </c>
      <c r="CY46" s="10">
        <v>11.75</v>
      </c>
      <c r="CZ46" s="10">
        <v>52.9</v>
      </c>
      <c r="DA46" s="10">
        <v>21.62</v>
      </c>
      <c r="DB46" s="10">
        <v>16.96</v>
      </c>
      <c r="DC46" s="10">
        <v>26.287410000000001</v>
      </c>
      <c r="DD46" s="10">
        <v>2.4545970000000001</v>
      </c>
      <c r="DE46" s="10">
        <v>168.79239999999999</v>
      </c>
      <c r="DF46" s="10">
        <v>47.86</v>
      </c>
      <c r="DG46" s="10">
        <v>7.34</v>
      </c>
      <c r="DH46" s="10">
        <v>70.56</v>
      </c>
      <c r="DI46" s="10">
        <v>40.883229999999998</v>
      </c>
      <c r="DJ46" s="10">
        <v>83.321079999999995</v>
      </c>
      <c r="DK46" s="10">
        <v>40.095509999999997</v>
      </c>
      <c r="DL46" s="10">
        <v>94.092870000000005</v>
      </c>
      <c r="DM46" s="10">
        <v>48.302349999999997</v>
      </c>
      <c r="DN46" s="10">
        <v>50.521450000000002</v>
      </c>
      <c r="DO46" s="10">
        <v>18.242329999999999</v>
      </c>
      <c r="DP46" s="10">
        <v>10.35544</v>
      </c>
      <c r="DQ46" s="10">
        <v>40.318469999999998</v>
      </c>
      <c r="DR46" s="10">
        <v>17.801200000000001</v>
      </c>
      <c r="DS46" s="10">
        <v>14.69678</v>
      </c>
      <c r="DT46" s="10">
        <v>5.0892860000000004</v>
      </c>
      <c r="DU46" s="10">
        <v>12.25</v>
      </c>
      <c r="DV46" s="15">
        <v>13.382080999999999</v>
      </c>
      <c r="DW46" s="10">
        <v>215.96199999999999</v>
      </c>
      <c r="DX46" s="10">
        <v>170.17189999999999</v>
      </c>
      <c r="DY46" s="10">
        <v>43.262920000000001</v>
      </c>
      <c r="DZ46" s="10">
        <v>6.08</v>
      </c>
      <c r="EA46" s="9">
        <v>3100.29</v>
      </c>
    </row>
    <row r="47" spans="1:131" ht="15.75">
      <c r="A47" s="8">
        <v>44013</v>
      </c>
      <c r="B47" s="10">
        <v>141.18100000000001</v>
      </c>
      <c r="C47" s="10">
        <v>34.741909999999997</v>
      </c>
      <c r="D47" s="10">
        <v>147.05090000000001</v>
      </c>
      <c r="E47" s="10">
        <v>89.342010000000002</v>
      </c>
      <c r="F47" s="10">
        <v>73.464129999999997</v>
      </c>
      <c r="G47" s="10">
        <v>236.124</v>
      </c>
      <c r="H47" s="10">
        <v>56.006869999999999</v>
      </c>
      <c r="I47" s="10">
        <v>412.88389999999998</v>
      </c>
      <c r="J47" s="10">
        <v>382.16</v>
      </c>
      <c r="K47" s="10">
        <v>397.75</v>
      </c>
      <c r="L47" s="10">
        <v>435.54</v>
      </c>
      <c r="M47" s="10">
        <v>95.727519999999998</v>
      </c>
      <c r="N47" s="10">
        <v>158.38999999999999</v>
      </c>
      <c r="O47" s="10">
        <v>935</v>
      </c>
      <c r="P47" s="10">
        <v>297.25689999999997</v>
      </c>
      <c r="Q47" s="10">
        <v>60.74644</v>
      </c>
      <c r="R47" s="10">
        <v>269.5138</v>
      </c>
      <c r="S47" s="10">
        <v>632.07000000000005</v>
      </c>
      <c r="T47" s="10">
        <v>98.776750000000007</v>
      </c>
      <c r="U47" s="10">
        <v>94.043670000000006</v>
      </c>
      <c r="V47" s="10">
        <v>190.845</v>
      </c>
      <c r="W47" s="10">
        <v>87.34</v>
      </c>
      <c r="X47" s="10">
        <v>150.62909999999999</v>
      </c>
      <c r="Y47" s="10">
        <v>15.87655</v>
      </c>
      <c r="Z47" s="10">
        <v>276.62119999999999</v>
      </c>
      <c r="AA47" s="10">
        <v>685.44</v>
      </c>
      <c r="AB47" s="10">
        <v>200.62370000000001</v>
      </c>
      <c r="AC47" s="10">
        <v>84.988879999999995</v>
      </c>
      <c r="AD47" s="10">
        <v>202.65600000000001</v>
      </c>
      <c r="AE47" s="10">
        <v>444.32</v>
      </c>
      <c r="AF47" s="10">
        <v>54.347760000000001</v>
      </c>
      <c r="AG47" s="10">
        <v>199.22</v>
      </c>
      <c r="AH47" s="10">
        <v>138.30000000000001</v>
      </c>
      <c r="AI47" s="10">
        <v>211.68</v>
      </c>
      <c r="AJ47" s="10">
        <v>112.44</v>
      </c>
      <c r="AK47" s="10">
        <v>20.867629999999998</v>
      </c>
      <c r="AL47" s="10">
        <v>135.9</v>
      </c>
      <c r="AM47" s="10">
        <v>106.0048</v>
      </c>
      <c r="AN47" s="10">
        <v>46.195169999999997</v>
      </c>
      <c r="AO47" s="10">
        <v>304.19439999999997</v>
      </c>
      <c r="AP47" s="10">
        <v>123.6405</v>
      </c>
      <c r="AQ47" s="10">
        <v>103.0912</v>
      </c>
      <c r="AR47" s="10">
        <v>77.430000000000007</v>
      </c>
      <c r="AS47" s="10">
        <v>49.990119999999997</v>
      </c>
      <c r="AT47" s="10">
        <v>112.3188</v>
      </c>
      <c r="AU47" s="10">
        <v>115.917</v>
      </c>
      <c r="AV47" s="10">
        <v>100.2431</v>
      </c>
      <c r="AW47" s="10">
        <v>106.657</v>
      </c>
      <c r="AX47" s="10">
        <v>143.303</v>
      </c>
      <c r="AY47" s="10">
        <v>105.3909</v>
      </c>
      <c r="AZ47" s="10">
        <v>194.85</v>
      </c>
      <c r="BA47" s="10">
        <v>439.2</v>
      </c>
      <c r="BB47" s="10">
        <v>96.193870000000004</v>
      </c>
      <c r="BC47" s="10">
        <v>99.89</v>
      </c>
      <c r="BD47" s="10">
        <v>58.449350000000003</v>
      </c>
      <c r="BE47" s="10">
        <v>16.945450000000001</v>
      </c>
      <c r="BF47" s="10">
        <v>115.4063</v>
      </c>
      <c r="BG47" s="10">
        <v>3164.68</v>
      </c>
      <c r="BH47" s="10">
        <v>54.47927</v>
      </c>
      <c r="BI47" s="10">
        <v>118.38</v>
      </c>
      <c r="BJ47" s="10">
        <v>24.89</v>
      </c>
      <c r="BK47" s="10">
        <v>188.7516</v>
      </c>
      <c r="BL47" s="10">
        <v>74.848070000000007</v>
      </c>
      <c r="BM47" s="10">
        <v>74.434100000000001</v>
      </c>
      <c r="BN47" s="10">
        <v>96.646659999999997</v>
      </c>
      <c r="BO47" s="10">
        <v>258.35419999999999</v>
      </c>
      <c r="BP47" s="10">
        <v>92.745260000000002</v>
      </c>
      <c r="BQ47" s="10">
        <v>72.964640000000003</v>
      </c>
      <c r="BR47" s="10">
        <v>9.7987190000000002</v>
      </c>
      <c r="BS47" s="10">
        <v>1662.13</v>
      </c>
      <c r="BT47" s="10">
        <v>13.88</v>
      </c>
      <c r="BU47" s="10">
        <v>89.065969999999993</v>
      </c>
      <c r="BV47" s="10">
        <v>382.54899999999998</v>
      </c>
      <c r="BW47" s="10">
        <v>19.64012</v>
      </c>
      <c r="BX47" s="10">
        <v>140.72540000000001</v>
      </c>
      <c r="BY47" s="10">
        <v>147.97919999999999</v>
      </c>
      <c r="BZ47" s="10">
        <v>127.1827</v>
      </c>
      <c r="CA47" s="10">
        <v>45.424610000000001</v>
      </c>
      <c r="CB47" s="10">
        <v>132.749</v>
      </c>
      <c r="CC47" s="10">
        <v>71.779250000000005</v>
      </c>
      <c r="CD47" s="10">
        <v>57.93918</v>
      </c>
      <c r="CE47" s="10">
        <v>141.7345</v>
      </c>
      <c r="CF47" s="10">
        <v>53.977119999999999</v>
      </c>
      <c r="CG47" s="10">
        <v>195.67949999999999</v>
      </c>
      <c r="CH47" s="10">
        <v>54.002609999999997</v>
      </c>
      <c r="CI47" s="10">
        <v>162.6183</v>
      </c>
      <c r="CJ47" s="10">
        <v>75.072839999999999</v>
      </c>
      <c r="CK47" s="10">
        <v>32.582689999999999</v>
      </c>
      <c r="CL47" s="10">
        <v>50.828490000000002</v>
      </c>
      <c r="CM47" s="10">
        <v>49.588630000000002</v>
      </c>
      <c r="CN47" s="10">
        <v>65.942800000000005</v>
      </c>
      <c r="CO47" s="10">
        <v>95.713620000000006</v>
      </c>
      <c r="CP47" s="10">
        <v>94.967240000000004</v>
      </c>
      <c r="CQ47" s="10">
        <v>230.12090000000001</v>
      </c>
      <c r="CR47" s="10">
        <v>47.740670000000001</v>
      </c>
      <c r="CS47" s="10">
        <v>15.57164</v>
      </c>
      <c r="CT47" s="10">
        <v>20.3</v>
      </c>
      <c r="CU47" s="10">
        <v>15.35</v>
      </c>
      <c r="CV47" s="10">
        <v>138.70849999999999</v>
      </c>
      <c r="CW47" s="10">
        <v>166.22659999999999</v>
      </c>
      <c r="CX47" s="10">
        <v>4.25</v>
      </c>
      <c r="CY47" s="10">
        <v>12.32</v>
      </c>
      <c r="CZ47" s="10">
        <v>56.33</v>
      </c>
      <c r="DA47" s="10">
        <v>25.07</v>
      </c>
      <c r="DB47" s="10">
        <v>15.31</v>
      </c>
      <c r="DC47" s="10">
        <v>30.134830000000001</v>
      </c>
      <c r="DD47" s="10">
        <v>1.994972</v>
      </c>
      <c r="DE47" s="10">
        <v>182.12270000000001</v>
      </c>
      <c r="DF47" s="10">
        <v>52.9</v>
      </c>
      <c r="DG47" s="10">
        <v>10.16</v>
      </c>
      <c r="DH47" s="10">
        <v>74.290000000000006</v>
      </c>
      <c r="DI47" s="10">
        <v>38.469740000000002</v>
      </c>
      <c r="DJ47" s="10">
        <v>78.381379999999993</v>
      </c>
      <c r="DK47" s="10">
        <v>35.67756</v>
      </c>
      <c r="DL47" s="10">
        <v>93.890379999999993</v>
      </c>
      <c r="DM47" s="10">
        <v>44.669670000000004</v>
      </c>
      <c r="DN47" s="10">
        <v>48.234380000000002</v>
      </c>
      <c r="DO47" s="10">
        <v>15.69941</v>
      </c>
      <c r="DP47" s="10">
        <v>9.6663940000000004</v>
      </c>
      <c r="DQ47" s="10">
        <v>38.428849999999997</v>
      </c>
      <c r="DR47" s="10">
        <v>17.679110000000001</v>
      </c>
      <c r="DS47" s="10">
        <v>14.79227</v>
      </c>
      <c r="DT47" s="10">
        <v>5.9747019999999997</v>
      </c>
      <c r="DU47" s="10">
        <v>11.51</v>
      </c>
      <c r="DV47" s="15">
        <v>15.215920000000001</v>
      </c>
      <c r="DW47" s="10">
        <v>286.15199999999999</v>
      </c>
      <c r="DX47" s="10">
        <v>180.80950000000001</v>
      </c>
      <c r="DY47" s="10">
        <v>44.856259999999999</v>
      </c>
      <c r="DZ47" s="10">
        <v>6.61</v>
      </c>
      <c r="EA47" s="9">
        <v>3271.12</v>
      </c>
    </row>
    <row r="48" spans="1:131" ht="15.75">
      <c r="A48" s="8">
        <v>44044</v>
      </c>
      <c r="B48" s="10">
        <v>148.59059999999999</v>
      </c>
      <c r="C48" s="10">
        <v>34.452399999999997</v>
      </c>
      <c r="D48" s="10">
        <v>145.1918</v>
      </c>
      <c r="E48" s="10">
        <v>91.251869999999997</v>
      </c>
      <c r="F48" s="10">
        <v>78.069370000000006</v>
      </c>
      <c r="G48" s="10">
        <v>244.47190000000001</v>
      </c>
      <c r="H48" s="10">
        <v>59.839869999999998</v>
      </c>
      <c r="I48" s="10">
        <v>427.87520000000001</v>
      </c>
      <c r="J48" s="10">
        <v>357.22</v>
      </c>
      <c r="K48" s="10">
        <v>391.06</v>
      </c>
      <c r="L48" s="10">
        <v>425.41</v>
      </c>
      <c r="M48" s="10">
        <v>99.791920000000005</v>
      </c>
      <c r="N48" s="10">
        <v>163.75</v>
      </c>
      <c r="O48" s="10">
        <v>970.78</v>
      </c>
      <c r="P48" s="10">
        <v>306.84870000000001</v>
      </c>
      <c r="Q48" s="10">
        <v>60.423259999999999</v>
      </c>
      <c r="R48" s="10">
        <v>277.113</v>
      </c>
      <c r="S48" s="10">
        <v>619.92999999999995</v>
      </c>
      <c r="T48" s="10">
        <v>107.8604</v>
      </c>
      <c r="U48" s="10">
        <v>104.75620000000001</v>
      </c>
      <c r="V48" s="10">
        <v>195.64340000000001</v>
      </c>
      <c r="W48" s="10">
        <v>92.5</v>
      </c>
      <c r="X48" s="10">
        <v>159.21350000000001</v>
      </c>
      <c r="Y48" s="10">
        <v>16.14264</v>
      </c>
      <c r="Z48" s="10">
        <v>238.69810000000001</v>
      </c>
      <c r="AA48" s="10">
        <v>730.84</v>
      </c>
      <c r="AB48" s="10">
        <v>179.09610000000001</v>
      </c>
      <c r="AC48" s="10">
        <v>85.667779999999993</v>
      </c>
      <c r="AD48" s="10">
        <v>222.94049999999999</v>
      </c>
      <c r="AE48" s="10">
        <v>513.39</v>
      </c>
      <c r="AF48" s="10">
        <v>56.319670000000002</v>
      </c>
      <c r="AG48" s="10">
        <v>221.3</v>
      </c>
      <c r="AH48" s="10">
        <v>132.01</v>
      </c>
      <c r="AI48" s="10">
        <v>214.8</v>
      </c>
      <c r="AJ48" s="10">
        <v>116.43</v>
      </c>
      <c r="AK48" s="10">
        <v>22.881430000000002</v>
      </c>
      <c r="AL48" s="10">
        <v>132.33000000000001</v>
      </c>
      <c r="AM48" s="10">
        <v>133.5652</v>
      </c>
      <c r="AN48" s="10">
        <v>49.311630000000001</v>
      </c>
      <c r="AO48" s="10">
        <v>333.38940000000002</v>
      </c>
      <c r="AP48" s="10">
        <v>138.74160000000001</v>
      </c>
      <c r="AQ48" s="10">
        <v>116.2595</v>
      </c>
      <c r="AR48" s="10">
        <v>90.82</v>
      </c>
      <c r="AS48" s="10">
        <v>45.446469999999998</v>
      </c>
      <c r="AT48" s="10">
        <v>114.30410000000001</v>
      </c>
      <c r="AU48" s="10">
        <v>124.03400000000001</v>
      </c>
      <c r="AV48" s="10">
        <v>108.0966</v>
      </c>
      <c r="AW48" s="10">
        <v>103.4876</v>
      </c>
      <c r="AX48" s="10">
        <v>142.58439999999999</v>
      </c>
      <c r="AY48" s="10">
        <v>127.9846</v>
      </c>
      <c r="AZ48" s="10">
        <v>272.64999999999998</v>
      </c>
      <c r="BA48" s="10">
        <v>482.02</v>
      </c>
      <c r="BB48" s="10">
        <v>101.0919</v>
      </c>
      <c r="BC48" s="10">
        <v>98.52</v>
      </c>
      <c r="BD48" s="10">
        <v>60.048200000000001</v>
      </c>
      <c r="BE48" s="10">
        <v>18.844339999999999</v>
      </c>
      <c r="BF48" s="10">
        <v>115.75360000000001</v>
      </c>
      <c r="BG48" s="10">
        <v>3450.96</v>
      </c>
      <c r="BH48" s="10">
        <v>53.986510000000003</v>
      </c>
      <c r="BI48" s="10">
        <v>119.7</v>
      </c>
      <c r="BJ48" s="10">
        <v>29.63</v>
      </c>
      <c r="BK48" s="10">
        <v>207.44409999999999</v>
      </c>
      <c r="BL48" s="10">
        <v>82.613579999999999</v>
      </c>
      <c r="BM48" s="10">
        <v>84.996080000000006</v>
      </c>
      <c r="BN48" s="10">
        <v>110.78570000000001</v>
      </c>
      <c r="BO48" s="10">
        <v>277.37880000000001</v>
      </c>
      <c r="BP48" s="10">
        <v>97.685490000000001</v>
      </c>
      <c r="BQ48" s="10">
        <v>79.643749999999997</v>
      </c>
      <c r="BR48" s="10">
        <v>10.52173</v>
      </c>
      <c r="BS48" s="10">
        <v>1910.45</v>
      </c>
      <c r="BT48" s="10">
        <v>16.48</v>
      </c>
      <c r="BU48" s="10">
        <v>93.761369999999999</v>
      </c>
      <c r="BV48" s="10">
        <v>404.66430000000003</v>
      </c>
      <c r="BW48" s="10">
        <v>23.65504</v>
      </c>
      <c r="BX48" s="10">
        <v>146.7295</v>
      </c>
      <c r="BY48" s="10">
        <v>154.06039999999999</v>
      </c>
      <c r="BZ48" s="10">
        <v>135.02289999999999</v>
      </c>
      <c r="CA48" s="10">
        <v>47.626600000000003</v>
      </c>
      <c r="CB48" s="10">
        <v>135.0633</v>
      </c>
      <c r="CC48" s="10">
        <v>74.564080000000004</v>
      </c>
      <c r="CD48" s="10">
        <v>57.076990000000002</v>
      </c>
      <c r="CE48" s="10">
        <v>129.37459999999999</v>
      </c>
      <c r="CF48" s="10">
        <v>57.666159999999998</v>
      </c>
      <c r="CG48" s="10">
        <v>219.6318</v>
      </c>
      <c r="CH48" s="10">
        <v>56.854080000000003</v>
      </c>
      <c r="CI48" s="10">
        <v>174.1721</v>
      </c>
      <c r="CJ48" s="10">
        <v>77.531049999999993</v>
      </c>
      <c r="CK48" s="10">
        <v>33.208179999999999</v>
      </c>
      <c r="CL48" s="10">
        <v>58.319780000000002</v>
      </c>
      <c r="CM48" s="10">
        <v>49.953220000000002</v>
      </c>
      <c r="CN48" s="10">
        <v>67.778019999999998</v>
      </c>
      <c r="CO48" s="10">
        <v>101.6139</v>
      </c>
      <c r="CP48" s="10">
        <v>94.474310000000003</v>
      </c>
      <c r="CQ48" s="10">
        <v>218.5205</v>
      </c>
      <c r="CR48" s="10">
        <v>51.026879999999998</v>
      </c>
      <c r="CS48" s="10">
        <v>15.17285</v>
      </c>
      <c r="CT48" s="10">
        <v>24.35</v>
      </c>
      <c r="CU48" s="10">
        <v>16</v>
      </c>
      <c r="CV48" s="10">
        <v>158.97649999999999</v>
      </c>
      <c r="CW48" s="10">
        <v>217.0027</v>
      </c>
      <c r="CX48" s="10">
        <v>5.28</v>
      </c>
      <c r="CY48" s="10">
        <v>11.32</v>
      </c>
      <c r="CZ48" s="10">
        <v>60.95</v>
      </c>
      <c r="DA48" s="10">
        <v>27.32</v>
      </c>
      <c r="DB48" s="10">
        <v>17.38</v>
      </c>
      <c r="DC48" s="10">
        <v>33.536029999999997</v>
      </c>
      <c r="DD48" s="10">
        <v>2.3959220000000001</v>
      </c>
      <c r="DE48" s="10">
        <v>201.40889999999999</v>
      </c>
      <c r="DF48" s="10">
        <v>53.84</v>
      </c>
      <c r="DG48" s="10">
        <v>8.25</v>
      </c>
      <c r="DH48" s="10">
        <v>76.069999999999993</v>
      </c>
      <c r="DI48" s="10">
        <v>36.513339999999999</v>
      </c>
      <c r="DJ48" s="10">
        <v>78.372029999999995</v>
      </c>
      <c r="DK48" s="10">
        <v>36.523499999999999</v>
      </c>
      <c r="DL48" s="10">
        <v>100.68129999999999</v>
      </c>
      <c r="DM48" s="10">
        <v>43.574240000000003</v>
      </c>
      <c r="DN48" s="10">
        <v>45.127229999999997</v>
      </c>
      <c r="DO48" s="10">
        <v>12.70715</v>
      </c>
      <c r="DP48" s="10">
        <v>10.01656</v>
      </c>
      <c r="DQ48" s="10">
        <v>37.561160000000001</v>
      </c>
      <c r="DR48" s="10">
        <v>18.527000000000001</v>
      </c>
      <c r="DS48" s="10">
        <v>13.63678</v>
      </c>
      <c r="DT48" s="10">
        <v>5.7291670000000003</v>
      </c>
      <c r="DU48" s="10">
        <v>12</v>
      </c>
      <c r="DV48" s="15">
        <v>14.697742</v>
      </c>
      <c r="DW48" s="10">
        <v>498.32</v>
      </c>
      <c r="DX48" s="10">
        <v>193.7955</v>
      </c>
      <c r="DY48" s="10">
        <v>47.22683</v>
      </c>
      <c r="DZ48" s="10">
        <v>6.82</v>
      </c>
      <c r="EA48" s="9">
        <v>3500.31</v>
      </c>
    </row>
    <row r="49" spans="1:131" ht="15.75">
      <c r="A49" s="8">
        <v>44075</v>
      </c>
      <c r="B49" s="10">
        <v>145.1627</v>
      </c>
      <c r="C49" s="10">
        <v>33.458669999999998</v>
      </c>
      <c r="D49" s="10">
        <v>145.53579999999999</v>
      </c>
      <c r="E49" s="10">
        <v>83.45778</v>
      </c>
      <c r="F49" s="10">
        <v>75.945279999999997</v>
      </c>
      <c r="G49" s="10">
        <v>246.9256</v>
      </c>
      <c r="H49" s="10">
        <v>58.00235</v>
      </c>
      <c r="I49" s="10">
        <v>440.38290000000001</v>
      </c>
      <c r="J49" s="10">
        <v>309.08</v>
      </c>
      <c r="K49" s="10">
        <v>393.11</v>
      </c>
      <c r="L49" s="10">
        <v>412.23</v>
      </c>
      <c r="M49" s="10">
        <v>100.3087</v>
      </c>
      <c r="N49" s="10">
        <v>157.63</v>
      </c>
      <c r="O49" s="10">
        <v>965.75</v>
      </c>
      <c r="P49" s="10">
        <v>306.0829</v>
      </c>
      <c r="Q49" s="10">
        <v>56.804879999999997</v>
      </c>
      <c r="R49" s="10">
        <v>264.3854</v>
      </c>
      <c r="S49" s="10">
        <v>559.78</v>
      </c>
      <c r="T49" s="10">
        <v>107.2298</v>
      </c>
      <c r="U49" s="10">
        <v>101.2958</v>
      </c>
      <c r="V49" s="10">
        <v>205.72370000000001</v>
      </c>
      <c r="W49" s="10">
        <v>85.66</v>
      </c>
      <c r="X49" s="10">
        <v>164.45439999999999</v>
      </c>
      <c r="Y49" s="10">
        <v>14.6151</v>
      </c>
      <c r="Z49" s="10">
        <v>228.7773</v>
      </c>
      <c r="AA49" s="10">
        <v>709.54</v>
      </c>
      <c r="AB49" s="10">
        <v>170.19579999999999</v>
      </c>
      <c r="AC49" s="10">
        <v>79.350219999999993</v>
      </c>
      <c r="AD49" s="10">
        <v>208.41759999999999</v>
      </c>
      <c r="AE49" s="10">
        <v>490.43</v>
      </c>
      <c r="AF49" s="10">
        <v>58.760649999999998</v>
      </c>
      <c r="AG49" s="10">
        <v>213.98</v>
      </c>
      <c r="AH49" s="10">
        <v>117.81</v>
      </c>
      <c r="AI49" s="10">
        <v>204.85</v>
      </c>
      <c r="AJ49" s="10">
        <v>110.54</v>
      </c>
      <c r="AK49" s="10">
        <v>20.386700000000001</v>
      </c>
      <c r="AL49" s="10">
        <v>122.77</v>
      </c>
      <c r="AM49" s="10">
        <v>135.12309999999999</v>
      </c>
      <c r="AN49" s="10">
        <v>50.455300000000001</v>
      </c>
      <c r="AO49" s="10">
        <v>349.87880000000001</v>
      </c>
      <c r="AP49" s="10">
        <v>139.36619999999999</v>
      </c>
      <c r="AQ49" s="10">
        <v>114.8734</v>
      </c>
      <c r="AR49" s="10">
        <v>81.99</v>
      </c>
      <c r="AS49" s="10">
        <v>46.894449999999999</v>
      </c>
      <c r="AT49" s="10">
        <v>114.75749999999999</v>
      </c>
      <c r="AU49" s="10">
        <v>123.09699999999999</v>
      </c>
      <c r="AV49" s="10">
        <v>101.6039</v>
      </c>
      <c r="AW49" s="10">
        <v>103.9447</v>
      </c>
      <c r="AX49" s="10">
        <v>143.72200000000001</v>
      </c>
      <c r="AY49" s="10">
        <v>115.0699</v>
      </c>
      <c r="AZ49" s="10">
        <v>251.32</v>
      </c>
      <c r="BA49" s="10">
        <v>485</v>
      </c>
      <c r="BB49" s="10">
        <v>92.554540000000003</v>
      </c>
      <c r="BC49" s="10">
        <v>98.78</v>
      </c>
      <c r="BD49" s="10">
        <v>63.525030000000001</v>
      </c>
      <c r="BE49" s="10">
        <v>18.304559999999999</v>
      </c>
      <c r="BF49" s="10">
        <v>115.70959999999999</v>
      </c>
      <c r="BG49" s="10">
        <v>3148.73</v>
      </c>
      <c r="BH49" s="10">
        <v>51.497149999999998</v>
      </c>
      <c r="BI49" s="10">
        <v>121.63</v>
      </c>
      <c r="BJ49" s="10">
        <v>29.59</v>
      </c>
      <c r="BK49" s="10">
        <v>214.49180000000001</v>
      </c>
      <c r="BL49" s="10">
        <v>84.488820000000004</v>
      </c>
      <c r="BM49" s="10">
        <v>98.794330000000002</v>
      </c>
      <c r="BN49" s="10">
        <v>124.57640000000001</v>
      </c>
      <c r="BO49" s="10">
        <v>270.2457</v>
      </c>
      <c r="BP49" s="10">
        <v>105.2213</v>
      </c>
      <c r="BQ49" s="10">
        <v>82.523099999999999</v>
      </c>
      <c r="BR49" s="10">
        <v>10.512219999999999</v>
      </c>
      <c r="BS49" s="10">
        <v>1710.68</v>
      </c>
      <c r="BT49" s="10">
        <v>15.18</v>
      </c>
      <c r="BU49" s="10">
        <v>89.74736</v>
      </c>
      <c r="BV49" s="10">
        <v>420.81279999999998</v>
      </c>
      <c r="BW49" s="10">
        <v>25.594110000000001</v>
      </c>
      <c r="BX49" s="10">
        <v>141.68899999999999</v>
      </c>
      <c r="BY49" s="10">
        <v>151.29089999999999</v>
      </c>
      <c r="BZ49" s="10">
        <v>135.6671</v>
      </c>
      <c r="CA49" s="10">
        <v>47.472749999999998</v>
      </c>
      <c r="CB49" s="10">
        <v>133.65539999999999</v>
      </c>
      <c r="CC49" s="10">
        <v>70.078450000000004</v>
      </c>
      <c r="CD49" s="10">
        <v>59.54524</v>
      </c>
      <c r="CE49" s="10">
        <v>134.64590000000001</v>
      </c>
      <c r="CF49" s="10">
        <v>53.431690000000003</v>
      </c>
      <c r="CG49" s="10">
        <v>216.67500000000001</v>
      </c>
      <c r="CH49" s="10">
        <v>55.910080000000001</v>
      </c>
      <c r="CI49" s="10">
        <v>167.32429999999999</v>
      </c>
      <c r="CJ49" s="10">
        <v>75.467079999999996</v>
      </c>
      <c r="CK49" s="10">
        <v>28.709510000000002</v>
      </c>
      <c r="CL49" s="10">
        <v>60.336829999999999</v>
      </c>
      <c r="CM49" s="10">
        <v>47.90531</v>
      </c>
      <c r="CN49" s="10">
        <v>62.240090000000002</v>
      </c>
      <c r="CO49" s="10">
        <v>95.651139999999998</v>
      </c>
      <c r="CP49" s="10">
        <v>92.618709999999993</v>
      </c>
      <c r="CQ49" s="10">
        <v>205.48750000000001</v>
      </c>
      <c r="CR49" s="10">
        <v>46.914470000000001</v>
      </c>
      <c r="CS49" s="10">
        <v>16.52805</v>
      </c>
      <c r="CT49" s="10">
        <v>22.22</v>
      </c>
      <c r="CU49" s="10">
        <v>14.97</v>
      </c>
      <c r="CV49" s="10">
        <v>162.9325</v>
      </c>
      <c r="CW49" s="10">
        <v>248.27379999999999</v>
      </c>
      <c r="CX49" s="10">
        <v>5.14</v>
      </c>
      <c r="CY49" s="10">
        <v>9.74</v>
      </c>
      <c r="CZ49" s="10">
        <v>56.98</v>
      </c>
      <c r="DA49" s="10">
        <v>25.77</v>
      </c>
      <c r="DB49" s="10">
        <v>12.66</v>
      </c>
      <c r="DC49" s="10">
        <v>30.87886</v>
      </c>
      <c r="DD49" s="10">
        <v>2.5328309999999998</v>
      </c>
      <c r="DE49" s="10">
        <v>180.23</v>
      </c>
      <c r="DF49" s="10">
        <v>50.2</v>
      </c>
      <c r="DG49" s="10">
        <v>7.25</v>
      </c>
      <c r="DH49" s="10">
        <v>70.63</v>
      </c>
      <c r="DI49" s="10">
        <v>32.003810000000001</v>
      </c>
      <c r="DJ49" s="10">
        <v>68.201319999999996</v>
      </c>
      <c r="DK49" s="10">
        <v>31.655619999999999</v>
      </c>
      <c r="DL49" s="10">
        <v>83.302059999999997</v>
      </c>
      <c r="DM49" s="10">
        <v>34.540320000000001</v>
      </c>
      <c r="DN49" s="10">
        <v>40.118540000000003</v>
      </c>
      <c r="DO49" s="10">
        <v>9.9841879999999996</v>
      </c>
      <c r="DP49" s="10">
        <v>8.9022819999999996</v>
      </c>
      <c r="DQ49" s="10">
        <v>29.285630000000001</v>
      </c>
      <c r="DR49" s="10">
        <v>15.16466</v>
      </c>
      <c r="DS49" s="10">
        <v>12.82907</v>
      </c>
      <c r="DT49" s="10">
        <v>4.6949399999999999</v>
      </c>
      <c r="DU49" s="10">
        <v>9.06</v>
      </c>
      <c r="DV49" s="15">
        <v>9.4045690000000004</v>
      </c>
      <c r="DW49" s="10">
        <v>429.01</v>
      </c>
      <c r="DX49" s="10">
        <v>183.18780000000001</v>
      </c>
      <c r="DY49" s="10">
        <v>44.792299999999997</v>
      </c>
      <c r="DZ49" s="10">
        <v>6.66</v>
      </c>
      <c r="EA49" s="9">
        <v>3363</v>
      </c>
    </row>
    <row r="50" spans="1:131" ht="15.75">
      <c r="A50" s="8">
        <v>44105</v>
      </c>
      <c r="B50" s="10">
        <v>133.6866</v>
      </c>
      <c r="C50" s="10">
        <v>32.346420000000002</v>
      </c>
      <c r="D50" s="10">
        <v>128.2705</v>
      </c>
      <c r="E50" s="10">
        <v>81.085250000000002</v>
      </c>
      <c r="F50" s="10">
        <v>69.359710000000007</v>
      </c>
      <c r="G50" s="10">
        <v>210.76499999999999</v>
      </c>
      <c r="H50" s="10">
        <v>56.23216</v>
      </c>
      <c r="I50" s="10">
        <v>472.14240000000001</v>
      </c>
      <c r="J50" s="10">
        <v>292.7</v>
      </c>
      <c r="K50" s="10">
        <v>424.82</v>
      </c>
      <c r="L50" s="10">
        <v>319.58</v>
      </c>
      <c r="M50" s="10">
        <v>101.4515</v>
      </c>
      <c r="N50" s="10">
        <v>153.99</v>
      </c>
      <c r="O50" s="10">
        <v>997.91</v>
      </c>
      <c r="P50" s="10">
        <v>300.80829999999997</v>
      </c>
      <c r="Q50" s="10">
        <v>54.557969999999997</v>
      </c>
      <c r="R50" s="10">
        <v>269.48750000000001</v>
      </c>
      <c r="S50" s="10">
        <v>543.55999999999995</v>
      </c>
      <c r="T50" s="10">
        <v>103.5645</v>
      </c>
      <c r="U50" s="10">
        <v>98.585650000000001</v>
      </c>
      <c r="V50" s="10">
        <v>199.99930000000001</v>
      </c>
      <c r="W50" s="10">
        <v>87.77</v>
      </c>
      <c r="X50" s="10">
        <v>157.6721</v>
      </c>
      <c r="Y50" s="10">
        <v>14.3293</v>
      </c>
      <c r="Z50" s="10">
        <v>228.02289999999999</v>
      </c>
      <c r="AA50" s="10">
        <v>667.08</v>
      </c>
      <c r="AB50" s="10">
        <v>190.5582</v>
      </c>
      <c r="AC50" s="10">
        <v>76.538139999999999</v>
      </c>
      <c r="AD50" s="10">
        <v>200.62899999999999</v>
      </c>
      <c r="AE50" s="10">
        <v>447.1</v>
      </c>
      <c r="AF50" s="10">
        <v>55.227139999999999</v>
      </c>
      <c r="AG50" s="10">
        <v>213.86</v>
      </c>
      <c r="AH50" s="10">
        <v>110.37</v>
      </c>
      <c r="AI50" s="10">
        <v>190.7</v>
      </c>
      <c r="AJ50" s="10">
        <v>95.12</v>
      </c>
      <c r="AK50" s="10">
        <v>20.12257</v>
      </c>
      <c r="AL50" s="10">
        <v>132.94</v>
      </c>
      <c r="AM50" s="10">
        <v>125.209</v>
      </c>
      <c r="AN50" s="10">
        <v>43.147170000000003</v>
      </c>
      <c r="AO50" s="10">
        <v>338.83229999999998</v>
      </c>
      <c r="AP50" s="10">
        <v>141.12309999999999</v>
      </c>
      <c r="AQ50" s="10">
        <v>121.0628</v>
      </c>
      <c r="AR50" s="10">
        <v>75.290000000000006</v>
      </c>
      <c r="AS50" s="10">
        <v>50.269730000000003</v>
      </c>
      <c r="AT50" s="10">
        <v>116.5171</v>
      </c>
      <c r="AU50" s="10">
        <v>133.66730000000001</v>
      </c>
      <c r="AV50" s="10">
        <v>103.8978</v>
      </c>
      <c r="AW50" s="10">
        <v>118.3537</v>
      </c>
      <c r="AX50" s="10">
        <v>139.5634</v>
      </c>
      <c r="AY50" s="10">
        <v>108.1643</v>
      </c>
      <c r="AZ50" s="10">
        <v>232.27</v>
      </c>
      <c r="BA50" s="10">
        <v>497.57</v>
      </c>
      <c r="BB50" s="10">
        <v>102.11450000000001</v>
      </c>
      <c r="BC50" s="10">
        <v>104.87</v>
      </c>
      <c r="BD50" s="10">
        <v>61.359450000000002</v>
      </c>
      <c r="BE50" s="10">
        <v>17.471640000000001</v>
      </c>
      <c r="BF50" s="10">
        <v>106.19</v>
      </c>
      <c r="BG50" s="10">
        <v>3036.15</v>
      </c>
      <c r="BH50" s="10">
        <v>47.078879999999998</v>
      </c>
      <c r="BI50" s="10">
        <v>121.59</v>
      </c>
      <c r="BJ50" s="10">
        <v>34.53</v>
      </c>
      <c r="BK50" s="10">
        <v>208.14959999999999</v>
      </c>
      <c r="BL50" s="10">
        <v>85.511499999999998</v>
      </c>
      <c r="BM50" s="10">
        <v>90.144679999999994</v>
      </c>
      <c r="BN50" s="10">
        <v>119.1583</v>
      </c>
      <c r="BO50" s="10">
        <v>260.9101</v>
      </c>
      <c r="BP50" s="10">
        <v>111.3109</v>
      </c>
      <c r="BQ50" s="10">
        <v>88.360879999999995</v>
      </c>
      <c r="BR50" s="10">
        <v>10.02496</v>
      </c>
      <c r="BS50" s="10">
        <v>1622.5</v>
      </c>
      <c r="BT50" s="10">
        <v>13.71</v>
      </c>
      <c r="BU50" s="10">
        <v>91.742840000000001</v>
      </c>
      <c r="BV50" s="10">
        <v>375.0874</v>
      </c>
      <c r="BW50" s="10">
        <v>25.755030000000001</v>
      </c>
      <c r="BX50" s="10">
        <v>131.67570000000001</v>
      </c>
      <c r="BY50" s="10">
        <v>145.3954</v>
      </c>
      <c r="BZ50" s="10">
        <v>133.82230000000001</v>
      </c>
      <c r="CA50" s="10">
        <v>46.587179999999996</v>
      </c>
      <c r="CB50" s="10">
        <v>129.45910000000001</v>
      </c>
      <c r="CC50" s="10">
        <v>67.419020000000003</v>
      </c>
      <c r="CD50" s="10">
        <v>54.863100000000003</v>
      </c>
      <c r="CE50" s="10">
        <v>127.3297</v>
      </c>
      <c r="CF50" s="10">
        <v>51.478079999999999</v>
      </c>
      <c r="CG50" s="10">
        <v>218.07490000000001</v>
      </c>
      <c r="CH50" s="10">
        <v>51.983370000000001</v>
      </c>
      <c r="CI50" s="10">
        <v>164.7355</v>
      </c>
      <c r="CJ50" s="10">
        <v>77.169120000000007</v>
      </c>
      <c r="CK50" s="10">
        <v>29.323</v>
      </c>
      <c r="CL50" s="10">
        <v>53.63597</v>
      </c>
      <c r="CM50" s="10">
        <v>47.709339999999997</v>
      </c>
      <c r="CN50" s="10">
        <v>60.601939999999999</v>
      </c>
      <c r="CO50" s="10">
        <v>88.954070000000002</v>
      </c>
      <c r="CP50" s="10">
        <v>87.360659999999996</v>
      </c>
      <c r="CQ50" s="10">
        <v>202.6326</v>
      </c>
      <c r="CR50" s="10">
        <v>45.265619999999998</v>
      </c>
      <c r="CS50" s="10">
        <v>17.009630000000001</v>
      </c>
      <c r="CT50" s="10">
        <v>20.9</v>
      </c>
      <c r="CU50" s="10">
        <v>16.739999999999998</v>
      </c>
      <c r="CV50" s="10">
        <v>153.62370000000001</v>
      </c>
      <c r="CW50" s="10">
        <v>256.85379999999998</v>
      </c>
      <c r="CX50" s="10">
        <v>5.14</v>
      </c>
      <c r="CY50" s="10">
        <v>9.64</v>
      </c>
      <c r="CZ50" s="10">
        <v>53.76</v>
      </c>
      <c r="DA50" s="10">
        <v>26.97</v>
      </c>
      <c r="DB50" s="10">
        <v>14.4</v>
      </c>
      <c r="DC50" s="10">
        <v>30.342009999999998</v>
      </c>
      <c r="DD50" s="10">
        <v>2.6110660000000001</v>
      </c>
      <c r="DE50" s="10">
        <v>189.78479999999999</v>
      </c>
      <c r="DF50" s="10">
        <v>50.13</v>
      </c>
      <c r="DG50" s="10">
        <v>8.9600000000000009</v>
      </c>
      <c r="DH50" s="10">
        <v>69.540000000000006</v>
      </c>
      <c r="DI50" s="10">
        <v>30.409669999999998</v>
      </c>
      <c r="DJ50" s="10">
        <v>65.833219999999997</v>
      </c>
      <c r="DK50" s="10">
        <v>27.587820000000001</v>
      </c>
      <c r="DL50" s="10">
        <v>77.556070000000005</v>
      </c>
      <c r="DM50" s="10">
        <v>32.906529999999997</v>
      </c>
      <c r="DN50" s="10">
        <v>36.694200000000002</v>
      </c>
      <c r="DO50" s="10">
        <v>9.1153759999999995</v>
      </c>
      <c r="DP50" s="10">
        <v>8.5090520000000005</v>
      </c>
      <c r="DQ50" s="10">
        <v>25.240860000000001</v>
      </c>
      <c r="DR50" s="10">
        <v>14.656790000000001</v>
      </c>
      <c r="DS50" s="10">
        <v>14.25774</v>
      </c>
      <c r="DT50" s="10">
        <v>4.1145829999999997</v>
      </c>
      <c r="DU50" s="10">
        <v>8.4</v>
      </c>
      <c r="DV50" s="15">
        <v>8.2426530000000007</v>
      </c>
      <c r="DW50" s="10">
        <v>388.04</v>
      </c>
      <c r="DX50" s="10">
        <v>177.54560000000001</v>
      </c>
      <c r="DY50" s="10">
        <v>50.040100000000002</v>
      </c>
      <c r="DZ50" s="10">
        <v>7.73</v>
      </c>
      <c r="EA50" s="9">
        <v>3269.96</v>
      </c>
    </row>
    <row r="51" spans="1:131" ht="15.75">
      <c r="A51" s="8">
        <v>44136</v>
      </c>
      <c r="B51" s="10">
        <v>141.0676</v>
      </c>
      <c r="C51" s="10">
        <v>36.812510000000003</v>
      </c>
      <c r="D51" s="10">
        <v>143.2056</v>
      </c>
      <c r="E51" s="10">
        <v>101.00320000000001</v>
      </c>
      <c r="F51" s="10">
        <v>74.136780000000002</v>
      </c>
      <c r="G51" s="10">
        <v>215.71979999999999</v>
      </c>
      <c r="H51" s="10">
        <v>60.483730000000001</v>
      </c>
      <c r="I51" s="10">
        <v>464.01920000000001</v>
      </c>
      <c r="J51" s="10">
        <v>322.08999999999997</v>
      </c>
      <c r="K51" s="10">
        <v>460.98</v>
      </c>
      <c r="L51" s="10">
        <v>319.68</v>
      </c>
      <c r="M51" s="10">
        <v>116.3783</v>
      </c>
      <c r="N51" s="10">
        <v>168.99</v>
      </c>
      <c r="O51" s="10">
        <v>1150.04</v>
      </c>
      <c r="P51" s="10">
        <v>331.56540000000001</v>
      </c>
      <c r="Q51" s="10">
        <v>66.497860000000003</v>
      </c>
      <c r="R51" s="10">
        <v>307.73739999999998</v>
      </c>
      <c r="S51" s="10">
        <v>516.03</v>
      </c>
      <c r="T51" s="10">
        <v>106.9842</v>
      </c>
      <c r="U51" s="10">
        <v>111.45659999999999</v>
      </c>
      <c r="V51" s="10">
        <v>231.07689999999999</v>
      </c>
      <c r="W51" s="10">
        <v>96.14</v>
      </c>
      <c r="X51" s="10">
        <v>159.69159999999999</v>
      </c>
      <c r="Y51" s="10">
        <v>16.576260000000001</v>
      </c>
      <c r="Z51" s="10">
        <v>231.68299999999999</v>
      </c>
      <c r="AA51" s="10">
        <v>726.05</v>
      </c>
      <c r="AB51" s="10">
        <v>208.09100000000001</v>
      </c>
      <c r="AC51" s="10">
        <v>75.058099999999996</v>
      </c>
      <c r="AD51" s="10">
        <v>212.12360000000001</v>
      </c>
      <c r="AE51" s="10">
        <v>478.47</v>
      </c>
      <c r="AF51" s="10">
        <v>57.041849999999997</v>
      </c>
      <c r="AG51" s="10">
        <v>227.5</v>
      </c>
      <c r="AH51" s="10">
        <v>123.23</v>
      </c>
      <c r="AI51" s="10">
        <v>200.72</v>
      </c>
      <c r="AJ51" s="10">
        <v>103.51</v>
      </c>
      <c r="AK51" s="10">
        <v>17.833469999999998</v>
      </c>
      <c r="AL51" s="10">
        <v>162.81</v>
      </c>
      <c r="AM51" s="10">
        <v>133.8749</v>
      </c>
      <c r="AN51" s="10">
        <v>47.113050000000001</v>
      </c>
      <c r="AO51" s="10">
        <v>389.17790000000002</v>
      </c>
      <c r="AP51" s="10">
        <v>158.51429999999999</v>
      </c>
      <c r="AQ51" s="10">
        <v>144.42949999999999</v>
      </c>
      <c r="AR51" s="10">
        <v>92.66</v>
      </c>
      <c r="AS51" s="10">
        <v>64.000529999999998</v>
      </c>
      <c r="AT51" s="10">
        <v>136.7182</v>
      </c>
      <c r="AU51" s="10">
        <v>156.71690000000001</v>
      </c>
      <c r="AV51" s="10">
        <v>132.87799999999999</v>
      </c>
      <c r="AW51" s="10">
        <v>145.13759999999999</v>
      </c>
      <c r="AX51" s="10">
        <v>139.44489999999999</v>
      </c>
      <c r="AY51" s="10">
        <v>118.28919999999999</v>
      </c>
      <c r="AZ51" s="10">
        <v>245.8</v>
      </c>
      <c r="BA51" s="10">
        <v>534.54999999999995</v>
      </c>
      <c r="BB51" s="10">
        <v>114.6211</v>
      </c>
      <c r="BC51" s="10">
        <v>120.04</v>
      </c>
      <c r="BD51" s="10">
        <v>69.856139999999996</v>
      </c>
      <c r="BE51" s="10">
        <v>21.333690000000001</v>
      </c>
      <c r="BF51" s="10">
        <v>117.4689</v>
      </c>
      <c r="BG51" s="10">
        <v>3168.04</v>
      </c>
      <c r="BH51" s="10">
        <v>49.84648</v>
      </c>
      <c r="BI51" s="10">
        <v>160.69999999999999</v>
      </c>
      <c r="BJ51" s="10">
        <v>43.84</v>
      </c>
      <c r="BK51" s="10">
        <v>212.48849999999999</v>
      </c>
      <c r="BL51" s="10">
        <v>96.387270000000001</v>
      </c>
      <c r="BM51" s="10">
        <v>106.2085</v>
      </c>
      <c r="BN51" s="10">
        <v>133.666</v>
      </c>
      <c r="BO51" s="10">
        <v>271.37740000000002</v>
      </c>
      <c r="BP51" s="10">
        <v>126.39019999999999</v>
      </c>
      <c r="BQ51" s="10">
        <v>95.320530000000005</v>
      </c>
      <c r="BR51" s="10">
        <v>10.89001</v>
      </c>
      <c r="BS51" s="10">
        <v>2028.45</v>
      </c>
      <c r="BT51" s="10">
        <v>19.98</v>
      </c>
      <c r="BU51" s="10">
        <v>104.0008</v>
      </c>
      <c r="BV51" s="10">
        <v>389.21559999999999</v>
      </c>
      <c r="BW51" s="10">
        <v>31.22626</v>
      </c>
      <c r="BX51" s="10">
        <v>139.18819999999999</v>
      </c>
      <c r="BY51" s="10">
        <v>145.81010000000001</v>
      </c>
      <c r="BZ51" s="10">
        <v>136.30260000000001</v>
      </c>
      <c r="CA51" s="10">
        <v>50.018700000000003</v>
      </c>
      <c r="CB51" s="10">
        <v>140.0847</v>
      </c>
      <c r="CC51" s="10">
        <v>71.909189999999995</v>
      </c>
      <c r="CD51" s="10">
        <v>59.44068</v>
      </c>
      <c r="CE51" s="10">
        <v>151.5573</v>
      </c>
      <c r="CF51" s="10">
        <v>66.125190000000003</v>
      </c>
      <c r="CG51" s="10">
        <v>243.5497</v>
      </c>
      <c r="CH51" s="10">
        <v>56.22072</v>
      </c>
      <c r="CI51" s="10">
        <v>184.17939999999999</v>
      </c>
      <c r="CJ51" s="10">
        <v>84.234009999999998</v>
      </c>
      <c r="CK51" s="10">
        <v>31.575669999999999</v>
      </c>
      <c r="CL51" s="10">
        <v>69.635949999999994</v>
      </c>
      <c r="CM51" s="10">
        <v>46.44417</v>
      </c>
      <c r="CN51" s="10">
        <v>61.584829999999997</v>
      </c>
      <c r="CO51" s="10">
        <v>92.439099999999996</v>
      </c>
      <c r="CP51" s="10">
        <v>86.747879999999995</v>
      </c>
      <c r="CQ51" s="10">
        <v>198.43819999999999</v>
      </c>
      <c r="CR51" s="10">
        <v>48.866889999999998</v>
      </c>
      <c r="CS51" s="10">
        <v>20.477060000000002</v>
      </c>
      <c r="CT51" s="10">
        <v>31.48</v>
      </c>
      <c r="CU51" s="10">
        <v>18.89</v>
      </c>
      <c r="CV51" s="10">
        <v>167.2739</v>
      </c>
      <c r="CW51" s="10">
        <v>283.69040000000001</v>
      </c>
      <c r="CX51" s="10">
        <v>5.92</v>
      </c>
      <c r="CY51" s="10">
        <v>11</v>
      </c>
      <c r="CZ51" s="10">
        <v>59.29</v>
      </c>
      <c r="DA51" s="10">
        <v>28.39</v>
      </c>
      <c r="DB51" s="10">
        <v>18.579999999999998</v>
      </c>
      <c r="DC51" s="10">
        <v>41.665590000000002</v>
      </c>
      <c r="DD51" s="10">
        <v>2.581728</v>
      </c>
      <c r="DE51" s="10">
        <v>202.73480000000001</v>
      </c>
      <c r="DF51" s="10">
        <v>54.62</v>
      </c>
      <c r="DG51" s="10">
        <v>9.1199999999999992</v>
      </c>
      <c r="DH51" s="10">
        <v>74.709999999999994</v>
      </c>
      <c r="DI51" s="10">
        <v>35.546309999999998</v>
      </c>
      <c r="DJ51" s="10">
        <v>82.580430000000007</v>
      </c>
      <c r="DK51" s="10">
        <v>38.602170000000001</v>
      </c>
      <c r="DL51" s="10">
        <v>98.046620000000004</v>
      </c>
      <c r="DM51" s="10">
        <v>45.507890000000003</v>
      </c>
      <c r="DN51" s="10">
        <v>46.513500000000001</v>
      </c>
      <c r="DO51" s="10">
        <v>15.73476</v>
      </c>
      <c r="DP51" s="10">
        <v>13.33053</v>
      </c>
      <c r="DQ51" s="10">
        <v>38.85304</v>
      </c>
      <c r="DR51" s="10">
        <v>20.395890000000001</v>
      </c>
      <c r="DS51" s="10">
        <v>18.070740000000001</v>
      </c>
      <c r="DT51" s="10">
        <v>6.1830360000000004</v>
      </c>
      <c r="DU51" s="10">
        <v>12.26</v>
      </c>
      <c r="DV51" s="15">
        <v>12.834327999999999</v>
      </c>
      <c r="DW51" s="10">
        <v>567.6</v>
      </c>
      <c r="DX51" s="10">
        <v>210.0754</v>
      </c>
      <c r="DY51" s="10">
        <v>60.134270000000001</v>
      </c>
      <c r="DZ51" s="10">
        <v>9.08</v>
      </c>
      <c r="EA51" s="9">
        <v>3621.63</v>
      </c>
    </row>
    <row r="52" spans="1:131" ht="15.75">
      <c r="A52" s="8">
        <v>44166</v>
      </c>
      <c r="B52" s="10">
        <v>154.51679999999999</v>
      </c>
      <c r="C52" s="10">
        <v>35.734909999999999</v>
      </c>
      <c r="D52" s="10">
        <v>166.85929999999999</v>
      </c>
      <c r="E52" s="10">
        <v>103.4853</v>
      </c>
      <c r="F52" s="10">
        <v>75.437100000000001</v>
      </c>
      <c r="G52" s="10">
        <v>224.8929</v>
      </c>
      <c r="H52" s="10">
        <v>60.12509</v>
      </c>
      <c r="I52" s="10">
        <v>464.81760000000003</v>
      </c>
      <c r="J52" s="10">
        <v>370</v>
      </c>
      <c r="K52" s="10">
        <v>499.87</v>
      </c>
      <c r="L52" s="10">
        <v>369.72</v>
      </c>
      <c r="M52" s="10">
        <v>117.96120000000001</v>
      </c>
      <c r="N52" s="10">
        <v>179.17</v>
      </c>
      <c r="O52" s="10">
        <v>1139.68</v>
      </c>
      <c r="P52" s="10">
        <v>345.70179999999999</v>
      </c>
      <c r="Q52" s="10">
        <v>66.998149999999995</v>
      </c>
      <c r="R52" s="10">
        <v>317.19119999999998</v>
      </c>
      <c r="S52" s="10">
        <v>483.11</v>
      </c>
      <c r="T52" s="10">
        <v>108.2397</v>
      </c>
      <c r="U52" s="10">
        <v>114.8287</v>
      </c>
      <c r="V52" s="10">
        <v>242.601</v>
      </c>
      <c r="W52" s="10">
        <v>104.07</v>
      </c>
      <c r="X52" s="10">
        <v>164.78970000000001</v>
      </c>
      <c r="Y52" s="10">
        <v>18.468440000000001</v>
      </c>
      <c r="Z52" s="10">
        <v>246.8563</v>
      </c>
      <c r="AA52" s="10">
        <v>818.1</v>
      </c>
      <c r="AB52" s="10">
        <v>211.40350000000001</v>
      </c>
      <c r="AC52" s="10">
        <v>79.172619999999995</v>
      </c>
      <c r="AD52" s="10">
        <v>220.97460000000001</v>
      </c>
      <c r="AE52" s="10">
        <v>500.12</v>
      </c>
      <c r="AF52" s="10">
        <v>63.929960000000001</v>
      </c>
      <c r="AG52" s="10">
        <v>259.24</v>
      </c>
      <c r="AH52" s="10">
        <v>148.53</v>
      </c>
      <c r="AI52" s="10">
        <v>216.4</v>
      </c>
      <c r="AJ52" s="10">
        <v>104.99</v>
      </c>
      <c r="AK52" s="10">
        <v>20.465029999999999</v>
      </c>
      <c r="AL52" s="10">
        <v>175.94</v>
      </c>
      <c r="AM52" s="10">
        <v>130.4135</v>
      </c>
      <c r="AN52" s="10">
        <v>48.898539999999997</v>
      </c>
      <c r="AO52" s="10">
        <v>424.32780000000002</v>
      </c>
      <c r="AP52" s="10">
        <v>161.34540000000001</v>
      </c>
      <c r="AQ52" s="10">
        <v>149.50319999999999</v>
      </c>
      <c r="AR52" s="10">
        <v>91.71</v>
      </c>
      <c r="AS52" s="10">
        <v>75.075059999999993</v>
      </c>
      <c r="AT52" s="10">
        <v>145.22130000000001</v>
      </c>
      <c r="AU52" s="10">
        <v>157.3005</v>
      </c>
      <c r="AV52" s="10">
        <v>136.96100000000001</v>
      </c>
      <c r="AW52" s="10">
        <v>141.77000000000001</v>
      </c>
      <c r="AX52" s="10">
        <v>151.55009999999999</v>
      </c>
      <c r="AY52" s="10">
        <v>132.06950000000001</v>
      </c>
      <c r="AZ52" s="10">
        <v>222.53</v>
      </c>
      <c r="BA52" s="10">
        <v>550.42999999999995</v>
      </c>
      <c r="BB52" s="10">
        <v>117.468</v>
      </c>
      <c r="BC52" s="10">
        <v>132.09</v>
      </c>
      <c r="BD52" s="10">
        <v>70.611170000000001</v>
      </c>
      <c r="BE52" s="10">
        <v>23.92136</v>
      </c>
      <c r="BF52" s="10">
        <v>121.4492</v>
      </c>
      <c r="BG52" s="10">
        <v>3256.93</v>
      </c>
      <c r="BH52" s="10">
        <v>49.823830000000001</v>
      </c>
      <c r="BI52" s="10">
        <v>177.91</v>
      </c>
      <c r="BJ52" s="10">
        <v>41.64</v>
      </c>
      <c r="BK52" s="10">
        <v>210.94</v>
      </c>
      <c r="BL52" s="10">
        <v>105.69410000000001</v>
      </c>
      <c r="BM52" s="10">
        <v>117.1658</v>
      </c>
      <c r="BN52" s="10">
        <v>140.38409999999999</v>
      </c>
      <c r="BO52" s="10">
        <v>259.84379999999999</v>
      </c>
      <c r="BP52" s="10">
        <v>134.0806</v>
      </c>
      <c r="BQ52" s="10">
        <v>92.655090000000001</v>
      </c>
      <c r="BR52" s="10">
        <v>11.425940000000001</v>
      </c>
      <c r="BS52" s="10">
        <v>2227.27</v>
      </c>
      <c r="BT52" s="10">
        <v>21.66</v>
      </c>
      <c r="BU52" s="10">
        <v>107.1936</v>
      </c>
      <c r="BV52" s="10">
        <v>380.18349999999998</v>
      </c>
      <c r="BW52" s="10">
        <v>29.922820000000002</v>
      </c>
      <c r="BX52" s="10">
        <v>139.38560000000001</v>
      </c>
      <c r="BY52" s="10">
        <v>155.49459999999999</v>
      </c>
      <c r="BZ52" s="10">
        <v>136.5676</v>
      </c>
      <c r="CA52" s="10">
        <v>53.576219999999999</v>
      </c>
      <c r="CB52" s="10">
        <v>144.0377</v>
      </c>
      <c r="CC52" s="10">
        <v>78.592240000000004</v>
      </c>
      <c r="CD52" s="10">
        <v>58.759239999999998</v>
      </c>
      <c r="CE52" s="10">
        <v>155.33279999999999</v>
      </c>
      <c r="CF52" s="10">
        <v>69.328320000000005</v>
      </c>
      <c r="CG52" s="10">
        <v>264.83769999999998</v>
      </c>
      <c r="CH52" s="10">
        <v>57.218899999999998</v>
      </c>
      <c r="CI52" s="10">
        <v>192.01220000000001</v>
      </c>
      <c r="CJ52" s="10">
        <v>84.10615</v>
      </c>
      <c r="CK52" s="10">
        <v>33.621960000000001</v>
      </c>
      <c r="CL52" s="10">
        <v>72.537049999999994</v>
      </c>
      <c r="CM52" s="10">
        <v>45.88306</v>
      </c>
      <c r="CN52" s="10">
        <v>60.509279999999997</v>
      </c>
      <c r="CO52" s="10">
        <v>94.525379999999998</v>
      </c>
      <c r="CP52" s="10">
        <v>86.45129</v>
      </c>
      <c r="CQ52" s="10">
        <v>198.4409</v>
      </c>
      <c r="CR52" s="10">
        <v>47.235379999999999</v>
      </c>
      <c r="CS52" s="10">
        <v>20.670739999999999</v>
      </c>
      <c r="CT52" s="10">
        <v>33.31</v>
      </c>
      <c r="CU52" s="10">
        <v>19.61</v>
      </c>
      <c r="CV52" s="10">
        <v>165.66730000000001</v>
      </c>
      <c r="CW52" s="10">
        <v>257.00220000000002</v>
      </c>
      <c r="CX52" s="10">
        <v>5.8</v>
      </c>
      <c r="CY52" s="10">
        <v>24.9</v>
      </c>
      <c r="CZ52" s="10">
        <v>58.48</v>
      </c>
      <c r="DA52" s="10">
        <v>26.82</v>
      </c>
      <c r="DB52" s="10">
        <v>20.79</v>
      </c>
      <c r="DC52" s="10">
        <v>42.516159999999999</v>
      </c>
      <c r="DD52" s="10">
        <v>2.7088580000000002</v>
      </c>
      <c r="DE52" s="10">
        <v>194.58</v>
      </c>
      <c r="DF52" s="10">
        <v>57</v>
      </c>
      <c r="DG52" s="10">
        <v>9.32</v>
      </c>
      <c r="DH52" s="10">
        <v>78.209999999999994</v>
      </c>
      <c r="DI52" s="10">
        <v>39.354039999999998</v>
      </c>
      <c r="DJ52" s="10">
        <v>81.171520000000001</v>
      </c>
      <c r="DK52" s="10">
        <v>39.02176</v>
      </c>
      <c r="DL52" s="10">
        <v>111.0214</v>
      </c>
      <c r="DM52" s="10">
        <v>48.410380000000004</v>
      </c>
      <c r="DN52" s="10">
        <v>52.044240000000002</v>
      </c>
      <c r="DO52" s="10">
        <v>17.28227</v>
      </c>
      <c r="DP52" s="10">
        <v>15.06474</v>
      </c>
      <c r="DQ52" s="10">
        <v>47.610289999999999</v>
      </c>
      <c r="DR52" s="10">
        <v>21.416180000000001</v>
      </c>
      <c r="DS52" s="10">
        <v>20.359850000000002</v>
      </c>
      <c r="DT52" s="10">
        <v>6.9940480000000003</v>
      </c>
      <c r="DU52" s="10">
        <v>13.73</v>
      </c>
      <c r="DV52" s="15">
        <v>14.128712</v>
      </c>
      <c r="DW52" s="10">
        <v>705.67</v>
      </c>
      <c r="DX52" s="10">
        <v>228.39510000000001</v>
      </c>
      <c r="DY52" s="10">
        <v>69.773960000000002</v>
      </c>
      <c r="DZ52" s="10">
        <v>8.7899999999999991</v>
      </c>
      <c r="EA52" s="9">
        <v>3756.07</v>
      </c>
    </row>
    <row r="53" spans="1:131" ht="15.75">
      <c r="A53" s="8">
        <v>44197</v>
      </c>
      <c r="B53" s="10">
        <v>160.16220000000001</v>
      </c>
      <c r="C53" s="10">
        <v>34.851480000000002</v>
      </c>
      <c r="D53" s="10">
        <v>205.53030000000001</v>
      </c>
      <c r="E53" s="10">
        <v>98.975040000000007</v>
      </c>
      <c r="F53" s="10">
        <v>71.636309999999995</v>
      </c>
      <c r="G53" s="10">
        <v>236.15119999999999</v>
      </c>
      <c r="H53" s="10">
        <v>60.018470000000001</v>
      </c>
      <c r="I53" s="10">
        <v>508.8843</v>
      </c>
      <c r="J53" s="10">
        <v>426.44</v>
      </c>
      <c r="K53" s="10">
        <v>478.68</v>
      </c>
      <c r="L53" s="10">
        <v>374.85</v>
      </c>
      <c r="M53" s="10">
        <v>119.6337</v>
      </c>
      <c r="N53" s="10">
        <v>177.8</v>
      </c>
      <c r="O53" s="10">
        <v>1168.0999999999999</v>
      </c>
      <c r="P53" s="10">
        <v>330.02769999999998</v>
      </c>
      <c r="Q53" s="10">
        <v>70.284289999999999</v>
      </c>
      <c r="R53" s="10">
        <v>294.23930000000001</v>
      </c>
      <c r="S53" s="10">
        <v>503.84</v>
      </c>
      <c r="T53" s="10">
        <v>122.17870000000001</v>
      </c>
      <c r="U53" s="10">
        <v>109.6784</v>
      </c>
      <c r="V53" s="10">
        <v>219.38409999999999</v>
      </c>
      <c r="W53" s="10">
        <v>115.05</v>
      </c>
      <c r="X53" s="10">
        <v>153.58789999999999</v>
      </c>
      <c r="Y53" s="10">
        <v>16.7438</v>
      </c>
      <c r="Z53" s="10">
        <v>259.16609999999997</v>
      </c>
      <c r="AA53" s="10">
        <v>747.64</v>
      </c>
      <c r="AB53" s="10">
        <v>200.47329999999999</v>
      </c>
      <c r="AC53" s="10">
        <v>76.052030000000002</v>
      </c>
      <c r="AD53" s="10">
        <v>230.45269999999999</v>
      </c>
      <c r="AE53" s="10">
        <v>458.77</v>
      </c>
      <c r="AF53" s="10">
        <v>59.720010000000002</v>
      </c>
      <c r="AG53" s="10">
        <v>255.45</v>
      </c>
      <c r="AH53" s="10">
        <v>144.75</v>
      </c>
      <c r="AI53" s="10">
        <v>194.07</v>
      </c>
      <c r="AJ53" s="10">
        <v>111.03</v>
      </c>
      <c r="AK53" s="10">
        <v>20.750630000000001</v>
      </c>
      <c r="AL53" s="10">
        <v>195.95</v>
      </c>
      <c r="AM53" s="10">
        <v>129.80009999999999</v>
      </c>
      <c r="AN53" s="10">
        <v>54.483289999999997</v>
      </c>
      <c r="AO53" s="10">
        <v>440.30709999999999</v>
      </c>
      <c r="AP53" s="10">
        <v>162.87889999999999</v>
      </c>
      <c r="AQ53" s="10">
        <v>154.0317</v>
      </c>
      <c r="AR53" s="10">
        <v>85.64</v>
      </c>
      <c r="AS53" s="10">
        <v>78.160740000000004</v>
      </c>
      <c r="AT53" s="10">
        <v>145.4693</v>
      </c>
      <c r="AU53" s="10">
        <v>159.12459999999999</v>
      </c>
      <c r="AV53" s="10">
        <v>134.9776</v>
      </c>
      <c r="AW53" s="10">
        <v>130.57</v>
      </c>
      <c r="AX53" s="10">
        <v>167.77760000000001</v>
      </c>
      <c r="AY53" s="10">
        <v>131.34289999999999</v>
      </c>
      <c r="AZ53" s="10">
        <v>225.56</v>
      </c>
      <c r="BA53" s="10">
        <v>543.16</v>
      </c>
      <c r="BB53" s="10">
        <v>113.3372</v>
      </c>
      <c r="BC53" s="10">
        <v>141.59</v>
      </c>
      <c r="BD53" s="10">
        <v>65.885140000000007</v>
      </c>
      <c r="BE53" s="10">
        <v>23.873750000000001</v>
      </c>
      <c r="BF53" s="10">
        <v>114.9175</v>
      </c>
      <c r="BG53" s="10">
        <v>3206.2</v>
      </c>
      <c r="BH53" s="10">
        <v>56.030749999999998</v>
      </c>
      <c r="BI53" s="10">
        <v>199.09</v>
      </c>
      <c r="BJ53" s="10">
        <v>50.68</v>
      </c>
      <c r="BK53" s="10">
        <v>204.3143</v>
      </c>
      <c r="BL53" s="10">
        <v>95.646330000000006</v>
      </c>
      <c r="BM53" s="10">
        <v>114.97239999999999</v>
      </c>
      <c r="BN53" s="10">
        <v>132.8313</v>
      </c>
      <c r="BO53" s="10">
        <v>266.37529999999998</v>
      </c>
      <c r="BP53" s="10">
        <v>131.69720000000001</v>
      </c>
      <c r="BQ53" s="10">
        <v>87.524150000000006</v>
      </c>
      <c r="BR53" s="10">
        <v>10.620200000000001</v>
      </c>
      <c r="BS53" s="10">
        <v>1944.33</v>
      </c>
      <c r="BT53" s="10">
        <v>18.670000000000002</v>
      </c>
      <c r="BU53" s="10">
        <v>100.21259999999999</v>
      </c>
      <c r="BV53" s="10">
        <v>368.3415</v>
      </c>
      <c r="BW53" s="10">
        <v>32.79522</v>
      </c>
      <c r="BX53" s="10">
        <v>140.53579999999999</v>
      </c>
      <c r="BY53" s="10">
        <v>147.46019999999999</v>
      </c>
      <c r="BZ53" s="10">
        <v>125.83969999999999</v>
      </c>
      <c r="CA53" s="10">
        <v>47.040390000000002</v>
      </c>
      <c r="CB53" s="10">
        <v>133.5898</v>
      </c>
      <c r="CC53" s="10">
        <v>76.705029999999994</v>
      </c>
      <c r="CD53" s="10">
        <v>56.792810000000003</v>
      </c>
      <c r="CE53" s="10">
        <v>156.76089999999999</v>
      </c>
      <c r="CF53" s="10">
        <v>62.168390000000002</v>
      </c>
      <c r="CG53" s="10">
        <v>235.4478</v>
      </c>
      <c r="CH53" s="10">
        <v>54.547699999999999</v>
      </c>
      <c r="CI53" s="10">
        <v>192.14840000000001</v>
      </c>
      <c r="CJ53" s="10">
        <v>76.719440000000006</v>
      </c>
      <c r="CK53" s="10">
        <v>32.506410000000002</v>
      </c>
      <c r="CL53" s="10">
        <v>69.850849999999994</v>
      </c>
      <c r="CM53" s="10">
        <v>46.129159999999999</v>
      </c>
      <c r="CN53" s="10">
        <v>57.310250000000003</v>
      </c>
      <c r="CO53" s="10">
        <v>88.852099999999993</v>
      </c>
      <c r="CP53" s="10">
        <v>83.676289999999995</v>
      </c>
      <c r="CQ53" s="10">
        <v>205.851</v>
      </c>
      <c r="CR53" s="10">
        <v>47.000920000000001</v>
      </c>
      <c r="CS53" s="10">
        <v>23.387250000000002</v>
      </c>
      <c r="CT53" s="10">
        <v>30.99</v>
      </c>
      <c r="CU53" s="10">
        <v>19.38</v>
      </c>
      <c r="CV53" s="10">
        <v>152.4847</v>
      </c>
      <c r="CW53" s="10">
        <v>233.4888</v>
      </c>
      <c r="CX53" s="10">
        <v>5.8</v>
      </c>
      <c r="CY53" s="10">
        <v>20.399999999999999</v>
      </c>
      <c r="CZ53" s="10">
        <v>61.06</v>
      </c>
      <c r="DA53" s="10">
        <v>26.33</v>
      </c>
      <c r="DB53" s="10">
        <v>18.32</v>
      </c>
      <c r="DC53" s="10">
        <v>46.182899999999997</v>
      </c>
      <c r="DD53" s="10">
        <v>2.7186379999999999</v>
      </c>
      <c r="DE53" s="10">
        <v>193.5463</v>
      </c>
      <c r="DF53" s="10">
        <v>52.63</v>
      </c>
      <c r="DG53" s="10">
        <v>10.36</v>
      </c>
      <c r="DH53" s="10">
        <v>76.92</v>
      </c>
      <c r="DI53" s="10">
        <v>42.810169999999999</v>
      </c>
      <c r="DJ53" s="10">
        <v>81.892399999999995</v>
      </c>
      <c r="DK53" s="10">
        <v>39.060780000000001</v>
      </c>
      <c r="DL53" s="10">
        <v>118.4436</v>
      </c>
      <c r="DM53" s="10">
        <v>49.46848</v>
      </c>
      <c r="DN53" s="10">
        <v>53.453400000000002</v>
      </c>
      <c r="DO53" s="10">
        <v>20.038340000000002</v>
      </c>
      <c r="DP53" s="10">
        <v>15.794689999999999</v>
      </c>
      <c r="DQ53" s="10">
        <v>55.76502</v>
      </c>
      <c r="DR53" s="10">
        <v>21.920770000000001</v>
      </c>
      <c r="DS53" s="10">
        <v>19.617719999999998</v>
      </c>
      <c r="DT53" s="10">
        <v>7.9538690000000001</v>
      </c>
      <c r="DU53" s="10">
        <v>12.38</v>
      </c>
      <c r="DV53" s="15">
        <v>14.218323</v>
      </c>
      <c r="DW53" s="10">
        <v>793.53</v>
      </c>
      <c r="DX53" s="10">
        <v>207.15969999999999</v>
      </c>
      <c r="DY53" s="10">
        <v>69.231930000000006</v>
      </c>
      <c r="DZ53" s="10">
        <v>10.53</v>
      </c>
      <c r="EA53" s="9">
        <v>3714.24</v>
      </c>
    </row>
    <row r="54" spans="1:131" ht="15.75">
      <c r="A54" s="8">
        <v>44228</v>
      </c>
      <c r="B54" s="10">
        <v>155.5771</v>
      </c>
      <c r="C54" s="10">
        <v>32.865560000000002</v>
      </c>
      <c r="D54" s="10">
        <v>202.4864</v>
      </c>
      <c r="E54" s="10">
        <v>105.2722</v>
      </c>
      <c r="F54" s="10">
        <v>67.500050000000002</v>
      </c>
      <c r="G54" s="10">
        <v>220.00219999999999</v>
      </c>
      <c r="H54" s="10">
        <v>59.920769999999997</v>
      </c>
      <c r="I54" s="10">
        <v>449.35969999999998</v>
      </c>
      <c r="J54" s="10">
        <v>439.41</v>
      </c>
      <c r="K54" s="10">
        <v>520.16999999999996</v>
      </c>
      <c r="L54" s="10">
        <v>397.78</v>
      </c>
      <c r="M54" s="10">
        <v>121.72450000000001</v>
      </c>
      <c r="N54" s="10">
        <v>192.79</v>
      </c>
      <c r="O54" s="10">
        <v>1116.05</v>
      </c>
      <c r="P54" s="10">
        <v>328.68220000000002</v>
      </c>
      <c r="Q54" s="10">
        <v>67.278409999999994</v>
      </c>
      <c r="R54" s="10">
        <v>300.392</v>
      </c>
      <c r="S54" s="10">
        <v>450.57</v>
      </c>
      <c r="T54" s="10">
        <v>118.8892</v>
      </c>
      <c r="U54" s="10">
        <v>115.2347</v>
      </c>
      <c r="V54" s="10">
        <v>240.90459999999999</v>
      </c>
      <c r="W54" s="10">
        <v>113.71</v>
      </c>
      <c r="X54" s="10">
        <v>154.81319999999999</v>
      </c>
      <c r="Y54" s="10">
        <v>14.63481</v>
      </c>
      <c r="Z54" s="10">
        <v>238.733</v>
      </c>
      <c r="AA54" s="10">
        <v>736.8</v>
      </c>
      <c r="AB54" s="10">
        <v>191.7311</v>
      </c>
      <c r="AC54" s="10">
        <v>76.903319999999994</v>
      </c>
      <c r="AD54" s="10">
        <v>230.8699</v>
      </c>
      <c r="AE54" s="10">
        <v>459.67</v>
      </c>
      <c r="AF54" s="10">
        <v>63.996029999999998</v>
      </c>
      <c r="AG54" s="10">
        <v>245.21</v>
      </c>
      <c r="AH54" s="10">
        <v>168.85</v>
      </c>
      <c r="AI54" s="10">
        <v>194.03</v>
      </c>
      <c r="AJ54" s="10">
        <v>94.5</v>
      </c>
      <c r="AK54" s="10">
        <v>19.214269999999999</v>
      </c>
      <c r="AL54" s="10">
        <v>189.98</v>
      </c>
      <c r="AM54" s="10">
        <v>137.0421</v>
      </c>
      <c r="AN54" s="10">
        <v>59.655819999999999</v>
      </c>
      <c r="AO54" s="10">
        <v>459.2389</v>
      </c>
      <c r="AP54" s="10">
        <v>170.3742</v>
      </c>
      <c r="AQ54" s="10">
        <v>134.23079999999999</v>
      </c>
      <c r="AR54" s="10">
        <v>84.51</v>
      </c>
      <c r="AS54" s="10">
        <v>91.402240000000006</v>
      </c>
      <c r="AT54" s="10">
        <v>153.852</v>
      </c>
      <c r="AU54" s="10">
        <v>181.01949999999999</v>
      </c>
      <c r="AV54" s="10">
        <v>151.36019999999999</v>
      </c>
      <c r="AW54" s="10">
        <v>130.30000000000001</v>
      </c>
      <c r="AX54" s="10">
        <v>176.2731</v>
      </c>
      <c r="AY54" s="10">
        <v>120.69289999999999</v>
      </c>
      <c r="AZ54" s="10">
        <v>216.5</v>
      </c>
      <c r="BA54" s="10">
        <v>533.46</v>
      </c>
      <c r="BB54" s="10">
        <v>122.37569999999999</v>
      </c>
      <c r="BC54" s="10">
        <v>141.52000000000001</v>
      </c>
      <c r="BD54" s="10">
        <v>65.625900000000001</v>
      </c>
      <c r="BE54" s="10">
        <v>28.415050000000001</v>
      </c>
      <c r="BF54" s="10">
        <v>114.7439</v>
      </c>
      <c r="BG54" s="10">
        <v>3092.93</v>
      </c>
      <c r="BH54" s="10">
        <v>55.941510000000001</v>
      </c>
      <c r="BI54" s="10">
        <v>220.27</v>
      </c>
      <c r="BJ54" s="10">
        <v>51.33</v>
      </c>
      <c r="BK54" s="10">
        <v>202.6431</v>
      </c>
      <c r="BL54" s="10">
        <v>106.7315</v>
      </c>
      <c r="BM54" s="10">
        <v>135.49170000000001</v>
      </c>
      <c r="BN54" s="10">
        <v>134.0145</v>
      </c>
      <c r="BO54" s="10">
        <v>254.1001</v>
      </c>
      <c r="BP54" s="10">
        <v>129.3074</v>
      </c>
      <c r="BQ54" s="10">
        <v>84.908969999999997</v>
      </c>
      <c r="BR54" s="10">
        <v>10.620200000000001</v>
      </c>
      <c r="BS54" s="10">
        <v>2328.5100000000002</v>
      </c>
      <c r="BT54" s="10">
        <v>26.75</v>
      </c>
      <c r="BU54" s="10">
        <v>102.227</v>
      </c>
      <c r="BV54" s="10">
        <v>344.24959999999999</v>
      </c>
      <c r="BW54" s="10">
        <v>43.979059999999997</v>
      </c>
      <c r="BX54" s="10">
        <v>157.6095</v>
      </c>
      <c r="BY54" s="10">
        <v>158.54390000000001</v>
      </c>
      <c r="BZ54" s="10">
        <v>121.97750000000001</v>
      </c>
      <c r="CA54" s="10">
        <v>47.86103</v>
      </c>
      <c r="CB54" s="10">
        <v>126.37090000000001</v>
      </c>
      <c r="CC54" s="10">
        <v>80.913449999999997</v>
      </c>
      <c r="CD54" s="10">
        <v>50.679360000000003</v>
      </c>
      <c r="CE54" s="10">
        <v>154.28630000000001</v>
      </c>
      <c r="CF54" s="10">
        <v>57.249659999999999</v>
      </c>
      <c r="CG54" s="10">
        <v>284.40780000000001</v>
      </c>
      <c r="CH54" s="10">
        <v>52.304389999999998</v>
      </c>
      <c r="CI54" s="10">
        <v>198.1806</v>
      </c>
      <c r="CJ54" s="10">
        <v>74.378200000000007</v>
      </c>
      <c r="CK54" s="10">
        <v>35.29045</v>
      </c>
      <c r="CL54" s="10">
        <v>78.245739999999998</v>
      </c>
      <c r="CM54" s="10">
        <v>45.89273</v>
      </c>
      <c r="CN54" s="10">
        <v>56.114260000000002</v>
      </c>
      <c r="CO54" s="10">
        <v>83.632509999999996</v>
      </c>
      <c r="CP54" s="10">
        <v>78.046989999999994</v>
      </c>
      <c r="CQ54" s="10">
        <v>178.8672</v>
      </c>
      <c r="CR54" s="10">
        <v>44.777349999999998</v>
      </c>
      <c r="CS54" s="10">
        <v>22.559640000000002</v>
      </c>
      <c r="CT54" s="10">
        <v>36.46</v>
      </c>
      <c r="CU54" s="10">
        <v>22.39</v>
      </c>
      <c r="CV54" s="10">
        <v>155.2688</v>
      </c>
      <c r="CW54" s="10">
        <v>252.49809999999999</v>
      </c>
      <c r="CX54" s="10">
        <v>6.77</v>
      </c>
      <c r="CY54" s="10">
        <v>24.56</v>
      </c>
      <c r="CZ54" s="10">
        <v>58.56</v>
      </c>
      <c r="DA54" s="10">
        <v>27.86</v>
      </c>
      <c r="DB54" s="10">
        <v>23.78</v>
      </c>
      <c r="DC54" s="10">
        <v>58.777329999999999</v>
      </c>
      <c r="DD54" s="10">
        <v>2.938672</v>
      </c>
      <c r="DE54" s="10">
        <v>214.26779999999999</v>
      </c>
      <c r="DF54" s="10">
        <v>57.58</v>
      </c>
      <c r="DG54" s="10">
        <v>10.14</v>
      </c>
      <c r="DH54" s="10">
        <v>83.98</v>
      </c>
      <c r="DI54" s="10">
        <v>51.908760000000001</v>
      </c>
      <c r="DJ54" s="10">
        <v>96.117850000000004</v>
      </c>
      <c r="DK54" s="10">
        <v>50.750720000000001</v>
      </c>
      <c r="DL54" s="10">
        <v>145.5514</v>
      </c>
      <c r="DM54" s="10">
        <v>63.061500000000002</v>
      </c>
      <c r="DN54" s="10">
        <v>64.890730000000005</v>
      </c>
      <c r="DO54" s="10">
        <v>26.58127</v>
      </c>
      <c r="DP54" s="10">
        <v>20.669360000000001</v>
      </c>
      <c r="DQ54" s="10">
        <v>68.149590000000003</v>
      </c>
      <c r="DR54" s="10">
        <v>27.54654</v>
      </c>
      <c r="DS54" s="10">
        <v>23.904509999999998</v>
      </c>
      <c r="DT54" s="10">
        <v>8.2200000000000006</v>
      </c>
      <c r="DU54" s="10">
        <v>15.1</v>
      </c>
      <c r="DV54" s="15">
        <v>19.672934999999999</v>
      </c>
      <c r="DW54" s="10">
        <v>675.5</v>
      </c>
      <c r="DX54" s="10">
        <v>196.4127</v>
      </c>
      <c r="DY54" s="10">
        <v>82.979759999999999</v>
      </c>
      <c r="DZ54" s="10">
        <v>11.7</v>
      </c>
      <c r="EA54" s="9">
        <v>3811.15</v>
      </c>
    </row>
    <row r="55" spans="1:131" ht="15.75">
      <c r="A55" s="8">
        <v>44256</v>
      </c>
      <c r="B55" s="10">
        <v>162.36619999999999</v>
      </c>
      <c r="C55" s="10">
        <v>35.554470000000002</v>
      </c>
      <c r="D55" s="10">
        <v>185.39940000000001</v>
      </c>
      <c r="E55" s="10">
        <v>105.74120000000001</v>
      </c>
      <c r="F55" s="10">
        <v>71.654889999999995</v>
      </c>
      <c r="G55" s="10">
        <v>245.17949999999999</v>
      </c>
      <c r="H55" s="10">
        <v>61.679400000000001</v>
      </c>
      <c r="I55" s="10">
        <v>455.6497</v>
      </c>
      <c r="J55" s="10">
        <v>384.06</v>
      </c>
      <c r="K55" s="10">
        <v>489.31</v>
      </c>
      <c r="L55" s="10">
        <v>359.39</v>
      </c>
      <c r="M55" s="10">
        <v>126.78019999999999</v>
      </c>
      <c r="N55" s="10">
        <v>193.14</v>
      </c>
      <c r="O55" s="10">
        <v>1155.69</v>
      </c>
      <c r="P55" s="10">
        <v>368.1078</v>
      </c>
      <c r="Q55" s="10">
        <v>74.289670000000001</v>
      </c>
      <c r="R55" s="10">
        <v>355.63740000000001</v>
      </c>
      <c r="S55" s="10">
        <v>473.14</v>
      </c>
      <c r="T55" s="10">
        <v>118.9487</v>
      </c>
      <c r="U55" s="10">
        <v>116.3775</v>
      </c>
      <c r="V55" s="10">
        <v>241.78800000000001</v>
      </c>
      <c r="W55" s="10">
        <v>105.31</v>
      </c>
      <c r="X55" s="10">
        <v>157.0471</v>
      </c>
      <c r="Y55" s="10">
        <v>13.76756</v>
      </c>
      <c r="Z55" s="10">
        <v>240.71289999999999</v>
      </c>
      <c r="AA55" s="10">
        <v>738.94</v>
      </c>
      <c r="AB55" s="10">
        <v>193.3416</v>
      </c>
      <c r="AC55" s="10">
        <v>83.747309999999999</v>
      </c>
      <c r="AD55" s="10">
        <v>234.7774</v>
      </c>
      <c r="AE55" s="10">
        <v>475.37</v>
      </c>
      <c r="AF55" s="10">
        <v>69.610919999999993</v>
      </c>
      <c r="AG55" s="10">
        <v>247.78</v>
      </c>
      <c r="AH55" s="10">
        <v>184.42</v>
      </c>
      <c r="AI55" s="10">
        <v>198.76</v>
      </c>
      <c r="AJ55" s="10">
        <v>101.9</v>
      </c>
      <c r="AK55" s="10">
        <v>21.0641</v>
      </c>
      <c r="AL55" s="10">
        <v>208.62</v>
      </c>
      <c r="AM55" s="10">
        <v>133.38239999999999</v>
      </c>
      <c r="AN55" s="10">
        <v>63.19755</v>
      </c>
      <c r="AO55" s="10">
        <v>453.1694</v>
      </c>
      <c r="AP55" s="10">
        <v>186.9102</v>
      </c>
      <c r="AQ55" s="10">
        <v>130.6825</v>
      </c>
      <c r="AR55" s="10">
        <v>78.5</v>
      </c>
      <c r="AS55" s="10">
        <v>88.086870000000005</v>
      </c>
      <c r="AT55" s="10">
        <v>153.7773</v>
      </c>
      <c r="AU55" s="10">
        <v>199.65199999999999</v>
      </c>
      <c r="AV55" s="10">
        <v>154.31309999999999</v>
      </c>
      <c r="AW55" s="10">
        <v>123.9</v>
      </c>
      <c r="AX55" s="10">
        <v>182.36689999999999</v>
      </c>
      <c r="AY55" s="10">
        <v>121.7604</v>
      </c>
      <c r="AZ55" s="10">
        <v>211.87</v>
      </c>
      <c r="BA55" s="10">
        <v>500.11</v>
      </c>
      <c r="BB55" s="10">
        <v>130.1019</v>
      </c>
      <c r="BC55" s="10">
        <v>143.4</v>
      </c>
      <c r="BD55" s="10">
        <v>70.504660000000001</v>
      </c>
      <c r="BE55" s="10">
        <v>31.1418</v>
      </c>
      <c r="BF55" s="10">
        <v>130.28749999999999</v>
      </c>
      <c r="BG55" s="10">
        <v>3094.08</v>
      </c>
      <c r="BH55" s="10">
        <v>60.913060000000002</v>
      </c>
      <c r="BI55" s="10">
        <v>201.67</v>
      </c>
      <c r="BJ55" s="10">
        <v>57.46</v>
      </c>
      <c r="BK55" s="10">
        <v>221.6935</v>
      </c>
      <c r="BL55" s="10">
        <v>108.4162</v>
      </c>
      <c r="BM55" s="10">
        <v>140.0992</v>
      </c>
      <c r="BN55" s="10">
        <v>132.40389999999999</v>
      </c>
      <c r="BO55" s="10">
        <v>300.24020000000002</v>
      </c>
      <c r="BP55" s="10">
        <v>131.71680000000001</v>
      </c>
      <c r="BQ55" s="10">
        <v>84.409409999999994</v>
      </c>
      <c r="BR55" s="10">
        <v>11.456950000000001</v>
      </c>
      <c r="BS55" s="10">
        <v>2329.84</v>
      </c>
      <c r="BT55" s="10">
        <v>26.54</v>
      </c>
      <c r="BU55" s="10">
        <v>107.3304</v>
      </c>
      <c r="BV55" s="10">
        <v>365.39080000000001</v>
      </c>
      <c r="BW55" s="10">
        <v>49.772129999999997</v>
      </c>
      <c r="BX55" s="10">
        <v>176.10830000000001</v>
      </c>
      <c r="BY55" s="10">
        <v>181.42330000000001</v>
      </c>
      <c r="BZ55" s="10">
        <v>133.72800000000001</v>
      </c>
      <c r="CA55" s="10">
        <v>51.4953</v>
      </c>
      <c r="CB55" s="10">
        <v>138.36330000000001</v>
      </c>
      <c r="CC55" s="10">
        <v>85.458929999999995</v>
      </c>
      <c r="CD55" s="10">
        <v>54.869140000000002</v>
      </c>
      <c r="CE55" s="10">
        <v>162.10239999999999</v>
      </c>
      <c r="CF55" s="10">
        <v>62.32705</v>
      </c>
      <c r="CG55" s="10">
        <v>289.89449999999999</v>
      </c>
      <c r="CH55" s="10">
        <v>57.587960000000002</v>
      </c>
      <c r="CI55" s="10">
        <v>204.7278</v>
      </c>
      <c r="CJ55" s="10">
        <v>77.968540000000004</v>
      </c>
      <c r="CK55" s="10">
        <v>38.802039999999998</v>
      </c>
      <c r="CL55" s="10">
        <v>77.371219999999994</v>
      </c>
      <c r="CM55" s="10">
        <v>47.288209999999999</v>
      </c>
      <c r="CN55" s="10">
        <v>61.549689999999998</v>
      </c>
      <c r="CO55" s="10">
        <v>88.475020000000001</v>
      </c>
      <c r="CP55" s="10">
        <v>86.835800000000006</v>
      </c>
      <c r="CQ55" s="10">
        <v>190.55459999999999</v>
      </c>
      <c r="CR55" s="10">
        <v>49.49335</v>
      </c>
      <c r="CS55" s="10">
        <v>26.322769999999998</v>
      </c>
      <c r="CT55" s="10">
        <v>38.119999999999997</v>
      </c>
      <c r="CU55" s="10">
        <v>23.79</v>
      </c>
      <c r="CV55" s="10">
        <v>168.2903</v>
      </c>
      <c r="CW55" s="10">
        <v>281.8057</v>
      </c>
      <c r="CX55" s="10">
        <v>6.95</v>
      </c>
      <c r="CY55" s="10">
        <v>23.77</v>
      </c>
      <c r="CZ55" s="10">
        <v>60.91</v>
      </c>
      <c r="DA55" s="10">
        <v>31.41</v>
      </c>
      <c r="DB55" s="10">
        <v>42.54</v>
      </c>
      <c r="DC55" s="10">
        <v>70.221299999999999</v>
      </c>
      <c r="DD55" s="10">
        <v>3.1109900000000001</v>
      </c>
      <c r="DE55" s="10">
        <v>239.84780000000001</v>
      </c>
      <c r="DF55" s="10">
        <v>67.28</v>
      </c>
      <c r="DG55" s="10">
        <v>9.92</v>
      </c>
      <c r="DH55" s="10">
        <v>91.84</v>
      </c>
      <c r="DI55" s="10">
        <v>54.20787</v>
      </c>
      <c r="DJ55" s="10">
        <v>102.14570000000001</v>
      </c>
      <c r="DK55" s="10">
        <v>52.162179999999999</v>
      </c>
      <c r="DL55" s="10">
        <v>155.5932</v>
      </c>
      <c r="DM55" s="10">
        <v>70.846500000000006</v>
      </c>
      <c r="DN55" s="10">
        <v>70.069720000000004</v>
      </c>
      <c r="DO55" s="10">
        <v>26.591259999999998</v>
      </c>
      <c r="DP55" s="10">
        <v>20.966830000000002</v>
      </c>
      <c r="DQ55" s="10">
        <v>72.290890000000005</v>
      </c>
      <c r="DR55" s="10">
        <v>26.961819999999999</v>
      </c>
      <c r="DS55" s="10">
        <v>21.27543</v>
      </c>
      <c r="DT55" s="10">
        <v>7.72</v>
      </c>
      <c r="DU55" s="10">
        <v>13.72</v>
      </c>
      <c r="DV55" s="15">
        <v>17.848227999999999</v>
      </c>
      <c r="DW55" s="10">
        <v>667.93</v>
      </c>
      <c r="DX55" s="10">
        <v>208.2543</v>
      </c>
      <c r="DY55" s="10">
        <v>86.764110000000002</v>
      </c>
      <c r="DZ55" s="10">
        <v>12.25</v>
      </c>
      <c r="EA55" s="9">
        <v>3972.89</v>
      </c>
    </row>
    <row r="56" spans="1:131" ht="15.75">
      <c r="A56" s="8">
        <v>44287</v>
      </c>
      <c r="B56" s="10">
        <v>160.76570000000001</v>
      </c>
      <c r="C56" s="10">
        <v>37.929349999999999</v>
      </c>
      <c r="D56" s="10">
        <v>181.3802</v>
      </c>
      <c r="E56" s="10">
        <v>108.946</v>
      </c>
      <c r="F56" s="10">
        <v>69.855909999999994</v>
      </c>
      <c r="G56" s="10">
        <v>236.14330000000001</v>
      </c>
      <c r="H56" s="10">
        <v>61.461410000000001</v>
      </c>
      <c r="I56" s="10">
        <v>469.74860000000001</v>
      </c>
      <c r="J56" s="10">
        <v>392.84</v>
      </c>
      <c r="K56" s="10">
        <v>548.99</v>
      </c>
      <c r="L56" s="10">
        <v>386.1</v>
      </c>
      <c r="M56" s="10">
        <v>133.26179999999999</v>
      </c>
      <c r="N56" s="10">
        <v>234.69</v>
      </c>
      <c r="O56" s="10">
        <v>1313.32</v>
      </c>
      <c r="P56" s="10">
        <v>395.95490000000001</v>
      </c>
      <c r="Q56" s="10">
        <v>75.445049999999995</v>
      </c>
      <c r="R56" s="10">
        <v>377.14370000000002</v>
      </c>
      <c r="S56" s="10">
        <v>481.3</v>
      </c>
      <c r="T56" s="10">
        <v>119.187</v>
      </c>
      <c r="U56" s="10">
        <v>129.62610000000001</v>
      </c>
      <c r="V56" s="10">
        <v>261.37819999999999</v>
      </c>
      <c r="W56" s="10">
        <v>112.47</v>
      </c>
      <c r="X56" s="10">
        <v>172.55430000000001</v>
      </c>
      <c r="Y56" s="10">
        <v>13.10727</v>
      </c>
      <c r="Z56" s="10">
        <v>247.1498</v>
      </c>
      <c r="AA56" s="10">
        <v>865</v>
      </c>
      <c r="AB56" s="10">
        <v>187.31280000000001</v>
      </c>
      <c r="AC56" s="10">
        <v>85.08784</v>
      </c>
      <c r="AD56" s="10">
        <v>251.1183</v>
      </c>
      <c r="AE56" s="10">
        <v>508.34</v>
      </c>
      <c r="AF56" s="10">
        <v>75.186149999999998</v>
      </c>
      <c r="AG56" s="10">
        <v>247.06</v>
      </c>
      <c r="AH56" s="10">
        <v>204.23</v>
      </c>
      <c r="AI56" s="10">
        <v>218.77</v>
      </c>
      <c r="AJ56" s="10">
        <v>108.7</v>
      </c>
      <c r="AK56" s="10">
        <v>21.410869999999999</v>
      </c>
      <c r="AL56" s="10">
        <v>186.76</v>
      </c>
      <c r="AM56" s="10">
        <v>150.0342</v>
      </c>
      <c r="AN56" s="10">
        <v>56.808669999999999</v>
      </c>
      <c r="AO56" s="10">
        <v>449.36349999999999</v>
      </c>
      <c r="AP56" s="10">
        <v>178.52350000000001</v>
      </c>
      <c r="AQ56" s="10">
        <v>137.45519999999999</v>
      </c>
      <c r="AR56" s="10">
        <v>81.62</v>
      </c>
      <c r="AS56" s="10">
        <v>85.949860000000001</v>
      </c>
      <c r="AT56" s="10">
        <v>151.87350000000001</v>
      </c>
      <c r="AU56" s="10">
        <v>191.46789999999999</v>
      </c>
      <c r="AV56" s="10">
        <v>149.4119</v>
      </c>
      <c r="AW56" s="10">
        <v>127.96</v>
      </c>
      <c r="AX56" s="10">
        <v>180.23</v>
      </c>
      <c r="AY56" s="10">
        <v>131.04079999999999</v>
      </c>
      <c r="AZ56" s="10">
        <v>230.32</v>
      </c>
      <c r="BA56" s="10">
        <v>506.37</v>
      </c>
      <c r="BB56" s="10">
        <v>136.07040000000001</v>
      </c>
      <c r="BC56" s="10">
        <v>144.35</v>
      </c>
      <c r="BD56" s="10">
        <v>70.68432</v>
      </c>
      <c r="BE56" s="10">
        <v>33.673189999999998</v>
      </c>
      <c r="BF56" s="10">
        <v>138.71530000000001</v>
      </c>
      <c r="BG56" s="10">
        <v>3467.42</v>
      </c>
      <c r="BH56" s="10">
        <v>55.492150000000002</v>
      </c>
      <c r="BI56" s="10">
        <v>198.79</v>
      </c>
      <c r="BJ56" s="10">
        <v>57.22</v>
      </c>
      <c r="BK56" s="10">
        <v>233.50319999999999</v>
      </c>
      <c r="BL56" s="10">
        <v>113.5954</v>
      </c>
      <c r="BM56" s="10">
        <v>144.756</v>
      </c>
      <c r="BN56" s="10">
        <v>132.13489999999999</v>
      </c>
      <c r="BO56" s="10">
        <v>320.35289999999998</v>
      </c>
      <c r="BP56" s="10">
        <v>145.65690000000001</v>
      </c>
      <c r="BQ56" s="10">
        <v>93.274699999999996</v>
      </c>
      <c r="BR56" s="10">
        <v>11.52561</v>
      </c>
      <c r="BS56" s="10">
        <v>2466.08</v>
      </c>
      <c r="BT56" s="10">
        <v>27.96</v>
      </c>
      <c r="BU56" s="10">
        <v>118.5814</v>
      </c>
      <c r="BV56" s="10">
        <v>420.6884</v>
      </c>
      <c r="BW56" s="10">
        <v>53.022689999999997</v>
      </c>
      <c r="BX56" s="10">
        <v>187.565</v>
      </c>
      <c r="BY56" s="10">
        <v>198.17779999999999</v>
      </c>
      <c r="BZ56" s="10">
        <v>131.7432</v>
      </c>
      <c r="CA56" s="10">
        <v>53.174979999999998</v>
      </c>
      <c r="CB56" s="10">
        <v>142.14019999999999</v>
      </c>
      <c r="CC56" s="10">
        <v>92.716040000000007</v>
      </c>
      <c r="CD56" s="10">
        <v>57.709409999999998</v>
      </c>
      <c r="CE56" s="10">
        <v>177.048</v>
      </c>
      <c r="CF56" s="10">
        <v>70.369579999999999</v>
      </c>
      <c r="CG56" s="10">
        <v>312.76909999999998</v>
      </c>
      <c r="CH56" s="10">
        <v>60.146090000000001</v>
      </c>
      <c r="CI56" s="10">
        <v>215.75559999999999</v>
      </c>
      <c r="CJ56" s="10">
        <v>79.818100000000001</v>
      </c>
      <c r="CK56" s="10">
        <v>40.463050000000003</v>
      </c>
      <c r="CL56" s="10">
        <v>83.728710000000007</v>
      </c>
      <c r="CM56" s="10">
        <v>45.72448</v>
      </c>
      <c r="CN56" s="10">
        <v>61.299480000000003</v>
      </c>
      <c r="CO56" s="10">
        <v>89.665800000000004</v>
      </c>
      <c r="CP56" s="10">
        <v>85.235280000000003</v>
      </c>
      <c r="CQ56" s="10">
        <v>180.2998</v>
      </c>
      <c r="CR56" s="10">
        <v>47.012279999999997</v>
      </c>
      <c r="CS56" s="10">
        <v>26.499690000000001</v>
      </c>
      <c r="CT56" s="10">
        <v>41.46</v>
      </c>
      <c r="CU56" s="10">
        <v>23.96</v>
      </c>
      <c r="CV56" s="10">
        <v>201.82159999999999</v>
      </c>
      <c r="CW56" s="10">
        <v>288.77629999999999</v>
      </c>
      <c r="CX56" s="10">
        <v>6.68</v>
      </c>
      <c r="CY56" s="10">
        <v>22.54</v>
      </c>
      <c r="CZ56" s="10">
        <v>64.06</v>
      </c>
      <c r="DA56" s="10">
        <v>32.700000000000003</v>
      </c>
      <c r="DB56" s="10">
        <v>41.88</v>
      </c>
      <c r="DC56" s="10">
        <v>72.606260000000006</v>
      </c>
      <c r="DD56" s="10">
        <v>3.8001330000000002</v>
      </c>
      <c r="DE56" s="10">
        <v>257.44040000000001</v>
      </c>
      <c r="DF56" s="10">
        <v>65.72</v>
      </c>
      <c r="DG56" s="10">
        <v>10.19</v>
      </c>
      <c r="DH56" s="10">
        <v>92.44</v>
      </c>
      <c r="DI56" s="10">
        <v>55.576909999999998</v>
      </c>
      <c r="DJ56" s="10">
        <v>100.4691</v>
      </c>
      <c r="DK56" s="10">
        <v>50.36009</v>
      </c>
      <c r="DL56" s="10">
        <v>151.22640000000001</v>
      </c>
      <c r="DM56" s="10">
        <v>71.93074</v>
      </c>
      <c r="DN56" s="10">
        <v>74.042090000000002</v>
      </c>
      <c r="DO56" s="10">
        <v>25.341139999999999</v>
      </c>
      <c r="DP56" s="10">
        <v>22.711510000000001</v>
      </c>
      <c r="DQ56" s="10">
        <v>80.851900000000001</v>
      </c>
      <c r="DR56" s="10">
        <v>26.822990000000001</v>
      </c>
      <c r="DS56" s="10">
        <v>19.769110000000001</v>
      </c>
      <c r="DT56" s="10">
        <v>7.4</v>
      </c>
      <c r="DU56" s="10">
        <v>14.95</v>
      </c>
      <c r="DV56" s="15">
        <v>19.942156000000001</v>
      </c>
      <c r="DW56" s="10">
        <v>709.44</v>
      </c>
      <c r="DX56" s="10">
        <v>212.3442</v>
      </c>
      <c r="DY56" s="10">
        <v>93.505200000000002</v>
      </c>
      <c r="DZ56" s="10">
        <v>11.54</v>
      </c>
      <c r="EA56" s="9">
        <v>4181.17</v>
      </c>
    </row>
    <row r="57" spans="1:131" ht="15.75">
      <c r="A57" s="8">
        <v>44317</v>
      </c>
      <c r="B57" s="10">
        <v>167.20699999999999</v>
      </c>
      <c r="C57" s="10">
        <v>38.007860000000001</v>
      </c>
      <c r="D57" s="10">
        <v>198.22120000000001</v>
      </c>
      <c r="E57" s="10">
        <v>111.95189999999999</v>
      </c>
      <c r="F57" s="10">
        <v>71.159270000000006</v>
      </c>
      <c r="G57" s="10">
        <v>234.46809999999999</v>
      </c>
      <c r="H57" s="10">
        <v>64.710729999999998</v>
      </c>
      <c r="I57" s="10">
        <v>469.01929999999999</v>
      </c>
      <c r="J57" s="10">
        <v>405.64</v>
      </c>
      <c r="K57" s="10">
        <v>558.11</v>
      </c>
      <c r="L57" s="10">
        <v>369.39</v>
      </c>
      <c r="M57" s="10">
        <v>137.9487</v>
      </c>
      <c r="N57" s="10">
        <v>240.16</v>
      </c>
      <c r="O57" s="10">
        <v>1300.95</v>
      </c>
      <c r="P57" s="10">
        <v>408.98129999999998</v>
      </c>
      <c r="Q57" s="10">
        <v>85.919659999999993</v>
      </c>
      <c r="R57" s="10">
        <v>395.86219999999997</v>
      </c>
      <c r="S57" s="10">
        <v>502.43</v>
      </c>
      <c r="T57" s="10">
        <v>116.2076</v>
      </c>
      <c r="U57" s="10">
        <v>125.3389</v>
      </c>
      <c r="V57" s="10">
        <v>254.05330000000001</v>
      </c>
      <c r="W57" s="10">
        <v>104.83</v>
      </c>
      <c r="X57" s="10">
        <v>176.45670000000001</v>
      </c>
      <c r="Y57" s="10">
        <v>15.019159999999999</v>
      </c>
      <c r="Z57" s="10">
        <v>240.27590000000001</v>
      </c>
      <c r="AA57" s="10">
        <v>842.18</v>
      </c>
      <c r="AB57" s="10">
        <v>205.13030000000001</v>
      </c>
      <c r="AC57" s="10">
        <v>81.542919999999995</v>
      </c>
      <c r="AD57" s="10">
        <v>248.62880000000001</v>
      </c>
      <c r="AE57" s="10">
        <v>504.58</v>
      </c>
      <c r="AF57" s="10">
        <v>78.450609999999998</v>
      </c>
      <c r="AG57" s="10">
        <v>254.34</v>
      </c>
      <c r="AH57" s="10">
        <v>218.54</v>
      </c>
      <c r="AI57" s="10">
        <v>219.92</v>
      </c>
      <c r="AJ57" s="10">
        <v>114.21</v>
      </c>
      <c r="AK57" s="10">
        <v>27.40512</v>
      </c>
      <c r="AL57" s="10">
        <v>185.43</v>
      </c>
      <c r="AM57" s="10">
        <v>162.3792</v>
      </c>
      <c r="AN57" s="10">
        <v>56.40381</v>
      </c>
      <c r="AO57" s="10">
        <v>465.25170000000003</v>
      </c>
      <c r="AP57" s="10">
        <v>188.7672</v>
      </c>
      <c r="AQ57" s="10">
        <v>133.2364</v>
      </c>
      <c r="AR57" s="10">
        <v>80.08</v>
      </c>
      <c r="AS57" s="10">
        <v>84.022549999999995</v>
      </c>
      <c r="AT57" s="10">
        <v>163.2174</v>
      </c>
      <c r="AU57" s="10">
        <v>210.27549999999999</v>
      </c>
      <c r="AV57" s="10">
        <v>156.03299999999999</v>
      </c>
      <c r="AW57" s="10">
        <v>127</v>
      </c>
      <c r="AX57" s="10">
        <v>168.96870000000001</v>
      </c>
      <c r="AY57" s="10">
        <v>124.21259999999999</v>
      </c>
      <c r="AZ57" s="10">
        <v>238.1</v>
      </c>
      <c r="BA57" s="10">
        <v>473.88</v>
      </c>
      <c r="BB57" s="10">
        <v>141.02770000000001</v>
      </c>
      <c r="BC57" s="10">
        <v>142.38</v>
      </c>
      <c r="BD57" s="10">
        <v>72.381060000000005</v>
      </c>
      <c r="BE57" s="10">
        <v>28.85568</v>
      </c>
      <c r="BF57" s="10">
        <v>140.53380000000001</v>
      </c>
      <c r="BG57" s="10">
        <v>3223.07</v>
      </c>
      <c r="BH57" s="10">
        <v>60.55498</v>
      </c>
      <c r="BI57" s="10">
        <v>164.73</v>
      </c>
      <c r="BJ57" s="10">
        <v>59.31</v>
      </c>
      <c r="BK57" s="10">
        <v>231.33709999999999</v>
      </c>
      <c r="BL57" s="10">
        <v>112.9901</v>
      </c>
      <c r="BM57" s="10">
        <v>142.1711</v>
      </c>
      <c r="BN57" s="10">
        <v>135.96080000000001</v>
      </c>
      <c r="BO57" s="10">
        <v>315.64159999999998</v>
      </c>
      <c r="BP57" s="10">
        <v>146.64340000000001</v>
      </c>
      <c r="BQ57" s="10">
        <v>81.839489999999998</v>
      </c>
      <c r="BR57" s="10">
        <v>11.57466</v>
      </c>
      <c r="BS57" s="10">
        <v>2361.5500000000002</v>
      </c>
      <c r="BT57" s="10">
        <v>29.56</v>
      </c>
      <c r="BU57" s="10">
        <v>119.0278</v>
      </c>
      <c r="BV57" s="10">
        <v>425.20069999999998</v>
      </c>
      <c r="BW57" s="10">
        <v>56.216920000000002</v>
      </c>
      <c r="BX57" s="10">
        <v>180.7029</v>
      </c>
      <c r="BY57" s="10">
        <v>187.8511</v>
      </c>
      <c r="BZ57" s="10">
        <v>134.00720000000001</v>
      </c>
      <c r="CA57" s="10">
        <v>54.465449999999997</v>
      </c>
      <c r="CB57" s="10">
        <v>145.8672</v>
      </c>
      <c r="CC57" s="10">
        <v>94.111660000000001</v>
      </c>
      <c r="CD57" s="10">
        <v>58.937890000000003</v>
      </c>
      <c r="CE57" s="10">
        <v>190.7696</v>
      </c>
      <c r="CF57" s="10">
        <v>75.13955</v>
      </c>
      <c r="CG57" s="10">
        <v>305.51299999999998</v>
      </c>
      <c r="CH57" s="10">
        <v>62.836390000000002</v>
      </c>
      <c r="CI57" s="10">
        <v>216.73939999999999</v>
      </c>
      <c r="CJ57" s="10">
        <v>83.331019999999995</v>
      </c>
      <c r="CK57" s="10">
        <v>42.716990000000003</v>
      </c>
      <c r="CL57" s="10">
        <v>80.042789999999997</v>
      </c>
      <c r="CM57" s="10">
        <v>48.290950000000002</v>
      </c>
      <c r="CN57" s="10">
        <v>64.314369999999997</v>
      </c>
      <c r="CO57" s="10">
        <v>88.712270000000004</v>
      </c>
      <c r="CP57" s="10">
        <v>85.225350000000006</v>
      </c>
      <c r="CQ57" s="10">
        <v>175.62549999999999</v>
      </c>
      <c r="CR57" s="10">
        <v>48.274650000000001</v>
      </c>
      <c r="CS57" s="10">
        <v>28.20016</v>
      </c>
      <c r="CT57" s="10">
        <v>38.94</v>
      </c>
      <c r="CU57" s="10">
        <v>24.04</v>
      </c>
      <c r="CV57" s="10">
        <v>212.45429999999999</v>
      </c>
      <c r="CW57" s="10">
        <v>313.14690000000002</v>
      </c>
      <c r="CX57" s="10">
        <v>7.69</v>
      </c>
      <c r="CY57" s="10">
        <v>23.24</v>
      </c>
      <c r="CZ57" s="10">
        <v>58.44</v>
      </c>
      <c r="DA57" s="10">
        <v>34.159999999999997</v>
      </c>
      <c r="DB57" s="10">
        <v>61.42</v>
      </c>
      <c r="DC57" s="10">
        <v>77.675510000000003</v>
      </c>
      <c r="DD57" s="10">
        <v>3.987187</v>
      </c>
      <c r="DE57" s="10">
        <v>265.06950000000001</v>
      </c>
      <c r="DF57" s="10">
        <v>69.81</v>
      </c>
      <c r="DG57" s="10">
        <v>11.38</v>
      </c>
      <c r="DH57" s="10">
        <v>98.81</v>
      </c>
      <c r="DI57" s="10">
        <v>56.67407</v>
      </c>
      <c r="DJ57" s="10">
        <v>101.1709</v>
      </c>
      <c r="DK57" s="10">
        <v>54.889940000000003</v>
      </c>
      <c r="DL57" s="10">
        <v>149.61420000000001</v>
      </c>
      <c r="DM57" s="10">
        <v>78.914940000000001</v>
      </c>
      <c r="DN57" s="10">
        <v>83.293629999999993</v>
      </c>
      <c r="DO57" s="10">
        <v>25.94069</v>
      </c>
      <c r="DP57" s="10">
        <v>25.80058</v>
      </c>
      <c r="DQ57" s="10">
        <v>79.209720000000004</v>
      </c>
      <c r="DR57" s="10">
        <v>31.067070000000001</v>
      </c>
      <c r="DS57" s="10">
        <v>24.02223</v>
      </c>
      <c r="DT57" s="10">
        <v>8.59</v>
      </c>
      <c r="DU57" s="10">
        <v>16.12</v>
      </c>
      <c r="DV57" s="15">
        <v>20.770385999999998</v>
      </c>
      <c r="DW57" s="10">
        <v>625.22</v>
      </c>
      <c r="DX57" s="10">
        <v>210.91</v>
      </c>
      <c r="DY57" s="10">
        <v>99.61542</v>
      </c>
      <c r="DZ57" s="10">
        <v>14.53</v>
      </c>
      <c r="EA57" s="9">
        <v>4204.1099999999997</v>
      </c>
    </row>
    <row r="58" spans="1:131" ht="15.75">
      <c r="A58" s="8">
        <v>44348</v>
      </c>
      <c r="B58" s="10">
        <v>163.76679999999999</v>
      </c>
      <c r="C58" s="10">
        <v>38.808509999999998</v>
      </c>
      <c r="D58" s="10">
        <v>228.78129999999999</v>
      </c>
      <c r="E58" s="10">
        <v>111.3981</v>
      </c>
      <c r="F58" s="10">
        <v>76.422330000000002</v>
      </c>
      <c r="G58" s="10">
        <v>241.88220000000001</v>
      </c>
      <c r="H58" s="10">
        <v>65.793850000000006</v>
      </c>
      <c r="I58" s="10">
        <v>503.95359999999999</v>
      </c>
      <c r="J58" s="10">
        <v>473.21</v>
      </c>
      <c r="K58" s="10">
        <v>631.54999999999995</v>
      </c>
      <c r="L58" s="10">
        <v>427</v>
      </c>
      <c r="M58" s="10">
        <v>147.61600000000001</v>
      </c>
      <c r="N58" s="10">
        <v>242.32</v>
      </c>
      <c r="O58" s="10">
        <v>1385.34</v>
      </c>
      <c r="P58" s="10">
        <v>397.58319999999998</v>
      </c>
      <c r="Q58" s="10">
        <v>82.937709999999996</v>
      </c>
      <c r="R58" s="10">
        <v>379.5394</v>
      </c>
      <c r="S58" s="10">
        <v>558.54</v>
      </c>
      <c r="T58" s="10">
        <v>115.4903</v>
      </c>
      <c r="U58" s="10">
        <v>122.9032</v>
      </c>
      <c r="V58" s="10">
        <v>258.49209999999999</v>
      </c>
      <c r="W58" s="10">
        <v>108.12</v>
      </c>
      <c r="X58" s="10">
        <v>186.12450000000001</v>
      </c>
      <c r="Y58" s="10">
        <v>14.183</v>
      </c>
      <c r="Z58" s="10">
        <v>241.56729999999999</v>
      </c>
      <c r="AA58" s="10">
        <v>919.64</v>
      </c>
      <c r="AB58" s="10">
        <v>246.15100000000001</v>
      </c>
      <c r="AC58" s="10">
        <v>79.934309999999996</v>
      </c>
      <c r="AD58" s="10">
        <v>270.38240000000002</v>
      </c>
      <c r="AE58" s="10">
        <v>585.64</v>
      </c>
      <c r="AF58" s="10">
        <v>77.553920000000005</v>
      </c>
      <c r="AG58" s="10">
        <v>275.79000000000002</v>
      </c>
      <c r="AH58" s="10">
        <v>238.19</v>
      </c>
      <c r="AI58" s="10">
        <v>227.69</v>
      </c>
      <c r="AJ58" s="10">
        <v>116.6</v>
      </c>
      <c r="AK58" s="10">
        <v>26.969169999999998</v>
      </c>
      <c r="AL58" s="10">
        <v>186.66</v>
      </c>
      <c r="AM58" s="10">
        <v>199.94390000000001</v>
      </c>
      <c r="AN58" s="10">
        <v>55.777540000000002</v>
      </c>
      <c r="AO58" s="10">
        <v>469.69420000000002</v>
      </c>
      <c r="AP58" s="10">
        <v>191.23349999999999</v>
      </c>
      <c r="AQ58" s="10">
        <v>141.54519999999999</v>
      </c>
      <c r="AR58" s="10">
        <v>93.93</v>
      </c>
      <c r="AS58" s="10">
        <v>84.861379999999997</v>
      </c>
      <c r="AT58" s="10">
        <v>171.4357</v>
      </c>
      <c r="AU58" s="10">
        <v>204.60640000000001</v>
      </c>
      <c r="AV58" s="10">
        <v>149.28450000000001</v>
      </c>
      <c r="AW58" s="10">
        <v>144.63999999999999</v>
      </c>
      <c r="AX58" s="10">
        <v>191.1645</v>
      </c>
      <c r="AY58" s="10">
        <v>136.7551</v>
      </c>
      <c r="AZ58" s="10">
        <v>244.27</v>
      </c>
      <c r="BA58" s="10">
        <v>549.54999999999995</v>
      </c>
      <c r="BB58" s="10">
        <v>143.40729999999999</v>
      </c>
      <c r="BC58" s="10">
        <v>154.41</v>
      </c>
      <c r="BD58" s="10">
        <v>69.674170000000004</v>
      </c>
      <c r="BE58" s="10">
        <v>29.80339</v>
      </c>
      <c r="BF58" s="10">
        <v>144.92150000000001</v>
      </c>
      <c r="BG58" s="10">
        <v>3440.16</v>
      </c>
      <c r="BH58" s="10">
        <v>70.047039999999996</v>
      </c>
      <c r="BI58" s="10">
        <v>205.84</v>
      </c>
      <c r="BJ58" s="10">
        <v>59.17</v>
      </c>
      <c r="BK58" s="10">
        <v>229.73050000000001</v>
      </c>
      <c r="BL58" s="10">
        <v>111.3777</v>
      </c>
      <c r="BM58" s="10">
        <v>144.91069999999999</v>
      </c>
      <c r="BN58" s="10">
        <v>154.2355</v>
      </c>
      <c r="BO58" s="10">
        <v>315.62189999999998</v>
      </c>
      <c r="BP58" s="10">
        <v>133.59200000000001</v>
      </c>
      <c r="BQ58" s="10">
        <v>80.850660000000005</v>
      </c>
      <c r="BR58" s="10">
        <v>11.353350000000001</v>
      </c>
      <c r="BS58" s="10">
        <v>2188.09</v>
      </c>
      <c r="BT58" s="10">
        <v>26.36</v>
      </c>
      <c r="BU58" s="10">
        <v>114.6022</v>
      </c>
      <c r="BV58" s="10">
        <v>464.66570000000002</v>
      </c>
      <c r="BW58" s="10">
        <v>57.97898</v>
      </c>
      <c r="BX58" s="10">
        <v>185.56370000000001</v>
      </c>
      <c r="BY58" s="10">
        <v>203.10849999999999</v>
      </c>
      <c r="BZ58" s="10">
        <v>134.08670000000001</v>
      </c>
      <c r="CA58" s="10">
        <v>53.303040000000003</v>
      </c>
      <c r="CB58" s="10">
        <v>146.09399999999999</v>
      </c>
      <c r="CC58" s="10">
        <v>96.727230000000006</v>
      </c>
      <c r="CD58" s="10">
        <v>57.987270000000002</v>
      </c>
      <c r="CE58" s="10">
        <v>189.2296</v>
      </c>
      <c r="CF58" s="10">
        <v>72.010000000000005</v>
      </c>
      <c r="CG58" s="10">
        <v>317.58539999999999</v>
      </c>
      <c r="CH58" s="10">
        <v>61.758290000000002</v>
      </c>
      <c r="CI58" s="10">
        <v>221.4402</v>
      </c>
      <c r="CJ58" s="10">
        <v>80.91404</v>
      </c>
      <c r="CK58" s="10">
        <v>40.328389999999999</v>
      </c>
      <c r="CL58" s="10">
        <v>76.831199999999995</v>
      </c>
      <c r="CM58" s="10">
        <v>47.505000000000003</v>
      </c>
      <c r="CN58" s="10">
        <v>63.739260000000002</v>
      </c>
      <c r="CO58" s="10">
        <v>87.975160000000002</v>
      </c>
      <c r="CP58" s="10">
        <v>84.964299999999994</v>
      </c>
      <c r="CQ58" s="10">
        <v>178.78569999999999</v>
      </c>
      <c r="CR58" s="10">
        <v>45.219679999999997</v>
      </c>
      <c r="CS58" s="10">
        <v>27.222619999999999</v>
      </c>
      <c r="CT58" s="10">
        <v>38.36</v>
      </c>
      <c r="CU58" s="10">
        <v>22.18</v>
      </c>
      <c r="CV58" s="10">
        <v>206.87690000000001</v>
      </c>
      <c r="CW58" s="10">
        <v>296.75389999999999</v>
      </c>
      <c r="CX58" s="10">
        <v>6.93</v>
      </c>
      <c r="CY58" s="10">
        <v>24.71</v>
      </c>
      <c r="CZ58" s="10">
        <v>69.16</v>
      </c>
      <c r="DA58" s="10">
        <v>30.74</v>
      </c>
      <c r="DB58" s="10">
        <v>61.42</v>
      </c>
      <c r="DC58" s="10">
        <v>58.119950000000003</v>
      </c>
      <c r="DD58" s="10">
        <v>4.9837730000000002</v>
      </c>
      <c r="DE58" s="10">
        <v>253.43620000000001</v>
      </c>
      <c r="DF58" s="10">
        <v>65.98</v>
      </c>
      <c r="DG58" s="10">
        <v>11.68</v>
      </c>
      <c r="DH58" s="10">
        <v>91.41</v>
      </c>
      <c r="DI58" s="10">
        <v>62.139479999999999</v>
      </c>
      <c r="DJ58" s="10">
        <v>103.3467</v>
      </c>
      <c r="DK58" s="10">
        <v>60.437899999999999</v>
      </c>
      <c r="DL58" s="10">
        <v>159.76929999999999</v>
      </c>
      <c r="DM58" s="10">
        <v>81.959950000000006</v>
      </c>
      <c r="DN58" s="10">
        <v>86.771649999999994</v>
      </c>
      <c r="DO58" s="10">
        <v>31.246739999999999</v>
      </c>
      <c r="DP58" s="10">
        <v>28.35539</v>
      </c>
      <c r="DQ58" s="10">
        <v>93.349159999999998</v>
      </c>
      <c r="DR58" s="10">
        <v>31.74136</v>
      </c>
      <c r="DS58" s="10">
        <v>22.675730000000001</v>
      </c>
      <c r="DT58" s="10">
        <v>9.0500000000000007</v>
      </c>
      <c r="DU58" s="10">
        <v>15.32</v>
      </c>
      <c r="DV58" s="15">
        <v>21.599205000000001</v>
      </c>
      <c r="DW58" s="10">
        <v>679.7</v>
      </c>
      <c r="DX58" s="10">
        <v>206.05</v>
      </c>
      <c r="DY58" s="10">
        <v>92.155910000000006</v>
      </c>
      <c r="DZ58" s="10">
        <v>14.86</v>
      </c>
      <c r="EA58" s="9">
        <v>4297.5</v>
      </c>
    </row>
    <row r="59" spans="1:131" ht="15.75">
      <c r="A59" s="8">
        <v>44378</v>
      </c>
      <c r="B59" s="10">
        <v>171.18279999999999</v>
      </c>
      <c r="C59" s="10">
        <v>42.425739999999998</v>
      </c>
      <c r="D59" s="10">
        <v>242.71629999999999</v>
      </c>
      <c r="E59" s="10">
        <v>115.01779999999999</v>
      </c>
      <c r="F59" s="10">
        <v>76.18723</v>
      </c>
      <c r="G59" s="10">
        <v>239.6891</v>
      </c>
      <c r="H59" s="10">
        <v>66.827719999999999</v>
      </c>
      <c r="I59" s="10">
        <v>539.75890000000004</v>
      </c>
      <c r="J59" s="10">
        <v>495.75</v>
      </c>
      <c r="K59" s="10">
        <v>678.53</v>
      </c>
      <c r="L59" s="10">
        <v>515.51</v>
      </c>
      <c r="M59" s="10">
        <v>153.02889999999999</v>
      </c>
      <c r="N59" s="10">
        <v>247.7</v>
      </c>
      <c r="O59" s="10">
        <v>1473.71</v>
      </c>
      <c r="P59" s="10">
        <v>410.77809999999999</v>
      </c>
      <c r="Q59" s="10">
        <v>81.86421</v>
      </c>
      <c r="R59" s="10">
        <v>382.84019999999998</v>
      </c>
      <c r="S59" s="10">
        <v>574.61</v>
      </c>
      <c r="T59" s="10">
        <v>120.52119999999999</v>
      </c>
      <c r="U59" s="10">
        <v>130.66829999999999</v>
      </c>
      <c r="V59" s="10">
        <v>270.30270000000002</v>
      </c>
      <c r="W59" s="10">
        <v>119.81</v>
      </c>
      <c r="X59" s="10">
        <v>202.44380000000001</v>
      </c>
      <c r="Y59" s="10">
        <v>13.964639999999999</v>
      </c>
      <c r="Z59" s="10">
        <v>254.92670000000001</v>
      </c>
      <c r="AA59" s="10">
        <v>991.46</v>
      </c>
      <c r="AB59" s="10">
        <v>271.39319999999998</v>
      </c>
      <c r="AC59" s="10">
        <v>77.070899999999995</v>
      </c>
      <c r="AD59" s="10">
        <v>284.36559999999997</v>
      </c>
      <c r="AE59" s="10">
        <v>621.63</v>
      </c>
      <c r="AF59" s="10">
        <v>86.819739999999996</v>
      </c>
      <c r="AG59" s="10">
        <v>287.99</v>
      </c>
      <c r="AH59" s="10">
        <v>272.24</v>
      </c>
      <c r="AI59" s="10">
        <v>216.37</v>
      </c>
      <c r="AJ59" s="10">
        <v>119.92</v>
      </c>
      <c r="AK59" s="10">
        <v>24.69989</v>
      </c>
      <c r="AL59" s="10">
        <v>206.51</v>
      </c>
      <c r="AM59" s="10">
        <v>194.9556</v>
      </c>
      <c r="AN59" s="10">
        <v>53.373170000000002</v>
      </c>
      <c r="AO59" s="10">
        <v>481.86849999999998</v>
      </c>
      <c r="AP59" s="10">
        <v>189.56280000000001</v>
      </c>
      <c r="AQ59" s="10">
        <v>149.10560000000001</v>
      </c>
      <c r="AR59" s="10">
        <v>106.19</v>
      </c>
      <c r="AS59" s="10">
        <v>77.471710000000002</v>
      </c>
      <c r="AT59" s="10">
        <v>166.71559999999999</v>
      </c>
      <c r="AU59" s="10">
        <v>205.84899999999999</v>
      </c>
      <c r="AV59" s="10">
        <v>142.68469999999999</v>
      </c>
      <c r="AW59" s="10">
        <v>149.84</v>
      </c>
      <c r="AX59" s="10">
        <v>183.94659999999999</v>
      </c>
      <c r="AY59" s="10">
        <v>145.64179999999999</v>
      </c>
      <c r="AZ59" s="10">
        <v>241.93</v>
      </c>
      <c r="BA59" s="10">
        <v>587.89</v>
      </c>
      <c r="BB59" s="10">
        <v>156.58500000000001</v>
      </c>
      <c r="BC59" s="10">
        <v>164.55</v>
      </c>
      <c r="BD59" s="10">
        <v>72.591419999999999</v>
      </c>
      <c r="BE59" s="10">
        <v>28.68243</v>
      </c>
      <c r="BF59" s="10">
        <v>139.35560000000001</v>
      </c>
      <c r="BG59" s="10">
        <v>3327.59</v>
      </c>
      <c r="BH59" s="10">
        <v>68.051680000000005</v>
      </c>
      <c r="BI59" s="10">
        <v>183.51</v>
      </c>
      <c r="BJ59" s="10">
        <v>56.84</v>
      </c>
      <c r="BK59" s="10">
        <v>241.38659999999999</v>
      </c>
      <c r="BL59" s="10">
        <v>120.9605</v>
      </c>
      <c r="BM59" s="10">
        <v>144.8015</v>
      </c>
      <c r="BN59" s="10">
        <v>167.23400000000001</v>
      </c>
      <c r="BO59" s="10">
        <v>326.52980000000002</v>
      </c>
      <c r="BP59" s="10">
        <v>140.56710000000001</v>
      </c>
      <c r="BQ59" s="10">
        <v>80.710949999999997</v>
      </c>
      <c r="BR59" s="10">
        <v>11.45242</v>
      </c>
      <c r="BS59" s="10">
        <v>2178.2600000000002</v>
      </c>
      <c r="BT59" s="10">
        <v>21.65</v>
      </c>
      <c r="BU59" s="10">
        <v>130.90129999999999</v>
      </c>
      <c r="BV59" s="10">
        <v>524.52359999999999</v>
      </c>
      <c r="BW59" s="10">
        <v>64.565839999999994</v>
      </c>
      <c r="BX59" s="10">
        <v>180.44739999999999</v>
      </c>
      <c r="BY59" s="10">
        <v>211.0316</v>
      </c>
      <c r="BZ59" s="10">
        <v>141.34100000000001</v>
      </c>
      <c r="CA59" s="10">
        <v>56.602809999999998</v>
      </c>
      <c r="CB59" s="10">
        <v>155.88149999999999</v>
      </c>
      <c r="CC59" s="10">
        <v>98.869510000000005</v>
      </c>
      <c r="CD59" s="10">
        <v>57.025770000000001</v>
      </c>
      <c r="CE59" s="10">
        <v>195.666</v>
      </c>
      <c r="CF59" s="10">
        <v>62.98</v>
      </c>
      <c r="CG59" s="10">
        <v>333.3109</v>
      </c>
      <c r="CH59" s="10">
        <v>62.882809999999999</v>
      </c>
      <c r="CI59" s="10">
        <v>225.97669999999999</v>
      </c>
      <c r="CJ59" s="10">
        <v>79.073949999999996</v>
      </c>
      <c r="CK59" s="10">
        <v>38.043979999999998</v>
      </c>
      <c r="CL59" s="10">
        <v>73.323139999999995</v>
      </c>
      <c r="CM59" s="10">
        <v>46.142029999999998</v>
      </c>
      <c r="CN59" s="10">
        <v>62.77816</v>
      </c>
      <c r="CO59" s="10">
        <v>83.841359999999995</v>
      </c>
      <c r="CP59" s="10">
        <v>86.320220000000006</v>
      </c>
      <c r="CQ59" s="10">
        <v>179.75960000000001</v>
      </c>
      <c r="CR59" s="10">
        <v>43.364870000000003</v>
      </c>
      <c r="CS59" s="10">
        <v>24.52712</v>
      </c>
      <c r="CT59" s="10">
        <v>34.340000000000003</v>
      </c>
      <c r="CU59" s="10">
        <v>22.15</v>
      </c>
      <c r="CV59" s="10">
        <v>190.35419999999999</v>
      </c>
      <c r="CW59" s="10">
        <v>279.16050000000001</v>
      </c>
      <c r="CX59" s="10">
        <v>6.22</v>
      </c>
      <c r="CY59" s="10">
        <v>30.63</v>
      </c>
      <c r="CZ59" s="10">
        <v>72.66</v>
      </c>
      <c r="DA59" s="10">
        <v>30.93</v>
      </c>
      <c r="DB59" s="10">
        <v>61.28</v>
      </c>
      <c r="DC59" s="10">
        <v>59.038849999999996</v>
      </c>
      <c r="DD59" s="10">
        <v>4.6760099999999998</v>
      </c>
      <c r="DE59" s="10">
        <v>268.96679999999998</v>
      </c>
      <c r="DF59" s="10">
        <v>66.28</v>
      </c>
      <c r="DG59" s="10">
        <v>10.75</v>
      </c>
      <c r="DH59" s="10">
        <v>90.32</v>
      </c>
      <c r="DI59" s="10">
        <v>56.71163</v>
      </c>
      <c r="DJ59" s="10">
        <v>100.4556</v>
      </c>
      <c r="DK59" s="10">
        <v>55.634630000000001</v>
      </c>
      <c r="DL59" s="10">
        <v>143.41079999999999</v>
      </c>
      <c r="DM59" s="10">
        <v>71.567620000000005</v>
      </c>
      <c r="DN59" s="10">
        <v>76.172319999999999</v>
      </c>
      <c r="DO59" s="10">
        <v>26.08952</v>
      </c>
      <c r="DP59" s="10">
        <v>25.394950000000001</v>
      </c>
      <c r="DQ59" s="10">
        <v>76.685699999999997</v>
      </c>
      <c r="DR59" s="10">
        <v>28.702570000000001</v>
      </c>
      <c r="DS59" s="10">
        <v>21.05958</v>
      </c>
      <c r="DT59" s="10">
        <v>7.22</v>
      </c>
      <c r="DU59" s="10">
        <v>13.81</v>
      </c>
      <c r="DV59" s="15">
        <v>18.723305</v>
      </c>
      <c r="DW59" s="10">
        <v>687.2</v>
      </c>
      <c r="DX59" s="10">
        <v>218.29</v>
      </c>
      <c r="DY59" s="10">
        <v>83.391949999999994</v>
      </c>
      <c r="DZ59" s="10">
        <v>13.95</v>
      </c>
      <c r="EA59" s="9">
        <v>4395.26</v>
      </c>
    </row>
    <row r="60" spans="1:131" ht="15.75">
      <c r="A60" s="8">
        <v>44409</v>
      </c>
      <c r="B60" s="10">
        <v>172.10730000000001</v>
      </c>
      <c r="C60" s="10">
        <v>46.07</v>
      </c>
      <c r="D60" s="10">
        <v>257.45870000000002</v>
      </c>
      <c r="E60" s="10">
        <v>120.78</v>
      </c>
      <c r="F60" s="10">
        <v>75.612369999999999</v>
      </c>
      <c r="G60" s="10">
        <v>223.80179999999999</v>
      </c>
      <c r="H60" s="10">
        <v>66.319559999999996</v>
      </c>
      <c r="I60" s="10">
        <v>554.69200000000001</v>
      </c>
      <c r="J60" s="10">
        <v>457.16</v>
      </c>
      <c r="K60" s="10">
        <v>673.76</v>
      </c>
      <c r="L60" s="10">
        <v>529.41999999999996</v>
      </c>
      <c r="M60" s="10">
        <v>175.47</v>
      </c>
      <c r="N60" s="10">
        <v>259.73</v>
      </c>
      <c r="O60" s="10">
        <v>1552.83</v>
      </c>
      <c r="P60" s="10">
        <v>414.81400000000002</v>
      </c>
      <c r="Q60" s="10">
        <v>86.39</v>
      </c>
      <c r="R60" s="10">
        <v>373.9873</v>
      </c>
      <c r="S60" s="10">
        <v>673.4</v>
      </c>
      <c r="T60" s="10">
        <v>126.37</v>
      </c>
      <c r="U60" s="10">
        <v>132.82769999999999</v>
      </c>
      <c r="V60" s="10">
        <v>276.44819999999999</v>
      </c>
      <c r="W60" s="10">
        <v>130.44</v>
      </c>
      <c r="X60" s="10">
        <v>204.56</v>
      </c>
      <c r="Y60" s="10">
        <v>14.52045</v>
      </c>
      <c r="Z60" s="10">
        <v>250.8897</v>
      </c>
      <c r="AA60" s="10">
        <v>1053.56</v>
      </c>
      <c r="AB60" s="10">
        <v>290.0951</v>
      </c>
      <c r="AC60" s="10">
        <v>75.944980000000001</v>
      </c>
      <c r="AD60" s="10">
        <v>301.3032</v>
      </c>
      <c r="AE60" s="10">
        <v>663.7</v>
      </c>
      <c r="AF60" s="10">
        <v>89.13</v>
      </c>
      <c r="AG60" s="10">
        <v>332.24</v>
      </c>
      <c r="AH60" s="10">
        <v>315.14</v>
      </c>
      <c r="AI60" s="10">
        <v>216.26</v>
      </c>
      <c r="AJ60" s="10">
        <v>113.25</v>
      </c>
      <c r="AK60" s="10">
        <v>26.431470000000001</v>
      </c>
      <c r="AL60" s="10">
        <v>203.57</v>
      </c>
      <c r="AM60" s="10">
        <v>223.81049999999999</v>
      </c>
      <c r="AN60" s="10">
        <v>53.710970000000003</v>
      </c>
      <c r="AO60" s="10">
        <v>493.5926</v>
      </c>
      <c r="AP60" s="10">
        <v>190.91</v>
      </c>
      <c r="AQ60" s="10">
        <v>146.01</v>
      </c>
      <c r="AR60" s="10">
        <v>110.72</v>
      </c>
      <c r="AS60" s="10">
        <v>73.597120000000004</v>
      </c>
      <c r="AT60" s="10">
        <v>162.26439999999999</v>
      </c>
      <c r="AU60" s="10">
        <v>214.56610000000001</v>
      </c>
      <c r="AV60" s="10">
        <v>156.88140000000001</v>
      </c>
      <c r="AW60" s="10">
        <v>155.59</v>
      </c>
      <c r="AX60" s="10">
        <v>182.8998</v>
      </c>
      <c r="AY60" s="10">
        <v>151.60290000000001</v>
      </c>
      <c r="AZ60" s="10">
        <v>265.27</v>
      </c>
      <c r="BA60" s="10">
        <v>643.64</v>
      </c>
      <c r="BB60" s="10">
        <v>173.74760000000001</v>
      </c>
      <c r="BC60" s="10">
        <v>179.38</v>
      </c>
      <c r="BD60" s="10">
        <v>73.800280000000001</v>
      </c>
      <c r="BE60" s="10">
        <v>29.546779999999998</v>
      </c>
      <c r="BF60" s="10">
        <v>138.74270000000001</v>
      </c>
      <c r="BG60" s="10">
        <v>3470.79</v>
      </c>
      <c r="BH60" s="10">
        <v>76.561880000000002</v>
      </c>
      <c r="BI60" s="10">
        <v>216.26</v>
      </c>
      <c r="BJ60" s="10">
        <v>49.01</v>
      </c>
      <c r="BK60" s="10">
        <v>236.1653</v>
      </c>
      <c r="BL60" s="10">
        <v>117.03570000000001</v>
      </c>
      <c r="BM60" s="10">
        <v>150.65</v>
      </c>
      <c r="BN60" s="10">
        <v>164.46860000000001</v>
      </c>
      <c r="BO60" s="10">
        <v>324.52999999999997</v>
      </c>
      <c r="BP60" s="10">
        <v>150.69990000000001</v>
      </c>
      <c r="BQ60" s="10">
        <v>95.759429999999995</v>
      </c>
      <c r="BR60" s="10">
        <v>12.730420000000001</v>
      </c>
      <c r="BS60" s="10">
        <v>2299.67</v>
      </c>
      <c r="BT60" s="10">
        <v>24.14</v>
      </c>
      <c r="BU60" s="10">
        <v>130.5427</v>
      </c>
      <c r="BV60" s="10">
        <v>515.93939999999998</v>
      </c>
      <c r="BW60" s="10">
        <v>67.309719999999999</v>
      </c>
      <c r="BX60" s="10">
        <v>193.73179999999999</v>
      </c>
      <c r="BY60" s="10">
        <v>201.8663</v>
      </c>
      <c r="BZ60" s="10">
        <v>142.38999999999999</v>
      </c>
      <c r="CA60" s="10">
        <v>55.888199999999998</v>
      </c>
      <c r="CB60" s="10">
        <v>155.3253</v>
      </c>
      <c r="CC60" s="10">
        <v>101.744</v>
      </c>
      <c r="CD60" s="10">
        <v>55.191989999999997</v>
      </c>
      <c r="CE60" s="10">
        <v>189.64429999999999</v>
      </c>
      <c r="CF60" s="10">
        <v>61.25</v>
      </c>
      <c r="CG60" s="10">
        <v>339.96050000000002</v>
      </c>
      <c r="CH60" s="10">
        <v>61.699910000000003</v>
      </c>
      <c r="CI60" s="10">
        <v>232.43629999999999</v>
      </c>
      <c r="CJ60" s="10">
        <v>77.95</v>
      </c>
      <c r="CK60" s="10">
        <v>35.591439999999999</v>
      </c>
      <c r="CL60" s="10">
        <v>79.187439999999995</v>
      </c>
      <c r="CM60" s="10">
        <v>45.54</v>
      </c>
      <c r="CN60" s="10">
        <v>62.560180000000003</v>
      </c>
      <c r="CO60" s="10">
        <v>86.29</v>
      </c>
      <c r="CP60" s="10">
        <v>83.40898</v>
      </c>
      <c r="CQ60" s="10">
        <v>168.05</v>
      </c>
      <c r="CR60" s="10">
        <v>41.73</v>
      </c>
      <c r="CS60" s="10">
        <v>25.181170000000002</v>
      </c>
      <c r="CT60" s="10">
        <v>34</v>
      </c>
      <c r="CU60" s="10">
        <v>27.84</v>
      </c>
      <c r="CV60" s="10">
        <v>194.60169999999999</v>
      </c>
      <c r="CW60" s="10">
        <v>264.94069999999999</v>
      </c>
      <c r="CX60" s="10">
        <v>6.85</v>
      </c>
      <c r="CY60" s="10">
        <v>34.31</v>
      </c>
      <c r="CZ60" s="10">
        <v>78.400000000000006</v>
      </c>
      <c r="DA60" s="10">
        <v>32.880000000000003</v>
      </c>
      <c r="DB60" s="10">
        <v>89.67</v>
      </c>
      <c r="DC60" s="10">
        <v>66.649680000000004</v>
      </c>
      <c r="DD60" s="10">
        <v>4.8646390000000004</v>
      </c>
      <c r="DE60" s="10">
        <v>288.52350000000001</v>
      </c>
      <c r="DF60" s="10">
        <v>70.2</v>
      </c>
      <c r="DG60" s="10">
        <v>11.7</v>
      </c>
      <c r="DH60" s="10">
        <v>91.83</v>
      </c>
      <c r="DI60" s="10">
        <v>53.707099999999997</v>
      </c>
      <c r="DJ60" s="10">
        <v>95.482680000000002</v>
      </c>
      <c r="DK60" s="10">
        <v>55.53</v>
      </c>
      <c r="DL60" s="10">
        <v>147.65280000000001</v>
      </c>
      <c r="DM60" s="10">
        <v>67.52</v>
      </c>
      <c r="DN60" s="10">
        <v>68.509249999999994</v>
      </c>
      <c r="DO60" s="10">
        <v>25.679690000000001</v>
      </c>
      <c r="DP60" s="10">
        <v>29.041049999999998</v>
      </c>
      <c r="DQ60" s="10">
        <v>76.695639999999997</v>
      </c>
      <c r="DR60" s="10">
        <v>27.916060000000002</v>
      </c>
      <c r="DS60" s="10">
        <v>22.586490000000001</v>
      </c>
      <c r="DT60" s="10">
        <v>6.63</v>
      </c>
      <c r="DU60" s="10">
        <v>13.17</v>
      </c>
      <c r="DV60" s="15">
        <v>19.48</v>
      </c>
      <c r="DW60" s="10">
        <v>735.72</v>
      </c>
      <c r="DX60" s="10">
        <v>217.4</v>
      </c>
      <c r="DY60" s="10">
        <v>78.497669999999999</v>
      </c>
      <c r="DZ60" s="10">
        <v>13.03</v>
      </c>
      <c r="EA60" s="9">
        <v>4522.68</v>
      </c>
    </row>
    <row r="61" spans="1:131" ht="15.75">
      <c r="A61" s="8">
        <v>44440</v>
      </c>
      <c r="B61" s="10">
        <v>161.5</v>
      </c>
      <c r="C61" s="10">
        <v>43.01</v>
      </c>
      <c r="D61" s="10">
        <v>231.05</v>
      </c>
      <c r="E61" s="10">
        <v>107.87</v>
      </c>
      <c r="F61" s="10">
        <v>74.442859999999996</v>
      </c>
      <c r="G61" s="10">
        <v>212.65</v>
      </c>
      <c r="H61" s="10">
        <v>58.691719999999997</v>
      </c>
      <c r="I61" s="10">
        <v>571.0643</v>
      </c>
      <c r="J61" s="10">
        <v>405.61</v>
      </c>
      <c r="K61" s="10">
        <v>621.9</v>
      </c>
      <c r="L61" s="10">
        <v>546.86</v>
      </c>
      <c r="M61" s="10">
        <v>157.53</v>
      </c>
      <c r="N61" s="10">
        <v>239.54</v>
      </c>
      <c r="O61" s="10">
        <v>1377.36</v>
      </c>
      <c r="P61" s="10">
        <v>389.37329999999997</v>
      </c>
      <c r="Q61" s="10">
        <v>84.86</v>
      </c>
      <c r="R61" s="10">
        <v>371.6644</v>
      </c>
      <c r="S61" s="10">
        <v>605.17999999999995</v>
      </c>
      <c r="T61" s="10">
        <v>118.13</v>
      </c>
      <c r="U61" s="10">
        <v>124.73739999999999</v>
      </c>
      <c r="V61" s="10">
        <v>263.09969999999998</v>
      </c>
      <c r="W61" s="10">
        <v>133.07</v>
      </c>
      <c r="X61" s="10">
        <v>194.14</v>
      </c>
      <c r="Y61" s="10">
        <v>13.55</v>
      </c>
      <c r="Z61" s="10">
        <v>245.02869999999999</v>
      </c>
      <c r="AA61" s="10">
        <v>994.15</v>
      </c>
      <c r="AB61" s="10">
        <v>263.55</v>
      </c>
      <c r="AC61" s="10">
        <v>80.139790000000005</v>
      </c>
      <c r="AD61" s="10">
        <v>281.92</v>
      </c>
      <c r="AE61" s="10">
        <v>575.72</v>
      </c>
      <c r="AF61" s="10">
        <v>87.13</v>
      </c>
      <c r="AG61" s="10">
        <v>299.41000000000003</v>
      </c>
      <c r="AH61" s="10">
        <v>292.04000000000002</v>
      </c>
      <c r="AI61" s="10">
        <v>205.01</v>
      </c>
      <c r="AJ61" s="10">
        <v>104.59</v>
      </c>
      <c r="AK61" s="10">
        <v>25.3</v>
      </c>
      <c r="AL61" s="10">
        <v>198.78</v>
      </c>
      <c r="AM61" s="10">
        <v>207.16</v>
      </c>
      <c r="AN61" s="10">
        <v>53.28</v>
      </c>
      <c r="AO61" s="10">
        <v>481.40190000000001</v>
      </c>
      <c r="AP61" s="10">
        <v>192.21</v>
      </c>
      <c r="AQ61" s="10">
        <v>128.38210000000001</v>
      </c>
      <c r="AR61" s="10">
        <v>102.9</v>
      </c>
      <c r="AS61" s="10">
        <v>70.880920000000003</v>
      </c>
      <c r="AT61" s="10">
        <v>167.48</v>
      </c>
      <c r="AU61" s="10">
        <v>195.35650000000001</v>
      </c>
      <c r="AV61" s="10">
        <v>153.49</v>
      </c>
      <c r="AW61" s="10">
        <v>150.99</v>
      </c>
      <c r="AX61" s="10">
        <v>164.78</v>
      </c>
      <c r="AY61" s="10">
        <v>141.5</v>
      </c>
      <c r="AZ61" s="10">
        <v>271.22000000000003</v>
      </c>
      <c r="BA61" s="10">
        <v>622.27</v>
      </c>
      <c r="BB61" s="10">
        <v>154.8518</v>
      </c>
      <c r="BC61" s="10">
        <v>164.29</v>
      </c>
      <c r="BD61" s="10">
        <v>70.503389999999996</v>
      </c>
      <c r="BE61" s="10">
        <v>27.18224</v>
      </c>
      <c r="BF61" s="10">
        <v>138.93</v>
      </c>
      <c r="BG61" s="10">
        <v>3285.04</v>
      </c>
      <c r="BH61" s="10">
        <v>69.67</v>
      </c>
      <c r="BI61" s="10">
        <v>207.96</v>
      </c>
      <c r="BJ61" s="10">
        <v>52.71</v>
      </c>
      <c r="BK61" s="10">
        <v>241.11</v>
      </c>
      <c r="BL61" s="10">
        <v>110.31</v>
      </c>
      <c r="BM61" s="10">
        <v>151.47</v>
      </c>
      <c r="BN61" s="10">
        <v>145.22999999999999</v>
      </c>
      <c r="BO61" s="10">
        <v>326.59949999999998</v>
      </c>
      <c r="BP61" s="10">
        <v>136.53389999999999</v>
      </c>
      <c r="BQ61" s="10">
        <v>89.97</v>
      </c>
      <c r="BR61" s="10">
        <v>11.482139999999999</v>
      </c>
      <c r="BS61" s="10">
        <v>2373.87</v>
      </c>
      <c r="BT61" s="10">
        <v>25.01</v>
      </c>
      <c r="BU61" s="10">
        <v>122.31</v>
      </c>
      <c r="BV61" s="10">
        <v>476.08280000000002</v>
      </c>
      <c r="BW61" s="10">
        <v>63.03</v>
      </c>
      <c r="BX61" s="10">
        <v>202.61</v>
      </c>
      <c r="BY61" s="10">
        <v>207.87700000000001</v>
      </c>
      <c r="BZ61" s="10">
        <v>139.80000000000001</v>
      </c>
      <c r="CA61" s="10">
        <v>52.076970000000003</v>
      </c>
      <c r="CB61" s="10">
        <v>149.3861</v>
      </c>
      <c r="CC61" s="10">
        <v>93.634140000000002</v>
      </c>
      <c r="CD61" s="10">
        <v>54.22</v>
      </c>
      <c r="CE61" s="10">
        <v>193</v>
      </c>
      <c r="CF61" s="10">
        <v>56.38</v>
      </c>
      <c r="CG61" s="10">
        <v>299.93</v>
      </c>
      <c r="CH61" s="10">
        <v>57.833100000000002</v>
      </c>
      <c r="CI61" s="10">
        <v>221.3613</v>
      </c>
      <c r="CJ61" s="10">
        <v>75.58</v>
      </c>
      <c r="CK61" s="10">
        <v>36.82</v>
      </c>
      <c r="CL61" s="10">
        <v>78.044110000000003</v>
      </c>
      <c r="CM61" s="10">
        <v>41</v>
      </c>
      <c r="CN61" s="10">
        <v>63.92</v>
      </c>
      <c r="CO61" s="10">
        <v>81.03</v>
      </c>
      <c r="CP61" s="10">
        <v>82.57</v>
      </c>
      <c r="CQ61" s="10">
        <v>165.61</v>
      </c>
      <c r="CR61" s="10">
        <v>41.81</v>
      </c>
      <c r="CS61" s="10">
        <v>22.14</v>
      </c>
      <c r="CT61" s="10">
        <v>34.659999999999997</v>
      </c>
      <c r="CU61" s="10">
        <v>29.08</v>
      </c>
      <c r="CV61" s="10">
        <v>182.1</v>
      </c>
      <c r="CW61" s="10">
        <v>218.67150000000001</v>
      </c>
      <c r="CX61" s="10">
        <v>6.39</v>
      </c>
      <c r="CY61" s="10">
        <v>28.68</v>
      </c>
      <c r="CZ61" s="10">
        <v>81.260000000000005</v>
      </c>
      <c r="DA61" s="10">
        <v>47.71</v>
      </c>
      <c r="DB61" s="10">
        <v>89.56</v>
      </c>
      <c r="DC61" s="10">
        <v>81.77</v>
      </c>
      <c r="DD61" s="10">
        <v>5.05</v>
      </c>
      <c r="DE61" s="10">
        <v>285.98</v>
      </c>
      <c r="DF61" s="10">
        <v>68.75</v>
      </c>
      <c r="DG61" s="10">
        <v>12.3</v>
      </c>
      <c r="DH61" s="10">
        <v>89.41</v>
      </c>
      <c r="DI61" s="10">
        <v>58.82</v>
      </c>
      <c r="DJ61" s="10">
        <v>101.45</v>
      </c>
      <c r="DK61" s="10">
        <v>67.77</v>
      </c>
      <c r="DL61" s="10">
        <v>164.26589999999999</v>
      </c>
      <c r="DM61" s="10">
        <v>80.27</v>
      </c>
      <c r="DN61" s="10">
        <v>77.836470000000006</v>
      </c>
      <c r="DO61" s="10">
        <v>29.56813</v>
      </c>
      <c r="DP61" s="10">
        <v>34.898400000000002</v>
      </c>
      <c r="DQ61" s="10">
        <v>94.67</v>
      </c>
      <c r="DR61" s="10">
        <v>29.64</v>
      </c>
      <c r="DS61" s="10">
        <v>24.73</v>
      </c>
      <c r="DT61" s="10">
        <v>7.53</v>
      </c>
      <c r="DU61" s="10">
        <v>13.11</v>
      </c>
      <c r="DV61" s="15">
        <v>21.43</v>
      </c>
      <c r="DW61" s="10">
        <v>775.48</v>
      </c>
      <c r="DX61" s="10">
        <v>209.12</v>
      </c>
      <c r="DY61" s="10">
        <v>75.239999999999995</v>
      </c>
      <c r="DZ61" s="10">
        <v>14.16</v>
      </c>
      <c r="EA61" s="9">
        <v>4307.54</v>
      </c>
    </row>
    <row r="63" spans="1:131" ht="27">
      <c r="A63" s="2" t="s">
        <v>0</v>
      </c>
    </row>
    <row r="64" spans="1:131" ht="15">
      <c r="A64" s="7" t="s">
        <v>14</v>
      </c>
      <c r="B64" s="7" t="s">
        <v>15</v>
      </c>
      <c r="C64" s="7" t="s">
        <v>16</v>
      </c>
      <c r="D64" s="7" t="s">
        <v>17</v>
      </c>
      <c r="E64" s="7" t="s">
        <v>18</v>
      </c>
      <c r="F64" s="7" t="s">
        <v>19</v>
      </c>
      <c r="G64" s="7" t="s">
        <v>20</v>
      </c>
      <c r="H64" s="7" t="s">
        <v>21</v>
      </c>
      <c r="I64" s="7" t="s">
        <v>22</v>
      </c>
      <c r="J64" s="7" t="s">
        <v>23</v>
      </c>
      <c r="K64" s="7" t="s">
        <v>24</v>
      </c>
      <c r="L64" s="7" t="s">
        <v>25</v>
      </c>
      <c r="M64" s="7" t="s">
        <v>26</v>
      </c>
      <c r="N64" s="7" t="s">
        <v>27</v>
      </c>
      <c r="O64" s="7" t="s">
        <v>28</v>
      </c>
      <c r="P64" s="7" t="s">
        <v>29</v>
      </c>
      <c r="Q64" s="7" t="s">
        <v>30</v>
      </c>
      <c r="R64" s="7" t="s">
        <v>31</v>
      </c>
      <c r="S64" s="7" t="s">
        <v>32</v>
      </c>
      <c r="T64" s="7" t="s">
        <v>33</v>
      </c>
      <c r="U64" s="7" t="s">
        <v>34</v>
      </c>
      <c r="V64" s="7" t="s">
        <v>35</v>
      </c>
      <c r="W64" s="7" t="s">
        <v>36</v>
      </c>
      <c r="X64" s="7" t="s">
        <v>37</v>
      </c>
      <c r="Y64" s="7" t="s">
        <v>38</v>
      </c>
      <c r="Z64" s="7" t="s">
        <v>39</v>
      </c>
      <c r="AA64" s="7" t="s">
        <v>40</v>
      </c>
      <c r="AB64" s="7" t="s">
        <v>41</v>
      </c>
      <c r="AC64" s="7" t="s">
        <v>42</v>
      </c>
      <c r="AD64" s="7" t="s">
        <v>43</v>
      </c>
      <c r="AE64" s="7" t="s">
        <v>44</v>
      </c>
      <c r="AF64" s="7" t="s">
        <v>45</v>
      </c>
      <c r="AG64" s="7" t="s">
        <v>46</v>
      </c>
      <c r="AH64" s="7" t="s">
        <v>47</v>
      </c>
      <c r="AI64" s="7" t="s">
        <v>48</v>
      </c>
      <c r="AJ64" s="7" t="s">
        <v>49</v>
      </c>
      <c r="AK64" s="7" t="s">
        <v>50</v>
      </c>
      <c r="AL64" s="7" t="s">
        <v>51</v>
      </c>
      <c r="AM64" s="7" t="s">
        <v>52</v>
      </c>
      <c r="AN64" s="7" t="s">
        <v>53</v>
      </c>
      <c r="AO64" s="7" t="s">
        <v>54</v>
      </c>
      <c r="AP64" s="7" t="s">
        <v>55</v>
      </c>
      <c r="AQ64" s="7" t="s">
        <v>56</v>
      </c>
      <c r="AR64" s="7" t="s">
        <v>57</v>
      </c>
      <c r="AS64" s="7" t="s">
        <v>58</v>
      </c>
      <c r="AT64" s="7" t="s">
        <v>59</v>
      </c>
      <c r="AU64" s="7" t="s">
        <v>60</v>
      </c>
      <c r="AV64" s="7" t="s">
        <v>61</v>
      </c>
      <c r="AW64" s="7" t="s">
        <v>62</v>
      </c>
      <c r="AX64" s="7" t="s">
        <v>63</v>
      </c>
      <c r="AY64" s="7" t="s">
        <v>64</v>
      </c>
      <c r="AZ64" s="7" t="s">
        <v>65</v>
      </c>
      <c r="BA64" s="7" t="s">
        <v>66</v>
      </c>
      <c r="BB64" s="7" t="s">
        <v>67</v>
      </c>
      <c r="BC64" s="7" t="s">
        <v>68</v>
      </c>
      <c r="BD64" s="7" t="s">
        <v>69</v>
      </c>
      <c r="BE64" s="7" t="s">
        <v>70</v>
      </c>
      <c r="BF64" s="7" t="s">
        <v>71</v>
      </c>
      <c r="BG64" s="7" t="s">
        <v>72</v>
      </c>
      <c r="BH64" s="7" t="s">
        <v>73</v>
      </c>
      <c r="BI64" s="7" t="s">
        <v>74</v>
      </c>
      <c r="BJ64" s="7" t="s">
        <v>75</v>
      </c>
      <c r="BK64" s="7" t="s">
        <v>76</v>
      </c>
      <c r="BL64" s="7" t="s">
        <v>77</v>
      </c>
      <c r="BM64" s="7" t="s">
        <v>78</v>
      </c>
      <c r="BN64" s="7" t="s">
        <v>79</v>
      </c>
      <c r="BO64" s="7" t="s">
        <v>80</v>
      </c>
      <c r="BP64" s="7" t="s">
        <v>81</v>
      </c>
      <c r="BQ64" s="7" t="s">
        <v>82</v>
      </c>
      <c r="BR64" s="7" t="s">
        <v>83</v>
      </c>
      <c r="BS64" s="7" t="s">
        <v>84</v>
      </c>
      <c r="BT64" s="7" t="s">
        <v>85</v>
      </c>
      <c r="BU64" s="7" t="s">
        <v>86</v>
      </c>
      <c r="BV64" s="7" t="s">
        <v>87</v>
      </c>
      <c r="BW64" s="7" t="s">
        <v>88</v>
      </c>
      <c r="BX64" s="7" t="s">
        <v>89</v>
      </c>
      <c r="BY64" s="7" t="s">
        <v>90</v>
      </c>
      <c r="BZ64" s="7" t="s">
        <v>91</v>
      </c>
      <c r="CA64" s="7" t="s">
        <v>92</v>
      </c>
      <c r="CB64" s="7" t="s">
        <v>93</v>
      </c>
      <c r="CC64" s="7" t="s">
        <v>94</v>
      </c>
      <c r="CD64" s="7" t="s">
        <v>95</v>
      </c>
      <c r="CE64" s="7" t="s">
        <v>96</v>
      </c>
      <c r="CF64" s="7" t="s">
        <v>97</v>
      </c>
      <c r="CG64" s="7" t="s">
        <v>98</v>
      </c>
      <c r="CH64" s="7" t="s">
        <v>99</v>
      </c>
      <c r="CI64" s="7" t="s">
        <v>100</v>
      </c>
      <c r="CJ64" s="7" t="s">
        <v>101</v>
      </c>
      <c r="CK64" s="7" t="s">
        <v>102</v>
      </c>
      <c r="CL64" s="7" t="s">
        <v>103</v>
      </c>
      <c r="CM64" s="7" t="s">
        <v>104</v>
      </c>
      <c r="CN64" s="7" t="s">
        <v>105</v>
      </c>
      <c r="CO64" s="7" t="s">
        <v>106</v>
      </c>
      <c r="CP64" s="7" t="s">
        <v>107</v>
      </c>
      <c r="CQ64" s="7" t="s">
        <v>108</v>
      </c>
      <c r="CR64" s="7" t="s">
        <v>109</v>
      </c>
      <c r="CS64" s="7" t="s">
        <v>110</v>
      </c>
      <c r="CT64" s="7" t="s">
        <v>111</v>
      </c>
      <c r="CU64" s="7" t="s">
        <v>112</v>
      </c>
      <c r="CV64" s="7" t="s">
        <v>113</v>
      </c>
      <c r="CW64" s="7" t="s">
        <v>114</v>
      </c>
      <c r="CX64" s="7" t="s">
        <v>115</v>
      </c>
      <c r="CY64" s="7" t="s">
        <v>116</v>
      </c>
      <c r="CZ64" s="7" t="s">
        <v>117</v>
      </c>
      <c r="DA64" s="7" t="s">
        <v>118</v>
      </c>
      <c r="DB64" s="7" t="s">
        <v>119</v>
      </c>
      <c r="DC64" s="7" t="s">
        <v>120</v>
      </c>
      <c r="DD64" s="7" t="s">
        <v>121</v>
      </c>
      <c r="DE64" s="7" t="s">
        <v>122</v>
      </c>
      <c r="DF64" s="7" t="s">
        <v>123</v>
      </c>
      <c r="DG64" s="7" t="s">
        <v>124</v>
      </c>
      <c r="DH64" s="7" t="s">
        <v>125</v>
      </c>
      <c r="DI64" s="7" t="s">
        <v>126</v>
      </c>
      <c r="DJ64" s="7" t="s">
        <v>127</v>
      </c>
      <c r="DK64" s="7" t="s">
        <v>128</v>
      </c>
      <c r="DL64" s="7" t="s">
        <v>129</v>
      </c>
      <c r="DM64" s="7" t="s">
        <v>130</v>
      </c>
      <c r="DN64" s="7" t="s">
        <v>131</v>
      </c>
      <c r="DO64" s="7" t="s">
        <v>132</v>
      </c>
      <c r="DP64" s="7" t="s">
        <v>133</v>
      </c>
      <c r="DQ64" s="7" t="s">
        <v>134</v>
      </c>
      <c r="DR64" s="7" t="s">
        <v>135</v>
      </c>
      <c r="DS64" s="7" t="s">
        <v>136</v>
      </c>
      <c r="DT64" s="7" t="s">
        <v>137</v>
      </c>
      <c r="DU64" s="7" t="s">
        <v>138</v>
      </c>
      <c r="DV64" s="7" t="s">
        <v>144</v>
      </c>
      <c r="DW64" s="7" t="s">
        <v>139</v>
      </c>
      <c r="DX64" s="7" t="s">
        <v>140</v>
      </c>
      <c r="DY64" s="7" t="s">
        <v>141</v>
      </c>
      <c r="DZ64" s="7" t="s">
        <v>142</v>
      </c>
    </row>
    <row r="65" spans="1:130" ht="15">
      <c r="A65" s="8">
        <v>42675</v>
      </c>
    </row>
    <row r="66" spans="1:130" ht="15">
      <c r="A66" s="8">
        <v>42705</v>
      </c>
      <c r="B66" s="11">
        <f>LN(B4/B3)</f>
        <v>4.1413784094608865E-2</v>
      </c>
      <c r="C66" s="11">
        <f t="shared" ref="C66" si="0">LN(C4/C3)</f>
        <v>2.0446746973632534E-2</v>
      </c>
      <c r="D66" s="11">
        <f>LN(D4/D3)</f>
        <v>9.8010286471022182E-2</v>
      </c>
      <c r="E66" s="11">
        <f t="shared" ref="E66:M66" si="1">LN(E4/E3)</f>
        <v>2.9494958993352145E-2</v>
      </c>
      <c r="F66" s="11">
        <f t="shared" si="1"/>
        <v>-3.8652092531796044E-2</v>
      </c>
      <c r="G66" s="11">
        <f t="shared" si="1"/>
        <v>2.1476977343807383E-2</v>
      </c>
      <c r="H66" s="11">
        <f t="shared" si="1"/>
        <v>3.4822179867039268E-2</v>
      </c>
      <c r="I66" s="11">
        <f t="shared" si="1"/>
        <v>7.0409467583240123E-3</v>
      </c>
      <c r="J66" s="11">
        <f t="shared" si="1"/>
        <v>-3.9058491070895193E-2</v>
      </c>
      <c r="K66" s="11">
        <f t="shared" si="1"/>
        <v>-3.2351467003984224E-3</v>
      </c>
      <c r="L66" s="11">
        <f t="shared" si="1"/>
        <v>-8.950686479998575E-2</v>
      </c>
      <c r="M66" s="11">
        <f t="shared" si="1"/>
        <v>3.5294868241630847E-2</v>
      </c>
      <c r="N66" s="11">
        <f t="shared" ref="N66:AS66" si="2">LN(N4/N3)</f>
        <v>-1.0204170174241736E-2</v>
      </c>
      <c r="O66" s="11">
        <f t="shared" si="2"/>
        <v>1.5748356968139112E-2</v>
      </c>
      <c r="P66" s="11">
        <f t="shared" si="2"/>
        <v>1.4778929074293604E-2</v>
      </c>
      <c r="Q66" s="11">
        <f t="shared" si="2"/>
        <v>2.5932388393113803E-2</v>
      </c>
      <c r="R66" s="11">
        <f t="shared" si="2"/>
        <v>8.6623211392361753E-3</v>
      </c>
      <c r="S66" s="11">
        <f t="shared" si="2"/>
        <v>-3.2562200451914373E-2</v>
      </c>
      <c r="T66" s="11">
        <f t="shared" si="2"/>
        <v>8.8910978724041339E-3</v>
      </c>
      <c r="U66" s="11">
        <f t="shared" si="2"/>
        <v>-2.4682509829903863E-2</v>
      </c>
      <c r="V66" s="11">
        <f t="shared" si="2"/>
        <v>5.2695928568284277E-2</v>
      </c>
      <c r="W66" s="11">
        <f t="shared" si="2"/>
        <v>0.11922138412382441</v>
      </c>
      <c r="X66" s="11">
        <f t="shared" si="2"/>
        <v>6.2637525020468723E-2</v>
      </c>
      <c r="Y66" s="11">
        <f t="shared" si="2"/>
        <v>4.1204498932066194E-2</v>
      </c>
      <c r="Z66" s="11">
        <f t="shared" si="2"/>
        <v>-2.121712725630787E-2</v>
      </c>
      <c r="AA66" s="11">
        <f t="shared" si="2"/>
        <v>-1.497786058100568E-2</v>
      </c>
      <c r="AB66" s="11">
        <f t="shared" si="2"/>
        <v>1.4938475914150635E-2</v>
      </c>
      <c r="AC66" s="11">
        <f t="shared" si="2"/>
        <v>2.232382068984259E-3</v>
      </c>
      <c r="AD66" s="11">
        <f t="shared" si="2"/>
        <v>3.7454349903784351E-2</v>
      </c>
      <c r="AE66" s="11">
        <f t="shared" si="2"/>
        <v>1.3608089191712047E-3</v>
      </c>
      <c r="AF66" s="11">
        <f t="shared" si="2"/>
        <v>-4.425948725252709E-2</v>
      </c>
      <c r="AG66" s="11">
        <f t="shared" si="2"/>
        <v>-2.7150989065950745E-2</v>
      </c>
      <c r="AH66" s="11">
        <f t="shared" si="2"/>
        <v>6.6423117686276601E-4</v>
      </c>
      <c r="AI66" s="11">
        <f t="shared" si="2"/>
        <v>-3.5893344399837636E-2</v>
      </c>
      <c r="AJ66" s="11">
        <f t="shared" si="2"/>
        <v>-2.9989503898473352E-4</v>
      </c>
      <c r="AK66" s="11">
        <f t="shared" si="2"/>
        <v>-1.7569858194201059E-2</v>
      </c>
      <c r="AL66" s="11">
        <f t="shared" si="2"/>
        <v>2.7815574067239911E-2</v>
      </c>
      <c r="AM66" s="11">
        <f t="shared" si="2"/>
        <v>0.1479320804024849</v>
      </c>
      <c r="AN66" s="11">
        <f t="shared" si="2"/>
        <v>5.1794538095356821E-2</v>
      </c>
      <c r="AO66" s="11">
        <f t="shared" si="2"/>
        <v>3.6172895240085386E-2</v>
      </c>
      <c r="AP66" s="11">
        <f t="shared" si="2"/>
        <v>-5.7806683746126413E-3</v>
      </c>
      <c r="AQ66" s="11">
        <f t="shared" si="2"/>
        <v>-3.6166933544228869E-2</v>
      </c>
      <c r="AR66" s="11">
        <f t="shared" si="2"/>
        <v>0.24116205681688804</v>
      </c>
      <c r="AS66" s="11">
        <f t="shared" si="2"/>
        <v>0.11544753286375095</v>
      </c>
      <c r="AT66" s="11">
        <f t="shared" ref="AT66:BY66" si="3">LN(AT4/AT3)</f>
        <v>-1.6411489069267579E-2</v>
      </c>
      <c r="AU66" s="11">
        <f t="shared" si="3"/>
        <v>-1.1564494726745228E-2</v>
      </c>
      <c r="AV66" s="11">
        <f t="shared" si="3"/>
        <v>-2.5640056633973309E-2</v>
      </c>
      <c r="AW66" s="11">
        <f t="shared" si="3"/>
        <v>0.11840997779229966</v>
      </c>
      <c r="AX66" s="11">
        <f t="shared" si="3"/>
        <v>-2.5122026299986527E-2</v>
      </c>
      <c r="AY66" s="11">
        <f t="shared" si="3"/>
        <v>5.1961878551144217E-2</v>
      </c>
      <c r="AZ66" s="11">
        <f t="shared" si="3"/>
        <v>-5.0416485914016179E-2</v>
      </c>
      <c r="BA66" s="11">
        <f t="shared" si="3"/>
        <v>-0.11199704076983062</v>
      </c>
      <c r="BB66" s="11">
        <f t="shared" si="3"/>
        <v>-7.2958144526324223E-2</v>
      </c>
      <c r="BC66" s="11">
        <f t="shared" si="3"/>
        <v>-7.0844982956840561E-3</v>
      </c>
      <c r="BD66" s="11">
        <f t="shared" si="3"/>
        <v>-2.3765383113786238E-2</v>
      </c>
      <c r="BE66" s="11">
        <f t="shared" si="3"/>
        <v>-3.7041542403167364E-2</v>
      </c>
      <c r="BF66" s="11">
        <f t="shared" si="3"/>
        <v>3.2005503282727638E-2</v>
      </c>
      <c r="BG66" s="11">
        <f t="shared" si="3"/>
        <v>-9.3305970353376247E-4</v>
      </c>
      <c r="BH66" s="11">
        <f t="shared" si="3"/>
        <v>6.5414481295824931E-2</v>
      </c>
      <c r="BI66" s="11">
        <f t="shared" si="3"/>
        <v>-5.1293294387550578E-2</v>
      </c>
      <c r="BJ66" s="11">
        <f t="shared" si="3"/>
        <v>8.9378307872880793E-3</v>
      </c>
      <c r="BK66" s="11">
        <f t="shared" si="3"/>
        <v>2.807938032956887E-2</v>
      </c>
      <c r="BL66" s="11">
        <f t="shared" si="3"/>
        <v>-3.8560827178831129E-2</v>
      </c>
      <c r="BM66" s="11">
        <f t="shared" si="3"/>
        <v>-7.9444397339481464E-3</v>
      </c>
      <c r="BN66" s="11">
        <f t="shared" si="3"/>
        <v>1.506480732584827E-2</v>
      </c>
      <c r="BO66" s="11">
        <f t="shared" si="3"/>
        <v>4.0823871248604558E-2</v>
      </c>
      <c r="BP66" s="11">
        <f t="shared" si="3"/>
        <v>7.0757723542344368E-4</v>
      </c>
      <c r="BQ66" s="11">
        <f t="shared" si="3"/>
        <v>1.8150831240133095E-3</v>
      </c>
      <c r="BR66" s="11">
        <f t="shared" si="3"/>
        <v>-9.6762860349110205E-2</v>
      </c>
      <c r="BS66" s="11">
        <f t="shared" si="3"/>
        <v>-2.5336906610962835E-2</v>
      </c>
      <c r="BT66" s="11">
        <f t="shared" si="3"/>
        <v>1.9415534056429366E-2</v>
      </c>
      <c r="BU66" s="11">
        <f t="shared" si="3"/>
        <v>-9.4693753902428443E-4</v>
      </c>
      <c r="BV66" s="11">
        <f t="shared" si="3"/>
        <v>-5.378921263838761E-2</v>
      </c>
      <c r="BW66" s="11">
        <f t="shared" si="3"/>
        <v>-5.5634700214208646E-2</v>
      </c>
      <c r="BX66" s="11">
        <f t="shared" si="3"/>
        <v>1.3466847271427829E-2</v>
      </c>
      <c r="BY66" s="11">
        <f t="shared" si="3"/>
        <v>-3.5416706208035056E-3</v>
      </c>
      <c r="BZ66" s="11">
        <f t="shared" ref="BZ66:DE66" si="4">LN(BZ4/BZ3)</f>
        <v>1.945563124905789E-2</v>
      </c>
      <c r="CA66" s="11">
        <f t="shared" si="4"/>
        <v>3.5556696629322683E-2</v>
      </c>
      <c r="CB66" s="11">
        <f t="shared" si="4"/>
        <v>5.1631157880774131E-2</v>
      </c>
      <c r="CC66" s="11">
        <f t="shared" si="4"/>
        <v>3.5716037864411736E-2</v>
      </c>
      <c r="CD66" s="11">
        <f t="shared" si="4"/>
        <v>1.7848938835618715E-2</v>
      </c>
      <c r="CE66" s="11">
        <f t="shared" si="4"/>
        <v>2.6319898321349979E-2</v>
      </c>
      <c r="CF66" s="11">
        <f t="shared" si="4"/>
        <v>3.7152688052045996E-2</v>
      </c>
      <c r="CG66" s="11">
        <f t="shared" si="4"/>
        <v>-1.1362743065013694E-2</v>
      </c>
      <c r="CH66" s="11">
        <f t="shared" si="4"/>
        <v>7.2253233523432131E-2</v>
      </c>
      <c r="CI66" s="11">
        <f t="shared" si="4"/>
        <v>1.344413145433996E-2</v>
      </c>
      <c r="CJ66" s="11">
        <f t="shared" si="4"/>
        <v>3.2141550288417435E-3</v>
      </c>
      <c r="CK66" s="11">
        <f t="shared" si="4"/>
        <v>7.4306210309913953E-2</v>
      </c>
      <c r="CL66" s="11">
        <f t="shared" si="4"/>
        <v>3.9040140425254367E-2</v>
      </c>
      <c r="CM66" s="11">
        <f t="shared" si="4"/>
        <v>1.6510306723953441E-2</v>
      </c>
      <c r="CN66" s="11">
        <f t="shared" si="4"/>
        <v>3.0534651669436433E-2</v>
      </c>
      <c r="CO66" s="11">
        <f t="shared" si="4"/>
        <v>2.3086613387152909E-2</v>
      </c>
      <c r="CP66" s="11">
        <f t="shared" si="4"/>
        <v>1.3173944444622375E-2</v>
      </c>
      <c r="CQ66" s="11">
        <f t="shared" si="4"/>
        <v>3.7868496089913918E-2</v>
      </c>
      <c r="CR66" s="11">
        <f t="shared" si="4"/>
        <v>6.1027890211388575E-2</v>
      </c>
      <c r="CS66" s="11">
        <f t="shared" si="4"/>
        <v>-4.7577572536372834E-2</v>
      </c>
      <c r="CT66" s="11">
        <f t="shared" si="4"/>
        <v>0.18406980898748401</v>
      </c>
      <c r="CU66" s="11">
        <f t="shared" si="4"/>
        <v>7.5445602316079594E-2</v>
      </c>
      <c r="CV66" s="11">
        <f t="shared" si="4"/>
        <v>-4.1166862270963162E-3</v>
      </c>
      <c r="CW66" s="11">
        <f t="shared" si="4"/>
        <v>-2.895368115553246E-2</v>
      </c>
      <c r="CX66" s="11">
        <f t="shared" si="4"/>
        <v>6.8992871486951421E-2</v>
      </c>
      <c r="CY66" s="11">
        <f t="shared" si="4"/>
        <v>0.15996417719934192</v>
      </c>
      <c r="CZ66" s="11">
        <f t="shared" si="4"/>
        <v>-3.4446574463338896E-2</v>
      </c>
      <c r="DA66" s="11">
        <f t="shared" si="4"/>
        <v>-1.9940186068643953E-3</v>
      </c>
      <c r="DB66" s="11">
        <f t="shared" si="4"/>
        <v>0.13739265832334099</v>
      </c>
      <c r="DC66" s="11">
        <f t="shared" si="4"/>
        <v>-9.3330483948605034E-2</v>
      </c>
      <c r="DD66" s="11">
        <f t="shared" si="4"/>
        <v>5.1293343408310613E-2</v>
      </c>
      <c r="DE66" s="11">
        <f t="shared" si="4"/>
        <v>-1.7447946569914732E-2</v>
      </c>
      <c r="DF66" s="11">
        <f t="shared" ref="DF66:DZ66" si="5">LN(DF4/DF3)</f>
        <v>2.0785967759834656E-2</v>
      </c>
      <c r="DG66" s="11">
        <f t="shared" si="5"/>
        <v>-4.9271049006782676E-2</v>
      </c>
      <c r="DH66" s="11">
        <f t="shared" si="5"/>
        <v>5.5940015882339239E-2</v>
      </c>
      <c r="DI66" s="11">
        <f t="shared" si="5"/>
        <v>4.2160128867138817E-2</v>
      </c>
      <c r="DJ66" s="11">
        <f t="shared" si="5"/>
        <v>6.3537840445225924E-2</v>
      </c>
      <c r="DK66" s="11">
        <f t="shared" si="5"/>
        <v>3.2842999981159804E-2</v>
      </c>
      <c r="DL66" s="11">
        <f t="shared" si="5"/>
        <v>-5.913719238373899E-2</v>
      </c>
      <c r="DM66" s="11">
        <f t="shared" si="5"/>
        <v>-1.3947897436332945E-2</v>
      </c>
      <c r="DN66" s="11">
        <f t="shared" si="5"/>
        <v>0.10716380539062399</v>
      </c>
      <c r="DO66" s="11">
        <f t="shared" si="5"/>
        <v>-1.8236522506467211E-3</v>
      </c>
      <c r="DP66" s="11">
        <f t="shared" si="5"/>
        <v>-5.6610826612902544E-2</v>
      </c>
      <c r="DQ66" s="11">
        <f t="shared" si="5"/>
        <v>-6.5026966624244981E-2</v>
      </c>
      <c r="DR66" s="11">
        <f t="shared" si="5"/>
        <v>-1.1902329486664057E-3</v>
      </c>
      <c r="DS66" s="11">
        <f t="shared" si="5"/>
        <v>1.3025742702483665E-2</v>
      </c>
      <c r="DT66" s="11">
        <f t="shared" si="5"/>
        <v>3.6398935915683578E-2</v>
      </c>
      <c r="DU66" s="11">
        <f t="shared" si="5"/>
        <v>3.5850282201019077E-3</v>
      </c>
      <c r="DV66" s="11">
        <f t="shared" si="5"/>
        <v>-3.8329191016566934E-2</v>
      </c>
      <c r="DW66" s="11">
        <f t="shared" si="5"/>
        <v>0.1206651859063942</v>
      </c>
      <c r="DX66" s="11">
        <f t="shared" si="5"/>
        <v>7.16501092530034E-2</v>
      </c>
      <c r="DY66" s="11">
        <f t="shared" si="5"/>
        <v>7.6491263302592705E-2</v>
      </c>
      <c r="DZ66" s="11">
        <f t="shared" si="5"/>
        <v>1.411382821585112E-2</v>
      </c>
    </row>
    <row r="67" spans="1:130" ht="15">
      <c r="A67" s="8">
        <v>42736</v>
      </c>
      <c r="B67" s="11">
        <f t="shared" ref="B67:C123" si="6">LN(B5/B4)</f>
        <v>-1.7158596796396412E-2</v>
      </c>
      <c r="C67" s="11">
        <f t="shared" si="6"/>
        <v>-2.3361809681624608E-2</v>
      </c>
      <c r="D67" s="11">
        <f t="shared" ref="D67:H123" si="7">LN(D5/D4)</f>
        <v>4.6229429382499437E-2</v>
      </c>
      <c r="E67" s="11">
        <f t="shared" si="7"/>
        <v>-2.4409268175604903E-2</v>
      </c>
      <c r="F67" s="11">
        <f t="shared" si="7"/>
        <v>5.9285875338587479E-2</v>
      </c>
      <c r="G67" s="11">
        <f t="shared" si="7"/>
        <v>6.9161102903789601E-2</v>
      </c>
      <c r="H67" s="11">
        <f t="shared" si="7"/>
        <v>-0.17292036826181581</v>
      </c>
      <c r="I67" s="11">
        <f t="shared" ref="I67:M67" si="8">LN(I5/I4)</f>
        <v>7.8008077989253855E-2</v>
      </c>
      <c r="J67" s="11">
        <f t="shared" si="8"/>
        <v>0.22345590490100675</v>
      </c>
      <c r="K67" s="11">
        <f t="shared" si="8"/>
        <v>4.2243342585851919E-2</v>
      </c>
      <c r="L67" s="11">
        <f t="shared" si="8"/>
        <v>0.2820127659284648</v>
      </c>
      <c r="M67" s="11">
        <f t="shared" si="8"/>
        <v>7.506915872770957E-2</v>
      </c>
      <c r="N67" s="11">
        <f t="shared" ref="N67:AS67" si="9">LN(N5/N4)</f>
        <v>3.1580209433420436E-2</v>
      </c>
      <c r="O67" s="11">
        <f t="shared" si="9"/>
        <v>1.9096878223935323E-2</v>
      </c>
      <c r="P67" s="11">
        <f t="shared" si="9"/>
        <v>1.2789515234212682E-2</v>
      </c>
      <c r="Q67" s="11">
        <f t="shared" si="9"/>
        <v>-1.2680709425937806E-3</v>
      </c>
      <c r="R67" s="11">
        <f t="shared" si="9"/>
        <v>7.4217462932147954E-2</v>
      </c>
      <c r="S67" s="11">
        <f t="shared" si="9"/>
        <v>-2.1477187761037301E-2</v>
      </c>
      <c r="T67" s="11">
        <f t="shared" si="9"/>
        <v>8.386109858497541E-2</v>
      </c>
      <c r="U67" s="11">
        <f t="shared" si="9"/>
        <v>7.1035845246380375E-2</v>
      </c>
      <c r="V67" s="11">
        <f t="shared" si="9"/>
        <v>3.4100425662906018E-2</v>
      </c>
      <c r="W67" s="11">
        <f t="shared" si="9"/>
        <v>-7.4460507840785626E-3</v>
      </c>
      <c r="X67" s="11">
        <f t="shared" si="9"/>
        <v>2.5999645054729365E-2</v>
      </c>
      <c r="Y67" s="11">
        <f t="shared" si="9"/>
        <v>-2.6246493065490424E-3</v>
      </c>
      <c r="Z67" s="11">
        <f t="shared" si="9"/>
        <v>7.2954051594532207E-2</v>
      </c>
      <c r="AA67" s="11">
        <f t="shared" si="9"/>
        <v>8.8265655729469053E-2</v>
      </c>
      <c r="AB67" s="11">
        <f t="shared" si="9"/>
        <v>8.4779324851608856E-2</v>
      </c>
      <c r="AC67" s="11">
        <f t="shared" si="9"/>
        <v>7.7436734813236596E-2</v>
      </c>
      <c r="AD67" s="11">
        <f t="shared" si="9"/>
        <v>3.9598153204807592E-2</v>
      </c>
      <c r="AE67" s="11">
        <f t="shared" si="9"/>
        <v>9.650157542235907E-2</v>
      </c>
      <c r="AF67" s="11">
        <f t="shared" si="9"/>
        <v>4.2266823363757637E-2</v>
      </c>
      <c r="AG67" s="11">
        <f t="shared" si="9"/>
        <v>6.6225425750085262E-2</v>
      </c>
      <c r="AH67" s="11">
        <f t="shared" si="9"/>
        <v>9.9166070833088704E-2</v>
      </c>
      <c r="AI67" s="11">
        <f t="shared" si="9"/>
        <v>5.2994226369623414E-2</v>
      </c>
      <c r="AJ67" s="11">
        <f t="shared" si="9"/>
        <v>2.8241693628636752E-2</v>
      </c>
      <c r="AK67" s="11">
        <f t="shared" si="9"/>
        <v>0.14254268804815465</v>
      </c>
      <c r="AL67" s="11">
        <f t="shared" si="9"/>
        <v>-7.6737185596634352E-2</v>
      </c>
      <c r="AM67" s="11">
        <f t="shared" si="9"/>
        <v>2.2601990957302524E-2</v>
      </c>
      <c r="AN67" s="11">
        <f t="shared" si="9"/>
        <v>1.5049748654198258E-2</v>
      </c>
      <c r="AO67" s="11">
        <f t="shared" si="9"/>
        <v>0.12666516158966679</v>
      </c>
      <c r="AP67" s="11">
        <f t="shared" si="9"/>
        <v>3.461388086352294E-2</v>
      </c>
      <c r="AQ67" s="11">
        <f t="shared" si="9"/>
        <v>-0.19908716401368001</v>
      </c>
      <c r="AR67" s="11">
        <f t="shared" si="9"/>
        <v>-8.9419276058170141E-2</v>
      </c>
      <c r="AS67" s="11">
        <f t="shared" si="9"/>
        <v>9.5227529495450269E-2</v>
      </c>
      <c r="AT67" s="11">
        <f t="shared" ref="AT67:BY67" si="10">LN(AT5/AT4)</f>
        <v>3.1447504799808484E-2</v>
      </c>
      <c r="AU67" s="11">
        <f t="shared" si="10"/>
        <v>-1.6339206592893933E-3</v>
      </c>
      <c r="AV67" s="11">
        <f t="shared" si="10"/>
        <v>4.8679096239741017E-2</v>
      </c>
      <c r="AW67" s="11">
        <f t="shared" si="10"/>
        <v>-3.6606835374054264E-2</v>
      </c>
      <c r="AX67" s="11">
        <f t="shared" si="10"/>
        <v>0.20601412081833137</v>
      </c>
      <c r="AY67" s="11">
        <f t="shared" si="10"/>
        <v>4.6641627412564654E-2</v>
      </c>
      <c r="AZ67" s="11">
        <f t="shared" si="10"/>
        <v>0.14446324167156899</v>
      </c>
      <c r="BA67" s="11">
        <f t="shared" si="10"/>
        <v>0.19802577436988611</v>
      </c>
      <c r="BB67" s="11">
        <f t="shared" si="10"/>
        <v>6.1152563388938959E-3</v>
      </c>
      <c r="BC67" s="11">
        <f t="shared" si="10"/>
        <v>1.3579785001351088E-2</v>
      </c>
      <c r="BD67" s="11">
        <f t="shared" si="10"/>
        <v>3.0845262023402643E-2</v>
      </c>
      <c r="BE67" s="11">
        <f t="shared" si="10"/>
        <v>2.2516514104702481E-2</v>
      </c>
      <c r="BF67" s="11">
        <f t="shared" si="10"/>
        <v>5.0111655198553845E-2</v>
      </c>
      <c r="BG67" s="11">
        <f t="shared" si="10"/>
        <v>9.3639404568043122E-2</v>
      </c>
      <c r="BH67" s="11">
        <f t="shared" si="10"/>
        <v>6.9598838341619298E-2</v>
      </c>
      <c r="BI67" s="11">
        <f t="shared" si="10"/>
        <v>6.8086971753387598E-2</v>
      </c>
      <c r="BJ67" s="11">
        <f t="shared" si="10"/>
        <v>6.0344857166620296E-2</v>
      </c>
      <c r="BK67" s="11">
        <f t="shared" si="10"/>
        <v>6.9592889658817506E-3</v>
      </c>
      <c r="BL67" s="11">
        <f t="shared" si="10"/>
        <v>-5.4181906935944326E-3</v>
      </c>
      <c r="BM67" s="11">
        <f t="shared" si="10"/>
        <v>7.6716047870918702E-3</v>
      </c>
      <c r="BN67" s="11">
        <f t="shared" si="10"/>
        <v>4.3517891775687503E-2</v>
      </c>
      <c r="BO67" s="11">
        <f t="shared" si="10"/>
        <v>2.5769121429132319E-2</v>
      </c>
      <c r="BP67" s="11">
        <f t="shared" si="10"/>
        <v>9.0503084506341494E-2</v>
      </c>
      <c r="BQ67" s="11">
        <f t="shared" si="10"/>
        <v>1.5727703801065047E-2</v>
      </c>
      <c r="BR67" s="11">
        <f t="shared" si="10"/>
        <v>0</v>
      </c>
      <c r="BS67" s="11">
        <f t="shared" si="10"/>
        <v>7.1759278232572846E-2</v>
      </c>
      <c r="BT67" s="11">
        <f t="shared" si="10"/>
        <v>6.182142329794009E-2</v>
      </c>
      <c r="BU67" s="11">
        <f t="shared" si="10"/>
        <v>3.4148588274000365E-2</v>
      </c>
      <c r="BV67" s="11">
        <f t="shared" si="10"/>
        <v>9.4091519162051385E-2</v>
      </c>
      <c r="BW67" s="11">
        <f t="shared" si="10"/>
        <v>-8.9389305630503221E-2</v>
      </c>
      <c r="BX67" s="11">
        <f t="shared" si="10"/>
        <v>-2.863462630621642E-2</v>
      </c>
      <c r="BY67" s="11">
        <f t="shared" si="10"/>
        <v>-2.8938303588953926E-2</v>
      </c>
      <c r="BZ67" s="11">
        <f t="shared" ref="BZ67:DE67" si="11">LN(BZ5/BZ4)</f>
        <v>4.1012203164960195E-2</v>
      </c>
      <c r="CA67" s="11">
        <f t="shared" si="11"/>
        <v>2.6495417627757944E-3</v>
      </c>
      <c r="CB67" s="11">
        <f t="shared" si="11"/>
        <v>-8.1571966842321451E-3</v>
      </c>
      <c r="CC67" s="11">
        <f t="shared" si="11"/>
        <v>6.0908197366846946E-2</v>
      </c>
      <c r="CD67" s="11">
        <f t="shared" si="11"/>
        <v>1.002335436424699E-2</v>
      </c>
      <c r="CE67" s="11">
        <f t="shared" si="11"/>
        <v>7.495280442188644E-2</v>
      </c>
      <c r="CF67" s="11">
        <f t="shared" si="11"/>
        <v>-1.1254278858632092E-2</v>
      </c>
      <c r="CG67" s="11">
        <f t="shared" si="11"/>
        <v>5.9878544028402605E-2</v>
      </c>
      <c r="CH67" s="11">
        <f t="shared" si="11"/>
        <v>3.0984320803119168E-3</v>
      </c>
      <c r="CI67" s="11">
        <f t="shared" si="11"/>
        <v>2.4614923763972934E-2</v>
      </c>
      <c r="CJ67" s="11">
        <f t="shared" si="11"/>
        <v>-1.3229035570826024E-2</v>
      </c>
      <c r="CK67" s="11">
        <f t="shared" si="11"/>
        <v>2.2310203560299398E-2</v>
      </c>
      <c r="CL67" s="11">
        <f t="shared" si="11"/>
        <v>-5.3987066823948514E-2</v>
      </c>
      <c r="CM67" s="11">
        <f t="shared" si="11"/>
        <v>4.1913142391071447E-2</v>
      </c>
      <c r="CN67" s="11">
        <f t="shared" si="11"/>
        <v>-1.3659394547664846E-2</v>
      </c>
      <c r="CO67" s="11">
        <f t="shared" si="11"/>
        <v>2.8572053853703084E-2</v>
      </c>
      <c r="CP67" s="11">
        <f t="shared" si="11"/>
        <v>2.3040874821966855E-2</v>
      </c>
      <c r="CQ67" s="11">
        <f t="shared" si="11"/>
        <v>-1.6704408031802893E-4</v>
      </c>
      <c r="CR67" s="11">
        <f t="shared" si="11"/>
        <v>2.8689747217221565E-2</v>
      </c>
      <c r="CS67" s="11">
        <f t="shared" si="11"/>
        <v>5.8290006342875178E-2</v>
      </c>
      <c r="CT67" s="11">
        <f t="shared" si="11"/>
        <v>-1.0241494052197018E-2</v>
      </c>
      <c r="CU67" s="11">
        <f t="shared" si="11"/>
        <v>7.8678612006137377E-3</v>
      </c>
      <c r="CV67" s="11">
        <f t="shared" si="11"/>
        <v>-4.9257023684437809E-2</v>
      </c>
      <c r="CW67" s="11">
        <f t="shared" si="11"/>
        <v>1.7545003839096709E-2</v>
      </c>
      <c r="CX67" s="11">
        <f t="shared" si="11"/>
        <v>-6.0784891069121855E-2</v>
      </c>
      <c r="CY67" s="11">
        <f t="shared" si="11"/>
        <v>-2.2423454887653713E-2</v>
      </c>
      <c r="CZ67" s="11">
        <f t="shared" si="11"/>
        <v>2.0809999513793496E-2</v>
      </c>
      <c r="DA67" s="11">
        <f t="shared" si="11"/>
        <v>-5.3291297050223632E-2</v>
      </c>
      <c r="DB67" s="11">
        <f t="shared" si="11"/>
        <v>4.19004825103967E-2</v>
      </c>
      <c r="DC67" s="11">
        <f t="shared" si="11"/>
        <v>0.13353129788218696</v>
      </c>
      <c r="DD67" s="11">
        <f t="shared" si="11"/>
        <v>-7.5738309269333934E-2</v>
      </c>
      <c r="DE67" s="11">
        <f t="shared" si="11"/>
        <v>2.8610968066738858E-2</v>
      </c>
      <c r="DF67" s="11">
        <f t="shared" ref="DF67:DU67" si="12">LN(DF5/DF4)</f>
        <v>1.3621095951965137E-2</v>
      </c>
      <c r="DG67" s="11">
        <f t="shared" si="12"/>
        <v>2.164947169685329E-2</v>
      </c>
      <c r="DH67" s="11">
        <f t="shared" si="12"/>
        <v>4.7997138478915692E-3</v>
      </c>
      <c r="DI67" s="11">
        <f t="shared" si="12"/>
        <v>-7.3188442498107381E-2</v>
      </c>
      <c r="DJ67" s="11">
        <f t="shared" si="12"/>
        <v>-5.5460620468595317E-2</v>
      </c>
      <c r="DK67" s="11">
        <f t="shared" si="12"/>
        <v>-2.7908884165620859E-2</v>
      </c>
      <c r="DL67" s="11">
        <f t="shared" si="12"/>
        <v>8.8810213372367275E-4</v>
      </c>
      <c r="DM67" s="11">
        <f t="shared" si="12"/>
        <v>4.7367907745006089E-3</v>
      </c>
      <c r="DN67" s="11">
        <f t="shared" si="12"/>
        <v>-0.13552353961115091</v>
      </c>
      <c r="DO67" s="11">
        <f t="shared" si="12"/>
        <v>-3.8941881050844562E-2</v>
      </c>
      <c r="DP67" s="11">
        <f t="shared" si="12"/>
        <v>-1.6030849060221593E-3</v>
      </c>
      <c r="DQ67" s="11">
        <f t="shared" si="12"/>
        <v>3.9863776388111165E-2</v>
      </c>
      <c r="DR67" s="11">
        <f t="shared" si="12"/>
        <v>3.035938481004211E-3</v>
      </c>
      <c r="DS67" s="11">
        <f t="shared" si="12"/>
        <v>-2.9521622935389763E-2</v>
      </c>
      <c r="DT67" s="11">
        <f t="shared" si="12"/>
        <v>-5.5256613866983981E-2</v>
      </c>
      <c r="DU67" s="11">
        <f t="shared" si="12"/>
        <v>9.8342603829383018E-3</v>
      </c>
      <c r="DV67" s="11">
        <f t="shared" ref="DV67:DV123" si="13">LN(DV5/DV4)</f>
        <v>-5.9227286501286315E-2</v>
      </c>
      <c r="DW67" s="11">
        <f t="shared" ref="DW67:DZ86" si="14">LN(DW5/DW4)</f>
        <v>0.16462490448788064</v>
      </c>
      <c r="DX67" s="11">
        <f t="shared" si="14"/>
        <v>6.6374923111567494E-2</v>
      </c>
      <c r="DY67" s="11">
        <f t="shared" si="14"/>
        <v>-2.7689066665229716E-3</v>
      </c>
      <c r="DZ67" s="11">
        <f t="shared" si="14"/>
        <v>1.8783502598233727E-2</v>
      </c>
    </row>
    <row r="68" spans="1:130" ht="15">
      <c r="A68" s="8">
        <v>42767</v>
      </c>
      <c r="B68" s="11">
        <f t="shared" si="6"/>
        <v>7.6142629326610964E-2</v>
      </c>
      <c r="C68" s="11">
        <f t="shared" si="6"/>
        <v>7.2621336231326092E-2</v>
      </c>
      <c r="D68" s="11">
        <f t="shared" si="7"/>
        <v>7.2354026301968619E-2</v>
      </c>
      <c r="E68" s="11">
        <f t="shared" si="7"/>
        <v>2.1914053250184442E-2</v>
      </c>
      <c r="F68" s="11">
        <f t="shared" si="7"/>
        <v>6.0709946158399676E-2</v>
      </c>
      <c r="G68" s="11">
        <f t="shared" si="7"/>
        <v>0.11928515614935854</v>
      </c>
      <c r="H68" s="11">
        <f t="shared" si="7"/>
        <v>0.14945218667763652</v>
      </c>
      <c r="I68" s="11">
        <f t="shared" ref="I68:M68" si="15">LN(I6/I5)</f>
        <v>3.4124520197240986E-2</v>
      </c>
      <c r="J68" s="11">
        <f t="shared" si="15"/>
        <v>4.458753805270603E-2</v>
      </c>
      <c r="K68" s="11">
        <f t="shared" si="15"/>
        <v>0.16959755262231033</v>
      </c>
      <c r="L68" s="11">
        <f t="shared" si="15"/>
        <v>-1.2586778592494012E-2</v>
      </c>
      <c r="M68" s="11">
        <f t="shared" si="15"/>
        <v>4.6482889769066699E-2</v>
      </c>
      <c r="N68" s="11">
        <f t="shared" ref="N68:AS68" si="16">LN(N6/N5)</f>
        <v>-1.4113654856354537E-2</v>
      </c>
      <c r="O68" s="11">
        <f t="shared" si="16"/>
        <v>0.10996280527812466</v>
      </c>
      <c r="P68" s="11">
        <f t="shared" si="16"/>
        <v>2.0032783273370394E-2</v>
      </c>
      <c r="Q68" s="11">
        <f t="shared" si="16"/>
        <v>2.8238386044760276E-2</v>
      </c>
      <c r="R68" s="11">
        <f t="shared" si="16"/>
        <v>6.6992830179476798E-2</v>
      </c>
      <c r="S68" s="11">
        <f t="shared" si="16"/>
        <v>3.8788142736065255E-2</v>
      </c>
      <c r="T68" s="11">
        <f t="shared" si="16"/>
        <v>8.2698738546790676E-2</v>
      </c>
      <c r="U68" s="11">
        <f t="shared" si="16"/>
        <v>6.2341063384470929E-2</v>
      </c>
      <c r="V68" s="11">
        <f t="shared" si="16"/>
        <v>3.991147613768338E-2</v>
      </c>
      <c r="W68" s="11">
        <f t="shared" si="16"/>
        <v>6.9988887505547534E-2</v>
      </c>
      <c r="X68" s="11">
        <f t="shared" si="16"/>
        <v>-2.8143003940306006E-2</v>
      </c>
      <c r="Y68" s="11">
        <f t="shared" si="16"/>
        <v>9.5190604619029812E-2</v>
      </c>
      <c r="Z68" s="11">
        <f t="shared" si="16"/>
        <v>3.1972877700794745E-2</v>
      </c>
      <c r="AA68" s="11">
        <f t="shared" si="16"/>
        <v>6.2005314849364411E-2</v>
      </c>
      <c r="AB68" s="11">
        <f t="shared" si="16"/>
        <v>6.4362816160931299E-2</v>
      </c>
      <c r="AC68" s="11">
        <f t="shared" si="16"/>
        <v>6.0931423708092458E-2</v>
      </c>
      <c r="AD68" s="11">
        <f t="shared" si="16"/>
        <v>-1.0417552891649915E-2</v>
      </c>
      <c r="AE68" s="11">
        <f t="shared" si="16"/>
        <v>4.2816828352390528E-2</v>
      </c>
      <c r="AF68" s="11">
        <f t="shared" si="16"/>
        <v>6.3902726356526066E-2</v>
      </c>
      <c r="AG68" s="11">
        <f t="shared" si="16"/>
        <v>0.1274707680128315</v>
      </c>
      <c r="AH68" s="11">
        <f t="shared" si="16"/>
        <v>0.11597743781404485</v>
      </c>
      <c r="AI68" s="11">
        <f t="shared" si="16"/>
        <v>2.7786395466430847E-2</v>
      </c>
      <c r="AJ68" s="11">
        <f t="shared" si="16"/>
        <v>-9.1381473405177202E-2</v>
      </c>
      <c r="AK68" s="11">
        <f t="shared" si="16"/>
        <v>3.6354610472319783E-2</v>
      </c>
      <c r="AL68" s="11">
        <f t="shared" si="16"/>
        <v>6.6667306414875727E-2</v>
      </c>
      <c r="AM68" s="11">
        <f t="shared" si="16"/>
        <v>-7.3136143408779816E-2</v>
      </c>
      <c r="AN68" s="11">
        <f t="shared" si="16"/>
        <v>-1.6981742771991198E-2</v>
      </c>
      <c r="AO68" s="11">
        <f t="shared" si="16"/>
        <v>5.5711945243586192E-2</v>
      </c>
      <c r="AP68" s="11">
        <f t="shared" si="16"/>
        <v>2.0524169657483753E-2</v>
      </c>
      <c r="AQ68" s="11">
        <f t="shared" si="16"/>
        <v>5.5514217607042872E-2</v>
      </c>
      <c r="AR68" s="11">
        <f t="shared" si="16"/>
        <v>0.33246919448918283</v>
      </c>
      <c r="AS68" s="11">
        <f t="shared" si="16"/>
        <v>-2.8182945788673239E-2</v>
      </c>
      <c r="AT68" s="11">
        <f t="shared" ref="AT68:BY68" si="17">LN(AT6/AT5)</f>
        <v>8.9177360319817781E-2</v>
      </c>
      <c r="AU68" s="11">
        <f t="shared" si="17"/>
        <v>4.9447161316014974E-2</v>
      </c>
      <c r="AV68" s="11">
        <f t="shared" si="17"/>
        <v>7.3959233267281307E-2</v>
      </c>
      <c r="AW68" s="11">
        <f t="shared" si="17"/>
        <v>1.0596496171522116E-2</v>
      </c>
      <c r="AX68" s="11">
        <f t="shared" si="17"/>
        <v>3.5931759902084089E-2</v>
      </c>
      <c r="AY68" s="11">
        <f t="shared" si="17"/>
        <v>0.12122921987962064</v>
      </c>
      <c r="AZ68" s="11">
        <f t="shared" si="17"/>
        <v>2.8047958891438674E-2</v>
      </c>
      <c r="BA68" s="11">
        <f t="shared" si="17"/>
        <v>-4.168678385076327E-2</v>
      </c>
      <c r="BB68" s="11">
        <f t="shared" si="17"/>
        <v>6.6490932879014197E-2</v>
      </c>
      <c r="BC68" s="11">
        <f t="shared" si="17"/>
        <v>1.419603323320787E-2</v>
      </c>
      <c r="BD68" s="11">
        <f t="shared" si="17"/>
        <v>4.1436544893778154E-2</v>
      </c>
      <c r="BE68" s="11">
        <f t="shared" si="17"/>
        <v>0.14336638129123547</v>
      </c>
      <c r="BF68" s="11">
        <f t="shared" si="17"/>
        <v>2.9916844886409978E-2</v>
      </c>
      <c r="BG68" s="11">
        <f t="shared" si="17"/>
        <v>2.5844700773799183E-2</v>
      </c>
      <c r="BH68" s="11">
        <f t="shared" si="17"/>
        <v>6.3005812359850505E-2</v>
      </c>
      <c r="BI68" s="11">
        <f t="shared" si="17"/>
        <v>-3.9633169335659767E-2</v>
      </c>
      <c r="BJ68" s="11">
        <f t="shared" si="17"/>
        <v>6.2625066435443247E-3</v>
      </c>
      <c r="BK68" s="11">
        <f t="shared" si="17"/>
        <v>4.0609107650348433E-2</v>
      </c>
      <c r="BL68" s="11">
        <f t="shared" si="17"/>
        <v>2.9442803993661292E-2</v>
      </c>
      <c r="BM68" s="11">
        <f t="shared" si="17"/>
        <v>2.6696785215709656E-2</v>
      </c>
      <c r="BN68" s="11">
        <f t="shared" si="17"/>
        <v>7.7451174923890156E-2</v>
      </c>
      <c r="BO68" s="11">
        <f t="shared" si="17"/>
        <v>5.1907846950169804E-2</v>
      </c>
      <c r="BP68" s="11">
        <f t="shared" si="17"/>
        <v>2.7085311937594908E-3</v>
      </c>
      <c r="BQ68" s="11">
        <f t="shared" si="17"/>
        <v>-3.6455128618364793E-2</v>
      </c>
      <c r="BR68" s="11">
        <f t="shared" si="17"/>
        <v>0</v>
      </c>
      <c r="BS68" s="11">
        <f t="shared" si="17"/>
        <v>9.038476687716808E-2</v>
      </c>
      <c r="BT68" s="11">
        <f t="shared" si="17"/>
        <v>1.0240055655408094E-2</v>
      </c>
      <c r="BU68" s="11">
        <f t="shared" si="17"/>
        <v>1.4178702535270875E-3</v>
      </c>
      <c r="BV68" s="11">
        <f t="shared" si="17"/>
        <v>8.3868964464978615E-2</v>
      </c>
      <c r="BW68" s="11">
        <f t="shared" si="17"/>
        <v>-0.13474220317154043</v>
      </c>
      <c r="BX68" s="11">
        <f t="shared" si="17"/>
        <v>-3.8183533974968029E-2</v>
      </c>
      <c r="BY68" s="11">
        <f t="shared" si="17"/>
        <v>-4.757003097807716E-2</v>
      </c>
      <c r="BZ68" s="11">
        <f t="shared" ref="BZ68:DE68" si="18">LN(BZ6/BZ5)</f>
        <v>4.6741433394437919E-2</v>
      </c>
      <c r="CA68" s="11">
        <f t="shared" si="18"/>
        <v>9.3376388949396039E-3</v>
      </c>
      <c r="CB68" s="11">
        <f t="shared" si="18"/>
        <v>6.1655855344837168E-2</v>
      </c>
      <c r="CC68" s="11">
        <f t="shared" si="18"/>
        <v>0.12885209466108516</v>
      </c>
      <c r="CD68" s="11">
        <f t="shared" si="18"/>
        <v>0.14405701867464074</v>
      </c>
      <c r="CE68" s="11">
        <f t="shared" si="18"/>
        <v>2.0147249536885337E-2</v>
      </c>
      <c r="CF68" s="11">
        <f t="shared" si="18"/>
        <v>4.8945303841381661E-2</v>
      </c>
      <c r="CG68" s="11">
        <f t="shared" si="18"/>
        <v>1.99931065197477E-2</v>
      </c>
      <c r="CH68" s="11">
        <f t="shared" si="18"/>
        <v>-8.1633393289554275E-3</v>
      </c>
      <c r="CI68" s="11">
        <f t="shared" si="18"/>
        <v>3.6282498798983404E-2</v>
      </c>
      <c r="CJ68" s="11">
        <f t="shared" si="18"/>
        <v>0.12804452293670307</v>
      </c>
      <c r="CK68" s="11">
        <f t="shared" si="18"/>
        <v>2.455842546453197E-2</v>
      </c>
      <c r="CL68" s="11">
        <f t="shared" si="18"/>
        <v>1.0962009254152083E-2</v>
      </c>
      <c r="CM68" s="11">
        <f t="shared" si="18"/>
        <v>-2.4493053720240954E-2</v>
      </c>
      <c r="CN68" s="11">
        <f t="shared" si="18"/>
        <v>1.8531807389686152E-2</v>
      </c>
      <c r="CO68" s="11">
        <f t="shared" si="18"/>
        <v>2.959422219649481E-2</v>
      </c>
      <c r="CP68" s="11">
        <f t="shared" si="18"/>
        <v>9.7278286248526677E-2</v>
      </c>
      <c r="CQ68" s="11">
        <f t="shared" si="18"/>
        <v>0.13771164681419662</v>
      </c>
      <c r="CR68" s="11">
        <f t="shared" si="18"/>
        <v>-4.1602305755218436E-2</v>
      </c>
      <c r="CS68" s="11">
        <f t="shared" si="18"/>
        <v>3.5287792235455501E-2</v>
      </c>
      <c r="CT68" s="11">
        <f t="shared" si="18"/>
        <v>1.2785562296971925E-2</v>
      </c>
      <c r="CU68" s="11">
        <f t="shared" si="18"/>
        <v>6.2773641769770377E-2</v>
      </c>
      <c r="CV68" s="11">
        <f t="shared" si="18"/>
        <v>-3.1367354410327328E-2</v>
      </c>
      <c r="CW68" s="11">
        <f t="shared" si="18"/>
        <v>2.0257582459859615E-2</v>
      </c>
      <c r="CX68" s="11">
        <f t="shared" si="18"/>
        <v>0.42257493567462456</v>
      </c>
      <c r="CY68" s="11">
        <f t="shared" si="18"/>
        <v>-5.6713412985652266E-2</v>
      </c>
      <c r="CZ68" s="11">
        <f t="shared" si="18"/>
        <v>-3.7300361413208728E-2</v>
      </c>
      <c r="DA68" s="11">
        <f t="shared" si="18"/>
        <v>-8.3381608939051013E-2</v>
      </c>
      <c r="DB68" s="11">
        <f t="shared" si="18"/>
        <v>-7.1620717966150551E-3</v>
      </c>
      <c r="DC68" s="11">
        <f t="shared" si="18"/>
        <v>-7.3864812707948438E-2</v>
      </c>
      <c r="DD68" s="11">
        <f t="shared" si="18"/>
        <v>-1.6635060936651229E-2</v>
      </c>
      <c r="DE68" s="11">
        <f t="shared" si="18"/>
        <v>3.8662831865335402E-2</v>
      </c>
      <c r="DF68" s="11">
        <f t="shared" ref="DF68:DU68" si="19">LN(DF6/DF5)</f>
        <v>0.12986062752572561</v>
      </c>
      <c r="DG68" s="11">
        <f t="shared" si="19"/>
        <v>-8.9560677313063844E-2</v>
      </c>
      <c r="DH68" s="11">
        <f t="shared" si="19"/>
        <v>3.2076683195691423E-2</v>
      </c>
      <c r="DI68" s="11">
        <f t="shared" si="19"/>
        <v>-3.1114295943066063E-2</v>
      </c>
      <c r="DJ68" s="11">
        <f t="shared" si="19"/>
        <v>1.0275031977278831E-2</v>
      </c>
      <c r="DK68" s="11">
        <f t="shared" si="19"/>
        <v>-2.4707822260546332E-2</v>
      </c>
      <c r="DL68" s="11">
        <f t="shared" si="19"/>
        <v>3.1351642490100015E-2</v>
      </c>
      <c r="DM68" s="11">
        <f t="shared" si="19"/>
        <v>-4.4636424505686646E-2</v>
      </c>
      <c r="DN68" s="11">
        <f t="shared" si="19"/>
        <v>-5.189600516717164E-2</v>
      </c>
      <c r="DO68" s="11">
        <f t="shared" si="19"/>
        <v>-3.3306367395738126E-2</v>
      </c>
      <c r="DP68" s="11">
        <f t="shared" si="19"/>
        <v>-4.9053586360781935E-2</v>
      </c>
      <c r="DQ68" s="11">
        <f t="shared" si="19"/>
        <v>-4.1844586899213783E-2</v>
      </c>
      <c r="DR68" s="11">
        <f t="shared" si="19"/>
        <v>-4.0841899731849471E-2</v>
      </c>
      <c r="DS68" s="11">
        <f t="shared" si="19"/>
        <v>-4.5403430254725055E-2</v>
      </c>
      <c r="DT68" s="11">
        <f t="shared" si="19"/>
        <v>-3.9435040129806587E-2</v>
      </c>
      <c r="DU68" s="11">
        <f t="shared" si="19"/>
        <v>6.6750747847608732E-2</v>
      </c>
      <c r="DV68" s="11">
        <f t="shared" si="13"/>
        <v>-0.12484422151334841</v>
      </c>
      <c r="DW68" s="11">
        <f t="shared" si="14"/>
        <v>-7.7303540840276269E-3</v>
      </c>
      <c r="DX68" s="11">
        <f t="shared" si="14"/>
        <v>4.6081030877816044E-2</v>
      </c>
      <c r="DY68" s="11">
        <f t="shared" si="14"/>
        <v>-9.7516028498962817E-3</v>
      </c>
      <c r="DZ68" s="11">
        <f t="shared" si="14"/>
        <v>2.9648580096566481E-2</v>
      </c>
    </row>
    <row r="69" spans="1:130" ht="15">
      <c r="A69" s="8">
        <v>42795</v>
      </c>
      <c r="B69" s="11">
        <f t="shared" si="6"/>
        <v>2.5562080012259174E-2</v>
      </c>
      <c r="C69" s="11">
        <f t="shared" si="6"/>
        <v>1.2770455440711662E-2</v>
      </c>
      <c r="D69" s="11">
        <f t="shared" si="7"/>
        <v>2.2283714026944974E-2</v>
      </c>
      <c r="E69" s="11">
        <f t="shared" si="7"/>
        <v>5.2295478057512515E-2</v>
      </c>
      <c r="F69" s="11">
        <f t="shared" si="7"/>
        <v>-3.6013749835079933E-2</v>
      </c>
      <c r="G69" s="11">
        <f t="shared" si="7"/>
        <v>-6.6323740563423259E-2</v>
      </c>
      <c r="H69" s="11">
        <f t="shared" si="7"/>
        <v>-4.1953913721056627E-2</v>
      </c>
      <c r="I69" s="11">
        <f t="shared" ref="I69:M69" si="20">LN(I7/I6)</f>
        <v>-2.6215603205342938E-2</v>
      </c>
      <c r="J69" s="11">
        <f t="shared" si="20"/>
        <v>1.9169916107720123E-2</v>
      </c>
      <c r="K69" s="11">
        <f t="shared" si="20"/>
        <v>6.4585953433368037E-2</v>
      </c>
      <c r="L69" s="11">
        <f t="shared" si="20"/>
        <v>8.0711722475845529E-2</v>
      </c>
      <c r="M69" s="11">
        <f t="shared" si="20"/>
        <v>3.0145226573756144E-2</v>
      </c>
      <c r="N69" s="11">
        <f t="shared" ref="N69:AS69" si="21">LN(N7/N6)</f>
        <v>3.9772212525085872E-2</v>
      </c>
      <c r="O69" s="11">
        <f t="shared" si="21"/>
        <v>5.6327559857669062E-3</v>
      </c>
      <c r="P69" s="11">
        <f t="shared" si="21"/>
        <v>-8.318593575013614E-3</v>
      </c>
      <c r="Q69" s="11">
        <f t="shared" si="21"/>
        <v>-2.6151988377523739E-2</v>
      </c>
      <c r="R69" s="11">
        <f t="shared" si="21"/>
        <v>3.3915114879531638E-3</v>
      </c>
      <c r="S69" s="11">
        <f t="shared" si="21"/>
        <v>3.6823650339161802E-2</v>
      </c>
      <c r="T69" s="11">
        <f t="shared" si="21"/>
        <v>-1.4974245919245765E-2</v>
      </c>
      <c r="U69" s="11">
        <f t="shared" si="21"/>
        <v>-4.3354066403719993E-3</v>
      </c>
      <c r="V69" s="11">
        <f t="shared" si="21"/>
        <v>2.375086692671265E-2</v>
      </c>
      <c r="W69" s="11">
        <f t="shared" si="21"/>
        <v>-1.3328853940056394E-2</v>
      </c>
      <c r="X69" s="11">
        <f t="shared" si="21"/>
        <v>1.1246420917732653E-3</v>
      </c>
      <c r="Y69" s="11">
        <f t="shared" si="21"/>
        <v>-7.078644749359897E-2</v>
      </c>
      <c r="Z69" s="11">
        <f t="shared" si="21"/>
        <v>2.1282975553913296E-3</v>
      </c>
      <c r="AA69" s="11">
        <f t="shared" si="21"/>
        <v>3.9207530728134321E-2</v>
      </c>
      <c r="AB69" s="11">
        <f t="shared" si="21"/>
        <v>3.9825344904288991E-3</v>
      </c>
      <c r="AC69" s="11">
        <f t="shared" si="21"/>
        <v>1.8292188541263781E-2</v>
      </c>
      <c r="AD69" s="11">
        <f t="shared" si="21"/>
        <v>3.5004802567713829E-2</v>
      </c>
      <c r="AE69" s="11">
        <f t="shared" si="21"/>
        <v>9.4972113540117878E-2</v>
      </c>
      <c r="AF69" s="11">
        <f t="shared" si="21"/>
        <v>4.6338548143568331E-2</v>
      </c>
      <c r="AG69" s="11">
        <f t="shared" si="21"/>
        <v>9.612109947337669E-3</v>
      </c>
      <c r="AH69" s="11">
        <f t="shared" si="21"/>
        <v>2.6421616234438772E-2</v>
      </c>
      <c r="AI69" s="11">
        <f t="shared" si="21"/>
        <v>5.47370969855367E-2</v>
      </c>
      <c r="AJ69" s="11">
        <f t="shared" si="21"/>
        <v>-4.7433257707496429E-2</v>
      </c>
      <c r="AK69" s="11">
        <f t="shared" si="21"/>
        <v>7.3872025557828166E-2</v>
      </c>
      <c r="AL69" s="11">
        <f t="shared" si="21"/>
        <v>-4.8978547394114844E-3</v>
      </c>
      <c r="AM69" s="11">
        <f t="shared" si="21"/>
        <v>7.2104925873667708E-2</v>
      </c>
      <c r="AN69" s="11">
        <f t="shared" si="21"/>
        <v>3.5159022441128142E-3</v>
      </c>
      <c r="AO69" s="11">
        <f t="shared" si="21"/>
        <v>3.7363061796086845E-2</v>
      </c>
      <c r="AP69" s="11">
        <f t="shared" si="21"/>
        <v>5.0144355284700994E-2</v>
      </c>
      <c r="AQ69" s="11">
        <f t="shared" si="21"/>
        <v>2.4417728432273335E-2</v>
      </c>
      <c r="AR69" s="11">
        <f t="shared" si="21"/>
        <v>6.2047768868828696E-3</v>
      </c>
      <c r="AS69" s="11">
        <f t="shared" si="21"/>
        <v>0.20939768717480689</v>
      </c>
      <c r="AT69" s="11">
        <f t="shared" ref="AT69:BY69" si="22">LN(AT7/AT6)</f>
        <v>5.6923221872983371E-3</v>
      </c>
      <c r="AU69" s="11">
        <f t="shared" si="22"/>
        <v>6.6888809269595936E-3</v>
      </c>
      <c r="AV69" s="11">
        <f t="shared" si="22"/>
        <v>2.2258559340172252E-2</v>
      </c>
      <c r="AW69" s="11">
        <f t="shared" si="22"/>
        <v>-1.0253022246366135E-2</v>
      </c>
      <c r="AX69" s="11">
        <f t="shared" si="22"/>
        <v>3.2888644894260043E-2</v>
      </c>
      <c r="AY69" s="11">
        <f t="shared" si="22"/>
        <v>5.1867631648365296E-2</v>
      </c>
      <c r="AZ69" s="11">
        <f t="shared" si="22"/>
        <v>1.3916240207593579E-2</v>
      </c>
      <c r="BA69" s="11">
        <f t="shared" si="22"/>
        <v>6.307722043534649E-3</v>
      </c>
      <c r="BB69" s="11">
        <f t="shared" si="22"/>
        <v>-9.7354791423931719E-3</v>
      </c>
      <c r="BC69" s="11">
        <f t="shared" si="22"/>
        <v>-3.9603765231766466E-2</v>
      </c>
      <c r="BD69" s="11">
        <f t="shared" si="22"/>
        <v>4.4819172913460839E-2</v>
      </c>
      <c r="BE69" s="11">
        <f t="shared" si="22"/>
        <v>2.893814270860523E-2</v>
      </c>
      <c r="BF69" s="11">
        <f t="shared" si="22"/>
        <v>-2.4220626055049332E-2</v>
      </c>
      <c r="BG69" s="11">
        <f t="shared" si="22"/>
        <v>4.7942282244817704E-2</v>
      </c>
      <c r="BH69" s="11">
        <f t="shared" si="22"/>
        <v>-9.7823796995935262E-3</v>
      </c>
      <c r="BI69" s="11">
        <f t="shared" si="22"/>
        <v>-0.13117678828731166</v>
      </c>
      <c r="BJ69" s="11">
        <f t="shared" si="22"/>
        <v>-4.1002572012322748E-2</v>
      </c>
      <c r="BK69" s="11">
        <f t="shared" si="22"/>
        <v>2.2571289895537243E-2</v>
      </c>
      <c r="BL69" s="11">
        <f t="shared" si="22"/>
        <v>3.0872516596838328E-2</v>
      </c>
      <c r="BM69" s="11">
        <f t="shared" si="22"/>
        <v>0.11366832007882162</v>
      </c>
      <c r="BN69" s="11">
        <f t="shared" si="22"/>
        <v>-2.5335670708743617E-2</v>
      </c>
      <c r="BO69" s="11">
        <f t="shared" si="22"/>
        <v>1.3162614259701494E-2</v>
      </c>
      <c r="BP69" s="11">
        <f t="shared" si="22"/>
        <v>-8.8021801217536763E-3</v>
      </c>
      <c r="BQ69" s="11">
        <f t="shared" si="22"/>
        <v>1.1659761482263912E-2</v>
      </c>
      <c r="BR69" s="11">
        <f t="shared" si="22"/>
        <v>0.10180736028972553</v>
      </c>
      <c r="BS69" s="11">
        <f t="shared" si="22"/>
        <v>3.1873934798288255E-2</v>
      </c>
      <c r="BT69" s="11">
        <f t="shared" si="22"/>
        <v>5.7834535176995966E-2</v>
      </c>
      <c r="BU69" s="11">
        <f t="shared" si="22"/>
        <v>-2.1978785322038025E-2</v>
      </c>
      <c r="BV69" s="11">
        <f t="shared" si="22"/>
        <v>-2.9458067552507662E-2</v>
      </c>
      <c r="BW69" s="11">
        <f t="shared" si="22"/>
        <v>-0.10044996447088597</v>
      </c>
      <c r="BX69" s="11">
        <f t="shared" si="22"/>
        <v>-2.4415073948211734E-2</v>
      </c>
      <c r="BY69" s="11">
        <f t="shared" si="22"/>
        <v>-5.4791133672095198E-2</v>
      </c>
      <c r="BZ69" s="11">
        <f t="shared" ref="BZ69:DE69" si="23">LN(BZ7/BZ6)</f>
        <v>-1.34867595027033E-2</v>
      </c>
      <c r="CA69" s="11">
        <f t="shared" si="23"/>
        <v>1.1374439447689431E-2</v>
      </c>
      <c r="CB69" s="11">
        <f t="shared" si="23"/>
        <v>1.3319080986874177E-2</v>
      </c>
      <c r="CC69" s="11">
        <f t="shared" si="23"/>
        <v>3.1948840029263813E-2</v>
      </c>
      <c r="CD69" s="11">
        <f t="shared" si="23"/>
        <v>4.6714285876806247E-2</v>
      </c>
      <c r="CE69" s="11">
        <f t="shared" si="23"/>
        <v>2.1429844732698444E-2</v>
      </c>
      <c r="CF69" s="11">
        <f t="shared" si="23"/>
        <v>2.4631664402425374E-3</v>
      </c>
      <c r="CG69" s="11">
        <f t="shared" si="23"/>
        <v>2.7200845415047119E-2</v>
      </c>
      <c r="CH69" s="11">
        <f t="shared" si="23"/>
        <v>-1.9310585428765688E-2</v>
      </c>
      <c r="CI69" s="11">
        <f t="shared" si="23"/>
        <v>-3.9489690653061616E-3</v>
      </c>
      <c r="CJ69" s="11">
        <f t="shared" si="23"/>
        <v>2.8733849386975005E-3</v>
      </c>
      <c r="CK69" s="11">
        <f t="shared" si="23"/>
        <v>-7.6786352732642693E-3</v>
      </c>
      <c r="CL69" s="11">
        <f t="shared" si="23"/>
        <v>-1.5290961312388716E-2</v>
      </c>
      <c r="CM69" s="11">
        <f t="shared" si="23"/>
        <v>-1.7745099010254516E-2</v>
      </c>
      <c r="CN69" s="11">
        <f t="shared" si="23"/>
        <v>-1.2971729982740415E-2</v>
      </c>
      <c r="CO69" s="11">
        <f t="shared" si="23"/>
        <v>-8.8788276605448694E-3</v>
      </c>
      <c r="CP69" s="11">
        <f t="shared" si="23"/>
        <v>4.5034635455814803E-3</v>
      </c>
      <c r="CQ69" s="11">
        <f t="shared" si="23"/>
        <v>-1.4578114446390506E-2</v>
      </c>
      <c r="CR69" s="11">
        <f t="shared" si="23"/>
        <v>-3.6199229685304105E-2</v>
      </c>
      <c r="CS69" s="11">
        <f t="shared" si="23"/>
        <v>-3.4622397604511176E-2</v>
      </c>
      <c r="CT69" s="11">
        <f t="shared" si="23"/>
        <v>1.5487433638411549E-2</v>
      </c>
      <c r="CU69" s="11">
        <f t="shared" si="23"/>
        <v>9.9405627124062229E-2</v>
      </c>
      <c r="CV69" s="11">
        <f t="shared" si="23"/>
        <v>2.2098673976542627E-2</v>
      </c>
      <c r="CW69" s="11">
        <f t="shared" si="23"/>
        <v>1.1181707473365513E-2</v>
      </c>
      <c r="CX69" s="11">
        <f t="shared" si="23"/>
        <v>-0.11332868530700312</v>
      </c>
      <c r="CY69" s="11">
        <f t="shared" si="23"/>
        <v>-5.2160530805515908E-2</v>
      </c>
      <c r="CZ69" s="11">
        <f t="shared" si="23"/>
        <v>8.42363504318034E-2</v>
      </c>
      <c r="DA69" s="11">
        <f t="shared" si="23"/>
        <v>-2.3149181866965636E-2</v>
      </c>
      <c r="DB69" s="11">
        <f t="shared" si="23"/>
        <v>-7.1691928456116452E-2</v>
      </c>
      <c r="DC69" s="11">
        <f t="shared" si="23"/>
        <v>-0.11864489360461679</v>
      </c>
      <c r="DD69" s="11">
        <f t="shared" si="23"/>
        <v>9.5310086938010227E-2</v>
      </c>
      <c r="DE69" s="11">
        <f t="shared" si="23"/>
        <v>-6.9841596261576197E-2</v>
      </c>
      <c r="DF69" s="11">
        <f t="shared" ref="DF69:DU69" si="24">LN(DF7/DF6)</f>
        <v>-8.4673877049104646E-2</v>
      </c>
      <c r="DG69" s="11">
        <f t="shared" si="24"/>
        <v>-2.7398974188114388E-2</v>
      </c>
      <c r="DH69" s="11">
        <f t="shared" si="24"/>
        <v>3.0387865542750608E-2</v>
      </c>
      <c r="DI69" s="11">
        <f t="shared" si="24"/>
        <v>1.7551607075948918E-2</v>
      </c>
      <c r="DJ69" s="11">
        <f t="shared" si="24"/>
        <v>-3.7146076138546792E-2</v>
      </c>
      <c r="DK69" s="11">
        <f t="shared" si="24"/>
        <v>5.2551771236328308E-2</v>
      </c>
      <c r="DL69" s="11">
        <f t="shared" si="24"/>
        <v>1.3970250816885167E-3</v>
      </c>
      <c r="DM69" s="11">
        <f t="shared" si="24"/>
        <v>5.7574541502441812E-3</v>
      </c>
      <c r="DN69" s="11">
        <f t="shared" si="24"/>
        <v>-6.4849442974540872E-2</v>
      </c>
      <c r="DO69" s="11">
        <f t="shared" si="24"/>
        <v>-3.3980478155058225E-2</v>
      </c>
      <c r="DP69" s="11">
        <f t="shared" si="24"/>
        <v>-3.8556685929438457E-2</v>
      </c>
      <c r="DQ69" s="11">
        <f t="shared" si="24"/>
        <v>2.7961600405166501E-2</v>
      </c>
      <c r="DR69" s="11">
        <f t="shared" si="24"/>
        <v>-2.2422367609291102E-2</v>
      </c>
      <c r="DS69" s="11">
        <f t="shared" si="24"/>
        <v>-4.9400071544621746E-3</v>
      </c>
      <c r="DT69" s="11">
        <f t="shared" si="24"/>
        <v>5.5540875345118637E-3</v>
      </c>
      <c r="DU69" s="11">
        <f t="shared" si="24"/>
        <v>-8.1974943234180402E-3</v>
      </c>
      <c r="DV69" s="11">
        <f t="shared" si="13"/>
        <v>-2.3082444545993088E-2</v>
      </c>
      <c r="DW69" s="11">
        <f t="shared" si="14"/>
        <v>0.10727875146962</v>
      </c>
      <c r="DX69" s="11">
        <f t="shared" si="14"/>
        <v>0.13360806129406208</v>
      </c>
      <c r="DY69" s="11">
        <f t="shared" si="14"/>
        <v>6.9750080465865961E-3</v>
      </c>
      <c r="DZ69" s="11">
        <f t="shared" si="14"/>
        <v>-7.3678712189739731E-2</v>
      </c>
    </row>
    <row r="70" spans="1:130" ht="15">
      <c r="A70" s="8">
        <v>42826</v>
      </c>
      <c r="B70" s="11">
        <f t="shared" si="6"/>
        <v>-8.7088155645213827E-3</v>
      </c>
      <c r="C70" s="11">
        <f t="shared" si="6"/>
        <v>-8.5131640647466335E-3</v>
      </c>
      <c r="D70" s="11">
        <f t="shared" si="7"/>
        <v>-2.4674819928936543E-2</v>
      </c>
      <c r="E70" s="11">
        <f t="shared" si="7"/>
        <v>1.1899518365079364E-2</v>
      </c>
      <c r="F70" s="11">
        <f t="shared" si="7"/>
        <v>-1.2036264596179416E-2</v>
      </c>
      <c r="G70" s="11">
        <f t="shared" si="7"/>
        <v>-4.5816165260171449E-3</v>
      </c>
      <c r="H70" s="11">
        <f t="shared" si="7"/>
        <v>3.0247471294065978E-2</v>
      </c>
      <c r="I70" s="11">
        <f t="shared" ref="I70:M70" si="25">LN(I8/I7)</f>
        <v>7.453367133383354E-2</v>
      </c>
      <c r="J70" s="11">
        <f t="shared" si="25"/>
        <v>8.0042707673536564E-2</v>
      </c>
      <c r="K70" s="11">
        <f t="shared" si="25"/>
        <v>8.1449726592160265E-2</v>
      </c>
      <c r="L70" s="11">
        <f t="shared" si="25"/>
        <v>-8.32738555710128E-2</v>
      </c>
      <c r="M70" s="11">
        <f t="shared" si="25"/>
        <v>4.2884583662219602E-2</v>
      </c>
      <c r="N70" s="11">
        <f t="shared" ref="N70:AS70" si="26">LN(N8/N7)</f>
        <v>4.55148031285348E-2</v>
      </c>
      <c r="O70" s="11">
        <f t="shared" si="26"/>
        <v>6.9581535341412273E-2</v>
      </c>
      <c r="P70" s="11">
        <f t="shared" si="26"/>
        <v>6.7893437770302115E-2</v>
      </c>
      <c r="Q70" s="11">
        <f t="shared" si="26"/>
        <v>4.8972152002258587E-2</v>
      </c>
      <c r="R70" s="11">
        <f t="shared" si="26"/>
        <v>7.6842627055602089E-2</v>
      </c>
      <c r="S70" s="11">
        <f t="shared" si="26"/>
        <v>2.5257745386481631E-3</v>
      </c>
      <c r="T70" s="11">
        <f t="shared" si="26"/>
        <v>-1.749037727180203E-2</v>
      </c>
      <c r="U70" s="11">
        <f t="shared" si="26"/>
        <v>3.6237274693420932E-2</v>
      </c>
      <c r="V70" s="11">
        <f t="shared" si="26"/>
        <v>3.8432586159871052E-2</v>
      </c>
      <c r="W70" s="11">
        <f t="shared" si="26"/>
        <v>3.3336420267591926E-2</v>
      </c>
      <c r="X70" s="11">
        <f t="shared" si="26"/>
        <v>5.0065413228773198E-2</v>
      </c>
      <c r="Y70" s="11">
        <f t="shared" si="26"/>
        <v>-4.2972429099366785E-2</v>
      </c>
      <c r="Z70" s="11">
        <f t="shared" si="26"/>
        <v>2.3037070345931585E-2</v>
      </c>
      <c r="AA70" s="11">
        <f t="shared" si="26"/>
        <v>8.66774203620988E-2</v>
      </c>
      <c r="AB70" s="11">
        <f t="shared" si="26"/>
        <v>-5.688893162973107E-2</v>
      </c>
      <c r="AC70" s="11">
        <f t="shared" si="26"/>
        <v>7.3629544348205636E-2</v>
      </c>
      <c r="AD70" s="11">
        <f t="shared" si="26"/>
        <v>3.8718698141990478E-2</v>
      </c>
      <c r="AE70" s="11">
        <f t="shared" si="26"/>
        <v>2.7363665837166727E-2</v>
      </c>
      <c r="AF70" s="11">
        <f t="shared" si="26"/>
        <v>7.8147753737245109E-3</v>
      </c>
      <c r="AG70" s="11">
        <f t="shared" si="26"/>
        <v>2.1532752679709735E-2</v>
      </c>
      <c r="AH70" s="11">
        <f t="shared" si="26"/>
        <v>1.6807118316381191E-2</v>
      </c>
      <c r="AI70" s="11">
        <f t="shared" si="26"/>
        <v>2.056540126519521E-2</v>
      </c>
      <c r="AJ70" s="11">
        <f t="shared" si="26"/>
        <v>2.0557753159006469E-2</v>
      </c>
      <c r="AK70" s="11">
        <f t="shared" si="26"/>
        <v>3.0494844139406754E-2</v>
      </c>
      <c r="AL70" s="11">
        <f t="shared" si="26"/>
        <v>-9.9013458307309357E-2</v>
      </c>
      <c r="AM70" s="11">
        <f t="shared" si="26"/>
        <v>-4.3434345195739722E-2</v>
      </c>
      <c r="AN70" s="11">
        <f t="shared" si="26"/>
        <v>2.2150004232092783E-3</v>
      </c>
      <c r="AO70" s="11">
        <f t="shared" si="26"/>
        <v>1.2937935517444259E-2</v>
      </c>
      <c r="AP70" s="11">
        <f t="shared" si="26"/>
        <v>-1.7278516575992702E-2</v>
      </c>
      <c r="AQ70" s="11">
        <f t="shared" si="26"/>
        <v>-6.4840881106217108E-2</v>
      </c>
      <c r="AR70" s="11">
        <f t="shared" si="26"/>
        <v>-8.9826958389793474E-2</v>
      </c>
      <c r="AS70" s="11">
        <f t="shared" si="26"/>
        <v>-4.349268886528402E-2</v>
      </c>
      <c r="AT70" s="11">
        <f t="shared" ref="AT70:BY70" si="27">LN(AT8/AT7)</f>
        <v>-7.2747759185281077E-2</v>
      </c>
      <c r="AU70" s="11">
        <f t="shared" si="27"/>
        <v>2.1506070534722147E-2</v>
      </c>
      <c r="AV70" s="11">
        <f t="shared" si="27"/>
        <v>2.4104267736986554E-2</v>
      </c>
      <c r="AW70" s="11">
        <f t="shared" si="27"/>
        <v>8.633466607605382E-2</v>
      </c>
      <c r="AX70" s="11">
        <f t="shared" si="27"/>
        <v>1.7803098947466876E-2</v>
      </c>
      <c r="AY70" s="11">
        <f t="shared" si="27"/>
        <v>-6.9703678514816577E-5</v>
      </c>
      <c r="AZ70" s="11">
        <f t="shared" si="27"/>
        <v>4.3064598623522091E-2</v>
      </c>
      <c r="BA70" s="11">
        <f t="shared" si="27"/>
        <v>7.7092294457343322E-2</v>
      </c>
      <c r="BB70" s="11">
        <f t="shared" si="27"/>
        <v>4.4635433854005391E-3</v>
      </c>
      <c r="BC70" s="11">
        <f t="shared" si="27"/>
        <v>3.5072236752255084E-2</v>
      </c>
      <c r="BD70" s="11">
        <f t="shared" si="27"/>
        <v>4.9248747687812504E-2</v>
      </c>
      <c r="BE70" s="11">
        <f t="shared" si="27"/>
        <v>5.8932594273337711E-2</v>
      </c>
      <c r="BF70" s="11">
        <f t="shared" si="27"/>
        <v>-8.2875000588058176E-2</v>
      </c>
      <c r="BG70" s="11">
        <f t="shared" si="27"/>
        <v>4.2456680883452759E-2</v>
      </c>
      <c r="BH70" s="11">
        <f t="shared" si="27"/>
        <v>-4.77732110217926E-3</v>
      </c>
      <c r="BI70" s="11">
        <f t="shared" si="27"/>
        <v>1.2155362379781678E-2</v>
      </c>
      <c r="BJ70" s="11">
        <f t="shared" si="27"/>
        <v>-1.0392957317895459E-2</v>
      </c>
      <c r="BK70" s="11">
        <f t="shared" si="27"/>
        <v>7.661261732020172E-2</v>
      </c>
      <c r="BL70" s="11">
        <f t="shared" si="27"/>
        <v>2.819955548322654E-2</v>
      </c>
      <c r="BM70" s="11">
        <f t="shared" si="27"/>
        <v>1.8003621528793649E-2</v>
      </c>
      <c r="BN70" s="11">
        <f t="shared" si="27"/>
        <v>-2.6476048648134565E-3</v>
      </c>
      <c r="BO70" s="11">
        <f t="shared" si="27"/>
        <v>6.7288272589324488E-2</v>
      </c>
      <c r="BP70" s="11">
        <f t="shared" si="27"/>
        <v>8.2103624112423793E-2</v>
      </c>
      <c r="BQ70" s="11">
        <f t="shared" si="27"/>
        <v>3.480345800087168E-2</v>
      </c>
      <c r="BR70" s="11">
        <f t="shared" si="27"/>
        <v>4.3197958434589585E-3</v>
      </c>
      <c r="BS70" s="11">
        <f t="shared" si="27"/>
        <v>3.6868730905670472E-2</v>
      </c>
      <c r="BT70" s="11">
        <f t="shared" si="27"/>
        <v>4.7406891272326092E-2</v>
      </c>
      <c r="BU70" s="11">
        <f t="shared" si="27"/>
        <v>2.8540116648110615E-2</v>
      </c>
      <c r="BV70" s="11">
        <f t="shared" si="27"/>
        <v>-1.3449261221949156E-2</v>
      </c>
      <c r="BW70" s="11">
        <f t="shared" si="27"/>
        <v>0.11442805928090376</v>
      </c>
      <c r="BX70" s="11">
        <f t="shared" si="27"/>
        <v>-0.10798995732383294</v>
      </c>
      <c r="BY70" s="11">
        <f t="shared" si="27"/>
        <v>-4.1758397752144634E-2</v>
      </c>
      <c r="BZ70" s="11">
        <f t="shared" ref="BZ70:DE70" si="28">LN(BZ8/BZ7)</f>
        <v>-2.8447627660206594E-2</v>
      </c>
      <c r="CA70" s="11">
        <f t="shared" si="28"/>
        <v>2.5379044044398412E-2</v>
      </c>
      <c r="CB70" s="11">
        <f t="shared" si="28"/>
        <v>1.9459742951642579E-2</v>
      </c>
      <c r="CC70" s="11">
        <f t="shared" si="28"/>
        <v>-9.2509384468128959E-3</v>
      </c>
      <c r="CD70" s="11">
        <f t="shared" si="28"/>
        <v>3.9735176211944417E-2</v>
      </c>
      <c r="CE70" s="11">
        <f t="shared" si="28"/>
        <v>1.5879912202445876E-2</v>
      </c>
      <c r="CF70" s="11">
        <f t="shared" si="28"/>
        <v>3.1213111592164038E-2</v>
      </c>
      <c r="CG70" s="11">
        <f t="shared" si="28"/>
        <v>2.7338617246003873E-2</v>
      </c>
      <c r="CH70" s="11">
        <f t="shared" si="28"/>
        <v>4.8627302132381839E-2</v>
      </c>
      <c r="CI70" s="11">
        <f t="shared" si="28"/>
        <v>1.5078477791909779E-2</v>
      </c>
      <c r="CJ70" s="11">
        <f t="shared" si="28"/>
        <v>-1.5837428692061093E-2</v>
      </c>
      <c r="CK70" s="11">
        <f t="shared" si="28"/>
        <v>1.9425280952895139E-3</v>
      </c>
      <c r="CL70" s="11">
        <f t="shared" si="28"/>
        <v>1.8132194418228949E-2</v>
      </c>
      <c r="CM70" s="11">
        <f t="shared" si="28"/>
        <v>1.2911220345377479E-2</v>
      </c>
      <c r="CN70" s="11">
        <f t="shared" si="28"/>
        <v>-2.2423122340293162E-2</v>
      </c>
      <c r="CO70" s="11">
        <f t="shared" si="28"/>
        <v>2.380457343004326E-2</v>
      </c>
      <c r="CP70" s="11">
        <f t="shared" si="28"/>
        <v>-6.8409866649648847E-3</v>
      </c>
      <c r="CQ70" s="11">
        <f t="shared" si="28"/>
        <v>-8.4907322181270919E-3</v>
      </c>
      <c r="CR70" s="11">
        <f t="shared" si="28"/>
        <v>5.2274687097988593E-3</v>
      </c>
      <c r="CS70" s="11">
        <f t="shared" si="28"/>
        <v>1.2011510957716241E-2</v>
      </c>
      <c r="CT70" s="11">
        <f t="shared" si="28"/>
        <v>7.8320087067328178E-3</v>
      </c>
      <c r="CU70" s="11">
        <f t="shared" si="28"/>
        <v>0.14259723691724829</v>
      </c>
      <c r="CV70" s="11">
        <f t="shared" si="28"/>
        <v>1.4900394089973547E-3</v>
      </c>
      <c r="CW70" s="11">
        <f t="shared" si="28"/>
        <v>-2.6248636188516323E-2</v>
      </c>
      <c r="CX70" s="11">
        <f t="shared" si="28"/>
        <v>0.18232155679395459</v>
      </c>
      <c r="CY70" s="11">
        <f t="shared" si="28"/>
        <v>-6.7153587765070327E-2</v>
      </c>
      <c r="CZ70" s="11">
        <f t="shared" si="28"/>
        <v>1.0857869972049086E-2</v>
      </c>
      <c r="DA70" s="11">
        <f t="shared" si="28"/>
        <v>-0.12985798725821376</v>
      </c>
      <c r="DB70" s="11">
        <f t="shared" si="28"/>
        <v>-2.8999536997897602E-3</v>
      </c>
      <c r="DC70" s="11">
        <f t="shared" si="28"/>
        <v>1.7159717551351452E-2</v>
      </c>
      <c r="DD70" s="11">
        <f t="shared" si="28"/>
        <v>-3.8868873618189963E-2</v>
      </c>
      <c r="DE70" s="11">
        <f t="shared" si="28"/>
        <v>3.4951922817625596E-2</v>
      </c>
      <c r="DF70" s="11">
        <f t="shared" ref="DF70:DU70" si="29">LN(DF8/DF7)</f>
        <v>-0.16989903679539747</v>
      </c>
      <c r="DG70" s="11">
        <f t="shared" si="29"/>
        <v>-7.6961041136128436E-2</v>
      </c>
      <c r="DH70" s="11">
        <f t="shared" si="29"/>
        <v>-0.10593738328270731</v>
      </c>
      <c r="DI70" s="11">
        <f t="shared" si="29"/>
        <v>-4.3989931081085277E-3</v>
      </c>
      <c r="DJ70" s="11">
        <f t="shared" si="29"/>
        <v>-6.2595569602003874E-3</v>
      </c>
      <c r="DK70" s="11">
        <f t="shared" si="29"/>
        <v>-4.009564507998941E-2</v>
      </c>
      <c r="DL70" s="11">
        <f t="shared" si="29"/>
        <v>-7.3532427389011737E-2</v>
      </c>
      <c r="DM70" s="11">
        <f t="shared" si="29"/>
        <v>-5.3156475792432892E-2</v>
      </c>
      <c r="DN70" s="11">
        <f t="shared" si="29"/>
        <v>1.8064385329353391E-2</v>
      </c>
      <c r="DO70" s="11">
        <f t="shared" si="29"/>
        <v>-1.7329545585390228E-2</v>
      </c>
      <c r="DP70" s="11">
        <f t="shared" si="29"/>
        <v>-5.3441765754257541E-2</v>
      </c>
      <c r="DQ70" s="11">
        <f t="shared" si="29"/>
        <v>-3.8126286887722613E-2</v>
      </c>
      <c r="DR70" s="11">
        <f t="shared" si="29"/>
        <v>-7.3162656667496911E-2</v>
      </c>
      <c r="DS70" s="11">
        <f t="shared" si="29"/>
        <v>-7.5509386142174322E-3</v>
      </c>
      <c r="DT70" s="11">
        <f t="shared" si="29"/>
        <v>-7.5718750287678202E-2</v>
      </c>
      <c r="DU70" s="11">
        <f t="shared" si="29"/>
        <v>-0.13531131497266227</v>
      </c>
      <c r="DV70" s="11">
        <f t="shared" si="13"/>
        <v>-5.499740424500061E-2</v>
      </c>
      <c r="DW70" s="11">
        <f t="shared" si="14"/>
        <v>0.12091622246752827</v>
      </c>
      <c r="DX70" s="11">
        <f t="shared" si="14"/>
        <v>1.1233067359752182E-2</v>
      </c>
      <c r="DY70" s="11">
        <f t="shared" si="14"/>
        <v>-2.6279102638487335E-2</v>
      </c>
      <c r="DZ70" s="11">
        <f t="shared" si="14"/>
        <v>-1.4712378597939293E-2</v>
      </c>
    </row>
    <row r="71" spans="1:130" ht="15">
      <c r="A71" s="8">
        <v>42856</v>
      </c>
      <c r="B71" s="11">
        <f t="shared" si="6"/>
        <v>3.7982675440875253E-2</v>
      </c>
      <c r="C71" s="11">
        <f t="shared" si="6"/>
        <v>-3.8160003354268883E-2</v>
      </c>
      <c r="D71" s="11">
        <f t="shared" si="7"/>
        <v>-3.0813594788672068E-2</v>
      </c>
      <c r="E71" s="11">
        <f t="shared" si="7"/>
        <v>1.1112031889916388E-2</v>
      </c>
      <c r="F71" s="11">
        <f t="shared" si="7"/>
        <v>4.3635234616278884E-2</v>
      </c>
      <c r="G71" s="11">
        <f t="shared" si="7"/>
        <v>-5.0739816903803005E-2</v>
      </c>
      <c r="H71" s="11">
        <f t="shared" si="7"/>
        <v>-3.0956791719587994E-2</v>
      </c>
      <c r="I71" s="11">
        <f t="shared" ref="I71:M71" si="30">LN(I9/I8)</f>
        <v>4.4133216887036503E-2</v>
      </c>
      <c r="J71" s="11">
        <f t="shared" si="30"/>
        <v>-4.1417216528575475E-2</v>
      </c>
      <c r="K71" s="11">
        <f t="shared" si="30"/>
        <v>3.9271739155538688E-3</v>
      </c>
      <c r="L71" s="11">
        <f t="shared" si="30"/>
        <v>-0.15389417091216698</v>
      </c>
      <c r="M71" s="11">
        <f t="shared" si="30"/>
        <v>9.1753238820708724E-2</v>
      </c>
      <c r="N71" s="11">
        <f t="shared" ref="N71:AS71" si="31">LN(N9/N8)</f>
        <v>2.5305942702696888E-2</v>
      </c>
      <c r="O71" s="11">
        <f t="shared" si="31"/>
        <v>0.12676700906078045</v>
      </c>
      <c r="P71" s="11">
        <f t="shared" si="31"/>
        <v>1.713715740149692E-3</v>
      </c>
      <c r="Q71" s="11">
        <f t="shared" si="31"/>
        <v>-6.4064992659259121E-2</v>
      </c>
      <c r="R71" s="11">
        <f t="shared" si="31"/>
        <v>2.4762874768751997E-2</v>
      </c>
      <c r="S71" s="11">
        <f t="shared" si="31"/>
        <v>0.16691349102113345</v>
      </c>
      <c r="T71" s="11">
        <f t="shared" si="31"/>
        <v>5.1346531685782737E-2</v>
      </c>
      <c r="U71" s="11">
        <f t="shared" si="31"/>
        <v>1.422030564493855E-2</v>
      </c>
      <c r="V71" s="11">
        <f t="shared" si="31"/>
        <v>4.7193786844938961E-2</v>
      </c>
      <c r="W71" s="11">
        <f t="shared" si="31"/>
        <v>0.19347272093982487</v>
      </c>
      <c r="X71" s="11">
        <f t="shared" si="31"/>
        <v>0.10630300857576633</v>
      </c>
      <c r="Y71" s="11">
        <f t="shared" si="31"/>
        <v>4.2715792397400497E-2</v>
      </c>
      <c r="Z71" s="11">
        <f t="shared" si="31"/>
        <v>1.2015169250147071E-2</v>
      </c>
      <c r="AA71" s="11">
        <f t="shared" si="31"/>
        <v>9.0101189038265167E-2</v>
      </c>
      <c r="AB71" s="11">
        <f t="shared" si="31"/>
        <v>4.4726747661781543E-2</v>
      </c>
      <c r="AC71" s="11">
        <f t="shared" si="31"/>
        <v>6.3156871615351814E-2</v>
      </c>
      <c r="AD71" s="11">
        <f t="shared" si="31"/>
        <v>1.9957055871427772E-2</v>
      </c>
      <c r="AE71" s="11">
        <f t="shared" si="31"/>
        <v>5.8943039148108257E-2</v>
      </c>
      <c r="AF71" s="11">
        <f t="shared" si="31"/>
        <v>1.3818039587389025E-2</v>
      </c>
      <c r="AG71" s="11">
        <f t="shared" si="31"/>
        <v>1.5750477047302952E-2</v>
      </c>
      <c r="AH71" s="11">
        <f t="shared" si="31"/>
        <v>8.6801668312665968E-3</v>
      </c>
      <c r="AI71" s="11">
        <f t="shared" si="31"/>
        <v>1.3848780635525052E-2</v>
      </c>
      <c r="AJ71" s="11">
        <f t="shared" si="31"/>
        <v>-0.25655576447809642</v>
      </c>
      <c r="AK71" s="11">
        <f t="shared" si="31"/>
        <v>-4.2628229573630973E-2</v>
      </c>
      <c r="AL71" s="11">
        <f t="shared" si="31"/>
        <v>-7.7742753370754038E-3</v>
      </c>
      <c r="AM71" s="11">
        <f t="shared" si="31"/>
        <v>0.32496985887827362</v>
      </c>
      <c r="AN71" s="11">
        <f t="shared" si="31"/>
        <v>-1.1065767093967355E-3</v>
      </c>
      <c r="AO71" s="11">
        <f t="shared" si="31"/>
        <v>8.1167760474459047E-2</v>
      </c>
      <c r="AP71" s="11">
        <f t="shared" si="31"/>
        <v>4.7136898524872288E-2</v>
      </c>
      <c r="AQ71" s="11">
        <f t="shared" si="31"/>
        <v>6.3619289481217409E-2</v>
      </c>
      <c r="AR71" s="11">
        <f t="shared" si="31"/>
        <v>-0.17274351290387432</v>
      </c>
      <c r="AS71" s="11">
        <f t="shared" si="31"/>
        <v>0.10619129073840436</v>
      </c>
      <c r="AT71" s="11">
        <f t="shared" ref="AT71:BY71" si="32">LN(AT9/AT8)</f>
        <v>0.11819148034317264</v>
      </c>
      <c r="AU71" s="11">
        <f t="shared" si="32"/>
        <v>3.8493055563457723E-2</v>
      </c>
      <c r="AV71" s="11">
        <f t="shared" si="32"/>
        <v>9.7257211776091534E-2</v>
      </c>
      <c r="AW71" s="11">
        <f t="shared" si="32"/>
        <v>5.5475573872555806E-2</v>
      </c>
      <c r="AX71" s="11">
        <f t="shared" si="32"/>
        <v>6.4920948047904742E-2</v>
      </c>
      <c r="AY71" s="11">
        <f t="shared" si="32"/>
        <v>6.1488109829664683E-2</v>
      </c>
      <c r="AZ71" s="11">
        <f t="shared" si="32"/>
        <v>4.0059976436563914E-2</v>
      </c>
      <c r="BA71" s="11">
        <f t="shared" si="32"/>
        <v>0.10223327700290184</v>
      </c>
      <c r="BB71" s="11">
        <f t="shared" si="32"/>
        <v>2.3328921598143856E-2</v>
      </c>
      <c r="BC71" s="11">
        <f t="shared" si="32"/>
        <v>3.1815487427979745E-2</v>
      </c>
      <c r="BD71" s="11">
        <f t="shared" si="32"/>
        <v>-1.2886894960360018E-2</v>
      </c>
      <c r="BE71" s="11">
        <f t="shared" si="32"/>
        <v>-3.1930317634599179E-3</v>
      </c>
      <c r="BF71" s="11">
        <f t="shared" si="32"/>
        <v>-4.8968074926354542E-2</v>
      </c>
      <c r="BG71" s="11">
        <f t="shared" si="32"/>
        <v>7.2577828021652566E-2</v>
      </c>
      <c r="BH71" s="11">
        <f t="shared" si="32"/>
        <v>2.6290075419359259E-2</v>
      </c>
      <c r="BI71" s="11">
        <f t="shared" si="32"/>
        <v>0.22016514255994887</v>
      </c>
      <c r="BJ71" s="11">
        <f t="shared" si="32"/>
        <v>-2.07093510332222E-2</v>
      </c>
      <c r="BK71" s="11">
        <f t="shared" si="32"/>
        <v>7.5409247141349223E-2</v>
      </c>
      <c r="BL71" s="11">
        <f t="shared" si="32"/>
        <v>5.7426466453566555E-2</v>
      </c>
      <c r="BM71" s="11">
        <f t="shared" si="32"/>
        <v>4.9745083608194206E-2</v>
      </c>
      <c r="BN71" s="11">
        <f t="shared" si="32"/>
        <v>-4.4656747206905635E-2</v>
      </c>
      <c r="BO71" s="11">
        <f t="shared" si="32"/>
        <v>-1.673125176823393E-2</v>
      </c>
      <c r="BP71" s="11">
        <f t="shared" si="32"/>
        <v>3.3645184654935857E-2</v>
      </c>
      <c r="BQ71" s="11">
        <f t="shared" si="32"/>
        <v>6.1901529833498788E-2</v>
      </c>
      <c r="BR71" s="11">
        <f t="shared" si="32"/>
        <v>-5.3110095883146878E-2</v>
      </c>
      <c r="BS71" s="11">
        <f t="shared" si="32"/>
        <v>1.6257464174366201E-2</v>
      </c>
      <c r="BT71" s="11">
        <f t="shared" si="32"/>
        <v>3.6558473706057935E-2</v>
      </c>
      <c r="BU71" s="11">
        <f t="shared" si="32"/>
        <v>0.10434502875490888</v>
      </c>
      <c r="BV71" s="11">
        <f t="shared" si="32"/>
        <v>0.15461511922675825</v>
      </c>
      <c r="BW71" s="11">
        <f t="shared" si="32"/>
        <v>-2.3179433689254226E-2</v>
      </c>
      <c r="BX71" s="11">
        <f t="shared" si="32"/>
        <v>-0.11562521752619857</v>
      </c>
      <c r="BY71" s="11">
        <f t="shared" si="32"/>
        <v>-6.1737322331822352E-2</v>
      </c>
      <c r="BZ71" s="11">
        <f t="shared" ref="BZ71:DE71" si="33">LN(BZ9/BZ8)</f>
        <v>1.6292752622632342E-2</v>
      </c>
      <c r="CA71" s="11">
        <f t="shared" si="33"/>
        <v>5.2370539834134228E-2</v>
      </c>
      <c r="CB71" s="11">
        <f t="shared" si="33"/>
        <v>3.1199480845465165E-2</v>
      </c>
      <c r="CC71" s="11">
        <f t="shared" si="33"/>
        <v>7.7736070037759966E-2</v>
      </c>
      <c r="CD71" s="11">
        <f t="shared" si="33"/>
        <v>8.0072660957948669E-2</v>
      </c>
      <c r="CE71" s="11">
        <f t="shared" si="33"/>
        <v>3.7522649373291125E-2</v>
      </c>
      <c r="CF71" s="11">
        <f t="shared" si="33"/>
        <v>3.2237101816851278E-2</v>
      </c>
      <c r="CG71" s="11">
        <f t="shared" si="33"/>
        <v>7.7266733177682886E-2</v>
      </c>
      <c r="CH71" s="11">
        <f t="shared" si="33"/>
        <v>3.4056859432803226E-2</v>
      </c>
      <c r="CI71" s="11">
        <f t="shared" si="33"/>
        <v>1.0062039061936208E-2</v>
      </c>
      <c r="CJ71" s="11">
        <f t="shared" si="33"/>
        <v>6.3630651752831002E-2</v>
      </c>
      <c r="CK71" s="11">
        <f t="shared" si="33"/>
        <v>1.9826387491802107E-2</v>
      </c>
      <c r="CL71" s="11">
        <f t="shared" si="33"/>
        <v>3.78795065171567E-2</v>
      </c>
      <c r="CM71" s="11">
        <f t="shared" si="33"/>
        <v>-3.7237230796013696E-2</v>
      </c>
      <c r="CN71" s="11">
        <f t="shared" si="33"/>
        <v>8.4152748298278197E-3</v>
      </c>
      <c r="CO71" s="11">
        <f t="shared" si="33"/>
        <v>4.6343598308808652E-2</v>
      </c>
      <c r="CP71" s="11">
        <f t="shared" si="33"/>
        <v>4.2105215752445524E-2</v>
      </c>
      <c r="CQ71" s="11">
        <f t="shared" si="33"/>
        <v>2.1137825017658235E-2</v>
      </c>
      <c r="CR71" s="11">
        <f t="shared" si="33"/>
        <v>8.133874540503511E-3</v>
      </c>
      <c r="CS71" s="11">
        <f t="shared" si="33"/>
        <v>0.10357856105780217</v>
      </c>
      <c r="CT71" s="11">
        <f t="shared" si="33"/>
        <v>6.054118070495091E-2</v>
      </c>
      <c r="CU71" s="11">
        <f t="shared" si="33"/>
        <v>-0.10939191452168888</v>
      </c>
      <c r="CV71" s="11">
        <f t="shared" si="33"/>
        <v>-1.3962820894096097E-2</v>
      </c>
      <c r="CW71" s="11">
        <f t="shared" si="33"/>
        <v>2.1588911661308084E-2</v>
      </c>
      <c r="CX71" s="11">
        <f t="shared" si="33"/>
        <v>-2.0202707317519466E-2</v>
      </c>
      <c r="CY71" s="11">
        <f t="shared" si="33"/>
        <v>7.3962302303710948E-3</v>
      </c>
      <c r="CZ71" s="11">
        <f t="shared" si="33"/>
        <v>7.8879046998630756E-2</v>
      </c>
      <c r="DA71" s="11">
        <f t="shared" si="33"/>
        <v>-5.3476063265953527E-3</v>
      </c>
      <c r="DB71" s="11">
        <f t="shared" si="33"/>
        <v>-0.15576540648199497</v>
      </c>
      <c r="DC71" s="11">
        <f t="shared" si="33"/>
        <v>-0.34139935152479478</v>
      </c>
      <c r="DD71" s="11">
        <f t="shared" si="33"/>
        <v>-4.3620472838305911E-2</v>
      </c>
      <c r="DE71" s="11">
        <f t="shared" si="33"/>
        <v>8.9968900272715171E-3</v>
      </c>
      <c r="DF71" s="11">
        <f t="shared" ref="DF71:DU71" si="34">LN(DF9/DF8)</f>
        <v>-8.8056855391182673E-2</v>
      </c>
      <c r="DG71" s="11">
        <f t="shared" si="34"/>
        <v>5.2592450119170416E-2</v>
      </c>
      <c r="DH71" s="11">
        <f t="shared" si="34"/>
        <v>-1.9236318228027131E-4</v>
      </c>
      <c r="DI71" s="11">
        <f t="shared" si="34"/>
        <v>-1.4184901579014239E-2</v>
      </c>
      <c r="DJ71" s="11">
        <f t="shared" si="34"/>
        <v>-3.0643010313046965E-2</v>
      </c>
      <c r="DK71" s="11">
        <f t="shared" si="34"/>
        <v>-6.9574183129642184E-2</v>
      </c>
      <c r="DL71" s="11">
        <f t="shared" si="34"/>
        <v>-3.6079239023850282E-2</v>
      </c>
      <c r="DM71" s="11">
        <f t="shared" si="34"/>
        <v>-2.2254758049929997E-2</v>
      </c>
      <c r="DN71" s="11">
        <f t="shared" si="34"/>
        <v>-6.2097794319715745E-2</v>
      </c>
      <c r="DO71" s="11">
        <f t="shared" si="34"/>
        <v>-4.3336826051131365E-2</v>
      </c>
      <c r="DP71" s="11">
        <f t="shared" si="34"/>
        <v>-0.15027519481607324</v>
      </c>
      <c r="DQ71" s="11">
        <f t="shared" si="34"/>
        <v>-7.3553284805473115E-2</v>
      </c>
      <c r="DR71" s="11">
        <f t="shared" si="34"/>
        <v>-4.2206564708635132E-2</v>
      </c>
      <c r="DS71" s="11">
        <f t="shared" si="34"/>
        <v>-7.3732448628986841E-2</v>
      </c>
      <c r="DT71" s="11">
        <f t="shared" si="34"/>
        <v>-3.9951301579598864E-2</v>
      </c>
      <c r="DU71" s="11">
        <f t="shared" si="34"/>
        <v>-6.8033099570770889E-2</v>
      </c>
      <c r="DV71" s="11">
        <f t="shared" si="13"/>
        <v>-3.4450243722231544E-2</v>
      </c>
      <c r="DW71" s="11">
        <f t="shared" si="14"/>
        <v>8.2295911367355576E-2</v>
      </c>
      <c r="DX71" s="11">
        <f t="shared" si="14"/>
        <v>0.15219583608089704</v>
      </c>
      <c r="DY71" s="11">
        <f t="shared" si="14"/>
        <v>6.9806453859236686E-2</v>
      </c>
      <c r="DZ71" s="11">
        <f t="shared" si="14"/>
        <v>-1.7602870577057783E-2</v>
      </c>
    </row>
    <row r="72" spans="1:130" ht="15">
      <c r="A72" s="8">
        <v>42887</v>
      </c>
      <c r="B72" s="11">
        <f t="shared" si="6"/>
        <v>3.7624869207274522E-2</v>
      </c>
      <c r="C72" s="11">
        <f t="shared" si="6"/>
        <v>3.8016396721310554E-2</v>
      </c>
      <c r="D72" s="11">
        <f t="shared" si="7"/>
        <v>4.0170567496330821E-2</v>
      </c>
      <c r="E72" s="11">
        <f t="shared" si="7"/>
        <v>9.3766908844143099E-2</v>
      </c>
      <c r="F72" s="11">
        <f t="shared" si="7"/>
        <v>-1.5789597442021023E-2</v>
      </c>
      <c r="G72" s="11">
        <f t="shared" si="7"/>
        <v>0.11106230526725007</v>
      </c>
      <c r="H72" s="11">
        <f t="shared" si="7"/>
        <v>3.2281411598928694E-2</v>
      </c>
      <c r="I72" s="11">
        <f t="shared" ref="I72:M72" si="35">LN(I10/I9)</f>
        <v>9.6759519903402789E-3</v>
      </c>
      <c r="J72" s="11">
        <f t="shared" si="35"/>
        <v>-2.1888698789437097E-2</v>
      </c>
      <c r="K72" s="11">
        <f t="shared" si="35"/>
        <v>-4.2273053725991369E-2</v>
      </c>
      <c r="L72" s="11">
        <f t="shared" si="35"/>
        <v>9.0210423738940435E-2</v>
      </c>
      <c r="M72" s="11">
        <f t="shared" si="35"/>
        <v>-1.7217131885275256E-2</v>
      </c>
      <c r="N72" s="11">
        <f t="shared" ref="N72:AS72" si="36">LN(N10/N9)</f>
        <v>3.4788093642124582E-2</v>
      </c>
      <c r="O72" s="11">
        <f t="shared" si="36"/>
        <v>9.7836610854803649E-3</v>
      </c>
      <c r="P72" s="11">
        <f t="shared" si="36"/>
        <v>5.6809573028979606E-2</v>
      </c>
      <c r="Q72" s="11">
        <f t="shared" si="36"/>
        <v>4.6164623392451434E-2</v>
      </c>
      <c r="R72" s="11">
        <f t="shared" si="36"/>
        <v>3.1205361241617133E-2</v>
      </c>
      <c r="S72" s="11">
        <f t="shared" si="36"/>
        <v>6.7548299063084793E-2</v>
      </c>
      <c r="T72" s="11">
        <f t="shared" si="36"/>
        <v>6.2606392819857179E-2</v>
      </c>
      <c r="U72" s="11">
        <f t="shared" si="36"/>
        <v>5.1678967991460302E-2</v>
      </c>
      <c r="V72" s="11">
        <f t="shared" si="36"/>
        <v>-2.9675116320295732E-2</v>
      </c>
      <c r="W72" s="11">
        <f t="shared" si="36"/>
        <v>-1.2176279561115569E-2</v>
      </c>
      <c r="X72" s="11">
        <f t="shared" si="36"/>
        <v>1.6043975908069518E-3</v>
      </c>
      <c r="Y72" s="11">
        <f t="shared" si="36"/>
        <v>-4.1130787868103782E-3</v>
      </c>
      <c r="Z72" s="11">
        <f t="shared" si="36"/>
        <v>3.0600050141006009E-2</v>
      </c>
      <c r="AA72" s="11">
        <f t="shared" si="36"/>
        <v>2.2368004933513968E-2</v>
      </c>
      <c r="AB72" s="11">
        <f t="shared" si="36"/>
        <v>9.5779048333305791E-2</v>
      </c>
      <c r="AC72" s="11">
        <f t="shared" si="36"/>
        <v>2.3226055968977009E-2</v>
      </c>
      <c r="AD72" s="11">
        <f t="shared" si="36"/>
        <v>-7.3999341013364743E-3</v>
      </c>
      <c r="AE72" s="11">
        <f t="shared" si="36"/>
        <v>-2.9650568846075393E-3</v>
      </c>
      <c r="AF72" s="11">
        <f t="shared" si="36"/>
        <v>9.9527250300248699E-2</v>
      </c>
      <c r="AG72" s="11">
        <f t="shared" si="36"/>
        <v>-2.6253199246452162E-2</v>
      </c>
      <c r="AH72" s="11">
        <f t="shared" si="36"/>
        <v>-4.9502161351521815E-2</v>
      </c>
      <c r="AI72" s="11">
        <f t="shared" si="36"/>
        <v>3.0583423372080185E-2</v>
      </c>
      <c r="AJ72" s="11">
        <f t="shared" si="36"/>
        <v>5.4881758005725666E-2</v>
      </c>
      <c r="AK72" s="11">
        <f t="shared" si="36"/>
        <v>-7.0383659037591945E-2</v>
      </c>
      <c r="AL72" s="11">
        <f t="shared" si="36"/>
        <v>-8.3859576830975328E-3</v>
      </c>
      <c r="AM72" s="11">
        <f t="shared" si="36"/>
        <v>2.5061539865428072E-3</v>
      </c>
      <c r="AN72" s="11">
        <f t="shared" si="36"/>
        <v>-6.047421330232372E-2</v>
      </c>
      <c r="AO72" s="11">
        <f t="shared" si="36"/>
        <v>-2.7217071647379076E-2</v>
      </c>
      <c r="AP72" s="11">
        <f t="shared" si="36"/>
        <v>-6.9781273769754931E-2</v>
      </c>
      <c r="AQ72" s="11">
        <f t="shared" si="36"/>
        <v>-2.6651960783773587E-2</v>
      </c>
      <c r="AR72" s="11">
        <f t="shared" si="36"/>
        <v>0.10910684061744781</v>
      </c>
      <c r="AS72" s="11">
        <f t="shared" si="36"/>
        <v>-3.0020404416290447E-2</v>
      </c>
      <c r="AT72" s="11">
        <f t="shared" ref="AT72:BY72" si="37">LN(AT10/AT9)</f>
        <v>-9.7411605974555962E-2</v>
      </c>
      <c r="AU72" s="11">
        <f t="shared" si="37"/>
        <v>-4.1029929146019373E-3</v>
      </c>
      <c r="AV72" s="11">
        <f t="shared" si="37"/>
        <v>-7.1735579741068436E-2</v>
      </c>
      <c r="AW72" s="11">
        <f t="shared" si="37"/>
        <v>-3.1050053192307379E-2</v>
      </c>
      <c r="AX72" s="11">
        <f t="shared" si="37"/>
        <v>-0.10092798444296996</v>
      </c>
      <c r="AY72" s="11">
        <f t="shared" si="37"/>
        <v>-5.479640990906582E-2</v>
      </c>
      <c r="AZ72" s="11">
        <f t="shared" si="37"/>
        <v>-3.4501833364336827E-2</v>
      </c>
      <c r="BA72" s="11">
        <f t="shared" si="37"/>
        <v>1.2817645220058302E-2</v>
      </c>
      <c r="BB72" s="11">
        <f t="shared" si="37"/>
        <v>-1.9598748618064113E-2</v>
      </c>
      <c r="BC72" s="11">
        <f t="shared" si="37"/>
        <v>7.4771522780470671E-3</v>
      </c>
      <c r="BD72" s="11">
        <f t="shared" si="37"/>
        <v>1.5426976994280578E-2</v>
      </c>
      <c r="BE72" s="11">
        <f t="shared" si="37"/>
        <v>-7.0669417016676533E-2</v>
      </c>
      <c r="BF72" s="11">
        <f t="shared" si="37"/>
        <v>1.7552679664059861E-2</v>
      </c>
      <c r="BG72" s="11">
        <f t="shared" si="37"/>
        <v>-2.7128667388252585E-2</v>
      </c>
      <c r="BH72" s="11">
        <f t="shared" si="37"/>
        <v>1.7914325123763324E-2</v>
      </c>
      <c r="BI72" s="11">
        <f t="shared" si="37"/>
        <v>0.11204950380862293</v>
      </c>
      <c r="BJ72" s="11">
        <f t="shared" si="37"/>
        <v>2.9046465890599674E-2</v>
      </c>
      <c r="BK72" s="11">
        <f t="shared" si="37"/>
        <v>1.4931643074092799E-2</v>
      </c>
      <c r="BL72" s="11">
        <f t="shared" si="37"/>
        <v>-8.2885890259888031E-2</v>
      </c>
      <c r="BM72" s="11">
        <f t="shared" si="37"/>
        <v>1.6837216831833771E-2</v>
      </c>
      <c r="BN72" s="11">
        <f t="shared" si="37"/>
        <v>0.10743412125124263</v>
      </c>
      <c r="BO72" s="11">
        <f t="shared" si="37"/>
        <v>5.0452317002785251E-3</v>
      </c>
      <c r="BP72" s="11">
        <f t="shared" si="37"/>
        <v>8.6497160872087531E-2</v>
      </c>
      <c r="BQ72" s="11">
        <f t="shared" si="37"/>
        <v>3.3987467044707148E-2</v>
      </c>
      <c r="BR72" s="11">
        <f t="shared" si="37"/>
        <v>0.1222178832841555</v>
      </c>
      <c r="BS72" s="11">
        <f t="shared" si="37"/>
        <v>-3.5062382322615872E-3</v>
      </c>
      <c r="BT72" s="11">
        <f t="shared" si="37"/>
        <v>2.9622799983154049E-2</v>
      </c>
      <c r="BU72" s="11">
        <f t="shared" si="37"/>
        <v>1.5300918233282331E-2</v>
      </c>
      <c r="BV72" s="11">
        <f t="shared" si="37"/>
        <v>-8.9758573196059197E-4</v>
      </c>
      <c r="BW72" s="11">
        <f t="shared" si="37"/>
        <v>5.5201952732178816E-2</v>
      </c>
      <c r="BX72" s="11">
        <f t="shared" si="37"/>
        <v>-1.250350483168151E-2</v>
      </c>
      <c r="BY72" s="11">
        <f t="shared" si="37"/>
        <v>-0.13641100058171998</v>
      </c>
      <c r="BZ72" s="11">
        <f t="shared" ref="BZ72:DE72" si="38">LN(BZ10/BZ9)</f>
        <v>-1.0728233678454947E-2</v>
      </c>
      <c r="CA72" s="11">
        <f t="shared" si="38"/>
        <v>-1.3729459488343351E-2</v>
      </c>
      <c r="CB72" s="11">
        <f t="shared" si="38"/>
        <v>-5.0335569841949857E-3</v>
      </c>
      <c r="CC72" s="11">
        <f t="shared" si="38"/>
        <v>-1.9810998228241401E-2</v>
      </c>
      <c r="CD72" s="11">
        <f t="shared" si="38"/>
        <v>-1.9917844299089757E-2</v>
      </c>
      <c r="CE72" s="11">
        <f t="shared" si="38"/>
        <v>-1.7291481140235453E-2</v>
      </c>
      <c r="CF72" s="11">
        <f t="shared" si="38"/>
        <v>-3.9099978478617015E-2</v>
      </c>
      <c r="CG72" s="11">
        <f t="shared" si="38"/>
        <v>2.2996543505119836E-2</v>
      </c>
      <c r="CH72" s="11">
        <f t="shared" si="38"/>
        <v>-7.5776684526354068E-2</v>
      </c>
      <c r="CI72" s="11">
        <f t="shared" si="38"/>
        <v>4.8333211691834578E-3</v>
      </c>
      <c r="CJ72" s="11">
        <f t="shared" si="38"/>
        <v>-2.9638723543896323E-2</v>
      </c>
      <c r="CK72" s="11">
        <f t="shared" si="38"/>
        <v>-6.705172680639522E-2</v>
      </c>
      <c r="CL72" s="11">
        <f t="shared" si="38"/>
        <v>-8.0699742015166637E-2</v>
      </c>
      <c r="CM72" s="11">
        <f t="shared" si="38"/>
        <v>1.4172037020747657E-2</v>
      </c>
      <c r="CN72" s="11">
        <f t="shared" si="38"/>
        <v>-2.3157649701968677E-2</v>
      </c>
      <c r="CO72" s="11">
        <f t="shared" si="38"/>
        <v>-6.5877241699979466E-2</v>
      </c>
      <c r="CP72" s="11">
        <f t="shared" si="38"/>
        <v>8.0065473897822891E-3</v>
      </c>
      <c r="CQ72" s="11">
        <f t="shared" si="38"/>
        <v>-1.8515165352530463E-2</v>
      </c>
      <c r="CR72" s="11">
        <f t="shared" si="38"/>
        <v>-0.10026624826324575</v>
      </c>
      <c r="CS72" s="11">
        <f t="shared" si="38"/>
        <v>1.6900079458492222E-2</v>
      </c>
      <c r="CT72" s="11">
        <f t="shared" si="38"/>
        <v>-9.5911161425698818E-2</v>
      </c>
      <c r="CU72" s="11">
        <f t="shared" si="38"/>
        <v>-5.9765515234385502E-2</v>
      </c>
      <c r="CV72" s="11">
        <f t="shared" si="38"/>
        <v>5.0602323761673444E-2</v>
      </c>
      <c r="CW72" s="11">
        <f t="shared" si="38"/>
        <v>0.11438387180965251</v>
      </c>
      <c r="CX72" s="11">
        <f t="shared" si="38"/>
        <v>-8.8868387736842483E-2</v>
      </c>
      <c r="CY72" s="11">
        <f t="shared" si="38"/>
        <v>0.1095617035045819</v>
      </c>
      <c r="CZ72" s="11">
        <f t="shared" si="38"/>
        <v>-2.8341978002274969E-2</v>
      </c>
      <c r="DA72" s="11">
        <f t="shared" si="38"/>
        <v>6.4873585640622206E-2</v>
      </c>
      <c r="DB72" s="11">
        <f t="shared" si="38"/>
        <v>1.7937700686667252E-2</v>
      </c>
      <c r="DC72" s="11">
        <f t="shared" si="38"/>
        <v>9.5863850982160173E-2</v>
      </c>
      <c r="DD72" s="11">
        <f t="shared" si="38"/>
        <v>-0.12177201490937378</v>
      </c>
      <c r="DE72" s="11">
        <f t="shared" si="38"/>
        <v>6.4174701229534739E-2</v>
      </c>
      <c r="DF72" s="11">
        <f t="shared" ref="DF72:DU72" si="39">LN(DF10/DF9)</f>
        <v>6.7410960767635891E-2</v>
      </c>
      <c r="DG72" s="11">
        <f t="shared" si="39"/>
        <v>2.2515022367634769E-2</v>
      </c>
      <c r="DH72" s="11">
        <f t="shared" si="39"/>
        <v>1.1286585618012589E-2</v>
      </c>
      <c r="DI72" s="11">
        <f t="shared" si="39"/>
        <v>1.2252078429845407E-2</v>
      </c>
      <c r="DJ72" s="11">
        <f t="shared" si="39"/>
        <v>1.8301683327937194E-2</v>
      </c>
      <c r="DK72" s="11">
        <f t="shared" si="39"/>
        <v>-1.0888032308633375E-2</v>
      </c>
      <c r="DL72" s="11">
        <f t="shared" si="39"/>
        <v>-4.4609471803064793E-2</v>
      </c>
      <c r="DM72" s="11">
        <f t="shared" si="39"/>
        <v>2.3227938826221629E-3</v>
      </c>
      <c r="DN72" s="11">
        <f t="shared" si="39"/>
        <v>-4.5016299903101104E-2</v>
      </c>
      <c r="DO72" s="11">
        <f t="shared" si="39"/>
        <v>1.5825113352862852E-2</v>
      </c>
      <c r="DP72" s="11">
        <f t="shared" si="39"/>
        <v>-6.0974294249603475E-2</v>
      </c>
      <c r="DQ72" s="11">
        <f t="shared" si="39"/>
        <v>-4.3516392365041769E-2</v>
      </c>
      <c r="DR72" s="11">
        <f t="shared" si="39"/>
        <v>-4.8233751010605237E-2</v>
      </c>
      <c r="DS72" s="11">
        <f t="shared" si="39"/>
        <v>-8.7896576444929427E-3</v>
      </c>
      <c r="DT72" s="11">
        <f t="shared" si="39"/>
        <v>-6.2353306484434774E-2</v>
      </c>
      <c r="DU72" s="11">
        <f t="shared" si="39"/>
        <v>8.2303656326010201E-3</v>
      </c>
      <c r="DV72" s="11">
        <f t="shared" si="13"/>
        <v>2.4713380288614598E-2</v>
      </c>
      <c r="DW72" s="11">
        <f t="shared" si="14"/>
        <v>5.865448063616048E-2</v>
      </c>
      <c r="DX72" s="11">
        <f t="shared" si="14"/>
        <v>-8.1046680112696664E-3</v>
      </c>
      <c r="DY72" s="11">
        <f t="shared" si="14"/>
        <v>3.9922476872323628E-2</v>
      </c>
      <c r="DZ72" s="11">
        <f t="shared" si="14"/>
        <v>6.2753541109242606E-3</v>
      </c>
    </row>
    <row r="73" spans="1:130" ht="15">
      <c r="A73" s="8">
        <v>42917</v>
      </c>
      <c r="B73" s="11">
        <f t="shared" si="6"/>
        <v>3.2454540246560247E-3</v>
      </c>
      <c r="C73" s="11">
        <f t="shared" si="6"/>
        <v>-1.2883696557594127E-2</v>
      </c>
      <c r="D73" s="11">
        <f t="shared" si="7"/>
        <v>4.3647312312290179E-3</v>
      </c>
      <c r="E73" s="11">
        <f t="shared" si="7"/>
        <v>-3.6515942930960631E-2</v>
      </c>
      <c r="F73" s="11">
        <f t="shared" si="7"/>
        <v>4.0437649988399136E-3</v>
      </c>
      <c r="G73" s="11">
        <f t="shared" si="7"/>
        <v>1.3151307522825829E-2</v>
      </c>
      <c r="H73" s="11">
        <f t="shared" si="7"/>
        <v>2.0956297478888306E-2</v>
      </c>
      <c r="I73" s="11">
        <f t="shared" ref="I73:M73" si="40">LN(I11/I10)</f>
        <v>6.9228313057044443E-3</v>
      </c>
      <c r="J73" s="11">
        <f t="shared" si="40"/>
        <v>1.8999919352514615E-3</v>
      </c>
      <c r="K73" s="11">
        <f t="shared" si="40"/>
        <v>3.0745376421722974E-2</v>
      </c>
      <c r="L73" s="11">
        <f t="shared" si="40"/>
        <v>-9.3657411041045302E-2</v>
      </c>
      <c r="M73" s="11">
        <f t="shared" si="40"/>
        <v>1.0285127378463056E-2</v>
      </c>
      <c r="N73" s="11">
        <f t="shared" ref="N73:AS73" si="41">LN(N11/N10)</f>
        <v>1.1663559048612717E-2</v>
      </c>
      <c r="O73" s="11">
        <f t="shared" si="41"/>
        <v>-2.6619570779107569E-2</v>
      </c>
      <c r="P73" s="11">
        <f t="shared" si="41"/>
        <v>3.8003052443846976E-2</v>
      </c>
      <c r="Q73" s="11">
        <f t="shared" si="41"/>
        <v>-6.6085658768063908E-3</v>
      </c>
      <c r="R73" s="11">
        <f t="shared" si="41"/>
        <v>-6.7883998010046642E-3</v>
      </c>
      <c r="S73" s="11">
        <f t="shared" si="41"/>
        <v>9.7684081193512989E-4</v>
      </c>
      <c r="T73" s="11">
        <f t="shared" si="41"/>
        <v>1.1657985444236917E-2</v>
      </c>
      <c r="U73" s="11">
        <f t="shared" si="41"/>
        <v>-5.536396743056346E-2</v>
      </c>
      <c r="V73" s="11">
        <f t="shared" si="41"/>
        <v>6.1272355599148703E-2</v>
      </c>
      <c r="W73" s="11">
        <f t="shared" si="41"/>
        <v>-1.1461443519006539E-2</v>
      </c>
      <c r="X73" s="11">
        <f t="shared" si="41"/>
        <v>3.9411265975283589E-3</v>
      </c>
      <c r="Y73" s="11">
        <f t="shared" si="41"/>
        <v>4.3697154887765771E-3</v>
      </c>
      <c r="Z73" s="11">
        <f t="shared" si="41"/>
        <v>3.5541008723073975E-2</v>
      </c>
      <c r="AA73" s="11">
        <f t="shared" si="41"/>
        <v>3.0848165816662935E-3</v>
      </c>
      <c r="AB73" s="11">
        <f t="shared" si="41"/>
        <v>-9.6782197659801301E-3</v>
      </c>
      <c r="AC73" s="11">
        <f t="shared" si="41"/>
        <v>-9.9148305014951045E-4</v>
      </c>
      <c r="AD73" s="11">
        <f t="shared" si="41"/>
        <v>5.3249938392960626E-2</v>
      </c>
      <c r="AE73" s="11">
        <f t="shared" si="41"/>
        <v>3.5081567852345424E-2</v>
      </c>
      <c r="AF73" s="11">
        <f t="shared" si="41"/>
        <v>-4.1969039535720573E-3</v>
      </c>
      <c r="AG73" s="11">
        <f t="shared" si="41"/>
        <v>4.8705278128890299E-2</v>
      </c>
      <c r="AH73" s="11">
        <f t="shared" si="41"/>
        <v>-1.4257134567484156E-2</v>
      </c>
      <c r="AI73" s="11">
        <f t="shared" si="41"/>
        <v>8.4632977114198066E-2</v>
      </c>
      <c r="AJ73" s="11">
        <f t="shared" si="41"/>
        <v>-5.5093869577206953E-2</v>
      </c>
      <c r="AK73" s="11">
        <f t="shared" si="41"/>
        <v>9.5067135357727844E-2</v>
      </c>
      <c r="AL73" s="11">
        <f t="shared" si="41"/>
        <v>-5.0937123305705108E-2</v>
      </c>
      <c r="AM73" s="11">
        <f t="shared" si="41"/>
        <v>0.11704475407061535</v>
      </c>
      <c r="AN73" s="11">
        <f t="shared" si="41"/>
        <v>5.0003507758583199E-2</v>
      </c>
      <c r="AO73" s="11">
        <f t="shared" si="41"/>
        <v>6.10074856055745E-2</v>
      </c>
      <c r="AP73" s="11">
        <f t="shared" si="41"/>
        <v>5.6233550273804465E-2</v>
      </c>
      <c r="AQ73" s="11">
        <f t="shared" si="41"/>
        <v>-3.7455100814998754E-2</v>
      </c>
      <c r="AR73" s="11">
        <f t="shared" si="41"/>
        <v>8.6677453722093109E-2</v>
      </c>
      <c r="AS73" s="11">
        <f t="shared" si="41"/>
        <v>-6.0038681518747E-2</v>
      </c>
      <c r="AT73" s="11">
        <f t="shared" ref="AT73:BY73" si="42">LN(AT11/AT10)</f>
        <v>2.1067076683043921E-2</v>
      </c>
      <c r="AU73" s="11">
        <f t="shared" si="42"/>
        <v>8.0082573226435364E-3</v>
      </c>
      <c r="AV73" s="11">
        <f t="shared" si="42"/>
        <v>3.6386224684590372E-2</v>
      </c>
      <c r="AW73" s="11">
        <f t="shared" si="42"/>
        <v>-1.6617334101402564E-2</v>
      </c>
      <c r="AX73" s="11">
        <f t="shared" si="42"/>
        <v>8.8894324925369611E-2</v>
      </c>
      <c r="AY73" s="11">
        <f t="shared" si="42"/>
        <v>3.2180093772643185E-2</v>
      </c>
      <c r="AZ73" s="11">
        <f t="shared" si="42"/>
        <v>4.735947003885823E-2</v>
      </c>
      <c r="BA73" s="11">
        <f t="shared" si="42"/>
        <v>4.1123835754059056E-2</v>
      </c>
      <c r="BB73" s="11">
        <f t="shared" si="42"/>
        <v>-6.6880631639341104E-3</v>
      </c>
      <c r="BC73" s="11">
        <f t="shared" si="42"/>
        <v>6.6094592132455943E-2</v>
      </c>
      <c r="BD73" s="11">
        <f t="shared" si="42"/>
        <v>2.1704369898187897E-2</v>
      </c>
      <c r="BE73" s="11">
        <f t="shared" si="42"/>
        <v>9.6130712939877169E-2</v>
      </c>
      <c r="BF73" s="11">
        <f t="shared" si="42"/>
        <v>-6.1392790800816423E-2</v>
      </c>
      <c r="BG73" s="11">
        <f t="shared" si="42"/>
        <v>2.0227913611408428E-2</v>
      </c>
      <c r="BH73" s="11">
        <f t="shared" si="42"/>
        <v>2.2931030956803666E-2</v>
      </c>
      <c r="BI73" s="11">
        <f t="shared" si="42"/>
        <v>-4.290750101127655E-2</v>
      </c>
      <c r="BJ73" s="11">
        <f t="shared" si="42"/>
        <v>4.0715151288956065E-2</v>
      </c>
      <c r="BK73" s="11">
        <f t="shared" si="42"/>
        <v>1.9094175054733823E-2</v>
      </c>
      <c r="BL73" s="11">
        <f t="shared" si="42"/>
        <v>-7.7160375013687429E-2</v>
      </c>
      <c r="BM73" s="11">
        <f t="shared" si="42"/>
        <v>-7.5299483068789683E-2</v>
      </c>
      <c r="BN73" s="11">
        <f t="shared" si="42"/>
        <v>4.249768143665047E-3</v>
      </c>
      <c r="BO73" s="11">
        <f t="shared" si="42"/>
        <v>-2.5083385135324848E-2</v>
      </c>
      <c r="BP73" s="11">
        <f t="shared" si="42"/>
        <v>-1.1289075412545401E-2</v>
      </c>
      <c r="BQ73" s="11">
        <f t="shared" si="42"/>
        <v>-7.3712064497096974E-3</v>
      </c>
      <c r="BR73" s="11">
        <f t="shared" si="42"/>
        <v>-1.0513520762013586E-2</v>
      </c>
      <c r="BS73" s="11">
        <f t="shared" si="42"/>
        <v>8.1080136587209126E-2</v>
      </c>
      <c r="BT73" s="11">
        <f t="shared" si="42"/>
        <v>1.8285510091534167E-2</v>
      </c>
      <c r="BU73" s="11">
        <f t="shared" si="42"/>
        <v>2.3051091686381163E-2</v>
      </c>
      <c r="BV73" s="11">
        <f t="shared" si="42"/>
        <v>-0.12367872383996602</v>
      </c>
      <c r="BW73" s="11">
        <f t="shared" si="42"/>
        <v>-0.14986086797195311</v>
      </c>
      <c r="BX73" s="11">
        <f t="shared" si="42"/>
        <v>3.4627058393911621E-2</v>
      </c>
      <c r="BY73" s="11">
        <f t="shared" si="42"/>
        <v>-3.959048585448182E-2</v>
      </c>
      <c r="BZ73" s="11">
        <f t="shared" ref="BZ73:DE73" si="43">LN(BZ11/BZ10)</f>
        <v>4.1249023827236164E-2</v>
      </c>
      <c r="CA73" s="11">
        <f t="shared" si="43"/>
        <v>3.0029440030068119E-2</v>
      </c>
      <c r="CB73" s="11">
        <f t="shared" si="43"/>
        <v>9.6507230055609631E-3</v>
      </c>
      <c r="CC73" s="11">
        <f t="shared" si="43"/>
        <v>2.2329803047372474E-3</v>
      </c>
      <c r="CD73" s="11">
        <f t="shared" si="43"/>
        <v>5.1672031928387388E-2</v>
      </c>
      <c r="CE73" s="11">
        <f t="shared" si="43"/>
        <v>8.5835972721747117E-2</v>
      </c>
      <c r="CF73" s="11">
        <f t="shared" si="43"/>
        <v>8.9228619018670116E-2</v>
      </c>
      <c r="CG73" s="11">
        <f t="shared" si="43"/>
        <v>3.0878796858536634E-2</v>
      </c>
      <c r="CH73" s="11">
        <f t="shared" si="43"/>
        <v>2.3365151706850412E-2</v>
      </c>
      <c r="CI73" s="11">
        <f t="shared" si="43"/>
        <v>2.3223498840587945E-2</v>
      </c>
      <c r="CJ73" s="11">
        <f t="shared" si="43"/>
        <v>-2.6380247300096381E-2</v>
      </c>
      <c r="CK73" s="11">
        <f t="shared" si="43"/>
        <v>2.1029146124032418E-2</v>
      </c>
      <c r="CL73" s="11">
        <f t="shared" si="43"/>
        <v>4.4494866344742208E-2</v>
      </c>
      <c r="CM73" s="11">
        <f t="shared" si="43"/>
        <v>1.7573857594210291E-3</v>
      </c>
      <c r="CN73" s="11">
        <f t="shared" si="43"/>
        <v>-2.1243398885818207E-2</v>
      </c>
      <c r="CO73" s="11">
        <f t="shared" si="43"/>
        <v>-2.292534742481946E-2</v>
      </c>
      <c r="CP73" s="11">
        <f t="shared" si="43"/>
        <v>2.7940636867336197E-2</v>
      </c>
      <c r="CQ73" s="11">
        <f t="shared" si="43"/>
        <v>1.8737676832589801E-3</v>
      </c>
      <c r="CR73" s="11">
        <f t="shared" si="43"/>
        <v>1.2955142686639002E-2</v>
      </c>
      <c r="CS73" s="11">
        <f t="shared" si="43"/>
        <v>-1.6927108218927404E-2</v>
      </c>
      <c r="CT73" s="11">
        <f t="shared" si="43"/>
        <v>3.3595357362379362E-2</v>
      </c>
      <c r="CU73" s="11">
        <f t="shared" si="43"/>
        <v>0.10266528093426616</v>
      </c>
      <c r="CV73" s="11">
        <f t="shared" si="43"/>
        <v>-2.71616394964497E-3</v>
      </c>
      <c r="CW73" s="11">
        <f t="shared" si="43"/>
        <v>-4.1361533462683238E-2</v>
      </c>
      <c r="CX73" s="11">
        <f t="shared" si="43"/>
        <v>-0.21712083215929459</v>
      </c>
      <c r="CY73" s="11">
        <f t="shared" si="43"/>
        <v>-0.26590834474549097</v>
      </c>
      <c r="CZ73" s="11">
        <f t="shared" si="43"/>
        <v>3.0335996609139472E-2</v>
      </c>
      <c r="DA73" s="11">
        <f t="shared" si="43"/>
        <v>-0.37698021009947791</v>
      </c>
      <c r="DB73" s="11">
        <f t="shared" si="43"/>
        <v>-0.19169871860655166</v>
      </c>
      <c r="DC73" s="11">
        <f t="shared" si="43"/>
        <v>0.29974519564741386</v>
      </c>
      <c r="DD73" s="11">
        <f t="shared" si="43"/>
        <v>-3.2909677627058022E-2</v>
      </c>
      <c r="DE73" s="11">
        <f t="shared" si="43"/>
        <v>8.121852786191E-3</v>
      </c>
      <c r="DF73" s="11">
        <f t="shared" ref="DF73:DU73" si="44">LN(DF11/DF10)</f>
        <v>-0.11892449521774401</v>
      </c>
      <c r="DG73" s="11">
        <f t="shared" si="44"/>
        <v>5.2405847812154134E-2</v>
      </c>
      <c r="DH73" s="11">
        <f t="shared" si="44"/>
        <v>1.9590003008089597E-2</v>
      </c>
      <c r="DI73" s="11">
        <f t="shared" si="44"/>
        <v>-8.5840042701493448E-3</v>
      </c>
      <c r="DJ73" s="11">
        <f t="shared" si="44"/>
        <v>4.5530282335401365E-2</v>
      </c>
      <c r="DK73" s="11">
        <f t="shared" si="44"/>
        <v>3.157086726040937E-2</v>
      </c>
      <c r="DL73" s="11">
        <f t="shared" si="44"/>
        <v>2.1818188913017234E-2</v>
      </c>
      <c r="DM73" s="11">
        <f t="shared" si="44"/>
        <v>4.9778443777055141E-2</v>
      </c>
      <c r="DN73" s="11">
        <f t="shared" si="44"/>
        <v>2.0539531654360156E-2</v>
      </c>
      <c r="DO73" s="11">
        <f t="shared" si="44"/>
        <v>4.6233478052254466E-2</v>
      </c>
      <c r="DP73" s="11">
        <f t="shared" si="44"/>
        <v>4.2895412834494773E-2</v>
      </c>
      <c r="DQ73" s="11">
        <f t="shared" si="44"/>
        <v>7.6598560088365936E-2</v>
      </c>
      <c r="DR73" s="11">
        <f t="shared" si="44"/>
        <v>4.106490306730054E-2</v>
      </c>
      <c r="DS73" s="11">
        <f t="shared" si="44"/>
        <v>-0.39044375221410116</v>
      </c>
      <c r="DT73" s="11">
        <f t="shared" si="44"/>
        <v>4.8090149513882234E-2</v>
      </c>
      <c r="DU73" s="11">
        <f t="shared" si="44"/>
        <v>-5.5571577258499609E-3</v>
      </c>
      <c r="DV73" s="11">
        <f t="shared" si="13"/>
        <v>3.182708770864872E-2</v>
      </c>
      <c r="DW73" s="11">
        <f t="shared" si="14"/>
        <v>-0.11145990906540093</v>
      </c>
      <c r="DX73" s="11">
        <f t="shared" si="14"/>
        <v>0.20118856619706749</v>
      </c>
      <c r="DY73" s="11">
        <f t="shared" si="14"/>
        <v>2.8931877722921485E-2</v>
      </c>
      <c r="DZ73" s="11">
        <f t="shared" si="14"/>
        <v>2.67727722495447E-3</v>
      </c>
    </row>
    <row r="74" spans="1:130" ht="15">
      <c r="A74" s="8">
        <v>42948</v>
      </c>
      <c r="B74" s="11">
        <f t="shared" si="6"/>
        <v>-2.640988144834505E-3</v>
      </c>
      <c r="C74" s="11">
        <f t="shared" si="6"/>
        <v>2.2659889009214364E-2</v>
      </c>
      <c r="D74" s="11">
        <f t="shared" si="7"/>
        <v>-1.6712818904481189E-2</v>
      </c>
      <c r="E74" s="11">
        <f t="shared" si="7"/>
        <v>8.3220230718911617E-2</v>
      </c>
      <c r="F74" s="11">
        <f t="shared" si="7"/>
        <v>-3.1288035590909329E-4</v>
      </c>
      <c r="G74" s="11">
        <f t="shared" si="7"/>
        <v>1.850860226927312E-2</v>
      </c>
      <c r="H74" s="11">
        <f t="shared" si="7"/>
        <v>6.7972239974992688E-2</v>
      </c>
      <c r="I74" s="11">
        <f t="shared" ref="I74:M74" si="45">LN(I12/I11)</f>
        <v>6.4046617813701481E-2</v>
      </c>
      <c r="J74" s="11">
        <f t="shared" si="45"/>
        <v>0.16217949887499772</v>
      </c>
      <c r="K74" s="11">
        <f t="shared" si="45"/>
        <v>-6.8559570823142485E-2</v>
      </c>
      <c r="L74" s="11">
        <f t="shared" si="45"/>
        <v>0.11341983005833491</v>
      </c>
      <c r="M74" s="11">
        <f t="shared" si="45"/>
        <v>7.9232055447990307E-2</v>
      </c>
      <c r="N74" s="11">
        <f t="shared" ref="N74:AS74" si="46">LN(N12/N11)</f>
        <v>5.8758458320459075E-2</v>
      </c>
      <c r="O74" s="11">
        <f t="shared" si="46"/>
        <v>5.4351884272527594E-2</v>
      </c>
      <c r="P74" s="11">
        <f t="shared" si="46"/>
        <v>3.629685059059775E-2</v>
      </c>
      <c r="Q74" s="11">
        <f t="shared" si="46"/>
        <v>-2.6458443759185254E-2</v>
      </c>
      <c r="R74" s="11">
        <f t="shared" si="46"/>
        <v>5.1443574082117652E-2</v>
      </c>
      <c r="S74" s="11">
        <f t="shared" si="46"/>
        <v>1.0682738261439487E-2</v>
      </c>
      <c r="T74" s="11">
        <f t="shared" si="46"/>
        <v>4.0680323874283116E-2</v>
      </c>
      <c r="U74" s="11">
        <f t="shared" si="46"/>
        <v>-3.5519690334462346E-2</v>
      </c>
      <c r="V74" s="11">
        <f t="shared" si="46"/>
        <v>-3.9732965561556977E-2</v>
      </c>
      <c r="W74" s="11">
        <f t="shared" si="46"/>
        <v>0.17388065294518526</v>
      </c>
      <c r="X74" s="11">
        <f t="shared" si="46"/>
        <v>2.8749621501849578E-3</v>
      </c>
      <c r="Y74" s="11">
        <f t="shared" si="46"/>
        <v>-0.21395299290096795</v>
      </c>
      <c r="Z74" s="11">
        <f t="shared" si="46"/>
        <v>-9.7797169043242899E-3</v>
      </c>
      <c r="AA74" s="11">
        <f t="shared" si="46"/>
        <v>6.8387418844644152E-2</v>
      </c>
      <c r="AB74" s="11">
        <f t="shared" si="46"/>
        <v>5.947308441003437E-3</v>
      </c>
      <c r="AC74" s="11">
        <f t="shared" si="46"/>
        <v>2.5466385085747556E-2</v>
      </c>
      <c r="AD74" s="11">
        <f t="shared" si="46"/>
        <v>2.807548607092792E-2</v>
      </c>
      <c r="AE74" s="11">
        <f t="shared" si="46"/>
        <v>5.7499675830087776E-2</v>
      </c>
      <c r="AF74" s="11">
        <f t="shared" si="46"/>
        <v>1.174428807738878E-2</v>
      </c>
      <c r="AG74" s="11">
        <f t="shared" si="46"/>
        <v>4.9057546344096023E-2</v>
      </c>
      <c r="AH74" s="11">
        <f t="shared" si="46"/>
        <v>3.4352998570622358E-2</v>
      </c>
      <c r="AI74" s="11">
        <f t="shared" si="46"/>
        <v>2.5181888893008562E-2</v>
      </c>
      <c r="AJ74" s="11">
        <f t="shared" si="46"/>
        <v>2.1211157148133653E-4</v>
      </c>
      <c r="AK74" s="11">
        <f t="shared" si="46"/>
        <v>-3.3134317108501121E-2</v>
      </c>
      <c r="AL74" s="11">
        <f t="shared" si="46"/>
        <v>-1.141060979217836E-2</v>
      </c>
      <c r="AM74" s="11">
        <f t="shared" si="46"/>
        <v>4.1759520583170985E-2</v>
      </c>
      <c r="AN74" s="11">
        <f t="shared" si="46"/>
        <v>-1.1341535196162456E-2</v>
      </c>
      <c r="AO74" s="11">
        <f t="shared" si="46"/>
        <v>2.1696042094697474E-2</v>
      </c>
      <c r="AP74" s="11">
        <f t="shared" si="46"/>
        <v>2.3617193843521383E-2</v>
      </c>
      <c r="AQ74" s="11">
        <f t="shared" si="46"/>
        <v>-1.7447703518857032E-2</v>
      </c>
      <c r="AR74" s="11">
        <f t="shared" si="46"/>
        <v>-4.585545920183793E-2</v>
      </c>
      <c r="AS74" s="11">
        <f t="shared" si="46"/>
        <v>0.12831670331208672</v>
      </c>
      <c r="AT74" s="11">
        <f t="shared" ref="AT74:BY74" si="47">LN(AT12/AT11)</f>
        <v>5.7305986041897246E-2</v>
      </c>
      <c r="AU74" s="11">
        <f t="shared" si="47"/>
        <v>2.3557722819420299E-2</v>
      </c>
      <c r="AV74" s="11">
        <f t="shared" si="47"/>
        <v>8.1080160779477745E-2</v>
      </c>
      <c r="AW74" s="11">
        <f t="shared" si="47"/>
        <v>4.3310375148827608E-2</v>
      </c>
      <c r="AX74" s="11">
        <f t="shared" si="47"/>
        <v>4.6617099560999804E-3</v>
      </c>
      <c r="AY74" s="11">
        <f t="shared" si="47"/>
        <v>9.7733922431546535E-2</v>
      </c>
      <c r="AZ74" s="11">
        <f t="shared" si="47"/>
        <v>5.0362244354863514E-2</v>
      </c>
      <c r="BA74" s="11">
        <f t="shared" si="47"/>
        <v>5.0663852328644218E-2</v>
      </c>
      <c r="BB74" s="11">
        <f t="shared" si="47"/>
        <v>2.5765919441761032E-2</v>
      </c>
      <c r="BC74" s="11">
        <f t="shared" si="47"/>
        <v>-1.7708164365344371E-2</v>
      </c>
      <c r="BD74" s="11">
        <f t="shared" si="47"/>
        <v>3.5463567270476257E-3</v>
      </c>
      <c r="BE74" s="11">
        <f t="shared" si="47"/>
        <v>-1.0477220146191684E-3</v>
      </c>
      <c r="BF74" s="11">
        <f t="shared" si="47"/>
        <v>-1.1401342471344925E-2</v>
      </c>
      <c r="BG74" s="11">
        <f t="shared" si="47"/>
        <v>-7.2953716708524527E-3</v>
      </c>
      <c r="BH74" s="11">
        <f t="shared" si="47"/>
        <v>1.1132905383326286E-2</v>
      </c>
      <c r="BI74" s="11">
        <f t="shared" si="47"/>
        <v>0.13030769129211012</v>
      </c>
      <c r="BJ74" s="11">
        <f t="shared" si="47"/>
        <v>1.5444600116569999E-2</v>
      </c>
      <c r="BK74" s="11">
        <f t="shared" si="47"/>
        <v>3.0658430088778499E-2</v>
      </c>
      <c r="BL74" s="11">
        <f t="shared" si="47"/>
        <v>1.6170910454228943E-2</v>
      </c>
      <c r="BM74" s="11">
        <f t="shared" si="47"/>
        <v>-1.4556596965712819E-2</v>
      </c>
      <c r="BN74" s="11">
        <f t="shared" si="47"/>
        <v>-0.11168388939490762</v>
      </c>
      <c r="BO74" s="11">
        <f t="shared" si="47"/>
        <v>1.803204700554403E-3</v>
      </c>
      <c r="BP74" s="11">
        <f t="shared" si="47"/>
        <v>2.6411114352532055E-2</v>
      </c>
      <c r="BQ74" s="11">
        <f t="shared" si="47"/>
        <v>-4.6656502102860466E-2</v>
      </c>
      <c r="BR74" s="11">
        <f t="shared" si="47"/>
        <v>3.7498904271775893E-2</v>
      </c>
      <c r="BS74" s="11">
        <f t="shared" si="47"/>
        <v>-9.0987271829044633E-2</v>
      </c>
      <c r="BT74" s="11">
        <f t="shared" si="47"/>
        <v>3.9635160459237116E-2</v>
      </c>
      <c r="BU74" s="11">
        <f t="shared" si="47"/>
        <v>2.1661244196369937E-2</v>
      </c>
      <c r="BV74" s="11">
        <f t="shared" si="47"/>
        <v>-2.2997356989571525E-2</v>
      </c>
      <c r="BW74" s="11">
        <f t="shared" si="47"/>
        <v>-0.24747261302350596</v>
      </c>
      <c r="BX74" s="11">
        <f t="shared" si="47"/>
        <v>5.8652095680488334E-2</v>
      </c>
      <c r="BY74" s="11">
        <f t="shared" si="47"/>
        <v>-0.13464117488342134</v>
      </c>
      <c r="BZ74" s="11">
        <f t="shared" ref="BZ74:DE74" si="48">LN(BZ12/BZ11)</f>
        <v>2.3654340302353201E-2</v>
      </c>
      <c r="CA74" s="11">
        <f t="shared" si="48"/>
        <v>-6.3463095130101089E-3</v>
      </c>
      <c r="CB74" s="11">
        <f t="shared" si="48"/>
        <v>-7.5744356614277667E-3</v>
      </c>
      <c r="CC74" s="11">
        <f t="shared" si="48"/>
        <v>1.8830761847111355E-3</v>
      </c>
      <c r="CD74" s="11">
        <f t="shared" si="48"/>
        <v>2.1181413662421031E-2</v>
      </c>
      <c r="CE74" s="11">
        <f t="shared" si="48"/>
        <v>2.8985143020529385E-2</v>
      </c>
      <c r="CF74" s="11">
        <f t="shared" si="48"/>
        <v>-1.9161198711073784E-2</v>
      </c>
      <c r="CG74" s="11">
        <f t="shared" si="48"/>
        <v>7.7716753647769823E-2</v>
      </c>
      <c r="CH74" s="11">
        <f t="shared" si="48"/>
        <v>-7.9399024226915763E-2</v>
      </c>
      <c r="CI74" s="11">
        <f t="shared" si="48"/>
        <v>1.4975540207468265E-3</v>
      </c>
      <c r="CJ74" s="11">
        <f t="shared" si="48"/>
        <v>-2.233109813633827E-3</v>
      </c>
      <c r="CK74" s="11">
        <f t="shared" si="48"/>
        <v>-7.9823729340488578E-2</v>
      </c>
      <c r="CL74" s="11">
        <f t="shared" si="48"/>
        <v>7.5006938013075595E-3</v>
      </c>
      <c r="CM74" s="11">
        <f t="shared" si="48"/>
        <v>-0.10055806642776181</v>
      </c>
      <c r="CN74" s="11">
        <f t="shared" si="48"/>
        <v>-3.806843861196909E-2</v>
      </c>
      <c r="CO74" s="11">
        <f t="shared" si="48"/>
        <v>3.0845314658914423E-3</v>
      </c>
      <c r="CP74" s="11">
        <f t="shared" si="48"/>
        <v>-6.1456892857087386E-2</v>
      </c>
      <c r="CQ74" s="11">
        <f t="shared" si="48"/>
        <v>4.3449854527522432E-2</v>
      </c>
      <c r="CR74" s="11">
        <f t="shared" si="48"/>
        <v>-0.12720759242323382</v>
      </c>
      <c r="CS74" s="11">
        <f t="shared" si="48"/>
        <v>-8.7977374595430535E-2</v>
      </c>
      <c r="CT74" s="11">
        <f t="shared" si="48"/>
        <v>-2.5181186630159696E-2</v>
      </c>
      <c r="CU74" s="11">
        <f t="shared" si="48"/>
        <v>0.1926291670835146</v>
      </c>
      <c r="CV74" s="11">
        <f t="shared" si="48"/>
        <v>3.623816310734361E-2</v>
      </c>
      <c r="CW74" s="11">
        <f t="shared" si="48"/>
        <v>3.0068109733940498E-2</v>
      </c>
      <c r="CX74" s="11">
        <f t="shared" si="48"/>
        <v>0.15382070127286987</v>
      </c>
      <c r="CY74" s="11">
        <f t="shared" si="48"/>
        <v>7.4108565560321735E-2</v>
      </c>
      <c r="CZ74" s="11">
        <f t="shared" si="48"/>
        <v>0.11112078583096703</v>
      </c>
      <c r="DA74" s="11">
        <f t="shared" si="48"/>
        <v>0.10755590622126181</v>
      </c>
      <c r="DB74" s="11">
        <f t="shared" si="48"/>
        <v>-0.2827592609885643</v>
      </c>
      <c r="DC74" s="11">
        <f t="shared" si="48"/>
        <v>6.6111085605392014E-2</v>
      </c>
      <c r="DD74" s="11">
        <f t="shared" si="48"/>
        <v>-8.5322982603235661E-2</v>
      </c>
      <c r="DE74" s="11">
        <f t="shared" si="48"/>
        <v>4.0759278770214319E-2</v>
      </c>
      <c r="DF74" s="11">
        <f t="shared" ref="DF74:DU74" si="49">LN(DF12/DF11)</f>
        <v>0.12152866335613172</v>
      </c>
      <c r="DG74" s="11">
        <f t="shared" si="49"/>
        <v>4.3072980276574101E-2</v>
      </c>
      <c r="DH74" s="11">
        <f t="shared" si="49"/>
        <v>-2.8954619939132571E-2</v>
      </c>
      <c r="DI74" s="11">
        <f t="shared" si="49"/>
        <v>-4.7460338437909699E-2</v>
      </c>
      <c r="DJ74" s="11">
        <f t="shared" si="49"/>
        <v>-1.4482833599222287E-2</v>
      </c>
      <c r="DK74" s="11">
        <f t="shared" si="49"/>
        <v>-3.2330787239821759E-2</v>
      </c>
      <c r="DL74" s="11">
        <f t="shared" si="49"/>
        <v>-0.22952548167660808</v>
      </c>
      <c r="DM74" s="11">
        <f t="shared" si="49"/>
        <v>-0.11095920320400353</v>
      </c>
      <c r="DN74" s="11">
        <f t="shared" si="49"/>
        <v>-0.13539335786129147</v>
      </c>
      <c r="DO74" s="11">
        <f t="shared" si="49"/>
        <v>-3.6672631792593766E-2</v>
      </c>
      <c r="DP74" s="11">
        <f t="shared" si="49"/>
        <v>-5.9049779596076726E-2</v>
      </c>
      <c r="DQ74" s="11">
        <f t="shared" si="49"/>
        <v>-5.454857486094089E-2</v>
      </c>
      <c r="DR74" s="11">
        <f t="shared" si="49"/>
        <v>-7.7095010326745039E-2</v>
      </c>
      <c r="DS74" s="11">
        <f t="shared" si="49"/>
        <v>0.27701570567214545</v>
      </c>
      <c r="DT74" s="11">
        <f t="shared" si="49"/>
        <v>-9.9770108300100899E-2</v>
      </c>
      <c r="DU74" s="11">
        <f t="shared" si="49"/>
        <v>-6.4395605021976263E-2</v>
      </c>
      <c r="DV74" s="11">
        <f t="shared" si="13"/>
        <v>-0.23686654240899263</v>
      </c>
      <c r="DW74" s="11">
        <f t="shared" si="14"/>
        <v>9.5543418578658806E-2</v>
      </c>
      <c r="DX74" s="11">
        <f t="shared" si="14"/>
        <v>8.4719511469248318E-2</v>
      </c>
      <c r="DY74" s="11">
        <f t="shared" si="14"/>
        <v>8.5606066356690002E-3</v>
      </c>
      <c r="DZ74" s="11">
        <f t="shared" si="14"/>
        <v>-4.3181834102556721E-3</v>
      </c>
    </row>
    <row r="75" spans="1:130" ht="15">
      <c r="A75" s="8">
        <v>42979</v>
      </c>
      <c r="B75" s="11">
        <f t="shared" si="6"/>
        <v>-1.1648692521644976E-2</v>
      </c>
      <c r="C75" s="11">
        <f t="shared" si="6"/>
        <v>6.086666642428188E-2</v>
      </c>
      <c r="D75" s="11">
        <f t="shared" si="7"/>
        <v>5.731865960637756E-2</v>
      </c>
      <c r="E75" s="11">
        <f t="shared" si="7"/>
        <v>0.16558180207740833</v>
      </c>
      <c r="F75" s="11">
        <f t="shared" si="7"/>
        <v>2.6584186761266478E-3</v>
      </c>
      <c r="G75" s="11">
        <f t="shared" si="7"/>
        <v>5.4394300063369212E-2</v>
      </c>
      <c r="H75" s="11">
        <f t="shared" si="7"/>
        <v>5.2499698934883314E-2</v>
      </c>
      <c r="I75" s="11">
        <f t="shared" ref="I75:M75" si="50">LN(I13/I12)</f>
        <v>1.0947718975320674E-2</v>
      </c>
      <c r="J75" s="11">
        <f t="shared" si="50"/>
        <v>-2.6063012178370249E-2</v>
      </c>
      <c r="K75" s="11">
        <f t="shared" si="50"/>
        <v>3.8595137491831801E-4</v>
      </c>
      <c r="L75" s="11">
        <f t="shared" si="50"/>
        <v>-0.42188384118239081</v>
      </c>
      <c r="M75" s="11">
        <f t="shared" si="50"/>
        <v>-8.0674528505045671E-3</v>
      </c>
      <c r="N75" s="11">
        <f t="shared" ref="N75:AS75" si="51">LN(N13/N12)</f>
        <v>-1.0047180278942429E-2</v>
      </c>
      <c r="O75" s="11">
        <f t="shared" si="51"/>
        <v>3.4228722198883357E-2</v>
      </c>
      <c r="P75" s="11">
        <f t="shared" si="51"/>
        <v>-1.5453099602807838E-2</v>
      </c>
      <c r="Q75" s="11">
        <f t="shared" si="51"/>
        <v>5.0180559383004378E-2</v>
      </c>
      <c r="R75" s="11">
        <f t="shared" si="51"/>
        <v>-3.1926496584438323E-2</v>
      </c>
      <c r="S75" s="11">
        <f t="shared" si="51"/>
        <v>-0.10556178364683209</v>
      </c>
      <c r="T75" s="11">
        <f t="shared" si="51"/>
        <v>4.6412785456398861E-2</v>
      </c>
      <c r="U75" s="11">
        <f t="shared" si="51"/>
        <v>-3.5991234983202981E-2</v>
      </c>
      <c r="V75" s="11">
        <f t="shared" si="51"/>
        <v>4.5881811941862983E-3</v>
      </c>
      <c r="W75" s="11">
        <f t="shared" si="51"/>
        <v>-3.3742888454735588E-2</v>
      </c>
      <c r="X75" s="11">
        <f t="shared" si="51"/>
        <v>1.676436361067718E-2</v>
      </c>
      <c r="Y75" s="11">
        <f t="shared" si="51"/>
        <v>-3.5002079674036034E-3</v>
      </c>
      <c r="Z75" s="11">
        <f t="shared" si="51"/>
        <v>-1.7653702298124987E-2</v>
      </c>
      <c r="AA75" s="11">
        <f t="shared" si="51"/>
        <v>4.0199602540762575E-2</v>
      </c>
      <c r="AB75" s="11">
        <f t="shared" si="51"/>
        <v>-3.2586208177054037E-3</v>
      </c>
      <c r="AC75" s="11">
        <f t="shared" si="51"/>
        <v>1.3988152972794588E-2</v>
      </c>
      <c r="AD75" s="11">
        <f t="shared" si="51"/>
        <v>1.5618435306936076E-3</v>
      </c>
      <c r="AE75" s="11">
        <f t="shared" si="51"/>
        <v>-3.9303212044749153E-2</v>
      </c>
      <c r="AF75" s="11">
        <f t="shared" si="51"/>
        <v>-4.0135218033570688E-2</v>
      </c>
      <c r="AG75" s="11">
        <f t="shared" si="51"/>
        <v>1.3668843383254918E-3</v>
      </c>
      <c r="AH75" s="11">
        <f t="shared" si="51"/>
        <v>-6.3770927505799768E-2</v>
      </c>
      <c r="AI75" s="11">
        <f t="shared" si="51"/>
        <v>2.5127428417466964E-2</v>
      </c>
      <c r="AJ75" s="11">
        <f t="shared" si="51"/>
        <v>3.2755614322175199E-2</v>
      </c>
      <c r="AK75" s="11">
        <f t="shared" si="51"/>
        <v>9.2856957885540062E-2</v>
      </c>
      <c r="AL75" s="11">
        <f t="shared" si="51"/>
        <v>9.8358715777362056E-3</v>
      </c>
      <c r="AM75" s="11">
        <f t="shared" si="51"/>
        <v>5.4481372470710727E-2</v>
      </c>
      <c r="AN75" s="11">
        <f t="shared" si="51"/>
        <v>8.9822087998919234E-2</v>
      </c>
      <c r="AO75" s="11">
        <f t="shared" si="51"/>
        <v>-3.8540133109330126E-2</v>
      </c>
      <c r="AP75" s="11">
        <f t="shared" si="51"/>
        <v>7.9131846945562967E-2</v>
      </c>
      <c r="AQ75" s="11">
        <f t="shared" si="51"/>
        <v>2.7551678979090919E-3</v>
      </c>
      <c r="AR75" s="11">
        <f t="shared" si="51"/>
        <v>-1.9418085857101627E-2</v>
      </c>
      <c r="AS75" s="11">
        <f t="shared" si="51"/>
        <v>0.20718973877267644</v>
      </c>
      <c r="AT75" s="11">
        <f t="shared" ref="AT75:BY75" si="52">LN(AT13/AT12)</f>
        <v>2.944155863888433E-2</v>
      </c>
      <c r="AU75" s="11">
        <f t="shared" si="52"/>
        <v>1.1501551676904081E-3</v>
      </c>
      <c r="AV75" s="11">
        <f t="shared" si="52"/>
        <v>3.8066030675968324E-2</v>
      </c>
      <c r="AW75" s="11">
        <f t="shared" si="52"/>
        <v>7.5217526486332564E-2</v>
      </c>
      <c r="AX75" s="11">
        <f t="shared" si="52"/>
        <v>-3.024238154549164E-2</v>
      </c>
      <c r="AY75" s="11">
        <f t="shared" si="52"/>
        <v>-5.8215441657417773E-2</v>
      </c>
      <c r="AZ75" s="11">
        <f t="shared" si="52"/>
        <v>-2.1916074888149097E-2</v>
      </c>
      <c r="BA75" s="11">
        <f t="shared" si="52"/>
        <v>1.1466837949992342E-2</v>
      </c>
      <c r="BB75" s="11">
        <f t="shared" si="52"/>
        <v>4.6846549085210673E-2</v>
      </c>
      <c r="BC75" s="11">
        <f t="shared" si="52"/>
        <v>1.9389846443349797E-2</v>
      </c>
      <c r="BD75" s="11">
        <f t="shared" si="52"/>
        <v>8.6855775304510663E-2</v>
      </c>
      <c r="BE75" s="11">
        <f t="shared" si="52"/>
        <v>4.5089559531968193E-2</v>
      </c>
      <c r="BF75" s="11">
        <f t="shared" si="52"/>
        <v>2.4741712182165462E-2</v>
      </c>
      <c r="BG75" s="11">
        <f t="shared" si="52"/>
        <v>-1.9826082598787338E-2</v>
      </c>
      <c r="BH75" s="11">
        <f t="shared" si="52"/>
        <v>6.2495227810316661E-2</v>
      </c>
      <c r="BI75" s="11">
        <f t="shared" si="52"/>
        <v>3.0679097784767347E-2</v>
      </c>
      <c r="BJ75" s="11">
        <f t="shared" si="52"/>
        <v>9.9927135208301848E-2</v>
      </c>
      <c r="BK75" s="11">
        <f t="shared" si="52"/>
        <v>-1.4865820316344864E-2</v>
      </c>
      <c r="BL75" s="11">
        <f t="shared" si="52"/>
        <v>-1.668131435235851E-2</v>
      </c>
      <c r="BM75" s="11">
        <f t="shared" si="52"/>
        <v>-4.1156996306512893E-2</v>
      </c>
      <c r="BN75" s="11">
        <f t="shared" si="52"/>
        <v>-1.4915191335401461E-2</v>
      </c>
      <c r="BO75" s="11">
        <f t="shared" si="52"/>
        <v>9.3307552675864533E-2</v>
      </c>
      <c r="BP75" s="11">
        <f t="shared" si="52"/>
        <v>1.9992573006837561E-2</v>
      </c>
      <c r="BQ75" s="11">
        <f t="shared" si="52"/>
        <v>3.479641341141726E-2</v>
      </c>
      <c r="BR75" s="11">
        <f t="shared" si="52"/>
        <v>-5.803374942313793E-2</v>
      </c>
      <c r="BS75" s="11">
        <f t="shared" si="52"/>
        <v>-1.1545377911490622E-2</v>
      </c>
      <c r="BT75" s="11">
        <f t="shared" si="52"/>
        <v>-6.7414439152184355E-2</v>
      </c>
      <c r="BU75" s="11">
        <f t="shared" si="52"/>
        <v>-4.2684012573718538E-2</v>
      </c>
      <c r="BV75" s="11">
        <f t="shared" si="52"/>
        <v>8.5607104525158989E-2</v>
      </c>
      <c r="BW75" s="11">
        <f t="shared" si="52"/>
        <v>0.15401577684420278</v>
      </c>
      <c r="BX75" s="11">
        <f t="shared" si="52"/>
        <v>6.6620770127555962E-2</v>
      </c>
      <c r="BY75" s="11">
        <f t="shared" si="52"/>
        <v>1.3191482042076035E-2</v>
      </c>
      <c r="BZ75" s="11">
        <f t="shared" ref="BZ75:DE75" si="53">LN(BZ13/BZ12)</f>
        <v>-1.4079457281253684E-2</v>
      </c>
      <c r="CA75" s="11">
        <f t="shared" si="53"/>
        <v>-1.1926297031397894E-2</v>
      </c>
      <c r="CB75" s="11">
        <f t="shared" si="53"/>
        <v>-3.0889999757239509E-2</v>
      </c>
      <c r="CC75" s="11">
        <f t="shared" si="53"/>
        <v>-5.1954973632997031E-2</v>
      </c>
      <c r="CD75" s="11">
        <f t="shared" si="53"/>
        <v>3.0087113639492742E-3</v>
      </c>
      <c r="CE75" s="11">
        <f t="shared" si="53"/>
        <v>-1.6599280076321865E-3</v>
      </c>
      <c r="CF75" s="11">
        <f t="shared" si="53"/>
        <v>7.8265540715863509E-3</v>
      </c>
      <c r="CG75" s="11">
        <f t="shared" si="53"/>
        <v>1.112679374100696E-2</v>
      </c>
      <c r="CH75" s="11">
        <f t="shared" si="53"/>
        <v>0</v>
      </c>
      <c r="CI75" s="11">
        <f t="shared" si="53"/>
        <v>1.9805904127651347E-2</v>
      </c>
      <c r="CJ75" s="11">
        <f t="shared" si="53"/>
        <v>1.6748826285751747E-2</v>
      </c>
      <c r="CK75" s="11">
        <f t="shared" si="53"/>
        <v>-3.3203423294737647E-2</v>
      </c>
      <c r="CL75" s="11">
        <f t="shared" si="53"/>
        <v>2.4011555547716112E-2</v>
      </c>
      <c r="CM75" s="11">
        <f t="shared" si="53"/>
        <v>4.4536528854404858E-2</v>
      </c>
      <c r="CN75" s="11">
        <f t="shared" si="53"/>
        <v>-4.0176813844460639E-2</v>
      </c>
      <c r="CO75" s="11">
        <f t="shared" si="53"/>
        <v>7.5983344071304124E-2</v>
      </c>
      <c r="CP75" s="11">
        <f t="shared" si="53"/>
        <v>-3.104523627712167E-2</v>
      </c>
      <c r="CQ75" s="11">
        <f t="shared" si="53"/>
        <v>-4.8966948579549752E-2</v>
      </c>
      <c r="CR75" s="11">
        <f t="shared" si="53"/>
        <v>1.3330490916645739E-2</v>
      </c>
      <c r="CS75" s="11">
        <f t="shared" si="53"/>
        <v>-0.11873646842414314</v>
      </c>
      <c r="CT75" s="11">
        <f t="shared" si="53"/>
        <v>-2.7702602549335823E-2</v>
      </c>
      <c r="CU75" s="11">
        <f t="shared" si="53"/>
        <v>-3.5952714231499101E-2</v>
      </c>
      <c r="CV75" s="11">
        <f t="shared" si="53"/>
        <v>5.6300841000783496E-2</v>
      </c>
      <c r="CW75" s="11">
        <f t="shared" si="53"/>
        <v>5.0924470177122906E-2</v>
      </c>
      <c r="CX75" s="11">
        <f t="shared" si="53"/>
        <v>5.0203591966579052E-2</v>
      </c>
      <c r="CY75" s="11">
        <f t="shared" si="53"/>
        <v>9.1007454063527383E-3</v>
      </c>
      <c r="CZ75" s="11">
        <f t="shared" si="53"/>
        <v>-2.5272103100715062E-2</v>
      </c>
      <c r="DA75" s="11">
        <f t="shared" si="53"/>
        <v>0.2152174860417892</v>
      </c>
      <c r="DB75" s="11">
        <f t="shared" si="53"/>
        <v>0.14903557916048796</v>
      </c>
      <c r="DC75" s="11">
        <f t="shared" si="53"/>
        <v>0.12211596196097539</v>
      </c>
      <c r="DD75" s="11">
        <f t="shared" si="53"/>
        <v>-4.0566026505372207E-3</v>
      </c>
      <c r="DE75" s="11">
        <f t="shared" si="53"/>
        <v>9.7310163101020183E-2</v>
      </c>
      <c r="DF75" s="11">
        <f t="shared" ref="DF75:DU75" si="54">LN(DF13/DF12)</f>
        <v>0.11067795247861141</v>
      </c>
      <c r="DG75" s="11">
        <f t="shared" si="54"/>
        <v>8.8696297354549383E-2</v>
      </c>
      <c r="DH75" s="11">
        <f t="shared" si="54"/>
        <v>7.3998244826020812E-2</v>
      </c>
      <c r="DI75" s="11">
        <f t="shared" si="54"/>
        <v>8.1055535911561172E-2</v>
      </c>
      <c r="DJ75" s="11">
        <f t="shared" si="54"/>
        <v>9.7829181903425405E-2</v>
      </c>
      <c r="DK75" s="11">
        <f t="shared" si="54"/>
        <v>0.13659024752906471</v>
      </c>
      <c r="DL75" s="11">
        <f t="shared" si="54"/>
        <v>0.12926093630531343</v>
      </c>
      <c r="DM75" s="11">
        <f t="shared" si="54"/>
        <v>0.12949340483735702</v>
      </c>
      <c r="DN75" s="11">
        <f t="shared" si="54"/>
        <v>0.18681009146078453</v>
      </c>
      <c r="DO75" s="11">
        <f t="shared" si="54"/>
        <v>7.2827074377207854E-2</v>
      </c>
      <c r="DP75" s="11">
        <f t="shared" si="54"/>
        <v>0.15624104320846038</v>
      </c>
      <c r="DQ75" s="11">
        <f t="shared" si="54"/>
        <v>7.6010061149609245E-2</v>
      </c>
      <c r="DR75" s="11">
        <f t="shared" si="54"/>
        <v>9.3863288151743898E-2</v>
      </c>
      <c r="DS75" s="11">
        <f t="shared" si="54"/>
        <v>8.2057000145800002E-2</v>
      </c>
      <c r="DT75" s="11">
        <f t="shared" si="54"/>
        <v>7.780631335556408E-2</v>
      </c>
      <c r="DU75" s="11">
        <f t="shared" si="54"/>
        <v>0.15270542396634817</v>
      </c>
      <c r="DV75" s="11">
        <f t="shared" si="13"/>
        <v>0.16483343709834478</v>
      </c>
      <c r="DW75" s="11">
        <f t="shared" si="14"/>
        <v>-4.2474103091547089E-2</v>
      </c>
      <c r="DX75" s="11">
        <f t="shared" si="14"/>
        <v>-3.5653213686261072E-2</v>
      </c>
      <c r="DY75" s="11">
        <f t="shared" si="14"/>
        <v>0.11010342376242437</v>
      </c>
      <c r="DZ75" s="11">
        <f t="shared" si="14"/>
        <v>8.1784539221258154E-2</v>
      </c>
    </row>
    <row r="76" spans="1:130" ht="15">
      <c r="A76" s="8">
        <v>43009</v>
      </c>
      <c r="B76" s="11">
        <f t="shared" si="6"/>
        <v>6.9808203371863914E-2</v>
      </c>
      <c r="C76" s="11">
        <f t="shared" si="6"/>
        <v>-1.8089916949454408E-2</v>
      </c>
      <c r="D76" s="11">
        <f t="shared" si="7"/>
        <v>-4.2996683539406541E-2</v>
      </c>
      <c r="E76" s="11">
        <f t="shared" si="7"/>
        <v>1.5521436913979962E-2</v>
      </c>
      <c r="F76" s="11">
        <f t="shared" si="7"/>
        <v>-0.14317639722452855</v>
      </c>
      <c r="G76" s="11">
        <f t="shared" si="7"/>
        <v>-6.2121350585213148E-2</v>
      </c>
      <c r="H76" s="11">
        <f t="shared" si="7"/>
        <v>-3.3177023829896422E-2</v>
      </c>
      <c r="I76" s="11">
        <f t="shared" ref="I76:M76" si="55">LN(I14/I13)</f>
        <v>2.4960640864338222E-2</v>
      </c>
      <c r="J76" s="11">
        <f t="shared" si="55"/>
        <v>2.9627034015158309E-2</v>
      </c>
      <c r="K76" s="11">
        <f t="shared" si="55"/>
        <v>6.6429939843397151E-2</v>
      </c>
      <c r="L76" s="11">
        <f t="shared" si="55"/>
        <v>-8.439510451841617E-2</v>
      </c>
      <c r="M76" s="11">
        <f t="shared" si="55"/>
        <v>5.7945761610689539E-2</v>
      </c>
      <c r="N76" s="11">
        <f t="shared" ref="N76:AS76" si="56">LN(N14/N13)</f>
        <v>0.12844326227422362</v>
      </c>
      <c r="O76" s="11">
        <f t="shared" si="56"/>
        <v>8.6347055614722043E-2</v>
      </c>
      <c r="P76" s="11">
        <f t="shared" si="56"/>
        <v>7.4593189427068191E-2</v>
      </c>
      <c r="Q76" s="11">
        <f t="shared" si="56"/>
        <v>-0.17112033748557526</v>
      </c>
      <c r="R76" s="11">
        <f t="shared" si="56"/>
        <v>0.10056751775421895</v>
      </c>
      <c r="S76" s="11">
        <f t="shared" si="56"/>
        <v>-0.10483382589076035</v>
      </c>
      <c r="T76" s="11">
        <f t="shared" si="56"/>
        <v>1.6173043493620212E-2</v>
      </c>
      <c r="U76" s="11">
        <f t="shared" si="56"/>
        <v>4.0677062688018691E-2</v>
      </c>
      <c r="V76" s="11">
        <f t="shared" si="56"/>
        <v>8.9637421621779775E-2</v>
      </c>
      <c r="W76" s="11">
        <f t="shared" si="56"/>
        <v>6.4742032491858947E-2</v>
      </c>
      <c r="X76" s="11">
        <f t="shared" si="56"/>
        <v>9.4064662057379228E-4</v>
      </c>
      <c r="Y76" s="11">
        <f t="shared" si="56"/>
        <v>0.12957847146643942</v>
      </c>
      <c r="Z76" s="11">
        <f t="shared" si="56"/>
        <v>6.6565487830415868E-2</v>
      </c>
      <c r="AA76" s="11">
        <f t="shared" si="56"/>
        <v>7.3883843229597582E-2</v>
      </c>
      <c r="AB76" s="11">
        <f t="shared" si="56"/>
        <v>8.9671658694413167E-2</v>
      </c>
      <c r="AC76" s="11">
        <f t="shared" si="56"/>
        <v>2.7041404737902328E-2</v>
      </c>
      <c r="AD76" s="11">
        <f t="shared" si="56"/>
        <v>0.1103421276642719</v>
      </c>
      <c r="AE76" s="11">
        <f t="shared" si="56"/>
        <v>0.16054621140618044</v>
      </c>
      <c r="AF76" s="11">
        <f t="shared" si="56"/>
        <v>5.1396726182915721E-2</v>
      </c>
      <c r="AG76" s="11">
        <f t="shared" si="56"/>
        <v>7.1745815277404423E-2</v>
      </c>
      <c r="AH76" s="11">
        <f t="shared" si="56"/>
        <v>9.49550031001824E-2</v>
      </c>
      <c r="AI76" s="11">
        <f t="shared" si="56"/>
        <v>1.0565289246564595E-2</v>
      </c>
      <c r="AJ76" s="11">
        <f t="shared" si="56"/>
        <v>6.9950267443278855E-2</v>
      </c>
      <c r="AK76" s="11">
        <f t="shared" si="56"/>
        <v>-9.4935414474561757E-3</v>
      </c>
      <c r="AL76" s="11">
        <f t="shared" si="56"/>
        <v>5.8719103504602773E-3</v>
      </c>
      <c r="AM76" s="11">
        <f t="shared" si="56"/>
        <v>0.14570022257333393</v>
      </c>
      <c r="AN76" s="11">
        <f t="shared" si="56"/>
        <v>0.1778034430971443</v>
      </c>
      <c r="AO76" s="11">
        <f t="shared" si="56"/>
        <v>8.8520717542474606E-2</v>
      </c>
      <c r="AP76" s="11">
        <f t="shared" si="56"/>
        <v>7.5708301859215066E-2</v>
      </c>
      <c r="AQ76" s="11">
        <f t="shared" si="56"/>
        <v>-1.6140299450891769E-2</v>
      </c>
      <c r="AR76" s="11">
        <f t="shared" si="56"/>
        <v>-0.14854550318890519</v>
      </c>
      <c r="AS76" s="11">
        <f t="shared" si="56"/>
        <v>0.11922283238296584</v>
      </c>
      <c r="AT76" s="11">
        <f t="shared" ref="AT76:BY76" si="57">LN(AT14/AT13)</f>
        <v>6.3297553630195069E-2</v>
      </c>
      <c r="AU76" s="11">
        <f t="shared" si="57"/>
        <v>3.4417219640523924E-2</v>
      </c>
      <c r="AV76" s="11">
        <f t="shared" si="57"/>
        <v>5.4407318578663474E-2</v>
      </c>
      <c r="AW76" s="11">
        <f t="shared" si="57"/>
        <v>3.9584347219542237E-2</v>
      </c>
      <c r="AX76" s="11">
        <f t="shared" si="57"/>
        <v>0.11097764492017623</v>
      </c>
      <c r="AY76" s="11">
        <f t="shared" si="57"/>
        <v>9.2403833279595338E-2</v>
      </c>
      <c r="AZ76" s="11">
        <f t="shared" si="57"/>
        <v>9.1195148302983878E-2</v>
      </c>
      <c r="BA76" s="11">
        <f t="shared" si="57"/>
        <v>7.2520491625826675E-2</v>
      </c>
      <c r="BB76" s="11">
        <f t="shared" si="57"/>
        <v>5.7611454687393399E-2</v>
      </c>
      <c r="BC76" s="11">
        <f t="shared" si="57"/>
        <v>6.9760699531201495E-2</v>
      </c>
      <c r="BD76" s="11">
        <f t="shared" si="57"/>
        <v>2.0552908854937942E-2</v>
      </c>
      <c r="BE76" s="11">
        <f t="shared" si="57"/>
        <v>8.3553075907431787E-2</v>
      </c>
      <c r="BF76" s="11">
        <f t="shared" si="57"/>
        <v>6.0056765493000354E-2</v>
      </c>
      <c r="BG76" s="11">
        <f t="shared" si="57"/>
        <v>0.13951542889991345</v>
      </c>
      <c r="BH76" s="11">
        <f t="shared" si="57"/>
        <v>-2.1551528889802784E-2</v>
      </c>
      <c r="BI76" s="11">
        <f t="shared" si="57"/>
        <v>-1.0720769745101659E-2</v>
      </c>
      <c r="BJ76" s="11">
        <f t="shared" si="57"/>
        <v>7.2538740759486686E-2</v>
      </c>
      <c r="BK76" s="11">
        <f t="shared" si="57"/>
        <v>6.3249594928089903E-2</v>
      </c>
      <c r="BL76" s="11">
        <f t="shared" si="57"/>
        <v>2.0820861187352817E-2</v>
      </c>
      <c r="BM76" s="11">
        <f t="shared" si="57"/>
        <v>4.3347331315095827E-2</v>
      </c>
      <c r="BN76" s="11">
        <f t="shared" si="57"/>
        <v>5.879639452026917E-2</v>
      </c>
      <c r="BO76" s="11">
        <f t="shared" si="57"/>
        <v>1.3482069814706177E-2</v>
      </c>
      <c r="BP76" s="11">
        <f t="shared" si="57"/>
        <v>1.9186882927844644E-2</v>
      </c>
      <c r="BQ76" s="11">
        <f t="shared" si="57"/>
        <v>3.8708517208075839E-2</v>
      </c>
      <c r="BR76" s="11">
        <f t="shared" si="57"/>
        <v>1.8812922833182557E-2</v>
      </c>
      <c r="BS76" s="11">
        <f t="shared" si="57"/>
        <v>4.3364939984451109E-2</v>
      </c>
      <c r="BT76" s="11">
        <f t="shared" si="57"/>
        <v>2.7796412678075373E-2</v>
      </c>
      <c r="BU76" s="11">
        <f t="shared" si="57"/>
        <v>1.1346842195140828E-2</v>
      </c>
      <c r="BV76" s="11">
        <f t="shared" si="57"/>
        <v>-7.9112632437873628E-2</v>
      </c>
      <c r="BW76" s="11">
        <f t="shared" si="57"/>
        <v>3.378975616225089E-2</v>
      </c>
      <c r="BX76" s="11">
        <f t="shared" si="57"/>
        <v>-4.9058898649539391E-2</v>
      </c>
      <c r="BY76" s="11">
        <f t="shared" si="57"/>
        <v>-0.19296107727732828</v>
      </c>
      <c r="BZ76" s="11">
        <f t="shared" ref="BZ76:DE76" si="58">LN(BZ14/BZ13)</f>
        <v>-5.2346556355210377E-2</v>
      </c>
      <c r="CA76" s="11">
        <f t="shared" si="58"/>
        <v>2.9247652474388354E-2</v>
      </c>
      <c r="CB76" s="11">
        <f t="shared" si="58"/>
        <v>-1.0827447846318752E-2</v>
      </c>
      <c r="CC76" s="11">
        <f t="shared" si="58"/>
        <v>-4.9601343249626728E-2</v>
      </c>
      <c r="CD76" s="11">
        <f t="shared" si="58"/>
        <v>-2.2861115144458471E-2</v>
      </c>
      <c r="CE76" s="11">
        <f t="shared" si="58"/>
        <v>3.626819733675056E-2</v>
      </c>
      <c r="CF76" s="11">
        <f t="shared" si="58"/>
        <v>2.8752259901338825E-2</v>
      </c>
      <c r="CG76" s="11">
        <f t="shared" si="58"/>
        <v>3.6152125963001068E-2</v>
      </c>
      <c r="CH76" s="11">
        <f t="shared" si="58"/>
        <v>2.4197716999247706E-2</v>
      </c>
      <c r="CI76" s="11">
        <f t="shared" si="58"/>
        <v>2.5765048779564106E-2</v>
      </c>
      <c r="CJ76" s="11">
        <f t="shared" si="58"/>
        <v>-3.3499549617638971E-2</v>
      </c>
      <c r="CK76" s="11">
        <f t="shared" si="58"/>
        <v>-2.8408452412086852E-3</v>
      </c>
      <c r="CL76" s="11">
        <f t="shared" si="58"/>
        <v>3.0485330082673963E-2</v>
      </c>
      <c r="CM76" s="11">
        <f t="shared" si="58"/>
        <v>-3.0966248943740917E-2</v>
      </c>
      <c r="CN76" s="11">
        <f t="shared" si="58"/>
        <v>2.5622786136996517E-3</v>
      </c>
      <c r="CO76" s="11">
        <f t="shared" si="58"/>
        <v>-3.0768634683549394E-2</v>
      </c>
      <c r="CP76" s="11">
        <f t="shared" si="58"/>
        <v>-7.0099113475387234E-2</v>
      </c>
      <c r="CQ76" s="11">
        <f t="shared" si="58"/>
        <v>-4.164057815236865E-2</v>
      </c>
      <c r="CR76" s="11">
        <f t="shared" si="58"/>
        <v>1.1678702606169414E-2</v>
      </c>
      <c r="CS76" s="11">
        <f t="shared" si="58"/>
        <v>-4.5304146260452538E-2</v>
      </c>
      <c r="CT76" s="11">
        <f t="shared" si="58"/>
        <v>2.14902675690576E-2</v>
      </c>
      <c r="CU76" s="11">
        <f t="shared" si="58"/>
        <v>0.11209596524247345</v>
      </c>
      <c r="CV76" s="11">
        <f t="shared" si="58"/>
        <v>-2.1548114287242702E-2</v>
      </c>
      <c r="CW76" s="11">
        <f t="shared" si="58"/>
        <v>3.361801216925581E-3</v>
      </c>
      <c r="CX76" s="11">
        <f t="shared" si="58"/>
        <v>-8.4446615388791613E-2</v>
      </c>
      <c r="CY76" s="11">
        <f t="shared" si="58"/>
        <v>9.9112553519635008E-2</v>
      </c>
      <c r="CZ76" s="11">
        <f t="shared" si="58"/>
        <v>6.0301954429929965E-2</v>
      </c>
      <c r="DA76" s="11">
        <f t="shared" si="58"/>
        <v>0.24362208265775032</v>
      </c>
      <c r="DB76" s="11">
        <f t="shared" si="58"/>
        <v>-1.0827638652063503E-2</v>
      </c>
      <c r="DC76" s="11">
        <f t="shared" si="58"/>
        <v>-2.5739354098998763E-2</v>
      </c>
      <c r="DD76" s="11">
        <f t="shared" si="58"/>
        <v>-2.4692709137341735E-2</v>
      </c>
      <c r="DE76" s="11">
        <f t="shared" si="58"/>
        <v>9.6386030789993138E-2</v>
      </c>
      <c r="DF76" s="11">
        <f t="shared" ref="DF76:DU76" si="59">LN(DF14/DF13)</f>
        <v>8.1159865781795914E-3</v>
      </c>
      <c r="DG76" s="11">
        <f t="shared" si="59"/>
        <v>-5.5525760416063427E-2</v>
      </c>
      <c r="DH76" s="11">
        <f t="shared" si="59"/>
        <v>9.1119072449501334E-2</v>
      </c>
      <c r="DI76" s="11">
        <f t="shared" si="59"/>
        <v>1.6573237729933327E-2</v>
      </c>
      <c r="DJ76" s="11">
        <f t="shared" si="59"/>
        <v>-1.3796871734318017E-2</v>
      </c>
      <c r="DK76" s="11">
        <f t="shared" si="59"/>
        <v>2.173998663640582E-2</v>
      </c>
      <c r="DL76" s="11">
        <f t="shared" si="59"/>
        <v>1.4600763478742923E-2</v>
      </c>
      <c r="DM76" s="11">
        <f t="shared" si="59"/>
        <v>3.1842624561051566E-2</v>
      </c>
      <c r="DN76" s="11">
        <f t="shared" si="59"/>
        <v>-5.4050231669661213E-2</v>
      </c>
      <c r="DO76" s="11">
        <f t="shared" si="59"/>
        <v>1.811631876711774E-2</v>
      </c>
      <c r="DP76" s="11">
        <f t="shared" si="59"/>
        <v>6.9544769743232872E-3</v>
      </c>
      <c r="DQ76" s="11">
        <f t="shared" si="59"/>
        <v>8.9763880075877323E-2</v>
      </c>
      <c r="DR76" s="11">
        <f t="shared" si="59"/>
        <v>-7.8273793821090495E-2</v>
      </c>
      <c r="DS76" s="11">
        <f t="shared" si="59"/>
        <v>-0.15283168557692603</v>
      </c>
      <c r="DT76" s="11">
        <f t="shared" si="59"/>
        <v>-1.9165374892666294E-2</v>
      </c>
      <c r="DU76" s="11">
        <f t="shared" si="59"/>
        <v>-4.2578601244122008E-2</v>
      </c>
      <c r="DV76" s="11">
        <f t="shared" si="13"/>
        <v>-0.10172785665046603</v>
      </c>
      <c r="DW76" s="11">
        <f t="shared" si="14"/>
        <v>-2.8457386155799531E-2</v>
      </c>
      <c r="DX76" s="11">
        <f t="shared" si="14"/>
        <v>7.9986710806482147E-2</v>
      </c>
      <c r="DY76" s="11">
        <f t="shared" si="14"/>
        <v>2.1681407816611639E-2</v>
      </c>
      <c r="DZ76" s="11">
        <f t="shared" si="14"/>
        <v>2.4753594913945701E-2</v>
      </c>
    </row>
    <row r="77" spans="1:130" ht="15">
      <c r="A77" s="8">
        <v>43040</v>
      </c>
      <c r="B77" s="11">
        <f t="shared" si="6"/>
        <v>-5.7429275831905274E-4</v>
      </c>
      <c r="C77" s="11">
        <f t="shared" si="6"/>
        <v>3.3654777947381476E-2</v>
      </c>
      <c r="D77" s="11">
        <f t="shared" si="7"/>
        <v>3.2419455821023908E-2</v>
      </c>
      <c r="E77" s="11">
        <f t="shared" si="7"/>
        <v>7.8254365619194827E-2</v>
      </c>
      <c r="F77" s="11">
        <f t="shared" si="7"/>
        <v>3.2617591540621067E-3</v>
      </c>
      <c r="G77" s="11">
        <f t="shared" si="7"/>
        <v>2.5082336507223049E-3</v>
      </c>
      <c r="H77" s="11">
        <f t="shared" si="7"/>
        <v>3.0552882739394112E-2</v>
      </c>
      <c r="I77" s="11">
        <f t="shared" ref="I77:M77" si="60">LN(I15/I14)</f>
        <v>-5.5354422595995136E-3</v>
      </c>
      <c r="J77" s="11">
        <f t="shared" si="60"/>
        <v>0.11427335603427134</v>
      </c>
      <c r="K77" s="11">
        <f t="shared" si="60"/>
        <v>-6.0530596026971993E-2</v>
      </c>
      <c r="L77" s="11">
        <f t="shared" si="60"/>
        <v>0.2618338557837297</v>
      </c>
      <c r="M77" s="11">
        <f t="shared" si="60"/>
        <v>1.9688207229630682E-2</v>
      </c>
      <c r="N77" s="11">
        <f t="shared" ref="N77:AS77" si="61">LN(N15/N14)</f>
        <v>-5.7985876950735017E-2</v>
      </c>
      <c r="O77" s="11">
        <f t="shared" si="61"/>
        <v>-8.1487920855766005E-2</v>
      </c>
      <c r="P77" s="11">
        <f t="shared" si="61"/>
        <v>8.1936293148557118E-2</v>
      </c>
      <c r="Q77" s="11">
        <f t="shared" si="61"/>
        <v>0.11788379892820859</v>
      </c>
      <c r="R77" s="11">
        <f t="shared" si="61"/>
        <v>0.11607662748187683</v>
      </c>
      <c r="S77" s="11">
        <f t="shared" si="61"/>
        <v>-0.10673579237973191</v>
      </c>
      <c r="T77" s="11">
        <f t="shared" si="61"/>
        <v>4.3582299724706501E-2</v>
      </c>
      <c r="U77" s="11">
        <f t="shared" si="61"/>
        <v>1.9797658040016129E-2</v>
      </c>
      <c r="V77" s="11">
        <f t="shared" si="61"/>
        <v>7.2694070025818725E-3</v>
      </c>
      <c r="W77" s="11">
        <f t="shared" si="61"/>
        <v>-6.8003859496284971E-2</v>
      </c>
      <c r="X77" s="11">
        <f t="shared" si="61"/>
        <v>0.12461910882308248</v>
      </c>
      <c r="Y77" s="11">
        <f t="shared" si="61"/>
        <v>2.2703156053137531E-2</v>
      </c>
      <c r="Z77" s="11">
        <f t="shared" si="61"/>
        <v>8.9511793102398041E-2</v>
      </c>
      <c r="AA77" s="11">
        <f t="shared" si="61"/>
        <v>6.3028830337390068E-2</v>
      </c>
      <c r="AB77" s="11">
        <f t="shared" si="61"/>
        <v>1.4388772962501583E-2</v>
      </c>
      <c r="AC77" s="11">
        <f t="shared" si="61"/>
        <v>1.6307882480096854E-2</v>
      </c>
      <c r="AD77" s="11">
        <f t="shared" si="61"/>
        <v>1.1831449841729432E-2</v>
      </c>
      <c r="AE77" s="11">
        <f t="shared" si="61"/>
        <v>3.5390508853734917E-2</v>
      </c>
      <c r="AF77" s="11">
        <f t="shared" si="61"/>
        <v>-3.2882223077717945E-2</v>
      </c>
      <c r="AG77" s="11">
        <f t="shared" si="61"/>
        <v>4.3647402898275518E-2</v>
      </c>
      <c r="AH77" s="11">
        <f t="shared" si="61"/>
        <v>6.5077579067641625E-2</v>
      </c>
      <c r="AI77" s="11">
        <f t="shared" si="61"/>
        <v>6.812443895299751E-2</v>
      </c>
      <c r="AJ77" s="11">
        <f t="shared" si="61"/>
        <v>6.5375491354422582E-2</v>
      </c>
      <c r="AK77" s="11">
        <f t="shared" si="61"/>
        <v>-0.11497942100393943</v>
      </c>
      <c r="AL77" s="11">
        <f t="shared" si="61"/>
        <v>0.10131175986888086</v>
      </c>
      <c r="AM77" s="11">
        <f t="shared" si="61"/>
        <v>-2.9939396621443976E-2</v>
      </c>
      <c r="AN77" s="11">
        <f t="shared" si="61"/>
        <v>-1.4392200893354289E-2</v>
      </c>
      <c r="AO77" s="11">
        <f t="shared" si="61"/>
        <v>5.179723564565139E-2</v>
      </c>
      <c r="AP77" s="11">
        <f t="shared" si="61"/>
        <v>1.2565772813476577E-2</v>
      </c>
      <c r="AQ77" s="11">
        <f t="shared" si="61"/>
        <v>0.26277149946198253</v>
      </c>
      <c r="AR77" s="11">
        <f t="shared" si="61"/>
        <v>-9.1408314706608578E-3</v>
      </c>
      <c r="AS77" s="11">
        <f t="shared" si="61"/>
        <v>-4.4297900486620759E-2</v>
      </c>
      <c r="AT77" s="11">
        <f t="shared" ref="AT77:BY77" si="62">LN(AT15/AT14)</f>
        <v>-5.8525432841687791E-2</v>
      </c>
      <c r="AU77" s="11">
        <f t="shared" si="62"/>
        <v>-3.1767700582858452E-2</v>
      </c>
      <c r="AV77" s="11">
        <f t="shared" si="62"/>
        <v>-8.5976327018280813E-2</v>
      </c>
      <c r="AW77" s="11">
        <f t="shared" si="62"/>
        <v>-5.8396313911459115E-2</v>
      </c>
      <c r="AX77" s="11">
        <f t="shared" si="62"/>
        <v>-8.3488594930239135E-2</v>
      </c>
      <c r="AY77" s="11">
        <f t="shared" si="62"/>
        <v>1.648652113081097E-2</v>
      </c>
      <c r="AZ77" s="11">
        <f t="shared" si="62"/>
        <v>1.9162494801396934E-2</v>
      </c>
      <c r="BA77" s="11">
        <f t="shared" si="62"/>
        <v>-2.7029756398171935E-2</v>
      </c>
      <c r="BB77" s="11">
        <f t="shared" si="62"/>
        <v>9.2238277796448179E-2</v>
      </c>
      <c r="BC77" s="11">
        <f t="shared" si="62"/>
        <v>-2.6541197269388993E-2</v>
      </c>
      <c r="BD77" s="11">
        <f t="shared" si="62"/>
        <v>3.2539893016251632E-2</v>
      </c>
      <c r="BE77" s="11">
        <f t="shared" si="62"/>
        <v>-4.6508649357989923E-3</v>
      </c>
      <c r="BF77" s="11">
        <f t="shared" si="62"/>
        <v>-5.8454056463926735E-4</v>
      </c>
      <c r="BG77" s="11">
        <f t="shared" si="62"/>
        <v>6.2657704762992497E-2</v>
      </c>
      <c r="BH77" s="11">
        <f t="shared" si="62"/>
        <v>-8.2192590751785088E-2</v>
      </c>
      <c r="BI77" s="11">
        <f t="shared" si="62"/>
        <v>-1.4475524173785604E-2</v>
      </c>
      <c r="BJ77" s="11">
        <f t="shared" si="62"/>
        <v>2.5564011575281969E-3</v>
      </c>
      <c r="BK77" s="11">
        <f t="shared" si="62"/>
        <v>2.9865383917313432E-2</v>
      </c>
      <c r="BL77" s="11">
        <f t="shared" si="62"/>
        <v>5.2914873768660789E-2</v>
      </c>
      <c r="BM77" s="11">
        <f t="shared" si="62"/>
        <v>3.2546531568021675E-2</v>
      </c>
      <c r="BN77" s="11">
        <f t="shared" si="62"/>
        <v>9.4168876106621197E-2</v>
      </c>
      <c r="BO77" s="11">
        <f t="shared" si="62"/>
        <v>8.1294782198250495E-2</v>
      </c>
      <c r="BP77" s="11">
        <f t="shared" si="62"/>
        <v>1.9841537379660858E-2</v>
      </c>
      <c r="BQ77" s="11">
        <f t="shared" si="62"/>
        <v>-7.2943922968698047E-2</v>
      </c>
      <c r="BR77" s="11">
        <f t="shared" si="62"/>
        <v>-6.4261556196558003E-2</v>
      </c>
      <c r="BS77" s="11">
        <f t="shared" si="62"/>
        <v>-9.4410461238942034E-2</v>
      </c>
      <c r="BT77" s="11">
        <f t="shared" si="62"/>
        <v>-1.1360927805316709E-2</v>
      </c>
      <c r="BU77" s="11">
        <f t="shared" si="62"/>
        <v>0.11435980315958519</v>
      </c>
      <c r="BV77" s="11">
        <f t="shared" si="62"/>
        <v>1.7120554791580991E-2</v>
      </c>
      <c r="BW77" s="11">
        <f t="shared" si="62"/>
        <v>0.26447092287754304</v>
      </c>
      <c r="BX77" s="11">
        <f t="shared" si="62"/>
        <v>0.1243624969260783</v>
      </c>
      <c r="BY77" s="11">
        <f t="shared" si="62"/>
        <v>0.21157712855034194</v>
      </c>
      <c r="BZ77" s="11">
        <f t="shared" ref="BZ77:DE77" si="63">LN(BZ15/BZ14)</f>
        <v>4.8870978516554635E-2</v>
      </c>
      <c r="CA77" s="11">
        <f t="shared" si="63"/>
        <v>-4.5776580654547788E-3</v>
      </c>
      <c r="CB77" s="11">
        <f t="shared" si="63"/>
        <v>5.5493802524224187E-2</v>
      </c>
      <c r="CC77" s="11">
        <f t="shared" si="63"/>
        <v>-1.8227077925549159E-2</v>
      </c>
      <c r="CD77" s="11">
        <f t="shared" si="63"/>
        <v>-3.0052813129410267E-3</v>
      </c>
      <c r="CE77" s="11">
        <f t="shared" si="63"/>
        <v>1.0599379101009663E-2</v>
      </c>
      <c r="CF77" s="11">
        <f t="shared" si="63"/>
        <v>-6.9906592140140972E-2</v>
      </c>
      <c r="CG77" s="11">
        <f t="shared" si="63"/>
        <v>0.11015221903781651</v>
      </c>
      <c r="CH77" s="11">
        <f t="shared" si="63"/>
        <v>3.5798536852170548E-2</v>
      </c>
      <c r="CI77" s="11">
        <f t="shared" si="63"/>
        <v>2.9853106183869698E-2</v>
      </c>
      <c r="CJ77" s="11">
        <f t="shared" si="63"/>
        <v>3.347751786444908E-2</v>
      </c>
      <c r="CK77" s="11">
        <f t="shared" si="63"/>
        <v>5.0924968198031974E-2</v>
      </c>
      <c r="CL77" s="11">
        <f t="shared" si="63"/>
        <v>4.3336714582227112E-2</v>
      </c>
      <c r="CM77" s="11">
        <f t="shared" si="63"/>
        <v>0.16237396551678712</v>
      </c>
      <c r="CN77" s="11">
        <f t="shared" si="63"/>
        <v>5.6429375188291296E-2</v>
      </c>
      <c r="CO77" s="11">
        <f t="shared" si="63"/>
        <v>3.1068652323514908E-2</v>
      </c>
      <c r="CP77" s="11">
        <f t="shared" si="63"/>
        <v>4.162735995505909E-2</v>
      </c>
      <c r="CQ77" s="11">
        <f t="shared" si="63"/>
        <v>0.10263353436936015</v>
      </c>
      <c r="CR77" s="11">
        <f t="shared" si="63"/>
        <v>4.7616347845814248E-2</v>
      </c>
      <c r="CS77" s="11">
        <f t="shared" si="63"/>
        <v>-0.27517264364552146</v>
      </c>
      <c r="CT77" s="11">
        <f t="shared" si="63"/>
        <v>6.527139035322381E-2</v>
      </c>
      <c r="CU77" s="11">
        <f t="shared" si="63"/>
        <v>0.14312182097466464</v>
      </c>
      <c r="CV77" s="11">
        <f t="shared" si="63"/>
        <v>3.2809099085024468E-2</v>
      </c>
      <c r="CW77" s="11">
        <f t="shared" si="63"/>
        <v>2.4713426294933689E-2</v>
      </c>
      <c r="CX77" s="11">
        <f t="shared" si="63"/>
        <v>-1.4448135747386041E-2</v>
      </c>
      <c r="CY77" s="11">
        <f t="shared" si="63"/>
        <v>0.20972032308183947</v>
      </c>
      <c r="CZ77" s="11">
        <f t="shared" si="63"/>
        <v>-4.5782643105476702E-2</v>
      </c>
      <c r="DA77" s="11">
        <f t="shared" si="63"/>
        <v>0.11570186945255895</v>
      </c>
      <c r="DB77" s="11">
        <f t="shared" si="63"/>
        <v>-0.16535892957437523</v>
      </c>
      <c r="DC77" s="11">
        <f t="shared" si="63"/>
        <v>0.14931883987666261</v>
      </c>
      <c r="DD77" s="11">
        <f t="shared" si="63"/>
        <v>0.60840572172024776</v>
      </c>
      <c r="DE77" s="11">
        <f t="shared" si="63"/>
        <v>6.4806877559997908E-2</v>
      </c>
      <c r="DF77" s="11">
        <f t="shared" ref="DF77:DU77" si="64">LN(DF15/DF14)</f>
        <v>9.8873004488966104E-2</v>
      </c>
      <c r="DG77" s="11">
        <f t="shared" si="64"/>
        <v>2.4175230531987422E-2</v>
      </c>
      <c r="DH77" s="11">
        <f t="shared" si="64"/>
        <v>1.7428228767884857E-2</v>
      </c>
      <c r="DI77" s="11">
        <f t="shared" si="64"/>
        <v>-7.1992612765293474E-4</v>
      </c>
      <c r="DJ77" s="11">
        <f t="shared" si="64"/>
        <v>2.6397910253812249E-2</v>
      </c>
      <c r="DK77" s="11">
        <f t="shared" si="64"/>
        <v>4.1862981160725217E-5</v>
      </c>
      <c r="DL77" s="11">
        <f t="shared" si="64"/>
        <v>4.1679690713189485E-2</v>
      </c>
      <c r="DM77" s="11">
        <f t="shared" si="64"/>
        <v>2.5975797839878408E-2</v>
      </c>
      <c r="DN77" s="11">
        <f t="shared" si="64"/>
        <v>3.821021929932502E-2</v>
      </c>
      <c r="DO77" s="11">
        <f t="shared" si="64"/>
        <v>8.7862773827045229E-2</v>
      </c>
      <c r="DP77" s="11">
        <f t="shared" si="64"/>
        <v>4.3225402350552999E-2</v>
      </c>
      <c r="DQ77" s="11">
        <f t="shared" si="64"/>
        <v>1.9864826362695796E-2</v>
      </c>
      <c r="DR77" s="11">
        <f t="shared" si="64"/>
        <v>-1.8132218607195529E-2</v>
      </c>
      <c r="DS77" s="11">
        <f t="shared" si="64"/>
        <v>-5.5606337703645037E-2</v>
      </c>
      <c r="DT77" s="11">
        <f t="shared" si="64"/>
        <v>4.4626486555246175E-2</v>
      </c>
      <c r="DU77" s="11">
        <f t="shared" si="64"/>
        <v>-1.8896442434769536E-2</v>
      </c>
      <c r="DV77" s="11">
        <f t="shared" si="13"/>
        <v>1.7006544317687947E-2</v>
      </c>
      <c r="DW77" s="11">
        <f t="shared" si="14"/>
        <v>-7.0862581126892268E-2</v>
      </c>
      <c r="DX77" s="11">
        <f t="shared" si="14"/>
        <v>-9.7150367842974858E-2</v>
      </c>
      <c r="DY77" s="11">
        <f t="shared" si="14"/>
        <v>2.6234231780904334E-2</v>
      </c>
      <c r="DZ77" s="11">
        <f t="shared" si="14"/>
        <v>3.2511712061290471E-2</v>
      </c>
    </row>
    <row r="78" spans="1:130" ht="15">
      <c r="A78" s="8">
        <v>43070</v>
      </c>
      <c r="B78" s="11">
        <f t="shared" si="6"/>
        <v>8.9002726990383904E-3</v>
      </c>
      <c r="C78" s="11">
        <f t="shared" si="6"/>
        <v>7.9921769244173501E-3</v>
      </c>
      <c r="D78" s="11">
        <f t="shared" si="7"/>
        <v>4.1667475796134399E-3</v>
      </c>
      <c r="E78" s="11">
        <f t="shared" si="7"/>
        <v>-2.1690559411556773E-3</v>
      </c>
      <c r="F78" s="11">
        <f t="shared" si="7"/>
        <v>1.7931417176430361E-2</v>
      </c>
      <c r="G78" s="11">
        <f t="shared" si="7"/>
        <v>-3.2570620000080455E-3</v>
      </c>
      <c r="H78" s="11">
        <f t="shared" si="7"/>
        <v>-3.0692236884769554E-2</v>
      </c>
      <c r="I78" s="11">
        <f t="shared" ref="I78:M78" si="65">LN(I16/I15)</f>
        <v>-1.5053587708746961E-2</v>
      </c>
      <c r="J78" s="11">
        <f t="shared" si="65"/>
        <v>-5.1469488301993986E-2</v>
      </c>
      <c r="K78" s="11">
        <f t="shared" si="65"/>
        <v>-1.9182198978222255E-4</v>
      </c>
      <c r="L78" s="11">
        <f t="shared" si="65"/>
        <v>-1.795938444607446E-2</v>
      </c>
      <c r="M78" s="11">
        <f t="shared" si="65"/>
        <v>-3.333401686874967E-2</v>
      </c>
      <c r="N78" s="11">
        <f t="shared" ref="N78:AS78" si="66">LN(N16/N15)</f>
        <v>-4.1124298157962813E-2</v>
      </c>
      <c r="O78" s="11">
        <f t="shared" si="66"/>
        <v>-1.5520079607381146E-2</v>
      </c>
      <c r="P78" s="11">
        <f t="shared" si="66"/>
        <v>-3.1004066193071046E-2</v>
      </c>
      <c r="Q78" s="11">
        <f t="shared" si="66"/>
        <v>-5.5010478013487463E-2</v>
      </c>
      <c r="R78" s="11">
        <f t="shared" si="66"/>
        <v>-4.3270437216261178E-2</v>
      </c>
      <c r="S78" s="11">
        <f t="shared" si="66"/>
        <v>3.8225358061150232E-2</v>
      </c>
      <c r="T78" s="11">
        <f t="shared" si="66"/>
        <v>1.2341479578556152E-2</v>
      </c>
      <c r="U78" s="11">
        <f t="shared" si="66"/>
        <v>-1.6945503113332053E-2</v>
      </c>
      <c r="V78" s="11">
        <f t="shared" si="66"/>
        <v>-7.4632535570937379E-3</v>
      </c>
      <c r="W78" s="11">
        <f t="shared" si="66"/>
        <v>3.190576062152016E-2</v>
      </c>
      <c r="X78" s="11">
        <f t="shared" si="66"/>
        <v>-1.9291359304453623E-3</v>
      </c>
      <c r="Y78" s="11">
        <f t="shared" si="66"/>
        <v>0.14688958978583944</v>
      </c>
      <c r="Z78" s="11">
        <f t="shared" si="66"/>
        <v>-6.4009536610293058E-2</v>
      </c>
      <c r="AA78" s="11">
        <f t="shared" si="66"/>
        <v>-9.1181439294111558E-2</v>
      </c>
      <c r="AB78" s="11">
        <f t="shared" si="66"/>
        <v>-4.0965677227941446E-3</v>
      </c>
      <c r="AC78" s="11">
        <f t="shared" si="66"/>
        <v>-1.121672695318447E-2</v>
      </c>
      <c r="AD78" s="11">
        <f t="shared" si="66"/>
        <v>2.1154988895964268E-2</v>
      </c>
      <c r="AE78" s="11">
        <f t="shared" si="66"/>
        <v>-3.4933887841234829E-2</v>
      </c>
      <c r="AF78" s="11">
        <f t="shared" si="66"/>
        <v>-3.69566409601602E-2</v>
      </c>
      <c r="AG78" s="11">
        <f t="shared" si="66"/>
        <v>-5.8552196752717264E-2</v>
      </c>
      <c r="AH78" s="11">
        <f t="shared" si="66"/>
        <v>3.8022072688790626E-2</v>
      </c>
      <c r="AI78" s="11">
        <f t="shared" si="66"/>
        <v>-5.7506475459274077E-3</v>
      </c>
      <c r="AJ78" s="11">
        <f t="shared" si="66"/>
        <v>0.15358708304021224</v>
      </c>
      <c r="AK78" s="11">
        <f t="shared" si="66"/>
        <v>-2.9259740909872153E-2</v>
      </c>
      <c r="AL78" s="11">
        <f t="shared" si="66"/>
        <v>-2.2455920620849838E-2</v>
      </c>
      <c r="AM78" s="11">
        <f t="shared" si="66"/>
        <v>-3.5889072559033432E-2</v>
      </c>
      <c r="AN78" s="11">
        <f t="shared" si="66"/>
        <v>3.4921770514019651E-2</v>
      </c>
      <c r="AO78" s="11">
        <f t="shared" si="66"/>
        <v>-7.871839262139281E-2</v>
      </c>
      <c r="AP78" s="11">
        <f t="shared" si="66"/>
        <v>7.0916288867444624E-2</v>
      </c>
      <c r="AQ78" s="11">
        <f t="shared" si="66"/>
        <v>-2.7197499654426374E-2</v>
      </c>
      <c r="AR78" s="11">
        <f t="shared" si="66"/>
        <v>-5.7644676917850225E-2</v>
      </c>
      <c r="AS78" s="11">
        <f t="shared" si="66"/>
        <v>-3.0417930629850022E-2</v>
      </c>
      <c r="AT78" s="11">
        <f t="shared" ref="AT78:BY78" si="67">LN(AT16/AT15)</f>
        <v>3.8615101720142868E-2</v>
      </c>
      <c r="AU78" s="11">
        <f t="shared" si="67"/>
        <v>3.2109708331557248E-2</v>
      </c>
      <c r="AV78" s="11">
        <f t="shared" si="67"/>
        <v>1.4162808910109315E-2</v>
      </c>
      <c r="AW78" s="11">
        <f t="shared" si="67"/>
        <v>-2.5678439803228072E-2</v>
      </c>
      <c r="AX78" s="11">
        <f t="shared" si="67"/>
        <v>-9.5217514189106525E-2</v>
      </c>
      <c r="AY78" s="11">
        <f t="shared" si="67"/>
        <v>-1.1774620172359812E-2</v>
      </c>
      <c r="AZ78" s="11">
        <f t="shared" si="67"/>
        <v>-2.0237921409420004E-2</v>
      </c>
      <c r="BA78" s="11">
        <f t="shared" si="67"/>
        <v>5.8345604062963387E-2</v>
      </c>
      <c r="BB78" s="11">
        <f t="shared" si="67"/>
        <v>-4.1271743904945334E-2</v>
      </c>
      <c r="BC78" s="11">
        <f t="shared" si="67"/>
        <v>-4.4660770827420822E-2</v>
      </c>
      <c r="BD78" s="11">
        <f t="shared" si="67"/>
        <v>-3.032854462986358E-2</v>
      </c>
      <c r="BE78" s="11">
        <f t="shared" si="67"/>
        <v>-2.072582216290153E-2</v>
      </c>
      <c r="BF78" s="11">
        <f t="shared" si="67"/>
        <v>6.3676169394005916E-3</v>
      </c>
      <c r="BG78" s="11">
        <f t="shared" si="67"/>
        <v>-6.2057465740649204E-3</v>
      </c>
      <c r="BH78" s="11">
        <f t="shared" si="67"/>
        <v>8.4846030177681914E-2</v>
      </c>
      <c r="BI78" s="11">
        <f t="shared" si="67"/>
        <v>0.21704968723988696</v>
      </c>
      <c r="BJ78" s="11">
        <f t="shared" si="67"/>
        <v>-4.996295460666373E-2</v>
      </c>
      <c r="BK78" s="11">
        <f t="shared" si="67"/>
        <v>6.8153606912364304E-3</v>
      </c>
      <c r="BL78" s="11">
        <f t="shared" si="67"/>
        <v>-1.4841194385053762E-3</v>
      </c>
      <c r="BM78" s="11">
        <f t="shared" si="67"/>
        <v>0.12993747576934497</v>
      </c>
      <c r="BN78" s="11">
        <f t="shared" si="67"/>
        <v>3.4646053599272822E-2</v>
      </c>
      <c r="BO78" s="11">
        <f t="shared" si="67"/>
        <v>5.7644114163036955E-2</v>
      </c>
      <c r="BP78" s="11">
        <f t="shared" si="67"/>
        <v>1.6308045779267116E-2</v>
      </c>
      <c r="BQ78" s="11">
        <f t="shared" si="67"/>
        <v>-5.0464734364420054E-2</v>
      </c>
      <c r="BR78" s="11">
        <f t="shared" si="67"/>
        <v>4.3296782653674662E-2</v>
      </c>
      <c r="BS78" s="11">
        <f t="shared" si="67"/>
        <v>-1.1330142551261425E-3</v>
      </c>
      <c r="BT78" s="11">
        <f t="shared" si="67"/>
        <v>1.7799120900616933E-2</v>
      </c>
      <c r="BU78" s="11">
        <f t="shared" si="67"/>
        <v>-1.8766452423671177E-2</v>
      </c>
      <c r="BV78" s="11">
        <f t="shared" si="67"/>
        <v>1.4929106427814809E-2</v>
      </c>
      <c r="BW78" s="11">
        <f t="shared" si="67"/>
        <v>8.3551993372475208E-2</v>
      </c>
      <c r="BX78" s="11">
        <f t="shared" si="67"/>
        <v>9.5393016754743348E-2</v>
      </c>
      <c r="BY78" s="11">
        <f t="shared" si="67"/>
        <v>-1.3055171971433386E-2</v>
      </c>
      <c r="BZ78" s="11">
        <f t="shared" ref="BZ78:DE78" si="68">LN(BZ16/BZ15)</f>
        <v>2.0784851787834738E-2</v>
      </c>
      <c r="CA78" s="11">
        <f t="shared" si="68"/>
        <v>1.0565629649949887E-2</v>
      </c>
      <c r="CB78" s="11">
        <f t="shared" si="68"/>
        <v>3.5675641039975947E-2</v>
      </c>
      <c r="CC78" s="11">
        <f t="shared" si="68"/>
        <v>2.7832655231144272E-2</v>
      </c>
      <c r="CD78" s="11">
        <f t="shared" si="68"/>
        <v>-1.2850700053822162E-2</v>
      </c>
      <c r="CE78" s="11">
        <f t="shared" si="68"/>
        <v>5.3158479297400418E-2</v>
      </c>
      <c r="CF78" s="11">
        <f t="shared" si="68"/>
        <v>-1.0065680240270547E-2</v>
      </c>
      <c r="CG78" s="11">
        <f t="shared" si="68"/>
        <v>2.2159364899823519E-2</v>
      </c>
      <c r="CH78" s="11">
        <f t="shared" si="68"/>
        <v>-3.2656561283400764E-3</v>
      </c>
      <c r="CI78" s="11">
        <f t="shared" si="68"/>
        <v>6.6520865590613812E-3</v>
      </c>
      <c r="CJ78" s="11">
        <f t="shared" si="68"/>
        <v>4.0573575548763535E-2</v>
      </c>
      <c r="CK78" s="11">
        <f t="shared" si="68"/>
        <v>-3.7414432804998093E-2</v>
      </c>
      <c r="CL78" s="11">
        <f t="shared" si="68"/>
        <v>5.0661020230104825E-2</v>
      </c>
      <c r="CM78" s="11">
        <f t="shared" si="68"/>
        <v>-1.6477557726833046E-3</v>
      </c>
      <c r="CN78" s="11">
        <f t="shared" si="68"/>
        <v>3.5254064913064188E-2</v>
      </c>
      <c r="CO78" s="11">
        <f t="shared" si="68"/>
        <v>-2.6459553951078854E-3</v>
      </c>
      <c r="CP78" s="11">
        <f t="shared" si="68"/>
        <v>6.7537240868965037E-2</v>
      </c>
      <c r="CQ78" s="11">
        <f t="shared" si="68"/>
        <v>6.5641480879059147E-2</v>
      </c>
      <c r="CR78" s="11">
        <f t="shared" si="68"/>
        <v>-2.443395658994223E-2</v>
      </c>
      <c r="CS78" s="11">
        <f t="shared" si="68"/>
        <v>5.2375736350535754E-3</v>
      </c>
      <c r="CT78" s="11">
        <f t="shared" si="68"/>
        <v>9.2120783398205425E-2</v>
      </c>
      <c r="CU78" s="11">
        <f t="shared" si="68"/>
        <v>-0.1660381643626937</v>
      </c>
      <c r="CV78" s="11">
        <f t="shared" si="68"/>
        <v>-1.1716899116395627E-2</v>
      </c>
      <c r="CW78" s="11">
        <f t="shared" si="68"/>
        <v>7.5212067073523334E-2</v>
      </c>
      <c r="CX78" s="11">
        <f t="shared" si="68"/>
        <v>-4.4640780622620439E-2</v>
      </c>
      <c r="CY78" s="11">
        <f t="shared" si="68"/>
        <v>2.6263514705547573E-2</v>
      </c>
      <c r="CZ78" s="11">
        <f t="shared" si="68"/>
        <v>2.3153304974716821E-2</v>
      </c>
      <c r="DA78" s="11">
        <f t="shared" si="68"/>
        <v>3.6367644170874791E-2</v>
      </c>
      <c r="DB78" s="11">
        <f t="shared" si="68"/>
        <v>5.8788074009133343E-2</v>
      </c>
      <c r="DC78" s="11">
        <f t="shared" si="68"/>
        <v>-5.4573508238376291E-2</v>
      </c>
      <c r="DD78" s="11">
        <f t="shared" si="68"/>
        <v>-0.18096176426180205</v>
      </c>
      <c r="DE78" s="11">
        <f t="shared" si="68"/>
        <v>1.7715687674903224E-2</v>
      </c>
      <c r="DF78" s="11">
        <f t="shared" ref="DF78:DU78" si="69">LN(DF16/DF15)</f>
        <v>2.0898649194592365E-3</v>
      </c>
      <c r="DG78" s="11">
        <f t="shared" si="69"/>
        <v>-1.9293202934678896E-2</v>
      </c>
      <c r="DH78" s="11">
        <f t="shared" si="69"/>
        <v>-2.9053410856346495E-2</v>
      </c>
      <c r="DI78" s="11">
        <f t="shared" si="69"/>
        <v>1.3405552257487423E-2</v>
      </c>
      <c r="DJ78" s="11">
        <f t="shared" si="69"/>
        <v>6.0110861550481016E-2</v>
      </c>
      <c r="DK78" s="11">
        <f t="shared" si="69"/>
        <v>7.5861200968428077E-2</v>
      </c>
      <c r="DL78" s="11">
        <f t="shared" si="69"/>
        <v>0.10231202296762872</v>
      </c>
      <c r="DM78" s="11">
        <f t="shared" si="69"/>
        <v>5.3192547422857853E-2</v>
      </c>
      <c r="DN78" s="11">
        <f t="shared" si="69"/>
        <v>3.4068408035779374E-2</v>
      </c>
      <c r="DO78" s="11">
        <f t="shared" si="69"/>
        <v>4.3847352306631594E-2</v>
      </c>
      <c r="DP78" s="11">
        <f t="shared" si="69"/>
        <v>7.1843900719135684E-2</v>
      </c>
      <c r="DQ78" s="11">
        <f t="shared" si="69"/>
        <v>0.14407603600312302</v>
      </c>
      <c r="DR78" s="11">
        <f t="shared" si="69"/>
        <v>6.9745745578202151E-2</v>
      </c>
      <c r="DS78" s="11">
        <f t="shared" si="69"/>
        <v>6.8036628960289877E-2</v>
      </c>
      <c r="DT78" s="11">
        <f t="shared" si="69"/>
        <v>9.4029014003529324E-2</v>
      </c>
      <c r="DU78" s="11">
        <f t="shared" si="69"/>
        <v>7.1037563038688592E-2</v>
      </c>
      <c r="DV78" s="11">
        <f t="shared" si="13"/>
        <v>9.2802403186016333E-3</v>
      </c>
      <c r="DW78" s="11">
        <f t="shared" si="14"/>
        <v>8.0619591765528024E-3</v>
      </c>
      <c r="DX78" s="11">
        <f t="shared" si="14"/>
        <v>-3.5235237784700224E-2</v>
      </c>
      <c r="DY78" s="11">
        <f t="shared" si="14"/>
        <v>1.6971306476818111E-2</v>
      </c>
      <c r="DZ78" s="11">
        <f t="shared" si="14"/>
        <v>-2.3993500453040528E-3</v>
      </c>
    </row>
    <row r="79" spans="1:130" ht="15">
      <c r="A79" s="8">
        <v>43101</v>
      </c>
      <c r="B79" s="11">
        <f t="shared" si="6"/>
        <v>-1.1010438133996511E-2</v>
      </c>
      <c r="C79" s="11">
        <f t="shared" si="6"/>
        <v>2.2386802237475391E-2</v>
      </c>
      <c r="D79" s="11">
        <f t="shared" si="7"/>
        <v>-3.628886181554531E-2</v>
      </c>
      <c r="E79" s="11">
        <f t="shared" si="7"/>
        <v>0.14874441321089557</v>
      </c>
      <c r="F79" s="11">
        <f t="shared" si="7"/>
        <v>6.0074388540853875E-2</v>
      </c>
      <c r="G79" s="11">
        <f t="shared" si="7"/>
        <v>6.7534389176262435E-2</v>
      </c>
      <c r="H79" s="11">
        <f t="shared" si="7"/>
        <v>2.1311664447866644E-2</v>
      </c>
      <c r="I79" s="11">
        <f t="shared" ref="I79:M79" si="70">LN(I17/I16)</f>
        <v>0.1665283007571601</v>
      </c>
      <c r="J79" s="11">
        <f t="shared" si="70"/>
        <v>6.2751947447220902E-2</v>
      </c>
      <c r="K79" s="11">
        <f t="shared" si="70"/>
        <v>0.1790335550273903</v>
      </c>
      <c r="L79" s="11">
        <f t="shared" si="70"/>
        <v>1.4015282617120931E-2</v>
      </c>
      <c r="M79" s="11">
        <f t="shared" si="70"/>
        <v>9.4299519093426515E-2</v>
      </c>
      <c r="N79" s="11">
        <f t="shared" ref="N79:AS79" si="71">LN(N17/N16)</f>
        <v>4.2887276087652949E-2</v>
      </c>
      <c r="O79" s="11">
        <f t="shared" si="71"/>
        <v>8.6152817244788252E-2</v>
      </c>
      <c r="P79" s="11">
        <f t="shared" si="71"/>
        <v>7.1415305707576662E-2</v>
      </c>
      <c r="Q79" s="11">
        <f t="shared" si="71"/>
        <v>8.1929434935094525E-2</v>
      </c>
      <c r="R79" s="11">
        <f t="shared" si="71"/>
        <v>9.9696525566958391E-2</v>
      </c>
      <c r="S79" s="11">
        <f t="shared" si="71"/>
        <v>-2.507504021229218E-2</v>
      </c>
      <c r="T79" s="11">
        <f t="shared" si="71"/>
        <v>8.5433026760414532E-2</v>
      </c>
      <c r="U79" s="11">
        <f t="shared" si="71"/>
        <v>6.7351726752383143E-2</v>
      </c>
      <c r="V79" s="11">
        <f t="shared" si="71"/>
        <v>6.2813312538219854E-2</v>
      </c>
      <c r="W79" s="11">
        <f t="shared" si="71"/>
        <v>0.12479077281378823</v>
      </c>
      <c r="X79" s="11">
        <f t="shared" si="71"/>
        <v>6.307115209151036E-2</v>
      </c>
      <c r="Y79" s="11">
        <f t="shared" si="71"/>
        <v>1.2682303778869248E-2</v>
      </c>
      <c r="Z79" s="11">
        <f t="shared" si="71"/>
        <v>0.12998979877886924</v>
      </c>
      <c r="AA79" s="11">
        <f t="shared" si="71"/>
        <v>0.16792845093504685</v>
      </c>
      <c r="AB79" s="11">
        <f t="shared" si="71"/>
        <v>0.17404165606520211</v>
      </c>
      <c r="AC79" s="11">
        <f t="shared" si="71"/>
        <v>0.10824915283298966</v>
      </c>
      <c r="AD79" s="11">
        <f t="shared" si="71"/>
        <v>0.10499826269239956</v>
      </c>
      <c r="AE79" s="11">
        <f t="shared" si="71"/>
        <v>0.13096018302581999</v>
      </c>
      <c r="AF79" s="11">
        <f t="shared" si="71"/>
        <v>8.7240275638017409E-2</v>
      </c>
      <c r="AG79" s="11">
        <f t="shared" si="71"/>
        <v>8.2926319951761307E-2</v>
      </c>
      <c r="AH79" s="11">
        <f t="shared" si="71"/>
        <v>5.2391340890337416E-2</v>
      </c>
      <c r="AI79" s="11">
        <f t="shared" si="71"/>
        <v>4.1855659291793598E-3</v>
      </c>
      <c r="AJ79" s="11">
        <f t="shared" si="71"/>
        <v>2.9540889280620951E-2</v>
      </c>
      <c r="AK79" s="11">
        <f t="shared" si="71"/>
        <v>-3.002606238097846E-2</v>
      </c>
      <c r="AL79" s="11">
        <f t="shared" si="71"/>
        <v>9.6680981938103441E-2</v>
      </c>
      <c r="AM79" s="11">
        <f t="shared" si="71"/>
        <v>0.23924069179097932</v>
      </c>
      <c r="AN79" s="11">
        <f t="shared" si="71"/>
        <v>4.1999587675988888E-2</v>
      </c>
      <c r="AO79" s="11">
        <f t="shared" si="71"/>
        <v>-2.8529847919455821E-2</v>
      </c>
      <c r="AP79" s="11">
        <f t="shared" si="71"/>
        <v>4.8863247430825131E-2</v>
      </c>
      <c r="AQ79" s="11">
        <f t="shared" si="71"/>
        <v>6.3982224151779107E-2</v>
      </c>
      <c r="AR79" s="11">
        <f t="shared" si="71"/>
        <v>0.29011102676718431</v>
      </c>
      <c r="AS79" s="11">
        <f t="shared" si="71"/>
        <v>6.1311027901629976E-2</v>
      </c>
      <c r="AT79" s="11">
        <f t="shared" ref="AT79:BY79" si="72">LN(AT17/AT16)</f>
        <v>3.1509981629973337E-2</v>
      </c>
      <c r="AU79" s="11">
        <f t="shared" si="72"/>
        <v>2.7211478633382562E-2</v>
      </c>
      <c r="AV79" s="11">
        <f t="shared" si="72"/>
        <v>8.0218152965957357E-2</v>
      </c>
      <c r="AW79" s="11">
        <f t="shared" si="72"/>
        <v>7.9791709754236384E-2</v>
      </c>
      <c r="AX79" s="11">
        <f t="shared" si="72"/>
        <v>2.3523334427120884E-2</v>
      </c>
      <c r="AY79" s="11">
        <f t="shared" si="72"/>
        <v>-1.0693468820940523E-2</v>
      </c>
      <c r="AZ79" s="11">
        <f t="shared" si="72"/>
        <v>0.10818348614289787</v>
      </c>
      <c r="BA79" s="11">
        <f t="shared" si="72"/>
        <v>0.13254348245358508</v>
      </c>
      <c r="BB79" s="11">
        <f t="shared" si="72"/>
        <v>6.3448951843923018E-2</v>
      </c>
      <c r="BC79" s="11">
        <f t="shared" si="72"/>
        <v>0.11607217125275403</v>
      </c>
      <c r="BD79" s="11">
        <f t="shared" si="72"/>
        <v>4.9480938959959794E-2</v>
      </c>
      <c r="BE79" s="11">
        <f t="shared" si="72"/>
        <v>0.11085979248502652</v>
      </c>
      <c r="BF79" s="11">
        <f t="shared" si="72"/>
        <v>6.4855694135516756E-2</v>
      </c>
      <c r="BG79" s="11">
        <f t="shared" si="72"/>
        <v>0.21562650651693988</v>
      </c>
      <c r="BH79" s="11">
        <f t="shared" si="72"/>
        <v>7.2554551018749677E-2</v>
      </c>
      <c r="BI79" s="11">
        <f t="shared" si="72"/>
        <v>-8.625593891073198E-2</v>
      </c>
      <c r="BJ79" s="11">
        <f t="shared" si="72"/>
        <v>4.3112151366168777E-2</v>
      </c>
      <c r="BK79" s="11">
        <f t="shared" si="72"/>
        <v>-5.7099288249975091E-3</v>
      </c>
      <c r="BL79" s="11">
        <f t="shared" si="72"/>
        <v>-1.0854632048824919E-2</v>
      </c>
      <c r="BM79" s="11">
        <f t="shared" si="72"/>
        <v>-1.7721077799834652E-3</v>
      </c>
      <c r="BN79" s="11">
        <f t="shared" si="72"/>
        <v>9.0087290810795556E-2</v>
      </c>
      <c r="BO79" s="11">
        <f t="shared" si="72"/>
        <v>5.8259940759718527E-2</v>
      </c>
      <c r="BP79" s="11">
        <f t="shared" si="72"/>
        <v>4.6527809165296918E-2</v>
      </c>
      <c r="BQ79" s="11">
        <f t="shared" si="72"/>
        <v>1.1296320949608156E-2</v>
      </c>
      <c r="BR79" s="11">
        <f t="shared" si="72"/>
        <v>-4.246157591566501E-3</v>
      </c>
      <c r="BS79" s="11">
        <f t="shared" si="72"/>
        <v>9.5590546500690279E-2</v>
      </c>
      <c r="BT79" s="11">
        <f t="shared" si="72"/>
        <v>7.5989456275294159E-2</v>
      </c>
      <c r="BU79" s="11">
        <f t="shared" si="72"/>
        <v>3.5864333426179951E-2</v>
      </c>
      <c r="BV79" s="11">
        <f t="shared" si="72"/>
        <v>0.14022170275229973</v>
      </c>
      <c r="BW79" s="11">
        <f t="shared" si="72"/>
        <v>-0.18418306654806552</v>
      </c>
      <c r="BX79" s="11">
        <f t="shared" si="72"/>
        <v>1.9867984196289937E-2</v>
      </c>
      <c r="BY79" s="11">
        <f t="shared" si="72"/>
        <v>0.16063153356390883</v>
      </c>
      <c r="BZ79" s="11">
        <f t="shared" ref="BZ79:DE79" si="73">LN(BZ17/BZ16)</f>
        <v>-6.2190363993147757E-2</v>
      </c>
      <c r="CA79" s="11">
        <f t="shared" si="73"/>
        <v>3.6593053145542662E-2</v>
      </c>
      <c r="CB79" s="11">
        <f t="shared" si="73"/>
        <v>3.1637501001090963E-3</v>
      </c>
      <c r="CC79" s="11">
        <f t="shared" si="73"/>
        <v>2.4790158743790428E-2</v>
      </c>
      <c r="CD79" s="11">
        <f t="shared" si="73"/>
        <v>2.0213426807651386E-2</v>
      </c>
      <c r="CE79" s="11">
        <f t="shared" si="73"/>
        <v>-1.4276567299711326E-2</v>
      </c>
      <c r="CF79" s="11">
        <f t="shared" si="73"/>
        <v>1.7064249580527369E-2</v>
      </c>
      <c r="CG79" s="11">
        <f t="shared" si="73"/>
        <v>5.8903550461901426E-2</v>
      </c>
      <c r="CH79" s="11">
        <f t="shared" si="73"/>
        <v>4.180119122779756E-2</v>
      </c>
      <c r="CI79" s="11">
        <f t="shared" si="73"/>
        <v>5.588171554464709E-2</v>
      </c>
      <c r="CJ79" s="11">
        <f t="shared" si="73"/>
        <v>-1.6167081218858952E-2</v>
      </c>
      <c r="CK79" s="11">
        <f t="shared" si="73"/>
        <v>8.0689999408817478E-3</v>
      </c>
      <c r="CL79" s="11">
        <f t="shared" si="73"/>
        <v>3.46312600147115E-2</v>
      </c>
      <c r="CM79" s="11">
        <f t="shared" si="73"/>
        <v>-5.8274037528245885E-2</v>
      </c>
      <c r="CN79" s="11">
        <f t="shared" si="73"/>
        <v>1.9107417218262629E-3</v>
      </c>
      <c r="CO79" s="11">
        <f t="shared" si="73"/>
        <v>7.0250003341949779E-2</v>
      </c>
      <c r="CP79" s="11">
        <f t="shared" si="73"/>
        <v>-2.6662839205447458E-2</v>
      </c>
      <c r="CQ79" s="11">
        <f t="shared" si="73"/>
        <v>-4.8558322242594758E-2</v>
      </c>
      <c r="CR79" s="11">
        <f t="shared" si="73"/>
        <v>-3.2963162284614628E-2</v>
      </c>
      <c r="CS79" s="11">
        <f t="shared" si="73"/>
        <v>-0.15587815198355076</v>
      </c>
      <c r="CT79" s="11">
        <f t="shared" si="73"/>
        <v>6.2441664010766326E-3</v>
      </c>
      <c r="CU79" s="11">
        <f t="shared" si="73"/>
        <v>-0.11196451640183278</v>
      </c>
      <c r="CV79" s="11">
        <f t="shared" si="73"/>
        <v>6.6319962482479802E-2</v>
      </c>
      <c r="CW79" s="11">
        <f t="shared" si="73"/>
        <v>5.2647366994158527E-2</v>
      </c>
      <c r="CX79" s="11">
        <f t="shared" si="73"/>
        <v>4.4640780622620564E-2</v>
      </c>
      <c r="CY79" s="11">
        <f t="shared" si="73"/>
        <v>0.26680945919447868</v>
      </c>
      <c r="CZ79" s="11">
        <f t="shared" si="73"/>
        <v>-1.7621149933992209E-3</v>
      </c>
      <c r="DA79" s="11">
        <f t="shared" si="73"/>
        <v>4.1964199099032207E-2</v>
      </c>
      <c r="DB79" s="11">
        <f t="shared" si="73"/>
        <v>-6.9444723528110461E-3</v>
      </c>
      <c r="DC79" s="11">
        <f t="shared" si="73"/>
        <v>-5.6105101629279081E-3</v>
      </c>
      <c r="DD79" s="11">
        <f t="shared" si="73"/>
        <v>-0.41502160578803032</v>
      </c>
      <c r="DE79" s="11">
        <f t="shared" si="73"/>
        <v>0.10808041223693102</v>
      </c>
      <c r="DF79" s="11">
        <f t="shared" ref="DF79:DU79" si="74">LN(DF17/DF16)</f>
        <v>3.1266309994319222E-3</v>
      </c>
      <c r="DG79" s="11">
        <f t="shared" si="74"/>
        <v>-8.1500043619244147E-3</v>
      </c>
      <c r="DH79" s="11">
        <f t="shared" si="74"/>
        <v>-1.610394227575444E-2</v>
      </c>
      <c r="DI79" s="11">
        <f t="shared" si="74"/>
        <v>4.2828707870152173E-2</v>
      </c>
      <c r="DJ79" s="11">
        <f t="shared" si="74"/>
        <v>1.2775821199381935E-3</v>
      </c>
      <c r="DK79" s="11">
        <f t="shared" si="74"/>
        <v>6.8980839522373383E-2</v>
      </c>
      <c r="DL79" s="11">
        <f t="shared" si="74"/>
        <v>5.6570088380059474E-2</v>
      </c>
      <c r="DM79" s="11">
        <f t="shared" si="74"/>
        <v>6.3634153164862386E-2</v>
      </c>
      <c r="DN79" s="11">
        <f t="shared" si="74"/>
        <v>6.7949489030300708E-2</v>
      </c>
      <c r="DO79" s="11">
        <f t="shared" si="74"/>
        <v>2.8783694512984646E-2</v>
      </c>
      <c r="DP79" s="11">
        <f t="shared" si="74"/>
        <v>8.5042735196884096E-4</v>
      </c>
      <c r="DQ79" s="11">
        <f t="shared" si="74"/>
        <v>-5.9584254558764883E-3</v>
      </c>
      <c r="DR79" s="11">
        <f t="shared" si="74"/>
        <v>9.5646480434606052E-2</v>
      </c>
      <c r="DS79" s="11">
        <f t="shared" si="74"/>
        <v>1.5990325867940757E-2</v>
      </c>
      <c r="DT79" s="11">
        <f t="shared" si="74"/>
        <v>3.6070796457022276E-2</v>
      </c>
      <c r="DU79" s="11">
        <f t="shared" si="74"/>
        <v>1.9686900870487582E-2</v>
      </c>
      <c r="DV79" s="11">
        <f t="shared" si="13"/>
        <v>6.087543288870239E-2</v>
      </c>
      <c r="DW79" s="11">
        <f t="shared" si="14"/>
        <v>0.12925455482301684</v>
      </c>
      <c r="DX79" s="11">
        <f t="shared" si="14"/>
        <v>0.13088067950639048</v>
      </c>
      <c r="DY79" s="11">
        <f t="shared" si="14"/>
        <v>8.4346971387508438E-3</v>
      </c>
      <c r="DZ79" s="11">
        <f t="shared" si="14"/>
        <v>-0.12976433399226445</v>
      </c>
    </row>
    <row r="80" spans="1:130" ht="15">
      <c r="A80" s="8">
        <v>43132</v>
      </c>
      <c r="B80" s="11">
        <f t="shared" si="6"/>
        <v>-6.2018447141367339E-2</v>
      </c>
      <c r="C80" s="11">
        <f t="shared" si="6"/>
        <v>-1.9905465789779725E-2</v>
      </c>
      <c r="D80" s="11">
        <f t="shared" si="7"/>
        <v>-5.5924226530472604E-2</v>
      </c>
      <c r="E80" s="11">
        <f t="shared" si="7"/>
        <v>3.8809773764979981E-2</v>
      </c>
      <c r="F80" s="11">
        <f t="shared" si="7"/>
        <v>-8.8715987963841961E-2</v>
      </c>
      <c r="G80" s="11">
        <f t="shared" si="7"/>
        <v>-1.2329902024250128E-2</v>
      </c>
      <c r="H80" s="11">
        <f t="shared" si="7"/>
        <v>6.245525923806667E-2</v>
      </c>
      <c r="I80" s="11">
        <f t="shared" ref="I80:M80" si="75">LN(I18/I17)</f>
        <v>-7.1814505151871405E-2</v>
      </c>
      <c r="J80" s="11">
        <f t="shared" si="75"/>
        <v>-2.0058849939580743E-2</v>
      </c>
      <c r="K80" s="11">
        <f t="shared" si="75"/>
        <v>1.0153098903029239E-3</v>
      </c>
      <c r="L80" s="11">
        <f t="shared" si="75"/>
        <v>-3.6036783803655693E-2</v>
      </c>
      <c r="M80" s="11">
        <f t="shared" si="75"/>
        <v>-6.8185956354059288E-2</v>
      </c>
      <c r="N80" s="11">
        <f t="shared" ref="N80:AS80" si="76">LN(N18/N17)</f>
        <v>-3.8504656832052883E-2</v>
      </c>
      <c r="O80" s="11">
        <f t="shared" si="76"/>
        <v>-9.1493759262612717E-2</v>
      </c>
      <c r="P80" s="11">
        <f t="shared" si="76"/>
        <v>-4.5888566434638983E-2</v>
      </c>
      <c r="Q80" s="11">
        <f t="shared" si="76"/>
        <v>-0.14379100066081099</v>
      </c>
      <c r="R80" s="11">
        <f t="shared" si="76"/>
        <v>-5.1622588780388896E-2</v>
      </c>
      <c r="S80" s="11">
        <f t="shared" si="76"/>
        <v>-0.13471266319289241</v>
      </c>
      <c r="T80" s="11">
        <f t="shared" si="76"/>
        <v>-2.5111256330067454E-2</v>
      </c>
      <c r="U80" s="11">
        <f t="shared" si="76"/>
        <v>-7.2416708619431142E-2</v>
      </c>
      <c r="V80" s="11">
        <f t="shared" si="76"/>
        <v>-1.359764866835589E-2</v>
      </c>
      <c r="W80" s="11">
        <f t="shared" si="76"/>
        <v>-0.10861270657728114</v>
      </c>
      <c r="X80" s="11">
        <f t="shared" si="76"/>
        <v>5.4069241320537129E-2</v>
      </c>
      <c r="Y80" s="11">
        <f t="shared" si="76"/>
        <v>-6.0858078367296738E-2</v>
      </c>
      <c r="Z80" s="11">
        <f t="shared" si="76"/>
        <v>-9.0047235580697646E-2</v>
      </c>
      <c r="AA80" s="11">
        <f t="shared" si="76"/>
        <v>-1.2166280678317452E-2</v>
      </c>
      <c r="AB80" s="11">
        <f t="shared" si="76"/>
        <v>-5.6324475958753367E-2</v>
      </c>
      <c r="AC80" s="11">
        <f t="shared" si="76"/>
        <v>-6.0667888460762605E-2</v>
      </c>
      <c r="AD80" s="11">
        <f t="shared" si="76"/>
        <v>-1.3137121335006691E-2</v>
      </c>
      <c r="AE80" s="11">
        <f t="shared" si="76"/>
        <v>4.5839422194899303E-2</v>
      </c>
      <c r="AF80" s="11">
        <f t="shared" si="76"/>
        <v>-1.4107117036072283E-2</v>
      </c>
      <c r="AG80" s="11">
        <f t="shared" si="76"/>
        <v>-8.9635779527991719E-2</v>
      </c>
      <c r="AH80" s="11">
        <f t="shared" si="76"/>
        <v>9.1868516498489122E-2</v>
      </c>
      <c r="AI80" s="11">
        <f t="shared" si="76"/>
        <v>9.5263559268293132E-3</v>
      </c>
      <c r="AJ80" s="11">
        <f t="shared" si="76"/>
        <v>6.9914751133280271E-3</v>
      </c>
      <c r="AK80" s="11">
        <f t="shared" si="76"/>
        <v>-3.5130446390351525E-2</v>
      </c>
      <c r="AL80" s="11">
        <f t="shared" si="76"/>
        <v>2.7163343454044465E-2</v>
      </c>
      <c r="AM80" s="11">
        <f t="shared" si="76"/>
        <v>-1.5580476811125373E-2</v>
      </c>
      <c r="AN80" s="11">
        <f t="shared" si="76"/>
        <v>2.3607994494194373E-2</v>
      </c>
      <c r="AO80" s="11">
        <f t="shared" si="76"/>
        <v>-6.3500520200896176E-3</v>
      </c>
      <c r="AP80" s="11">
        <f t="shared" si="76"/>
        <v>-6.5902095248806369E-3</v>
      </c>
      <c r="AQ80" s="11">
        <f t="shared" si="76"/>
        <v>-4.8790402484425614E-2</v>
      </c>
      <c r="AR80" s="11">
        <f t="shared" si="76"/>
        <v>-0.12627972922920247</v>
      </c>
      <c r="AS80" s="11">
        <f t="shared" si="76"/>
        <v>0.11012965485003418</v>
      </c>
      <c r="AT80" s="11">
        <f t="shared" ref="AT80:BY80" si="77">LN(AT18/AT17)</f>
        <v>-1.9008289258735597E-2</v>
      </c>
      <c r="AU80" s="11">
        <f t="shared" si="77"/>
        <v>3.5435207233665889E-2</v>
      </c>
      <c r="AV80" s="11">
        <f t="shared" si="77"/>
        <v>-6.8340595975523E-2</v>
      </c>
      <c r="AW80" s="11">
        <f t="shared" si="77"/>
        <v>-2.4538340600497338E-2</v>
      </c>
      <c r="AX80" s="11">
        <f t="shared" si="77"/>
        <v>0.11676571952689314</v>
      </c>
      <c r="AY80" s="11">
        <f t="shared" si="77"/>
        <v>6.1891910730953015E-2</v>
      </c>
      <c r="AZ80" s="11">
        <f t="shared" si="77"/>
        <v>2.0334381555644994E-2</v>
      </c>
      <c r="BA80" s="11">
        <f t="shared" si="77"/>
        <v>7.8393032967881179E-2</v>
      </c>
      <c r="BB80" s="11">
        <f t="shared" si="77"/>
        <v>-6.0584781438578997E-2</v>
      </c>
      <c r="BC80" s="11">
        <f t="shared" si="77"/>
        <v>6.1880065160675795E-3</v>
      </c>
      <c r="BD80" s="11">
        <f t="shared" si="77"/>
        <v>1.0208365711574404E-2</v>
      </c>
      <c r="BE80" s="11">
        <f t="shared" si="77"/>
        <v>2.9973750446780933E-3</v>
      </c>
      <c r="BF80" s="11">
        <f t="shared" si="77"/>
        <v>-4.9269758758030441E-2</v>
      </c>
      <c r="BG80" s="11">
        <f t="shared" si="77"/>
        <v>4.1553691283207392E-2</v>
      </c>
      <c r="BH80" s="11">
        <f t="shared" si="77"/>
        <v>5.4663838478735065E-2</v>
      </c>
      <c r="BI80" s="11">
        <f t="shared" si="77"/>
        <v>0.29947263097895399</v>
      </c>
      <c r="BJ80" s="11">
        <f t="shared" si="77"/>
        <v>-7.4888105333885929E-2</v>
      </c>
      <c r="BK80" s="11">
        <f t="shared" si="77"/>
        <v>-8.1533706486897506E-2</v>
      </c>
      <c r="BL80" s="11">
        <f t="shared" si="77"/>
        <v>5.0918030741577925E-3</v>
      </c>
      <c r="BM80" s="11">
        <f t="shared" si="77"/>
        <v>-3.2534443256735712E-2</v>
      </c>
      <c r="BN80" s="11">
        <f t="shared" si="77"/>
        <v>-1.7597597916070167E-2</v>
      </c>
      <c r="BO80" s="11">
        <f t="shared" si="77"/>
        <v>-9.7318106951715236E-2</v>
      </c>
      <c r="BP80" s="11">
        <f t="shared" si="77"/>
        <v>-5.2538492430303674E-2</v>
      </c>
      <c r="BQ80" s="11">
        <f t="shared" si="77"/>
        <v>4.2701431082406156E-2</v>
      </c>
      <c r="BR80" s="11">
        <f t="shared" si="77"/>
        <v>-5.600795746316329E-2</v>
      </c>
      <c r="BS80" s="11">
        <f t="shared" si="77"/>
        <v>6.1847998201480722E-2</v>
      </c>
      <c r="BT80" s="11">
        <f t="shared" si="77"/>
        <v>-6.7886432382844128E-2</v>
      </c>
      <c r="BU80" s="11">
        <f t="shared" si="77"/>
        <v>-3.8686535630259943E-2</v>
      </c>
      <c r="BV80" s="11">
        <f t="shared" si="77"/>
        <v>2.5317057070038295E-2</v>
      </c>
      <c r="BW80" s="11">
        <f t="shared" si="77"/>
        <v>-1.5289041019295842E-2</v>
      </c>
      <c r="BX80" s="11">
        <f t="shared" si="77"/>
        <v>-0.16070749035461901</v>
      </c>
      <c r="BY80" s="11">
        <f t="shared" si="77"/>
        <v>-2.3699459742037382E-2</v>
      </c>
      <c r="BZ80" s="11">
        <f t="shared" ref="BZ80:DE80" si="78">LN(BZ18/BZ17)</f>
        <v>-8.7344810903874498E-2</v>
      </c>
      <c r="CA80" s="11">
        <f t="shared" si="78"/>
        <v>-9.6319248129996898E-2</v>
      </c>
      <c r="CB80" s="11">
        <f t="shared" si="78"/>
        <v>-9.1965744429071031E-2</v>
      </c>
      <c r="CC80" s="11">
        <f t="shared" si="78"/>
        <v>-3.4921431454942774E-2</v>
      </c>
      <c r="CD80" s="11">
        <f t="shared" si="78"/>
        <v>-9.0187758651021008E-2</v>
      </c>
      <c r="CE80" s="11">
        <f t="shared" si="78"/>
        <v>-5.9531116416810061E-2</v>
      </c>
      <c r="CF80" s="11">
        <f t="shared" si="78"/>
        <v>-6.6490971922416514E-2</v>
      </c>
      <c r="CG80" s="11">
        <f t="shared" si="78"/>
        <v>2.5458948701100659E-2</v>
      </c>
      <c r="CH80" s="11">
        <f t="shared" si="78"/>
        <v>-1.132544018795981E-2</v>
      </c>
      <c r="CI80" s="11">
        <f t="shared" si="78"/>
        <v>-3.83208388196715E-2</v>
      </c>
      <c r="CJ80" s="11">
        <f t="shared" si="78"/>
        <v>-6.8456432059338337E-2</v>
      </c>
      <c r="CK80" s="11">
        <f t="shared" si="78"/>
        <v>-0.15625787924994422</v>
      </c>
      <c r="CL80" s="11">
        <f t="shared" si="78"/>
        <v>-4.661958892655247E-2</v>
      </c>
      <c r="CM80" s="11">
        <f t="shared" si="78"/>
        <v>-5.0684836003755361E-2</v>
      </c>
      <c r="CN80" s="11">
        <f t="shared" si="78"/>
        <v>-2.8443650261789202E-2</v>
      </c>
      <c r="CO80" s="11">
        <f t="shared" si="78"/>
        <v>-1.8464851475648775E-2</v>
      </c>
      <c r="CP80" s="11">
        <f t="shared" si="78"/>
        <v>6.9361643592489308E-3</v>
      </c>
      <c r="CQ80" s="11">
        <f t="shared" si="78"/>
        <v>-8.7378632783188012E-2</v>
      </c>
      <c r="CR80" s="11">
        <f t="shared" si="78"/>
        <v>-7.0789166885745783E-2</v>
      </c>
      <c r="CS80" s="11">
        <f t="shared" si="78"/>
        <v>-2.8776178572980177E-2</v>
      </c>
      <c r="CT80" s="11">
        <f t="shared" si="78"/>
        <v>3.8466280827795928E-2</v>
      </c>
      <c r="CU80" s="11">
        <f t="shared" si="78"/>
        <v>-9.7112306801330525E-2</v>
      </c>
      <c r="CV80" s="11">
        <f t="shared" si="78"/>
        <v>-0.19837797304295471</v>
      </c>
      <c r="CW80" s="11">
        <f t="shared" si="78"/>
        <v>-6.317797961138627E-2</v>
      </c>
      <c r="CX80" s="11">
        <f t="shared" si="78"/>
        <v>-0.26236426446749084</v>
      </c>
      <c r="CY80" s="11">
        <f t="shared" si="78"/>
        <v>-0.25633414075486077</v>
      </c>
      <c r="CZ80" s="11">
        <f t="shared" si="78"/>
        <v>-6.9370871869452802E-2</v>
      </c>
      <c r="DA80" s="11">
        <f t="shared" si="78"/>
        <v>-9.8912550969927668E-2</v>
      </c>
      <c r="DB80" s="11">
        <f t="shared" si="78"/>
        <v>-0.16848050538208315</v>
      </c>
      <c r="DC80" s="11">
        <f t="shared" si="78"/>
        <v>-7.1406816274819318E-2</v>
      </c>
      <c r="DD80" s="11">
        <f t="shared" si="78"/>
        <v>0.10536034189971474</v>
      </c>
      <c r="DE80" s="11">
        <f t="shared" si="78"/>
        <v>-5.2785952595067881E-2</v>
      </c>
      <c r="DF80" s="11">
        <f t="shared" ref="DF80:DU80" si="79">LN(DF18/DF17)</f>
        <v>-9.6038853130690313E-2</v>
      </c>
      <c r="DG80" s="11">
        <f t="shared" si="79"/>
        <v>-4.3485111939738891E-2</v>
      </c>
      <c r="DH80" s="11">
        <f t="shared" si="79"/>
        <v>9.4945328880804928E-3</v>
      </c>
      <c r="DI80" s="11">
        <f t="shared" si="79"/>
        <v>-0.14204409234393958</v>
      </c>
      <c r="DJ80" s="11">
        <f t="shared" si="79"/>
        <v>-0.11332584173340833</v>
      </c>
      <c r="DK80" s="11">
        <f t="shared" si="79"/>
        <v>-7.9603636975677086E-2</v>
      </c>
      <c r="DL80" s="11">
        <f t="shared" si="79"/>
        <v>-7.1843622845695107E-2</v>
      </c>
      <c r="DM80" s="11">
        <f t="shared" si="79"/>
        <v>-0.12420854863602068</v>
      </c>
      <c r="DN80" s="11">
        <f t="shared" si="79"/>
        <v>-0.10621890562934694</v>
      </c>
      <c r="DO80" s="11">
        <f t="shared" si="79"/>
        <v>-0.13351238230567261</v>
      </c>
      <c r="DP80" s="11">
        <f t="shared" si="79"/>
        <v>-0.29927077032052712</v>
      </c>
      <c r="DQ80" s="11">
        <f t="shared" si="79"/>
        <v>-6.8758328474660853E-3</v>
      </c>
      <c r="DR80" s="11">
        <f t="shared" si="79"/>
        <v>-0.11418785230915882</v>
      </c>
      <c r="DS80" s="11">
        <f t="shared" si="79"/>
        <v>-0.19704852562826983</v>
      </c>
      <c r="DT80" s="11">
        <f t="shared" si="79"/>
        <v>-0.11893875802956855</v>
      </c>
      <c r="DU80" s="11">
        <f t="shared" si="79"/>
        <v>-4.4315718434053249E-2</v>
      </c>
      <c r="DV80" s="11">
        <f t="shared" si="13"/>
        <v>-0.26763920547158121</v>
      </c>
      <c r="DW80" s="11">
        <f t="shared" si="14"/>
        <v>-3.2266877159799034E-2</v>
      </c>
      <c r="DX80" s="11">
        <f t="shared" si="14"/>
        <v>3.8657089646203791E-2</v>
      </c>
      <c r="DY80" s="11">
        <f t="shared" si="14"/>
        <v>-3.8891898231991712E-2</v>
      </c>
      <c r="DZ80" s="11">
        <f t="shared" si="14"/>
        <v>-9.0394880912034008E-3</v>
      </c>
    </row>
    <row r="81" spans="1:130" ht="15">
      <c r="A81" s="8">
        <v>43160</v>
      </c>
      <c r="B81" s="11">
        <f t="shared" si="6"/>
        <v>-7.0267386899265328E-3</v>
      </c>
      <c r="C81" s="11">
        <f t="shared" si="6"/>
        <v>-1.3620302389309741E-2</v>
      </c>
      <c r="D81" s="11">
        <f t="shared" si="7"/>
        <v>1.1949030955489633E-2</v>
      </c>
      <c r="E81" s="11">
        <f t="shared" si="7"/>
        <v>-0.20193756235019975</v>
      </c>
      <c r="F81" s="11">
        <f t="shared" si="7"/>
        <v>4.6002475638149756E-3</v>
      </c>
      <c r="G81" s="11">
        <f t="shared" si="7"/>
        <v>-6.7536376463249156E-2</v>
      </c>
      <c r="H81" s="11">
        <f t="shared" si="7"/>
        <v>-4.5585094373668464E-2</v>
      </c>
      <c r="I81" s="11">
        <f t="shared" ref="I81:M81" si="80">LN(I19/I18)</f>
        <v>-1.0215435305978465E-2</v>
      </c>
      <c r="J81" s="11">
        <f t="shared" si="80"/>
        <v>3.6176539916657119E-2</v>
      </c>
      <c r="K81" s="11">
        <f t="shared" si="80"/>
        <v>2.197542343592045E-2</v>
      </c>
      <c r="L81" s="11">
        <f t="shared" si="80"/>
        <v>0.27837635032386315</v>
      </c>
      <c r="M81" s="11">
        <f t="shared" si="80"/>
        <v>-2.4947699360221825E-2</v>
      </c>
      <c r="N81" s="11">
        <f t="shared" ref="N81:AS81" si="81">LN(N19/N18)</f>
        <v>-2.2398706167654579E-3</v>
      </c>
      <c r="O81" s="11">
        <f t="shared" si="81"/>
        <v>-6.9181829280950471E-2</v>
      </c>
      <c r="P81" s="11">
        <f t="shared" si="81"/>
        <v>-5.5267057339562338E-2</v>
      </c>
      <c r="Q81" s="11">
        <f t="shared" si="81"/>
        <v>-8.5013470588345519E-2</v>
      </c>
      <c r="R81" s="11">
        <f t="shared" si="81"/>
        <v>-6.8938314651051463E-2</v>
      </c>
      <c r="S81" s="11">
        <f t="shared" si="81"/>
        <v>7.1992570442837953E-2</v>
      </c>
      <c r="T81" s="11">
        <f t="shared" si="81"/>
        <v>-6.8192214469551494E-3</v>
      </c>
      <c r="U81" s="11">
        <f t="shared" si="81"/>
        <v>4.1222532934890388E-3</v>
      </c>
      <c r="V81" s="11">
        <f t="shared" si="81"/>
        <v>-7.6758822098555706E-3</v>
      </c>
      <c r="W81" s="11">
        <f t="shared" si="81"/>
        <v>-1.6665039706076922E-2</v>
      </c>
      <c r="X81" s="11">
        <f t="shared" si="81"/>
        <v>3.2247182710811159E-2</v>
      </c>
      <c r="Y81" s="11">
        <f t="shared" si="81"/>
        <v>2.0862148201380541E-2</v>
      </c>
      <c r="Z81" s="11">
        <f t="shared" si="81"/>
        <v>-2.4253477709744141E-2</v>
      </c>
      <c r="AA81" s="11">
        <f t="shared" si="81"/>
        <v>-3.245924081981854E-2</v>
      </c>
      <c r="AB81" s="11">
        <f t="shared" si="81"/>
        <v>3.6726194551606396E-2</v>
      </c>
      <c r="AC81" s="11">
        <f t="shared" si="81"/>
        <v>-4.1412077544093297E-2</v>
      </c>
      <c r="AD81" s="11">
        <f t="shared" si="81"/>
        <v>-2.2336504225169494E-2</v>
      </c>
      <c r="AE81" s="11">
        <f t="shared" si="81"/>
        <v>3.2692641317943215E-2</v>
      </c>
      <c r="AF81" s="11">
        <f t="shared" si="81"/>
        <v>-0.10214211624438678</v>
      </c>
      <c r="AG81" s="11">
        <f t="shared" si="81"/>
        <v>-1.7033346128752191E-2</v>
      </c>
      <c r="AH81" s="11">
        <f t="shared" si="81"/>
        <v>5.9796763764291702E-2</v>
      </c>
      <c r="AI81" s="11">
        <f t="shared" si="81"/>
        <v>2.1656571509858558E-2</v>
      </c>
      <c r="AJ81" s="11">
        <f t="shared" si="81"/>
        <v>5.0863317584846295E-2</v>
      </c>
      <c r="AK81" s="11">
        <f t="shared" si="81"/>
        <v>-1.4098635606302616E-2</v>
      </c>
      <c r="AL81" s="11">
        <f t="shared" si="81"/>
        <v>-2.6679165682178561E-2</v>
      </c>
      <c r="AM81" s="11">
        <f t="shared" si="81"/>
        <v>-4.3347869239217601E-2</v>
      </c>
      <c r="AN81" s="11">
        <f t="shared" si="81"/>
        <v>6.1821232075545386E-2</v>
      </c>
      <c r="AO81" s="11">
        <f t="shared" si="81"/>
        <v>-4.4851782730575745E-2</v>
      </c>
      <c r="AP81" s="11">
        <f t="shared" si="81"/>
        <v>-4.20341686541068E-2</v>
      </c>
      <c r="AQ81" s="11">
        <f t="shared" si="81"/>
        <v>-0.15108095169209046</v>
      </c>
      <c r="AR81" s="11">
        <f t="shared" si="81"/>
        <v>-0.18645892305991604</v>
      </c>
      <c r="AS81" s="11">
        <f t="shared" si="81"/>
        <v>6.5997161776221183E-2</v>
      </c>
      <c r="AT81" s="11">
        <f t="shared" ref="AT81:BY81" si="82">LN(AT19/AT18)</f>
        <v>1.0811884100776586E-2</v>
      </c>
      <c r="AU81" s="11">
        <f t="shared" si="82"/>
        <v>-6.3416145639433569E-2</v>
      </c>
      <c r="AV81" s="11">
        <f t="shared" si="82"/>
        <v>3.1319568763682644E-2</v>
      </c>
      <c r="AW81" s="11">
        <f t="shared" si="82"/>
        <v>1.9038842649777298E-2</v>
      </c>
      <c r="AX81" s="11">
        <f t="shared" si="82"/>
        <v>-8.2860556973331376E-2</v>
      </c>
      <c r="AY81" s="11">
        <f t="shared" si="82"/>
        <v>-5.5734816369090188E-2</v>
      </c>
      <c r="AZ81" s="11">
        <f t="shared" si="82"/>
        <v>4.3001505715310057E-4</v>
      </c>
      <c r="BA81" s="11">
        <f t="shared" si="82"/>
        <v>2.7202559510773938E-2</v>
      </c>
      <c r="BB81" s="11">
        <f t="shared" si="82"/>
        <v>-5.2468749785647981E-3</v>
      </c>
      <c r="BC81" s="11">
        <f t="shared" si="82"/>
        <v>0.10835538838408931</v>
      </c>
      <c r="BD81" s="11">
        <f t="shared" si="82"/>
        <v>1.0252706967198667E-2</v>
      </c>
      <c r="BE81" s="11">
        <f t="shared" si="82"/>
        <v>-6.4909534880484426E-2</v>
      </c>
      <c r="BF81" s="11">
        <f t="shared" si="82"/>
        <v>-5.7234608720208042E-3</v>
      </c>
      <c r="BG81" s="11">
        <f t="shared" si="82"/>
        <v>-4.400346357554423E-2</v>
      </c>
      <c r="BH81" s="11">
        <f t="shared" si="82"/>
        <v>-6.3077556140755844E-2</v>
      </c>
      <c r="BI81" s="11">
        <f t="shared" si="82"/>
        <v>0.1031455001172821</v>
      </c>
      <c r="BJ81" s="11">
        <f t="shared" si="82"/>
        <v>-7.9576818993626605E-2</v>
      </c>
      <c r="BK81" s="11">
        <f t="shared" si="82"/>
        <v>-2.3529193712992866E-3</v>
      </c>
      <c r="BL81" s="11">
        <f t="shared" si="82"/>
        <v>1.914969283062538E-2</v>
      </c>
      <c r="BM81" s="11">
        <f t="shared" si="82"/>
        <v>-7.8263665661447865E-2</v>
      </c>
      <c r="BN81" s="11">
        <f t="shared" si="82"/>
        <v>-8.8410261938014732E-3</v>
      </c>
      <c r="BO81" s="11">
        <f t="shared" si="82"/>
        <v>-2.2358077407553394E-2</v>
      </c>
      <c r="BP81" s="11">
        <f t="shared" si="82"/>
        <v>-5.6073097349799955E-2</v>
      </c>
      <c r="BQ81" s="11">
        <f t="shared" si="82"/>
        <v>-3.5234283135394165E-3</v>
      </c>
      <c r="BR81" s="11">
        <f t="shared" si="82"/>
        <v>-1.4223578469654552E-2</v>
      </c>
      <c r="BS81" s="11">
        <f t="shared" si="82"/>
        <v>2.2531413020914739E-2</v>
      </c>
      <c r="BT81" s="11">
        <f t="shared" si="82"/>
        <v>-1.358925947911009E-2</v>
      </c>
      <c r="BU81" s="11">
        <f t="shared" si="82"/>
        <v>4.9671908652118076E-2</v>
      </c>
      <c r="BV81" s="11">
        <f t="shared" si="82"/>
        <v>4.8916263885788458E-2</v>
      </c>
      <c r="BW81" s="11">
        <f t="shared" si="82"/>
        <v>-0.24283539001586596</v>
      </c>
      <c r="BX81" s="11">
        <f t="shared" si="82"/>
        <v>-2.5745354065160042E-2</v>
      </c>
      <c r="BY81" s="11">
        <f t="shared" si="82"/>
        <v>3.6946468943359227E-2</v>
      </c>
      <c r="BZ81" s="11">
        <f t="shared" ref="BZ81:DE81" si="83">LN(BZ19/BZ18)</f>
        <v>9.6321709859811533E-3</v>
      </c>
      <c r="CA81" s="11">
        <f t="shared" si="83"/>
        <v>4.8467948415966845E-3</v>
      </c>
      <c r="CB81" s="11">
        <f t="shared" si="83"/>
        <v>-5.2999520592862557E-3</v>
      </c>
      <c r="CC81" s="11">
        <f t="shared" si="83"/>
        <v>-4.0902710248758044E-2</v>
      </c>
      <c r="CD81" s="11">
        <f t="shared" si="83"/>
        <v>8.232566347069499E-2</v>
      </c>
      <c r="CE81" s="11">
        <f t="shared" si="83"/>
        <v>8.73403935168858E-3</v>
      </c>
      <c r="CF81" s="11">
        <f t="shared" si="83"/>
        <v>3.4799237859830821E-2</v>
      </c>
      <c r="CG81" s="11">
        <f t="shared" si="83"/>
        <v>8.098500477782003E-2</v>
      </c>
      <c r="CH81" s="11">
        <f t="shared" si="83"/>
        <v>-5.0693645673831035E-2</v>
      </c>
      <c r="CI81" s="11">
        <f t="shared" si="83"/>
        <v>-2.3880249623544032E-2</v>
      </c>
      <c r="CJ81" s="11">
        <f t="shared" si="83"/>
        <v>3.8539763341873166E-2</v>
      </c>
      <c r="CK81" s="11">
        <f t="shared" si="83"/>
        <v>-7.3637657961896155E-2</v>
      </c>
      <c r="CL81" s="11">
        <f t="shared" si="83"/>
        <v>5.1833609723326499E-3</v>
      </c>
      <c r="CM81" s="11">
        <f t="shared" si="83"/>
        <v>5.5719918308915206E-2</v>
      </c>
      <c r="CN81" s="11">
        <f t="shared" si="83"/>
        <v>-1.8139429812005718E-2</v>
      </c>
      <c r="CO81" s="11">
        <f t="shared" si="83"/>
        <v>-3.6590571599515822E-3</v>
      </c>
      <c r="CP81" s="11">
        <f t="shared" si="83"/>
        <v>2.7998802414856427E-2</v>
      </c>
      <c r="CQ81" s="11">
        <f t="shared" si="83"/>
        <v>3.0743806205416023E-2</v>
      </c>
      <c r="CR81" s="11">
        <f t="shared" si="83"/>
        <v>6.0214126654931747E-3</v>
      </c>
      <c r="CS81" s="11">
        <f t="shared" si="83"/>
        <v>9.3790032045411119E-5</v>
      </c>
      <c r="CT81" s="11">
        <f t="shared" si="83"/>
        <v>-1.8742991244839805E-2</v>
      </c>
      <c r="CU81" s="11">
        <f t="shared" si="83"/>
        <v>-2.3691130114413154E-2</v>
      </c>
      <c r="CV81" s="11">
        <f t="shared" si="83"/>
        <v>1.0828838242840973E-2</v>
      </c>
      <c r="CW81" s="11">
        <f t="shared" si="83"/>
        <v>-2.5899702044504813E-2</v>
      </c>
      <c r="CX81" s="11">
        <f t="shared" si="83"/>
        <v>4.4921687391511651E-2</v>
      </c>
      <c r="CY81" s="11">
        <f t="shared" si="83"/>
        <v>1.3930971565207411E-2</v>
      </c>
      <c r="CZ81" s="11">
        <f t="shared" si="83"/>
        <v>7.6400777797710914E-2</v>
      </c>
      <c r="DA81" s="11">
        <f t="shared" si="83"/>
        <v>4.2559614418795903E-2</v>
      </c>
      <c r="DB81" s="11">
        <f t="shared" si="83"/>
        <v>0.48026012941292467</v>
      </c>
      <c r="DC81" s="11">
        <f t="shared" si="83"/>
        <v>-2.9970299805518501E-2</v>
      </c>
      <c r="DD81" s="11">
        <f t="shared" si="83"/>
        <v>-1.8692014987771639E-2</v>
      </c>
      <c r="DE81" s="11">
        <f t="shared" si="83"/>
        <v>5.6330377921192033E-2</v>
      </c>
      <c r="DF81" s="11">
        <f t="shared" ref="DF81:DU81" si="84">LN(DF19/DF18)</f>
        <v>-4.2111485350126848E-2</v>
      </c>
      <c r="DG81" s="11">
        <f t="shared" si="84"/>
        <v>-1.7108644036294301E-3</v>
      </c>
      <c r="DH81" s="11">
        <f t="shared" si="84"/>
        <v>-9.829316955486023E-3</v>
      </c>
      <c r="DI81" s="11">
        <f t="shared" si="84"/>
        <v>-4.8582628520299313E-3</v>
      </c>
      <c r="DJ81" s="11">
        <f t="shared" si="84"/>
        <v>2.8670323159629391E-2</v>
      </c>
      <c r="DK81" s="11">
        <f t="shared" si="84"/>
        <v>9.3099705586946788E-2</v>
      </c>
      <c r="DL81" s="11">
        <f t="shared" si="84"/>
        <v>9.0639069599473474E-3</v>
      </c>
      <c r="DM81" s="11">
        <f t="shared" si="84"/>
        <v>3.7258262554655606E-2</v>
      </c>
      <c r="DN81" s="11">
        <f t="shared" si="84"/>
        <v>0.10839435371515119</v>
      </c>
      <c r="DO81" s="11">
        <f t="shared" si="84"/>
        <v>-9.8039222385170269E-3</v>
      </c>
      <c r="DP81" s="11">
        <f t="shared" si="84"/>
        <v>3.5866707291648342E-2</v>
      </c>
      <c r="DQ81" s="11">
        <f t="shared" si="84"/>
        <v>1.497069726010395E-2</v>
      </c>
      <c r="DR81" s="11">
        <f t="shared" si="84"/>
        <v>-6.1558468024746991E-3</v>
      </c>
      <c r="DS81" s="11">
        <f t="shared" si="84"/>
        <v>5.6154783314630058E-2</v>
      </c>
      <c r="DT81" s="11">
        <f t="shared" si="84"/>
        <v>2.1623961174515916E-2</v>
      </c>
      <c r="DU81" s="11">
        <f t="shared" si="84"/>
        <v>4.7853657897895772E-2</v>
      </c>
      <c r="DV81" s="11">
        <f t="shared" si="13"/>
        <v>0.11937615059746329</v>
      </c>
      <c r="DW81" s="11">
        <f t="shared" si="14"/>
        <v>-0.25392044778107375</v>
      </c>
      <c r="DX81" s="11">
        <f t="shared" si="14"/>
        <v>-3.0157828588857717E-2</v>
      </c>
      <c r="DY81" s="11">
        <f t="shared" si="14"/>
        <v>2.4794480369689672E-2</v>
      </c>
      <c r="DZ81" s="11">
        <f t="shared" si="14"/>
        <v>4.3344731974558535E-2</v>
      </c>
    </row>
    <row r="82" spans="1:130" ht="15">
      <c r="A82" s="8">
        <v>43191</v>
      </c>
      <c r="B82" s="11">
        <f t="shared" si="6"/>
        <v>-1.3038772337461748E-2</v>
      </c>
      <c r="C82" s="11">
        <f t="shared" si="6"/>
        <v>3.1070398266958541E-2</v>
      </c>
      <c r="D82" s="11">
        <f t="shared" si="7"/>
        <v>4.6713804619081409E-2</v>
      </c>
      <c r="E82" s="11">
        <f t="shared" si="7"/>
        <v>1.9875118773247998E-2</v>
      </c>
      <c r="F82" s="11">
        <f t="shared" si="7"/>
        <v>8.638838017215808E-2</v>
      </c>
      <c r="G82" s="11">
        <f t="shared" si="7"/>
        <v>2.319213291316705E-2</v>
      </c>
      <c r="H82" s="11">
        <f t="shared" si="7"/>
        <v>-0.19335463352716839</v>
      </c>
      <c r="I82" s="11">
        <f t="shared" ref="I82:M82" si="85">LN(I20/I19)</f>
        <v>1.9456493221449288E-2</v>
      </c>
      <c r="J82" s="11">
        <f t="shared" si="85"/>
        <v>1.889655054624963E-2</v>
      </c>
      <c r="K82" s="11">
        <f t="shared" si="85"/>
        <v>1.6067516805032392E-2</v>
      </c>
      <c r="L82" s="11">
        <f t="shared" si="85"/>
        <v>-1.3302761666538869E-2</v>
      </c>
      <c r="M82" s="11">
        <f t="shared" si="85"/>
        <v>-1.7491565867576962E-2</v>
      </c>
      <c r="N82" s="11">
        <f t="shared" ref="N82:AS82" si="86">LN(N20/N19)</f>
        <v>-2.4244236925581669E-2</v>
      </c>
      <c r="O82" s="11">
        <f t="shared" si="86"/>
        <v>-2.6610437433338831E-2</v>
      </c>
      <c r="P82" s="11">
        <f t="shared" si="86"/>
        <v>0.10285485193476047</v>
      </c>
      <c r="Q82" s="11">
        <f t="shared" si="86"/>
        <v>0.11554790690245817</v>
      </c>
      <c r="R82" s="11">
        <f t="shared" si="86"/>
        <v>7.4766695145260298E-2</v>
      </c>
      <c r="S82" s="11">
        <f t="shared" si="86"/>
        <v>-0.12571310636819086</v>
      </c>
      <c r="T82" s="11">
        <f t="shared" si="86"/>
        <v>-3.0328491140370683E-2</v>
      </c>
      <c r="U82" s="11">
        <f t="shared" si="86"/>
        <v>4.6411687728485388E-3</v>
      </c>
      <c r="V82" s="11">
        <f t="shared" si="86"/>
        <v>5.4442038469443649E-2</v>
      </c>
      <c r="W82" s="11">
        <f t="shared" si="86"/>
        <v>1.2169893189995663E-3</v>
      </c>
      <c r="X82" s="11">
        <f t="shared" si="86"/>
        <v>-3.592251827845327E-4</v>
      </c>
      <c r="Y82" s="11">
        <f t="shared" si="86"/>
        <v>-6.0320882095242827E-2</v>
      </c>
      <c r="Z82" s="11">
        <f t="shared" si="86"/>
        <v>7.1091993754319502E-2</v>
      </c>
      <c r="AA82" s="11">
        <f t="shared" si="86"/>
        <v>6.5509998813245457E-2</v>
      </c>
      <c r="AB82" s="11">
        <f t="shared" si="86"/>
        <v>-3.9671571235485613E-2</v>
      </c>
      <c r="AC82" s="11">
        <f t="shared" si="86"/>
        <v>6.8687127679010473E-2</v>
      </c>
      <c r="AD82" s="11">
        <f t="shared" si="86"/>
        <v>2.4353168957424693E-2</v>
      </c>
      <c r="AE82" s="11">
        <f t="shared" si="86"/>
        <v>2.522524538876857E-2</v>
      </c>
      <c r="AF82" s="11">
        <f t="shared" si="86"/>
        <v>-1.7505266889691767E-3</v>
      </c>
      <c r="AG82" s="11">
        <f t="shared" si="86"/>
        <v>2.6905326642430314E-2</v>
      </c>
      <c r="AH82" s="11">
        <f t="shared" si="86"/>
        <v>3.2681447192951511E-2</v>
      </c>
      <c r="AI82" s="11">
        <f t="shared" si="86"/>
        <v>-9.6619109117368589E-3</v>
      </c>
      <c r="AJ82" s="11">
        <f t="shared" si="86"/>
        <v>9.3950070558304465E-3</v>
      </c>
      <c r="AK82" s="11">
        <f t="shared" si="86"/>
        <v>7.2366107577330002E-2</v>
      </c>
      <c r="AL82" s="11">
        <f t="shared" si="86"/>
        <v>0.12026173204212563</v>
      </c>
      <c r="AM82" s="11">
        <f t="shared" si="86"/>
        <v>-2.9312591592864076E-2</v>
      </c>
      <c r="AN82" s="11">
        <f t="shared" si="86"/>
        <v>-8.8718284180800671E-3</v>
      </c>
      <c r="AO82" s="11">
        <f t="shared" si="86"/>
        <v>-1.224670086909839E-2</v>
      </c>
      <c r="AP82" s="11">
        <f t="shared" si="86"/>
        <v>-2.3963486488876421E-2</v>
      </c>
      <c r="AQ82" s="11">
        <f t="shared" si="86"/>
        <v>-8.2738401175099993E-2</v>
      </c>
      <c r="AR82" s="11">
        <f t="shared" si="86"/>
        <v>7.9353606922711817E-2</v>
      </c>
      <c r="AS82" s="11">
        <f t="shared" si="86"/>
        <v>-0.12572585608831563</v>
      </c>
      <c r="AT82" s="11">
        <f t="shared" ref="AT82:BY82" si="87">LN(AT20/AT19)</f>
        <v>-3.7174759310330645E-2</v>
      </c>
      <c r="AU82" s="11">
        <f t="shared" si="87"/>
        <v>-0.10916596013529145</v>
      </c>
      <c r="AV82" s="11">
        <f t="shared" si="87"/>
        <v>-8.8046619474011656E-2</v>
      </c>
      <c r="AW82" s="11">
        <f t="shared" si="87"/>
        <v>-0.11736785351283426</v>
      </c>
      <c r="AX82" s="11">
        <f t="shared" si="87"/>
        <v>-0.14462136108660514</v>
      </c>
      <c r="AY82" s="11">
        <f t="shared" si="87"/>
        <v>-1.513377303985527E-2</v>
      </c>
      <c r="AZ82" s="11">
        <f t="shared" si="87"/>
        <v>3.9534838028767727E-2</v>
      </c>
      <c r="BA82" s="11">
        <f t="shared" si="87"/>
        <v>4.1617720433043525E-3</v>
      </c>
      <c r="BB82" s="11">
        <f t="shared" si="87"/>
        <v>3.953672826904198E-3</v>
      </c>
      <c r="BC82" s="11">
        <f t="shared" si="87"/>
        <v>-1.3644873945781949E-2</v>
      </c>
      <c r="BD82" s="11">
        <f t="shared" si="87"/>
        <v>-9.762217685063948E-2</v>
      </c>
      <c r="BE82" s="11">
        <f t="shared" si="87"/>
        <v>-1.3961322059307744E-2</v>
      </c>
      <c r="BF82" s="11">
        <f t="shared" si="87"/>
        <v>-5.6786186038679472E-2</v>
      </c>
      <c r="BG82" s="11">
        <f t="shared" si="87"/>
        <v>7.8880219222014547E-2</v>
      </c>
      <c r="BH82" s="11">
        <f t="shared" si="87"/>
        <v>-6.043835530884565E-2</v>
      </c>
      <c r="BI82" s="11">
        <f t="shared" si="87"/>
        <v>6.4850304317167498E-2</v>
      </c>
      <c r="BJ82" s="11">
        <f t="shared" si="87"/>
        <v>2.1067105330991171E-2</v>
      </c>
      <c r="BK82" s="11">
        <f t="shared" si="87"/>
        <v>6.8336597312003436E-2</v>
      </c>
      <c r="BL82" s="11">
        <f t="shared" si="87"/>
        <v>-5.5429041508798394E-3</v>
      </c>
      <c r="BM82" s="11">
        <f t="shared" si="87"/>
        <v>8.5505007717077725E-2</v>
      </c>
      <c r="BN82" s="11">
        <f t="shared" si="87"/>
        <v>3.1947613847625012E-2</v>
      </c>
      <c r="BO82" s="11">
        <f t="shared" si="87"/>
        <v>4.1829655414556473E-2</v>
      </c>
      <c r="BP82" s="11">
        <f t="shared" si="87"/>
        <v>3.1438581947181257E-2</v>
      </c>
      <c r="BQ82" s="11">
        <f t="shared" si="87"/>
        <v>9.5238557170358642E-3</v>
      </c>
      <c r="BR82" s="11">
        <f t="shared" si="87"/>
        <v>9.2590687261414964E-3</v>
      </c>
      <c r="BS82" s="11">
        <f t="shared" si="87"/>
        <v>4.5851648373470166E-2</v>
      </c>
      <c r="BT82" s="11">
        <f t="shared" si="87"/>
        <v>-3.918416788295203E-2</v>
      </c>
      <c r="BU82" s="11">
        <f t="shared" si="87"/>
        <v>2.2877245713308798E-2</v>
      </c>
      <c r="BV82" s="11">
        <f t="shared" si="87"/>
        <v>3.681478911051559E-2</v>
      </c>
      <c r="BW82" s="11">
        <f t="shared" si="87"/>
        <v>-9.0323786912031481E-2</v>
      </c>
      <c r="BX82" s="11">
        <f t="shared" si="87"/>
        <v>7.6055539726060661E-2</v>
      </c>
      <c r="BY82" s="11">
        <f t="shared" si="87"/>
        <v>-3.4676801361512126E-2</v>
      </c>
      <c r="BZ82" s="11">
        <f t="shared" ref="BZ82:DE82" si="88">LN(BZ20/BZ19)</f>
        <v>-9.1608455597875421E-2</v>
      </c>
      <c r="CA82" s="11">
        <f t="shared" si="88"/>
        <v>3.710728755501829E-3</v>
      </c>
      <c r="CB82" s="11">
        <f t="shared" si="88"/>
        <v>-7.0833406722968645E-2</v>
      </c>
      <c r="CC82" s="11">
        <f t="shared" si="88"/>
        <v>-0.18170421651767399</v>
      </c>
      <c r="CD82" s="11">
        <f t="shared" si="88"/>
        <v>7.352550940671756E-3</v>
      </c>
      <c r="CE82" s="11">
        <f t="shared" si="88"/>
        <v>4.7164440880743917E-2</v>
      </c>
      <c r="CF82" s="11">
        <f t="shared" si="88"/>
        <v>-9.3965142726143383E-2</v>
      </c>
      <c r="CG82" s="11">
        <f t="shared" si="88"/>
        <v>-1.0946803881506312E-2</v>
      </c>
      <c r="CH82" s="11">
        <f t="shared" si="88"/>
        <v>-4.9527557302811283E-2</v>
      </c>
      <c r="CI82" s="11">
        <f t="shared" si="88"/>
        <v>8.5378543288352985E-3</v>
      </c>
      <c r="CJ82" s="11">
        <f t="shared" si="88"/>
        <v>-9.4292157616187269E-2</v>
      </c>
      <c r="CK82" s="11">
        <f t="shared" si="88"/>
        <v>-9.0378312154615392E-2</v>
      </c>
      <c r="CL82" s="11">
        <f t="shared" si="88"/>
        <v>4.212880691604888E-2</v>
      </c>
      <c r="CM82" s="11">
        <f t="shared" si="88"/>
        <v>5.4710866519985517E-2</v>
      </c>
      <c r="CN82" s="11">
        <f t="shared" si="88"/>
        <v>-9.0596666181842825E-2</v>
      </c>
      <c r="CO82" s="11">
        <f t="shared" si="88"/>
        <v>-9.2542989835819166E-3</v>
      </c>
      <c r="CP82" s="11">
        <f t="shared" si="88"/>
        <v>-8.6217502122179879E-2</v>
      </c>
      <c r="CQ82" s="11">
        <f t="shared" si="88"/>
        <v>-0.12729357680320144</v>
      </c>
      <c r="CR82" s="11">
        <f t="shared" si="88"/>
        <v>-6.0191978883972236E-2</v>
      </c>
      <c r="CS82" s="11">
        <f t="shared" si="88"/>
        <v>8.1008526006861717E-2</v>
      </c>
      <c r="CT82" s="11">
        <f t="shared" si="88"/>
        <v>4.2127214976721401E-2</v>
      </c>
      <c r="CU82" s="11">
        <f t="shared" si="88"/>
        <v>-0.13045954971284504</v>
      </c>
      <c r="CV82" s="11">
        <f t="shared" si="88"/>
        <v>8.1085557468520433E-2</v>
      </c>
      <c r="CW82" s="11">
        <f t="shared" si="88"/>
        <v>3.1181837785397883E-2</v>
      </c>
      <c r="CX82" s="11">
        <f t="shared" si="88"/>
        <v>-9.1956636096485175E-2</v>
      </c>
      <c r="CY82" s="11">
        <f t="shared" si="88"/>
        <v>7.4249111233561288E-2</v>
      </c>
      <c r="CZ82" s="11">
        <f t="shared" si="88"/>
        <v>3.4426807750088009E-2</v>
      </c>
      <c r="DA82" s="11">
        <f t="shared" si="88"/>
        <v>-1.0929070532190317E-2</v>
      </c>
      <c r="DB82" s="11">
        <f t="shared" si="88"/>
        <v>-2.9775662488722116E-2</v>
      </c>
      <c r="DC82" s="11">
        <f t="shared" si="88"/>
        <v>1.55864759765654E-3</v>
      </c>
      <c r="DD82" s="11">
        <f t="shared" si="88"/>
        <v>0.13926960375151512</v>
      </c>
      <c r="DE82" s="11">
        <f t="shared" si="88"/>
        <v>-9.2496959213634142E-2</v>
      </c>
      <c r="DF82" s="11">
        <f t="shared" ref="DF82:DU82" si="89">LN(DF20/DF19)</f>
        <v>4.8960827195701703E-2</v>
      </c>
      <c r="DG82" s="11">
        <f t="shared" si="89"/>
        <v>-1.7137964777346304E-3</v>
      </c>
      <c r="DH82" s="11">
        <f t="shared" si="89"/>
        <v>-8.5414552050100803E-2</v>
      </c>
      <c r="DI82" s="11">
        <f t="shared" si="89"/>
        <v>4.1223986272004312E-2</v>
      </c>
      <c r="DJ82" s="11">
        <f t="shared" si="89"/>
        <v>9.2644307709592297E-2</v>
      </c>
      <c r="DK82" s="11">
        <f t="shared" si="89"/>
        <v>9.9609642101212856E-2</v>
      </c>
      <c r="DL82" s="11">
        <f t="shared" si="89"/>
        <v>0.16075480454769864</v>
      </c>
      <c r="DM82" s="11">
        <f t="shared" si="89"/>
        <v>0.11559614027938958</v>
      </c>
      <c r="DN82" s="11">
        <f t="shared" si="89"/>
        <v>0.12365880670145439</v>
      </c>
      <c r="DO82" s="11">
        <f t="shared" si="89"/>
        <v>0.18528659547666812</v>
      </c>
      <c r="DP82" s="11">
        <f t="shared" si="89"/>
        <v>0.1353232794932786</v>
      </c>
      <c r="DQ82" s="11">
        <f t="shared" si="89"/>
        <v>1.5139382814745231E-2</v>
      </c>
      <c r="DR82" s="11">
        <f t="shared" si="89"/>
        <v>5.6712330799557543E-2</v>
      </c>
      <c r="DS82" s="11">
        <f t="shared" si="89"/>
        <v>0.26261352289078438</v>
      </c>
      <c r="DT82" s="11">
        <f t="shared" si="89"/>
        <v>0.11697015615380575</v>
      </c>
      <c r="DU82" s="11">
        <f t="shared" si="89"/>
        <v>5.0632638584277551E-2</v>
      </c>
      <c r="DV82" s="11">
        <f t="shared" si="13"/>
        <v>6.2213185744700493E-2</v>
      </c>
      <c r="DW82" s="11">
        <f t="shared" si="14"/>
        <v>9.9254662224266502E-2</v>
      </c>
      <c r="DX82" s="11">
        <f t="shared" si="14"/>
        <v>1.7763604116937989E-2</v>
      </c>
      <c r="DY82" s="11">
        <f t="shared" si="14"/>
        <v>5.2263264375263574E-2</v>
      </c>
      <c r="DZ82" s="11">
        <f t="shared" si="14"/>
        <v>1.4337363930506358E-2</v>
      </c>
    </row>
    <row r="83" spans="1:130" ht="15">
      <c r="A83" s="8">
        <v>43221</v>
      </c>
      <c r="B83" s="11">
        <f t="shared" si="6"/>
        <v>-5.5842918122646829E-2</v>
      </c>
      <c r="C83" s="11">
        <f t="shared" si="6"/>
        <v>-1.8748740879798297E-2</v>
      </c>
      <c r="D83" s="11">
        <f t="shared" si="7"/>
        <v>4.7808719453375725E-2</v>
      </c>
      <c r="E83" s="11">
        <f t="shared" si="7"/>
        <v>3.4757644635828255E-2</v>
      </c>
      <c r="F83" s="11">
        <f t="shared" si="7"/>
        <v>1.1148796437311282E-2</v>
      </c>
      <c r="G83" s="11">
        <f t="shared" si="7"/>
        <v>2.9033194015595339E-2</v>
      </c>
      <c r="H83" s="11">
        <f t="shared" si="7"/>
        <v>1.5727090362117335E-2</v>
      </c>
      <c r="I83" s="11">
        <f t="shared" ref="I83:M83" si="90">LN(I21/I20)</f>
        <v>-9.9378705947616736E-3</v>
      </c>
      <c r="J83" s="11">
        <f t="shared" si="90"/>
        <v>0.12291197150463704</v>
      </c>
      <c r="K83" s="11">
        <f t="shared" si="90"/>
        <v>6.8166437912088859E-2</v>
      </c>
      <c r="L83" s="11">
        <f t="shared" si="90"/>
        <v>0.18430101206640848</v>
      </c>
      <c r="M83" s="11">
        <f t="shared" si="90"/>
        <v>-5.7634749399079928E-2</v>
      </c>
      <c r="N83" s="11">
        <f t="shared" ref="N83:AS83" si="91">LN(N21/N20)</f>
        <v>3.2567468085413609E-2</v>
      </c>
      <c r="O83" s="11">
        <f t="shared" si="91"/>
        <v>-1.654894745698909E-2</v>
      </c>
      <c r="P83" s="11">
        <f t="shared" si="91"/>
        <v>2.1385974494664013E-2</v>
      </c>
      <c r="Q83" s="11">
        <f t="shared" si="91"/>
        <v>-8.9136780367949212E-2</v>
      </c>
      <c r="R83" s="11">
        <f t="shared" si="91"/>
        <v>-6.372819802413765E-2</v>
      </c>
      <c r="S83" s="11">
        <f t="shared" si="91"/>
        <v>-1.1125942583364443E-2</v>
      </c>
      <c r="T83" s="11">
        <f t="shared" si="91"/>
        <v>6.1644971731186271E-2</v>
      </c>
      <c r="U83" s="11">
        <f t="shared" si="91"/>
        <v>7.4410804522425059E-2</v>
      </c>
      <c r="V83" s="11">
        <f t="shared" si="91"/>
        <v>2.678969764382972E-2</v>
      </c>
      <c r="W83" s="11">
        <f t="shared" si="91"/>
        <v>-4.6045212061472038E-2</v>
      </c>
      <c r="X83" s="11">
        <f t="shared" si="91"/>
        <v>4.0984741780394898E-3</v>
      </c>
      <c r="Y83" s="11">
        <f t="shared" si="91"/>
        <v>-7.7699753899825542E-3</v>
      </c>
      <c r="Z83" s="11">
        <f t="shared" si="91"/>
        <v>-4.5347782764929311E-2</v>
      </c>
      <c r="AA83" s="11">
        <f t="shared" si="91"/>
        <v>4.1962955971970951E-2</v>
      </c>
      <c r="AB83" s="11">
        <f t="shared" si="91"/>
        <v>8.2802386077215878E-2</v>
      </c>
      <c r="AC83" s="11">
        <f t="shared" si="91"/>
        <v>1.9097016452641075E-2</v>
      </c>
      <c r="AD83" s="11">
        <f t="shared" si="91"/>
        <v>5.5327103532587255E-2</v>
      </c>
      <c r="AE83" s="11">
        <f t="shared" si="91"/>
        <v>0.1177028078092547</v>
      </c>
      <c r="AF83" s="11">
        <f t="shared" si="91"/>
        <v>2.6862843091043618E-2</v>
      </c>
      <c r="AG83" s="11">
        <f t="shared" si="91"/>
        <v>2.9498624649504167E-2</v>
      </c>
      <c r="AH83" s="11">
        <f t="shared" si="91"/>
        <v>9.9963027413343244E-2</v>
      </c>
      <c r="AI83" s="11">
        <f t="shared" si="91"/>
        <v>0.10515610028507845</v>
      </c>
      <c r="AJ83" s="11">
        <f t="shared" si="91"/>
        <v>5.0748833564808409E-2</v>
      </c>
      <c r="AK83" s="11">
        <f t="shared" si="91"/>
        <v>-0.29068543598357433</v>
      </c>
      <c r="AL83" s="11">
        <f t="shared" si="91"/>
        <v>5.9625034919811762E-2</v>
      </c>
      <c r="AM83" s="11">
        <f t="shared" si="91"/>
        <v>0.11452674956400412</v>
      </c>
      <c r="AN83" s="11">
        <f t="shared" si="91"/>
        <v>6.7053606394434376E-2</v>
      </c>
      <c r="AO83" s="11">
        <f t="shared" si="91"/>
        <v>9.4152127715452144E-2</v>
      </c>
      <c r="AP83" s="11">
        <f t="shared" si="91"/>
        <v>9.832582421017852E-2</v>
      </c>
      <c r="AQ83" s="11">
        <f t="shared" si="91"/>
        <v>0.13048855394429887</v>
      </c>
      <c r="AR83" s="11">
        <f t="shared" si="91"/>
        <v>0.23265697835208313</v>
      </c>
      <c r="AS83" s="11">
        <f t="shared" si="91"/>
        <v>0.22514234427989419</v>
      </c>
      <c r="AT83" s="11">
        <f t="shared" ref="AT83:BY83" si="92">LN(AT21/AT20)</f>
        <v>0.1066420485860818</v>
      </c>
      <c r="AU83" s="11">
        <f t="shared" si="92"/>
        <v>8.3190450340882932E-2</v>
      </c>
      <c r="AV83" s="11">
        <f t="shared" si="92"/>
        <v>0.15185980341223965</v>
      </c>
      <c r="AW83" s="11">
        <f t="shared" si="92"/>
        <v>5.8497970936441032E-2</v>
      </c>
      <c r="AX83" s="11">
        <f t="shared" si="92"/>
        <v>0.12802714306169719</v>
      </c>
      <c r="AY83" s="11">
        <f t="shared" si="92"/>
        <v>0.12289320891703769</v>
      </c>
      <c r="AZ83" s="11">
        <f t="shared" si="92"/>
        <v>6.6659379873766578E-2</v>
      </c>
      <c r="BA83" s="11">
        <f t="shared" si="92"/>
        <v>6.6759328868310167E-2</v>
      </c>
      <c r="BB83" s="11">
        <f t="shared" si="92"/>
        <v>2.3914855847107591E-2</v>
      </c>
      <c r="BC83" s="11">
        <f t="shared" si="92"/>
        <v>0.12805006629612772</v>
      </c>
      <c r="BD83" s="11">
        <f t="shared" si="92"/>
        <v>3.328996267346656E-2</v>
      </c>
      <c r="BE83" s="11">
        <f t="shared" si="92"/>
        <v>2.4817263080969373E-2</v>
      </c>
      <c r="BF83" s="11">
        <f t="shared" si="92"/>
        <v>-2.550252473058108E-2</v>
      </c>
      <c r="BG83" s="11">
        <f t="shared" si="92"/>
        <v>3.9739250633896911E-2</v>
      </c>
      <c r="BH83" s="11">
        <f t="shared" si="92"/>
        <v>-4.232602972701267E-3</v>
      </c>
      <c r="BI83" s="11">
        <f t="shared" si="92"/>
        <v>7.7109475157478569E-2</v>
      </c>
      <c r="BJ83" s="11">
        <f t="shared" si="92"/>
        <v>0.15033276022168682</v>
      </c>
      <c r="BK83" s="11">
        <f t="shared" si="92"/>
        <v>-4.5389392079932922E-2</v>
      </c>
      <c r="BL83" s="11">
        <f t="shared" si="92"/>
        <v>-1.5756737628208652E-2</v>
      </c>
      <c r="BM83" s="11">
        <f t="shared" si="92"/>
        <v>-5.3203763538082316E-2</v>
      </c>
      <c r="BN83" s="11">
        <f t="shared" si="92"/>
        <v>4.8657797340668718E-2</v>
      </c>
      <c r="BO83" s="11">
        <f t="shared" si="92"/>
        <v>9.4253059915528001E-3</v>
      </c>
      <c r="BP83" s="11">
        <f t="shared" si="92"/>
        <v>1.5523240495915542E-2</v>
      </c>
      <c r="BQ83" s="11">
        <f t="shared" si="92"/>
        <v>-8.1561167473291105E-2</v>
      </c>
      <c r="BR83" s="11">
        <f t="shared" si="92"/>
        <v>-4.0437853405166903E-2</v>
      </c>
      <c r="BS83" s="11">
        <f t="shared" si="92"/>
        <v>-3.2231056403104683E-2</v>
      </c>
      <c r="BT83" s="11">
        <f t="shared" si="92"/>
        <v>-1.2446154451142987E-2</v>
      </c>
      <c r="BU83" s="11">
        <f t="shared" si="92"/>
        <v>-6.8541771215849756E-2</v>
      </c>
      <c r="BV83" s="11">
        <f t="shared" si="92"/>
        <v>3.9541706954412351E-2</v>
      </c>
      <c r="BW83" s="11">
        <f t="shared" si="92"/>
        <v>-2.9063527015024751E-2</v>
      </c>
      <c r="BX83" s="11">
        <f t="shared" si="92"/>
        <v>8.873786586132261E-2</v>
      </c>
      <c r="BY83" s="11">
        <f t="shared" si="92"/>
        <v>0.1167244786176162</v>
      </c>
      <c r="BZ83" s="11">
        <f t="shared" ref="BZ83:DE83" si="93">LN(BZ21/BZ20)</f>
        <v>2.0619178313778491E-2</v>
      </c>
      <c r="CA83" s="11">
        <f t="shared" si="93"/>
        <v>-4.8720377000543366E-3</v>
      </c>
      <c r="CB83" s="11">
        <f t="shared" si="93"/>
        <v>-6.8591020613850305E-3</v>
      </c>
      <c r="CC83" s="11">
        <f t="shared" si="93"/>
        <v>-3.0459241347564048E-2</v>
      </c>
      <c r="CD83" s="11">
        <f t="shared" si="93"/>
        <v>-1.2404879132796144E-2</v>
      </c>
      <c r="CE83" s="11">
        <f t="shared" si="93"/>
        <v>3.1616619546538806E-2</v>
      </c>
      <c r="CF83" s="11">
        <f t="shared" si="93"/>
        <v>-6.7046437748933568E-2</v>
      </c>
      <c r="CG83" s="11">
        <f t="shared" si="93"/>
        <v>9.0752307042586688E-3</v>
      </c>
      <c r="CH83" s="11">
        <f t="shared" si="93"/>
        <v>-5.8398722542420886E-3</v>
      </c>
      <c r="CI83" s="11">
        <f t="shared" si="93"/>
        <v>2.6850012689008131E-2</v>
      </c>
      <c r="CJ83" s="11">
        <f t="shared" si="93"/>
        <v>-2.7513277619725118E-2</v>
      </c>
      <c r="CK83" s="11">
        <f t="shared" si="93"/>
        <v>1.9322402065915623E-2</v>
      </c>
      <c r="CL83" s="11">
        <f t="shared" si="93"/>
        <v>4.4940944491387379E-2</v>
      </c>
      <c r="CM83" s="11">
        <f t="shared" si="93"/>
        <v>-4.6084220573954044E-3</v>
      </c>
      <c r="CN83" s="11">
        <f t="shared" si="93"/>
        <v>8.9117268463891217E-2</v>
      </c>
      <c r="CO83" s="11">
        <f t="shared" si="93"/>
        <v>-3.7786292142692246E-2</v>
      </c>
      <c r="CP83" s="11">
        <f t="shared" si="93"/>
        <v>1.6103471248458675E-2</v>
      </c>
      <c r="CQ83" s="11">
        <f t="shared" si="93"/>
        <v>3.8899769465037919E-2</v>
      </c>
      <c r="CR83" s="11">
        <f t="shared" si="93"/>
        <v>-0.18435253622801084</v>
      </c>
      <c r="CS83" s="11">
        <f t="shared" si="93"/>
        <v>-0.1585035821031392</v>
      </c>
      <c r="CT83" s="11">
        <f t="shared" si="93"/>
        <v>4.2949630024363743E-2</v>
      </c>
      <c r="CU83" s="11">
        <f t="shared" si="93"/>
        <v>-0.10279180117065002</v>
      </c>
      <c r="CV83" s="11">
        <f t="shared" si="93"/>
        <v>2.2821211353303821E-2</v>
      </c>
      <c r="CW83" s="11">
        <f t="shared" si="93"/>
        <v>7.7370609237292325E-3</v>
      </c>
      <c r="CX83" s="11">
        <f t="shared" si="93"/>
        <v>0.13741901017324232</v>
      </c>
      <c r="CY83" s="11">
        <f t="shared" si="93"/>
        <v>0.15283917822352841</v>
      </c>
      <c r="CZ83" s="11">
        <f t="shared" si="93"/>
        <v>8.4246496592516231E-3</v>
      </c>
      <c r="DA83" s="11">
        <f t="shared" si="93"/>
        <v>1.8149318505677269E-2</v>
      </c>
      <c r="DB83" s="11">
        <f t="shared" si="93"/>
        <v>-0.13484631720583162</v>
      </c>
      <c r="DC83" s="11">
        <f t="shared" si="93"/>
        <v>0.39082074669786271</v>
      </c>
      <c r="DD83" s="11">
        <f t="shared" si="93"/>
        <v>4.9321460249022127E-2</v>
      </c>
      <c r="DE83" s="11">
        <f t="shared" si="93"/>
        <v>0.15280490631115881</v>
      </c>
      <c r="DF83" s="11">
        <f t="shared" ref="DF83:DU83" si="94">LN(DF21/DF20)</f>
        <v>0.12796988096337655</v>
      </c>
      <c r="DG83" s="11">
        <f t="shared" si="94"/>
        <v>-5.8268908123975761E-2</v>
      </c>
      <c r="DH83" s="11">
        <f t="shared" si="94"/>
        <v>5.860602427055963E-2</v>
      </c>
      <c r="DI83" s="11">
        <f t="shared" si="94"/>
        <v>4.3909494115831005E-2</v>
      </c>
      <c r="DJ83" s="11">
        <f t="shared" si="94"/>
        <v>-6.4951312201690561E-3</v>
      </c>
      <c r="DK83" s="11">
        <f t="shared" si="94"/>
        <v>2.8446396026363577E-2</v>
      </c>
      <c r="DL83" s="11">
        <f t="shared" si="94"/>
        <v>-4.2829417551345672E-2</v>
      </c>
      <c r="DM83" s="11">
        <f t="shared" si="94"/>
        <v>-1.3676841099965881E-3</v>
      </c>
      <c r="DN83" s="11">
        <f t="shared" si="94"/>
        <v>5.8444185351969026E-2</v>
      </c>
      <c r="DO83" s="11">
        <f t="shared" si="94"/>
        <v>8.6018417221462848E-2</v>
      </c>
      <c r="DP83" s="11">
        <f t="shared" si="94"/>
        <v>0.13473518113297198</v>
      </c>
      <c r="DQ83" s="11">
        <f t="shared" si="94"/>
        <v>-6.1734749974451684E-2</v>
      </c>
      <c r="DR83" s="11">
        <f t="shared" si="94"/>
        <v>1.6031628568981898E-3</v>
      </c>
      <c r="DS83" s="11">
        <f t="shared" si="94"/>
        <v>-4.30052060506897E-2</v>
      </c>
      <c r="DT83" s="11">
        <f t="shared" si="94"/>
        <v>-5.6480819128780411E-2</v>
      </c>
      <c r="DU83" s="11">
        <f t="shared" si="94"/>
        <v>6.8699831397435226E-2</v>
      </c>
      <c r="DV83" s="11">
        <f t="shared" si="13"/>
        <v>-1.7506538506946914E-2</v>
      </c>
      <c r="DW83" s="11">
        <f t="shared" si="14"/>
        <v>-3.1698210614361177E-2</v>
      </c>
      <c r="DX83" s="11">
        <f t="shared" si="14"/>
        <v>7.5419466429195101E-2</v>
      </c>
      <c r="DY83" s="11">
        <f t="shared" si="14"/>
        <v>8.2438776681590401E-2</v>
      </c>
      <c r="DZ83" s="11">
        <f t="shared" si="14"/>
        <v>4.0534055885194445E-2</v>
      </c>
    </row>
    <row r="84" spans="1:130" ht="15">
      <c r="A84" s="8">
        <v>43252</v>
      </c>
      <c r="B84" s="11">
        <f t="shared" si="6"/>
        <v>2.1665712046271633E-2</v>
      </c>
      <c r="C84" s="11">
        <f t="shared" si="6"/>
        <v>1.9408539079059019E-2</v>
      </c>
      <c r="D84" s="11">
        <f t="shared" si="7"/>
        <v>1.0276253196385345E-2</v>
      </c>
      <c r="E84" s="11">
        <f t="shared" si="7"/>
        <v>-6.568467296094796E-2</v>
      </c>
      <c r="F84" s="11">
        <f t="shared" si="7"/>
        <v>1.9463069835908842E-2</v>
      </c>
      <c r="G84" s="11">
        <f t="shared" si="7"/>
        <v>3.4982389710928291E-2</v>
      </c>
      <c r="H84" s="11">
        <f t="shared" si="7"/>
        <v>5.0399744854622369E-2</v>
      </c>
      <c r="I84" s="11">
        <f t="shared" ref="I84:M84" si="95">LN(I22/I21)</f>
        <v>-5.4405679183666582E-3</v>
      </c>
      <c r="J84" s="11">
        <f t="shared" si="95"/>
        <v>2.4832262141840162E-2</v>
      </c>
      <c r="K84" s="11">
        <f t="shared" si="95"/>
        <v>4.567260978163723E-2</v>
      </c>
      <c r="L84" s="11">
        <f t="shared" si="95"/>
        <v>7.644317146350646E-2</v>
      </c>
      <c r="M84" s="11">
        <f t="shared" si="95"/>
        <v>-1.2927445588741813E-3</v>
      </c>
      <c r="N84" s="11">
        <f t="shared" ref="N84:AS84" si="96">LN(N22/N21)</f>
        <v>8.9560347063318627E-3</v>
      </c>
      <c r="O84" s="11">
        <f t="shared" si="96"/>
        <v>4.9400412030245075E-2</v>
      </c>
      <c r="P84" s="11">
        <f t="shared" si="96"/>
        <v>1.5733833869073174E-2</v>
      </c>
      <c r="Q84" s="11">
        <f t="shared" si="96"/>
        <v>1.5030817236156716E-2</v>
      </c>
      <c r="R84" s="11">
        <f t="shared" si="96"/>
        <v>7.2335219213474147E-2</v>
      </c>
      <c r="S84" s="11">
        <f t="shared" si="96"/>
        <v>0.13866685826582681</v>
      </c>
      <c r="T84" s="11">
        <f t="shared" si="96"/>
        <v>-8.8147254641302488E-3</v>
      </c>
      <c r="U84" s="11">
        <f t="shared" si="96"/>
        <v>-8.2589082366792774E-3</v>
      </c>
      <c r="V84" s="11">
        <f t="shared" si="96"/>
        <v>-3.0100391075202671E-2</v>
      </c>
      <c r="W84" s="11">
        <f t="shared" si="96"/>
        <v>6.4840946110628503E-2</v>
      </c>
      <c r="X84" s="11">
        <f t="shared" si="96"/>
        <v>1.7645141720483662E-2</v>
      </c>
      <c r="Y84" s="11">
        <f t="shared" si="96"/>
        <v>-6.2218704521540359E-2</v>
      </c>
      <c r="Z84" s="11">
        <f t="shared" si="96"/>
        <v>7.7974820506147444E-2</v>
      </c>
      <c r="AA84" s="11">
        <f t="shared" si="96"/>
        <v>4.0105572005785274E-2</v>
      </c>
      <c r="AB84" s="11">
        <f t="shared" si="96"/>
        <v>1.1045959767134475E-2</v>
      </c>
      <c r="AC84" s="11">
        <f t="shared" si="96"/>
        <v>4.4123921163802982E-2</v>
      </c>
      <c r="AD84" s="11">
        <f t="shared" si="96"/>
        <v>1.9953581387575133E-3</v>
      </c>
      <c r="AE84" s="11">
        <f t="shared" si="96"/>
        <v>-2.2187529249160284E-2</v>
      </c>
      <c r="AF84" s="11">
        <f t="shared" si="96"/>
        <v>-5.8619904226291653E-2</v>
      </c>
      <c r="AG84" s="11">
        <f t="shared" si="96"/>
        <v>-2.8797198387404622E-2</v>
      </c>
      <c r="AH84" s="11">
        <f t="shared" si="96"/>
        <v>2.0225590350895294E-2</v>
      </c>
      <c r="AI84" s="11">
        <f t="shared" si="96"/>
        <v>5.2128578681811401E-2</v>
      </c>
      <c r="AJ84" s="11">
        <f t="shared" si="96"/>
        <v>-2.8936814766010868E-2</v>
      </c>
      <c r="AK84" s="11">
        <f t="shared" si="96"/>
        <v>-6.2759323725797211E-3</v>
      </c>
      <c r="AL84" s="11">
        <f t="shared" si="96"/>
        <v>-3.8198912057883262E-3</v>
      </c>
      <c r="AM84" s="11">
        <f t="shared" si="96"/>
        <v>-6.192640114562125E-2</v>
      </c>
      <c r="AN84" s="11">
        <f t="shared" si="96"/>
        <v>-9.9001976448304496E-2</v>
      </c>
      <c r="AO84" s="11">
        <f t="shared" si="96"/>
        <v>-3.8127806508221229E-2</v>
      </c>
      <c r="AP84" s="11">
        <f t="shared" si="96"/>
        <v>-8.9422047944889126E-3</v>
      </c>
      <c r="AQ84" s="11">
        <f t="shared" si="96"/>
        <v>-2.462374967011945E-2</v>
      </c>
      <c r="AR84" s="11">
        <f t="shared" si="96"/>
        <v>8.7800092334626559E-2</v>
      </c>
      <c r="AS84" s="11">
        <f t="shared" si="96"/>
        <v>-9.3679261534178146E-2</v>
      </c>
      <c r="AT84" s="11">
        <f t="shared" ref="AT84:BY84" si="97">LN(AT22/AT21)</f>
        <v>-1.3050539263965962E-2</v>
      </c>
      <c r="AU84" s="11">
        <f t="shared" si="97"/>
        <v>-4.2376505954003316E-2</v>
      </c>
      <c r="AV84" s="11">
        <f t="shared" si="97"/>
        <v>-6.440506931335728E-2</v>
      </c>
      <c r="AW84" s="11">
        <f t="shared" si="97"/>
        <v>-3.7528509073700235E-2</v>
      </c>
      <c r="AX84" s="11">
        <f t="shared" si="97"/>
        <v>-1.6822175000280555E-2</v>
      </c>
      <c r="AY84" s="11">
        <f t="shared" si="97"/>
        <v>-5.6141019909142428E-3</v>
      </c>
      <c r="AZ84" s="11">
        <f t="shared" si="97"/>
        <v>5.3224467982208687E-2</v>
      </c>
      <c r="BA84" s="11">
        <f t="shared" si="97"/>
        <v>-2.9366826975926321E-2</v>
      </c>
      <c r="BB84" s="11">
        <f t="shared" si="97"/>
        <v>1.5030331037159894E-2</v>
      </c>
      <c r="BC84" s="11">
        <f t="shared" si="97"/>
        <v>4.9248634821238641E-3</v>
      </c>
      <c r="BD84" s="11">
        <f t="shared" si="97"/>
        <v>5.9948573786738769E-2</v>
      </c>
      <c r="BE84" s="11">
        <f t="shared" si="97"/>
        <v>2.9519248745907823E-2</v>
      </c>
      <c r="BF84" s="11">
        <f t="shared" si="97"/>
        <v>-4.1874784956753131E-4</v>
      </c>
      <c r="BG84" s="11">
        <f t="shared" si="97"/>
        <v>4.2163738276824618E-2</v>
      </c>
      <c r="BH84" s="11">
        <f t="shared" si="97"/>
        <v>-3.9475350083606107E-2</v>
      </c>
      <c r="BI84" s="11">
        <f t="shared" si="97"/>
        <v>0.26587837198728631</v>
      </c>
      <c r="BJ84" s="11">
        <f t="shared" si="97"/>
        <v>-8.0433026407742136E-2</v>
      </c>
      <c r="BK84" s="11">
        <f t="shared" si="97"/>
        <v>-2.0967076067856836E-2</v>
      </c>
      <c r="BL84" s="11">
        <f t="shared" si="97"/>
        <v>-0.14327500935278767</v>
      </c>
      <c r="BM84" s="11">
        <f t="shared" si="97"/>
        <v>0.20277968847748995</v>
      </c>
      <c r="BN84" s="11">
        <f t="shared" si="97"/>
        <v>0.10413417136214025</v>
      </c>
      <c r="BO84" s="11">
        <f t="shared" si="97"/>
        <v>5.0396217446199584E-2</v>
      </c>
      <c r="BP84" s="11">
        <f t="shared" si="97"/>
        <v>-4.9815531667209492E-2</v>
      </c>
      <c r="BQ84" s="11">
        <f t="shared" si="97"/>
        <v>-3.5967240411837388E-2</v>
      </c>
      <c r="BR84" s="11">
        <f t="shared" si="97"/>
        <v>7.6482306150186165E-3</v>
      </c>
      <c r="BS84" s="11">
        <f t="shared" si="97"/>
        <v>-3.9574701031470365E-2</v>
      </c>
      <c r="BT84" s="11">
        <f t="shared" si="97"/>
        <v>-7.5404739120422268E-2</v>
      </c>
      <c r="BU84" s="11">
        <f t="shared" si="97"/>
        <v>-3.46742691730349E-2</v>
      </c>
      <c r="BV84" s="11">
        <f t="shared" si="97"/>
        <v>0.11514642016476399</v>
      </c>
      <c r="BW84" s="11">
        <f t="shared" si="97"/>
        <v>0.10068236350322975</v>
      </c>
      <c r="BX84" s="11">
        <f t="shared" si="97"/>
        <v>3.3100583397530692E-2</v>
      </c>
      <c r="BY84" s="11">
        <f t="shared" si="97"/>
        <v>5.3584653765928976E-2</v>
      </c>
      <c r="BZ84" s="11">
        <f t="shared" ref="BZ84:DE84" si="98">LN(BZ22/BZ21)</f>
        <v>6.469233207973793E-2</v>
      </c>
      <c r="CA84" s="11">
        <f t="shared" si="98"/>
        <v>1.9802754980495042E-2</v>
      </c>
      <c r="CB84" s="11">
        <f t="shared" si="98"/>
        <v>9.1642390519821579E-2</v>
      </c>
      <c r="CC84" s="11">
        <f t="shared" si="98"/>
        <v>1.4974151595896068E-2</v>
      </c>
      <c r="CD84" s="11">
        <f t="shared" si="98"/>
        <v>8.9481311106626351E-3</v>
      </c>
      <c r="CE84" s="11">
        <f t="shared" si="98"/>
        <v>-1.7279401857956227E-2</v>
      </c>
      <c r="CF84" s="11">
        <f t="shared" si="98"/>
        <v>9.8889899087506894E-2</v>
      </c>
      <c r="CG84" s="11">
        <f t="shared" si="98"/>
        <v>-4.3686259474683402E-2</v>
      </c>
      <c r="CH84" s="11">
        <f t="shared" si="98"/>
        <v>4.3111193686722782E-2</v>
      </c>
      <c r="CI84" s="11">
        <f t="shared" si="98"/>
        <v>2.780447405441251E-3</v>
      </c>
      <c r="CJ84" s="11">
        <f t="shared" si="98"/>
        <v>2.6897310337750224E-2</v>
      </c>
      <c r="CK84" s="11">
        <f t="shared" si="98"/>
        <v>9.9433750039196217E-2</v>
      </c>
      <c r="CL84" s="11">
        <f t="shared" si="98"/>
        <v>4.8914731970095986E-2</v>
      </c>
      <c r="CM84" s="11">
        <f t="shared" si="98"/>
        <v>3.6118559674093803E-2</v>
      </c>
      <c r="CN84" s="11">
        <f t="shared" si="98"/>
        <v>8.9897184480346087E-2</v>
      </c>
      <c r="CO84" s="11">
        <f t="shared" si="98"/>
        <v>0.13924522377760526</v>
      </c>
      <c r="CP84" s="11">
        <f t="shared" si="98"/>
        <v>0.12882704983279475</v>
      </c>
      <c r="CQ84" s="11">
        <f t="shared" si="98"/>
        <v>0.11274039902195176</v>
      </c>
      <c r="CR84" s="11">
        <f t="shared" si="98"/>
        <v>0.18657356646122802</v>
      </c>
      <c r="CS84" s="11">
        <f t="shared" si="98"/>
        <v>9.8894114331657096E-2</v>
      </c>
      <c r="CT84" s="11">
        <f t="shared" si="98"/>
        <v>5.8247755518502732E-2</v>
      </c>
      <c r="CU84" s="11">
        <f t="shared" si="98"/>
        <v>3.2309726132230598E-2</v>
      </c>
      <c r="CV84" s="11">
        <f t="shared" si="98"/>
        <v>-8.118151261268311E-2</v>
      </c>
      <c r="CW84" s="11">
        <f t="shared" si="98"/>
        <v>-9.272038922830024E-2</v>
      </c>
      <c r="CX84" s="11">
        <f t="shared" si="98"/>
        <v>-3.5179507121173341E-2</v>
      </c>
      <c r="CY84" s="11">
        <f t="shared" si="98"/>
        <v>4.9164739617580722E-2</v>
      </c>
      <c r="CZ84" s="11">
        <f t="shared" si="98"/>
        <v>8.6731695824333072E-2</v>
      </c>
      <c r="DA84" s="11">
        <f t="shared" si="98"/>
        <v>5.0843552981274021E-2</v>
      </c>
      <c r="DB84" s="11">
        <f t="shared" si="98"/>
        <v>0.18106763813436097</v>
      </c>
      <c r="DC84" s="11">
        <f t="shared" si="98"/>
        <v>-3.588538247917944E-2</v>
      </c>
      <c r="DD84" s="11">
        <f t="shared" si="98"/>
        <v>-6.1210826389079653E-2</v>
      </c>
      <c r="DE84" s="11">
        <f t="shared" si="98"/>
        <v>-4.5921539606561458E-2</v>
      </c>
      <c r="DF84" s="11">
        <f t="shared" ref="DF84:DU84" si="99">LN(DF22/DF21)</f>
        <v>-3.0075210639554399E-3</v>
      </c>
      <c r="DG84" s="11">
        <f t="shared" si="99"/>
        <v>-3.6429912785009805E-3</v>
      </c>
      <c r="DH84" s="11">
        <f t="shared" si="99"/>
        <v>2.3622476622956825E-2</v>
      </c>
      <c r="DI84" s="11">
        <f t="shared" si="99"/>
        <v>2.8259346627178043E-2</v>
      </c>
      <c r="DJ84" s="11">
        <f t="shared" si="99"/>
        <v>2.5673063796870926E-2</v>
      </c>
      <c r="DK84" s="11">
        <f t="shared" si="99"/>
        <v>3.6673792680339504E-2</v>
      </c>
      <c r="DL84" s="11">
        <f t="shared" si="99"/>
        <v>-2.019181915168523E-2</v>
      </c>
      <c r="DM84" s="11">
        <f t="shared" si="99"/>
        <v>5.4670071977089833E-2</v>
      </c>
      <c r="DN84" s="11">
        <f t="shared" si="99"/>
        <v>0.1017291665800004</v>
      </c>
      <c r="DO84" s="11">
        <f t="shared" si="99"/>
        <v>-6.1948523603376779E-3</v>
      </c>
      <c r="DP84" s="11">
        <f t="shared" si="99"/>
        <v>5.590112841468458E-2</v>
      </c>
      <c r="DQ84" s="11">
        <f t="shared" si="99"/>
        <v>8.6651800058312078E-2</v>
      </c>
      <c r="DR84" s="11">
        <f t="shared" si="99"/>
        <v>-2.4172456109943393E-2</v>
      </c>
      <c r="DS84" s="11">
        <f t="shared" si="99"/>
        <v>-4.1117682941370103E-2</v>
      </c>
      <c r="DT84" s="11">
        <f t="shared" si="99"/>
        <v>2.2573276855744107E-2</v>
      </c>
      <c r="DU84" s="11">
        <f t="shared" si="99"/>
        <v>4.669559962738884E-2</v>
      </c>
      <c r="DV84" s="11">
        <f t="shared" si="13"/>
        <v>0.15593483909580344</v>
      </c>
      <c r="DW84" s="11">
        <f t="shared" si="14"/>
        <v>0.1860433011348199</v>
      </c>
      <c r="DX84" s="11">
        <f t="shared" si="14"/>
        <v>2.748316083750842E-2</v>
      </c>
      <c r="DY84" s="11">
        <f t="shared" si="14"/>
        <v>-9.2243967193570281E-2</v>
      </c>
      <c r="DZ84" s="11">
        <f t="shared" si="14"/>
        <v>-4.2446753290510023E-2</v>
      </c>
    </row>
    <row r="85" spans="1:130" ht="15">
      <c r="A85" s="8">
        <v>43282</v>
      </c>
      <c r="B85" s="11">
        <f t="shared" si="6"/>
        <v>8.8137207947356452E-2</v>
      </c>
      <c r="C85" s="11">
        <f t="shared" si="6"/>
        <v>9.5861145937277861E-2</v>
      </c>
      <c r="D85" s="11">
        <f t="shared" si="7"/>
        <v>0.14667272837590281</v>
      </c>
      <c r="E85" s="11">
        <f t="shared" si="7"/>
        <v>-4.5433745892120639E-3</v>
      </c>
      <c r="F85" s="11">
        <f t="shared" si="7"/>
        <v>8.9438063630850273E-2</v>
      </c>
      <c r="G85" s="11">
        <f t="shared" si="7"/>
        <v>6.2779723532280202E-2</v>
      </c>
      <c r="H85" s="11">
        <f t="shared" si="7"/>
        <v>5.9795376987401859E-2</v>
      </c>
      <c r="I85" s="11">
        <f t="shared" ref="I85:M85" si="100">LN(I23/I22)</f>
        <v>0.12497506847423878</v>
      </c>
      <c r="J85" s="11">
        <f t="shared" si="100"/>
        <v>0.14960334156139898</v>
      </c>
      <c r="K85" s="11">
        <f t="shared" si="100"/>
        <v>0.11675265988616985</v>
      </c>
      <c r="L85" s="11">
        <f t="shared" si="100"/>
        <v>1.5780340973898588E-3</v>
      </c>
      <c r="M85" s="11">
        <f t="shared" si="100"/>
        <v>6.5710064124184064E-2</v>
      </c>
      <c r="N85" s="11">
        <f t="shared" ref="N85:AS85" si="101">LN(N23/N22)</f>
        <v>0.20016055643820699</v>
      </c>
      <c r="O85" s="11">
        <f t="shared" si="101"/>
        <v>2.3704510014691545E-2</v>
      </c>
      <c r="P85" s="11">
        <f t="shared" si="101"/>
        <v>3.5144673735443367E-2</v>
      </c>
      <c r="Q85" s="11">
        <f t="shared" si="101"/>
        <v>7.8941952355598213E-3</v>
      </c>
      <c r="R85" s="11">
        <f t="shared" si="101"/>
        <v>6.4290009264546852E-2</v>
      </c>
      <c r="S85" s="11">
        <f t="shared" si="101"/>
        <v>6.4594680608744903E-2</v>
      </c>
      <c r="T85" s="11">
        <f t="shared" si="101"/>
        <v>7.1950697495576782E-2</v>
      </c>
      <c r="U85" s="11">
        <f t="shared" si="101"/>
        <v>5.2559648252144285E-2</v>
      </c>
      <c r="V85" s="11">
        <f t="shared" si="101"/>
        <v>-3.1004768145614457E-2</v>
      </c>
      <c r="W85" s="11">
        <f t="shared" si="101"/>
        <v>-4.5460061541876973E-3</v>
      </c>
      <c r="X85" s="11">
        <f t="shared" si="101"/>
        <v>1.5028902806515056E-2</v>
      </c>
      <c r="Y85" s="11">
        <f t="shared" si="101"/>
        <v>3.186122826891212E-2</v>
      </c>
      <c r="Z85" s="11">
        <f t="shared" si="101"/>
        <v>4.737946802598731E-2</v>
      </c>
      <c r="AA85" s="11">
        <f t="shared" si="101"/>
        <v>6.0240980663757042E-2</v>
      </c>
      <c r="AB85" s="11">
        <f t="shared" si="101"/>
        <v>2.1016838201761003E-2</v>
      </c>
      <c r="AC85" s="11">
        <f t="shared" si="101"/>
        <v>-1.9003959618753535E-2</v>
      </c>
      <c r="AD85" s="11">
        <f t="shared" si="101"/>
        <v>7.3021051794084441E-2</v>
      </c>
      <c r="AE85" s="11">
        <f t="shared" si="101"/>
        <v>3.5620009411409209E-3</v>
      </c>
      <c r="AF85" s="11">
        <f t="shared" si="101"/>
        <v>7.8959530841133496E-2</v>
      </c>
      <c r="AG85" s="11">
        <f t="shared" si="101"/>
        <v>4.4121441928126531E-2</v>
      </c>
      <c r="AH85" s="11">
        <f t="shared" si="101"/>
        <v>7.6592045082855458E-3</v>
      </c>
      <c r="AI85" s="11">
        <f t="shared" si="101"/>
        <v>5.5276763016782887E-2</v>
      </c>
      <c r="AJ85" s="11">
        <f t="shared" si="101"/>
        <v>2.7343612092312911E-2</v>
      </c>
      <c r="AK85" s="11">
        <f t="shared" si="101"/>
        <v>-1.7554857016754091E-2</v>
      </c>
      <c r="AL85" s="11">
        <f t="shared" si="101"/>
        <v>-6.2240261418771616E-3</v>
      </c>
      <c r="AM85" s="11">
        <f t="shared" si="101"/>
        <v>3.3048486283581348E-2</v>
      </c>
      <c r="AN85" s="11">
        <f t="shared" si="101"/>
        <v>-3.2924004940950595E-2</v>
      </c>
      <c r="AO85" s="11">
        <f t="shared" si="101"/>
        <v>-7.6617013608039408E-2</v>
      </c>
      <c r="AP85" s="11">
        <f t="shared" si="101"/>
        <v>9.6584542682990257E-3</v>
      </c>
      <c r="AQ85" s="11">
        <f t="shared" si="101"/>
        <v>0.13279607843883054</v>
      </c>
      <c r="AR85" s="11">
        <f t="shared" si="101"/>
        <v>0.20115574973710723</v>
      </c>
      <c r="AS85" s="11">
        <f t="shared" si="101"/>
        <v>6.6520925927478578E-3</v>
      </c>
      <c r="AT85" s="11">
        <f t="shared" ref="AT85:BY85" si="102">LN(AT23/AT22)</f>
        <v>7.0033219160130847E-3</v>
      </c>
      <c r="AU85" s="11">
        <f t="shared" si="102"/>
        <v>-0.13637219125809547</v>
      </c>
      <c r="AV85" s="11">
        <f t="shared" si="102"/>
        <v>2.6902638146081223E-2</v>
      </c>
      <c r="AW85" s="11">
        <f t="shared" si="102"/>
        <v>9.9258456656204669E-2</v>
      </c>
      <c r="AX85" s="11">
        <f t="shared" si="102"/>
        <v>-2.1650339175196587E-2</v>
      </c>
      <c r="AY85" s="11">
        <f t="shared" si="102"/>
        <v>2.7598558497414709E-2</v>
      </c>
      <c r="AZ85" s="11">
        <f t="shared" si="102"/>
        <v>5.4834719742506187E-3</v>
      </c>
      <c r="BA85" s="11">
        <f t="shared" si="102"/>
        <v>2.0033388177209732E-2</v>
      </c>
      <c r="BB85" s="11">
        <f t="shared" si="102"/>
        <v>3.2085746024989613E-2</v>
      </c>
      <c r="BC85" s="11">
        <f t="shared" si="102"/>
        <v>-1.7602778706178653E-2</v>
      </c>
      <c r="BD85" s="11">
        <f t="shared" si="102"/>
        <v>6.2461085258735519E-2</v>
      </c>
      <c r="BE85" s="11">
        <f t="shared" si="102"/>
        <v>2.2847957578322014E-2</v>
      </c>
      <c r="BF85" s="11">
        <f t="shared" si="102"/>
        <v>3.6753436939859087E-2</v>
      </c>
      <c r="BG85" s="11">
        <f t="shared" si="102"/>
        <v>4.4663529768886545E-2</v>
      </c>
      <c r="BH85" s="11">
        <f t="shared" si="102"/>
        <v>-8.0663373372861072E-2</v>
      </c>
      <c r="BI85" s="11">
        <f t="shared" si="102"/>
        <v>-3.203163674677123E-2</v>
      </c>
      <c r="BJ85" s="11">
        <f t="shared" si="102"/>
        <v>-2.9863094510294848E-2</v>
      </c>
      <c r="BK85" s="11">
        <f t="shared" si="102"/>
        <v>1.1742179905181593E-2</v>
      </c>
      <c r="BL85" s="11">
        <f t="shared" si="102"/>
        <v>6.9961368003649174E-2</v>
      </c>
      <c r="BM85" s="11">
        <f t="shared" si="102"/>
        <v>-1.1214656968724238E-3</v>
      </c>
      <c r="BN85" s="11">
        <f t="shared" si="102"/>
        <v>-3.2593322317245627E-2</v>
      </c>
      <c r="BO85" s="11">
        <f t="shared" si="102"/>
        <v>1.2327453906107101E-2</v>
      </c>
      <c r="BP85" s="11">
        <f t="shared" si="102"/>
        <v>1.6444957273685442E-2</v>
      </c>
      <c r="BQ85" s="11">
        <f t="shared" si="102"/>
        <v>9.1851840407945126E-2</v>
      </c>
      <c r="BR85" s="11">
        <f t="shared" si="102"/>
        <v>5.5570024735401555E-2</v>
      </c>
      <c r="BS85" s="11">
        <f t="shared" si="102"/>
        <v>8.0378523045123969E-4</v>
      </c>
      <c r="BT85" s="11">
        <f t="shared" si="102"/>
        <v>3.3121799160797334E-2</v>
      </c>
      <c r="BU85" s="11">
        <f t="shared" si="102"/>
        <v>1.3586895666448688E-2</v>
      </c>
      <c r="BV85" s="11">
        <f t="shared" si="102"/>
        <v>-6.963671953969483E-2</v>
      </c>
      <c r="BW85" s="11">
        <f t="shared" si="102"/>
        <v>-0.15229958674390282</v>
      </c>
      <c r="BX85" s="11">
        <f t="shared" si="102"/>
        <v>2.0061434079394348E-2</v>
      </c>
      <c r="BY85" s="11">
        <f t="shared" si="102"/>
        <v>4.0374262144647989E-2</v>
      </c>
      <c r="BZ85" s="11">
        <f t="shared" ref="BZ85:DE85" si="103">LN(BZ23/BZ22)</f>
        <v>3.5488977756454848E-2</v>
      </c>
      <c r="CA85" s="11">
        <f t="shared" si="103"/>
        <v>7.0108006043180973E-2</v>
      </c>
      <c r="CB85" s="11">
        <f t="shared" si="103"/>
        <v>5.4777702975608057E-2</v>
      </c>
      <c r="CC85" s="11">
        <f t="shared" si="103"/>
        <v>8.0638733113249983E-2</v>
      </c>
      <c r="CD85" s="11">
        <f t="shared" si="103"/>
        <v>3.0815675858935652E-2</v>
      </c>
      <c r="CE85" s="11">
        <f t="shared" si="103"/>
        <v>2.2384922365978673E-2</v>
      </c>
      <c r="CF85" s="11">
        <f t="shared" si="103"/>
        <v>9.4824461142757003E-3</v>
      </c>
      <c r="CG85" s="11">
        <f t="shared" si="103"/>
        <v>-5.5844763468532982E-2</v>
      </c>
      <c r="CH85" s="11">
        <f t="shared" si="103"/>
        <v>6.1808096227956272E-2</v>
      </c>
      <c r="CI85" s="11">
        <f t="shared" si="103"/>
        <v>3.6875796944351807E-2</v>
      </c>
      <c r="CJ85" s="11">
        <f t="shared" si="103"/>
        <v>3.3382257713643344E-2</v>
      </c>
      <c r="CK85" s="11">
        <f t="shared" si="103"/>
        <v>-4.1770864453135957E-2</v>
      </c>
      <c r="CL85" s="11">
        <f t="shared" si="103"/>
        <v>-1.5941196546752859E-2</v>
      </c>
      <c r="CM85" s="11">
        <f t="shared" si="103"/>
        <v>-3.3892114454848965E-2</v>
      </c>
      <c r="CN85" s="11">
        <f t="shared" si="103"/>
        <v>1.6465903140638678E-2</v>
      </c>
      <c r="CO85" s="11">
        <f t="shared" si="103"/>
        <v>1.2412834442328644E-2</v>
      </c>
      <c r="CP85" s="11">
        <f t="shared" si="103"/>
        <v>5.02579024183121E-2</v>
      </c>
      <c r="CQ85" s="11">
        <f t="shared" si="103"/>
        <v>-5.9154713709974767E-4</v>
      </c>
      <c r="CR85" s="11">
        <f t="shared" si="103"/>
        <v>8.8408221817234279E-3</v>
      </c>
      <c r="CS85" s="11">
        <f t="shared" si="103"/>
        <v>1.539106264397273E-2</v>
      </c>
      <c r="CT85" s="11">
        <f t="shared" si="103"/>
        <v>-0.11208144651051674</v>
      </c>
      <c r="CU85" s="11">
        <f t="shared" si="103"/>
        <v>-0.12188981760903676</v>
      </c>
      <c r="CV85" s="11">
        <f t="shared" si="103"/>
        <v>0.1209677059916307</v>
      </c>
      <c r="CW85" s="11">
        <f t="shared" si="103"/>
        <v>8.2226716777186598E-2</v>
      </c>
      <c r="CX85" s="11">
        <f t="shared" si="103"/>
        <v>2.0253856904497596E-2</v>
      </c>
      <c r="CY85" s="11">
        <f t="shared" si="103"/>
        <v>-1.8154813027090436E-2</v>
      </c>
      <c r="CZ85" s="11">
        <f t="shared" si="103"/>
        <v>-1.8634079544892983E-2</v>
      </c>
      <c r="DA85" s="11">
        <f t="shared" si="103"/>
        <v>0.16362942378180212</v>
      </c>
      <c r="DB85" s="11">
        <f t="shared" si="103"/>
        <v>-3.967250904962389E-2</v>
      </c>
      <c r="DC85" s="11">
        <f t="shared" si="103"/>
        <v>1.842847499312902E-2</v>
      </c>
      <c r="DD85" s="11">
        <f t="shared" si="103"/>
        <v>5.4941518348608373E-2</v>
      </c>
      <c r="DE85" s="11">
        <f t="shared" si="103"/>
        <v>-1.3762879742891089E-2</v>
      </c>
      <c r="DF85" s="11">
        <f t="shared" ref="DF85:DU85" si="104">LN(DF23/DF22)</f>
        <v>-7.0715524798397614E-2</v>
      </c>
      <c r="DG85" s="11">
        <f t="shared" si="104"/>
        <v>-5.4894922847714802E-3</v>
      </c>
      <c r="DH85" s="11">
        <f t="shared" si="104"/>
        <v>-2.0174855531687129E-3</v>
      </c>
      <c r="DI85" s="11">
        <f t="shared" si="104"/>
        <v>-1.4856464231318593E-2</v>
      </c>
      <c r="DJ85" s="11">
        <f t="shared" si="104"/>
        <v>-1.2664106616324647E-3</v>
      </c>
      <c r="DK85" s="11">
        <f t="shared" si="104"/>
        <v>3.5972857020463385E-2</v>
      </c>
      <c r="DL85" s="11">
        <f t="shared" si="104"/>
        <v>1.5856292887779489E-4</v>
      </c>
      <c r="DM85" s="11">
        <f t="shared" si="104"/>
        <v>3.5603907437694753E-2</v>
      </c>
      <c r="DN85" s="11">
        <f t="shared" si="104"/>
        <v>-1.4907361397894323E-2</v>
      </c>
      <c r="DO85" s="11">
        <f t="shared" si="104"/>
        <v>1.1926718407210714E-2</v>
      </c>
      <c r="DP85" s="11">
        <f t="shared" si="104"/>
        <v>2.5484912376835419E-2</v>
      </c>
      <c r="DQ85" s="11">
        <f t="shared" si="104"/>
        <v>2.8842837133333313E-3</v>
      </c>
      <c r="DR85" s="11">
        <f t="shared" si="104"/>
        <v>1.4548969289406456E-2</v>
      </c>
      <c r="DS85" s="11">
        <f t="shared" si="104"/>
        <v>4.585934243056098E-2</v>
      </c>
      <c r="DT85" s="11">
        <f t="shared" si="104"/>
        <v>2.5199821667659616E-2</v>
      </c>
      <c r="DU85" s="11">
        <f t="shared" si="104"/>
        <v>0.1147584216383508</v>
      </c>
      <c r="DV85" s="11">
        <f t="shared" si="13"/>
        <v>-1.6172992081142343E-2</v>
      </c>
      <c r="DW85" s="11">
        <f t="shared" si="14"/>
        <v>-0.14002148910304621</v>
      </c>
      <c r="DX85" s="11">
        <f t="shared" si="14"/>
        <v>-1.7861092409973061E-2</v>
      </c>
      <c r="DY85" s="11">
        <f t="shared" si="14"/>
        <v>4.4578627352513334E-2</v>
      </c>
      <c r="DZ85" s="11">
        <f t="shared" si="14"/>
        <v>-9.7661639407261483E-2</v>
      </c>
    </row>
    <row r="86" spans="1:130" ht="15">
      <c r="A86" s="8">
        <v>43313</v>
      </c>
      <c r="B86" s="11">
        <f t="shared" si="6"/>
        <v>1.6241991324523114E-2</v>
      </c>
      <c r="C86" s="11">
        <f t="shared" si="6"/>
        <v>3.9047350328442268E-2</v>
      </c>
      <c r="D86" s="11">
        <f t="shared" si="7"/>
        <v>6.6932857412723701E-2</v>
      </c>
      <c r="E86" s="11">
        <f t="shared" si="7"/>
        <v>5.001533016564242E-2</v>
      </c>
      <c r="F86" s="11">
        <f t="shared" si="7"/>
        <v>4.046355535969489E-2</v>
      </c>
      <c r="G86" s="11">
        <f t="shared" si="7"/>
        <v>1.6450179597952513E-2</v>
      </c>
      <c r="H86" s="11">
        <f t="shared" si="7"/>
        <v>3.7391716711526538E-2</v>
      </c>
      <c r="I86" s="11">
        <f t="shared" ref="I86:M86" si="105">LN(I24/I23)</f>
        <v>1.92983471531799E-2</v>
      </c>
      <c r="J86" s="11">
        <f t="shared" si="105"/>
        <v>8.9784791463214636E-2</v>
      </c>
      <c r="K86" s="11">
        <f t="shared" si="105"/>
        <v>3.6519279499864131E-2</v>
      </c>
      <c r="L86" s="11">
        <f t="shared" si="105"/>
        <v>0.41720433549264929</v>
      </c>
      <c r="M86" s="11">
        <f t="shared" si="105"/>
        <v>2.4871772895509611E-2</v>
      </c>
      <c r="N86" s="11">
        <f t="shared" ref="N86:AS86" si="106">LN(N24/N23)</f>
        <v>4.1366376414309153E-2</v>
      </c>
      <c r="O86" s="11">
        <f t="shared" si="106"/>
        <v>-1.3679406493072029E-2</v>
      </c>
      <c r="P86" s="11">
        <f t="shared" si="106"/>
        <v>5.8443088067341144E-2</v>
      </c>
      <c r="Q86" s="11">
        <f t="shared" si="106"/>
        <v>0.15601726699929813</v>
      </c>
      <c r="R86" s="11">
        <f t="shared" si="106"/>
        <v>4.5320809542241755E-2</v>
      </c>
      <c r="S86" s="11">
        <f t="shared" si="106"/>
        <v>0.10008863438637697</v>
      </c>
      <c r="T86" s="11">
        <f t="shared" si="106"/>
        <v>2.4125862168735607E-2</v>
      </c>
      <c r="U86" s="11">
        <f t="shared" si="106"/>
        <v>7.2080363377001966E-2</v>
      </c>
      <c r="V86" s="11">
        <f t="shared" si="106"/>
        <v>3.7157001915137246E-2</v>
      </c>
      <c r="W86" s="11">
        <f t="shared" si="106"/>
        <v>2.3952107259546285E-3</v>
      </c>
      <c r="X86" s="11">
        <f t="shared" si="106"/>
        <v>4.8008289075973813E-2</v>
      </c>
      <c r="Y86" s="11">
        <f t="shared" si="106"/>
        <v>4.762814386101271E-2</v>
      </c>
      <c r="Z86" s="11">
        <f t="shared" si="106"/>
        <v>4.4908146621029391E-2</v>
      </c>
      <c r="AA86" s="11">
        <f t="shared" si="106"/>
        <v>9.7081390329136194E-2</v>
      </c>
      <c r="AB86" s="11">
        <f t="shared" si="106"/>
        <v>5.1855288485789172E-2</v>
      </c>
      <c r="AC86" s="11">
        <f t="shared" si="106"/>
        <v>2.6156023346762747E-2</v>
      </c>
      <c r="AD86" s="11">
        <f t="shared" si="106"/>
        <v>5.7247303487052786E-2</v>
      </c>
      <c r="AE86" s="11">
        <f t="shared" si="106"/>
        <v>7.4140083551081148E-2</v>
      </c>
      <c r="AF86" s="11">
        <f t="shared" si="106"/>
        <v>2.2614683547880359E-2</v>
      </c>
      <c r="AG86" s="11">
        <f t="shared" si="106"/>
        <v>0.13288822486140794</v>
      </c>
      <c r="AH86" s="11">
        <f t="shared" si="106"/>
        <v>0.28625043298034331</v>
      </c>
      <c r="AI86" s="11">
        <f t="shared" si="106"/>
        <v>8.8129666295755998E-2</v>
      </c>
      <c r="AJ86" s="11">
        <f t="shared" si="106"/>
        <v>-1.5957450194684008E-3</v>
      </c>
      <c r="AK86" s="11">
        <f t="shared" si="106"/>
        <v>-2.9721416860260738E-3</v>
      </c>
      <c r="AL86" s="11">
        <f t="shared" si="106"/>
        <v>9.8498420976760745E-2</v>
      </c>
      <c r="AM86" s="11">
        <f t="shared" si="106"/>
        <v>0.13652874667830756</v>
      </c>
      <c r="AN86" s="11">
        <f t="shared" si="106"/>
        <v>6.8373951673797321E-3</v>
      </c>
      <c r="AO86" s="11">
        <f t="shared" si="106"/>
        <v>-1.2432452892170175E-2</v>
      </c>
      <c r="AP86" s="11">
        <f t="shared" si="106"/>
        <v>1.5177069838072446E-2</v>
      </c>
      <c r="AQ86" s="11">
        <f t="shared" si="106"/>
        <v>6.9606525751540693E-2</v>
      </c>
      <c r="AR86" s="11">
        <f t="shared" si="106"/>
        <v>0.31711374729561109</v>
      </c>
      <c r="AS86" s="11">
        <f t="shared" si="106"/>
        <v>-5.1276702026315625E-3</v>
      </c>
      <c r="AT86" s="11">
        <f t="shared" ref="AT86:BY86" si="107">LN(AT24/AT23)</f>
        <v>2.7798147741428799E-2</v>
      </c>
      <c r="AU86" s="11">
        <f t="shared" si="107"/>
        <v>-2.3345652213143997E-2</v>
      </c>
      <c r="AV86" s="11">
        <f t="shared" si="107"/>
        <v>-8.2516362472624241E-2</v>
      </c>
      <c r="AW86" s="11">
        <f t="shared" si="107"/>
        <v>7.6888817377377766E-2</v>
      </c>
      <c r="AX86" s="11">
        <f t="shared" si="107"/>
        <v>-3.5295036438895935E-2</v>
      </c>
      <c r="AY86" s="11">
        <f t="shared" si="107"/>
        <v>0.17917268488609409</v>
      </c>
      <c r="AZ86" s="11">
        <f t="shared" si="107"/>
        <v>0.10726901049341672</v>
      </c>
      <c r="BA86" s="11">
        <f t="shared" si="107"/>
        <v>0.10969301270933278</v>
      </c>
      <c r="BB86" s="11">
        <f t="shared" si="107"/>
        <v>8.7198368983654836E-2</v>
      </c>
      <c r="BC86" s="11">
        <f t="shared" si="107"/>
        <v>0.11225051808665776</v>
      </c>
      <c r="BD86" s="11">
        <f t="shared" si="107"/>
        <v>2.2884470607525194E-2</v>
      </c>
      <c r="BE86" s="11">
        <f t="shared" si="107"/>
        <v>6.5810647888720944E-2</v>
      </c>
      <c r="BF86" s="11">
        <f t="shared" si="107"/>
        <v>1.0637795826999296E-2</v>
      </c>
      <c r="BG86" s="11">
        <f t="shared" si="107"/>
        <v>0.12430794584153733</v>
      </c>
      <c r="BH86" s="11">
        <f t="shared" si="107"/>
        <v>3.4090876006726688E-2</v>
      </c>
      <c r="BI86" s="11">
        <f t="shared" si="107"/>
        <v>0.17532208080513356</v>
      </c>
      <c r="BJ86" s="11">
        <f t="shared" si="107"/>
        <v>-5.030816868216096E-2</v>
      </c>
      <c r="BK86" s="11">
        <f t="shared" si="107"/>
        <v>2.9336298085931158E-2</v>
      </c>
      <c r="BL86" s="11">
        <f t="shared" si="107"/>
        <v>2.0030930152322015E-2</v>
      </c>
      <c r="BM86" s="11">
        <f t="shared" si="107"/>
        <v>8.84416916967809E-2</v>
      </c>
      <c r="BN86" s="11">
        <f t="shared" si="107"/>
        <v>6.6519243381919446E-2</v>
      </c>
      <c r="BO86" s="11">
        <f t="shared" si="107"/>
        <v>1.6320195573182296E-2</v>
      </c>
      <c r="BP86" s="11">
        <f t="shared" si="107"/>
        <v>-2.6750001742151031E-2</v>
      </c>
      <c r="BQ86" s="11">
        <f t="shared" si="107"/>
        <v>7.2016307028242174E-2</v>
      </c>
      <c r="BR86" s="11">
        <f t="shared" si="107"/>
        <v>-7.1893047862652104E-2</v>
      </c>
      <c r="BS86" s="11">
        <f t="shared" si="107"/>
        <v>-3.8781123679396894E-2</v>
      </c>
      <c r="BT86" s="11">
        <f t="shared" si="107"/>
        <v>3.7277464744920906E-2</v>
      </c>
      <c r="BU86" s="11">
        <f t="shared" si="107"/>
        <v>9.1530853162851464E-2</v>
      </c>
      <c r="BV86" s="11">
        <f t="shared" si="107"/>
        <v>0.12811035558996114</v>
      </c>
      <c r="BW86" s="11">
        <f t="shared" si="107"/>
        <v>-0.18087004188913039</v>
      </c>
      <c r="BX86" s="11">
        <f t="shared" si="107"/>
        <v>0.12329214910600265</v>
      </c>
      <c r="BY86" s="11">
        <f t="shared" si="107"/>
        <v>0.14965966648448747</v>
      </c>
      <c r="BZ86" s="11">
        <f t="shared" ref="BZ86:DE86" si="108">LN(BZ24/BZ23)</f>
        <v>3.4305975763235144E-2</v>
      </c>
      <c r="CA86" s="11">
        <f t="shared" si="108"/>
        <v>-4.5183147098046474E-2</v>
      </c>
      <c r="CB86" s="11">
        <f t="shared" si="108"/>
        <v>-2.6344586705316534E-2</v>
      </c>
      <c r="CC86" s="11">
        <f t="shared" si="108"/>
        <v>-0.10253216886323097</v>
      </c>
      <c r="CD86" s="11">
        <f t="shared" si="108"/>
        <v>-2.4588048470345365E-3</v>
      </c>
      <c r="CE86" s="11">
        <f t="shared" si="108"/>
        <v>-5.4847907905230399E-2</v>
      </c>
      <c r="CF86" s="11">
        <f t="shared" si="108"/>
        <v>-8.715433600984536E-2</v>
      </c>
      <c r="CG86" s="11">
        <f t="shared" si="108"/>
        <v>3.7669325819452336E-2</v>
      </c>
      <c r="CH86" s="11">
        <f t="shared" si="108"/>
        <v>-1.5331178918642541E-2</v>
      </c>
      <c r="CI86" s="11">
        <f t="shared" si="108"/>
        <v>3.3747430364636996E-2</v>
      </c>
      <c r="CJ86" s="11">
        <f t="shared" si="108"/>
        <v>-2.5732366710576097E-3</v>
      </c>
      <c r="CK86" s="11">
        <f t="shared" si="108"/>
        <v>-3.3415060540458716E-2</v>
      </c>
      <c r="CL86" s="11">
        <f t="shared" si="108"/>
        <v>0.11252927320652219</v>
      </c>
      <c r="CM86" s="11">
        <f t="shared" si="108"/>
        <v>8.9732926903870608E-2</v>
      </c>
      <c r="CN86" s="11">
        <f t="shared" si="108"/>
        <v>1.0643069976120686E-2</v>
      </c>
      <c r="CO86" s="11">
        <f t="shared" si="108"/>
        <v>6.4986578090888814E-2</v>
      </c>
      <c r="CP86" s="11">
        <f t="shared" si="108"/>
        <v>1.2091314286954622E-2</v>
      </c>
      <c r="CQ86" s="11">
        <f t="shared" si="108"/>
        <v>7.7218449985247198E-2</v>
      </c>
      <c r="CR86" s="11">
        <f t="shared" si="108"/>
        <v>-2.7807058917537073E-2</v>
      </c>
      <c r="CS86" s="11">
        <f t="shared" si="108"/>
        <v>-0.18714466721698728</v>
      </c>
      <c r="CT86" s="11">
        <f t="shared" si="108"/>
        <v>-3.6751123870324413E-2</v>
      </c>
      <c r="CU86" s="11">
        <f t="shared" si="108"/>
        <v>3.6908623356370115E-2</v>
      </c>
      <c r="CV86" s="11">
        <f t="shared" si="108"/>
        <v>2.4633448141352585E-2</v>
      </c>
      <c r="CW86" s="11">
        <f t="shared" si="108"/>
        <v>-7.8395654769037922E-3</v>
      </c>
      <c r="CX86" s="11">
        <f t="shared" si="108"/>
        <v>8.6384614198820431E-2</v>
      </c>
      <c r="CY86" s="11">
        <f t="shared" si="108"/>
        <v>-1.538476616771209E-2</v>
      </c>
      <c r="CZ86" s="11">
        <f t="shared" si="108"/>
        <v>9.2742051698614755E-2</v>
      </c>
      <c r="DA86" s="11">
        <f t="shared" si="108"/>
        <v>-3.6959121537224748E-2</v>
      </c>
      <c r="DB86" s="11">
        <f t="shared" si="108"/>
        <v>0.22052917074013909</v>
      </c>
      <c r="DC86" s="11">
        <f t="shared" si="108"/>
        <v>3.2755264979719111E-2</v>
      </c>
      <c r="DD86" s="11">
        <f t="shared" si="108"/>
        <v>5.2078878535683798E-2</v>
      </c>
      <c r="DE86" s="11">
        <f t="shared" si="108"/>
        <v>3.7437822141214182E-2</v>
      </c>
      <c r="DF86" s="11">
        <f t="shared" ref="DF86:DU86" si="109">LN(DF24/DF23)</f>
        <v>0.13015825308403714</v>
      </c>
      <c r="DG86" s="11">
        <f t="shared" si="109"/>
        <v>-1.8365478073013922E-3</v>
      </c>
      <c r="DH86" s="11">
        <f t="shared" si="109"/>
        <v>6.3096468752752294E-2</v>
      </c>
      <c r="DI86" s="11">
        <f t="shared" si="109"/>
        <v>-1.6576417255498813E-2</v>
      </c>
      <c r="DJ86" s="11">
        <f t="shared" si="109"/>
        <v>-6.3847950039736895E-2</v>
      </c>
      <c r="DK86" s="11">
        <f t="shared" si="109"/>
        <v>2.1406076866022319E-2</v>
      </c>
      <c r="DL86" s="11">
        <f t="shared" si="109"/>
        <v>-8.0104492116196108E-2</v>
      </c>
      <c r="DM86" s="11">
        <f t="shared" si="109"/>
        <v>-8.5245802878795046E-2</v>
      </c>
      <c r="DN86" s="11">
        <f t="shared" si="109"/>
        <v>2.5721224684880362E-2</v>
      </c>
      <c r="DO86" s="11">
        <f t="shared" si="109"/>
        <v>-4.9582828257888081E-2</v>
      </c>
      <c r="DP86" s="11">
        <f t="shared" si="109"/>
        <v>-4.7314087005353354E-2</v>
      </c>
      <c r="DQ86" s="11">
        <f t="shared" si="109"/>
        <v>-8.5972143587122032E-2</v>
      </c>
      <c r="DR86" s="11">
        <f t="shared" si="109"/>
        <v>-6.6752393364972282E-2</v>
      </c>
      <c r="DS86" s="11">
        <f t="shared" si="109"/>
        <v>-4.7677456766016396E-2</v>
      </c>
      <c r="DT86" s="11">
        <f t="shared" si="109"/>
        <v>-6.0797757789724099E-2</v>
      </c>
      <c r="DU86" s="11">
        <f t="shared" si="109"/>
        <v>-3.23993829105838E-2</v>
      </c>
      <c r="DV86" s="11">
        <f t="shared" si="13"/>
        <v>-4.2695425894909413E-2</v>
      </c>
      <c r="DW86" s="11">
        <f t="shared" si="14"/>
        <v>1.1737380497822083E-2</v>
      </c>
      <c r="DX86" s="11">
        <f t="shared" si="14"/>
        <v>-1.1603287190124063E-2</v>
      </c>
      <c r="DY86" s="11">
        <f t="shared" si="14"/>
        <v>-0.11605673441037949</v>
      </c>
      <c r="DZ86" s="11">
        <f t="shared" si="14"/>
        <v>-4.3432576189832851E-2</v>
      </c>
    </row>
    <row r="87" spans="1:130" ht="15">
      <c r="A87" s="8">
        <v>43344</v>
      </c>
      <c r="B87" s="11">
        <f t="shared" si="6"/>
        <v>3.2151447917717284E-2</v>
      </c>
      <c r="C87" s="11">
        <f t="shared" si="6"/>
        <v>6.8083033935253237E-2</v>
      </c>
      <c r="D87" s="11">
        <f t="shared" si="7"/>
        <v>2.1101006343842491E-2</v>
      </c>
      <c r="E87" s="11">
        <f t="shared" si="7"/>
        <v>-1.4693823816398678E-2</v>
      </c>
      <c r="F87" s="11">
        <f t="shared" si="7"/>
        <v>3.3687741456417432E-2</v>
      </c>
      <c r="G87" s="11">
        <f t="shared" si="7"/>
        <v>4.3534932633459734E-2</v>
      </c>
      <c r="H87" s="11">
        <f t="shared" si="7"/>
        <v>2.4954667837725986E-2</v>
      </c>
      <c r="I87" s="11">
        <f t="shared" ref="I87:M87" si="110">LN(I25/I24)</f>
        <v>2.0614081580417519E-2</v>
      </c>
      <c r="J87" s="11">
        <f t="shared" si="110"/>
        <v>3.3886520890754696E-2</v>
      </c>
      <c r="K87" s="11">
        <f t="shared" si="110"/>
        <v>-1.7391742711869222E-2</v>
      </c>
      <c r="L87" s="11">
        <f t="shared" si="110"/>
        <v>-9.3244012858109664E-3</v>
      </c>
      <c r="M87" s="11">
        <f t="shared" si="110"/>
        <v>4.3459859197981329E-2</v>
      </c>
      <c r="N87" s="11">
        <f t="shared" ref="N87:AS87" si="111">LN(N25/N24)</f>
        <v>2.063695089093023E-2</v>
      </c>
      <c r="O87" s="11">
        <f t="shared" si="111"/>
        <v>4.1097082437213474E-2</v>
      </c>
      <c r="P87" s="11">
        <f t="shared" si="111"/>
        <v>-9.0550562745599951E-3</v>
      </c>
      <c r="Q87" s="11">
        <f t="shared" si="111"/>
        <v>4.5214188839030112E-2</v>
      </c>
      <c r="R87" s="11">
        <f t="shared" si="111"/>
        <v>3.4599960919887644E-2</v>
      </c>
      <c r="S87" s="11">
        <f t="shared" si="111"/>
        <v>-6.6848631381637548E-3</v>
      </c>
      <c r="T87" s="11">
        <f t="shared" si="111"/>
        <v>9.3077165204340492E-2</v>
      </c>
      <c r="U87" s="11">
        <f t="shared" si="111"/>
        <v>2.012590505387326E-2</v>
      </c>
      <c r="V87" s="11">
        <f t="shared" si="111"/>
        <v>4.7543941022925335E-2</v>
      </c>
      <c r="W87" s="11">
        <f t="shared" si="111"/>
        <v>8.5914284175256803E-2</v>
      </c>
      <c r="X87" s="11">
        <f t="shared" si="111"/>
        <v>1.0540322528557952E-2</v>
      </c>
      <c r="Y87" s="11">
        <f t="shared" si="111"/>
        <v>-6.6841252566974152E-2</v>
      </c>
      <c r="Z87" s="11">
        <f t="shared" si="111"/>
        <v>-3.3275564650242181E-3</v>
      </c>
      <c r="AA87" s="11">
        <f t="shared" si="111"/>
        <v>2.4692612590371414E-2</v>
      </c>
      <c r="AB87" s="11">
        <f t="shared" si="111"/>
        <v>3.8090866533378384E-2</v>
      </c>
      <c r="AC87" s="11">
        <f t="shared" si="111"/>
        <v>3.8493427525156491E-2</v>
      </c>
      <c r="AD87" s="11">
        <f t="shared" si="111"/>
        <v>2.1838276261043871E-2</v>
      </c>
      <c r="AE87" s="11">
        <f t="shared" si="111"/>
        <v>2.4145438738850583E-2</v>
      </c>
      <c r="AF87" s="11">
        <f t="shared" si="111"/>
        <v>5.9533957122276819E-2</v>
      </c>
      <c r="AG87" s="11">
        <f t="shared" si="111"/>
        <v>-3.5171744875260084E-2</v>
      </c>
      <c r="AH87" s="11">
        <f t="shared" si="111"/>
        <v>9.6763495028182919E-2</v>
      </c>
      <c r="AI87" s="11">
        <f t="shared" si="111"/>
        <v>9.4751752089043181E-3</v>
      </c>
      <c r="AJ87" s="11">
        <f t="shared" si="111"/>
        <v>-2.6840912679689438E-2</v>
      </c>
      <c r="AK87" s="11">
        <f t="shared" si="111"/>
        <v>5.7938656689085342E-2</v>
      </c>
      <c r="AL87" s="11">
        <f t="shared" si="111"/>
        <v>5.3031419182913368E-2</v>
      </c>
      <c r="AM87" s="11">
        <f t="shared" si="111"/>
        <v>1.7572448518736706E-3</v>
      </c>
      <c r="AN87" s="11">
        <f t="shared" si="111"/>
        <v>-1.7757388399936212E-2</v>
      </c>
      <c r="AO87" s="11">
        <f t="shared" si="111"/>
        <v>0.11908618141264145</v>
      </c>
      <c r="AP87" s="11">
        <f t="shared" si="111"/>
        <v>-4.6528820428222345E-2</v>
      </c>
      <c r="AQ87" s="11">
        <f t="shared" si="111"/>
        <v>4.7187603320820379E-2</v>
      </c>
      <c r="AR87" s="11">
        <f t="shared" si="111"/>
        <v>0.20477969778326574</v>
      </c>
      <c r="AS87" s="11">
        <f t="shared" si="111"/>
        <v>-0.14943359304400114</v>
      </c>
      <c r="AT87" s="11">
        <f t="shared" ref="AT87:BY87" si="112">LN(AT25/AT24)</f>
        <v>-6.2024080880295054E-2</v>
      </c>
      <c r="AU87" s="11">
        <f t="shared" si="112"/>
        <v>-8.558754057559971E-2</v>
      </c>
      <c r="AV87" s="11">
        <f t="shared" si="112"/>
        <v>-8.1993454121841239E-2</v>
      </c>
      <c r="AW87" s="11">
        <f t="shared" si="112"/>
        <v>3.4558031707789844E-2</v>
      </c>
      <c r="AX87" s="11">
        <f t="shared" si="112"/>
        <v>-2.5009236184097968E-3</v>
      </c>
      <c r="AY87" s="11">
        <f t="shared" si="112"/>
        <v>-4.8369342700952875E-3</v>
      </c>
      <c r="AZ87" s="11">
        <f t="shared" si="112"/>
        <v>4.0748635790795393E-2</v>
      </c>
      <c r="BA87" s="11">
        <f t="shared" si="112"/>
        <v>-3.7245891166312276E-3</v>
      </c>
      <c r="BB87" s="11">
        <f t="shared" si="112"/>
        <v>2.7644915955097417E-2</v>
      </c>
      <c r="BC87" s="11">
        <f t="shared" si="112"/>
        <v>2.1194663925285014E-2</v>
      </c>
      <c r="BD87" s="11">
        <f t="shared" si="112"/>
        <v>3.4511275434543015E-3</v>
      </c>
      <c r="BE87" s="11">
        <f t="shared" si="112"/>
        <v>4.4434296969813283E-2</v>
      </c>
      <c r="BF87" s="11">
        <f t="shared" si="112"/>
        <v>4.2526892320169873E-2</v>
      </c>
      <c r="BG87" s="11">
        <f t="shared" si="112"/>
        <v>-4.8360160091314008E-3</v>
      </c>
      <c r="BH87" s="11">
        <f t="shared" si="112"/>
        <v>-4.7029331745688158E-2</v>
      </c>
      <c r="BI87" s="11">
        <f t="shared" si="112"/>
        <v>5.3775321487128033E-2</v>
      </c>
      <c r="BJ87" s="11">
        <f t="shared" si="112"/>
        <v>-6.8299820075612944E-2</v>
      </c>
      <c r="BK87" s="11">
        <f t="shared" si="112"/>
        <v>3.6936630248731575E-2</v>
      </c>
      <c r="BL87" s="11">
        <f t="shared" si="112"/>
        <v>6.8431473838415774E-2</v>
      </c>
      <c r="BM87" s="11">
        <f t="shared" si="112"/>
        <v>-4.2694149591899593E-2</v>
      </c>
      <c r="BN87" s="11">
        <f t="shared" si="112"/>
        <v>3.2656542603160213E-2</v>
      </c>
      <c r="BO87" s="11">
        <f t="shared" si="112"/>
        <v>3.6395505414614795E-2</v>
      </c>
      <c r="BP87" s="11">
        <f t="shared" si="112"/>
        <v>-2.0946938045800353E-3</v>
      </c>
      <c r="BQ87" s="11">
        <f t="shared" si="112"/>
        <v>5.1546929612691986E-2</v>
      </c>
      <c r="BR87" s="11">
        <f t="shared" si="112"/>
        <v>-3.7479840895975773E-2</v>
      </c>
      <c r="BS87" s="11">
        <f t="shared" si="112"/>
        <v>1.6491080235433137E-2</v>
      </c>
      <c r="BT87" s="11">
        <f t="shared" si="112"/>
        <v>4.4522682624519749E-2</v>
      </c>
      <c r="BU87" s="11">
        <f t="shared" si="112"/>
        <v>4.9511680484249226E-2</v>
      </c>
      <c r="BV87" s="11">
        <f t="shared" si="112"/>
        <v>-1.2673772499797398E-2</v>
      </c>
      <c r="BW87" s="11">
        <f t="shared" si="112"/>
        <v>0.15528757502941498</v>
      </c>
      <c r="BX87" s="11">
        <f t="shared" si="112"/>
        <v>3.2521114155796171E-2</v>
      </c>
      <c r="BY87" s="11">
        <f t="shared" si="112"/>
        <v>2.5876831991548728E-2</v>
      </c>
      <c r="BZ87" s="11">
        <f t="shared" ref="BZ87:DE87" si="113">LN(BZ25/BZ24)</f>
        <v>3.3698683735597142E-3</v>
      </c>
      <c r="CA87" s="11">
        <f t="shared" si="113"/>
        <v>3.57021062511335E-2</v>
      </c>
      <c r="CB87" s="11">
        <f t="shared" si="113"/>
        <v>-1.876155622862682E-3</v>
      </c>
      <c r="CC87" s="11">
        <f t="shared" si="113"/>
        <v>4.5796165094073617E-2</v>
      </c>
      <c r="CD87" s="11">
        <f t="shared" si="113"/>
        <v>-2.6002717791355871E-2</v>
      </c>
      <c r="CE87" s="11">
        <f t="shared" si="113"/>
        <v>3.0785326247311871E-2</v>
      </c>
      <c r="CF87" s="11">
        <f t="shared" si="113"/>
        <v>-6.2631048970183414E-2</v>
      </c>
      <c r="CG87" s="11">
        <f t="shared" si="113"/>
        <v>3.9149959957543577E-2</v>
      </c>
      <c r="CH87" s="11">
        <f t="shared" si="113"/>
        <v>5.6021389396107161E-3</v>
      </c>
      <c r="CI87" s="11">
        <f t="shared" si="113"/>
        <v>-2.8027902136884605E-3</v>
      </c>
      <c r="CJ87" s="11">
        <f t="shared" si="113"/>
        <v>8.098315311799293E-3</v>
      </c>
      <c r="CK87" s="11">
        <f t="shared" si="113"/>
        <v>-4.5122970622447148E-2</v>
      </c>
      <c r="CL87" s="11">
        <f t="shared" si="113"/>
        <v>-2.1206967347579434E-2</v>
      </c>
      <c r="CM87" s="11">
        <f t="shared" si="113"/>
        <v>6.365477872634708E-3</v>
      </c>
      <c r="CN87" s="11">
        <f t="shared" si="113"/>
        <v>-1.712873673629537E-2</v>
      </c>
      <c r="CO87" s="11">
        <f t="shared" si="113"/>
        <v>5.3552875748218869E-2</v>
      </c>
      <c r="CP87" s="11">
        <f t="shared" si="113"/>
        <v>5.2041460303564213E-2</v>
      </c>
      <c r="CQ87" s="11">
        <f t="shared" si="113"/>
        <v>3.6769428441419796E-2</v>
      </c>
      <c r="CR87" s="11">
        <f t="shared" si="113"/>
        <v>-7.4166393409647383E-2</v>
      </c>
      <c r="CS87" s="11">
        <f t="shared" si="113"/>
        <v>-5.7337676935146284E-2</v>
      </c>
      <c r="CT87" s="11">
        <f t="shared" si="113"/>
        <v>-5.5841662957500607E-2</v>
      </c>
      <c r="CU87" s="11">
        <f t="shared" si="113"/>
        <v>-2.1870745991829688E-2</v>
      </c>
      <c r="CV87" s="11">
        <f t="shared" si="113"/>
        <v>-4.3630355194929728E-2</v>
      </c>
      <c r="CW87" s="11">
        <f t="shared" si="113"/>
        <v>-1.303809667921374E-2</v>
      </c>
      <c r="CX87" s="11">
        <f t="shared" si="113"/>
        <v>0.30646998631741412</v>
      </c>
      <c r="CY87" s="11">
        <f t="shared" si="113"/>
        <v>4.3979942484476099E-2</v>
      </c>
      <c r="CZ87" s="11">
        <f t="shared" si="113"/>
        <v>-3.1933047103009149E-2</v>
      </c>
      <c r="DA87" s="11">
        <f t="shared" si="113"/>
        <v>-7.0176876791837817E-2</v>
      </c>
      <c r="DB87" s="11">
        <f t="shared" si="113"/>
        <v>-0.27141029228404429</v>
      </c>
      <c r="DC87" s="11">
        <f t="shared" si="113"/>
        <v>1.0986981420074255E-2</v>
      </c>
      <c r="DD87" s="11">
        <f t="shared" si="113"/>
        <v>4.3802654168260194E-2</v>
      </c>
      <c r="DE87" s="11">
        <f t="shared" si="113"/>
        <v>5.6508936926711432E-2</v>
      </c>
      <c r="DF87" s="11">
        <f t="shared" ref="DF87:DU87" si="114">LN(DF25/DF24)</f>
        <v>-0.14754999579590622</v>
      </c>
      <c r="DG87" s="11">
        <f t="shared" si="114"/>
        <v>5.7158413839948415E-2</v>
      </c>
      <c r="DH87" s="11">
        <f t="shared" si="114"/>
        <v>-7.8529658987069248E-2</v>
      </c>
      <c r="DI87" s="11">
        <f t="shared" si="114"/>
        <v>6.8998635062574823E-2</v>
      </c>
      <c r="DJ87" s="11">
        <f t="shared" si="114"/>
        <v>4.1280439181959172E-2</v>
      </c>
      <c r="DK87" s="11">
        <f t="shared" si="114"/>
        <v>5.2653909979982358E-2</v>
      </c>
      <c r="DL87" s="11">
        <f t="shared" si="114"/>
        <v>-2.9232082560721635E-3</v>
      </c>
      <c r="DM87" s="11">
        <f t="shared" si="114"/>
        <v>7.60338612167996E-2</v>
      </c>
      <c r="DN87" s="11">
        <f t="shared" si="114"/>
        <v>6.1061437274470165E-2</v>
      </c>
      <c r="DO87" s="11">
        <f t="shared" si="114"/>
        <v>2.8390213176448856E-2</v>
      </c>
      <c r="DP87" s="11">
        <f t="shared" si="114"/>
        <v>-7.2192640405158659E-2</v>
      </c>
      <c r="DQ87" s="11">
        <f t="shared" si="114"/>
        <v>0.11126843499355264</v>
      </c>
      <c r="DR87" s="11">
        <f t="shared" si="114"/>
        <v>-3.6109845585242717E-2</v>
      </c>
      <c r="DS87" s="11">
        <f t="shared" si="114"/>
        <v>3.0943101966581857E-2</v>
      </c>
      <c r="DT87" s="11">
        <f t="shared" si="114"/>
        <v>2.4688025156751073E-2</v>
      </c>
      <c r="DU87" s="11">
        <f t="shared" si="114"/>
        <v>-8.8577069123445304E-2</v>
      </c>
      <c r="DV87" s="11">
        <f t="shared" si="13"/>
        <v>8.3983962139322368E-2</v>
      </c>
      <c r="DW87" s="11">
        <f t="shared" ref="DW87:DZ106" si="115">LN(DW25/DW24)</f>
        <v>-0.13043903074675506</v>
      </c>
      <c r="DX87" s="11">
        <f t="shared" si="115"/>
        <v>4.3439203112341583E-2</v>
      </c>
      <c r="DY87" s="11">
        <f t="shared" si="115"/>
        <v>-2.391774277632067E-2</v>
      </c>
      <c r="DZ87" s="11">
        <f t="shared" si="115"/>
        <v>-2.4560704940498689E-2</v>
      </c>
    </row>
    <row r="88" spans="1:130" ht="15">
      <c r="A88" s="8">
        <v>43374</v>
      </c>
      <c r="B88" s="11">
        <f t="shared" si="6"/>
        <v>1.3086204820330639E-2</v>
      </c>
      <c r="C88" s="11">
        <f t="shared" si="6"/>
        <v>-2.3185000580838409E-2</v>
      </c>
      <c r="D88" s="11">
        <f t="shared" si="7"/>
        <v>1.0475604023212404E-2</v>
      </c>
      <c r="E88" s="11">
        <f t="shared" si="7"/>
        <v>-0.19466237399650216</v>
      </c>
      <c r="F88" s="11">
        <f t="shared" si="7"/>
        <v>4.3746554005920903E-2</v>
      </c>
      <c r="G88" s="11">
        <f t="shared" si="7"/>
        <v>-7.2516798892756737E-2</v>
      </c>
      <c r="H88" s="11">
        <f t="shared" si="7"/>
        <v>-0.20565873425186565</v>
      </c>
      <c r="I88" s="11">
        <f t="shared" ref="I88:M88" si="116">LN(I26/I25)</f>
        <v>-4.2974900508867611E-2</v>
      </c>
      <c r="J88" s="11">
        <f t="shared" si="116"/>
        <v>-0.16525021141509916</v>
      </c>
      <c r="K88" s="11">
        <f t="shared" si="116"/>
        <v>-0.1629478399539756</v>
      </c>
      <c r="L88" s="11">
        <f t="shared" si="116"/>
        <v>-7.4506003517393157E-2</v>
      </c>
      <c r="M88" s="11">
        <f t="shared" si="116"/>
        <v>-8.5028421396759521E-2</v>
      </c>
      <c r="N88" s="11">
        <f t="shared" ref="N88:AS88" si="117">LN(N26/N25)</f>
        <v>-5.3917360105659673E-2</v>
      </c>
      <c r="O88" s="11">
        <f t="shared" si="117"/>
        <v>-0.1076657458224705</v>
      </c>
      <c r="P88" s="11">
        <f t="shared" si="117"/>
        <v>-1.4417531523121706E-2</v>
      </c>
      <c r="Q88" s="11">
        <f t="shared" si="117"/>
        <v>-8.3829068524262043E-2</v>
      </c>
      <c r="R88" s="11">
        <f t="shared" si="117"/>
        <v>8.3039728119860042E-3</v>
      </c>
      <c r="S88" s="11">
        <f t="shared" si="117"/>
        <v>-0.17480606146748423</v>
      </c>
      <c r="T88" s="11">
        <f t="shared" si="117"/>
        <v>-6.2142159392716029E-2</v>
      </c>
      <c r="U88" s="11">
        <f t="shared" si="117"/>
        <v>-9.0928437690248859E-2</v>
      </c>
      <c r="V88" s="11">
        <f t="shared" si="117"/>
        <v>-8.8353034158736937E-2</v>
      </c>
      <c r="W88" s="11">
        <f t="shared" si="117"/>
        <v>-0.12146709117990145</v>
      </c>
      <c r="X88" s="11">
        <f t="shared" si="117"/>
        <v>-1.5519580506949744E-2</v>
      </c>
      <c r="Y88" s="11">
        <f t="shared" si="117"/>
        <v>-0.15802908380023883</v>
      </c>
      <c r="Z88" s="11">
        <f t="shared" si="117"/>
        <v>-0.12135384545965613</v>
      </c>
      <c r="AA88" s="11">
        <f t="shared" si="117"/>
        <v>-9.653392479055653E-2</v>
      </c>
      <c r="AB88" s="11">
        <f t="shared" si="117"/>
        <v>-8.5199750530629559E-2</v>
      </c>
      <c r="AC88" s="11">
        <f t="shared" si="117"/>
        <v>-0.20964730099593129</v>
      </c>
      <c r="AD88" s="11">
        <f t="shared" si="117"/>
        <v>-6.8386836105724894E-2</v>
      </c>
      <c r="AE88" s="11">
        <f t="shared" si="117"/>
        <v>-9.3881306704988648E-2</v>
      </c>
      <c r="AF88" s="11">
        <f t="shared" si="117"/>
        <v>-5.419630652546481E-2</v>
      </c>
      <c r="AG88" s="11">
        <f t="shared" si="117"/>
        <v>-9.6598911698173029E-2</v>
      </c>
      <c r="AH88" s="11">
        <f t="shared" si="117"/>
        <v>-0.11580709813520067</v>
      </c>
      <c r="AI88" s="11">
        <f t="shared" si="117"/>
        <v>-0.1163008720506483</v>
      </c>
      <c r="AJ88" s="11">
        <f t="shared" si="117"/>
        <v>-1.2379800473591855E-2</v>
      </c>
      <c r="AK88" s="11">
        <f t="shared" si="117"/>
        <v>-0.15909712722207492</v>
      </c>
      <c r="AL88" s="11">
        <f t="shared" si="117"/>
        <v>-0.12902845811343577</v>
      </c>
      <c r="AM88" s="11">
        <f t="shared" si="117"/>
        <v>-0.28737342054065984</v>
      </c>
      <c r="AN88" s="11">
        <f t="shared" si="117"/>
        <v>-8.7077104154573166E-3</v>
      </c>
      <c r="AO88" s="11">
        <f t="shared" si="117"/>
        <v>-9.1448095637781251E-2</v>
      </c>
      <c r="AP88" s="11">
        <f t="shared" si="117"/>
        <v>-0.1447655242936115</v>
      </c>
      <c r="AQ88" s="11">
        <f t="shared" si="117"/>
        <v>-0.1266309860880325</v>
      </c>
      <c r="AR88" s="11">
        <f t="shared" si="117"/>
        <v>-0.52846161319097362</v>
      </c>
      <c r="AS88" s="11">
        <f t="shared" si="117"/>
        <v>-0.18156996061269479</v>
      </c>
      <c r="AT88" s="11">
        <f t="shared" ref="AT88:BY88" si="118">LN(AT26/AT25)</f>
        <v>-9.9417538058285085E-2</v>
      </c>
      <c r="AU88" s="11">
        <f t="shared" si="118"/>
        <v>-0.12849073151276449</v>
      </c>
      <c r="AV88" s="11">
        <f t="shared" si="118"/>
        <v>-0.18199207624804942</v>
      </c>
      <c r="AW88" s="11">
        <f t="shared" si="118"/>
        <v>6.2845472563559768E-2</v>
      </c>
      <c r="AX88" s="11">
        <f t="shared" si="118"/>
        <v>-4.4521685348946516E-2</v>
      </c>
      <c r="AY88" s="11">
        <f t="shared" si="118"/>
        <v>-3.0951458780442625E-2</v>
      </c>
      <c r="AZ88" s="11">
        <f t="shared" si="118"/>
        <v>-0.14736164567757545</v>
      </c>
      <c r="BA88" s="11">
        <f t="shared" si="118"/>
        <v>-7.7507118747938641E-2</v>
      </c>
      <c r="BB88" s="11">
        <f t="shared" si="118"/>
        <v>-4.9360218938111516E-2</v>
      </c>
      <c r="BC88" s="11">
        <f t="shared" si="118"/>
        <v>-0.1494343999497266</v>
      </c>
      <c r="BD88" s="11">
        <f t="shared" si="118"/>
        <v>-0.12575723097711125</v>
      </c>
      <c r="BE88" s="11">
        <f t="shared" si="118"/>
        <v>-5.9685855862286516E-2</v>
      </c>
      <c r="BF88" s="11">
        <f t="shared" si="118"/>
        <v>-0.27000526322032664</v>
      </c>
      <c r="BG88" s="11">
        <f t="shared" si="118"/>
        <v>-0.22588695153690044</v>
      </c>
      <c r="BH88" s="11">
        <f t="shared" si="118"/>
        <v>-0.1287836800647976</v>
      </c>
      <c r="BI88" s="11">
        <f t="shared" si="118"/>
        <v>-0.18927443820799036</v>
      </c>
      <c r="BJ88" s="11">
        <f t="shared" si="118"/>
        <v>9.3994121806746905E-2</v>
      </c>
      <c r="BK88" s="11">
        <f t="shared" si="118"/>
        <v>5.5856018505864052E-2</v>
      </c>
      <c r="BL88" s="11">
        <f t="shared" si="118"/>
        <v>2.4847048119977351E-2</v>
      </c>
      <c r="BM88" s="11">
        <f t="shared" si="118"/>
        <v>-4.2626546248752159E-2</v>
      </c>
      <c r="BN88" s="11">
        <f t="shared" si="118"/>
        <v>-0.12133027836259899</v>
      </c>
      <c r="BO88" s="11">
        <f t="shared" si="118"/>
        <v>-0.16364100658140485</v>
      </c>
      <c r="BP88" s="11">
        <f t="shared" si="118"/>
        <v>-0.17091432221752334</v>
      </c>
      <c r="BQ88" s="11">
        <f t="shared" si="118"/>
        <v>1.8245789355949393E-2</v>
      </c>
      <c r="BR88" s="11">
        <f t="shared" si="118"/>
        <v>-7.733590219102153E-2</v>
      </c>
      <c r="BS88" s="11">
        <f t="shared" si="118"/>
        <v>-5.673037453205404E-2</v>
      </c>
      <c r="BT88" s="11">
        <f t="shared" si="118"/>
        <v>-0.12921712580763986</v>
      </c>
      <c r="BU88" s="11">
        <f t="shared" si="118"/>
        <v>-5.5150182598347301E-3</v>
      </c>
      <c r="BV88" s="11">
        <f t="shared" si="118"/>
        <v>-9.043674194097015E-2</v>
      </c>
      <c r="BW88" s="11">
        <f t="shared" si="118"/>
        <v>6.7628021817974754E-2</v>
      </c>
      <c r="BX88" s="11">
        <f t="shared" si="118"/>
        <v>1.1052284584170324E-2</v>
      </c>
      <c r="BY88" s="11">
        <f t="shared" si="118"/>
        <v>-5.189958274752212E-2</v>
      </c>
      <c r="BZ88" s="11">
        <f t="shared" ref="BZ88:DE88" si="119">LN(BZ26/BZ25)</f>
        <v>6.3426679476099701E-2</v>
      </c>
      <c r="CA88" s="11">
        <f t="shared" si="119"/>
        <v>4.4404632672433851E-2</v>
      </c>
      <c r="CB88" s="11">
        <f t="shared" si="119"/>
        <v>1.3411557785882528E-2</v>
      </c>
      <c r="CC88" s="11">
        <f t="shared" si="119"/>
        <v>9.1105763531663359E-2</v>
      </c>
      <c r="CD88" s="11">
        <f t="shared" si="119"/>
        <v>-3.6873010476510558E-2</v>
      </c>
      <c r="CE88" s="11">
        <f t="shared" si="119"/>
        <v>-2.5087979058001451E-2</v>
      </c>
      <c r="CF88" s="11">
        <f t="shared" si="119"/>
        <v>-0.16864381115489885</v>
      </c>
      <c r="CG88" s="11">
        <f t="shared" si="119"/>
        <v>-5.5750939886889062E-2</v>
      </c>
      <c r="CH88" s="11">
        <f t="shared" si="119"/>
        <v>-1.7044914973450669E-2</v>
      </c>
      <c r="CI88" s="11">
        <f t="shared" si="119"/>
        <v>-7.2233485830697206E-2</v>
      </c>
      <c r="CJ88" s="11">
        <f t="shared" si="119"/>
        <v>-0.11712970344043508</v>
      </c>
      <c r="CK88" s="11">
        <f t="shared" si="119"/>
        <v>-2.5435487789979374E-3</v>
      </c>
      <c r="CL88" s="11">
        <f t="shared" si="119"/>
        <v>-2.656118944842736E-2</v>
      </c>
      <c r="CM88" s="11">
        <f t="shared" si="119"/>
        <v>0.10220853244937374</v>
      </c>
      <c r="CN88" s="11">
        <f t="shared" si="119"/>
        <v>-6.7036360783959997E-2</v>
      </c>
      <c r="CO88" s="11">
        <f t="shared" si="119"/>
        <v>8.8907073584340246E-2</v>
      </c>
      <c r="CP88" s="11">
        <f t="shared" si="119"/>
        <v>0</v>
      </c>
      <c r="CQ88" s="11">
        <f t="shared" si="119"/>
        <v>-1.3116415770011014E-2</v>
      </c>
      <c r="CR88" s="11">
        <f t="shared" si="119"/>
        <v>2.1070680959183408E-2</v>
      </c>
      <c r="CS88" s="11">
        <f t="shared" si="119"/>
        <v>-0.24556067205495807</v>
      </c>
      <c r="CT88" s="11">
        <f t="shared" si="119"/>
        <v>-5.5023046012339615E-2</v>
      </c>
      <c r="CU88" s="11">
        <f t="shared" si="119"/>
        <v>-2.4057104231389813E-2</v>
      </c>
      <c r="CV88" s="11">
        <f t="shared" si="119"/>
        <v>-9.1514705097803725E-2</v>
      </c>
      <c r="CW88" s="11">
        <f t="shared" si="119"/>
        <v>-8.6109474444411929E-2</v>
      </c>
      <c r="CX88" s="11">
        <f t="shared" si="119"/>
        <v>-8.2866770550155511E-2</v>
      </c>
      <c r="CY88" s="11">
        <f t="shared" si="119"/>
        <v>7.1284990009096619E-2</v>
      </c>
      <c r="CZ88" s="11">
        <f t="shared" si="119"/>
        <v>-0.1027418562235924</v>
      </c>
      <c r="DA88" s="11">
        <f t="shared" si="119"/>
        <v>-0.18549297785280694</v>
      </c>
      <c r="DB88" s="11">
        <f t="shared" si="119"/>
        <v>-8.7810897320046946E-2</v>
      </c>
      <c r="DC88" s="11">
        <f t="shared" si="119"/>
        <v>-0.26843840242131267</v>
      </c>
      <c r="DD88" s="11">
        <f t="shared" si="119"/>
        <v>-3.1933028420167896E-2</v>
      </c>
      <c r="DE88" s="11">
        <f t="shared" si="119"/>
        <v>-0.21141587613165597</v>
      </c>
      <c r="DF88" s="11">
        <f t="shared" ref="DF88:DU88" si="120">LN(DF26/DF25)</f>
        <v>4.8129605050090266E-3</v>
      </c>
      <c r="DG88" s="11">
        <f t="shared" si="120"/>
        <v>-6.0841659256245045E-2</v>
      </c>
      <c r="DH88" s="11">
        <f t="shared" si="120"/>
        <v>-1.8817899659633981E-3</v>
      </c>
      <c r="DI88" s="11">
        <f t="shared" si="120"/>
        <v>-6.4867802978960179E-2</v>
      </c>
      <c r="DJ88" s="11">
        <f t="shared" si="120"/>
        <v>-9.0944593551387218E-2</v>
      </c>
      <c r="DK88" s="11">
        <f t="shared" si="120"/>
        <v>-0.10192088983561037</v>
      </c>
      <c r="DL88" s="11">
        <f t="shared" si="120"/>
        <v>-0.16695907247487277</v>
      </c>
      <c r="DM88" s="11">
        <f t="shared" si="120"/>
        <v>-0.19147246238309965</v>
      </c>
      <c r="DN88" s="11">
        <f t="shared" si="120"/>
        <v>-0.21693205066512367</v>
      </c>
      <c r="DO88" s="11">
        <f t="shared" si="120"/>
        <v>-0.19294730548769654</v>
      </c>
      <c r="DP88" s="11">
        <f t="shared" si="120"/>
        <v>-0.20731068473141065</v>
      </c>
      <c r="DQ88" s="11">
        <f t="shared" si="120"/>
        <v>-0.18497359616418879</v>
      </c>
      <c r="DR88" s="11">
        <f t="shared" si="120"/>
        <v>-0.16372795275428823</v>
      </c>
      <c r="DS88" s="11">
        <f t="shared" si="120"/>
        <v>-0.2370585446022232</v>
      </c>
      <c r="DT88" s="11">
        <f t="shared" si="120"/>
        <v>-0.17245008126969547</v>
      </c>
      <c r="DU88" s="11">
        <f t="shared" si="120"/>
        <v>-0.15644288428689254</v>
      </c>
      <c r="DV88" s="11">
        <f t="shared" si="13"/>
        <v>-0.23119980287353328</v>
      </c>
      <c r="DW88" s="11">
        <f t="shared" si="115"/>
        <v>0.24217051011308968</v>
      </c>
      <c r="DX88" s="11">
        <f t="shared" si="115"/>
        <v>-0.15621016674381824</v>
      </c>
      <c r="DY88" s="11">
        <f t="shared" si="115"/>
        <v>-6.4678136550122181E-2</v>
      </c>
      <c r="DZ88" s="11">
        <f t="shared" si="115"/>
        <v>3.191763108797864E-2</v>
      </c>
    </row>
    <row r="89" spans="1:130" ht="15">
      <c r="A89" s="8">
        <v>43405</v>
      </c>
      <c r="B89" s="11">
        <f t="shared" si="6"/>
        <v>4.8181049263486424E-2</v>
      </c>
      <c r="C89" s="11">
        <f t="shared" si="6"/>
        <v>7.1034614858024203E-2</v>
      </c>
      <c r="D89" s="11">
        <f t="shared" si="7"/>
        <v>8.9896694966642363E-2</v>
      </c>
      <c r="E89" s="11">
        <f t="shared" si="7"/>
        <v>0.20201992518458223</v>
      </c>
      <c r="F89" s="11">
        <f t="shared" si="7"/>
        <v>7.496155223514131E-2</v>
      </c>
      <c r="G89" s="11">
        <f t="shared" si="7"/>
        <v>7.7137632624971586E-2</v>
      </c>
      <c r="H89" s="11">
        <f t="shared" si="7"/>
        <v>6.2573694382350969E-2</v>
      </c>
      <c r="I89" s="11">
        <f t="shared" ref="I89:M89" si="121">LN(I27/I26)</f>
        <v>6.5835157296159172E-2</v>
      </c>
      <c r="J89" s="11">
        <f t="shared" si="121"/>
        <v>8.1290399297357679E-2</v>
      </c>
      <c r="K89" s="11">
        <f t="shared" si="121"/>
        <v>-4.0209321597727783E-2</v>
      </c>
      <c r="L89" s="11">
        <f t="shared" si="121"/>
        <v>-2.4242687460487595E-2</v>
      </c>
      <c r="M89" s="11">
        <f t="shared" si="121"/>
        <v>0.11247851488986706</v>
      </c>
      <c r="N89" s="11">
        <f t="shared" ref="N89:AS89" si="122">LN(N27/N26)</f>
        <v>1.7258492881565484E-2</v>
      </c>
      <c r="O89" s="11">
        <f t="shared" si="122"/>
        <v>0.15211608048789155</v>
      </c>
      <c r="P89" s="11">
        <f t="shared" si="122"/>
        <v>7.377416739076606E-2</v>
      </c>
      <c r="Q89" s="11">
        <f t="shared" si="122"/>
        <v>0.1093433446641132</v>
      </c>
      <c r="R89" s="11">
        <f t="shared" si="122"/>
        <v>5.1279930140769273E-2</v>
      </c>
      <c r="S89" s="11">
        <f t="shared" si="122"/>
        <v>7.496877022346092E-2</v>
      </c>
      <c r="T89" s="11">
        <f t="shared" si="122"/>
        <v>7.5607183737146547E-2</v>
      </c>
      <c r="U89" s="11">
        <f t="shared" si="122"/>
        <v>8.2352412175531228E-2</v>
      </c>
      <c r="V89" s="11">
        <f t="shared" si="122"/>
        <v>7.8457423813237587E-2</v>
      </c>
      <c r="W89" s="11">
        <f t="shared" si="122"/>
        <v>-1.7252584445208809E-2</v>
      </c>
      <c r="X89" s="11">
        <f t="shared" si="122"/>
        <v>4.0435737779997705E-2</v>
      </c>
      <c r="Y89" s="11">
        <f t="shared" si="122"/>
        <v>8.0215061416820818E-2</v>
      </c>
      <c r="Z89" s="11">
        <f t="shared" si="122"/>
        <v>9.2150301557455197E-2</v>
      </c>
      <c r="AA89" s="11">
        <f t="shared" si="122"/>
        <v>1.8421698647074439E-2</v>
      </c>
      <c r="AB89" s="11">
        <f t="shared" si="122"/>
        <v>5.3937533016684434E-2</v>
      </c>
      <c r="AC89" s="11">
        <f t="shared" si="122"/>
        <v>9.2237008167330423E-2</v>
      </c>
      <c r="AD89" s="11">
        <f t="shared" si="122"/>
        <v>3.7486680267601755E-2</v>
      </c>
      <c r="AE89" s="11">
        <f t="shared" si="122"/>
        <v>2.0659146102236743E-2</v>
      </c>
      <c r="AF89" s="11">
        <f t="shared" si="122"/>
        <v>2.3786864495938561E-3</v>
      </c>
      <c r="AG89" s="11">
        <f t="shared" si="122"/>
        <v>2.6562425732017263E-2</v>
      </c>
      <c r="AH89" s="11">
        <f t="shared" si="122"/>
        <v>-0.10701137326066698</v>
      </c>
      <c r="AI89" s="11">
        <f t="shared" si="122"/>
        <v>9.0617886614890494E-2</v>
      </c>
      <c r="AJ89" s="11">
        <f t="shared" si="122"/>
        <v>-4.9655590445860834E-2</v>
      </c>
      <c r="AK89" s="11">
        <f t="shared" si="122"/>
        <v>0.1973594205837722</v>
      </c>
      <c r="AL89" s="11">
        <f t="shared" si="122"/>
        <v>-1.9064652291103011E-2</v>
      </c>
      <c r="AM89" s="11">
        <f t="shared" si="122"/>
        <v>-0.25466749185002724</v>
      </c>
      <c r="AN89" s="11">
        <f t="shared" si="122"/>
        <v>5.0535664212959575E-2</v>
      </c>
      <c r="AO89" s="11">
        <f t="shared" si="122"/>
        <v>6.0422131228806998E-2</v>
      </c>
      <c r="AP89" s="11">
        <f t="shared" si="122"/>
        <v>8.1474217238906591E-2</v>
      </c>
      <c r="AQ89" s="11">
        <f t="shared" si="122"/>
        <v>-7.6471228880841471E-2</v>
      </c>
      <c r="AR89" s="11">
        <f t="shared" si="122"/>
        <v>0.15673617897586284</v>
      </c>
      <c r="AS89" s="11">
        <f t="shared" si="122"/>
        <v>2.202507641979027E-2</v>
      </c>
      <c r="AT89" s="11">
        <f t="shared" ref="AT89:BY89" si="123">LN(AT27/AT26)</f>
        <v>9.3559936978272071E-2</v>
      </c>
      <c r="AU89" s="11">
        <f t="shared" si="123"/>
        <v>0.10593396959641917</v>
      </c>
      <c r="AV89" s="11">
        <f t="shared" si="123"/>
        <v>0.13117231838582386</v>
      </c>
      <c r="AW89" s="11">
        <f t="shared" si="123"/>
        <v>7.9997658668203603E-2</v>
      </c>
      <c r="AX89" s="11">
        <f t="shared" si="123"/>
        <v>-0.17584209039196735</v>
      </c>
      <c r="AY89" s="11">
        <f t="shared" si="123"/>
        <v>-0.20339544860736652</v>
      </c>
      <c r="AZ89" s="11">
        <f t="shared" si="123"/>
        <v>3.9433680631710551E-2</v>
      </c>
      <c r="BA89" s="11">
        <f t="shared" si="123"/>
        <v>2.3096219236639393E-2</v>
      </c>
      <c r="BB89" s="11">
        <f t="shared" si="123"/>
        <v>7.5288880375832057E-3</v>
      </c>
      <c r="BC89" s="11">
        <f t="shared" si="123"/>
        <v>7.9773144095334605E-2</v>
      </c>
      <c r="BD89" s="11">
        <f t="shared" si="123"/>
        <v>2.4216176278190529E-2</v>
      </c>
      <c r="BE89" s="11">
        <f t="shared" si="123"/>
        <v>-4.8376006484658972E-2</v>
      </c>
      <c r="BF89" s="11">
        <f t="shared" si="123"/>
        <v>7.3792275937412333E-2</v>
      </c>
      <c r="BG89" s="11">
        <f t="shared" si="123"/>
        <v>5.6070010445170376E-2</v>
      </c>
      <c r="BH89" s="11">
        <f t="shared" si="123"/>
        <v>2.7855195308635179E-2</v>
      </c>
      <c r="BI89" s="11">
        <f t="shared" si="123"/>
        <v>0.23974995961825088</v>
      </c>
      <c r="BJ89" s="11">
        <f t="shared" si="123"/>
        <v>3.6494516750924064E-2</v>
      </c>
      <c r="BK89" s="11">
        <f t="shared" si="123"/>
        <v>6.3566495146549301E-2</v>
      </c>
      <c r="BL89" s="11">
        <f t="shared" si="123"/>
        <v>0.13541727010057439</v>
      </c>
      <c r="BM89" s="11">
        <f t="shared" si="123"/>
        <v>4.3709652765057387E-2</v>
      </c>
      <c r="BN89" s="11">
        <f t="shared" si="123"/>
        <v>1.065417014538028E-3</v>
      </c>
      <c r="BO89" s="11">
        <f t="shared" si="123"/>
        <v>2.4931391085250637E-2</v>
      </c>
      <c r="BP89" s="11">
        <f t="shared" si="123"/>
        <v>6.3407869039621381E-2</v>
      </c>
      <c r="BQ89" s="11">
        <f t="shared" si="123"/>
        <v>9.1854661034007593E-2</v>
      </c>
      <c r="BR89" s="11">
        <f t="shared" si="123"/>
        <v>9.1261592814823031E-2</v>
      </c>
      <c r="BS89" s="11">
        <f t="shared" si="123"/>
        <v>9.1864093404666631E-3</v>
      </c>
      <c r="BT89" s="11">
        <f t="shared" si="123"/>
        <v>7.3100442516876238E-2</v>
      </c>
      <c r="BU89" s="11">
        <f t="shared" si="123"/>
        <v>1.9822003721270506E-2</v>
      </c>
      <c r="BV89" s="11">
        <f t="shared" si="123"/>
        <v>3.1241824287821292E-2</v>
      </c>
      <c r="BW89" s="11">
        <f t="shared" si="123"/>
        <v>2.1059756559659904E-2</v>
      </c>
      <c r="BX89" s="11">
        <f t="shared" si="123"/>
        <v>3.4652102992430649E-2</v>
      </c>
      <c r="BY89" s="11">
        <f t="shared" si="123"/>
        <v>0.10648002632026793</v>
      </c>
      <c r="BZ89" s="11">
        <f t="shared" ref="BZ89:DE89" si="124">LN(BZ27/BZ26)</f>
        <v>7.2468502362091139E-2</v>
      </c>
      <c r="CA89" s="11">
        <f t="shared" si="124"/>
        <v>5.1293478313422472E-2</v>
      </c>
      <c r="CB89" s="11">
        <f t="shared" si="124"/>
        <v>8.1643718538587831E-2</v>
      </c>
      <c r="CC89" s="11">
        <f t="shared" si="124"/>
        <v>-1.7640960141513187E-2</v>
      </c>
      <c r="CD89" s="11">
        <f t="shared" si="124"/>
        <v>2.4425693707833561E-2</v>
      </c>
      <c r="CE89" s="11">
        <f t="shared" si="124"/>
        <v>4.3828958612864649E-2</v>
      </c>
      <c r="CF89" s="11">
        <f t="shared" si="124"/>
        <v>3.8320919224483663E-2</v>
      </c>
      <c r="CG89" s="11">
        <f t="shared" si="124"/>
        <v>3.7276435072350698E-2</v>
      </c>
      <c r="CH89" s="11">
        <f t="shared" si="124"/>
        <v>6.9024498446877053E-2</v>
      </c>
      <c r="CI89" s="11">
        <f t="shared" si="124"/>
        <v>1.9935600489009851E-2</v>
      </c>
      <c r="CJ89" s="11">
        <f t="shared" si="124"/>
        <v>7.1169392201080983E-2</v>
      </c>
      <c r="CK89" s="11">
        <f t="shared" si="124"/>
        <v>-7.2611778830054666E-2</v>
      </c>
      <c r="CL89" s="11">
        <f t="shared" si="124"/>
        <v>-5.1701580730044806E-2</v>
      </c>
      <c r="CM89" s="11">
        <f t="shared" si="124"/>
        <v>3.7268557296409884E-2</v>
      </c>
      <c r="CN89" s="11">
        <f t="shared" si="124"/>
        <v>-2.8345349335211521E-2</v>
      </c>
      <c r="CO89" s="11">
        <f t="shared" si="124"/>
        <v>4.4661015145791662E-2</v>
      </c>
      <c r="CP89" s="11">
        <f t="shared" si="124"/>
        <v>0.10874068642843257</v>
      </c>
      <c r="CQ89" s="11">
        <f t="shared" si="124"/>
        <v>0.1158785498150626</v>
      </c>
      <c r="CR89" s="11">
        <f t="shared" si="124"/>
        <v>5.606069723250099E-2</v>
      </c>
      <c r="CS89" s="11">
        <f t="shared" si="124"/>
        <v>0.38767606479442984</v>
      </c>
      <c r="CT89" s="11">
        <f t="shared" si="124"/>
        <v>0.12880650088266826</v>
      </c>
      <c r="CU89" s="11">
        <f t="shared" si="124"/>
        <v>0.11639790668091267</v>
      </c>
      <c r="CV89" s="11">
        <f t="shared" si="124"/>
        <v>7.893030120607733E-2</v>
      </c>
      <c r="CW89" s="11">
        <f t="shared" si="124"/>
        <v>3.8549916590963074E-2</v>
      </c>
      <c r="CX89" s="11">
        <f t="shared" si="124"/>
        <v>0</v>
      </c>
      <c r="CY89" s="11">
        <f t="shared" si="124"/>
        <v>-0.18359357280366145</v>
      </c>
      <c r="CZ89" s="11">
        <f t="shared" si="124"/>
        <v>-3.8998442989520536E-2</v>
      </c>
      <c r="DA89" s="11">
        <f t="shared" si="124"/>
        <v>-1.3312647666607648E-2</v>
      </c>
      <c r="DB89" s="11">
        <f t="shared" si="124"/>
        <v>-9.3961359817140724E-2</v>
      </c>
      <c r="DC89" s="11">
        <f t="shared" si="124"/>
        <v>8.1202671319476658E-2</v>
      </c>
      <c r="DD89" s="11">
        <f t="shared" si="124"/>
        <v>-0.11557308072602394</v>
      </c>
      <c r="DE89" s="11">
        <f t="shared" si="124"/>
        <v>4.7247913717839853E-2</v>
      </c>
      <c r="DF89" s="11">
        <f t="shared" ref="DF89:DU89" si="125">LN(DF27/DF26)</f>
        <v>-3.0580712253920287E-2</v>
      </c>
      <c r="DG89" s="11">
        <f t="shared" si="125"/>
        <v>-3.7598413557007548E-2</v>
      </c>
      <c r="DH89" s="11">
        <f t="shared" si="125"/>
        <v>4.4213497142020282E-2</v>
      </c>
      <c r="DI89" s="11">
        <f t="shared" si="125"/>
        <v>-2.2615251625946655E-3</v>
      </c>
      <c r="DJ89" s="11">
        <f t="shared" si="125"/>
        <v>6.3250355325397328E-2</v>
      </c>
      <c r="DK89" s="11">
        <f t="shared" si="125"/>
        <v>-5.0488314043999893E-2</v>
      </c>
      <c r="DL89" s="11">
        <f t="shared" si="125"/>
        <v>3.2541300201531166E-3</v>
      </c>
      <c r="DM89" s="11">
        <f t="shared" si="125"/>
        <v>-1.7662563063132828E-2</v>
      </c>
      <c r="DN89" s="11">
        <f t="shared" si="125"/>
        <v>-6.3099440145457583E-2</v>
      </c>
      <c r="DO89" s="11">
        <f t="shared" si="125"/>
        <v>4.6607880448968374E-2</v>
      </c>
      <c r="DP89" s="11">
        <f t="shared" si="125"/>
        <v>-0.18121109798096388</v>
      </c>
      <c r="DQ89" s="11">
        <f t="shared" si="125"/>
        <v>-1.7778907360257376E-2</v>
      </c>
      <c r="DR89" s="11">
        <f t="shared" si="125"/>
        <v>-0.1290032726930595</v>
      </c>
      <c r="DS89" s="11">
        <f t="shared" si="125"/>
        <v>-0.156652045407807</v>
      </c>
      <c r="DT89" s="11">
        <f t="shared" si="125"/>
        <v>-0.13016971539219627</v>
      </c>
      <c r="DU89" s="11">
        <f t="shared" si="125"/>
        <v>-0.13633040948747482</v>
      </c>
      <c r="DV89" s="11">
        <f t="shared" si="13"/>
        <v>-6.8123689309260549E-2</v>
      </c>
      <c r="DW89" s="11">
        <f t="shared" si="115"/>
        <v>3.8271608799202286E-2</v>
      </c>
      <c r="DX89" s="11">
        <f t="shared" si="115"/>
        <v>-6.6276152863991425E-2</v>
      </c>
      <c r="DY89" s="11">
        <f t="shared" si="115"/>
        <v>1.2713402326577715E-2</v>
      </c>
      <c r="DZ89" s="11">
        <f t="shared" si="115"/>
        <v>3.0363252619708299E-3</v>
      </c>
    </row>
    <row r="90" spans="1:130" ht="15">
      <c r="A90" s="8">
        <v>43435</v>
      </c>
      <c r="B90" s="11">
        <f t="shared" si="6"/>
        <v>-0.123204806295347</v>
      </c>
      <c r="C90" s="11">
        <f t="shared" si="6"/>
        <v>-4.9738631742691726E-2</v>
      </c>
      <c r="D90" s="11">
        <f t="shared" si="7"/>
        <v>-1.9898462993773534E-2</v>
      </c>
      <c r="E90" s="11">
        <f t="shared" si="7"/>
        <v>-2.2311205870704683E-2</v>
      </c>
      <c r="F90" s="11">
        <f t="shared" si="7"/>
        <v>-3.7629174851371787E-2</v>
      </c>
      <c r="G90" s="11">
        <f t="shared" si="7"/>
        <v>-6.047560840028985E-2</v>
      </c>
      <c r="H90" s="11">
        <f t="shared" si="7"/>
        <v>-2.8074801527213936E-2</v>
      </c>
      <c r="I90" s="11">
        <f t="shared" ref="I90:M90" si="126">LN(I28/I27)</f>
        <v>-0.10895149743515821</v>
      </c>
      <c r="J90" s="11">
        <f t="shared" si="126"/>
        <v>-0.11801639621617428</v>
      </c>
      <c r="K90" s="11">
        <f t="shared" si="126"/>
        <v>-9.1088635856880568E-2</v>
      </c>
      <c r="L90" s="11">
        <f t="shared" si="126"/>
        <v>-7.8551934765974135E-2</v>
      </c>
      <c r="M90" s="11">
        <f t="shared" si="126"/>
        <v>-6.9980578607087673E-2</v>
      </c>
      <c r="N90" s="11">
        <f t="shared" ref="N90:AS90" si="127">LN(N28/N27)</f>
        <v>-7.3818945035431766E-2</v>
      </c>
      <c r="O90" s="11">
        <f t="shared" si="127"/>
        <v>-0.1183840078353194</v>
      </c>
      <c r="P90" s="11">
        <f t="shared" si="127"/>
        <v>-0.11850961301398323</v>
      </c>
      <c r="Q90" s="11">
        <f t="shared" si="127"/>
        <v>-0.20216790880867555</v>
      </c>
      <c r="R90" s="11">
        <f t="shared" si="127"/>
        <v>-9.9375719242275784E-2</v>
      </c>
      <c r="S90" s="11">
        <f t="shared" si="127"/>
        <v>2.1241412855911811E-2</v>
      </c>
      <c r="T90" s="11">
        <f t="shared" si="127"/>
        <v>-2.3501607632816973E-2</v>
      </c>
      <c r="U90" s="11">
        <f t="shared" si="127"/>
        <v>-6.9739939786833086E-2</v>
      </c>
      <c r="V90" s="11">
        <f t="shared" si="127"/>
        <v>-0.11275834144197705</v>
      </c>
      <c r="W90" s="11">
        <f t="shared" si="127"/>
        <v>-0.24031408445122646</v>
      </c>
      <c r="X90" s="11">
        <f t="shared" si="127"/>
        <v>-9.1560357607099296E-2</v>
      </c>
      <c r="Y90" s="11">
        <f t="shared" si="127"/>
        <v>-0.21169109535219416</v>
      </c>
      <c r="Z90" s="11">
        <f t="shared" si="127"/>
        <v>-0.11487909189168372</v>
      </c>
      <c r="AA90" s="11">
        <f t="shared" si="127"/>
        <v>-0.1029836013274414</v>
      </c>
      <c r="AB90" s="11">
        <f t="shared" si="127"/>
        <v>2.1965537423574363E-2</v>
      </c>
      <c r="AC90" s="11">
        <f t="shared" si="127"/>
        <v>-3.7842685674145601E-2</v>
      </c>
      <c r="AD90" s="11">
        <f t="shared" si="127"/>
        <v>-8.347937111018891E-2</v>
      </c>
      <c r="AE90" s="11">
        <f t="shared" si="127"/>
        <v>-0.10341821335333609</v>
      </c>
      <c r="AF90" s="11">
        <f t="shared" si="127"/>
        <v>-7.6920028222656076E-2</v>
      </c>
      <c r="AG90" s="11">
        <f t="shared" si="127"/>
        <v>-8.7466322552361947E-2</v>
      </c>
      <c r="AH90" s="11">
        <f t="shared" si="127"/>
        <v>-4.7281281437277632E-2</v>
      </c>
      <c r="AI90" s="11">
        <f t="shared" si="127"/>
        <v>-5.1070732701637644E-2</v>
      </c>
      <c r="AJ90" s="11">
        <f t="shared" si="127"/>
        <v>-0.11829225619624906</v>
      </c>
      <c r="AK90" s="11">
        <f t="shared" si="127"/>
        <v>-0.15364656879604785</v>
      </c>
      <c r="AL90" s="11">
        <f t="shared" si="127"/>
        <v>-5.9538539723198648E-2</v>
      </c>
      <c r="AM90" s="11">
        <f t="shared" si="127"/>
        <v>-0.20128302835196521</v>
      </c>
      <c r="AN90" s="11">
        <f t="shared" si="127"/>
        <v>-4.3196444210872299E-2</v>
      </c>
      <c r="AO90" s="11">
        <f t="shared" si="127"/>
        <v>6.8647262199426198E-2</v>
      </c>
      <c r="AP90" s="11">
        <f t="shared" si="127"/>
        <v>-5.5069257022795359E-2</v>
      </c>
      <c r="AQ90" s="11">
        <f t="shared" si="127"/>
        <v>-2.3444776424834689E-2</v>
      </c>
      <c r="AR90" s="11">
        <f t="shared" si="127"/>
        <v>-0.1431008436406733</v>
      </c>
      <c r="AS90" s="11">
        <f t="shared" si="127"/>
        <v>-0.19495295728842876</v>
      </c>
      <c r="AT90" s="11">
        <f t="shared" ref="AT90:BY90" si="128">LN(AT28/AT27)</f>
        <v>-6.3177379022024346E-2</v>
      </c>
      <c r="AU90" s="11">
        <f t="shared" si="128"/>
        <v>-0.12900066206325059</v>
      </c>
      <c r="AV90" s="11">
        <f t="shared" si="128"/>
        <v>-3.6981311505440026E-2</v>
      </c>
      <c r="AW90" s="11">
        <f t="shared" si="128"/>
        <v>-7.8181525537013116E-2</v>
      </c>
      <c r="AX90" s="11">
        <f t="shared" si="128"/>
        <v>-7.6915623502468861E-2</v>
      </c>
      <c r="AY90" s="11">
        <f t="shared" si="128"/>
        <v>-0.12060556762250073</v>
      </c>
      <c r="AZ90" s="11">
        <f t="shared" si="128"/>
        <v>-4.1402974875229676E-2</v>
      </c>
      <c r="BA90" s="11">
        <f t="shared" si="128"/>
        <v>-3.9749810838134551E-2</v>
      </c>
      <c r="BB90" s="11">
        <f t="shared" si="128"/>
        <v>-5.1403758084025641E-2</v>
      </c>
      <c r="BC90" s="11">
        <f t="shared" si="128"/>
        <v>4.1969391709931166E-3</v>
      </c>
      <c r="BD90" s="11">
        <f t="shared" si="128"/>
        <v>-0.11622499508602298</v>
      </c>
      <c r="BE90" s="11">
        <f t="shared" si="128"/>
        <v>-0.11702296421747677</v>
      </c>
      <c r="BF90" s="11">
        <f t="shared" si="128"/>
        <v>-7.6501230561567893E-2</v>
      </c>
      <c r="BG90" s="11">
        <f t="shared" si="128"/>
        <v>-0.11805153581831997</v>
      </c>
      <c r="BH90" s="11">
        <f t="shared" si="128"/>
        <v>-6.1483758206890192E-2</v>
      </c>
      <c r="BI90" s="11">
        <f t="shared" si="128"/>
        <v>-0.127522202647808</v>
      </c>
      <c r="BJ90" s="11">
        <f t="shared" si="128"/>
        <v>-0.12621770215397468</v>
      </c>
      <c r="BK90" s="11">
        <f t="shared" si="128"/>
        <v>-5.3638563953989755E-2</v>
      </c>
      <c r="BL90" s="11">
        <f t="shared" si="128"/>
        <v>-3.0036181182935291E-2</v>
      </c>
      <c r="BM90" s="11">
        <f t="shared" si="128"/>
        <v>-0.1016079646732162</v>
      </c>
      <c r="BN90" s="11">
        <f t="shared" si="128"/>
        <v>-1.0167794523024604E-2</v>
      </c>
      <c r="BO90" s="11">
        <f t="shared" si="128"/>
        <v>-4.232207181226591E-2</v>
      </c>
      <c r="BP90" s="11">
        <f t="shared" si="128"/>
        <v>-0.15876161008909584</v>
      </c>
      <c r="BQ90" s="11">
        <f t="shared" si="128"/>
        <v>-6.3836764294729675E-2</v>
      </c>
      <c r="BR90" s="11">
        <f t="shared" si="128"/>
        <v>-5.847159894488313E-2</v>
      </c>
      <c r="BS90" s="11">
        <f t="shared" si="128"/>
        <v>-9.384076496589458E-2</v>
      </c>
      <c r="BT90" s="11">
        <f t="shared" si="128"/>
        <v>-0.19285724425973236</v>
      </c>
      <c r="BU90" s="11">
        <f t="shared" si="128"/>
        <v>8.865988016694776E-4</v>
      </c>
      <c r="BV90" s="11">
        <f t="shared" si="128"/>
        <v>-0.11178380599824038</v>
      </c>
      <c r="BW90" s="11">
        <f t="shared" si="128"/>
        <v>-0.23318199995631603</v>
      </c>
      <c r="BX90" s="11">
        <f t="shared" si="128"/>
        <v>-0.12762734303295115</v>
      </c>
      <c r="BY90" s="11">
        <f t="shared" si="128"/>
        <v>-0.12098122617192428</v>
      </c>
      <c r="BZ90" s="11">
        <f t="shared" ref="BZ90:DE90" si="129">LN(BZ28/BZ27)</f>
        <v>-2.7787109417168821E-2</v>
      </c>
      <c r="CA90" s="11">
        <f t="shared" si="129"/>
        <v>-5.4548049423942466E-2</v>
      </c>
      <c r="CB90" s="11">
        <f t="shared" si="129"/>
        <v>-9.8694630506740294E-2</v>
      </c>
      <c r="CC90" s="11">
        <f t="shared" si="129"/>
        <v>-0.25938681796066793</v>
      </c>
      <c r="CD90" s="11">
        <f t="shared" si="129"/>
        <v>-2.9789068373432627E-2</v>
      </c>
      <c r="CE90" s="11">
        <f t="shared" si="129"/>
        <v>-1.7823550726438524E-2</v>
      </c>
      <c r="CF90" s="11">
        <f t="shared" si="129"/>
        <v>-0.14343304414760782</v>
      </c>
      <c r="CG90" s="11">
        <f t="shared" si="129"/>
        <v>-8.9088987081253984E-2</v>
      </c>
      <c r="CH90" s="11">
        <f t="shared" si="129"/>
        <v>-0.11658859554302173</v>
      </c>
      <c r="CI90" s="11">
        <f t="shared" si="129"/>
        <v>-0.10210357765371079</v>
      </c>
      <c r="CJ90" s="11">
        <f t="shared" si="129"/>
        <v>-6.5042567790338832E-2</v>
      </c>
      <c r="CK90" s="11">
        <f t="shared" si="129"/>
        <v>-0.16010166590759742</v>
      </c>
      <c r="CL90" s="11">
        <f t="shared" si="129"/>
        <v>-7.2921971320144816E-2</v>
      </c>
      <c r="CM90" s="11">
        <f t="shared" si="129"/>
        <v>-5.4930193348240987E-2</v>
      </c>
      <c r="CN90" s="11">
        <f t="shared" si="129"/>
        <v>-0.10127965794912545</v>
      </c>
      <c r="CO90" s="11">
        <f t="shared" si="129"/>
        <v>-7.4436283086242644E-2</v>
      </c>
      <c r="CP90" s="11">
        <f t="shared" si="129"/>
        <v>-3.1861648944962349E-3</v>
      </c>
      <c r="CQ90" s="11">
        <f t="shared" si="129"/>
        <v>-7.1834760045657128E-2</v>
      </c>
      <c r="CR90" s="11">
        <f t="shared" si="129"/>
        <v>-0.17247224180269283</v>
      </c>
      <c r="CS90" s="11">
        <f t="shared" si="129"/>
        <v>-0.22031037899841577</v>
      </c>
      <c r="CT90" s="11">
        <f t="shared" si="129"/>
        <v>-4.7525141862845295E-2</v>
      </c>
      <c r="CU90" s="11">
        <f t="shared" si="129"/>
        <v>-0.2462151246682793</v>
      </c>
      <c r="CV90" s="11">
        <f t="shared" si="129"/>
        <v>-0.15901767295707758</v>
      </c>
      <c r="CW90" s="11">
        <f t="shared" si="129"/>
        <v>-0.35027041098101924</v>
      </c>
      <c r="CX90" s="11">
        <f t="shared" si="129"/>
        <v>-0.24686007793152595</v>
      </c>
      <c r="CY90" s="11">
        <f t="shared" si="129"/>
        <v>-0.20651648946266496</v>
      </c>
      <c r="CZ90" s="11">
        <f t="shared" si="129"/>
        <v>-0.10604055648648182</v>
      </c>
      <c r="DA90" s="11">
        <f t="shared" si="129"/>
        <v>-0.22146974597093533</v>
      </c>
      <c r="DB90" s="11">
        <f t="shared" si="129"/>
        <v>-0.19512141321382545</v>
      </c>
      <c r="DC90" s="11">
        <f t="shared" si="129"/>
        <v>-0.15944995993294689</v>
      </c>
      <c r="DD90" s="11">
        <f t="shared" si="129"/>
        <v>3.3059761654555832E-3</v>
      </c>
      <c r="DE90" s="11">
        <f t="shared" si="129"/>
        <v>-0.10184774707745003</v>
      </c>
      <c r="DF90" s="11">
        <f t="shared" ref="DF90:DU90" si="130">LN(DF28/DF27)</f>
        <v>-0.18133194760878826</v>
      </c>
      <c r="DG90" s="11">
        <f t="shared" si="130"/>
        <v>-0.11563018229528232</v>
      </c>
      <c r="DH90" s="11">
        <f t="shared" si="130"/>
        <v>-0.17813635581186299</v>
      </c>
      <c r="DI90" s="11">
        <f t="shared" si="130"/>
        <v>-0.14337289466462183</v>
      </c>
      <c r="DJ90" s="11">
        <f t="shared" si="130"/>
        <v>-7.9474292686011805E-2</v>
      </c>
      <c r="DK90" s="11">
        <f t="shared" si="130"/>
        <v>-5.9614793163235667E-2</v>
      </c>
      <c r="DL90" s="11">
        <f t="shared" si="130"/>
        <v>-0.11636334576742725</v>
      </c>
      <c r="DM90" s="11">
        <f t="shared" si="130"/>
        <v>-0.16941494761120027</v>
      </c>
      <c r="DN90" s="11">
        <f t="shared" si="130"/>
        <v>-0.28564313654993578</v>
      </c>
      <c r="DO90" s="11">
        <f t="shared" si="130"/>
        <v>-0.13526066262121542</v>
      </c>
      <c r="DP90" s="11">
        <f t="shared" si="130"/>
        <v>-0.1816557064727807</v>
      </c>
      <c r="DQ90" s="11">
        <f t="shared" si="130"/>
        <v>-0.17344592918039961</v>
      </c>
      <c r="DR90" s="11">
        <f t="shared" si="130"/>
        <v>-0.22314342716840266</v>
      </c>
      <c r="DS90" s="11">
        <f t="shared" si="130"/>
        <v>-5.1778465987949211E-2</v>
      </c>
      <c r="DT90" s="11">
        <f t="shared" si="130"/>
        <v>-0.15951784810210651</v>
      </c>
      <c r="DU90" s="11">
        <f t="shared" si="130"/>
        <v>-0.22267644485948965</v>
      </c>
      <c r="DV90" s="11">
        <f t="shared" si="13"/>
        <v>-0.29138938052359598</v>
      </c>
      <c r="DW90" s="11">
        <f t="shared" si="115"/>
        <v>-5.1761934558589455E-2</v>
      </c>
      <c r="DX90" s="11">
        <f t="shared" si="115"/>
        <v>-9.7282705448894835E-2</v>
      </c>
      <c r="DY90" s="11">
        <f t="shared" si="115"/>
        <v>-8.6192703161552947E-2</v>
      </c>
      <c r="DZ90" s="11">
        <f t="shared" si="115"/>
        <v>-0.20706730801869905</v>
      </c>
    </row>
    <row r="91" spans="1:130" ht="15">
      <c r="A91" s="8">
        <v>43466</v>
      </c>
      <c r="B91" s="11">
        <f t="shared" si="6"/>
        <v>3.0750895165532432E-2</v>
      </c>
      <c r="C91" s="11">
        <f t="shared" si="6"/>
        <v>-2.7876241443477754E-2</v>
      </c>
      <c r="D91" s="11">
        <f t="shared" si="7"/>
        <v>3.5150477675967753E-2</v>
      </c>
      <c r="E91" s="11">
        <f t="shared" si="7"/>
        <v>-0.13820677185656019</v>
      </c>
      <c r="F91" s="11">
        <f t="shared" si="7"/>
        <v>-1.9268931083314747E-2</v>
      </c>
      <c r="G91" s="11">
        <f t="shared" si="7"/>
        <v>-3.9608924642219656E-2</v>
      </c>
      <c r="H91" s="11">
        <f t="shared" si="7"/>
        <v>-5.1516071284094779E-2</v>
      </c>
      <c r="I91" s="11">
        <f t="shared" ref="I91:M91" si="131">LN(I29/I28)</f>
        <v>9.3985642835126726E-2</v>
      </c>
      <c r="J91" s="11">
        <f t="shared" si="131"/>
        <v>-6.9509792317864624E-2</v>
      </c>
      <c r="K91" s="11">
        <f t="shared" si="131"/>
        <v>0.13440457327389896</v>
      </c>
      <c r="L91" s="11">
        <f t="shared" si="131"/>
        <v>0.16314894802279997</v>
      </c>
      <c r="M91" s="11">
        <f t="shared" si="131"/>
        <v>0.12232633324943983</v>
      </c>
      <c r="N91" s="11">
        <f t="shared" ref="N91:AS91" si="132">LN(N29/N28)</f>
        <v>0.10483528521166167</v>
      </c>
      <c r="O91" s="11">
        <f t="shared" si="132"/>
        <v>0.12073728232463961</v>
      </c>
      <c r="P91" s="11">
        <f t="shared" si="132"/>
        <v>8.1227575513698469E-2</v>
      </c>
      <c r="Q91" s="11">
        <f t="shared" si="132"/>
        <v>4.5778426579312344E-4</v>
      </c>
      <c r="R91" s="11">
        <f t="shared" si="132"/>
        <v>0.1455214951047453</v>
      </c>
      <c r="S91" s="11">
        <f t="shared" si="132"/>
        <v>0.13916808701388125</v>
      </c>
      <c r="T91" s="11">
        <f t="shared" si="132"/>
        <v>8.9465500174143505E-3</v>
      </c>
      <c r="U91" s="11">
        <f t="shared" si="132"/>
        <v>-2.3005587398622272E-2</v>
      </c>
      <c r="V91" s="11">
        <f t="shared" si="132"/>
        <v>0.12808163645972417</v>
      </c>
      <c r="W91" s="11">
        <f t="shared" si="132"/>
        <v>0.16924736523484132</v>
      </c>
      <c r="X91" s="11">
        <f t="shared" si="132"/>
        <v>7.2221048515053541E-3</v>
      </c>
      <c r="Y91" s="11">
        <f t="shared" si="132"/>
        <v>8.8986369900889942E-2</v>
      </c>
      <c r="Z91" s="11">
        <f t="shared" si="132"/>
        <v>0.10497395196075927</v>
      </c>
      <c r="AA91" s="11">
        <f t="shared" si="132"/>
        <v>8.9270856463255485E-2</v>
      </c>
      <c r="AB91" s="11">
        <f t="shared" si="132"/>
        <v>-0.17939231559512636</v>
      </c>
      <c r="AC91" s="11">
        <f t="shared" si="132"/>
        <v>9.6524896085041445E-2</v>
      </c>
      <c r="AD91" s="11">
        <f t="shared" si="132"/>
        <v>2.7768554718862918E-2</v>
      </c>
      <c r="AE91" s="11">
        <f t="shared" si="132"/>
        <v>9.1106293480138906E-2</v>
      </c>
      <c r="AF91" s="11">
        <f t="shared" si="132"/>
        <v>0.10662228890952742</v>
      </c>
      <c r="AG91" s="11">
        <f t="shared" si="132"/>
        <v>0.10268600216201157</v>
      </c>
      <c r="AH91" s="11">
        <f t="shared" si="132"/>
        <v>8.3586046367712843E-2</v>
      </c>
      <c r="AI91" s="11">
        <f t="shared" si="132"/>
        <v>0.13232525721402841</v>
      </c>
      <c r="AJ91" s="11">
        <f t="shared" si="132"/>
        <v>6.3740068864091851E-2</v>
      </c>
      <c r="AK91" s="11">
        <f t="shared" si="132"/>
        <v>0.10631289161758777</v>
      </c>
      <c r="AL91" s="11">
        <f t="shared" si="132"/>
        <v>-6.6877455280923322E-3</v>
      </c>
      <c r="AM91" s="11">
        <f t="shared" si="132"/>
        <v>7.3974067596025248E-2</v>
      </c>
      <c r="AN91" s="11">
        <f t="shared" si="132"/>
        <v>4.0405870096961753E-3</v>
      </c>
      <c r="AO91" s="11">
        <f t="shared" si="132"/>
        <v>6.3966025302243101E-2</v>
      </c>
      <c r="AP91" s="11">
        <f t="shared" si="132"/>
        <v>6.3347511944954638E-2</v>
      </c>
      <c r="AQ91" s="11">
        <f t="shared" si="132"/>
        <v>-0.12829684697202015</v>
      </c>
      <c r="AR91" s="11">
        <f t="shared" si="132"/>
        <v>0.27938665533016255</v>
      </c>
      <c r="AS91" s="11">
        <f t="shared" si="132"/>
        <v>0.18609630704091054</v>
      </c>
      <c r="AT91" s="11">
        <f t="shared" ref="AT91:BY91" si="133">LN(AT29/AT28)</f>
        <v>0.14133625239168893</v>
      </c>
      <c r="AU91" s="11">
        <f t="shared" si="133"/>
        <v>0.17510498676991348</v>
      </c>
      <c r="AV91" s="11">
        <f t="shared" si="133"/>
        <v>0.11108669688718935</v>
      </c>
      <c r="AW91" s="11">
        <f t="shared" si="133"/>
        <v>0.27331392066999061</v>
      </c>
      <c r="AX91" s="11">
        <f t="shared" si="133"/>
        <v>8.6016010427986622E-2</v>
      </c>
      <c r="AY91" s="11">
        <f t="shared" si="133"/>
        <v>5.3686714838432646E-2</v>
      </c>
      <c r="AZ91" s="11">
        <f t="shared" si="133"/>
        <v>0.10392120919878388</v>
      </c>
      <c r="BA91" s="11">
        <f t="shared" si="133"/>
        <v>0.21165404158750289</v>
      </c>
      <c r="BB91" s="11">
        <f t="shared" si="133"/>
        <v>9.6540235998434892E-2</v>
      </c>
      <c r="BC91" s="11">
        <f t="shared" si="133"/>
        <v>0.17591145108304651</v>
      </c>
      <c r="BD91" s="11">
        <f t="shared" si="133"/>
        <v>0.1028597210423744</v>
      </c>
      <c r="BE91" s="11">
        <f t="shared" si="133"/>
        <v>8.1054409584462445E-2</v>
      </c>
      <c r="BF91" s="11">
        <f t="shared" si="133"/>
        <v>0.16766951986169099</v>
      </c>
      <c r="BG91" s="11">
        <f t="shared" si="133"/>
        <v>0.13480806622777397</v>
      </c>
      <c r="BH91" s="11">
        <f t="shared" si="133"/>
        <v>0.18131213936636612</v>
      </c>
      <c r="BI91" s="11">
        <f t="shared" si="133"/>
        <v>0.1387469041783575</v>
      </c>
      <c r="BJ91" s="11">
        <f t="shared" si="133"/>
        <v>0.16448255582140917</v>
      </c>
      <c r="BK91" s="11">
        <f t="shared" si="133"/>
        <v>6.7912708376831922E-3</v>
      </c>
      <c r="BL91" s="11">
        <f t="shared" si="133"/>
        <v>5.6450799316459049E-2</v>
      </c>
      <c r="BM91" s="11">
        <f t="shared" si="133"/>
        <v>4.9524261212120772E-2</v>
      </c>
      <c r="BN91" s="11">
        <f t="shared" si="133"/>
        <v>9.9299429342019255E-2</v>
      </c>
      <c r="BO91" s="11">
        <f t="shared" si="133"/>
        <v>6.5931372868321847E-2</v>
      </c>
      <c r="BP91" s="11">
        <f t="shared" si="133"/>
        <v>0.13083364370833064</v>
      </c>
      <c r="BQ91" s="11">
        <f t="shared" si="133"/>
        <v>0.12840721263723379</v>
      </c>
      <c r="BR91" s="11">
        <f t="shared" si="133"/>
        <v>4.1079997752590226E-2</v>
      </c>
      <c r="BS91" s="11">
        <f t="shared" si="133"/>
        <v>6.212002956975804E-2</v>
      </c>
      <c r="BT91" s="11">
        <f t="shared" si="133"/>
        <v>0.15525131087208138</v>
      </c>
      <c r="BU91" s="11">
        <f t="shared" si="133"/>
        <v>2.2163570912027E-2</v>
      </c>
      <c r="BV91" s="11">
        <f t="shared" si="133"/>
        <v>0.1368398908354698</v>
      </c>
      <c r="BW91" s="11">
        <f t="shared" si="133"/>
        <v>8.1151157272861624E-2</v>
      </c>
      <c r="BX91" s="11">
        <f t="shared" si="133"/>
        <v>2.3218334851029514E-2</v>
      </c>
      <c r="BY91" s="11">
        <f t="shared" si="133"/>
        <v>1.1373991734978091E-2</v>
      </c>
      <c r="BZ91" s="11">
        <f t="shared" ref="BZ91:DE91" si="134">LN(BZ29/BZ28)</f>
        <v>4.8313423902450886E-2</v>
      </c>
      <c r="CA91" s="11">
        <f t="shared" si="134"/>
        <v>1.6339067598308089E-2</v>
      </c>
      <c r="CB91" s="11">
        <f t="shared" si="134"/>
        <v>2.7537919735866508E-2</v>
      </c>
      <c r="CC91" s="11">
        <f t="shared" si="134"/>
        <v>0.15433991918874418</v>
      </c>
      <c r="CD91" s="11">
        <f t="shared" si="134"/>
        <v>6.6761199853298692E-3</v>
      </c>
      <c r="CE91" s="11">
        <f t="shared" si="134"/>
        <v>7.3730016930165176E-2</v>
      </c>
      <c r="CF91" s="11">
        <f t="shared" si="134"/>
        <v>0.1497345117785136</v>
      </c>
      <c r="CG91" s="11">
        <f t="shared" si="134"/>
        <v>4.7434947104385367E-2</v>
      </c>
      <c r="CH91" s="11">
        <f t="shared" si="134"/>
        <v>0.15113222328595549</v>
      </c>
      <c r="CI91" s="11">
        <f t="shared" si="134"/>
        <v>8.7806574656707381E-2</v>
      </c>
      <c r="CJ91" s="11">
        <f t="shared" si="134"/>
        <v>8.3139838139767941E-2</v>
      </c>
      <c r="CK91" s="11">
        <f t="shared" si="134"/>
        <v>0.11032005711286343</v>
      </c>
      <c r="CL91" s="11">
        <f t="shared" si="134"/>
        <v>1.8813510263208221E-2</v>
      </c>
      <c r="CM91" s="11">
        <f t="shared" si="134"/>
        <v>-8.4706529319219966E-3</v>
      </c>
      <c r="CN91" s="11">
        <f t="shared" si="134"/>
        <v>3.4480362342457799E-2</v>
      </c>
      <c r="CO91" s="11">
        <f t="shared" si="134"/>
        <v>-0.1147460543691753</v>
      </c>
      <c r="CP91" s="11">
        <f t="shared" si="134"/>
        <v>-1.764232823084402E-2</v>
      </c>
      <c r="CQ91" s="11">
        <f t="shared" si="134"/>
        <v>-3.8084519793464826E-2</v>
      </c>
      <c r="CR91" s="11">
        <f t="shared" si="134"/>
        <v>7.1354402722174443E-2</v>
      </c>
      <c r="CS91" s="11">
        <f t="shared" si="134"/>
        <v>0.13184841620617355</v>
      </c>
      <c r="CT91" s="11">
        <f t="shared" si="134"/>
        <v>6.36689902342015E-2</v>
      </c>
      <c r="CU91" s="11">
        <f t="shared" si="134"/>
        <v>0.26716352163209001</v>
      </c>
      <c r="CV91" s="11">
        <f t="shared" si="134"/>
        <v>7.7602669862924537E-2</v>
      </c>
      <c r="CW91" s="11">
        <f t="shared" si="134"/>
        <v>9.8940373976475177E-2</v>
      </c>
      <c r="CX91" s="11">
        <f t="shared" si="134"/>
        <v>0.15044634826350567</v>
      </c>
      <c r="CY91" s="11">
        <f t="shared" si="134"/>
        <v>0.21642737336211901</v>
      </c>
      <c r="CZ91" s="11">
        <f t="shared" si="134"/>
        <v>0.16028665903373127</v>
      </c>
      <c r="DA91" s="11">
        <f t="shared" si="134"/>
        <v>0.15590586685418917</v>
      </c>
      <c r="DB91" s="11">
        <f t="shared" si="134"/>
        <v>0.31308748172511724</v>
      </c>
      <c r="DC91" s="11">
        <f t="shared" si="134"/>
        <v>9.355728699924605E-2</v>
      </c>
      <c r="DD91" s="11">
        <f t="shared" si="134"/>
        <v>6.5786512770893606E-3</v>
      </c>
      <c r="DE91" s="11">
        <f t="shared" si="134"/>
        <v>9.6982774055002274E-2</v>
      </c>
      <c r="DF91" s="11">
        <f t="shared" ref="DF91:DU91" si="135">LN(DF29/DF28)</f>
        <v>0.18290586586512209</v>
      </c>
      <c r="DG91" s="11">
        <f t="shared" si="135"/>
        <v>6.252035698133393E-2</v>
      </c>
      <c r="DH91" s="11">
        <f t="shared" si="135"/>
        <v>9.4099224069921675E-2</v>
      </c>
      <c r="DI91" s="11">
        <f t="shared" si="135"/>
        <v>7.1989734179713938E-2</v>
      </c>
      <c r="DJ91" s="11">
        <f t="shared" si="135"/>
        <v>5.2465058093585384E-2</v>
      </c>
      <c r="DK91" s="11">
        <f t="shared" si="135"/>
        <v>8.2174547596427963E-2</v>
      </c>
      <c r="DL91" s="11">
        <f t="shared" si="135"/>
        <v>7.8919135060614695E-2</v>
      </c>
      <c r="DM91" s="11">
        <f t="shared" si="135"/>
        <v>0.12881878834263091</v>
      </c>
      <c r="DN91" s="11">
        <f t="shared" si="135"/>
        <v>0.29248221932616048</v>
      </c>
      <c r="DO91" s="11">
        <f t="shared" si="135"/>
        <v>9.5938954529091028E-2</v>
      </c>
      <c r="DP91" s="11">
        <f t="shared" si="135"/>
        <v>0.1704343176368566</v>
      </c>
      <c r="DQ91" s="11">
        <f t="shared" si="135"/>
        <v>0.10652487575864854</v>
      </c>
      <c r="DR91" s="11">
        <f t="shared" si="135"/>
        <v>0.21407003526699123</v>
      </c>
      <c r="DS91" s="11">
        <f t="shared" si="135"/>
        <v>9.1921831188670505E-2</v>
      </c>
      <c r="DT91" s="11">
        <f t="shared" si="135"/>
        <v>0.15924499747206217</v>
      </c>
      <c r="DU91" s="11">
        <f t="shared" si="135"/>
        <v>0.13880053236147361</v>
      </c>
      <c r="DV91" s="11">
        <f t="shared" si="13"/>
        <v>0.22337205780749436</v>
      </c>
      <c r="DW91" s="11">
        <f t="shared" si="115"/>
        <v>-8.0628816901998038E-2</v>
      </c>
      <c r="DX91" s="11">
        <f t="shared" si="115"/>
        <v>0.23910540897742219</v>
      </c>
      <c r="DY91" s="11">
        <f t="shared" si="115"/>
        <v>0.15197926373925622</v>
      </c>
      <c r="DZ91" s="11">
        <f t="shared" si="115"/>
        <v>0.14004608572823846</v>
      </c>
    </row>
    <row r="92" spans="1:130" ht="15">
      <c r="A92" s="8">
        <v>43497</v>
      </c>
      <c r="B92" s="11">
        <f t="shared" si="6"/>
        <v>2.6398997776357989E-2</v>
      </c>
      <c r="C92" s="11">
        <f t="shared" si="6"/>
        <v>2.967547590640016E-2</v>
      </c>
      <c r="D92" s="11">
        <f t="shared" si="7"/>
        <v>5.2257197009314582E-2</v>
      </c>
      <c r="E92" s="11">
        <f t="shared" si="7"/>
        <v>-9.7349566331540402E-4</v>
      </c>
      <c r="F92" s="11">
        <f t="shared" si="7"/>
        <v>8.8164199984054989E-2</v>
      </c>
      <c r="G92" s="11">
        <f t="shared" si="7"/>
        <v>1.5748393128728451E-2</v>
      </c>
      <c r="H92" s="11">
        <f t="shared" si="7"/>
        <v>5.3191456242081797E-2</v>
      </c>
      <c r="I92" s="11">
        <f t="shared" ref="I92:M92" si="136">LN(I30/I29)</f>
        <v>5.5037152238416175E-2</v>
      </c>
      <c r="J92" s="11">
        <f t="shared" si="136"/>
        <v>0.11142877436476217</v>
      </c>
      <c r="K92" s="11">
        <f t="shared" si="136"/>
        <v>-8.2584646239984918E-3</v>
      </c>
      <c r="L92" s="11">
        <f t="shared" si="136"/>
        <v>-1.2127413578648405E-2</v>
      </c>
      <c r="M92" s="11">
        <f t="shared" si="136"/>
        <v>4.3610818963650877E-2</v>
      </c>
      <c r="N92" s="11">
        <f t="shared" ref="N92:AS92" si="137">LN(N30/N29)</f>
        <v>8.2466532605916187E-2</v>
      </c>
      <c r="O92" s="11">
        <f t="shared" si="137"/>
        <v>6.4841103222613952E-2</v>
      </c>
      <c r="P92" s="11">
        <f t="shared" si="137"/>
        <v>-0.10931584896417723</v>
      </c>
      <c r="Q92" s="11">
        <f t="shared" si="137"/>
        <v>-0.11771354811782526</v>
      </c>
      <c r="R92" s="11">
        <f t="shared" si="137"/>
        <v>-7.5198801375254195E-3</v>
      </c>
      <c r="S92" s="11">
        <f t="shared" si="137"/>
        <v>3.4185682296933662E-3</v>
      </c>
      <c r="T92" s="11">
        <f t="shared" si="137"/>
        <v>6.6265841338362733E-2</v>
      </c>
      <c r="U92" s="11">
        <f t="shared" si="137"/>
        <v>2.3590939198038129E-2</v>
      </c>
      <c r="V92" s="11">
        <f t="shared" si="137"/>
        <v>5.9786099582735584E-2</v>
      </c>
      <c r="W92" s="11">
        <f t="shared" si="137"/>
        <v>0.15727912221426796</v>
      </c>
      <c r="X92" s="11">
        <f t="shared" si="137"/>
        <v>9.1505410790743716E-2</v>
      </c>
      <c r="Y92" s="11">
        <f t="shared" si="137"/>
        <v>-0.12654445520217891</v>
      </c>
      <c r="Z92" s="11">
        <f t="shared" si="137"/>
        <v>-2.6897702038055698E-3</v>
      </c>
      <c r="AA92" s="11">
        <f t="shared" si="137"/>
        <v>4.4758929440404382E-2</v>
      </c>
      <c r="AB92" s="11">
        <f t="shared" si="137"/>
        <v>7.3514930649912422E-2</v>
      </c>
      <c r="AC92" s="11">
        <f t="shared" si="137"/>
        <v>3.0433271764480019E-2</v>
      </c>
      <c r="AD92" s="11">
        <f t="shared" si="137"/>
        <v>7.0249726607490057E-2</v>
      </c>
      <c r="AE92" s="11">
        <f t="shared" si="137"/>
        <v>5.7548405843331603E-2</v>
      </c>
      <c r="AF92" s="11">
        <f t="shared" si="137"/>
        <v>4.1079631353035204E-2</v>
      </c>
      <c r="AG92" s="11">
        <f t="shared" si="137"/>
        <v>8.5474756893467133E-2</v>
      </c>
      <c r="AH92" s="11">
        <f t="shared" si="137"/>
        <v>0.12528605253112149</v>
      </c>
      <c r="AI92" s="11">
        <f t="shared" si="137"/>
        <v>5.0513170946647541E-2</v>
      </c>
      <c r="AJ92" s="11">
        <f t="shared" si="137"/>
        <v>6.7701715723331626E-2</v>
      </c>
      <c r="AK92" s="11">
        <f t="shared" si="137"/>
        <v>6.7595729916014258E-2</v>
      </c>
      <c r="AL92" s="11">
        <f t="shared" si="137"/>
        <v>4.3703207962333533E-2</v>
      </c>
      <c r="AM92" s="11">
        <f t="shared" si="137"/>
        <v>7.0563643082227873E-2</v>
      </c>
      <c r="AN92" s="11">
        <f t="shared" si="137"/>
        <v>0.11683937743183176</v>
      </c>
      <c r="AO92" s="11">
        <f t="shared" si="137"/>
        <v>2.6159639000886234E-2</v>
      </c>
      <c r="AP92" s="11">
        <f t="shared" si="137"/>
        <v>5.7040761748761354E-2</v>
      </c>
      <c r="AQ92" s="11">
        <f t="shared" si="137"/>
        <v>7.5246884498449976E-2</v>
      </c>
      <c r="AR92" s="11">
        <f t="shared" si="137"/>
        <v>-3.6716681665597509E-2</v>
      </c>
      <c r="AS92" s="11">
        <f t="shared" si="137"/>
        <v>6.7282080661146618E-2</v>
      </c>
      <c r="AT92" s="11">
        <f t="shared" ref="AT92:BY92" si="138">LN(AT30/AT29)</f>
        <v>7.8750121834920903E-2</v>
      </c>
      <c r="AU92" s="11">
        <f t="shared" si="138"/>
        <v>4.8116945632081042E-2</v>
      </c>
      <c r="AV92" s="11">
        <f t="shared" si="138"/>
        <v>7.7771867583370721E-2</v>
      </c>
      <c r="AW92" s="11">
        <f t="shared" si="138"/>
        <v>0.11274822057493109</v>
      </c>
      <c r="AX92" s="11">
        <f t="shared" si="138"/>
        <v>0.11155723932661059</v>
      </c>
      <c r="AY92" s="11">
        <f t="shared" si="138"/>
        <v>3.9523487869580362E-2</v>
      </c>
      <c r="AZ92" s="11">
        <f t="shared" si="138"/>
        <v>7.404686800167587E-2</v>
      </c>
      <c r="BA92" s="11">
        <f t="shared" si="138"/>
        <v>8.4584412233153744E-2</v>
      </c>
      <c r="BB92" s="11">
        <f t="shared" si="138"/>
        <v>0.19374768511811169</v>
      </c>
      <c r="BC92" s="11">
        <f t="shared" si="138"/>
        <v>0.13135055103761872</v>
      </c>
      <c r="BD92" s="11">
        <f t="shared" si="138"/>
        <v>8.4106992524456567E-2</v>
      </c>
      <c r="BE92" s="11">
        <f t="shared" si="138"/>
        <v>-0.11026473309830986</v>
      </c>
      <c r="BF92" s="11">
        <f t="shared" si="138"/>
        <v>2.7226113372454001E-2</v>
      </c>
      <c r="BG92" s="11">
        <f t="shared" si="138"/>
        <v>-4.6993068074800755E-2</v>
      </c>
      <c r="BH92" s="11">
        <f t="shared" si="138"/>
        <v>9.8950476650795871E-2</v>
      </c>
      <c r="BI92" s="11">
        <f t="shared" si="138"/>
        <v>0.26552626689123171</v>
      </c>
      <c r="BJ92" s="11">
        <f t="shared" si="138"/>
        <v>1.1719713950254321E-2</v>
      </c>
      <c r="BK92" s="11">
        <f t="shared" si="138"/>
        <v>2.7909703199867499E-2</v>
      </c>
      <c r="BL92" s="11">
        <f t="shared" si="138"/>
        <v>3.0638268326771596E-2</v>
      </c>
      <c r="BM92" s="11">
        <f t="shared" si="138"/>
        <v>7.331303460286899E-2</v>
      </c>
      <c r="BN92" s="11">
        <f t="shared" si="138"/>
        <v>4.5947971126172979E-2</v>
      </c>
      <c r="BO92" s="11">
        <f t="shared" si="138"/>
        <v>8.7338217887346463E-3</v>
      </c>
      <c r="BP92" s="11">
        <f t="shared" si="138"/>
        <v>1.3374968243851995E-2</v>
      </c>
      <c r="BQ92" s="11">
        <f t="shared" si="138"/>
        <v>4.6711317612630095E-2</v>
      </c>
      <c r="BR92" s="11">
        <f t="shared" si="138"/>
        <v>9.9149165429730776E-2</v>
      </c>
      <c r="BS92" s="11">
        <f t="shared" si="138"/>
        <v>-7.696475129299922E-2</v>
      </c>
      <c r="BT92" s="11">
        <f t="shared" si="138"/>
        <v>3.121108287425926E-3</v>
      </c>
      <c r="BU92" s="11">
        <f t="shared" si="138"/>
        <v>5.5176499820267181E-3</v>
      </c>
      <c r="BV92" s="11">
        <f t="shared" si="138"/>
        <v>-0.1228090082739873</v>
      </c>
      <c r="BW92" s="11">
        <f t="shared" si="138"/>
        <v>-6.3007542541806225E-2</v>
      </c>
      <c r="BX92" s="11">
        <f t="shared" si="138"/>
        <v>0.11020825388304342</v>
      </c>
      <c r="BY92" s="11">
        <f t="shared" si="138"/>
        <v>1.6076230301447791E-2</v>
      </c>
      <c r="BZ92" s="11">
        <f t="shared" ref="BZ92:DE92" si="139">LN(BZ30/BZ29)</f>
        <v>2.9210287403030912E-2</v>
      </c>
      <c r="CA92" s="11">
        <f t="shared" si="139"/>
        <v>-5.9716012460790335E-2</v>
      </c>
      <c r="CB92" s="11">
        <f t="shared" si="139"/>
        <v>2.6018875964212346E-2</v>
      </c>
      <c r="CC92" s="11">
        <f t="shared" si="139"/>
        <v>0.12505577037945168</v>
      </c>
      <c r="CD92" s="11">
        <f t="shared" si="139"/>
        <v>1.190599949240922E-2</v>
      </c>
      <c r="CE92" s="11">
        <f t="shared" si="139"/>
        <v>1.3857253711907713E-2</v>
      </c>
      <c r="CF92" s="11">
        <f t="shared" si="139"/>
        <v>2.2251830695337878E-2</v>
      </c>
      <c r="CG92" s="11">
        <f t="shared" si="139"/>
        <v>0.14012506295687394</v>
      </c>
      <c r="CH92" s="11">
        <f t="shared" si="139"/>
        <v>1.926819476869478E-2</v>
      </c>
      <c r="CI92" s="11">
        <f t="shared" si="139"/>
        <v>3.4969327904639379E-2</v>
      </c>
      <c r="CJ92" s="11">
        <f t="shared" si="139"/>
        <v>2.4959638854206025E-2</v>
      </c>
      <c r="CK92" s="11">
        <f t="shared" si="139"/>
        <v>-0.37020148952466686</v>
      </c>
      <c r="CL92" s="11">
        <f t="shared" si="139"/>
        <v>6.2636436709757201E-2</v>
      </c>
      <c r="CM92" s="11">
        <f t="shared" si="139"/>
        <v>2.9144972982927439E-2</v>
      </c>
      <c r="CN92" s="11">
        <f t="shared" si="139"/>
        <v>-4.7723203959149682E-2</v>
      </c>
      <c r="CO92" s="11">
        <f t="shared" si="139"/>
        <v>9.5133569562968701E-2</v>
      </c>
      <c r="CP92" s="11">
        <f t="shared" si="139"/>
        <v>1.8250576227376497E-2</v>
      </c>
      <c r="CQ92" s="11">
        <f t="shared" si="139"/>
        <v>6.9246945894226239E-2</v>
      </c>
      <c r="CR92" s="11">
        <f t="shared" si="139"/>
        <v>2.6958624036039977E-2</v>
      </c>
      <c r="CS92" s="11">
        <f t="shared" si="139"/>
        <v>-0.26761110673669575</v>
      </c>
      <c r="CT92" s="11">
        <f t="shared" si="139"/>
        <v>4.4090667934324125E-2</v>
      </c>
      <c r="CU92" s="11">
        <f t="shared" si="139"/>
        <v>-2.9553866419569589E-2</v>
      </c>
      <c r="CV92" s="11">
        <f t="shared" si="139"/>
        <v>4.4534209131881802E-2</v>
      </c>
      <c r="CW92" s="11">
        <f t="shared" si="139"/>
        <v>1.9131761384741989E-2</v>
      </c>
      <c r="CX92" s="11">
        <f t="shared" si="139"/>
        <v>0.25736893718961223</v>
      </c>
      <c r="CY92" s="11">
        <f t="shared" si="139"/>
        <v>6.1204567317813874E-2</v>
      </c>
      <c r="CZ92" s="11">
        <f t="shared" si="139"/>
        <v>0.10619725499799149</v>
      </c>
      <c r="DA92" s="11">
        <f t="shared" si="139"/>
        <v>1.0883322157393172E-2</v>
      </c>
      <c r="DB92" s="11">
        <f t="shared" si="139"/>
        <v>-0.16726707153865508</v>
      </c>
      <c r="DC92" s="11">
        <f t="shared" si="139"/>
        <v>-7.7056566698239209E-2</v>
      </c>
      <c r="DD92" s="11">
        <f t="shared" si="139"/>
        <v>0.1713326790124291</v>
      </c>
      <c r="DE92" s="11">
        <f t="shared" si="139"/>
        <v>0.1036156875492657</v>
      </c>
      <c r="DF92" s="11">
        <f t="shared" ref="DF92:DU92" si="140">LN(DF30/DF29)</f>
        <v>-3.4978991813398551E-2</v>
      </c>
      <c r="DG92" s="11">
        <f t="shared" si="140"/>
        <v>0.27241460032099252</v>
      </c>
      <c r="DH92" s="11">
        <f t="shared" si="140"/>
        <v>9.5763650482260473E-2</v>
      </c>
      <c r="DI92" s="11">
        <f t="shared" si="140"/>
        <v>7.5539738393117062E-2</v>
      </c>
      <c r="DJ92" s="11">
        <f t="shared" si="140"/>
        <v>4.2101383619527546E-2</v>
      </c>
      <c r="DK92" s="11">
        <f t="shared" si="140"/>
        <v>2.3611383504449808E-3</v>
      </c>
      <c r="DL92" s="11">
        <f t="shared" si="140"/>
        <v>-9.6724900963486016E-3</v>
      </c>
      <c r="DM92" s="11">
        <f t="shared" si="140"/>
        <v>-5.1609191489127376E-2</v>
      </c>
      <c r="DN92" s="11">
        <f t="shared" si="140"/>
        <v>6.8869323167387059E-2</v>
      </c>
      <c r="DO92" s="11">
        <f t="shared" si="140"/>
        <v>-9.4786447603526398E-3</v>
      </c>
      <c r="DP92" s="11">
        <f t="shared" si="140"/>
        <v>0.10193981944620163</v>
      </c>
      <c r="DQ92" s="11">
        <f t="shared" si="140"/>
        <v>-1.8441146871447033E-3</v>
      </c>
      <c r="DR92" s="11">
        <f t="shared" si="140"/>
        <v>-3.3985300407247052E-3</v>
      </c>
      <c r="DS92" s="11">
        <f t="shared" si="140"/>
        <v>0.112631238710895</v>
      </c>
      <c r="DT92" s="11">
        <f t="shared" si="140"/>
        <v>-2.9615498442566005E-2</v>
      </c>
      <c r="DU92" s="11">
        <f t="shared" si="140"/>
        <v>-4.6519950154632436E-2</v>
      </c>
      <c r="DV92" s="11">
        <f t="shared" si="13"/>
        <v>1.8829316206567619E-2</v>
      </c>
      <c r="DW92" s="11">
        <f t="shared" si="115"/>
        <v>4.1033033418633756E-2</v>
      </c>
      <c r="DX92" s="11">
        <f t="shared" si="115"/>
        <v>1.5399638051759207E-2</v>
      </c>
      <c r="DY92" s="11">
        <f t="shared" si="115"/>
        <v>-3.4076801817514765E-3</v>
      </c>
      <c r="DZ92" s="11">
        <f t="shared" si="115"/>
        <v>1.3856732210356566E-2</v>
      </c>
    </row>
    <row r="93" spans="1:130" ht="15">
      <c r="A93" s="8">
        <v>43525</v>
      </c>
      <c r="B93" s="11">
        <f t="shared" si="6"/>
        <v>2.9402224559102762E-2</v>
      </c>
      <c r="C93" s="11">
        <f t="shared" si="6"/>
        <v>-2.050905847656579E-2</v>
      </c>
      <c r="D93" s="11">
        <f t="shared" si="7"/>
        <v>3.2510294403165101E-2</v>
      </c>
      <c r="E93" s="11">
        <f t="shared" si="7"/>
        <v>1.6893553728738967E-2</v>
      </c>
      <c r="F93" s="11">
        <f t="shared" si="7"/>
        <v>2.2863379535331026E-2</v>
      </c>
      <c r="G93" s="11">
        <f t="shared" si="7"/>
        <v>7.1764547205747159E-3</v>
      </c>
      <c r="H93" s="11">
        <f t="shared" si="7"/>
        <v>-7.9542747281677609E-2</v>
      </c>
      <c r="I93" s="11">
        <f t="shared" ref="I93:M93" si="141">LN(I31/I30)</f>
        <v>5.3079387764001888E-2</v>
      </c>
      <c r="J93" s="11">
        <f t="shared" si="141"/>
        <v>-6.6724656501007031E-3</v>
      </c>
      <c r="K93" s="11">
        <f t="shared" si="141"/>
        <v>5.7858437816722584E-2</v>
      </c>
      <c r="L93" s="11">
        <f t="shared" si="141"/>
        <v>-0.15688174376424613</v>
      </c>
      <c r="M93" s="11">
        <f t="shared" si="141"/>
        <v>1.176340121964712E-2</v>
      </c>
      <c r="N93" s="11">
        <f t="shared" ref="N93:AS93" si="142">LN(N31/N30)</f>
        <v>2.6414636654595581E-2</v>
      </c>
      <c r="O93" s="11">
        <f t="shared" si="142"/>
        <v>5.9979083333276811E-2</v>
      </c>
      <c r="P93" s="11">
        <f t="shared" si="142"/>
        <v>2.0593521377509971E-2</v>
      </c>
      <c r="Q93" s="11">
        <f t="shared" si="142"/>
        <v>-6.9820830873266473E-2</v>
      </c>
      <c r="R93" s="11">
        <f t="shared" si="142"/>
        <v>-4.6800469066704944E-2</v>
      </c>
      <c r="S93" s="11">
        <f t="shared" si="142"/>
        <v>-4.7836447211828344E-2</v>
      </c>
      <c r="T93" s="11">
        <f t="shared" si="142"/>
        <v>2.9451347786789067E-2</v>
      </c>
      <c r="U93" s="11">
        <f t="shared" si="142"/>
        <v>6.3882861363984324E-3</v>
      </c>
      <c r="V93" s="11">
        <f t="shared" si="142"/>
        <v>4.6688775098196897E-2</v>
      </c>
      <c r="W93" s="11">
        <f t="shared" si="142"/>
        <v>-6.2781620227933418E-2</v>
      </c>
      <c r="X93" s="11">
        <f t="shared" si="142"/>
        <v>6.6109157158647611E-2</v>
      </c>
      <c r="Y93" s="11">
        <f t="shared" si="142"/>
        <v>7.1288999086023833E-2</v>
      </c>
      <c r="Z93" s="11">
        <f t="shared" si="142"/>
        <v>3.7711265890793115E-3</v>
      </c>
      <c r="AA93" s="11">
        <f t="shared" si="142"/>
        <v>4.1090032589108323E-2</v>
      </c>
      <c r="AB93" s="11">
        <f t="shared" si="142"/>
        <v>1.8818857760515062E-2</v>
      </c>
      <c r="AC93" s="11">
        <f t="shared" si="142"/>
        <v>8.692152304265191E-2</v>
      </c>
      <c r="AD93" s="11">
        <f t="shared" si="142"/>
        <v>5.5671449017856686E-2</v>
      </c>
      <c r="AE93" s="11">
        <f t="shared" si="142"/>
        <v>1.5085637418040953E-2</v>
      </c>
      <c r="AF93" s="11">
        <f t="shared" si="142"/>
        <v>2.9858306980589763E-2</v>
      </c>
      <c r="AG93" s="11">
        <f t="shared" si="142"/>
        <v>0.12440499938549567</v>
      </c>
      <c r="AH93" s="11">
        <f t="shared" si="142"/>
        <v>-3.3031815460681679E-2</v>
      </c>
      <c r="AI93" s="11">
        <f t="shared" si="142"/>
        <v>1.9577933440611262E-2</v>
      </c>
      <c r="AJ93" s="11">
        <f t="shared" si="142"/>
        <v>2.9003942956628441E-2</v>
      </c>
      <c r="AK93" s="11">
        <f t="shared" si="142"/>
        <v>2.524677597915902E-2</v>
      </c>
      <c r="AL93" s="11">
        <f t="shared" si="142"/>
        <v>-6.8997119656521333E-2</v>
      </c>
      <c r="AM93" s="11">
        <f t="shared" si="142"/>
        <v>0.15290025422855277</v>
      </c>
      <c r="AN93" s="11">
        <f t="shared" si="142"/>
        <v>2.0194720990047328E-2</v>
      </c>
      <c r="AO93" s="11">
        <f t="shared" si="142"/>
        <v>8.8067305026968967E-2</v>
      </c>
      <c r="AP93" s="11">
        <f t="shared" si="142"/>
        <v>2.7376910216544842E-3</v>
      </c>
      <c r="AQ93" s="11">
        <f t="shared" si="142"/>
        <v>6.5954102012040494E-2</v>
      </c>
      <c r="AR93" s="11">
        <f t="shared" si="142"/>
        <v>8.1186255737317997E-2</v>
      </c>
      <c r="AS93" s="11">
        <f t="shared" si="142"/>
        <v>1.0947636753697998E-2</v>
      </c>
      <c r="AT93" s="11">
        <f t="shared" ref="AT93:BY93" si="143">LN(AT31/AT30)</f>
        <v>-1.0815890515372942E-2</v>
      </c>
      <c r="AU93" s="11">
        <f t="shared" si="143"/>
        <v>-3.2610770514900037E-2</v>
      </c>
      <c r="AV93" s="11">
        <f t="shared" si="143"/>
        <v>-4.202137820368318E-2</v>
      </c>
      <c r="AW93" s="11">
        <f t="shared" si="143"/>
        <v>1.5093170665256079E-2</v>
      </c>
      <c r="AX93" s="11">
        <f t="shared" si="143"/>
        <v>1.4612687547443817E-2</v>
      </c>
      <c r="AY93" s="11">
        <f t="shared" si="143"/>
        <v>9.6882079750032046E-2</v>
      </c>
      <c r="AZ93" s="11">
        <f t="shared" si="143"/>
        <v>-3.2795933443555011E-2</v>
      </c>
      <c r="BA93" s="11">
        <f t="shared" si="143"/>
        <v>2.9018561164081299E-2</v>
      </c>
      <c r="BB93" s="11">
        <f t="shared" si="143"/>
        <v>2.7949207569173684E-2</v>
      </c>
      <c r="BC93" s="11">
        <f t="shared" si="143"/>
        <v>3.2518452919305406E-2</v>
      </c>
      <c r="BD93" s="11">
        <f t="shared" si="143"/>
        <v>2.8908753968390939E-2</v>
      </c>
      <c r="BE93" s="11">
        <f t="shared" si="143"/>
        <v>-1.5322285422558084E-2</v>
      </c>
      <c r="BF93" s="11">
        <f t="shared" si="143"/>
        <v>3.2857683450528995E-2</v>
      </c>
      <c r="BG93" s="11">
        <f t="shared" si="143"/>
        <v>8.2442045949722001E-2</v>
      </c>
      <c r="BH93" s="11">
        <f t="shared" si="143"/>
        <v>3.4631358909944011E-3</v>
      </c>
      <c r="BI93" s="11">
        <f t="shared" si="143"/>
        <v>-5.8504659216819695E-2</v>
      </c>
      <c r="BJ93" s="11">
        <f t="shared" si="143"/>
        <v>-6.2177333670631621E-2</v>
      </c>
      <c r="BK93" s="11">
        <f t="shared" si="143"/>
        <v>3.8778357408821656E-2</v>
      </c>
      <c r="BL93" s="11">
        <f t="shared" si="143"/>
        <v>6.1651571280560993E-2</v>
      </c>
      <c r="BM93" s="11">
        <f t="shared" si="143"/>
        <v>8.0186944468693802E-2</v>
      </c>
      <c r="BN93" s="11">
        <f t="shared" si="143"/>
        <v>-1.7889013859876741E-2</v>
      </c>
      <c r="BO93" s="11">
        <f t="shared" si="143"/>
        <v>3.580991694575119E-2</v>
      </c>
      <c r="BP93" s="11">
        <f t="shared" si="143"/>
        <v>3.888264546160488E-2</v>
      </c>
      <c r="BQ93" s="11">
        <f t="shared" si="143"/>
        <v>5.6504553529500935E-2</v>
      </c>
      <c r="BR93" s="11">
        <f t="shared" si="143"/>
        <v>4.6622491948873947E-3</v>
      </c>
      <c r="BS93" s="11">
        <f t="shared" si="143"/>
        <v>2.781742141111632E-2</v>
      </c>
      <c r="BT93" s="11">
        <f t="shared" si="143"/>
        <v>-0.12144349187664706</v>
      </c>
      <c r="BU93" s="11">
        <f t="shared" si="143"/>
        <v>5.9144237662192636E-2</v>
      </c>
      <c r="BV93" s="11">
        <f t="shared" si="143"/>
        <v>2.8132989554498659E-2</v>
      </c>
      <c r="BW93" s="11">
        <f t="shared" si="143"/>
        <v>6.4601497149550727E-2</v>
      </c>
      <c r="BX93" s="11">
        <f t="shared" si="143"/>
        <v>2.8161747273436035E-2</v>
      </c>
      <c r="BY93" s="11">
        <f t="shared" si="143"/>
        <v>5.2673694706512245E-2</v>
      </c>
      <c r="BZ93" s="11">
        <f t="shared" ref="BZ93:DE93" si="144">LN(BZ31/BZ30)</f>
        <v>5.4307405572107323E-2</v>
      </c>
      <c r="CA93" s="11">
        <f t="shared" si="144"/>
        <v>3.2974842077956666E-2</v>
      </c>
      <c r="CB93" s="11">
        <f t="shared" si="144"/>
        <v>6.6112627448384906E-2</v>
      </c>
      <c r="CC93" s="11">
        <f t="shared" si="144"/>
        <v>1.6540652841748476E-2</v>
      </c>
      <c r="CD93" s="11">
        <f t="shared" si="144"/>
        <v>8.9084512059512858E-2</v>
      </c>
      <c r="CE93" s="11">
        <f t="shared" si="144"/>
        <v>6.4299810196294382E-2</v>
      </c>
      <c r="CF93" s="11">
        <f t="shared" si="144"/>
        <v>7.1701517601850673E-2</v>
      </c>
      <c r="CG93" s="11">
        <f t="shared" si="144"/>
        <v>5.616253203340258E-2</v>
      </c>
      <c r="CH93" s="11">
        <f t="shared" si="144"/>
        <v>5.6875620811227746E-2</v>
      </c>
      <c r="CI93" s="11">
        <f t="shared" si="144"/>
        <v>8.6756030693366914E-3</v>
      </c>
      <c r="CJ93" s="11">
        <f t="shared" si="144"/>
        <v>3.9734352788100065E-2</v>
      </c>
      <c r="CK93" s="11">
        <f t="shared" si="144"/>
        <v>-1.6403483729191204E-2</v>
      </c>
      <c r="CL93" s="11">
        <f t="shared" si="144"/>
        <v>-1.1763793516596449E-2</v>
      </c>
      <c r="CM93" s="11">
        <f t="shared" si="144"/>
        <v>3.1777634085148707E-2</v>
      </c>
      <c r="CN93" s="11">
        <f t="shared" si="144"/>
        <v>1.9712044193474009E-2</v>
      </c>
      <c r="CO93" s="11">
        <f t="shared" si="144"/>
        <v>0.10231881163167718</v>
      </c>
      <c r="CP93" s="11">
        <f t="shared" si="144"/>
        <v>8.281793957969022E-2</v>
      </c>
      <c r="CQ93" s="11">
        <f t="shared" si="144"/>
        <v>1.5259506441362734E-2</v>
      </c>
      <c r="CR93" s="11">
        <f t="shared" si="144"/>
        <v>5.6926978824844369E-2</v>
      </c>
      <c r="CS93" s="11">
        <f t="shared" si="144"/>
        <v>-4.2871645157555427E-2</v>
      </c>
      <c r="CT93" s="11">
        <f t="shared" si="144"/>
        <v>-9.4084799510342123E-3</v>
      </c>
      <c r="CU93" s="11">
        <f t="shared" si="144"/>
        <v>0.12504351499680957</v>
      </c>
      <c r="CV93" s="11">
        <f t="shared" si="144"/>
        <v>2.2615214071218324E-2</v>
      </c>
      <c r="CW93" s="11">
        <f t="shared" si="144"/>
        <v>2.262813604354669E-3</v>
      </c>
      <c r="CX93" s="11">
        <f t="shared" si="144"/>
        <v>-1.4184634991956413E-2</v>
      </c>
      <c r="CY93" s="11">
        <f t="shared" si="144"/>
        <v>-6.8793944812472779E-2</v>
      </c>
      <c r="CZ93" s="11">
        <f t="shared" si="144"/>
        <v>5.1901100371443777E-2</v>
      </c>
      <c r="DA93" s="11">
        <f t="shared" si="144"/>
        <v>3.1150059549159063E-2</v>
      </c>
      <c r="DB93" s="11">
        <f t="shared" si="144"/>
        <v>-9.3166408021027408E-2</v>
      </c>
      <c r="DC93" s="11">
        <f t="shared" si="144"/>
        <v>-0.12113961053698367</v>
      </c>
      <c r="DD93" s="11">
        <f t="shared" si="144"/>
        <v>-0.16479633601197946</v>
      </c>
      <c r="DE93" s="11">
        <f t="shared" si="144"/>
        <v>-4.3237648900277315E-2</v>
      </c>
      <c r="DF93" s="11">
        <f t="shared" ref="DF93:DU93" si="145">LN(DF31/DF30)</f>
        <v>-5.0828069908352383E-2</v>
      </c>
      <c r="DG93" s="11">
        <f t="shared" si="145"/>
        <v>-1.5504186535965199E-2</v>
      </c>
      <c r="DH93" s="11">
        <f t="shared" si="145"/>
        <v>-1.3202049789240134E-2</v>
      </c>
      <c r="DI93" s="11">
        <f t="shared" si="145"/>
        <v>3.3190412190973344E-2</v>
      </c>
      <c r="DJ93" s="11">
        <f t="shared" si="145"/>
        <v>3.9663082586789959E-2</v>
      </c>
      <c r="DK93" s="11">
        <f t="shared" si="145"/>
        <v>-1.1964729184749662E-2</v>
      </c>
      <c r="DL93" s="11">
        <f t="shared" si="145"/>
        <v>7.731538117569485E-2</v>
      </c>
      <c r="DM93" s="11">
        <f t="shared" si="145"/>
        <v>1.247513122365335E-2</v>
      </c>
      <c r="DN93" s="11">
        <f t="shared" si="145"/>
        <v>4.0317108139371449E-2</v>
      </c>
      <c r="DO93" s="11">
        <f t="shared" si="145"/>
        <v>7.5542943447464849E-4</v>
      </c>
      <c r="DP93" s="11">
        <f t="shared" si="145"/>
        <v>6.7161458004884253E-2</v>
      </c>
      <c r="DQ93" s="11">
        <f t="shared" si="145"/>
        <v>-1.2501462008254211E-2</v>
      </c>
      <c r="DR93" s="11">
        <f t="shared" si="145"/>
        <v>3.2652528001712855E-4</v>
      </c>
      <c r="DS93" s="11">
        <f t="shared" si="145"/>
        <v>5.7214076319215754E-2</v>
      </c>
      <c r="DT93" s="11">
        <f t="shared" si="145"/>
        <v>5.3713224837663033E-2</v>
      </c>
      <c r="DU93" s="11">
        <f t="shared" si="145"/>
        <v>-5.477819303598553E-2</v>
      </c>
      <c r="DV93" s="11">
        <f t="shared" si="13"/>
        <v>4.3639224247225494E-2</v>
      </c>
      <c r="DW93" s="11">
        <f t="shared" si="115"/>
        <v>-0.13365644733612175</v>
      </c>
      <c r="DX93" s="11">
        <f t="shared" si="115"/>
        <v>4.2286306262747847E-2</v>
      </c>
      <c r="DY93" s="11">
        <f t="shared" si="115"/>
        <v>-7.9710935178900905E-2</v>
      </c>
      <c r="DZ93" s="11">
        <f t="shared" si="115"/>
        <v>1.139449953659312E-3</v>
      </c>
    </row>
    <row r="94" spans="1:130" ht="15">
      <c r="A94" s="8">
        <v>43556</v>
      </c>
      <c r="B94" s="11">
        <f t="shared" si="6"/>
        <v>1.0036384543382459E-2</v>
      </c>
      <c r="C94" s="11">
        <f t="shared" si="6"/>
        <v>-4.4783439735235284E-2</v>
      </c>
      <c r="D94" s="11">
        <f t="shared" si="7"/>
        <v>-0.10317085245660063</v>
      </c>
      <c r="E94" s="11">
        <f t="shared" si="7"/>
        <v>-1.5002384786252577E-2</v>
      </c>
      <c r="F94" s="11">
        <f t="shared" si="7"/>
        <v>-4.8353024903105092E-2</v>
      </c>
      <c r="G94" s="11">
        <f t="shared" si="7"/>
        <v>-5.7747127738711254E-2</v>
      </c>
      <c r="H94" s="11">
        <f t="shared" ref="H94:M94" si="146">LN(H32/H31)</f>
        <v>-2.719521473690683E-2</v>
      </c>
      <c r="I94" s="11">
        <f t="shared" si="146"/>
        <v>1.4269073575831768E-2</v>
      </c>
      <c r="J94" s="11">
        <f t="shared" si="146"/>
        <v>4.2075573162753555E-3</v>
      </c>
      <c r="K94" s="11">
        <f t="shared" si="146"/>
        <v>3.6878630385365992E-2</v>
      </c>
      <c r="L94" s="11">
        <f t="shared" si="146"/>
        <v>1.6405414358394464E-2</v>
      </c>
      <c r="M94" s="11">
        <f t="shared" si="146"/>
        <v>-2.3666698982811919E-2</v>
      </c>
      <c r="N94" s="11">
        <f t="shared" ref="N94:AS94" si="147">LN(N32/N31)</f>
        <v>-3.5016840237258796E-2</v>
      </c>
      <c r="O94" s="11">
        <f t="shared" si="147"/>
        <v>3.0323928625392665E-2</v>
      </c>
      <c r="P94" s="11">
        <f t="shared" si="147"/>
        <v>-5.5291435838902607E-2</v>
      </c>
      <c r="Q94" s="11">
        <f t="shared" si="147"/>
        <v>8.3095229347921479E-3</v>
      </c>
      <c r="R94" s="11">
        <f t="shared" si="147"/>
        <v>-8.452187225017492E-2</v>
      </c>
      <c r="S94" s="11">
        <f t="shared" si="147"/>
        <v>-0.17952968544933853</v>
      </c>
      <c r="T94" s="11">
        <f t="shared" si="147"/>
        <v>-4.7651190762234728E-3</v>
      </c>
      <c r="U94" s="11">
        <f t="shared" si="147"/>
        <v>-1.9772613904436926E-2</v>
      </c>
      <c r="V94" s="11">
        <f t="shared" si="147"/>
        <v>-4.1915134498342645E-2</v>
      </c>
      <c r="W94" s="11">
        <f t="shared" si="147"/>
        <v>9.9132737521974407E-2</v>
      </c>
      <c r="X94" s="11">
        <f t="shared" si="147"/>
        <v>1.155481644830807E-2</v>
      </c>
      <c r="Y94" s="11">
        <f t="shared" si="147"/>
        <v>-4.8807547486312275E-2</v>
      </c>
      <c r="Z94" s="11">
        <f t="shared" si="147"/>
        <v>-3.356028715015906E-2</v>
      </c>
      <c r="AA94" s="11">
        <f t="shared" si="147"/>
        <v>-0.11100812985341946</v>
      </c>
      <c r="AB94" s="11">
        <f t="shared" si="147"/>
        <v>5.1802552069314936E-3</v>
      </c>
      <c r="AC94" s="11">
        <f t="shared" si="147"/>
        <v>-6.3596079549702103E-2</v>
      </c>
      <c r="AD94" s="11">
        <f t="shared" si="147"/>
        <v>0.10196302357029556</v>
      </c>
      <c r="AE94" s="11">
        <f t="shared" si="147"/>
        <v>8.1954646624066652E-2</v>
      </c>
      <c r="AF94" s="11">
        <f t="shared" si="147"/>
        <v>2.9716216001485565E-2</v>
      </c>
      <c r="AG94" s="11">
        <f t="shared" si="147"/>
        <v>5.0215857886823714E-2</v>
      </c>
      <c r="AH94" s="11">
        <f t="shared" si="147"/>
        <v>0.10664586287849011</v>
      </c>
      <c r="AI94" s="11">
        <f t="shared" si="147"/>
        <v>8.3899210144393555E-2</v>
      </c>
      <c r="AJ94" s="11">
        <f t="shared" si="147"/>
        <v>0.1101461456699441</v>
      </c>
      <c r="AK94" s="11">
        <f t="shared" si="147"/>
        <v>5.170610574690588E-2</v>
      </c>
      <c r="AL94" s="11">
        <f t="shared" si="147"/>
        <v>-1.9118631164249191E-4</v>
      </c>
      <c r="AM94" s="11">
        <f t="shared" si="147"/>
        <v>7.9874196882198708E-3</v>
      </c>
      <c r="AN94" s="11">
        <f t="shared" si="147"/>
        <v>-5.0803457696908659E-2</v>
      </c>
      <c r="AO94" s="11">
        <f t="shared" si="147"/>
        <v>6.6055190051159035E-2</v>
      </c>
      <c r="AP94" s="11">
        <f t="shared" si="147"/>
        <v>0.10514353298536833</v>
      </c>
      <c r="AQ94" s="11">
        <f t="shared" si="147"/>
        <v>0.42384109622176119</v>
      </c>
      <c r="AR94" s="11">
        <f t="shared" si="147"/>
        <v>7.9439680458735992E-2</v>
      </c>
      <c r="AS94" s="11">
        <f t="shared" si="147"/>
        <v>1.7508517037697399E-2</v>
      </c>
      <c r="AT94" s="11">
        <f t="shared" ref="AT94:BY94" si="148">LN(AT32/AT31)</f>
        <v>9.9128751400679851E-2</v>
      </c>
      <c r="AU94" s="11">
        <f t="shared" si="148"/>
        <v>0.18078503781389971</v>
      </c>
      <c r="AV94" s="11">
        <f t="shared" si="148"/>
        <v>0.18571091652570348</v>
      </c>
      <c r="AW94" s="11">
        <f t="shared" si="148"/>
        <v>-5.3874799729115623E-2</v>
      </c>
      <c r="AX94" s="11">
        <f t="shared" si="148"/>
        <v>6.6824226916240653E-2</v>
      </c>
      <c r="AY94" s="11">
        <f t="shared" si="148"/>
        <v>5.4900997428694989E-2</v>
      </c>
      <c r="AZ94" s="11">
        <f t="shared" si="148"/>
        <v>4.3130371924167174E-2</v>
      </c>
      <c r="BA94" s="11">
        <f t="shared" si="148"/>
        <v>9.6677546399691616E-2</v>
      </c>
      <c r="BB94" s="11">
        <f t="shared" si="148"/>
        <v>-7.5523894944704397E-4</v>
      </c>
      <c r="BC94" s="11">
        <f t="shared" si="148"/>
        <v>-1.9514441135116563E-3</v>
      </c>
      <c r="BD94" s="11">
        <f t="shared" si="148"/>
        <v>2.8786380085805485E-2</v>
      </c>
      <c r="BE94" s="11">
        <f t="shared" si="148"/>
        <v>3.484974585660424E-2</v>
      </c>
      <c r="BF94" s="11">
        <f t="shared" si="148"/>
        <v>-5.899579965240989E-3</v>
      </c>
      <c r="BG94" s="11">
        <f t="shared" si="148"/>
        <v>7.8680642674754289E-2</v>
      </c>
      <c r="BH94" s="11">
        <f t="shared" si="148"/>
        <v>4.2436150557600034E-2</v>
      </c>
      <c r="BI94" s="11">
        <f t="shared" si="148"/>
        <v>4.749192660462094E-3</v>
      </c>
      <c r="BJ94" s="11">
        <f t="shared" si="148"/>
        <v>5.8537281195949024E-2</v>
      </c>
      <c r="BK94" s="11">
        <f t="shared" si="148"/>
        <v>3.9595706589703988E-2</v>
      </c>
      <c r="BL94" s="11">
        <f t="shared" si="148"/>
        <v>4.3948642941743193E-2</v>
      </c>
      <c r="BM94" s="11">
        <f t="shared" si="148"/>
        <v>-3.2378268258817844E-2</v>
      </c>
      <c r="BN94" s="11">
        <f t="shared" si="148"/>
        <v>4.4658955489165694E-2</v>
      </c>
      <c r="BO94" s="11">
        <f t="shared" si="148"/>
        <v>6.7144642289018314E-2</v>
      </c>
      <c r="BP94" s="11">
        <f t="shared" si="148"/>
        <v>5.6318883155834255E-3</v>
      </c>
      <c r="BQ94" s="11">
        <f t="shared" si="148"/>
        <v>3.5317785341334701E-2</v>
      </c>
      <c r="BR94" s="11">
        <f t="shared" si="148"/>
        <v>4.2905975594320536E-2</v>
      </c>
      <c r="BS94" s="11">
        <f t="shared" si="148"/>
        <v>6.1176326816213912E-2</v>
      </c>
      <c r="BT94" s="11">
        <f t="shared" si="148"/>
        <v>7.8464150753766879E-2</v>
      </c>
      <c r="BU94" s="11">
        <f t="shared" si="148"/>
        <v>4.4865667152265448E-2</v>
      </c>
      <c r="BV94" s="11">
        <f t="shared" si="148"/>
        <v>4.9873249046129081E-2</v>
      </c>
      <c r="BW94" s="11">
        <f t="shared" si="148"/>
        <v>-7.2937120182138146E-2</v>
      </c>
      <c r="BX94" s="11">
        <f t="shared" si="148"/>
        <v>5.7056258339446775E-2</v>
      </c>
      <c r="BY94" s="11">
        <f t="shared" si="148"/>
        <v>-2.4632099161743862E-2</v>
      </c>
      <c r="BZ94" s="11">
        <f t="shared" ref="BZ94:DE94" si="149">LN(BZ32/BZ31)</f>
        <v>2.308568878118224E-2</v>
      </c>
      <c r="CA94" s="11">
        <f t="shared" si="149"/>
        <v>5.4571491503233309E-2</v>
      </c>
      <c r="CB94" s="11">
        <f t="shared" si="149"/>
        <v>4.3901929335530838E-2</v>
      </c>
      <c r="CC94" s="11">
        <f t="shared" si="149"/>
        <v>-8.3381656460055145E-3</v>
      </c>
      <c r="CD94" s="11">
        <f t="shared" si="149"/>
        <v>5.1985991712001155E-2</v>
      </c>
      <c r="CE94" s="11">
        <f t="shared" si="149"/>
        <v>3.0280117389152452E-2</v>
      </c>
      <c r="CF94" s="11">
        <f t="shared" si="149"/>
        <v>5.7502305898895191E-2</v>
      </c>
      <c r="CG94" s="11">
        <f t="shared" si="149"/>
        <v>3.7115429253044327E-2</v>
      </c>
      <c r="CH94" s="11">
        <f t="shared" si="149"/>
        <v>2.371092267238795E-2</v>
      </c>
      <c r="CI94" s="11">
        <f t="shared" si="149"/>
        <v>4.3892013393595893E-2</v>
      </c>
      <c r="CJ94" s="11">
        <f t="shared" si="149"/>
        <v>6.0161036084497917E-2</v>
      </c>
      <c r="CK94" s="11">
        <f t="shared" si="149"/>
        <v>3.0156497698247228E-2</v>
      </c>
      <c r="CL94" s="11">
        <f t="shared" si="149"/>
        <v>5.2662815971522871E-2</v>
      </c>
      <c r="CM94" s="11">
        <f t="shared" si="149"/>
        <v>-0.11393672118818952</v>
      </c>
      <c r="CN94" s="11">
        <f t="shared" si="149"/>
        <v>5.9537366824382598E-2</v>
      </c>
      <c r="CO94" s="11">
        <f t="shared" si="149"/>
        <v>2.1931259985418016E-2</v>
      </c>
      <c r="CP94" s="11">
        <f t="shared" si="149"/>
        <v>5.090701964518405E-2</v>
      </c>
      <c r="CQ94" s="11">
        <f t="shared" si="149"/>
        <v>-4.5598958656233382E-3</v>
      </c>
      <c r="CR94" s="11">
        <f t="shared" si="149"/>
        <v>1.4579754712836988E-2</v>
      </c>
      <c r="CS94" s="11">
        <f t="shared" si="149"/>
        <v>-6.4625062432045105E-2</v>
      </c>
      <c r="CT94" s="11">
        <f t="shared" si="149"/>
        <v>4.5907865078842917E-2</v>
      </c>
      <c r="CU94" s="11">
        <f t="shared" si="149"/>
        <v>0.18835981734103707</v>
      </c>
      <c r="CV94" s="11">
        <f t="shared" si="149"/>
        <v>-5.0662775790886697E-2</v>
      </c>
      <c r="CW94" s="11">
        <f t="shared" si="149"/>
        <v>4.7185786708363153E-2</v>
      </c>
      <c r="CX94" s="11">
        <f t="shared" si="149"/>
        <v>3.7387532071620412E-2</v>
      </c>
      <c r="CY94" s="11">
        <f t="shared" si="149"/>
        <v>-0.11167404333215887</v>
      </c>
      <c r="CZ94" s="11">
        <f t="shared" si="149"/>
        <v>9.4360155982277635E-2</v>
      </c>
      <c r="DA94" s="11">
        <f t="shared" si="149"/>
        <v>-7.7154764499771752E-2</v>
      </c>
      <c r="DB94" s="11">
        <f t="shared" si="149"/>
        <v>5.793909518228111E-2</v>
      </c>
      <c r="DC94" s="11">
        <f t="shared" si="149"/>
        <v>-7.498265625429967E-3</v>
      </c>
      <c r="DD94" s="11">
        <f t="shared" si="149"/>
        <v>0.12535474305569488</v>
      </c>
      <c r="DE94" s="11">
        <f t="shared" si="149"/>
        <v>3.4450163095841993E-2</v>
      </c>
      <c r="DF94" s="11">
        <f t="shared" ref="DF94:DU94" si="150">LN(DF32/DF31)</f>
        <v>1.7471931958534213E-2</v>
      </c>
      <c r="DG94" s="11">
        <f t="shared" si="150"/>
        <v>-2.3716526617316044E-2</v>
      </c>
      <c r="DH94" s="11">
        <f t="shared" si="150"/>
        <v>-1.2713784725381389E-2</v>
      </c>
      <c r="DI94" s="11">
        <f t="shared" si="150"/>
        <v>-6.4565580508330368E-3</v>
      </c>
      <c r="DJ94" s="11">
        <f t="shared" si="150"/>
        <v>-2.5655315407828831E-2</v>
      </c>
      <c r="DK94" s="11">
        <f t="shared" si="150"/>
        <v>-5.5766882645209404E-2</v>
      </c>
      <c r="DL94" s="11">
        <f t="shared" si="150"/>
        <v>9.1211251515075573E-2</v>
      </c>
      <c r="DM94" s="11">
        <f t="shared" si="150"/>
        <v>9.0990453494871042E-3</v>
      </c>
      <c r="DN94" s="11">
        <f t="shared" si="150"/>
        <v>6.6908362405491514E-2</v>
      </c>
      <c r="DO94" s="11">
        <f t="shared" si="150"/>
        <v>-0.1052429296949126</v>
      </c>
      <c r="DP94" s="11">
        <f t="shared" si="150"/>
        <v>2.0942171574028504E-2</v>
      </c>
      <c r="DQ94" s="11">
        <f t="shared" si="150"/>
        <v>4.6757661681482543E-2</v>
      </c>
      <c r="DR94" s="11">
        <f t="shared" si="150"/>
        <v>-2.0638251994746462E-2</v>
      </c>
      <c r="DS94" s="11">
        <f t="shared" si="150"/>
        <v>-0.14326692069270205</v>
      </c>
      <c r="DT94" s="11">
        <f t="shared" si="150"/>
        <v>5.0179060110893688E-2</v>
      </c>
      <c r="DU94" s="11">
        <f t="shared" si="150"/>
        <v>-1.710069062619906E-2</v>
      </c>
      <c r="DV94" s="11">
        <f t="shared" si="13"/>
        <v>-5.1810063121762874E-2</v>
      </c>
      <c r="DW94" s="11">
        <f t="shared" si="115"/>
        <v>-0.15912383925062457</v>
      </c>
      <c r="DX94" s="11">
        <f t="shared" si="115"/>
        <v>1.6529377016538907E-2</v>
      </c>
      <c r="DY94" s="11">
        <f t="shared" si="115"/>
        <v>0.14056925480751511</v>
      </c>
      <c r="DZ94" s="11">
        <f t="shared" si="115"/>
        <v>0.17412568357387997</v>
      </c>
    </row>
    <row r="95" spans="1:130" ht="15">
      <c r="A95" s="8">
        <v>43586</v>
      </c>
      <c r="B95" s="11">
        <f t="shared" si="6"/>
        <v>-7.3836312085815967E-2</v>
      </c>
      <c r="C95" s="11">
        <f t="shared" si="6"/>
        <v>2.2160914937608581E-2</v>
      </c>
      <c r="D95" s="11">
        <f t="shared" si="7"/>
        <v>-9.4425340306195579E-3</v>
      </c>
      <c r="E95" s="11">
        <f t="shared" si="7"/>
        <v>-2.116844258054261E-2</v>
      </c>
      <c r="F95" s="11">
        <f t="shared" si="7"/>
        <v>6.3318185851588072E-3</v>
      </c>
      <c r="G95" s="11">
        <f t="shared" si="7"/>
        <v>-7.297627557887125E-2</v>
      </c>
      <c r="H95" s="11">
        <f t="shared" ref="H95:M95" si="151">LN(H33/H32)</f>
        <v>-1.4310417774325422E-2</v>
      </c>
      <c r="I95" s="11">
        <f t="shared" si="151"/>
        <v>-3.8466771350120992E-2</v>
      </c>
      <c r="J95" s="11">
        <f t="shared" si="151"/>
        <v>-1.6448642811083995E-2</v>
      </c>
      <c r="K95" s="11">
        <f t="shared" si="151"/>
        <v>7.3803122736194632E-2</v>
      </c>
      <c r="L95" s="11">
        <f t="shared" si="151"/>
        <v>1.8979252303555766E-3</v>
      </c>
      <c r="M95" s="11">
        <f t="shared" si="151"/>
        <v>-0.15561738533521075</v>
      </c>
      <c r="N95" s="11">
        <f t="shared" ref="N95:AS95" si="152">LN(N33/N32)</f>
        <v>-2.2202913887941447E-2</v>
      </c>
      <c r="O95" s="11">
        <f t="shared" si="152"/>
        <v>-3.0199455044749319E-2</v>
      </c>
      <c r="P95" s="11">
        <f t="shared" si="152"/>
        <v>3.6771764133413917E-2</v>
      </c>
      <c r="Q95" s="11">
        <f t="shared" si="152"/>
        <v>-2.811685838522137E-2</v>
      </c>
      <c r="R95" s="11">
        <f t="shared" si="152"/>
        <v>5.5281170709859155E-2</v>
      </c>
      <c r="S95" s="11">
        <f t="shared" si="152"/>
        <v>-0.12863909216984953</v>
      </c>
      <c r="T95" s="11">
        <f t="shared" si="152"/>
        <v>-3.9984814811696023E-2</v>
      </c>
      <c r="U95" s="11">
        <f t="shared" si="152"/>
        <v>4.1574087334476741E-2</v>
      </c>
      <c r="V95" s="11">
        <f t="shared" si="152"/>
        <v>-3.0473942417445714E-2</v>
      </c>
      <c r="W95" s="11">
        <f t="shared" si="152"/>
        <v>1.5057857584123834E-2</v>
      </c>
      <c r="X95" s="11">
        <f t="shared" si="152"/>
        <v>-6.132050946859504E-3</v>
      </c>
      <c r="Y95" s="11">
        <f t="shared" si="152"/>
        <v>-0.47408769167427567</v>
      </c>
      <c r="Z95" s="11">
        <f t="shared" si="152"/>
        <v>-3.0792395008342473E-2</v>
      </c>
      <c r="AA95" s="11">
        <f t="shared" si="152"/>
        <v>-9.3930484586124435E-2</v>
      </c>
      <c r="AB95" s="11">
        <f t="shared" si="152"/>
        <v>8.7967917658604011E-2</v>
      </c>
      <c r="AC95" s="11">
        <f t="shared" si="152"/>
        <v>-3.820413212890178E-2</v>
      </c>
      <c r="AD95" s="11">
        <f t="shared" si="152"/>
        <v>-5.4441871521466088E-2</v>
      </c>
      <c r="AE95" s="11">
        <f t="shared" si="152"/>
        <v>-6.5541616982736584E-2</v>
      </c>
      <c r="AF95" s="11">
        <f t="shared" si="152"/>
        <v>-8.489529142355641E-2</v>
      </c>
      <c r="AG95" s="11">
        <f t="shared" si="152"/>
        <v>-3.9075365276095411E-2</v>
      </c>
      <c r="AH95" s="11">
        <f t="shared" si="152"/>
        <v>-0.2537947933392381</v>
      </c>
      <c r="AI95" s="11">
        <f t="shared" si="152"/>
        <v>-1.2588398531532933E-2</v>
      </c>
      <c r="AJ95" s="11">
        <f t="shared" si="152"/>
        <v>-6.0499723296319988E-2</v>
      </c>
      <c r="AK95" s="11">
        <f t="shared" si="152"/>
        <v>-0.25663963989437161</v>
      </c>
      <c r="AL95" s="11">
        <f t="shared" si="152"/>
        <v>-0.1722008601271143</v>
      </c>
      <c r="AM95" s="11">
        <f t="shared" si="152"/>
        <v>-0.28982058883510436</v>
      </c>
      <c r="AN95" s="11">
        <f t="shared" si="152"/>
        <v>-0.14751135310921248</v>
      </c>
      <c r="AO95" s="11">
        <f t="shared" si="152"/>
        <v>-0.23530885009364552</v>
      </c>
      <c r="AP95" s="11">
        <f t="shared" si="152"/>
        <v>-0.12187557730723814</v>
      </c>
      <c r="AQ95" s="11">
        <f t="shared" si="152"/>
        <v>-0.25385537215268278</v>
      </c>
      <c r="AR95" s="11">
        <f t="shared" si="152"/>
        <v>-7.994228620630749E-3</v>
      </c>
      <c r="AS95" s="11">
        <f t="shared" si="152"/>
        <v>-0.25447820829040674</v>
      </c>
      <c r="AT95" s="11">
        <f t="shared" ref="AT95:BY95" si="153">LN(AT33/AT32)</f>
        <v>-0.18487100934741985</v>
      </c>
      <c r="AU95" s="11">
        <f t="shared" si="153"/>
        <v>-0.18069438610466396</v>
      </c>
      <c r="AV95" s="11">
        <f t="shared" si="153"/>
        <v>-0.22166798124976078</v>
      </c>
      <c r="AW95" s="11">
        <f t="shared" si="153"/>
        <v>-0.16065014171148817</v>
      </c>
      <c r="AX95" s="11">
        <f t="shared" si="153"/>
        <v>-0.28022529963585263</v>
      </c>
      <c r="AY95" s="11">
        <f t="shared" si="153"/>
        <v>-0.13647568195207835</v>
      </c>
      <c r="AZ95" s="11">
        <f t="shared" si="153"/>
        <v>-8.80730504075211E-2</v>
      </c>
      <c r="BA95" s="11">
        <f t="shared" si="153"/>
        <v>-3.5921678617390485E-2</v>
      </c>
      <c r="BB95" s="11">
        <f t="shared" si="153"/>
        <v>-0.11429012763602434</v>
      </c>
      <c r="BC95" s="11">
        <f t="shared" si="153"/>
        <v>-0.14703294042035311</v>
      </c>
      <c r="BD95" s="11">
        <f t="shared" si="153"/>
        <v>-0.12558783035042831</v>
      </c>
      <c r="BE95" s="11">
        <f t="shared" si="153"/>
        <v>-6.5775874062481421E-2</v>
      </c>
      <c r="BF95" s="11">
        <f t="shared" si="153"/>
        <v>-9.9460935692585198E-2</v>
      </c>
      <c r="BG95" s="11">
        <f t="shared" si="153"/>
        <v>-8.1875407781586099E-2</v>
      </c>
      <c r="BH95" s="11">
        <f t="shared" si="153"/>
        <v>-7.5558027823351082E-2</v>
      </c>
      <c r="BI95" s="11">
        <f t="shared" si="153"/>
        <v>-8.0598088401291082E-2</v>
      </c>
      <c r="BJ95" s="11">
        <f t="shared" si="153"/>
        <v>-0.15552104707875472</v>
      </c>
      <c r="BK95" s="11">
        <f t="shared" si="153"/>
        <v>3.5366366798007102E-3</v>
      </c>
      <c r="BL95" s="11">
        <f t="shared" si="153"/>
        <v>-2.1075404484836774E-2</v>
      </c>
      <c r="BM95" s="11">
        <f t="shared" si="153"/>
        <v>-4.6392338401350904E-3</v>
      </c>
      <c r="BN95" s="11">
        <f t="shared" si="153"/>
        <v>-0.12978102083311432</v>
      </c>
      <c r="BO95" s="11">
        <f t="shared" si="153"/>
        <v>-7.0414022286907726E-2</v>
      </c>
      <c r="BP95" s="11">
        <f t="shared" si="153"/>
        <v>-0.10720001646423039</v>
      </c>
      <c r="BQ95" s="11">
        <f t="shared" si="153"/>
        <v>2.390279123073678E-2</v>
      </c>
      <c r="BR95" s="11">
        <f t="shared" si="153"/>
        <v>2.4329906092054421E-2</v>
      </c>
      <c r="BS95" s="11">
        <f t="shared" si="153"/>
        <v>-0.1133414078284863</v>
      </c>
      <c r="BT95" s="11">
        <f t="shared" si="153"/>
        <v>-6.9240376281886007E-2</v>
      </c>
      <c r="BU95" s="11">
        <f t="shared" si="153"/>
        <v>-1.9735636757012957E-2</v>
      </c>
      <c r="BV95" s="11">
        <f t="shared" si="153"/>
        <v>3.2434588425963945E-2</v>
      </c>
      <c r="BW95" s="11">
        <f t="shared" si="153"/>
        <v>-0.13241810696413647</v>
      </c>
      <c r="BX95" s="11">
        <f t="shared" si="153"/>
        <v>-2.6631711120248945E-2</v>
      </c>
      <c r="BY95" s="11">
        <f t="shared" si="153"/>
        <v>-7.048877139542617E-2</v>
      </c>
      <c r="BZ95" s="11">
        <f t="shared" ref="BZ95:DE95" si="154">LN(BZ33/BZ32)</f>
        <v>-2.7067805614614721E-2</v>
      </c>
      <c r="CA95" s="11">
        <f t="shared" si="154"/>
        <v>1.425747741744507E-3</v>
      </c>
      <c r="CB95" s="11">
        <f t="shared" si="154"/>
        <v>-3.903064710739878E-4</v>
      </c>
      <c r="CC95" s="11">
        <f t="shared" si="154"/>
        <v>-0.11534561491120134</v>
      </c>
      <c r="CD95" s="11">
        <f t="shared" si="154"/>
        <v>1.8076692141552322E-3</v>
      </c>
      <c r="CE95" s="11">
        <f t="shared" si="154"/>
        <v>-3.4449231916265049E-3</v>
      </c>
      <c r="CF95" s="11">
        <f t="shared" si="154"/>
        <v>-8.8586478504805569E-2</v>
      </c>
      <c r="CG95" s="11">
        <f t="shared" si="154"/>
        <v>-6.4798036983735846E-2</v>
      </c>
      <c r="CH95" s="11">
        <f t="shared" si="154"/>
        <v>0</v>
      </c>
      <c r="CI95" s="11">
        <f t="shared" si="154"/>
        <v>-6.6672958933530438E-2</v>
      </c>
      <c r="CJ95" s="11">
        <f t="shared" si="154"/>
        <v>-3.8278772119603725E-2</v>
      </c>
      <c r="CK95" s="11">
        <f t="shared" si="154"/>
        <v>-0.18412838597547235</v>
      </c>
      <c r="CL95" s="11">
        <f t="shared" si="154"/>
        <v>-1.6388008764712993E-2</v>
      </c>
      <c r="CM95" s="11">
        <f t="shared" si="154"/>
        <v>-6.2649673895357966E-3</v>
      </c>
      <c r="CN95" s="11">
        <f t="shared" si="154"/>
        <v>-0.13737674574649295</v>
      </c>
      <c r="CO95" s="11">
        <f t="shared" si="154"/>
        <v>1.7111608474097088E-2</v>
      </c>
      <c r="CP95" s="11">
        <f t="shared" si="154"/>
        <v>-7.2307381836744346E-3</v>
      </c>
      <c r="CQ95" s="11">
        <f t="shared" si="154"/>
        <v>-6.4582055154684806E-2</v>
      </c>
      <c r="CR95" s="11">
        <f t="shared" si="154"/>
        <v>-5.4585320614215276E-2</v>
      </c>
      <c r="CS95" s="11">
        <f t="shared" si="154"/>
        <v>-6.9092629489433066E-2</v>
      </c>
      <c r="CT95" s="11">
        <f t="shared" si="154"/>
        <v>-5.5984242259932537E-2</v>
      </c>
      <c r="CU95" s="11">
        <f t="shared" si="154"/>
        <v>-5.1078175435719207E-2</v>
      </c>
      <c r="CV95" s="11">
        <f t="shared" si="154"/>
        <v>-0.13377349084447843</v>
      </c>
      <c r="CW95" s="11">
        <f t="shared" si="154"/>
        <v>-0.20540900617482194</v>
      </c>
      <c r="CX95" s="11">
        <f t="shared" si="154"/>
        <v>-2.7908788117076502E-2</v>
      </c>
      <c r="CY95" s="11">
        <f t="shared" si="154"/>
        <v>7.747686790825957E-3</v>
      </c>
      <c r="CZ95" s="11">
        <f t="shared" si="154"/>
        <v>2.9970052402695062E-3</v>
      </c>
      <c r="DA95" s="11">
        <f t="shared" si="154"/>
        <v>-0.15378747930025691</v>
      </c>
      <c r="DB95" s="11">
        <f t="shared" si="154"/>
        <v>-0.4569660064635836</v>
      </c>
      <c r="DC95" s="11">
        <f t="shared" si="154"/>
        <v>-0.19802014293690423</v>
      </c>
      <c r="DD95" s="11">
        <f t="shared" si="154"/>
        <v>-8.658250014989391E-3</v>
      </c>
      <c r="DE95" s="11">
        <f t="shared" si="154"/>
        <v>-0.11969397600074139</v>
      </c>
      <c r="DF95" s="11">
        <f t="shared" ref="DF95:DU95" si="155">LN(DF33/DF32)</f>
        <v>-6.4843274490211752E-2</v>
      </c>
      <c r="DG95" s="11">
        <f t="shared" si="155"/>
        <v>-0.2744368457017603</v>
      </c>
      <c r="DH95" s="11">
        <f t="shared" si="155"/>
        <v>-0.19476152460175281</v>
      </c>
      <c r="DI95" s="11">
        <f t="shared" si="155"/>
        <v>-0.12608521556912722</v>
      </c>
      <c r="DJ95" s="11">
        <f t="shared" si="155"/>
        <v>-5.3109207830077887E-2</v>
      </c>
      <c r="DK95" s="11">
        <f t="shared" si="155"/>
        <v>-6.8178399039220738E-2</v>
      </c>
      <c r="DL95" s="11">
        <f t="shared" si="155"/>
        <v>-0.15920951033885733</v>
      </c>
      <c r="DM95" s="11">
        <f t="shared" si="155"/>
        <v>-0.15752299653036397</v>
      </c>
      <c r="DN95" s="11">
        <f t="shared" si="155"/>
        <v>-0.13790766459768497</v>
      </c>
      <c r="DO95" s="11">
        <f t="shared" si="155"/>
        <v>-0.16808934497099159</v>
      </c>
      <c r="DP95" s="11">
        <f t="shared" si="155"/>
        <v>-0.24484589692180719</v>
      </c>
      <c r="DQ95" s="11">
        <f t="shared" si="155"/>
        <v>-8.1532438234598187E-2</v>
      </c>
      <c r="DR95" s="11">
        <f t="shared" si="155"/>
        <v>-0.20727885525184714</v>
      </c>
      <c r="DS95" s="11">
        <f t="shared" si="155"/>
        <v>-0.11502884655810694</v>
      </c>
      <c r="DT95" s="11">
        <f t="shared" si="155"/>
        <v>-0.16738707271020584</v>
      </c>
      <c r="DU95" s="11">
        <f t="shared" si="155"/>
        <v>-0.22611261629500862</v>
      </c>
      <c r="DV95" s="11">
        <f t="shared" si="13"/>
        <v>-0.22618199252068069</v>
      </c>
      <c r="DW95" s="11">
        <f t="shared" si="115"/>
        <v>-0.2539453227138731</v>
      </c>
      <c r="DX95" s="11">
        <f t="shared" si="115"/>
        <v>5.8443540144722271E-2</v>
      </c>
      <c r="DY95" s="11">
        <f t="shared" si="115"/>
        <v>-0.25909880748198133</v>
      </c>
      <c r="DZ95" s="11">
        <f t="shared" si="115"/>
        <v>-7.7291601440645119E-2</v>
      </c>
    </row>
    <row r="96" spans="1:130" ht="15">
      <c r="A96" s="8">
        <v>43617</v>
      </c>
      <c r="B96" s="11">
        <f t="shared" si="6"/>
        <v>6.6963563283575653E-2</v>
      </c>
      <c r="C96" s="11">
        <f t="shared" si="6"/>
        <v>5.1269270342180241E-2</v>
      </c>
      <c r="D96" s="11">
        <f t="shared" si="7"/>
        <v>-3.984236774721845E-2</v>
      </c>
      <c r="E96" s="11">
        <f t="shared" si="7"/>
        <v>-5.3415557642147338E-2</v>
      </c>
      <c r="F96" s="11">
        <f t="shared" si="7"/>
        <v>5.6927065395545241E-2</v>
      </c>
      <c r="G96" s="11">
        <f t="shared" si="7"/>
        <v>0.10883308089181458</v>
      </c>
      <c r="H96" s="11">
        <f t="shared" ref="H96:M96" si="156">LN(H34/H33)</f>
        <v>-4.4102633193580644E-4</v>
      </c>
      <c r="I96" s="11">
        <f t="shared" si="156"/>
        <v>9.5316961787308904E-2</v>
      </c>
      <c r="J96" s="11">
        <f t="shared" si="156"/>
        <v>0.1819359188163274</v>
      </c>
      <c r="K96" s="11">
        <f t="shared" si="156"/>
        <v>9.7429883839548787E-2</v>
      </c>
      <c r="L96" s="11">
        <f t="shared" si="156"/>
        <v>0.21130124218582871</v>
      </c>
      <c r="M96" s="11">
        <f t="shared" si="156"/>
        <v>0.10763953412195891</v>
      </c>
      <c r="N96" s="11">
        <f t="shared" ref="N96:AS96" si="157">LN(N34/N33)</f>
        <v>0.16923171812598078</v>
      </c>
      <c r="O96" s="11">
        <f t="shared" si="157"/>
        <v>0.14986819609795138</v>
      </c>
      <c r="P96" s="11">
        <f t="shared" si="157"/>
        <v>9.0984157284342941E-3</v>
      </c>
      <c r="Q96" s="11">
        <f t="shared" si="157"/>
        <v>3.9683357976619017E-2</v>
      </c>
      <c r="R96" s="11">
        <f t="shared" si="157"/>
        <v>1.510232695265455E-2</v>
      </c>
      <c r="S96" s="11">
        <f t="shared" si="157"/>
        <v>3.6703755554723036E-2</v>
      </c>
      <c r="T96" s="11">
        <f t="shared" si="157"/>
        <v>9.9564174049302609E-2</v>
      </c>
      <c r="U96" s="11">
        <f t="shared" si="157"/>
        <v>5.0650186610430754E-2</v>
      </c>
      <c r="V96" s="11">
        <f t="shared" si="157"/>
        <v>0.11503849158777449</v>
      </c>
      <c r="W96" s="11">
        <f t="shared" si="157"/>
        <v>0.17515306731534214</v>
      </c>
      <c r="X96" s="11">
        <f t="shared" si="157"/>
        <v>0.11609967772275204</v>
      </c>
      <c r="Y96" s="11">
        <f t="shared" si="157"/>
        <v>0.12516314295400599</v>
      </c>
      <c r="Z96" s="11">
        <f t="shared" si="157"/>
        <v>7.6543832483514332E-2</v>
      </c>
      <c r="AA96" s="11">
        <f t="shared" si="157"/>
        <v>0.12082597927562753</v>
      </c>
      <c r="AB96" s="11">
        <f t="shared" si="157"/>
        <v>7.0314583655034943E-2</v>
      </c>
      <c r="AC96" s="11">
        <f t="shared" si="157"/>
        <v>0.10903015700690183</v>
      </c>
      <c r="AD96" s="11">
        <f t="shared" si="157"/>
        <v>8.353886630967583E-2</v>
      </c>
      <c r="AE96" s="11">
        <f t="shared" si="157"/>
        <v>8.4038462192872976E-2</v>
      </c>
      <c r="AF96" s="11">
        <f t="shared" si="157"/>
        <v>0.11857338824940167</v>
      </c>
      <c r="AG96" s="11">
        <f t="shared" si="157"/>
        <v>0.100030292628151</v>
      </c>
      <c r="AH96" s="11">
        <f t="shared" si="157"/>
        <v>5.8284527144819534E-2</v>
      </c>
      <c r="AI96" s="11">
        <f t="shared" si="157"/>
        <v>7.0202520118804429E-2</v>
      </c>
      <c r="AJ96" s="11">
        <f t="shared" si="157"/>
        <v>6.1498474939890892E-2</v>
      </c>
      <c r="AK96" s="11">
        <f t="shared" si="157"/>
        <v>0.14994693325353178</v>
      </c>
      <c r="AL96" s="11">
        <f t="shared" si="157"/>
        <v>9.7661358882616275E-2</v>
      </c>
      <c r="AM96" s="11">
        <f t="shared" si="157"/>
        <v>0.19373216318537215</v>
      </c>
      <c r="AN96" s="11">
        <f t="shared" si="157"/>
        <v>8.9496357849104938E-2</v>
      </c>
      <c r="AO96" s="11">
        <f t="shared" si="157"/>
        <v>0.13447436722796155</v>
      </c>
      <c r="AP96" s="11">
        <f t="shared" si="157"/>
        <v>0.10205282081973154</v>
      </c>
      <c r="AQ96" s="11">
        <f t="shared" si="157"/>
        <v>0.12965155780730125</v>
      </c>
      <c r="AR96" s="11">
        <f t="shared" si="157"/>
        <v>0.10254736874296301</v>
      </c>
      <c r="AS96" s="11">
        <f t="shared" si="157"/>
        <v>0.16837411898419188</v>
      </c>
      <c r="AT96" s="11">
        <f t="shared" ref="AT96:BY96" si="158">LN(AT34/AT33)</f>
        <v>0.16097047647107454</v>
      </c>
      <c r="AU96" s="11">
        <f t="shared" si="158"/>
        <v>0.10182656640888127</v>
      </c>
      <c r="AV96" s="11">
        <f t="shared" si="158"/>
        <v>8.4457991934511978E-2</v>
      </c>
      <c r="AW96" s="11">
        <f t="shared" si="158"/>
        <v>0.14527357208039743</v>
      </c>
      <c r="AX96" s="11">
        <f t="shared" si="158"/>
        <v>0.15356253114971202</v>
      </c>
      <c r="AY96" s="11">
        <f t="shared" si="158"/>
        <v>0.12652035330459521</v>
      </c>
      <c r="AZ96" s="11">
        <f t="shared" si="158"/>
        <v>2.1112365168691419E-3</v>
      </c>
      <c r="BA96" s="11">
        <f t="shared" si="158"/>
        <v>4.7128945056931638E-2</v>
      </c>
      <c r="BB96" s="11">
        <f t="shared" si="158"/>
        <v>4.2494379249019554E-2</v>
      </c>
      <c r="BC96" s="11">
        <f t="shared" si="158"/>
        <v>0.17847638130178922</v>
      </c>
      <c r="BD96" s="11">
        <f t="shared" si="158"/>
        <v>6.9057721522218618E-2</v>
      </c>
      <c r="BE96" s="11">
        <f t="shared" si="158"/>
        <v>0.10701882710623643</v>
      </c>
      <c r="BF96" s="11">
        <f t="shared" si="158"/>
        <v>9.4228696206593202E-2</v>
      </c>
      <c r="BG96" s="11">
        <f t="shared" si="158"/>
        <v>6.4655763161683061E-2</v>
      </c>
      <c r="BH96" s="11">
        <f t="shared" si="158"/>
        <v>9.8613705993957482E-2</v>
      </c>
      <c r="BI96" s="11">
        <f t="shared" si="158"/>
        <v>-1.5200810155125026E-2</v>
      </c>
      <c r="BJ96" s="11">
        <f t="shared" si="158"/>
        <v>0.14467929164079821</v>
      </c>
      <c r="BK96" s="11">
        <f t="shared" si="158"/>
        <v>5.2111446075130061E-2</v>
      </c>
      <c r="BL96" s="11">
        <f t="shared" si="158"/>
        <v>0.10189715146689708</v>
      </c>
      <c r="BM96" s="11">
        <f t="shared" si="158"/>
        <v>4.5460799961759328E-2</v>
      </c>
      <c r="BN96" s="11">
        <f t="shared" si="158"/>
        <v>8.7378871449265205E-2</v>
      </c>
      <c r="BO96" s="11">
        <f t="shared" si="158"/>
        <v>9.1159704503014818E-2</v>
      </c>
      <c r="BP96" s="11">
        <f t="shared" si="158"/>
        <v>6.7704778180301281E-2</v>
      </c>
      <c r="BQ96" s="11">
        <f t="shared" si="158"/>
        <v>0.133565870818045</v>
      </c>
      <c r="BR96" s="11">
        <f t="shared" si="158"/>
        <v>3.003739785507259E-2</v>
      </c>
      <c r="BS96" s="11">
        <f t="shared" si="158"/>
        <v>0.1239160834127831</v>
      </c>
      <c r="BT96" s="11">
        <f t="shared" si="158"/>
        <v>-8.5471557512091414E-2</v>
      </c>
      <c r="BU96" s="11">
        <f t="shared" si="158"/>
        <v>8.2335112217327922E-2</v>
      </c>
      <c r="BV96" s="11">
        <f t="shared" si="158"/>
        <v>-4.374295484094631E-3</v>
      </c>
      <c r="BW96" s="11">
        <f t="shared" si="158"/>
        <v>0.16353898443273554</v>
      </c>
      <c r="BX96" s="11">
        <f t="shared" si="158"/>
        <v>8.0007552297503365E-2</v>
      </c>
      <c r="BY96" s="11">
        <f t="shared" si="158"/>
        <v>-5.5636051776815779E-3</v>
      </c>
      <c r="BZ96" s="11">
        <f t="shared" ref="BZ96:DE96" si="159">LN(BZ34/BZ33)</f>
        <v>6.3438493031798493E-2</v>
      </c>
      <c r="CA96" s="11">
        <f t="shared" si="159"/>
        <v>3.5785886566809248E-2</v>
      </c>
      <c r="CB96" s="11">
        <f t="shared" si="159"/>
        <v>2.415887555492343E-2</v>
      </c>
      <c r="CC96" s="11">
        <f t="shared" si="159"/>
        <v>1.7988586104658012E-2</v>
      </c>
      <c r="CD96" s="11">
        <f t="shared" si="159"/>
        <v>2.498387701407211E-2</v>
      </c>
      <c r="CE96" s="11">
        <f t="shared" si="159"/>
        <v>2.5032539942442162E-2</v>
      </c>
      <c r="CF96" s="11">
        <f t="shared" si="159"/>
        <v>9.6525235836537285E-2</v>
      </c>
      <c r="CG96" s="11">
        <f t="shared" si="159"/>
        <v>0.13112077192825969</v>
      </c>
      <c r="CH96" s="11">
        <f t="shared" si="159"/>
        <v>5.8250647112786644E-2</v>
      </c>
      <c r="CI96" s="11">
        <f t="shared" si="159"/>
        <v>6.4676741998391754E-2</v>
      </c>
      <c r="CJ96" s="11">
        <f t="shared" si="159"/>
        <v>2.9020292117457932E-2</v>
      </c>
      <c r="CK96" s="11">
        <f t="shared" si="159"/>
        <v>0.1296963135315147</v>
      </c>
      <c r="CL96" s="11">
        <f t="shared" si="159"/>
        <v>2.7234064205872426E-2</v>
      </c>
      <c r="CM96" s="11">
        <f t="shared" si="159"/>
        <v>2.6241732159995621E-2</v>
      </c>
      <c r="CN96" s="11">
        <f t="shared" si="159"/>
        <v>2.9842662028364157E-2</v>
      </c>
      <c r="CO96" s="11">
        <f t="shared" si="159"/>
        <v>-6.62278714430415E-3</v>
      </c>
      <c r="CP96" s="11">
        <f t="shared" si="159"/>
        <v>-1.5219775650937012E-2</v>
      </c>
      <c r="CQ96" s="11">
        <f t="shared" si="159"/>
        <v>2.8486609389566632E-2</v>
      </c>
      <c r="CR96" s="11">
        <f t="shared" si="159"/>
        <v>9.8534470603065444E-2</v>
      </c>
      <c r="CS96" s="11">
        <f t="shared" si="159"/>
        <v>0.1559126729041562</v>
      </c>
      <c r="CT96" s="11">
        <f t="shared" si="159"/>
        <v>3.4133006369458402E-2</v>
      </c>
      <c r="CU96" s="11">
        <f t="shared" si="159"/>
        <v>-7.0643935865081402E-3</v>
      </c>
      <c r="CV96" s="11">
        <f t="shared" si="159"/>
        <v>0.11512896055336017</v>
      </c>
      <c r="CW96" s="11">
        <f t="shared" si="159"/>
        <v>6.2255315407818639E-2</v>
      </c>
      <c r="CX96" s="11">
        <f t="shared" si="159"/>
        <v>-3.5203635192979789E-2</v>
      </c>
      <c r="CY96" s="11">
        <f t="shared" si="159"/>
        <v>-3.6490155656479936E-2</v>
      </c>
      <c r="CZ96" s="11">
        <f t="shared" si="159"/>
        <v>-8.1810686918312656E-2</v>
      </c>
      <c r="DA96" s="11">
        <f t="shared" si="159"/>
        <v>5.9218088688141553E-2</v>
      </c>
      <c r="DB96" s="11">
        <f t="shared" si="159"/>
        <v>9.5001267687364901E-2</v>
      </c>
      <c r="DC96" s="11">
        <f t="shared" si="159"/>
        <v>0.1172499404044951</v>
      </c>
      <c r="DD96" s="11">
        <f t="shared" si="159"/>
        <v>-1.9644045793890366E-2</v>
      </c>
      <c r="DE96" s="11">
        <f t="shared" si="159"/>
        <v>0.11956011676265686</v>
      </c>
      <c r="DF96" s="11">
        <f t="shared" ref="DF96:DU96" si="160">LN(DF34/DF33)</f>
        <v>7.4657835618152479E-2</v>
      </c>
      <c r="DG96" s="11">
        <f t="shared" si="160"/>
        <v>6.7166643543840721E-2</v>
      </c>
      <c r="DH96" s="11">
        <f t="shared" si="160"/>
        <v>0.16422351261555318</v>
      </c>
      <c r="DI96" s="11">
        <f t="shared" si="160"/>
        <v>9.0950684312656238E-2</v>
      </c>
      <c r="DJ96" s="11">
        <f t="shared" si="160"/>
        <v>9.8732697962247748E-2</v>
      </c>
      <c r="DK96" s="11">
        <f t="shared" si="160"/>
        <v>3.8983126139317627E-2</v>
      </c>
      <c r="DL96" s="11">
        <f t="shared" si="160"/>
        <v>8.0497409704315542E-2</v>
      </c>
      <c r="DM96" s="11">
        <f t="shared" si="160"/>
        <v>0.12906390931416087</v>
      </c>
      <c r="DN96" s="11">
        <f t="shared" si="160"/>
        <v>0.12929327832664217</v>
      </c>
      <c r="DO96" s="11">
        <f t="shared" si="160"/>
        <v>1.0194989543739236E-2</v>
      </c>
      <c r="DP96" s="11">
        <f t="shared" si="160"/>
        <v>0.12535026353304335</v>
      </c>
      <c r="DQ96" s="11">
        <f t="shared" si="160"/>
        <v>0.10730191047712433</v>
      </c>
      <c r="DR96" s="11">
        <f t="shared" si="160"/>
        <v>0.13590663546905174</v>
      </c>
      <c r="DS96" s="11">
        <f t="shared" si="160"/>
        <v>0.14799467878826569</v>
      </c>
      <c r="DT96" s="11">
        <f t="shared" si="160"/>
        <v>0.22663816064950246</v>
      </c>
      <c r="DU96" s="11">
        <f t="shared" si="160"/>
        <v>6.4088854372005094E-2</v>
      </c>
      <c r="DV96" s="11">
        <f t="shared" si="13"/>
        <v>0.10547568488404577</v>
      </c>
      <c r="DW96" s="11">
        <f t="shared" si="115"/>
        <v>0.18801211095612222</v>
      </c>
      <c r="DX96" s="11">
        <f t="shared" si="115"/>
        <v>0.12102484579245019</v>
      </c>
      <c r="DY96" s="11">
        <f t="shared" si="115"/>
        <v>0.15449353490442883</v>
      </c>
      <c r="DZ96" s="11">
        <f t="shared" si="115"/>
        <v>7.1929720818700082E-2</v>
      </c>
    </row>
    <row r="97" spans="1:130" ht="15">
      <c r="A97" s="8">
        <v>43647</v>
      </c>
      <c r="B97" s="11">
        <f t="shared" si="6"/>
        <v>-6.7260198593827716E-2</v>
      </c>
      <c r="C97" s="11">
        <f t="shared" si="6"/>
        <v>-0.10916385290639107</v>
      </c>
      <c r="D97" s="11">
        <f t="shared" si="7"/>
        <v>-1.6747534842851609E-2</v>
      </c>
      <c r="E97" s="11">
        <f t="shared" si="7"/>
        <v>-8.7611490527565741E-2</v>
      </c>
      <c r="F97" s="11">
        <f t="shared" si="7"/>
        <v>-3.6526118704342642E-3</v>
      </c>
      <c r="G97" s="11">
        <f t="shared" si="7"/>
        <v>1.2404039020103655E-2</v>
      </c>
      <c r="H97" s="11">
        <f t="shared" ref="H97:M97" si="161">LN(H35/H34)</f>
        <v>-2.0945391703664402E-2</v>
      </c>
      <c r="I97" s="11">
        <f t="shared" si="161"/>
        <v>-5.5355386106431585E-2</v>
      </c>
      <c r="J97" s="11">
        <f t="shared" si="161"/>
        <v>-0.20677679432763613</v>
      </c>
      <c r="K97" s="11">
        <f t="shared" si="161"/>
        <v>2.4113981943931731E-2</v>
      </c>
      <c r="L97" s="11">
        <f t="shared" si="161"/>
        <v>4.5849378732315822E-2</v>
      </c>
      <c r="M97" s="11">
        <f t="shared" si="161"/>
        <v>-7.3047332698439799E-2</v>
      </c>
      <c r="N97" s="11">
        <f t="shared" ref="N97:AS97" si="162">LN(N35/N34)</f>
        <v>-1.0810240556574565E-2</v>
      </c>
      <c r="O97" s="11">
        <f t="shared" si="162"/>
        <v>-0.10436894393553126</v>
      </c>
      <c r="P97" s="11">
        <f t="shared" si="162"/>
        <v>2.4702121266169406E-2</v>
      </c>
      <c r="Q97" s="11">
        <f t="shared" si="162"/>
        <v>2.5010341167478016E-2</v>
      </c>
      <c r="R97" s="11">
        <f t="shared" si="162"/>
        <v>4.5887625028999311E-2</v>
      </c>
      <c r="S97" s="11">
        <f t="shared" si="162"/>
        <v>-2.6678608935344406E-2</v>
      </c>
      <c r="T97" s="11">
        <f t="shared" si="162"/>
        <v>3.5050415973329897E-2</v>
      </c>
      <c r="U97" s="11">
        <f t="shared" si="162"/>
        <v>4.5660925870275239E-2</v>
      </c>
      <c r="V97" s="11">
        <f t="shared" si="162"/>
        <v>2.2796585254897975E-2</v>
      </c>
      <c r="W97" s="11">
        <f t="shared" si="162"/>
        <v>4.1198238064923981E-2</v>
      </c>
      <c r="X97" s="11">
        <f t="shared" si="162"/>
        <v>1.2259720750247484E-2</v>
      </c>
      <c r="Y97" s="11">
        <f t="shared" si="162"/>
        <v>9.3207294332232266E-2</v>
      </c>
      <c r="Z97" s="11">
        <f t="shared" si="162"/>
        <v>6.3518097245721062E-3</v>
      </c>
      <c r="AA97" s="11">
        <f t="shared" si="162"/>
        <v>-9.6546925453252636E-3</v>
      </c>
      <c r="AB97" s="11">
        <f t="shared" si="162"/>
        <v>5.3217328186137607E-2</v>
      </c>
      <c r="AC97" s="11">
        <f t="shared" si="162"/>
        <v>2.7822187744641839E-2</v>
      </c>
      <c r="AD97" s="11">
        <f t="shared" si="162"/>
        <v>1.7096817418547149E-2</v>
      </c>
      <c r="AE97" s="11">
        <f t="shared" si="162"/>
        <v>1.418702502932472E-2</v>
      </c>
      <c r="AF97" s="11">
        <f t="shared" si="162"/>
        <v>-1.1830282490942661E-2</v>
      </c>
      <c r="AG97" s="11">
        <f t="shared" si="162"/>
        <v>3.1136575346200353E-2</v>
      </c>
      <c r="AH97" s="11">
        <f t="shared" si="162"/>
        <v>4.4298957320827267E-2</v>
      </c>
      <c r="AI97" s="11">
        <f t="shared" si="162"/>
        <v>9.185073498049149E-3</v>
      </c>
      <c r="AJ97" s="11">
        <f t="shared" si="162"/>
        <v>9.503789190357062E-2</v>
      </c>
      <c r="AK97" s="11">
        <f t="shared" si="162"/>
        <v>-5.2672734162490988E-3</v>
      </c>
      <c r="AL97" s="11">
        <f t="shared" si="162"/>
        <v>7.4568500136657535E-3</v>
      </c>
      <c r="AM97" s="11">
        <f t="shared" si="162"/>
        <v>2.6972707150345838E-2</v>
      </c>
      <c r="AN97" s="11">
        <f t="shared" si="162"/>
        <v>5.4474055065716703E-2</v>
      </c>
      <c r="AO97" s="11">
        <f t="shared" si="162"/>
        <v>1.6914256526936282E-2</v>
      </c>
      <c r="AP97" s="11">
        <f t="shared" si="162"/>
        <v>8.5550798328743599E-2</v>
      </c>
      <c r="AQ97" s="11">
        <f t="shared" si="162"/>
        <v>-2.9905958013882683E-2</v>
      </c>
      <c r="AR97" s="11">
        <f t="shared" si="162"/>
        <v>2.6307150982485847E-3</v>
      </c>
      <c r="AS97" s="11">
        <f t="shared" si="162"/>
        <v>0.15122197834918535</v>
      </c>
      <c r="AT97" s="11">
        <f t="shared" ref="AT97:BY97" si="163">LN(AT35/AT34)</f>
        <v>3.9860986616395706E-2</v>
      </c>
      <c r="AU97" s="11">
        <f t="shared" si="163"/>
        <v>6.0197772759146048E-2</v>
      </c>
      <c r="AV97" s="11">
        <f t="shared" si="163"/>
        <v>8.5298882299558704E-2</v>
      </c>
      <c r="AW97" s="11">
        <f t="shared" si="163"/>
        <v>-3.1967325065512663E-2</v>
      </c>
      <c r="AX97" s="11">
        <f t="shared" si="163"/>
        <v>9.8634183888846538E-2</v>
      </c>
      <c r="AY97" s="11">
        <f t="shared" si="163"/>
        <v>7.3617080094776757E-2</v>
      </c>
      <c r="AZ97" s="11">
        <f t="shared" si="163"/>
        <v>1.8091470800650374E-2</v>
      </c>
      <c r="BA97" s="11">
        <f t="shared" si="163"/>
        <v>1.0218220656515427E-2</v>
      </c>
      <c r="BB97" s="11">
        <f t="shared" si="163"/>
        <v>-8.1723229260338755E-3</v>
      </c>
      <c r="BC97" s="11">
        <f t="shared" si="163"/>
        <v>-3.2342636791886574E-3</v>
      </c>
      <c r="BD97" s="11">
        <f t="shared" si="163"/>
        <v>-6.945750106228675E-2</v>
      </c>
      <c r="BE97" s="11">
        <f t="shared" si="163"/>
        <v>2.0034150417015322E-2</v>
      </c>
      <c r="BF97" s="11">
        <f t="shared" si="163"/>
        <v>7.2303881414729848E-2</v>
      </c>
      <c r="BG97" s="11">
        <f t="shared" si="163"/>
        <v>-1.4280600415506984E-2</v>
      </c>
      <c r="BH97" s="11">
        <f t="shared" si="163"/>
        <v>4.1894760463725478E-2</v>
      </c>
      <c r="BI97" s="11">
        <f t="shared" si="163"/>
        <v>8.8069965908158632E-2</v>
      </c>
      <c r="BJ97" s="11">
        <f t="shared" si="163"/>
        <v>5.6565667533836933E-2</v>
      </c>
      <c r="BK97" s="11">
        <f t="shared" si="163"/>
        <v>1.4627900956954104E-2</v>
      </c>
      <c r="BL97" s="11">
        <f t="shared" si="163"/>
        <v>0.12181748959424174</v>
      </c>
      <c r="BM97" s="11">
        <f t="shared" si="163"/>
        <v>-1.3975559625082575E-3</v>
      </c>
      <c r="BN97" s="11">
        <f t="shared" si="163"/>
        <v>2.4474730556068656E-2</v>
      </c>
      <c r="BO97" s="11">
        <f t="shared" si="163"/>
        <v>3.4122284734805206E-2</v>
      </c>
      <c r="BP97" s="11">
        <f t="shared" si="163"/>
        <v>6.5886150855413037E-2</v>
      </c>
      <c r="BQ97" s="11">
        <f t="shared" si="163"/>
        <v>2.1065355129961931E-2</v>
      </c>
      <c r="BR97" s="11">
        <f t="shared" si="163"/>
        <v>-8.0623260104842429E-2</v>
      </c>
      <c r="BS97" s="11">
        <f t="shared" si="163"/>
        <v>6.3275869666379143E-3</v>
      </c>
      <c r="BT97" s="11">
        <f t="shared" si="163"/>
        <v>1.4502302444465322E-2</v>
      </c>
      <c r="BU97" s="11">
        <f t="shared" si="163"/>
        <v>1.6578032702400186E-2</v>
      </c>
      <c r="BV97" s="11">
        <f t="shared" si="163"/>
        <v>-0.12698234395986804</v>
      </c>
      <c r="BW97" s="11">
        <f t="shared" si="163"/>
        <v>-5.7636874205242708E-3</v>
      </c>
      <c r="BX97" s="11">
        <f t="shared" si="163"/>
        <v>9.168653608547632E-5</v>
      </c>
      <c r="BY97" s="11">
        <f t="shared" si="163"/>
        <v>-2.2578024863948287E-2</v>
      </c>
      <c r="BZ97" s="11">
        <f t="shared" ref="BZ97:DE97" si="164">LN(BZ35/BZ34)</f>
        <v>7.3729990731218137E-2</v>
      </c>
      <c r="CA97" s="11">
        <f t="shared" si="164"/>
        <v>4.0806634065887498E-2</v>
      </c>
      <c r="CB97" s="11">
        <f t="shared" si="164"/>
        <v>-1.8349427008527749E-2</v>
      </c>
      <c r="CC97" s="11">
        <f t="shared" si="164"/>
        <v>7.7666837958700441E-2</v>
      </c>
      <c r="CD97" s="11">
        <f t="shared" si="164"/>
        <v>-3.0307767146764746E-2</v>
      </c>
      <c r="CE97" s="11">
        <f t="shared" si="164"/>
        <v>-3.2078528991327883E-2</v>
      </c>
      <c r="CF97" s="11">
        <f t="shared" si="164"/>
        <v>0.1318068520944887</v>
      </c>
      <c r="CG97" s="11">
        <f t="shared" si="164"/>
        <v>5.8811307587249848E-3</v>
      </c>
      <c r="CH97" s="11">
        <f t="shared" si="164"/>
        <v>-2.8503427608227465E-3</v>
      </c>
      <c r="CI97" s="11">
        <f t="shared" si="164"/>
        <v>1.7738188238821603E-2</v>
      </c>
      <c r="CJ97" s="11">
        <f t="shared" si="164"/>
        <v>9.7618091252119185E-4</v>
      </c>
      <c r="CK97" s="11">
        <f t="shared" si="164"/>
        <v>3.0771647752819146E-2</v>
      </c>
      <c r="CL97" s="11">
        <f t="shared" si="164"/>
        <v>-3.0873451997419334E-2</v>
      </c>
      <c r="CM97" s="11">
        <f t="shared" si="164"/>
        <v>1.1038911472070138E-2</v>
      </c>
      <c r="CN97" s="11">
        <f t="shared" si="164"/>
        <v>8.323982478849011E-2</v>
      </c>
      <c r="CO97" s="11">
        <f t="shared" si="164"/>
        <v>2.2517333423193002E-2</v>
      </c>
      <c r="CP97" s="11">
        <f t="shared" si="164"/>
        <v>3.2056636268056882E-2</v>
      </c>
      <c r="CQ97" s="11">
        <f t="shared" si="164"/>
        <v>6.0136373015834264E-2</v>
      </c>
      <c r="CR97" s="11">
        <f t="shared" si="164"/>
        <v>3.1202584357782902E-2</v>
      </c>
      <c r="CS97" s="11">
        <f t="shared" si="164"/>
        <v>-8.3128235960988395E-2</v>
      </c>
      <c r="CT97" s="11">
        <f t="shared" si="164"/>
        <v>-1.0965947087924196E-2</v>
      </c>
      <c r="CU97" s="11">
        <f t="shared" si="164"/>
        <v>6.3701227026054907E-2</v>
      </c>
      <c r="CV97" s="11">
        <f t="shared" si="164"/>
        <v>0.14571855119103966</v>
      </c>
      <c r="CW97" s="11">
        <f t="shared" si="164"/>
        <v>4.1751897834966349E-2</v>
      </c>
      <c r="CX97" s="11">
        <f t="shared" si="164"/>
        <v>-0.11189648663761176</v>
      </c>
      <c r="CY97" s="11">
        <f t="shared" si="164"/>
        <v>4.5636131684952015E-3</v>
      </c>
      <c r="CZ97" s="11">
        <f t="shared" si="164"/>
        <v>-1.774790612340587E-2</v>
      </c>
      <c r="DA97" s="11">
        <f t="shared" si="164"/>
        <v>9.0627856167199532E-3</v>
      </c>
      <c r="DB97" s="11">
        <f t="shared" si="164"/>
        <v>-0.10868449143882213</v>
      </c>
      <c r="DC97" s="11">
        <f t="shared" si="164"/>
        <v>6.2735926380352039E-2</v>
      </c>
      <c r="DD97" s="11">
        <f t="shared" si="164"/>
        <v>5.5166409515276182E-2</v>
      </c>
      <c r="DE97" s="11">
        <f t="shared" si="164"/>
        <v>0.11347641475652176</v>
      </c>
      <c r="DF97" s="11">
        <f t="shared" ref="DF97:DU97" si="165">LN(DF35/DF34)</f>
        <v>7.721686216865882E-2</v>
      </c>
      <c r="DG97" s="11">
        <f t="shared" si="165"/>
        <v>-5.6695343676545294E-2</v>
      </c>
      <c r="DH97" s="11">
        <f t="shared" si="165"/>
        <v>2.2697451343201513E-2</v>
      </c>
      <c r="DI97" s="11">
        <f t="shared" si="165"/>
        <v>-3.0070632228228193E-2</v>
      </c>
      <c r="DJ97" s="11">
        <f t="shared" si="165"/>
        <v>-1.0746112395727871E-2</v>
      </c>
      <c r="DK97" s="11">
        <f t="shared" si="165"/>
        <v>-3.1981634995862006E-2</v>
      </c>
      <c r="DL97" s="11">
        <f t="shared" si="165"/>
        <v>-0.10849962757528865</v>
      </c>
      <c r="DM97" s="11">
        <f t="shared" si="165"/>
        <v>-8.1717062297400847E-2</v>
      </c>
      <c r="DN97" s="11">
        <f t="shared" si="165"/>
        <v>2.4077307685750067E-2</v>
      </c>
      <c r="DO97" s="11">
        <f t="shared" si="165"/>
        <v>3.7285484610142042E-2</v>
      </c>
      <c r="DP97" s="11">
        <f t="shared" si="165"/>
        <v>-5.1230344875764333E-2</v>
      </c>
      <c r="DQ97" s="11">
        <f t="shared" si="165"/>
        <v>-5.2177657587564465E-2</v>
      </c>
      <c r="DR97" s="11">
        <f t="shared" si="165"/>
        <v>1.9959628391790225E-2</v>
      </c>
      <c r="DS97" s="11">
        <f t="shared" si="165"/>
        <v>3.039023217433947E-2</v>
      </c>
      <c r="DT97" s="11">
        <f t="shared" si="165"/>
        <v>5.98531938845542E-2</v>
      </c>
      <c r="DU97" s="11">
        <f t="shared" si="165"/>
        <v>7.1520158007518458E-2</v>
      </c>
      <c r="DV97" s="11">
        <f t="shared" si="13"/>
        <v>-0.17085850572994782</v>
      </c>
      <c r="DW97" s="11">
        <f t="shared" si="115"/>
        <v>7.8092428813372333E-2</v>
      </c>
      <c r="DX97" s="11">
        <f t="shared" si="115"/>
        <v>-2.1081731987790827E-3</v>
      </c>
      <c r="DY97" s="11">
        <f t="shared" si="115"/>
        <v>1.4382965482784334E-2</v>
      </c>
      <c r="DZ97" s="11">
        <f t="shared" si="115"/>
        <v>-7.0879934289559909E-2</v>
      </c>
    </row>
    <row r="98" spans="1:130" ht="15">
      <c r="A98" s="8">
        <v>43678</v>
      </c>
      <c r="B98" s="11">
        <f t="shared" si="6"/>
        <v>-1.4386800226432623E-2</v>
      </c>
      <c r="C98" s="11">
        <f t="shared" si="6"/>
        <v>-8.851037640892169E-2</v>
      </c>
      <c r="D98" s="11">
        <f t="shared" si="7"/>
        <v>3.6233424062906423E-2</v>
      </c>
      <c r="E98" s="11">
        <f t="shared" si="7"/>
        <v>1.8363636629003352E-3</v>
      </c>
      <c r="F98" s="11">
        <f t="shared" si="7"/>
        <v>4.1077441202078374E-2</v>
      </c>
      <c r="G98" s="11">
        <f t="shared" si="7"/>
        <v>0.11165388843961889</v>
      </c>
      <c r="H98" s="11">
        <f t="shared" ref="H98:M98" si="166">LN(H36/H35)</f>
        <v>8.801549634934136E-2</v>
      </c>
      <c r="I98" s="11">
        <f t="shared" si="166"/>
        <v>3.3221920962003E-2</v>
      </c>
      <c r="J98" s="11">
        <f t="shared" si="166"/>
        <v>-6.2149767157539858E-2</v>
      </c>
      <c r="K98" s="11">
        <f t="shared" si="166"/>
        <v>2.6899608927520413E-2</v>
      </c>
      <c r="L98" s="11">
        <f t="shared" si="166"/>
        <v>8.9807023546062875E-2</v>
      </c>
      <c r="M98" s="11">
        <f t="shared" si="166"/>
        <v>2.6395711229215767E-2</v>
      </c>
      <c r="N98" s="11">
        <f t="shared" ref="N98:AS98" si="167">LN(N36/N35)</f>
        <v>-2.5580422547373759E-2</v>
      </c>
      <c r="O98" s="11">
        <f t="shared" si="167"/>
        <v>-0.14166861521447358</v>
      </c>
      <c r="P98" s="11">
        <f t="shared" si="167"/>
        <v>-6.2171698625957485E-2</v>
      </c>
      <c r="Q98" s="11">
        <f t="shared" si="167"/>
        <v>9.5459400398404351E-2</v>
      </c>
      <c r="R98" s="11">
        <f t="shared" si="167"/>
        <v>-0.1191415302697123</v>
      </c>
      <c r="S98" s="11">
        <f t="shared" si="167"/>
        <v>-4.947125969273547E-2</v>
      </c>
      <c r="T98" s="11">
        <f t="shared" si="167"/>
        <v>-1.6910204336230621E-2</v>
      </c>
      <c r="U98" s="11">
        <f t="shared" si="167"/>
        <v>6.220779421208919E-2</v>
      </c>
      <c r="V98" s="11">
        <f t="shared" si="167"/>
        <v>5.0564103927717381E-2</v>
      </c>
      <c r="W98" s="11">
        <f t="shared" si="167"/>
        <v>-6.8689450412030048E-2</v>
      </c>
      <c r="X98" s="11">
        <f t="shared" si="167"/>
        <v>9.7078380737300643E-2</v>
      </c>
      <c r="Y98" s="11">
        <f t="shared" si="167"/>
        <v>-7.0874443819223545E-2</v>
      </c>
      <c r="Z98" s="11">
        <f t="shared" si="167"/>
        <v>4.4208817772450979E-3</v>
      </c>
      <c r="AA98" s="11">
        <f t="shared" si="167"/>
        <v>-1.5851328648420933E-2</v>
      </c>
      <c r="AB98" s="11">
        <f t="shared" si="167"/>
        <v>7.9146001663307666E-2</v>
      </c>
      <c r="AC98" s="11">
        <f t="shared" si="167"/>
        <v>4.6308879349673503E-2</v>
      </c>
      <c r="AD98" s="11">
        <f t="shared" si="167"/>
        <v>1.1600184470720511E-2</v>
      </c>
      <c r="AE98" s="11">
        <f t="shared" si="167"/>
        <v>-4.9206833979700916E-2</v>
      </c>
      <c r="AF98" s="11">
        <f t="shared" si="167"/>
        <v>-7.4258071385090635E-2</v>
      </c>
      <c r="AG98" s="11">
        <f t="shared" si="167"/>
        <v>6.5945146621480946E-2</v>
      </c>
      <c r="AH98" s="11">
        <f t="shared" si="167"/>
        <v>-1.4170404522386233E-2</v>
      </c>
      <c r="AI98" s="11">
        <f t="shared" si="167"/>
        <v>-3.4900153552716709E-2</v>
      </c>
      <c r="AJ98" s="11">
        <f t="shared" si="167"/>
        <v>1.1282981031056866E-2</v>
      </c>
      <c r="AK98" s="11">
        <f t="shared" si="167"/>
        <v>7.546525817026925E-2</v>
      </c>
      <c r="AL98" s="11">
        <f t="shared" si="167"/>
        <v>-0.13080882083661174</v>
      </c>
      <c r="AM98" s="11">
        <f t="shared" si="167"/>
        <v>-7.1973807250359451E-3</v>
      </c>
      <c r="AN98" s="11">
        <f t="shared" si="167"/>
        <v>-6.4129920538882501E-2</v>
      </c>
      <c r="AO98" s="11">
        <f t="shared" si="167"/>
        <v>-2.5672431519863505E-2</v>
      </c>
      <c r="AP98" s="11">
        <f t="shared" si="167"/>
        <v>-4.1885403620710105E-3</v>
      </c>
      <c r="AQ98" s="11">
        <f t="shared" si="167"/>
        <v>6.1106758015526348E-2</v>
      </c>
      <c r="AR98" s="11">
        <f t="shared" si="167"/>
        <v>3.2312988990543461E-2</v>
      </c>
      <c r="AS98" s="11">
        <f t="shared" si="167"/>
        <v>8.4295180659826399E-3</v>
      </c>
      <c r="AT98" s="11">
        <f t="shared" ref="AT98:BY98" si="168">LN(AT36/AT35)</f>
        <v>-6.7164456560137017E-2</v>
      </c>
      <c r="AU98" s="11">
        <f t="shared" si="168"/>
        <v>-1.2163452631060291E-2</v>
      </c>
      <c r="AV98" s="11">
        <f t="shared" si="168"/>
        <v>-8.9575625721325547E-2</v>
      </c>
      <c r="AW98" s="11">
        <f t="shared" si="168"/>
        <v>-9.3071966462864114E-2</v>
      </c>
      <c r="AX98" s="11">
        <f t="shared" si="168"/>
        <v>-0.12485816490619182</v>
      </c>
      <c r="AY98" s="11">
        <f t="shared" si="168"/>
        <v>-2.0390424214224351E-2</v>
      </c>
      <c r="AZ98" s="11">
        <f t="shared" si="168"/>
        <v>1.0110528216661953E-2</v>
      </c>
      <c r="BA98" s="11">
        <f t="shared" si="168"/>
        <v>-5.7690828011348075E-2</v>
      </c>
      <c r="BB98" s="11">
        <f t="shared" si="168"/>
        <v>3.7216922274707992E-2</v>
      </c>
      <c r="BC98" s="11">
        <f t="shared" si="168"/>
        <v>7.8804572971413314E-2</v>
      </c>
      <c r="BD98" s="11">
        <f t="shared" si="168"/>
        <v>-7.0120606187762446E-2</v>
      </c>
      <c r="BE98" s="11">
        <f t="shared" si="168"/>
        <v>-0.14007072337756393</v>
      </c>
      <c r="BF98" s="11">
        <f t="shared" si="168"/>
        <v>-8.9639890836419114E-2</v>
      </c>
      <c r="BG98" s="11">
        <f t="shared" si="168"/>
        <v>-4.9688101987485335E-2</v>
      </c>
      <c r="BH98" s="11">
        <f t="shared" si="168"/>
        <v>-2.2092025730931258E-2</v>
      </c>
      <c r="BI98" s="11">
        <f t="shared" si="168"/>
        <v>-0.2386693034736394</v>
      </c>
      <c r="BJ98" s="11">
        <f t="shared" si="168"/>
        <v>-8.3996100415571054E-2</v>
      </c>
      <c r="BK98" s="11">
        <f t="shared" si="168"/>
        <v>3.3827159604299988E-2</v>
      </c>
      <c r="BL98" s="11">
        <f t="shared" si="168"/>
        <v>1.9556034245639443E-2</v>
      </c>
      <c r="BM98" s="11">
        <f t="shared" si="168"/>
        <v>2.2830923179437907E-3</v>
      </c>
      <c r="BN98" s="11">
        <f t="shared" si="168"/>
        <v>-1.7944480878412911E-2</v>
      </c>
      <c r="BO98" s="11">
        <f t="shared" si="168"/>
        <v>6.4424483224464701E-2</v>
      </c>
      <c r="BP98" s="11">
        <f t="shared" si="168"/>
        <v>-3.8700555078176138E-3</v>
      </c>
      <c r="BQ98" s="11">
        <f t="shared" si="168"/>
        <v>0.11772090286542884</v>
      </c>
      <c r="BR98" s="11">
        <f t="shared" si="168"/>
        <v>-7.6432836832311016E-2</v>
      </c>
      <c r="BS98" s="11">
        <f t="shared" si="168"/>
        <v>4.142797749179284E-2</v>
      </c>
      <c r="BT98" s="11">
        <f t="shared" si="168"/>
        <v>-6.9022962169050114E-2</v>
      </c>
      <c r="BU98" s="11">
        <f t="shared" si="168"/>
        <v>3.7161083582026945E-2</v>
      </c>
      <c r="BV98" s="11">
        <f t="shared" si="168"/>
        <v>-7.5093074594612633E-2</v>
      </c>
      <c r="BW98" s="11">
        <f t="shared" si="168"/>
        <v>-0.45220541791047408</v>
      </c>
      <c r="BX98" s="11">
        <f t="shared" si="168"/>
        <v>-6.5807364908608793E-2</v>
      </c>
      <c r="BY98" s="11">
        <f t="shared" si="168"/>
        <v>-8.8001771866879797E-2</v>
      </c>
      <c r="BZ98" s="11">
        <f t="shared" ref="BZ98:DE98" si="169">LN(BZ36/BZ35)</f>
        <v>2.4838430465589704E-2</v>
      </c>
      <c r="CA98" s="11">
        <f t="shared" si="169"/>
        <v>4.477396539238921E-2</v>
      </c>
      <c r="CB98" s="11">
        <f t="shared" si="169"/>
        <v>6.7463199702183521E-2</v>
      </c>
      <c r="CC98" s="11">
        <f t="shared" si="169"/>
        <v>-0.14824805909414954</v>
      </c>
      <c r="CD98" s="11">
        <f t="shared" si="169"/>
        <v>4.9645123284722051E-2</v>
      </c>
      <c r="CE98" s="11">
        <f t="shared" si="169"/>
        <v>2.6024692880260242E-2</v>
      </c>
      <c r="CF98" s="11">
        <f t="shared" si="169"/>
        <v>-6.6322694782128988E-2</v>
      </c>
      <c r="CG98" s="11">
        <f t="shared" si="169"/>
        <v>7.2248180381154353E-2</v>
      </c>
      <c r="CH98" s="11">
        <f t="shared" si="169"/>
        <v>3.1830623473511371E-2</v>
      </c>
      <c r="CI98" s="11">
        <f t="shared" si="169"/>
        <v>-2.104670666915525E-2</v>
      </c>
      <c r="CJ98" s="11">
        <f t="shared" si="169"/>
        <v>3.8830126853135534E-2</v>
      </c>
      <c r="CK98" s="11">
        <f t="shared" si="169"/>
        <v>-0.22658587442999875</v>
      </c>
      <c r="CL98" s="11">
        <f t="shared" si="169"/>
        <v>8.6135315710260091E-2</v>
      </c>
      <c r="CM98" s="11">
        <f t="shared" si="169"/>
        <v>4.3868527885915228E-2</v>
      </c>
      <c r="CN98" s="11">
        <f t="shared" si="169"/>
        <v>7.5726210920278578E-2</v>
      </c>
      <c r="CO98" s="11">
        <f t="shared" si="169"/>
        <v>3.0462192334659605E-2</v>
      </c>
      <c r="CP98" s="11">
        <f t="shared" si="169"/>
        <v>5.5935149502989383E-2</v>
      </c>
      <c r="CQ98" s="11">
        <f t="shared" si="169"/>
        <v>-2.1255460944162408E-2</v>
      </c>
      <c r="CR98" s="11">
        <f t="shared" si="169"/>
        <v>9.3322153734720859E-2</v>
      </c>
      <c r="CS98" s="11">
        <f t="shared" si="169"/>
        <v>0.15686550834199384</v>
      </c>
      <c r="CT98" s="11">
        <f t="shared" si="169"/>
        <v>0.1342026402871116</v>
      </c>
      <c r="CU98" s="11">
        <f t="shared" si="169"/>
        <v>0.1410785982599056</v>
      </c>
      <c r="CV98" s="11">
        <f t="shared" si="169"/>
        <v>-6.803162065139123E-3</v>
      </c>
      <c r="CW98" s="11">
        <f t="shared" si="169"/>
        <v>-7.2462799100888556E-2</v>
      </c>
      <c r="CX98" s="11">
        <f t="shared" si="169"/>
        <v>-0.11778303565638351</v>
      </c>
      <c r="CY98" s="11">
        <f t="shared" si="169"/>
        <v>1.0192613722418939E-2</v>
      </c>
      <c r="CZ98" s="11">
        <f t="shared" si="169"/>
        <v>-2.2848583829426339E-2</v>
      </c>
      <c r="DA98" s="11">
        <f t="shared" si="169"/>
        <v>-4.9645230489165366E-2</v>
      </c>
      <c r="DB98" s="11">
        <f t="shared" si="169"/>
        <v>-5.0628822467243262E-2</v>
      </c>
      <c r="DC98" s="11">
        <f t="shared" si="169"/>
        <v>-1.0749409301215823E-2</v>
      </c>
      <c r="DD98" s="11">
        <f t="shared" si="169"/>
        <v>-0.12629382753920343</v>
      </c>
      <c r="DE98" s="11">
        <f t="shared" si="169"/>
        <v>-1.9472533204599341E-2</v>
      </c>
      <c r="DF98" s="11">
        <f t="shared" ref="DF98:DU98" si="170">LN(DF36/DF35)</f>
        <v>-5.1815684624928644E-2</v>
      </c>
      <c r="DG98" s="11">
        <f t="shared" si="170"/>
        <v>-0.15033851094090381</v>
      </c>
      <c r="DH98" s="11">
        <f t="shared" si="170"/>
        <v>-4.2770802278463714E-2</v>
      </c>
      <c r="DI98" s="11">
        <f t="shared" si="170"/>
        <v>-8.2376239842490775E-2</v>
      </c>
      <c r="DJ98" s="11">
        <f t="shared" si="170"/>
        <v>-4.476935290285286E-2</v>
      </c>
      <c r="DK98" s="11">
        <f t="shared" si="170"/>
        <v>-0.11912377288319612</v>
      </c>
      <c r="DL98" s="11">
        <f t="shared" si="170"/>
        <v>-0.11195025806645106</v>
      </c>
      <c r="DM98" s="11">
        <f t="shared" si="170"/>
        <v>-0.14272171924195939</v>
      </c>
      <c r="DN98" s="11">
        <f t="shared" si="170"/>
        <v>-2.9581850610835767E-2</v>
      </c>
      <c r="DO98" s="11">
        <f t="shared" si="170"/>
        <v>-0.16655850117082116</v>
      </c>
      <c r="DP98" s="11">
        <f t="shared" si="170"/>
        <v>-0.20524912454905611</v>
      </c>
      <c r="DQ98" s="11">
        <f t="shared" si="170"/>
        <v>-5.3111562178962186E-2</v>
      </c>
      <c r="DR98" s="11">
        <f t="shared" si="170"/>
        <v>-0.2090452785563571</v>
      </c>
      <c r="DS98" s="11">
        <f t="shared" si="170"/>
        <v>-0.15750370750172721</v>
      </c>
      <c r="DT98" s="11">
        <f t="shared" si="170"/>
        <v>-0.10318409372353393</v>
      </c>
      <c r="DU98" s="11">
        <f t="shared" si="170"/>
        <v>-0.15352114016765048</v>
      </c>
      <c r="DV98" s="11">
        <f t="shared" si="13"/>
        <v>-0.11342638733530139</v>
      </c>
      <c r="DW98" s="11">
        <f t="shared" si="115"/>
        <v>-6.8517011049904403E-2</v>
      </c>
      <c r="DX98" s="11">
        <f t="shared" si="115"/>
        <v>-2.0890025583818216E-2</v>
      </c>
      <c r="DY98" s="11">
        <f t="shared" si="115"/>
        <v>-6.1674378614881929E-3</v>
      </c>
      <c r="DZ98" s="11">
        <f t="shared" si="115"/>
        <v>-2.3692345720289252E-2</v>
      </c>
    </row>
    <row r="99" spans="1:130" ht="15">
      <c r="A99" s="8">
        <v>43709</v>
      </c>
      <c r="B99" s="11">
        <f t="shared" si="6"/>
        <v>1.5380670896516502E-2</v>
      </c>
      <c r="C99" s="11">
        <f t="shared" si="6"/>
        <v>1.9944223327588741E-2</v>
      </c>
      <c r="D99" s="11">
        <f t="shared" si="7"/>
        <v>-4.5521287183553551E-3</v>
      </c>
      <c r="E99" s="11">
        <f t="shared" si="7"/>
        <v>0.14133461596474495</v>
      </c>
      <c r="F99" s="11">
        <f t="shared" si="7"/>
        <v>-2.6840349877815459E-2</v>
      </c>
      <c r="G99" s="11">
        <f t="shared" si="7"/>
        <v>-6.8125113783366775E-2</v>
      </c>
      <c r="H99" s="11">
        <f t="shared" ref="H99:M99" si="171">LN(H37/H36)</f>
        <v>5.3464910813655959E-2</v>
      </c>
      <c r="I99" s="11">
        <f t="shared" si="171"/>
        <v>1.4559409998011729E-2</v>
      </c>
      <c r="J99" s="11">
        <f t="shared" si="171"/>
        <v>7.818722155404717E-2</v>
      </c>
      <c r="K99" s="11">
        <f t="shared" si="171"/>
        <v>-6.3439288879635458E-2</v>
      </c>
      <c r="L99" s="11">
        <f t="shared" si="171"/>
        <v>-0.13966871206125459</v>
      </c>
      <c r="M99" s="11">
        <f t="shared" si="171"/>
        <v>7.4760637847386346E-2</v>
      </c>
      <c r="N99" s="11">
        <f t="shared" ref="N99:AS99" si="172">LN(N37/N36)</f>
        <v>-3.7898995965468689E-2</v>
      </c>
      <c r="O99" s="11">
        <f t="shared" si="172"/>
        <v>6.9982043934696536E-2</v>
      </c>
      <c r="P99" s="11">
        <f t="shared" si="172"/>
        <v>-7.3950202477094162E-2</v>
      </c>
      <c r="Q99" s="11">
        <f t="shared" si="172"/>
        <v>3.4683709612011768E-2</v>
      </c>
      <c r="R99" s="11">
        <f t="shared" si="172"/>
        <v>-8.5454893908946658E-2</v>
      </c>
      <c r="S99" s="11">
        <f t="shared" si="172"/>
        <v>-4.4592814031342201E-2</v>
      </c>
      <c r="T99" s="11">
        <f t="shared" si="172"/>
        <v>-1.9528301762765439E-2</v>
      </c>
      <c r="U99" s="11">
        <f t="shared" si="172"/>
        <v>6.7435034427579602E-3</v>
      </c>
      <c r="V99" s="11">
        <f t="shared" si="172"/>
        <v>-1.995686473596341E-2</v>
      </c>
      <c r="W99" s="11">
        <f t="shared" si="172"/>
        <v>-0.1012817092545447</v>
      </c>
      <c r="X99" s="11">
        <f t="shared" si="172"/>
        <v>-1.4580976064836607E-2</v>
      </c>
      <c r="Y99" s="11">
        <f t="shared" si="172"/>
        <v>1.5796620370204881E-2</v>
      </c>
      <c r="Z99" s="11">
        <f t="shared" si="172"/>
        <v>-3.7879548970460824E-3</v>
      </c>
      <c r="AA99" s="11">
        <f t="shared" si="172"/>
        <v>5.4404770542295582E-2</v>
      </c>
      <c r="AB99" s="11">
        <f t="shared" si="172"/>
        <v>-2.764771381254813E-2</v>
      </c>
      <c r="AC99" s="11">
        <f t="shared" si="172"/>
        <v>-2.938774799405307E-3</v>
      </c>
      <c r="AD99" s="11">
        <f t="shared" si="172"/>
        <v>1.1775545209129486E-2</v>
      </c>
      <c r="AE99" s="11">
        <f t="shared" si="172"/>
        <v>-2.9462149501583563E-2</v>
      </c>
      <c r="AF99" s="11">
        <f t="shared" si="172"/>
        <v>5.5481733784779726E-2</v>
      </c>
      <c r="AG99" s="11">
        <f t="shared" si="172"/>
        <v>-3.2684053083614689E-2</v>
      </c>
      <c r="AH99" s="11">
        <f t="shared" si="172"/>
        <v>-3.1040070538485377E-2</v>
      </c>
      <c r="AI99" s="11">
        <f t="shared" si="172"/>
        <v>-7.7597004907629205E-2</v>
      </c>
      <c r="AJ99" s="11">
        <f t="shared" si="172"/>
        <v>2.4930657992499453E-2</v>
      </c>
      <c r="AK99" s="11">
        <f t="shared" si="172"/>
        <v>1.9404363568860935E-2</v>
      </c>
      <c r="AL99" s="11">
        <f t="shared" si="172"/>
        <v>8.6920743917559648E-2</v>
      </c>
      <c r="AM99" s="11">
        <f t="shared" si="172"/>
        <v>3.9403933679033332E-2</v>
      </c>
      <c r="AN99" s="11">
        <f t="shared" si="172"/>
        <v>9.0060159329966347E-2</v>
      </c>
      <c r="AO99" s="11">
        <f t="shared" si="172"/>
        <v>-2.3519380301867475E-2</v>
      </c>
      <c r="AP99" s="11">
        <f t="shared" si="172"/>
        <v>4.3408012622809633E-2</v>
      </c>
      <c r="AQ99" s="11">
        <f t="shared" si="172"/>
        <v>-1.9344937248940198E-2</v>
      </c>
      <c r="AR99" s="11">
        <f t="shared" si="172"/>
        <v>-8.1448040212885486E-2</v>
      </c>
      <c r="AS99" s="11">
        <f t="shared" si="172"/>
        <v>-5.493910219615903E-2</v>
      </c>
      <c r="AT99" s="11">
        <f t="shared" ref="AT99:BY99" si="173">LN(AT37/AT36)</f>
        <v>2.216239459154111E-2</v>
      </c>
      <c r="AU99" s="11">
        <f t="shared" si="173"/>
        <v>6.61033976636929E-2</v>
      </c>
      <c r="AV99" s="11">
        <f t="shared" si="173"/>
        <v>7.7526654032592207E-2</v>
      </c>
      <c r="AW99" s="11">
        <f t="shared" si="173"/>
        <v>-7.819754187840805E-2</v>
      </c>
      <c r="AX99" s="11">
        <f t="shared" si="173"/>
        <v>5.7525877785495907E-2</v>
      </c>
      <c r="AY99" s="11">
        <f t="shared" si="173"/>
        <v>7.4214841672139403E-2</v>
      </c>
      <c r="AZ99" s="11">
        <f t="shared" si="173"/>
        <v>-5.0123788362065394E-2</v>
      </c>
      <c r="BA99" s="11">
        <f t="shared" si="173"/>
        <v>-3.0990088799521649E-2</v>
      </c>
      <c r="BB99" s="11">
        <f t="shared" si="173"/>
        <v>3.7536109242439636E-2</v>
      </c>
      <c r="BC99" s="11">
        <f t="shared" si="173"/>
        <v>4.0183455234726242E-3</v>
      </c>
      <c r="BD99" s="11">
        <f t="shared" si="173"/>
        <v>-3.2555483520120276E-2</v>
      </c>
      <c r="BE99" s="11">
        <f t="shared" si="173"/>
        <v>3.3865010457261285E-2</v>
      </c>
      <c r="BF99" s="11">
        <f t="shared" si="173"/>
        <v>8.214719702336952E-2</v>
      </c>
      <c r="BG99" s="11">
        <f t="shared" si="173"/>
        <v>-2.2995147951910266E-2</v>
      </c>
      <c r="BH99" s="11">
        <f t="shared" si="173"/>
        <v>-2.9594482064162861E-2</v>
      </c>
      <c r="BI99" s="11">
        <f t="shared" si="173"/>
        <v>6.791885931687032E-2</v>
      </c>
      <c r="BJ99" s="11">
        <f t="shared" si="173"/>
        <v>1.0460016511658867E-2</v>
      </c>
      <c r="BK99" s="11">
        <f t="shared" si="173"/>
        <v>-9.79505778451213E-3</v>
      </c>
      <c r="BL99" s="11">
        <f t="shared" si="173"/>
        <v>-8.4283161494392786E-2</v>
      </c>
      <c r="BM99" s="11">
        <f t="shared" si="173"/>
        <v>-2.3077694134840308E-2</v>
      </c>
      <c r="BN99" s="11">
        <f t="shared" si="173"/>
        <v>0.10827176083476027</v>
      </c>
      <c r="BO99" s="11">
        <f t="shared" si="173"/>
        <v>1.7872980955062252E-2</v>
      </c>
      <c r="BP99" s="11">
        <f t="shared" si="173"/>
        <v>5.3428576698738378E-2</v>
      </c>
      <c r="BQ99" s="11">
        <f t="shared" si="173"/>
        <v>-9.7418895179831586E-2</v>
      </c>
      <c r="BR99" s="11">
        <f t="shared" si="173"/>
        <v>-7.1540114809315629E-3</v>
      </c>
      <c r="BS99" s="11">
        <f t="shared" si="173"/>
        <v>-1.9343251929715959E-3</v>
      </c>
      <c r="BT99" s="11">
        <f t="shared" si="173"/>
        <v>2.5114017251835611E-3</v>
      </c>
      <c r="BU99" s="11">
        <f t="shared" si="173"/>
        <v>-2.5491805547666418E-2</v>
      </c>
      <c r="BV99" s="11">
        <f t="shared" si="173"/>
        <v>7.5338308487665873E-2</v>
      </c>
      <c r="BW99" s="11">
        <f t="shared" si="173"/>
        <v>0.18591971410568833</v>
      </c>
      <c r="BX99" s="11">
        <f t="shared" si="173"/>
        <v>-0.11565312684951404</v>
      </c>
      <c r="BY99" s="11">
        <f t="shared" si="173"/>
        <v>0.18147535407792192</v>
      </c>
      <c r="BZ99" s="11">
        <f t="shared" ref="BZ99:DE99" si="174">LN(BZ37/BZ36)</f>
        <v>3.3935108188959943E-2</v>
      </c>
      <c r="CA99" s="11">
        <f t="shared" si="174"/>
        <v>-1.0961172165302855E-2</v>
      </c>
      <c r="CB99" s="11">
        <f t="shared" si="174"/>
        <v>2.7021399799215268E-3</v>
      </c>
      <c r="CC99" s="11">
        <f t="shared" si="174"/>
        <v>5.1896873263733954E-2</v>
      </c>
      <c r="CD99" s="11">
        <f t="shared" si="174"/>
        <v>-4.2219401381672912E-2</v>
      </c>
      <c r="CE99" s="11">
        <f t="shared" si="174"/>
        <v>-3.3420194977519628E-2</v>
      </c>
      <c r="CF99" s="11">
        <f t="shared" si="174"/>
        <v>6.8549419250664425E-3</v>
      </c>
      <c r="CG99" s="11">
        <f t="shared" si="174"/>
        <v>6.9627031551207303E-3</v>
      </c>
      <c r="CH99" s="11">
        <f t="shared" si="174"/>
        <v>1.8092201781967927E-3</v>
      </c>
      <c r="CI99" s="11">
        <f t="shared" si="174"/>
        <v>1.306511790028563E-2</v>
      </c>
      <c r="CJ99" s="11">
        <f t="shared" si="174"/>
        <v>-8.6684228211384405E-3</v>
      </c>
      <c r="CK99" s="11">
        <f t="shared" si="174"/>
        <v>0.10609829154931054</v>
      </c>
      <c r="CL99" s="11">
        <f t="shared" si="174"/>
        <v>6.5983694772002791E-2</v>
      </c>
      <c r="CM99" s="11">
        <f t="shared" si="174"/>
        <v>2.5945271481435855E-2</v>
      </c>
      <c r="CN99" s="11">
        <f t="shared" si="174"/>
        <v>3.3476312280658782E-2</v>
      </c>
      <c r="CO99" s="11">
        <f t="shared" si="174"/>
        <v>-4.1174908320481693E-2</v>
      </c>
      <c r="CP99" s="11">
        <f t="shared" si="174"/>
        <v>-5.5678353705840032E-2</v>
      </c>
      <c r="CQ99" s="11">
        <f t="shared" si="174"/>
        <v>-4.0582081587655069E-2</v>
      </c>
      <c r="CR99" s="11">
        <f t="shared" si="174"/>
        <v>4.1781527980853723E-2</v>
      </c>
      <c r="CS99" s="11">
        <f t="shared" si="174"/>
        <v>0.134435529032324</v>
      </c>
      <c r="CT99" s="11">
        <f t="shared" si="174"/>
        <v>1.5941477997688185E-2</v>
      </c>
      <c r="CU99" s="11">
        <f t="shared" si="174"/>
        <v>2.8161962364131498E-2</v>
      </c>
      <c r="CV99" s="11">
        <f t="shared" si="174"/>
        <v>1.819216628369413E-2</v>
      </c>
      <c r="CW99" s="11">
        <f t="shared" si="174"/>
        <v>-8.5791000325870267E-2</v>
      </c>
      <c r="CX99" s="11">
        <f t="shared" si="174"/>
        <v>5.7727468655281888E-2</v>
      </c>
      <c r="CY99" s="11">
        <f t="shared" si="174"/>
        <v>5.6406957858692014E-2</v>
      </c>
      <c r="CZ99" s="11">
        <f t="shared" si="174"/>
        <v>0.12763041968769576</v>
      </c>
      <c r="DA99" s="11">
        <f t="shared" si="174"/>
        <v>0.12242957571237893</v>
      </c>
      <c r="DB99" s="11">
        <f t="shared" si="174"/>
        <v>8.7816206006916767E-2</v>
      </c>
      <c r="DC99" s="11">
        <f t="shared" si="174"/>
        <v>3.0847572199895756E-2</v>
      </c>
      <c r="DD99" s="11">
        <f t="shared" si="174"/>
        <v>3.9265645864813695E-2</v>
      </c>
      <c r="DE99" s="11">
        <f t="shared" si="174"/>
        <v>3.7220315591380018E-2</v>
      </c>
      <c r="DF99" s="11">
        <f t="shared" ref="DF99:DU99" si="175">LN(DF37/DF36)</f>
        <v>7.6857820657093678E-2</v>
      </c>
      <c r="DG99" s="11">
        <f t="shared" si="175"/>
        <v>7.6871359059031266E-2</v>
      </c>
      <c r="DH99" s="11">
        <f t="shared" si="175"/>
        <v>8.8597835663283581E-2</v>
      </c>
      <c r="DI99" s="11">
        <f t="shared" si="175"/>
        <v>4.2987214056864259E-2</v>
      </c>
      <c r="DJ99" s="11">
        <f t="shared" si="175"/>
        <v>1.7674671397152102E-2</v>
      </c>
      <c r="DK99" s="11">
        <f t="shared" si="175"/>
        <v>8.8001025230636631E-2</v>
      </c>
      <c r="DL99" s="11">
        <f t="shared" si="175"/>
        <v>1.8861584542901256E-2</v>
      </c>
      <c r="DM99" s="11">
        <f t="shared" si="175"/>
        <v>4.041675722542991E-4</v>
      </c>
      <c r="DN99" s="11">
        <f t="shared" si="175"/>
        <v>-4.002804331015359E-2</v>
      </c>
      <c r="DO99" s="11">
        <f t="shared" si="175"/>
        <v>2.2513793295823297E-2</v>
      </c>
      <c r="DP99" s="11">
        <f t="shared" si="175"/>
        <v>8.9962954670856715E-2</v>
      </c>
      <c r="DQ99" s="11">
        <f t="shared" si="175"/>
        <v>-8.5020245246070311E-2</v>
      </c>
      <c r="DR99" s="11">
        <f t="shared" si="175"/>
        <v>5.2263812614526728E-2</v>
      </c>
      <c r="DS99" s="11">
        <f t="shared" si="175"/>
        <v>7.4931286362491523E-2</v>
      </c>
      <c r="DT99" s="11">
        <f t="shared" si="175"/>
        <v>-2.3098857689420733E-2</v>
      </c>
      <c r="DU99" s="11">
        <f t="shared" si="175"/>
        <v>3.6996681983350335E-2</v>
      </c>
      <c r="DV99" s="11">
        <f t="shared" si="13"/>
        <v>0.17128889412807957</v>
      </c>
      <c r="DW99" s="11">
        <f t="shared" si="115"/>
        <v>6.5449523982042485E-2</v>
      </c>
      <c r="DX99" s="11">
        <f t="shared" si="115"/>
        <v>-2.3474529108351589E-2</v>
      </c>
      <c r="DY99" s="11">
        <f t="shared" si="115"/>
        <v>6.9798635674186926E-2</v>
      </c>
      <c r="DZ99" s="11">
        <f t="shared" si="115"/>
        <v>-1.0911062286383434E-3</v>
      </c>
    </row>
    <row r="100" spans="1:130" ht="15">
      <c r="A100" s="8">
        <v>43739</v>
      </c>
      <c r="B100" s="11">
        <f t="shared" si="6"/>
        <v>2.0351149155606027E-2</v>
      </c>
      <c r="C100" s="11">
        <f t="shared" si="6"/>
        <v>6.5703376212116443E-2</v>
      </c>
      <c r="D100" s="11">
        <f t="shared" si="7"/>
        <v>1.877992055713652E-2</v>
      </c>
      <c r="E100" s="11">
        <f t="shared" si="7"/>
        <v>4.9343542281305018E-2</v>
      </c>
      <c r="F100" s="11">
        <f t="shared" si="7"/>
        <v>3.5658886480469283E-2</v>
      </c>
      <c r="G100" s="11">
        <f t="shared" si="7"/>
        <v>9.7135814251081365E-2</v>
      </c>
      <c r="H100" s="11">
        <f t="shared" ref="H100:M100" si="176">LN(H38/H37)</f>
        <v>0.12339837734245469</v>
      </c>
      <c r="I100" s="11">
        <f t="shared" si="176"/>
        <v>3.674892489309884E-2</v>
      </c>
      <c r="J100" s="11">
        <f t="shared" si="176"/>
        <v>-2.9014607432667233E-2</v>
      </c>
      <c r="K100" s="11">
        <f t="shared" si="176"/>
        <v>4.697958713851904E-2</v>
      </c>
      <c r="L100" s="11">
        <f t="shared" si="176"/>
        <v>3.2954082509278323E-2</v>
      </c>
      <c r="M100" s="11">
        <f t="shared" si="176"/>
        <v>-9.4010484982386382E-3</v>
      </c>
      <c r="N100" s="11">
        <f t="shared" ref="N100:AS100" si="177">LN(N38/N37)</f>
        <v>-3.3767673905885094E-2</v>
      </c>
      <c r="O100" s="11">
        <f t="shared" si="177"/>
        <v>7.6631618548530242E-4</v>
      </c>
      <c r="P100" s="11">
        <f t="shared" si="177"/>
        <v>0.15553663388584177</v>
      </c>
      <c r="Q100" s="11">
        <f t="shared" si="177"/>
        <v>5.1301082748233591E-2</v>
      </c>
      <c r="R100" s="11">
        <f t="shared" si="177"/>
        <v>0.11716627033432256</v>
      </c>
      <c r="S100" s="11">
        <f t="shared" si="177"/>
        <v>9.90392083641915E-2</v>
      </c>
      <c r="T100" s="11">
        <f t="shared" si="177"/>
        <v>-7.1734740450041484E-4</v>
      </c>
      <c r="U100" s="11">
        <f t="shared" si="177"/>
        <v>7.6047457565774973E-3</v>
      </c>
      <c r="V100" s="11">
        <f t="shared" si="177"/>
        <v>2.2672016222009417E-3</v>
      </c>
      <c r="W100" s="11">
        <f t="shared" si="177"/>
        <v>2.055933696141795E-2</v>
      </c>
      <c r="X100" s="11">
        <f t="shared" si="177"/>
        <v>2.6376722405299598E-2</v>
      </c>
      <c r="Y100" s="11">
        <f t="shared" si="177"/>
        <v>-3.236857172495354E-2</v>
      </c>
      <c r="Z100" s="11">
        <f t="shared" si="177"/>
        <v>1.492930560190367E-2</v>
      </c>
      <c r="AA100" s="11">
        <f t="shared" si="177"/>
        <v>2.38280799953253E-2</v>
      </c>
      <c r="AB100" s="11">
        <f t="shared" si="177"/>
        <v>9.0582892974541904E-2</v>
      </c>
      <c r="AC100" s="11">
        <f t="shared" si="177"/>
        <v>-0.13139400463309864</v>
      </c>
      <c r="AD100" s="11">
        <f t="shared" si="177"/>
        <v>3.0738755619184176E-2</v>
      </c>
      <c r="AE100" s="11">
        <f t="shared" si="177"/>
        <v>6.0630305909431977E-3</v>
      </c>
      <c r="AF100" s="11">
        <f t="shared" si="177"/>
        <v>-9.8612826808211779E-3</v>
      </c>
      <c r="AG100" s="11">
        <f t="shared" si="177"/>
        <v>-1.0989121575595206E-2</v>
      </c>
      <c r="AH100" s="11">
        <f t="shared" si="177"/>
        <v>6.0655274566755221E-2</v>
      </c>
      <c r="AI100" s="11">
        <f t="shared" si="177"/>
        <v>7.3419054209702145E-3</v>
      </c>
      <c r="AJ100" s="11">
        <f t="shared" si="177"/>
        <v>-5.4882222197291733E-2</v>
      </c>
      <c r="AK100" s="11">
        <f t="shared" si="177"/>
        <v>-3.2254033784795355E-2</v>
      </c>
      <c r="AL100" s="11">
        <f t="shared" si="177"/>
        <v>2.5730769278598076E-2</v>
      </c>
      <c r="AM100" s="11">
        <f t="shared" si="177"/>
        <v>0.14394670470376864</v>
      </c>
      <c r="AN100" s="11">
        <f t="shared" si="177"/>
        <v>9.2607024293331314E-2</v>
      </c>
      <c r="AO100" s="11">
        <f t="shared" si="177"/>
        <v>6.8165677223071749E-2</v>
      </c>
      <c r="AP100" s="11">
        <f t="shared" si="177"/>
        <v>-9.1070914634211561E-2</v>
      </c>
      <c r="AQ100" s="11">
        <f t="shared" si="177"/>
        <v>6.1008965914964672E-2</v>
      </c>
      <c r="AR100" s="11">
        <f t="shared" si="177"/>
        <v>0.15734863586257469</v>
      </c>
      <c r="AS100" s="11">
        <f t="shared" si="177"/>
        <v>0.10407617245341837</v>
      </c>
      <c r="AT100" s="11">
        <f t="shared" ref="AT100:BY100" si="178">LN(AT38/AT37)</f>
        <v>-4.671975443457959E-2</v>
      </c>
      <c r="AU100" s="11">
        <f t="shared" si="178"/>
        <v>4.4353742020369867E-2</v>
      </c>
      <c r="AV100" s="11">
        <f t="shared" si="178"/>
        <v>1.474396119841815E-2</v>
      </c>
      <c r="AW100" s="11">
        <f t="shared" si="178"/>
        <v>-5.5307706294874914E-2</v>
      </c>
      <c r="AX100" s="11">
        <f t="shared" si="178"/>
        <v>0.13891119245203307</v>
      </c>
      <c r="AY100" s="11">
        <f t="shared" si="178"/>
        <v>0.1049765295599084</v>
      </c>
      <c r="AZ100" s="11">
        <f t="shared" si="178"/>
        <v>5.2811273982683725E-2</v>
      </c>
      <c r="BA100" s="11">
        <f t="shared" si="178"/>
        <v>-2.6303126814622411E-2</v>
      </c>
      <c r="BB100" s="11">
        <f t="shared" si="178"/>
        <v>0.10832163428670832</v>
      </c>
      <c r="BC100" s="11">
        <f t="shared" si="178"/>
        <v>3.6944047977881603E-2</v>
      </c>
      <c r="BD100" s="11">
        <f t="shared" si="178"/>
        <v>6.3972006691237664E-3</v>
      </c>
      <c r="BE100" s="11">
        <f t="shared" si="178"/>
        <v>-7.7022670220254372E-2</v>
      </c>
      <c r="BF100" s="11">
        <f t="shared" si="178"/>
        <v>-8.3803102335650942E-2</v>
      </c>
      <c r="BG100" s="11">
        <f t="shared" si="178"/>
        <v>2.3203425581112831E-2</v>
      </c>
      <c r="BH100" s="11">
        <f t="shared" si="178"/>
        <v>-0.10058313686557727</v>
      </c>
      <c r="BI100" s="11">
        <f t="shared" si="178"/>
        <v>-0.23897619333444481</v>
      </c>
      <c r="BJ100" s="11">
        <f t="shared" si="178"/>
        <v>1.4122447750825693E-3</v>
      </c>
      <c r="BK100" s="11">
        <f t="shared" si="178"/>
        <v>-8.7608897123381074E-2</v>
      </c>
      <c r="BL100" s="11">
        <f t="shared" si="178"/>
        <v>-4.4637053899756987E-2</v>
      </c>
      <c r="BM100" s="11">
        <f t="shared" si="178"/>
        <v>-5.1640951987470929E-2</v>
      </c>
      <c r="BN100" s="11">
        <f t="shared" si="178"/>
        <v>-4.764632909485314E-2</v>
      </c>
      <c r="BO100" s="11">
        <f t="shared" si="178"/>
        <v>1.7061002580079063E-2</v>
      </c>
      <c r="BP100" s="11">
        <f t="shared" si="178"/>
        <v>3.8512375688973796E-2</v>
      </c>
      <c r="BQ100" s="11">
        <f t="shared" si="178"/>
        <v>-3.9786651776748096E-2</v>
      </c>
      <c r="BR100" s="11">
        <f t="shared" si="178"/>
        <v>-1.156442308423135E-2</v>
      </c>
      <c r="BS100" s="11">
        <f t="shared" si="178"/>
        <v>4.2964393019240037E-2</v>
      </c>
      <c r="BT100" s="11">
        <f t="shared" si="178"/>
        <v>-1.8937983639037675E-2</v>
      </c>
      <c r="BU100" s="11">
        <f t="shared" si="178"/>
        <v>-0.10906004299040391</v>
      </c>
      <c r="BV100" s="11">
        <f t="shared" si="178"/>
        <v>0.10743384007335785</v>
      </c>
      <c r="BW100" s="11">
        <f t="shared" si="178"/>
        <v>-0.13945581889190256</v>
      </c>
      <c r="BX100" s="11">
        <f t="shared" si="178"/>
        <v>4.9400793096529706E-2</v>
      </c>
      <c r="BY100" s="11">
        <f t="shared" si="178"/>
        <v>-1.7421256627206377E-2</v>
      </c>
      <c r="BZ100" s="11">
        <f t="shared" ref="BZ100:DE100" si="179">LN(BZ38/BZ37)</f>
        <v>1.0443785820816967E-3</v>
      </c>
      <c r="CA100" s="11">
        <f t="shared" si="179"/>
        <v>7.1010869751326512E-3</v>
      </c>
      <c r="CB100" s="11">
        <f t="shared" si="179"/>
        <v>7.3973171565654338E-3</v>
      </c>
      <c r="CC100" s="11">
        <f t="shared" si="179"/>
        <v>8.6438256217241022E-2</v>
      </c>
      <c r="CD100" s="11">
        <f t="shared" si="179"/>
        <v>1.6663991633667245E-4</v>
      </c>
      <c r="CE100" s="11">
        <f t="shared" si="179"/>
        <v>2.1382473948250002E-3</v>
      </c>
      <c r="CF100" s="11">
        <f t="shared" si="179"/>
        <v>-0.16384928878394181</v>
      </c>
      <c r="CG100" s="11">
        <f t="shared" si="179"/>
        <v>-6.5856548787322403E-2</v>
      </c>
      <c r="CH100" s="11">
        <f t="shared" si="179"/>
        <v>-4.8143411895076677E-2</v>
      </c>
      <c r="CI100" s="11">
        <f t="shared" si="179"/>
        <v>2.5411949946228137E-2</v>
      </c>
      <c r="CJ100" s="11">
        <f t="shared" si="179"/>
        <v>-6.912915375959755E-2</v>
      </c>
      <c r="CK100" s="11">
        <f t="shared" si="179"/>
        <v>0.14611512401331811</v>
      </c>
      <c r="CL100" s="11">
        <f t="shared" si="179"/>
        <v>5.9017345138467044E-3</v>
      </c>
      <c r="CM100" s="11">
        <f t="shared" si="179"/>
        <v>-6.7148842638999853E-2</v>
      </c>
      <c r="CN100" s="11">
        <f t="shared" si="179"/>
        <v>-1.2824651704173264E-2</v>
      </c>
      <c r="CO100" s="11">
        <f t="shared" si="179"/>
        <v>2.769976746892705E-2</v>
      </c>
      <c r="CP100" s="11">
        <f t="shared" si="179"/>
        <v>-7.3045690526615081E-2</v>
      </c>
      <c r="CQ100" s="11">
        <f t="shared" si="179"/>
        <v>-2.7909920557913324E-2</v>
      </c>
      <c r="CR100" s="11">
        <f t="shared" si="179"/>
        <v>-1.3086099041641177E-2</v>
      </c>
      <c r="CS100" s="11">
        <f t="shared" si="179"/>
        <v>1.3266759866118284E-2</v>
      </c>
      <c r="CT100" s="11">
        <f t="shared" si="179"/>
        <v>-3.5412886975950186E-2</v>
      </c>
      <c r="CU100" s="11">
        <f t="shared" si="179"/>
        <v>-5.4171230839249851E-2</v>
      </c>
      <c r="CV100" s="11">
        <f t="shared" si="179"/>
        <v>-3.9581172852681423E-2</v>
      </c>
      <c r="CW100" s="11">
        <f t="shared" si="179"/>
        <v>5.1517957837016931E-2</v>
      </c>
      <c r="CX100" s="11">
        <f t="shared" si="179"/>
        <v>4.1672696400568081E-2</v>
      </c>
      <c r="CY100" s="11">
        <f t="shared" si="179"/>
        <v>-3.734333494118669E-3</v>
      </c>
      <c r="CZ100" s="11">
        <f t="shared" si="179"/>
        <v>-3.5348290132612308E-2</v>
      </c>
      <c r="DA100" s="11">
        <f t="shared" si="179"/>
        <v>-0.12893773385293808</v>
      </c>
      <c r="DB100" s="11">
        <f t="shared" si="179"/>
        <v>-0.28179970254871423</v>
      </c>
      <c r="DC100" s="11">
        <f t="shared" si="179"/>
        <v>-5.2590751729567377E-2</v>
      </c>
      <c r="DD100" s="11">
        <f t="shared" si="179"/>
        <v>1.2383914485751589E-2</v>
      </c>
      <c r="DE100" s="11">
        <f t="shared" si="179"/>
        <v>6.9862537182796031E-2</v>
      </c>
      <c r="DF100" s="11">
        <f t="shared" ref="DF100:DU100" si="180">LN(DF38/DF37)</f>
        <v>-1.516822147317143E-2</v>
      </c>
      <c r="DG100" s="11">
        <f t="shared" si="180"/>
        <v>-6.2448032097926286E-2</v>
      </c>
      <c r="DH100" s="11">
        <f t="shared" si="180"/>
        <v>0.16792740956476482</v>
      </c>
      <c r="DI100" s="11">
        <f t="shared" si="180"/>
        <v>-4.4007728308812534E-2</v>
      </c>
      <c r="DJ100" s="11">
        <f t="shared" si="180"/>
        <v>-2.0959448629775421E-2</v>
      </c>
      <c r="DK100" s="11">
        <f t="shared" si="180"/>
        <v>-3.1737443534844464E-2</v>
      </c>
      <c r="DL100" s="11">
        <f t="shared" si="180"/>
        <v>-1.8668713598566911E-2</v>
      </c>
      <c r="DM100" s="11">
        <f t="shared" si="180"/>
        <v>-6.8444527205989356E-2</v>
      </c>
      <c r="DN100" s="11">
        <f t="shared" si="180"/>
        <v>8.7493151681374698E-2</v>
      </c>
      <c r="DO100" s="11">
        <f t="shared" si="180"/>
        <v>-7.598230479180669E-2</v>
      </c>
      <c r="DP100" s="11">
        <f t="shared" si="180"/>
        <v>-0.16730479232150366</v>
      </c>
      <c r="DQ100" s="11">
        <f t="shared" si="180"/>
        <v>-4.7256481560701259E-2</v>
      </c>
      <c r="DR100" s="11">
        <f t="shared" si="180"/>
        <v>-2.8740569378233889E-2</v>
      </c>
      <c r="DS100" s="11">
        <f t="shared" si="180"/>
        <v>-8.0761603934669121E-2</v>
      </c>
      <c r="DT100" s="11">
        <f t="shared" si="180"/>
        <v>-0.20172979500859067</v>
      </c>
      <c r="DU100" s="11">
        <f t="shared" si="180"/>
        <v>6.6915511503250397E-2</v>
      </c>
      <c r="DV100" s="11">
        <f t="shared" si="13"/>
        <v>-0.16712514996625208</v>
      </c>
      <c r="DW100" s="11">
        <f t="shared" si="115"/>
        <v>0.26806126945156422</v>
      </c>
      <c r="DX100" s="11">
        <f t="shared" si="115"/>
        <v>3.8386437250732583E-2</v>
      </c>
      <c r="DY100" s="11">
        <f t="shared" si="115"/>
        <v>8.2165668515979014E-3</v>
      </c>
      <c r="DZ100" s="11">
        <f t="shared" si="115"/>
        <v>-6.4247360319268448E-2</v>
      </c>
    </row>
    <row r="101" spans="1:130" ht="15">
      <c r="A101" s="8">
        <v>43770</v>
      </c>
      <c r="B101" s="11">
        <f t="shared" si="6"/>
        <v>4.0445598479767163E-2</v>
      </c>
      <c r="C101" s="11">
        <f t="shared" si="6"/>
        <v>3.9018118989844991E-3</v>
      </c>
      <c r="D101" s="11">
        <f t="shared" si="7"/>
        <v>2.9401857141715837E-2</v>
      </c>
      <c r="E101" s="11">
        <f t="shared" si="7"/>
        <v>0.11235440750396471</v>
      </c>
      <c r="F101" s="11">
        <f t="shared" si="7"/>
        <v>5.9823557623056561E-3</v>
      </c>
      <c r="G101" s="11">
        <f t="shared" si="7"/>
        <v>9.5928020602966527E-2</v>
      </c>
      <c r="H101" s="11">
        <f t="shared" ref="H101:M101" si="181">LN(H39/H38)</f>
        <v>8.4308324554476953E-4</v>
      </c>
      <c r="I101" s="11">
        <f t="shared" si="181"/>
        <v>3.8873059028696949E-2</v>
      </c>
      <c r="J101" s="11">
        <f t="shared" si="181"/>
        <v>8.1956663487898165E-2</v>
      </c>
      <c r="K101" s="11">
        <f t="shared" si="181"/>
        <v>-0.12476323696166274</v>
      </c>
      <c r="L101" s="11">
        <f t="shared" si="181"/>
        <v>0.38780489374915628</v>
      </c>
      <c r="M101" s="11">
        <f t="shared" si="181"/>
        <v>6.4167179851537193E-2</v>
      </c>
      <c r="N101" s="11">
        <f t="shared" ref="N101:AS101" si="182">LN(N39/N38)</f>
        <v>1.0743905000450582E-2</v>
      </c>
      <c r="O101" s="11">
        <f t="shared" si="182"/>
        <v>2.0318738829992668E-2</v>
      </c>
      <c r="P101" s="11">
        <f t="shared" si="182"/>
        <v>0.10212234680683403</v>
      </c>
      <c r="Q101" s="11">
        <f t="shared" si="182"/>
        <v>0.13307566096685441</v>
      </c>
      <c r="R101" s="11">
        <f t="shared" si="182"/>
        <v>7.0240687054370449E-2</v>
      </c>
      <c r="S101" s="11">
        <f t="shared" si="182"/>
        <v>0.18629692779560461</v>
      </c>
      <c r="T101" s="11">
        <f t="shared" si="182"/>
        <v>2.5769330637453611E-2</v>
      </c>
      <c r="U101" s="11">
        <f t="shared" si="182"/>
        <v>2.2607324998238972E-2</v>
      </c>
      <c r="V101" s="11">
        <f t="shared" si="182"/>
        <v>-5.4200740627115794E-2</v>
      </c>
      <c r="W101" s="11">
        <f t="shared" si="182"/>
        <v>6.6399583763610451E-2</v>
      </c>
      <c r="X101" s="11">
        <f t="shared" si="182"/>
        <v>-5.8308866766548846E-2</v>
      </c>
      <c r="Y101" s="11">
        <f t="shared" si="182"/>
        <v>-1.95103293120194E-2</v>
      </c>
      <c r="Z101" s="11">
        <f t="shared" si="182"/>
        <v>9.7184488683531647E-3</v>
      </c>
      <c r="AA101" s="11">
        <f t="shared" si="182"/>
        <v>6.9758169191952976E-2</v>
      </c>
      <c r="AB101" s="11">
        <f t="shared" si="182"/>
        <v>1.1293623657474451E-2</v>
      </c>
      <c r="AC101" s="11">
        <f t="shared" si="182"/>
        <v>6.6451604962916133E-2</v>
      </c>
      <c r="AD101" s="11">
        <f t="shared" si="182"/>
        <v>5.4365055032012798E-2</v>
      </c>
      <c r="AE101" s="11">
        <f t="shared" si="182"/>
        <v>0.10768573453740229</v>
      </c>
      <c r="AF101" s="11">
        <f t="shared" si="182"/>
        <v>3.4281602550165102E-2</v>
      </c>
      <c r="AG101" s="11">
        <f t="shared" si="182"/>
        <v>3.8228579275569843E-2</v>
      </c>
      <c r="AH101" s="11">
        <f t="shared" si="182"/>
        <v>0.25366847512900864</v>
      </c>
      <c r="AI101" s="11">
        <f t="shared" si="182"/>
        <v>3.7819143721629003E-3</v>
      </c>
      <c r="AJ101" s="11">
        <f t="shared" si="182"/>
        <v>7.1420646868715553E-3</v>
      </c>
      <c r="AK101" s="11">
        <f t="shared" si="182"/>
        <v>8.4604877054356029E-2</v>
      </c>
      <c r="AL101" s="11">
        <f t="shared" si="182"/>
        <v>1.1249644158062387E-2</v>
      </c>
      <c r="AM101" s="11">
        <f t="shared" si="182"/>
        <v>7.5294237014539175E-2</v>
      </c>
      <c r="AN101" s="11">
        <f t="shared" si="182"/>
        <v>2.6533379288906908E-2</v>
      </c>
      <c r="AO101" s="11">
        <f t="shared" si="182"/>
        <v>7.6745706049851842E-2</v>
      </c>
      <c r="AP101" s="11">
        <f t="shared" si="182"/>
        <v>2.6149820403802579E-2</v>
      </c>
      <c r="AQ101" s="11">
        <f t="shared" si="182"/>
        <v>3.7933695988086609E-2</v>
      </c>
      <c r="AR101" s="11">
        <f t="shared" si="182"/>
        <v>0.14310084364067324</v>
      </c>
      <c r="AS101" s="11">
        <f t="shared" si="182"/>
        <v>-8.4148611320016573E-4</v>
      </c>
      <c r="AT101" s="11">
        <f t="shared" ref="AT101:BY101" si="183">LN(AT39/AT38)</f>
        <v>5.7579905095862909E-2</v>
      </c>
      <c r="AU101" s="11">
        <f t="shared" si="183"/>
        <v>1.6575192339476772E-2</v>
      </c>
      <c r="AV101" s="11">
        <f t="shared" si="183"/>
        <v>2.647895814439952E-3</v>
      </c>
      <c r="AW101" s="11">
        <f t="shared" si="183"/>
        <v>2.2232809203642279E-2</v>
      </c>
      <c r="AX101" s="11">
        <f t="shared" si="183"/>
        <v>7.6505487093132499E-2</v>
      </c>
      <c r="AY101" s="11">
        <f t="shared" si="183"/>
        <v>7.1695728626409577E-2</v>
      </c>
      <c r="AZ101" s="11">
        <f t="shared" si="183"/>
        <v>4.0083016194432886E-2</v>
      </c>
      <c r="BA101" s="11">
        <f t="shared" si="183"/>
        <v>0.13514781583269428</v>
      </c>
      <c r="BB101" s="11">
        <f t="shared" si="183"/>
        <v>4.1167525814241039E-2</v>
      </c>
      <c r="BC101" s="11">
        <f t="shared" si="183"/>
        <v>5.8880138519846928E-2</v>
      </c>
      <c r="BD101" s="11">
        <f t="shared" si="183"/>
        <v>4.4918134136821566E-2</v>
      </c>
      <c r="BE101" s="11">
        <f t="shared" si="183"/>
        <v>0.14497962313791513</v>
      </c>
      <c r="BF101" s="11">
        <f t="shared" si="183"/>
        <v>5.370055246225509E-3</v>
      </c>
      <c r="BG101" s="11">
        <f t="shared" si="183"/>
        <v>1.3495813452997779E-2</v>
      </c>
      <c r="BH101" s="11">
        <f t="shared" si="183"/>
        <v>7.6302370306838329E-3</v>
      </c>
      <c r="BI101" s="11">
        <f t="shared" si="183"/>
        <v>-2.503544500769107E-2</v>
      </c>
      <c r="BJ101" s="11">
        <f t="shared" si="183"/>
        <v>-3.1713832021526625E-2</v>
      </c>
      <c r="BK101" s="11">
        <f t="shared" si="183"/>
        <v>-1.135061120739559E-2</v>
      </c>
      <c r="BL101" s="11">
        <f t="shared" si="183"/>
        <v>1.0236179044590274E-2</v>
      </c>
      <c r="BM101" s="11">
        <f t="shared" si="183"/>
        <v>6.1253644290933343E-2</v>
      </c>
      <c r="BN101" s="11">
        <f t="shared" si="183"/>
        <v>4.3057337502626532E-2</v>
      </c>
      <c r="BO101" s="11">
        <f t="shared" si="183"/>
        <v>-6.1853726427568562E-2</v>
      </c>
      <c r="BP101" s="11">
        <f t="shared" si="183"/>
        <v>2.2047245535059535E-2</v>
      </c>
      <c r="BQ101" s="11">
        <f t="shared" si="183"/>
        <v>-5.7503035215446655E-2</v>
      </c>
      <c r="BR101" s="11">
        <f t="shared" si="183"/>
        <v>7.485791427464393E-2</v>
      </c>
      <c r="BS101" s="11">
        <f t="shared" si="183"/>
        <v>-7.3266920530718996E-2</v>
      </c>
      <c r="BT101" s="11">
        <f t="shared" si="183"/>
        <v>4.9799998793982329E-2</v>
      </c>
      <c r="BU101" s="11">
        <f t="shared" si="183"/>
        <v>-1.0277691210866382E-2</v>
      </c>
      <c r="BV101" s="11">
        <f t="shared" si="183"/>
        <v>8.0195390908839356E-2</v>
      </c>
      <c r="BW101" s="11">
        <f t="shared" si="183"/>
        <v>0.11621691652665896</v>
      </c>
      <c r="BX101" s="11">
        <f t="shared" si="183"/>
        <v>-6.1225908700628133E-3</v>
      </c>
      <c r="BY101" s="11">
        <f t="shared" si="183"/>
        <v>-3.3799987652383928E-2</v>
      </c>
      <c r="BZ101" s="11">
        <f t="shared" ref="BZ101:DE101" si="184">LN(BZ39/BZ38)</f>
        <v>-1.3506210717090676E-2</v>
      </c>
      <c r="CA101" s="11">
        <f t="shared" si="184"/>
        <v>-1.9104839496420875E-2</v>
      </c>
      <c r="CB101" s="11">
        <f t="shared" si="184"/>
        <v>-9.8162783079455661E-3</v>
      </c>
      <c r="CC101" s="11">
        <f t="shared" si="184"/>
        <v>1.8130117471130483E-2</v>
      </c>
      <c r="CD101" s="11">
        <f t="shared" si="184"/>
        <v>-2.8264970686858763E-3</v>
      </c>
      <c r="CE101" s="11">
        <f t="shared" si="184"/>
        <v>-2.6277973106220757E-3</v>
      </c>
      <c r="CF101" s="11">
        <f t="shared" si="184"/>
        <v>-1.7736986504583836E-2</v>
      </c>
      <c r="CG101" s="11">
        <f t="shared" si="184"/>
        <v>4.8209605489750923E-2</v>
      </c>
      <c r="CH101" s="11">
        <f t="shared" si="184"/>
        <v>1.7141601535015181E-3</v>
      </c>
      <c r="CI101" s="11">
        <f t="shared" si="184"/>
        <v>3.71784701129401E-2</v>
      </c>
      <c r="CJ101" s="11">
        <f t="shared" si="184"/>
        <v>-5.1196649492373956E-3</v>
      </c>
      <c r="CK101" s="11">
        <f t="shared" si="184"/>
        <v>-5.8268724302966278E-2</v>
      </c>
      <c r="CL101" s="11">
        <f t="shared" si="184"/>
        <v>1.3450238038197219E-2</v>
      </c>
      <c r="CM101" s="11">
        <f t="shared" si="184"/>
        <v>9.0430517259465173E-2</v>
      </c>
      <c r="CN101" s="11">
        <f t="shared" si="184"/>
        <v>2.4719573368790902E-2</v>
      </c>
      <c r="CO101" s="11">
        <f t="shared" si="184"/>
        <v>5.5311548544784969E-2</v>
      </c>
      <c r="CP101" s="11">
        <f t="shared" si="184"/>
        <v>4.2802952994813069E-3</v>
      </c>
      <c r="CQ101" s="11">
        <f t="shared" si="184"/>
        <v>1.0704850917783126E-2</v>
      </c>
      <c r="CR101" s="11">
        <f t="shared" si="184"/>
        <v>1.3110310579888347E-2</v>
      </c>
      <c r="CS101" s="11">
        <f t="shared" si="184"/>
        <v>1.3092483419391857E-2</v>
      </c>
      <c r="CT101" s="11">
        <f t="shared" si="184"/>
        <v>2.5176246933604905E-3</v>
      </c>
      <c r="CU101" s="11">
        <f t="shared" si="184"/>
        <v>3.6861593304158204E-2</v>
      </c>
      <c r="CV101" s="11">
        <f t="shared" si="184"/>
        <v>3.8829994793470109E-2</v>
      </c>
      <c r="CW101" s="11">
        <f t="shared" si="184"/>
        <v>4.7272598194912745E-2</v>
      </c>
      <c r="CX101" s="11">
        <f t="shared" si="184"/>
        <v>-7.4488240129906248E-3</v>
      </c>
      <c r="CY101" s="11">
        <f t="shared" si="184"/>
        <v>0.16516107998264676</v>
      </c>
      <c r="CZ101" s="11">
        <f t="shared" si="184"/>
        <v>9.5987504630817497E-2</v>
      </c>
      <c r="DA101" s="11">
        <f t="shared" si="184"/>
        <v>6.0090316016220878E-3</v>
      </c>
      <c r="DB101" s="11">
        <f t="shared" si="184"/>
        <v>0.29607781441300268</v>
      </c>
      <c r="DC101" s="11">
        <f t="shared" si="184"/>
        <v>-3.8145814251292587E-3</v>
      </c>
      <c r="DD101" s="11">
        <f t="shared" si="184"/>
        <v>-6.6797188916542849E-2</v>
      </c>
      <c r="DE101" s="11">
        <f t="shared" si="184"/>
        <v>5.09117315219332E-2</v>
      </c>
      <c r="DF101" s="11">
        <f t="shared" ref="DF101:DU101" si="185">LN(DF39/DF38)</f>
        <v>0.10891314953941332</v>
      </c>
      <c r="DG101" s="11">
        <f t="shared" si="185"/>
        <v>2.591428876547015E-2</v>
      </c>
      <c r="DH101" s="11">
        <f t="shared" si="185"/>
        <v>2.6162730893098528E-2</v>
      </c>
      <c r="DI101" s="11">
        <f t="shared" si="185"/>
        <v>8.2535608727760772E-3</v>
      </c>
      <c r="DJ101" s="11">
        <f t="shared" si="185"/>
        <v>8.4875616902641126E-3</v>
      </c>
      <c r="DK101" s="11">
        <f t="shared" si="185"/>
        <v>8.9916087995447258E-2</v>
      </c>
      <c r="DL101" s="11">
        <f t="shared" si="185"/>
        <v>3.843251741181624E-2</v>
      </c>
      <c r="DM101" s="11">
        <f t="shared" si="185"/>
        <v>2.6848716982701804E-2</v>
      </c>
      <c r="DN101" s="11">
        <f t="shared" si="185"/>
        <v>-5.7274831907328828E-2</v>
      </c>
      <c r="DO101" s="11">
        <f t="shared" si="185"/>
        <v>-4.8827321628506136E-2</v>
      </c>
      <c r="DP101" s="11">
        <f t="shared" si="185"/>
        <v>7.6394549085305241E-2</v>
      </c>
      <c r="DQ101" s="11">
        <f t="shared" si="185"/>
        <v>-0.10334158901188563</v>
      </c>
      <c r="DR101" s="11">
        <f t="shared" si="185"/>
        <v>0.10198987420251678</v>
      </c>
      <c r="DS101" s="11">
        <f t="shared" si="185"/>
        <v>4.6562448477919655E-2</v>
      </c>
      <c r="DT101" s="11">
        <f t="shared" si="185"/>
        <v>-4.6157863616076648E-2</v>
      </c>
      <c r="DU101" s="11">
        <f t="shared" si="185"/>
        <v>-3.0997200205935193E-3</v>
      </c>
      <c r="DV101" s="11">
        <f t="shared" si="13"/>
        <v>3.9425674935696688E-2</v>
      </c>
      <c r="DW101" s="11">
        <f t="shared" si="115"/>
        <v>4.6592181431511857E-2</v>
      </c>
      <c r="DX101" s="11">
        <f t="shared" si="115"/>
        <v>4.9646432276245933E-2</v>
      </c>
      <c r="DY101" s="11">
        <f t="shared" si="115"/>
        <v>2.2980996022749736E-2</v>
      </c>
      <c r="DZ101" s="11">
        <f t="shared" si="115"/>
        <v>6.9548587018586114E-2</v>
      </c>
    </row>
    <row r="102" spans="1:130" ht="15">
      <c r="A102" s="8">
        <v>43800</v>
      </c>
      <c r="B102" s="11">
        <f t="shared" si="6"/>
        <v>6.6069682194670645E-2</v>
      </c>
      <c r="C102" s="11">
        <f t="shared" si="6"/>
        <v>2.6606735842818367E-2</v>
      </c>
      <c r="D102" s="11">
        <f t="shared" si="7"/>
        <v>0.11904802242424554</v>
      </c>
      <c r="E102" s="11">
        <f t="shared" si="7"/>
        <v>9.1904968004807002E-3</v>
      </c>
      <c r="F102" s="11">
        <f t="shared" si="7"/>
        <v>4.2335164227665985E-2</v>
      </c>
      <c r="G102" s="11">
        <f t="shared" si="7"/>
        <v>3.3316712900715903E-2</v>
      </c>
      <c r="H102" s="11">
        <f t="shared" ref="H102:M102" si="186">LN(H40/H39)</f>
        <v>0.11984934739248425</v>
      </c>
      <c r="I102" s="11">
        <f t="shared" si="186"/>
        <v>3.4191101226590921E-2</v>
      </c>
      <c r="J102" s="11">
        <f t="shared" si="186"/>
        <v>3.365834963906867E-2</v>
      </c>
      <c r="K102" s="11">
        <f t="shared" si="186"/>
        <v>3.7257337200348337E-2</v>
      </c>
      <c r="L102" s="11">
        <f t="shared" si="186"/>
        <v>-3.8430914704311925E-2</v>
      </c>
      <c r="M102" s="11">
        <f t="shared" si="186"/>
        <v>5.4686079082548855E-2</v>
      </c>
      <c r="N102" s="11">
        <f t="shared" ref="N102:AS102" si="187">LN(N40/N39)</f>
        <v>5.6789193138840538E-2</v>
      </c>
      <c r="O102" s="11">
        <f t="shared" si="187"/>
        <v>9.7744817209296703E-2</v>
      </c>
      <c r="P102" s="11">
        <f t="shared" si="187"/>
        <v>4.9186444111839575E-2</v>
      </c>
      <c r="Q102" s="11">
        <f t="shared" si="187"/>
        <v>-1.3105320279580031E-2</v>
      </c>
      <c r="R102" s="11">
        <f t="shared" si="187"/>
        <v>4.5276740030821716E-2</v>
      </c>
      <c r="S102" s="11">
        <f t="shared" si="187"/>
        <v>1.7408563428263909E-2</v>
      </c>
      <c r="T102" s="11">
        <f t="shared" si="187"/>
        <v>1.6366172442567231E-2</v>
      </c>
      <c r="U102" s="11">
        <f t="shared" si="187"/>
        <v>1.8324956006994641E-2</v>
      </c>
      <c r="V102" s="11">
        <f t="shared" si="187"/>
        <v>2.4494804412465009E-2</v>
      </c>
      <c r="W102" s="11">
        <f t="shared" si="187"/>
        <v>7.9643142750020185E-2</v>
      </c>
      <c r="X102" s="11">
        <f t="shared" si="187"/>
        <v>9.3634809083429416E-2</v>
      </c>
      <c r="Y102" s="11">
        <f t="shared" si="187"/>
        <v>6.7927242899923732E-2</v>
      </c>
      <c r="Z102" s="11">
        <f t="shared" si="187"/>
        <v>5.0795857069483245E-2</v>
      </c>
      <c r="AA102" s="11">
        <f t="shared" si="187"/>
        <v>-2.9559584041996354E-3</v>
      </c>
      <c r="AB102" s="11">
        <f t="shared" si="187"/>
        <v>3.7971311583245758E-2</v>
      </c>
      <c r="AC102" s="11">
        <f t="shared" si="187"/>
        <v>1.992941310342429E-2</v>
      </c>
      <c r="AD102" s="11">
        <f t="shared" si="187"/>
        <v>4.4298287865839218E-2</v>
      </c>
      <c r="AE102" s="11">
        <f t="shared" si="187"/>
        <v>6.3461713112419271E-2</v>
      </c>
      <c r="AF102" s="11">
        <f t="shared" si="187"/>
        <v>-5.793424668637074E-2</v>
      </c>
      <c r="AG102" s="11">
        <f t="shared" si="187"/>
        <v>-1.3131790189295511E-2</v>
      </c>
      <c r="AH102" s="11">
        <f t="shared" si="187"/>
        <v>1.5575903701060476E-2</v>
      </c>
      <c r="AI102" s="11">
        <f t="shared" si="187"/>
        <v>1.0119537611253792E-2</v>
      </c>
      <c r="AJ102" s="11">
        <f t="shared" si="187"/>
        <v>-8.5303110921501231E-3</v>
      </c>
      <c r="AK102" s="11">
        <f t="shared" si="187"/>
        <v>2.9694907000177625E-2</v>
      </c>
      <c r="AL102" s="11">
        <f t="shared" si="187"/>
        <v>-4.2479052634577408E-2</v>
      </c>
      <c r="AM102" s="11">
        <f t="shared" si="187"/>
        <v>8.2900288723564156E-2</v>
      </c>
      <c r="AN102" s="11">
        <f t="shared" si="187"/>
        <v>3.6025310267729108E-2</v>
      </c>
      <c r="AO102" s="11">
        <f t="shared" si="187"/>
        <v>-6.0101826196974357E-4</v>
      </c>
      <c r="AP102" s="11">
        <f t="shared" si="187"/>
        <v>6.5053338588788007E-2</v>
      </c>
      <c r="AQ102" s="11">
        <f t="shared" si="187"/>
        <v>5.4501863009795981E-2</v>
      </c>
      <c r="AR102" s="11">
        <f t="shared" si="187"/>
        <v>0.15819285499294639</v>
      </c>
      <c r="AS102" s="11">
        <f t="shared" si="187"/>
        <v>0.12396148028192586</v>
      </c>
      <c r="AT102" s="11">
        <f t="shared" ref="AT102:BY102" si="188">LN(AT40/AT39)</f>
        <v>5.0832655642198452E-2</v>
      </c>
      <c r="AU102" s="11">
        <f t="shared" si="188"/>
        <v>9.6269586472005467E-2</v>
      </c>
      <c r="AV102" s="11">
        <f t="shared" si="188"/>
        <v>0.10623663740361064</v>
      </c>
      <c r="AW102" s="11">
        <f t="shared" si="188"/>
        <v>5.6246268537753739E-2</v>
      </c>
      <c r="AX102" s="11">
        <f t="shared" si="188"/>
        <v>0.2067745521930674</v>
      </c>
      <c r="AY102" s="11">
        <f t="shared" si="188"/>
        <v>9.7201977396162847E-2</v>
      </c>
      <c r="AZ102" s="11">
        <f t="shared" si="188"/>
        <v>-1.5359570494224808E-3</v>
      </c>
      <c r="BA102" s="11">
        <f t="shared" si="188"/>
        <v>-2.547051044460567E-3</v>
      </c>
      <c r="BB102" s="11">
        <f t="shared" si="188"/>
        <v>-1.3317332503995374E-3</v>
      </c>
      <c r="BC102" s="11">
        <f t="shared" si="188"/>
        <v>-4.1978881338661303E-2</v>
      </c>
      <c r="BD102" s="11">
        <f t="shared" si="188"/>
        <v>5.7797833688514592E-2</v>
      </c>
      <c r="BE102" s="11">
        <f t="shared" si="188"/>
        <v>2.3136603987352348E-2</v>
      </c>
      <c r="BF102" s="11">
        <f t="shared" si="188"/>
        <v>8.6868651907726566E-3</v>
      </c>
      <c r="BG102" s="11">
        <f t="shared" si="188"/>
        <v>2.5786378774254749E-2</v>
      </c>
      <c r="BH102" s="11">
        <f t="shared" si="188"/>
        <v>2.0386989381095351E-2</v>
      </c>
      <c r="BI102" s="11">
        <f t="shared" si="188"/>
        <v>2.0755677240830592E-2</v>
      </c>
      <c r="BJ102" s="11">
        <f t="shared" si="188"/>
        <v>1.6529390467181028E-2</v>
      </c>
      <c r="BK102" s="11">
        <f t="shared" si="188"/>
        <v>2.2354891125005837E-2</v>
      </c>
      <c r="BL102" s="11">
        <f t="shared" si="188"/>
        <v>3.3716331334258831E-2</v>
      </c>
      <c r="BM102" s="11">
        <f t="shared" si="188"/>
        <v>-8.2966961288187258E-2</v>
      </c>
      <c r="BN102" s="11">
        <f t="shared" si="188"/>
        <v>8.2936566794706457E-2</v>
      </c>
      <c r="BO102" s="11">
        <f t="shared" si="188"/>
        <v>-9.7066409096258841E-3</v>
      </c>
      <c r="BP102" s="11">
        <f t="shared" si="188"/>
        <v>8.0357981561155227E-4</v>
      </c>
      <c r="BQ102" s="11">
        <f t="shared" si="188"/>
        <v>-1.9009394670587522E-2</v>
      </c>
      <c r="BR102" s="11">
        <f t="shared" si="188"/>
        <v>6.6430171964809381E-2</v>
      </c>
      <c r="BS102" s="11">
        <f t="shared" si="188"/>
        <v>7.5684959490730591E-2</v>
      </c>
      <c r="BT102" s="11">
        <f t="shared" si="188"/>
        <v>0.13156372566261199</v>
      </c>
      <c r="BU102" s="11">
        <f t="shared" si="188"/>
        <v>4.8871858132486061E-3</v>
      </c>
      <c r="BV102" s="11">
        <f t="shared" si="188"/>
        <v>-1.7682895467946705E-3</v>
      </c>
      <c r="BW102" s="11">
        <f t="shared" si="188"/>
        <v>-3.5704121902690414E-2</v>
      </c>
      <c r="BX102" s="11">
        <f t="shared" si="188"/>
        <v>-7.0229897014651354E-3</v>
      </c>
      <c r="BY102" s="11">
        <f t="shared" si="188"/>
        <v>1.9418198197291389E-2</v>
      </c>
      <c r="BZ102" s="11">
        <f t="shared" ref="BZ102:DE102" si="189">LN(BZ40/BZ39)</f>
        <v>2.3001473153915906E-2</v>
      </c>
      <c r="CA102" s="11">
        <f t="shared" si="189"/>
        <v>4.3307873425181991E-2</v>
      </c>
      <c r="CB102" s="11">
        <f t="shared" si="189"/>
        <v>6.1647711104454014E-3</v>
      </c>
      <c r="CC102" s="11">
        <f t="shared" si="189"/>
        <v>2.5712684372738305E-2</v>
      </c>
      <c r="CD102" s="11">
        <f t="shared" si="189"/>
        <v>-3.9778928767568923E-2</v>
      </c>
      <c r="CE102" s="11">
        <f t="shared" si="189"/>
        <v>3.0014921209956566E-2</v>
      </c>
      <c r="CF102" s="11">
        <f t="shared" si="189"/>
        <v>4.4531462944179194E-2</v>
      </c>
      <c r="CG102" s="11">
        <f t="shared" si="189"/>
        <v>5.7546320548450124E-2</v>
      </c>
      <c r="CH102" s="11">
        <f t="shared" si="189"/>
        <v>4.7212168519367749E-2</v>
      </c>
      <c r="CI102" s="11">
        <f t="shared" si="189"/>
        <v>2.2248081684400827E-2</v>
      </c>
      <c r="CJ102" s="11">
        <f t="shared" si="189"/>
        <v>1.4927734053769907E-2</v>
      </c>
      <c r="CK102" s="11">
        <f t="shared" si="189"/>
        <v>6.4148316022981294E-2</v>
      </c>
      <c r="CL102" s="11">
        <f t="shared" si="189"/>
        <v>6.0106132203765025E-2</v>
      </c>
      <c r="CM102" s="11">
        <f t="shared" si="189"/>
        <v>1.2940764567035698E-2</v>
      </c>
      <c r="CN102" s="11">
        <f t="shared" si="189"/>
        <v>6.8916561881072702E-2</v>
      </c>
      <c r="CO102" s="11">
        <f t="shared" si="189"/>
        <v>2.8321902814468832E-3</v>
      </c>
      <c r="CP102" s="11">
        <f t="shared" si="189"/>
        <v>4.9052819595484859E-3</v>
      </c>
      <c r="CQ102" s="11">
        <f t="shared" si="189"/>
        <v>3.5196373894072326E-2</v>
      </c>
      <c r="CR102" s="11">
        <f t="shared" si="189"/>
        <v>5.9398560556557643E-2</v>
      </c>
      <c r="CS102" s="11">
        <f t="shared" si="189"/>
        <v>1.2000990483820653E-2</v>
      </c>
      <c r="CT102" s="11">
        <f t="shared" si="189"/>
        <v>5.1934275739344185E-2</v>
      </c>
      <c r="CU102" s="11">
        <f t="shared" si="189"/>
        <v>3.7998965902958926E-2</v>
      </c>
      <c r="CV102" s="11">
        <f t="shared" si="189"/>
        <v>-1.4785225746712427E-2</v>
      </c>
      <c r="CW102" s="11">
        <f t="shared" si="189"/>
        <v>-5.6815951632266569E-2</v>
      </c>
      <c r="CX102" s="11">
        <f t="shared" si="189"/>
        <v>4.029849303127752E-2</v>
      </c>
      <c r="CY102" s="11">
        <f t="shared" si="189"/>
        <v>-9.1014931875953151E-2</v>
      </c>
      <c r="CZ102" s="11">
        <f t="shared" si="189"/>
        <v>-2.5715969753401895E-3</v>
      </c>
      <c r="DA102" s="11">
        <f t="shared" si="189"/>
        <v>3.2902550593596383E-2</v>
      </c>
      <c r="DB102" s="11">
        <f t="shared" si="189"/>
        <v>7.001016557264908E-2</v>
      </c>
      <c r="DC102" s="11">
        <f t="shared" si="189"/>
        <v>-3.9303157844898767E-2</v>
      </c>
      <c r="DD102" s="11">
        <f t="shared" si="189"/>
        <v>-1.8878957784112589E-2</v>
      </c>
      <c r="DE102" s="11">
        <f t="shared" si="189"/>
        <v>-9.4920391305469941E-3</v>
      </c>
      <c r="DF102" s="11">
        <f t="shared" ref="DF102:DU102" si="190">LN(DF40/DF39)</f>
        <v>4.2985607416245299E-3</v>
      </c>
      <c r="DG102" s="11">
        <f t="shared" si="190"/>
        <v>-2.591428876547024E-2</v>
      </c>
      <c r="DH102" s="11">
        <f t="shared" si="190"/>
        <v>1.3609212922564671E-2</v>
      </c>
      <c r="DI102" s="11">
        <f t="shared" si="190"/>
        <v>3.5917567506558064E-2</v>
      </c>
      <c r="DJ102" s="11">
        <f t="shared" si="190"/>
        <v>3.8253805191271952E-2</v>
      </c>
      <c r="DK102" s="11">
        <f t="shared" si="190"/>
        <v>8.1504709728131064E-2</v>
      </c>
      <c r="DL102" s="11">
        <f t="shared" si="190"/>
        <v>0.1689481485644784</v>
      </c>
      <c r="DM102" s="11">
        <f t="shared" si="190"/>
        <v>0.16668524984259578</v>
      </c>
      <c r="DN102" s="11">
        <f t="shared" si="190"/>
        <v>7.3267894888088506E-2</v>
      </c>
      <c r="DO102" s="11">
        <f t="shared" si="190"/>
        <v>6.6206440201692252E-2</v>
      </c>
      <c r="DP102" s="11">
        <f t="shared" si="190"/>
        <v>0.17091212528146077</v>
      </c>
      <c r="DQ102" s="11">
        <f t="shared" si="190"/>
        <v>0.18532595375949457</v>
      </c>
      <c r="DR102" s="11">
        <f t="shared" si="190"/>
        <v>0.10480786218461802</v>
      </c>
      <c r="DS102" s="11">
        <f t="shared" si="190"/>
        <v>0.14204470748557249</v>
      </c>
      <c r="DT102" s="11">
        <f t="shared" si="190"/>
        <v>0.13570405692428406</v>
      </c>
      <c r="DU102" s="11">
        <f t="shared" si="190"/>
        <v>0.10513859222567989</v>
      </c>
      <c r="DV102" s="11">
        <f t="shared" si="13"/>
        <v>0.13851209791340818</v>
      </c>
      <c r="DW102" s="11">
        <f t="shared" si="115"/>
        <v>0.2373597749907605</v>
      </c>
      <c r="DX102" s="11">
        <f t="shared" si="115"/>
        <v>-1.6356812558632385E-2</v>
      </c>
      <c r="DY102" s="11">
        <f t="shared" si="115"/>
        <v>3.4689790162671093E-3</v>
      </c>
      <c r="DZ102" s="11">
        <f t="shared" si="115"/>
        <v>2.6145209131838747E-2</v>
      </c>
    </row>
    <row r="103" spans="1:130" ht="15">
      <c r="A103" s="8">
        <v>43831</v>
      </c>
      <c r="B103" s="11">
        <f t="shared" si="6"/>
        <v>2.0357157476123534E-2</v>
      </c>
      <c r="C103" s="11">
        <f t="shared" si="6"/>
        <v>-5.0782922156468055E-2</v>
      </c>
      <c r="D103" s="11">
        <f t="shared" si="7"/>
        <v>6.0593392861906417E-2</v>
      </c>
      <c r="E103" s="11">
        <f t="shared" si="7"/>
        <v>-8.875836335936306E-2</v>
      </c>
      <c r="F103" s="11">
        <f t="shared" si="7"/>
        <v>-5.5661972086559652E-2</v>
      </c>
      <c r="G103" s="11">
        <f t="shared" si="7"/>
        <v>-0.10957749733182652</v>
      </c>
      <c r="H103" s="11">
        <f t="shared" ref="H103:M103" si="191">LN(H41/H40)</f>
        <v>-1.9506572293737905E-2</v>
      </c>
      <c r="I103" s="11">
        <f t="shared" si="191"/>
        <v>-3.6021842162883656E-2</v>
      </c>
      <c r="J103" s="11">
        <f t="shared" si="191"/>
        <v>-0.13422925641433081</v>
      </c>
      <c r="K103" s="11">
        <f t="shared" si="191"/>
        <v>3.7137352956827865E-2</v>
      </c>
      <c r="L103" s="11">
        <f t="shared" si="191"/>
        <v>9.5875240771155223E-2</v>
      </c>
      <c r="M103" s="11">
        <f t="shared" si="191"/>
        <v>-3.0656991408411917E-2</v>
      </c>
      <c r="N103" s="11">
        <f t="shared" ref="N103:AS103" si="192">LN(N41/N40)</f>
        <v>4.7779016512613038E-3</v>
      </c>
      <c r="O103" s="11">
        <f t="shared" si="192"/>
        <v>-4.6575242961388014E-2</v>
      </c>
      <c r="P103" s="11">
        <f t="shared" si="192"/>
        <v>-7.2219524556290882E-2</v>
      </c>
      <c r="Q103" s="11">
        <f t="shared" si="192"/>
        <v>-9.111896951796411E-2</v>
      </c>
      <c r="R103" s="11">
        <f t="shared" si="192"/>
        <v>-0.12694085158188562</v>
      </c>
      <c r="S103" s="11">
        <f t="shared" si="192"/>
        <v>-0.10533684253628742</v>
      </c>
      <c r="T103" s="11">
        <f t="shared" si="192"/>
        <v>3.2184374846041855E-3</v>
      </c>
      <c r="U103" s="11">
        <f t="shared" si="192"/>
        <v>2.2146163902109307E-2</v>
      </c>
      <c r="V103" s="11">
        <f t="shared" si="192"/>
        <v>6.3481948170108068E-3</v>
      </c>
      <c r="W103" s="11">
        <f t="shared" si="192"/>
        <v>8.1817331031905013E-2</v>
      </c>
      <c r="X103" s="11">
        <f t="shared" si="192"/>
        <v>1.3955301051564983E-2</v>
      </c>
      <c r="Y103" s="11">
        <f t="shared" si="192"/>
        <v>6.3605163695456213E-2</v>
      </c>
      <c r="Z103" s="11">
        <f t="shared" si="192"/>
        <v>1.4768648842514859E-2</v>
      </c>
      <c r="AA103" s="11">
        <f t="shared" si="192"/>
        <v>-5.4525942911368704E-2</v>
      </c>
      <c r="AB103" s="11">
        <f t="shared" si="192"/>
        <v>2.5483620403323057E-2</v>
      </c>
      <c r="AC103" s="11">
        <f t="shared" si="192"/>
        <v>6.7495014139034762E-2</v>
      </c>
      <c r="AD103" s="11">
        <f t="shared" si="192"/>
        <v>7.6455453133070783E-2</v>
      </c>
      <c r="AE103" s="11">
        <f t="shared" si="192"/>
        <v>6.2668273268335184E-2</v>
      </c>
      <c r="AF103" s="11">
        <f t="shared" si="192"/>
        <v>-1.0054003078121617E-2</v>
      </c>
      <c r="AG103" s="11">
        <f t="shared" si="192"/>
        <v>5.7984222191638457E-2</v>
      </c>
      <c r="AH103" s="11">
        <f t="shared" si="192"/>
        <v>7.7474349000315509E-2</v>
      </c>
      <c r="AI103" s="11">
        <f t="shared" si="192"/>
        <v>7.7180148447693137E-2</v>
      </c>
      <c r="AJ103" s="11">
        <f t="shared" si="192"/>
        <v>7.7599702455176459E-2</v>
      </c>
      <c r="AK103" s="11">
        <f t="shared" si="192"/>
        <v>0.1076305922150872</v>
      </c>
      <c r="AL103" s="11">
        <f t="shared" si="192"/>
        <v>-0.13413512452450868</v>
      </c>
      <c r="AM103" s="11">
        <f t="shared" si="192"/>
        <v>4.7910038689707715E-3</v>
      </c>
      <c r="AN103" s="11">
        <f t="shared" si="192"/>
        <v>6.5947321604850548E-2</v>
      </c>
      <c r="AO103" s="11">
        <f t="shared" si="192"/>
        <v>-2.4890714940830554E-2</v>
      </c>
      <c r="AP103" s="11">
        <f t="shared" si="192"/>
        <v>-6.139951044296444E-2</v>
      </c>
      <c r="AQ103" s="11">
        <f t="shared" si="192"/>
        <v>-2.5931592984169308E-2</v>
      </c>
      <c r="AR103" s="11">
        <f t="shared" si="192"/>
        <v>2.4554324280300174E-2</v>
      </c>
      <c r="AS103" s="11">
        <f t="shared" si="192"/>
        <v>-1.2913123693903237E-2</v>
      </c>
      <c r="AT103" s="11">
        <f t="shared" ref="AT103:BY103" si="193">LN(AT41/AT40)</f>
        <v>-7.4840795238197408E-2</v>
      </c>
      <c r="AU103" s="11">
        <f t="shared" si="193"/>
        <v>-1.192009350631496E-4</v>
      </c>
      <c r="AV103" s="11">
        <f t="shared" si="193"/>
        <v>-7.1643064569137688E-2</v>
      </c>
      <c r="AW103" s="11">
        <f t="shared" si="193"/>
        <v>-0.14610278638869084</v>
      </c>
      <c r="AX103" s="11">
        <f t="shared" si="193"/>
        <v>-6.1597759320856406E-2</v>
      </c>
      <c r="AY103" s="11">
        <f t="shared" si="193"/>
        <v>5.2601719348058427E-2</v>
      </c>
      <c r="AZ103" s="11">
        <f t="shared" si="193"/>
        <v>0.11416936549528239</v>
      </c>
      <c r="BA103" s="11">
        <f t="shared" si="193"/>
        <v>0.18068495807175586</v>
      </c>
      <c r="BB103" s="11">
        <f t="shared" si="193"/>
        <v>-4.2585585900202001E-4</v>
      </c>
      <c r="BC103" s="11">
        <f t="shared" si="193"/>
        <v>-9.8638327167517054E-2</v>
      </c>
      <c r="BD103" s="11">
        <f t="shared" si="193"/>
        <v>-1.9297482883662332E-2</v>
      </c>
      <c r="BE103" s="11">
        <f t="shared" si="193"/>
        <v>4.5419802239269412E-2</v>
      </c>
      <c r="BF103" s="11">
        <f t="shared" si="193"/>
        <v>6.9798550853892818E-2</v>
      </c>
      <c r="BG103" s="11">
        <f t="shared" si="193"/>
        <v>8.3480313912563137E-2</v>
      </c>
      <c r="BH103" s="11">
        <f t="shared" si="193"/>
        <v>-7.323528293098884E-2</v>
      </c>
      <c r="BI103" s="11">
        <f t="shared" si="193"/>
        <v>9.6950532847966342E-2</v>
      </c>
      <c r="BJ103" s="11">
        <f t="shared" si="193"/>
        <v>-8.1120714175072939E-2</v>
      </c>
      <c r="BK103" s="11">
        <f t="shared" si="193"/>
        <v>7.9540406294130048E-2</v>
      </c>
      <c r="BL103" s="11">
        <f t="shared" si="193"/>
        <v>-3.577821770898456E-2</v>
      </c>
      <c r="BM103" s="11">
        <f t="shared" si="193"/>
        <v>6.5850193337089219E-2</v>
      </c>
      <c r="BN103" s="11">
        <f t="shared" si="193"/>
        <v>-5.0716697207502819E-2</v>
      </c>
      <c r="BO103" s="11">
        <f t="shared" si="193"/>
        <v>4.9923318543069049E-2</v>
      </c>
      <c r="BP103" s="11">
        <f t="shared" si="193"/>
        <v>-0.14957638109294061</v>
      </c>
      <c r="BQ103" s="11">
        <f t="shared" si="193"/>
        <v>0.10986566690403991</v>
      </c>
      <c r="BR103" s="11">
        <f t="shared" si="193"/>
        <v>-2.3332912135370091E-2</v>
      </c>
      <c r="BS103" s="11">
        <f t="shared" si="193"/>
        <v>-0.11504118389191535</v>
      </c>
      <c r="BT103" s="11">
        <f t="shared" si="193"/>
        <v>-0.15503652481300939</v>
      </c>
      <c r="BU103" s="11">
        <f t="shared" si="193"/>
        <v>4.8823307063853315E-2</v>
      </c>
      <c r="BV103" s="11">
        <f t="shared" si="193"/>
        <v>-3.9594755199626776E-2</v>
      </c>
      <c r="BW103" s="11">
        <f t="shared" si="193"/>
        <v>0.24541058234916424</v>
      </c>
      <c r="BX103" s="11">
        <f t="shared" si="193"/>
        <v>-5.2578039483235405E-3</v>
      </c>
      <c r="BY103" s="11">
        <f t="shared" si="193"/>
        <v>-0.19488722846593942</v>
      </c>
      <c r="BZ103" s="11">
        <f t="shared" ref="BZ103:DE103" si="194">LN(BZ41/BZ40)</f>
        <v>-2.2443148447373268E-3</v>
      </c>
      <c r="CA103" s="11">
        <f t="shared" si="194"/>
        <v>5.3639243943188468E-2</v>
      </c>
      <c r="CB103" s="11">
        <f t="shared" si="194"/>
        <v>4.5378441930060125E-2</v>
      </c>
      <c r="CC103" s="11">
        <f t="shared" si="194"/>
        <v>-1.4783881464989186E-2</v>
      </c>
      <c r="CD103" s="11">
        <f t="shared" si="194"/>
        <v>4.4474619629322233E-2</v>
      </c>
      <c r="CE103" s="11">
        <f t="shared" si="194"/>
        <v>-6.4182222699678215E-2</v>
      </c>
      <c r="CF103" s="11">
        <f t="shared" si="194"/>
        <v>-8.5726736169550094E-2</v>
      </c>
      <c r="CG103" s="11">
        <f t="shared" si="194"/>
        <v>-5.6674195722779125E-2</v>
      </c>
      <c r="CH103" s="11">
        <f t="shared" si="194"/>
        <v>4.6078120441289665E-2</v>
      </c>
      <c r="CI103" s="11">
        <f t="shared" si="194"/>
        <v>4.7961027772148376E-3</v>
      </c>
      <c r="CJ103" s="11">
        <f t="shared" si="194"/>
        <v>6.9302945186815901E-2</v>
      </c>
      <c r="CK103" s="11">
        <f t="shared" si="194"/>
        <v>-9.5621433489013474E-2</v>
      </c>
      <c r="CL103" s="11">
        <f t="shared" si="194"/>
        <v>-4.055899977434986E-2</v>
      </c>
      <c r="CM103" s="11">
        <f t="shared" si="194"/>
        <v>4.6560315089496492E-2</v>
      </c>
      <c r="CN103" s="11">
        <f t="shared" si="194"/>
        <v>-1.3831579992629701E-2</v>
      </c>
      <c r="CO103" s="11">
        <f t="shared" si="194"/>
        <v>-3.4577161082878533E-2</v>
      </c>
      <c r="CP103" s="11">
        <f t="shared" si="194"/>
        <v>5.3550800040423403E-2</v>
      </c>
      <c r="CQ103" s="11">
        <f t="shared" si="194"/>
        <v>2.4257414601149777E-2</v>
      </c>
      <c r="CR103" s="11">
        <f t="shared" si="194"/>
        <v>-2.1062087921829582E-2</v>
      </c>
      <c r="CS103" s="11">
        <f t="shared" si="194"/>
        <v>1.6000798483600618E-2</v>
      </c>
      <c r="CT103" s="11">
        <f t="shared" si="194"/>
        <v>-4.1926686587752629E-2</v>
      </c>
      <c r="CU103" s="11">
        <f t="shared" si="194"/>
        <v>-0.22796874353517035</v>
      </c>
      <c r="CV103" s="11">
        <f t="shared" si="194"/>
        <v>-0.12292205562578877</v>
      </c>
      <c r="CW103" s="11">
        <f t="shared" si="194"/>
        <v>-4.0190591228858631E-2</v>
      </c>
      <c r="CX103" s="11">
        <f t="shared" si="194"/>
        <v>-0.14254858627471143</v>
      </c>
      <c r="CY103" s="11">
        <f t="shared" si="194"/>
        <v>5.3152606977733913E-2</v>
      </c>
      <c r="CZ103" s="11">
        <f t="shared" si="194"/>
        <v>4.7764134146112358E-2</v>
      </c>
      <c r="DA103" s="11">
        <f t="shared" si="194"/>
        <v>-6.5892093808703256E-2</v>
      </c>
      <c r="DB103" s="11">
        <f t="shared" si="194"/>
        <v>-0.33433928167107141</v>
      </c>
      <c r="DC103" s="11">
        <f t="shared" si="194"/>
        <v>-0.21278082501240084</v>
      </c>
      <c r="DD103" s="11">
        <f t="shared" si="194"/>
        <v>-1.022161580090866E-2</v>
      </c>
      <c r="DE103" s="11">
        <f t="shared" si="194"/>
        <v>3.4334618753347763E-2</v>
      </c>
      <c r="DF103" s="11">
        <f t="shared" ref="DF103:DU103" si="195">LN(DF41/DF40)</f>
        <v>3.0340268846181663E-2</v>
      </c>
      <c r="DG103" s="11">
        <f t="shared" si="195"/>
        <v>3.2866808080352139E-2</v>
      </c>
      <c r="DH103" s="11">
        <f t="shared" si="195"/>
        <v>-7.8657306118499817E-2</v>
      </c>
      <c r="DI103" s="11">
        <f t="shared" si="195"/>
        <v>-0.11627954576428834</v>
      </c>
      <c r="DJ103" s="11">
        <f t="shared" si="195"/>
        <v>-0.11759634040498455</v>
      </c>
      <c r="DK103" s="11">
        <f t="shared" si="195"/>
        <v>-9.0049484347446057E-2</v>
      </c>
      <c r="DL103" s="11">
        <f t="shared" si="195"/>
        <v>-0.11154939311808128</v>
      </c>
      <c r="DM103" s="11">
        <f t="shared" si="195"/>
        <v>-0.13872977082827517</v>
      </c>
      <c r="DN103" s="11">
        <f t="shared" si="195"/>
        <v>-0.16242187149598844</v>
      </c>
      <c r="DO103" s="11">
        <f t="shared" si="195"/>
        <v>-1.6367164174469893E-2</v>
      </c>
      <c r="DP103" s="11">
        <f t="shared" si="195"/>
        <v>-0.17485806128101919</v>
      </c>
      <c r="DQ103" s="11">
        <f t="shared" si="195"/>
        <v>-0.22163691108208436</v>
      </c>
      <c r="DR103" s="11">
        <f t="shared" si="195"/>
        <v>-0.16817617534910306</v>
      </c>
      <c r="DS103" s="11">
        <f t="shared" si="195"/>
        <v>-0.16829651583812705</v>
      </c>
      <c r="DT103" s="11">
        <f t="shared" si="195"/>
        <v>-0.26129258808076405</v>
      </c>
      <c r="DU103" s="11">
        <f t="shared" si="195"/>
        <v>-0.19289702888809521</v>
      </c>
      <c r="DV103" s="11">
        <f t="shared" si="13"/>
        <v>6.9800206498034367E-2</v>
      </c>
      <c r="DW103" s="11">
        <f t="shared" si="115"/>
        <v>0.4415783069556608</v>
      </c>
      <c r="DX103" s="11">
        <f t="shared" si="115"/>
        <v>1.9620426552164873E-2</v>
      </c>
      <c r="DY103" s="11">
        <f t="shared" si="115"/>
        <v>-7.8691138163034066E-2</v>
      </c>
      <c r="DZ103" s="11">
        <f t="shared" si="115"/>
        <v>-5.29926149468707E-2</v>
      </c>
    </row>
    <row r="104" spans="1:130" ht="15">
      <c r="A104" s="8">
        <v>43862</v>
      </c>
      <c r="B104" s="11">
        <f t="shared" si="6"/>
        <v>-0.10165735735377035</v>
      </c>
      <c r="C104" s="11">
        <f t="shared" si="6"/>
        <v>-9.8065628895255191E-2</v>
      </c>
      <c r="D104" s="11">
        <f t="shared" si="7"/>
        <v>-0.10175500265208939</v>
      </c>
      <c r="E104" s="11">
        <f t="shared" si="7"/>
        <v>6.9693402551345943E-2</v>
      </c>
      <c r="F104" s="11">
        <f t="shared" si="7"/>
        <v>-0.10973971766509855</v>
      </c>
      <c r="G104" s="11">
        <f t="shared" si="7"/>
        <v>-7.8543369383978309E-2</v>
      </c>
      <c r="H104" s="11">
        <f t="shared" ref="H104:M104" si="196">LN(H42/H41)</f>
        <v>-5.6751691951167908E-2</v>
      </c>
      <c r="I104" s="11">
        <f t="shared" si="196"/>
        <v>-7.4174407765542433E-2</v>
      </c>
      <c r="J104" s="11">
        <f t="shared" si="196"/>
        <v>-8.786733606873115E-2</v>
      </c>
      <c r="K104" s="11">
        <f t="shared" si="196"/>
        <v>-6.281559261841968E-2</v>
      </c>
      <c r="L104" s="11">
        <f t="shared" si="196"/>
        <v>0.13664181503891498</v>
      </c>
      <c r="M104" s="11">
        <f t="shared" si="196"/>
        <v>-6.88111937448522E-2</v>
      </c>
      <c r="N104" s="11">
        <f t="shared" ref="N104:AS104" si="197">LN(N42/N41)</f>
        <v>-0.10704380670944423</v>
      </c>
      <c r="O104" s="11">
        <f t="shared" si="197"/>
        <v>-7.6095043627194478E-2</v>
      </c>
      <c r="P104" s="11">
        <f t="shared" si="197"/>
        <v>-6.6348509902463534E-2</v>
      </c>
      <c r="Q104" s="11">
        <f t="shared" si="197"/>
        <v>-0.12954783398927833</v>
      </c>
      <c r="R104" s="11">
        <f t="shared" si="197"/>
        <v>-3.1359990611557365E-2</v>
      </c>
      <c r="S104" s="11">
        <f t="shared" si="197"/>
        <v>0.2742391579376931</v>
      </c>
      <c r="T104" s="11">
        <f t="shared" si="197"/>
        <v>-0.11908289015758337</v>
      </c>
      <c r="U104" s="11">
        <f t="shared" si="197"/>
        <v>-0.13690310017277196</v>
      </c>
      <c r="V104" s="11">
        <f t="shared" si="197"/>
        <v>-0.10031063485066122</v>
      </c>
      <c r="W104" s="11">
        <f t="shared" si="197"/>
        <v>-0.17034770383741671</v>
      </c>
      <c r="X104" s="11">
        <f t="shared" si="197"/>
        <v>-5.8837929619813276E-3</v>
      </c>
      <c r="Y104" s="11">
        <f t="shared" si="197"/>
        <v>-0.21999709681288143</v>
      </c>
      <c r="Z104" s="11">
        <f t="shared" si="197"/>
        <v>-0.14591135246909495</v>
      </c>
      <c r="AA104" s="11">
        <f t="shared" si="197"/>
        <v>-4.7222919610221972E-2</v>
      </c>
      <c r="AB104" s="11">
        <f t="shared" si="197"/>
        <v>-6.2513794518246783E-5</v>
      </c>
      <c r="AC104" s="11">
        <f t="shared" si="197"/>
        <v>-6.6617968587274201E-2</v>
      </c>
      <c r="AD104" s="11">
        <f t="shared" si="197"/>
        <v>-4.9491930329587937E-2</v>
      </c>
      <c r="AE104" s="11">
        <f t="shared" si="197"/>
        <v>-1.7292821700216208E-2</v>
      </c>
      <c r="AF104" s="11">
        <f t="shared" si="197"/>
        <v>-5.4255050364415823E-2</v>
      </c>
      <c r="AG104" s="11">
        <f t="shared" si="197"/>
        <v>-6.7149660004529113E-2</v>
      </c>
      <c r="AH104" s="11">
        <f t="shared" si="197"/>
        <v>-0.12249679790081355</v>
      </c>
      <c r="AI104" s="11">
        <f t="shared" si="197"/>
        <v>-9.2503513933973949E-2</v>
      </c>
      <c r="AJ104" s="11">
        <f t="shared" si="197"/>
        <v>-7.6095855795448517E-2</v>
      </c>
      <c r="AK104" s="11">
        <f t="shared" si="197"/>
        <v>-0.40107642238885033</v>
      </c>
      <c r="AL104" s="11">
        <f t="shared" si="197"/>
        <v>-1.7929178580973551E-2</v>
      </c>
      <c r="AM104" s="11">
        <f t="shared" si="197"/>
        <v>0.13302889943311352</v>
      </c>
      <c r="AN104" s="11">
        <f t="shared" si="197"/>
        <v>-0.14104540787175382</v>
      </c>
      <c r="AO104" s="11">
        <f t="shared" si="197"/>
        <v>-0.11275733203897552</v>
      </c>
      <c r="AP104" s="11">
        <f t="shared" si="197"/>
        <v>-4.8270565716745407E-2</v>
      </c>
      <c r="AQ104" s="11">
        <f t="shared" si="197"/>
        <v>-8.574398891124943E-2</v>
      </c>
      <c r="AR104" s="11">
        <f t="shared" si="197"/>
        <v>-3.2874932827723365E-2</v>
      </c>
      <c r="AS104" s="11">
        <f t="shared" si="197"/>
        <v>-1.0033209440594257E-2</v>
      </c>
      <c r="AT104" s="11">
        <f t="shared" ref="AT104:BY104" si="198">LN(AT42/AT41)</f>
        <v>-6.3986007643631231E-3</v>
      </c>
      <c r="AU104" s="11">
        <f t="shared" si="198"/>
        <v>-0.10960830130608402</v>
      </c>
      <c r="AV104" s="11">
        <f t="shared" si="198"/>
        <v>-7.197966019714977E-2</v>
      </c>
      <c r="AW104" s="11">
        <f t="shared" si="198"/>
        <v>-1.1788032708891423E-2</v>
      </c>
      <c r="AX104" s="11">
        <f t="shared" si="198"/>
        <v>-0.12174611706975519</v>
      </c>
      <c r="AY104" s="11">
        <f t="shared" si="198"/>
        <v>-0.12420083801166709</v>
      </c>
      <c r="AZ104" s="11">
        <f t="shared" si="198"/>
        <v>-6.7559920420158195E-2</v>
      </c>
      <c r="BA104" s="11">
        <f t="shared" si="198"/>
        <v>-3.6552720553740384E-2</v>
      </c>
      <c r="BB104" s="11">
        <f t="shared" si="198"/>
        <v>-9.243649734116946E-2</v>
      </c>
      <c r="BC104" s="11">
        <f t="shared" si="198"/>
        <v>1.8855418800478859E-2</v>
      </c>
      <c r="BD104" s="11">
        <f t="shared" si="198"/>
        <v>-8.0131456894922681E-2</v>
      </c>
      <c r="BE104" s="11">
        <f t="shared" si="198"/>
        <v>-2.5173249323105072E-2</v>
      </c>
      <c r="BF104" s="11">
        <f t="shared" si="198"/>
        <v>-9.9248681924438475E-2</v>
      </c>
      <c r="BG104" s="11">
        <f t="shared" si="198"/>
        <v>-6.4233232338635274E-2</v>
      </c>
      <c r="BH104" s="11">
        <f t="shared" si="198"/>
        <v>3.1674399574402566E-2</v>
      </c>
      <c r="BI104" s="11">
        <f t="shared" si="198"/>
        <v>0.16922656119532867</v>
      </c>
      <c r="BJ104" s="11">
        <f t="shared" si="198"/>
        <v>-9.052979031991007E-2</v>
      </c>
      <c r="BK104" s="11">
        <f t="shared" si="198"/>
        <v>-9.7102104305961348E-2</v>
      </c>
      <c r="BL104" s="11">
        <f t="shared" si="198"/>
        <v>-7.8442670000611128E-2</v>
      </c>
      <c r="BM104" s="11">
        <f t="shared" si="198"/>
        <v>-0.16967800674458597</v>
      </c>
      <c r="BN104" s="11">
        <f t="shared" si="198"/>
        <v>-7.4571316980513627E-2</v>
      </c>
      <c r="BO104" s="11">
        <f t="shared" si="198"/>
        <v>-4.6023233759872655E-2</v>
      </c>
      <c r="BP104" s="11">
        <f t="shared" si="198"/>
        <v>-5.5065788992275932E-2</v>
      </c>
      <c r="BQ104" s="11">
        <f t="shared" si="198"/>
        <v>-2.4117816777085768E-2</v>
      </c>
      <c r="BR104" s="11">
        <f t="shared" si="198"/>
        <v>-0.12774740575942017</v>
      </c>
      <c r="BS104" s="11">
        <f t="shared" si="198"/>
        <v>-7.6544422571919193E-2</v>
      </c>
      <c r="BT104" s="11">
        <f t="shared" si="198"/>
        <v>-0.26309978030749714</v>
      </c>
      <c r="BU104" s="11">
        <f t="shared" si="198"/>
        <v>-0.16982542599403197</v>
      </c>
      <c r="BV104" s="11">
        <f t="shared" si="198"/>
        <v>0.18633583605055337</v>
      </c>
      <c r="BW104" s="11">
        <f t="shared" si="198"/>
        <v>-6.6959316323455975E-2</v>
      </c>
      <c r="BX104" s="11">
        <f t="shared" si="198"/>
        <v>-4.8946195573779834E-2</v>
      </c>
      <c r="BY104" s="11">
        <f t="shared" si="198"/>
        <v>9.2921714200874788E-3</v>
      </c>
      <c r="BZ104" s="11">
        <f t="shared" ref="BZ104:DE104" si="199">LN(BZ42/BZ41)</f>
        <v>-8.9924346398963143E-2</v>
      </c>
      <c r="CA104" s="11">
        <f t="shared" si="199"/>
        <v>-8.7821173865978763E-2</v>
      </c>
      <c r="CB104" s="11">
        <f t="shared" si="199"/>
        <v>-7.2938800525392991E-2</v>
      </c>
      <c r="CC104" s="11">
        <f t="shared" si="199"/>
        <v>-1.0086752368365844E-2</v>
      </c>
      <c r="CD104" s="11">
        <f t="shared" si="199"/>
        <v>-0.10281702339321035</v>
      </c>
      <c r="CE104" s="11">
        <f t="shared" si="199"/>
        <v>-0.10708542581058941</v>
      </c>
      <c r="CF104" s="11">
        <f t="shared" si="199"/>
        <v>-0.25467812476524976</v>
      </c>
      <c r="CG104" s="11">
        <f t="shared" si="199"/>
        <v>-6.1060329747558165E-2</v>
      </c>
      <c r="CH104" s="11">
        <f t="shared" si="199"/>
        <v>-8.318470933293011E-2</v>
      </c>
      <c r="CI104" s="11">
        <f t="shared" si="199"/>
        <v>-8.3370734986358719E-2</v>
      </c>
      <c r="CJ104" s="11">
        <f t="shared" si="199"/>
        <v>-8.1873792283310973E-2</v>
      </c>
      <c r="CK104" s="11">
        <f t="shared" si="199"/>
        <v>-0.16453566390982058</v>
      </c>
      <c r="CL104" s="11">
        <f t="shared" si="199"/>
        <v>-0.20369562454556572</v>
      </c>
      <c r="CM104" s="11">
        <f t="shared" si="199"/>
        <v>-0.12231327036107804</v>
      </c>
      <c r="CN104" s="11">
        <f t="shared" si="199"/>
        <v>-0.1204438475490027</v>
      </c>
      <c r="CO104" s="11">
        <f t="shared" si="199"/>
        <v>-0.11111029314998888</v>
      </c>
      <c r="CP104" s="11">
        <f t="shared" si="199"/>
        <v>-6.5419133203862473E-2</v>
      </c>
      <c r="CQ104" s="11">
        <f t="shared" si="199"/>
        <v>1.9972667488131281E-2</v>
      </c>
      <c r="CR104" s="11">
        <f t="shared" si="199"/>
        <v>-6.2726213346221943E-2</v>
      </c>
      <c r="CS104" s="11">
        <f t="shared" si="199"/>
        <v>-0.23563807635252565</v>
      </c>
      <c r="CT104" s="11">
        <f t="shared" si="199"/>
        <v>-0.17740461326644349</v>
      </c>
      <c r="CU104" s="11">
        <f t="shared" si="199"/>
        <v>-0.20790516120927735</v>
      </c>
      <c r="CV104" s="11">
        <f t="shared" si="199"/>
        <v>-0.13452537763579575</v>
      </c>
      <c r="CW104" s="11">
        <f t="shared" si="199"/>
        <v>-2.428302217222892E-2</v>
      </c>
      <c r="CX104" s="11">
        <f t="shared" si="199"/>
        <v>-9.3241926740265824E-2</v>
      </c>
      <c r="CY104" s="11">
        <f t="shared" si="199"/>
        <v>-0.13858616328614667</v>
      </c>
      <c r="CZ104" s="11">
        <f t="shared" si="199"/>
        <v>-8.1084684546613855E-2</v>
      </c>
      <c r="DA104" s="11">
        <f t="shared" si="199"/>
        <v>-4.9177235976083977E-2</v>
      </c>
      <c r="DB104" s="11">
        <f t="shared" si="199"/>
        <v>-0.15652091084922137</v>
      </c>
      <c r="DC104" s="11">
        <f t="shared" si="199"/>
        <v>-0.11884817026770132</v>
      </c>
      <c r="DD104" s="11">
        <f t="shared" si="199"/>
        <v>-5.9982831945529308E-2</v>
      </c>
      <c r="DE104" s="11">
        <f t="shared" si="199"/>
        <v>-1.2460533484891291E-2</v>
      </c>
      <c r="DF104" s="11">
        <f t="shared" ref="DF104:DU104" si="200">LN(DF42/DF41)</f>
        <v>-0.13420713224722486</v>
      </c>
      <c r="DG104" s="11">
        <f t="shared" si="200"/>
        <v>0.15777327558869333</v>
      </c>
      <c r="DH104" s="11">
        <f t="shared" si="200"/>
        <v>-6.9424830427432818E-2</v>
      </c>
      <c r="DI104" s="11">
        <f t="shared" si="200"/>
        <v>-0.18865180338475018</v>
      </c>
      <c r="DJ104" s="11">
        <f t="shared" si="200"/>
        <v>-0.13788771595456237</v>
      </c>
      <c r="DK104" s="11">
        <f t="shared" si="200"/>
        <v>-0.20488626832575405</v>
      </c>
      <c r="DL104" s="11">
        <f t="shared" si="200"/>
        <v>-9.4881115934086283E-2</v>
      </c>
      <c r="DM104" s="11">
        <f t="shared" si="200"/>
        <v>-0.138646726287004</v>
      </c>
      <c r="DN104" s="11">
        <f t="shared" si="200"/>
        <v>-6.9178905230415245E-3</v>
      </c>
      <c r="DO104" s="11">
        <f t="shared" si="200"/>
        <v>-0.19325714579130646</v>
      </c>
      <c r="DP104" s="11">
        <f t="shared" si="200"/>
        <v>-0.29075597078897802</v>
      </c>
      <c r="DQ104" s="11">
        <f t="shared" si="200"/>
        <v>-0.18232169835539572</v>
      </c>
      <c r="DR104" s="11">
        <f t="shared" si="200"/>
        <v>-0.2126796212021751</v>
      </c>
      <c r="DS104" s="11">
        <f t="shared" si="200"/>
        <v>-0.28918266897444034</v>
      </c>
      <c r="DT104" s="11">
        <f t="shared" si="200"/>
        <v>-0.10664009524761962</v>
      </c>
      <c r="DU104" s="11">
        <f t="shared" si="200"/>
        <v>-9.6718516229152826E-2</v>
      </c>
      <c r="DV104" s="11">
        <f t="shared" si="13"/>
        <v>-8.8649470829488597E-2</v>
      </c>
      <c r="DW104" s="11">
        <f t="shared" si="115"/>
        <v>2.6424301670513562E-2</v>
      </c>
      <c r="DX104" s="11">
        <f t="shared" si="115"/>
        <v>-6.7821954412159532E-2</v>
      </c>
      <c r="DY104" s="11">
        <f t="shared" si="115"/>
        <v>-0.10100795387996711</v>
      </c>
      <c r="DZ104" s="11">
        <f t="shared" si="115"/>
        <v>-0.21997854797105326</v>
      </c>
    </row>
    <row r="105" spans="1:130" ht="15">
      <c r="A105" s="8">
        <v>43891</v>
      </c>
      <c r="B105" s="11">
        <f t="shared" si="6"/>
        <v>-1.887008470932067E-2</v>
      </c>
      <c r="C105" s="11">
        <f t="shared" si="6"/>
        <v>-2.3616029988985553E-2</v>
      </c>
      <c r="D105" s="11">
        <f t="shared" si="7"/>
        <v>0.10031482469988258</v>
      </c>
      <c r="E105" s="11">
        <f t="shared" si="7"/>
        <v>-0.11773927661648102</v>
      </c>
      <c r="F105" s="11">
        <f t="shared" si="7"/>
        <v>4.9511638601926252E-3</v>
      </c>
      <c r="G105" s="11">
        <f t="shared" si="7"/>
        <v>2.1981845542757096E-2</v>
      </c>
      <c r="H105" s="11">
        <f t="shared" ref="H105:M105" si="201">LN(H43/H42)</f>
        <v>-5.7855850412502081E-2</v>
      </c>
      <c r="I105" s="11">
        <f t="shared" si="201"/>
        <v>-2.5070924705171645E-2</v>
      </c>
      <c r="J105" s="11">
        <f t="shared" si="201"/>
        <v>2.765632195129579E-2</v>
      </c>
      <c r="K105" s="11">
        <f t="shared" si="201"/>
        <v>-4.9411157700399055E-2</v>
      </c>
      <c r="L105" s="11">
        <f t="shared" si="201"/>
        <v>-2.4686272030762759E-2</v>
      </c>
      <c r="M105" s="11">
        <f t="shared" si="201"/>
        <v>-7.3339525799623898E-2</v>
      </c>
      <c r="N105" s="11">
        <f t="shared" ref="N105:AS105" si="202">LN(N43/N42)</f>
        <v>-0.25715882419506292</v>
      </c>
      <c r="O105" s="11">
        <f t="shared" si="202"/>
        <v>-1.6075507254530743E-2</v>
      </c>
      <c r="P105" s="11">
        <f t="shared" si="202"/>
        <v>-2.2128444603735396E-2</v>
      </c>
      <c r="Q105" s="11">
        <f t="shared" si="202"/>
        <v>2.5315951418254648E-3</v>
      </c>
      <c r="R105" s="11">
        <f t="shared" si="202"/>
        <v>-0.12430016249043251</v>
      </c>
      <c r="S105" s="11">
        <f t="shared" si="202"/>
        <v>9.3801968774117755E-2</v>
      </c>
      <c r="T105" s="11">
        <f t="shared" si="202"/>
        <v>2.4113057237910841E-2</v>
      </c>
      <c r="U105" s="11">
        <f t="shared" si="202"/>
        <v>-0.11004023197116829</v>
      </c>
      <c r="V105" s="11">
        <f t="shared" si="202"/>
        <v>-0.13518961433124532</v>
      </c>
      <c r="W105" s="11">
        <f t="shared" si="202"/>
        <v>8.1175552051035785E-3</v>
      </c>
      <c r="X105" s="11">
        <f t="shared" si="202"/>
        <v>-0.12402288168008857</v>
      </c>
      <c r="Y105" s="11">
        <f t="shared" si="202"/>
        <v>-0.14229565261167862</v>
      </c>
      <c r="Z105" s="11">
        <f t="shared" si="202"/>
        <v>-3.4434927380497582E-2</v>
      </c>
      <c r="AA105" s="11">
        <f t="shared" si="202"/>
        <v>-7.5339014759972414E-2</v>
      </c>
      <c r="AB105" s="11">
        <f t="shared" si="202"/>
        <v>-7.4009885142319043E-2</v>
      </c>
      <c r="AC105" s="11">
        <f t="shared" si="202"/>
        <v>-2.5164173886535284E-2</v>
      </c>
      <c r="AD105" s="11">
        <f t="shared" si="202"/>
        <v>-2.4172530615288068E-2</v>
      </c>
      <c r="AE105" s="11">
        <f t="shared" si="202"/>
        <v>-8.1086367535184112E-2</v>
      </c>
      <c r="AF105" s="11">
        <f t="shared" si="202"/>
        <v>-2.3111753678669245E-2</v>
      </c>
      <c r="AG105" s="11">
        <f t="shared" si="202"/>
        <v>-6.8563139182849675E-2</v>
      </c>
      <c r="AH105" s="11">
        <f t="shared" si="202"/>
        <v>-8.7586054180264338E-3</v>
      </c>
      <c r="AI105" s="11">
        <f t="shared" si="202"/>
        <v>-5.225069034387788E-2</v>
      </c>
      <c r="AJ105" s="11">
        <f t="shared" si="202"/>
        <v>5.5969662499160772E-2</v>
      </c>
      <c r="AK105" s="11">
        <f t="shared" si="202"/>
        <v>0.5376651508963125</v>
      </c>
      <c r="AL105" s="11">
        <f t="shared" si="202"/>
        <v>-0.11771009125561553</v>
      </c>
      <c r="AM105" s="11">
        <f t="shared" si="202"/>
        <v>-2.3650408192756277E-2</v>
      </c>
      <c r="AN105" s="11">
        <f t="shared" si="202"/>
        <v>-2.0627111830716163E-2</v>
      </c>
      <c r="AO105" s="11">
        <f t="shared" si="202"/>
        <v>-0.13959710932456021</v>
      </c>
      <c r="AP105" s="11">
        <f t="shared" si="202"/>
        <v>-0.13295567221141508</v>
      </c>
      <c r="AQ105" s="11">
        <f t="shared" si="202"/>
        <v>-0.14620013994173298</v>
      </c>
      <c r="AR105" s="11">
        <f t="shared" si="202"/>
        <v>0</v>
      </c>
      <c r="AS105" s="11">
        <f t="shared" si="202"/>
        <v>-0.22285813840044069</v>
      </c>
      <c r="AT105" s="11">
        <f t="shared" ref="AT105:BY105" si="203">LN(AT43/AT42)</f>
        <v>-0.19047979825103345</v>
      </c>
      <c r="AU105" s="11">
        <f t="shared" si="203"/>
        <v>-0.31547860943530426</v>
      </c>
      <c r="AV105" s="11">
        <f t="shared" si="203"/>
        <v>-0.2877577871814867</v>
      </c>
      <c r="AW105" s="11">
        <f t="shared" si="203"/>
        <v>-6.4456737146556864E-2</v>
      </c>
      <c r="AX105" s="11">
        <f t="shared" si="203"/>
        <v>-0.11020254479941204</v>
      </c>
      <c r="AY105" s="11">
        <f t="shared" si="203"/>
        <v>-6.9943614148719691E-2</v>
      </c>
      <c r="AZ105" s="11">
        <f t="shared" si="203"/>
        <v>-0.16847421335405854</v>
      </c>
      <c r="BA105" s="11">
        <f t="shared" si="203"/>
        <v>-0.12915568759657337</v>
      </c>
      <c r="BB105" s="11">
        <f t="shared" si="203"/>
        <v>-0.16480415649618657</v>
      </c>
      <c r="BC105" s="11">
        <f t="shared" si="203"/>
        <v>-0.12434737897397191</v>
      </c>
      <c r="BD105" s="11">
        <f t="shared" si="203"/>
        <v>-0.22465126252208692</v>
      </c>
      <c r="BE105" s="11">
        <f t="shared" si="203"/>
        <v>-0.18030358131727131</v>
      </c>
      <c r="BF105" s="11">
        <f t="shared" si="203"/>
        <v>-0.14940050606935543</v>
      </c>
      <c r="BG105" s="11">
        <f t="shared" si="203"/>
        <v>3.442130156350344E-2</v>
      </c>
      <c r="BH105" s="11">
        <f t="shared" si="203"/>
        <v>-0.13723694500202269</v>
      </c>
      <c r="BI105" s="11">
        <f t="shared" si="203"/>
        <v>-0.4080631869922931</v>
      </c>
      <c r="BJ105" s="11">
        <f t="shared" si="203"/>
        <v>-0.38373553791712256</v>
      </c>
      <c r="BK105" s="11">
        <f t="shared" si="203"/>
        <v>-0.15443155494574437</v>
      </c>
      <c r="BL105" s="11">
        <f t="shared" si="203"/>
        <v>-0.17184927729583077</v>
      </c>
      <c r="BM105" s="11">
        <f t="shared" si="203"/>
        <v>-0.58238595674252047</v>
      </c>
      <c r="BN105" s="11">
        <f t="shared" si="203"/>
        <v>-7.4423243007225373E-2</v>
      </c>
      <c r="BO105" s="11">
        <f t="shared" si="203"/>
        <v>-0.15420450476595784</v>
      </c>
      <c r="BP105" s="11">
        <f t="shared" si="203"/>
        <v>-4.2722689281195589E-2</v>
      </c>
      <c r="BQ105" s="11">
        <f t="shared" si="203"/>
        <v>-8.3817132266439581E-2</v>
      </c>
      <c r="BR105" s="11">
        <f t="shared" si="203"/>
        <v>-0.13783246428665741</v>
      </c>
      <c r="BS105" s="11">
        <f t="shared" si="203"/>
        <v>-0.23144014260309587</v>
      </c>
      <c r="BT105" s="11">
        <f t="shared" si="203"/>
        <v>-0.92080535476803027</v>
      </c>
      <c r="BU105" s="11">
        <f t="shared" si="203"/>
        <v>-0.25969836652968847</v>
      </c>
      <c r="BV105" s="11">
        <f t="shared" si="203"/>
        <v>-4.6396641200583143E-2</v>
      </c>
      <c r="BW105" s="11">
        <f t="shared" si="203"/>
        <v>-0.61564653055487506</v>
      </c>
      <c r="BX105" s="11">
        <f t="shared" si="203"/>
        <v>-4.2230826209721843E-2</v>
      </c>
      <c r="BY105" s="11">
        <f t="shared" si="203"/>
        <v>-0.35416402885992743</v>
      </c>
      <c r="BZ105" s="11">
        <f t="shared" ref="BZ105:DE105" si="204">LN(BZ43/BZ42)</f>
        <v>-2.8941224154183657E-2</v>
      </c>
      <c r="CA105" s="11">
        <f t="shared" si="204"/>
        <v>-0.18963948031309674</v>
      </c>
      <c r="CB105" s="11">
        <f t="shared" si="204"/>
        <v>-9.4704268027602165E-2</v>
      </c>
      <c r="CC105" s="11">
        <f t="shared" si="204"/>
        <v>-0.11522137327421966</v>
      </c>
      <c r="CD105" s="11">
        <f t="shared" si="204"/>
        <v>-5.6760243087743086E-2</v>
      </c>
      <c r="CE105" s="11">
        <f t="shared" si="204"/>
        <v>-0.10042036655909256</v>
      </c>
      <c r="CF105" s="11">
        <f t="shared" si="204"/>
        <v>-0.27988890139800104</v>
      </c>
      <c r="CG105" s="11">
        <f t="shared" si="204"/>
        <v>-0.13918003116691666</v>
      </c>
      <c r="CH105" s="11">
        <f t="shared" si="204"/>
        <v>-5.2889383400616427E-2</v>
      </c>
      <c r="CI105" s="11">
        <f t="shared" si="204"/>
        <v>-0.15445034875909291</v>
      </c>
      <c r="CJ105" s="11">
        <f t="shared" si="204"/>
        <v>-1.8069601993032938E-2</v>
      </c>
      <c r="CK105" s="11">
        <f t="shared" si="204"/>
        <v>-1.2118463734103206E-3</v>
      </c>
      <c r="CL105" s="11">
        <f t="shared" si="204"/>
        <v>-0.37888953663351377</v>
      </c>
      <c r="CM105" s="11">
        <f t="shared" si="204"/>
        <v>0.11435833227649587</v>
      </c>
      <c r="CN105" s="11">
        <f t="shared" si="204"/>
        <v>-7.9694114690155599E-3</v>
      </c>
      <c r="CO105" s="11">
        <f t="shared" si="204"/>
        <v>-3.4659094601061306E-2</v>
      </c>
      <c r="CP105" s="11">
        <f t="shared" si="204"/>
        <v>-7.67464433760216E-2</v>
      </c>
      <c r="CQ105" s="11">
        <f t="shared" si="204"/>
        <v>8.3193569816349594E-2</v>
      </c>
      <c r="CR105" s="11">
        <f t="shared" si="204"/>
        <v>2.2787800830925829E-2</v>
      </c>
      <c r="CS105" s="11">
        <f t="shared" si="204"/>
        <v>-0.13609385424604475</v>
      </c>
      <c r="CT105" s="11">
        <f t="shared" si="204"/>
        <v>-0.64158638331000506</v>
      </c>
      <c r="CU105" s="11">
        <f t="shared" si="204"/>
        <v>-0.15509630637526528</v>
      </c>
      <c r="CV105" s="11">
        <f t="shared" si="204"/>
        <v>4.1726046447846228E-2</v>
      </c>
      <c r="CW105" s="11">
        <f t="shared" si="204"/>
        <v>-0.15202836496749622</v>
      </c>
      <c r="CX105" s="11">
        <f t="shared" si="204"/>
        <v>-0.12835003388252508</v>
      </c>
      <c r="CY105" s="11">
        <f t="shared" si="204"/>
        <v>-0.39124240760545942</v>
      </c>
      <c r="CZ105" s="11">
        <f t="shared" si="204"/>
        <v>-0.18358081980726301</v>
      </c>
      <c r="DA105" s="11">
        <f t="shared" si="204"/>
        <v>-7.7156182126112388E-2</v>
      </c>
      <c r="DB105" s="11">
        <f t="shared" si="204"/>
        <v>-0.42644783343955961</v>
      </c>
      <c r="DC105" s="11">
        <f t="shared" si="204"/>
        <v>-0.11937173535555634</v>
      </c>
      <c r="DD105" s="11">
        <f t="shared" si="204"/>
        <v>-0.31845349871607764</v>
      </c>
      <c r="DE105" s="11">
        <f t="shared" si="204"/>
        <v>1.5818083097022134E-2</v>
      </c>
      <c r="DF105" s="11">
        <f t="shared" ref="DF105:DU105" si="205">LN(DF43/DF42)</f>
        <v>-1.6576170163214849E-2</v>
      </c>
      <c r="DG105" s="11">
        <f t="shared" si="205"/>
        <v>-0.18587816990880185</v>
      </c>
      <c r="DH105" s="11">
        <f t="shared" si="205"/>
        <v>-0.19564274724300967</v>
      </c>
      <c r="DI105" s="11">
        <f t="shared" si="205"/>
        <v>-0.28936527901289022</v>
      </c>
      <c r="DJ105" s="11">
        <f t="shared" si="205"/>
        <v>-0.24159372083706479</v>
      </c>
      <c r="DK105" s="11">
        <f t="shared" si="205"/>
        <v>-0.44534542518361359</v>
      </c>
      <c r="DL105" s="11">
        <f t="shared" si="205"/>
        <v>-0.55975791287746801</v>
      </c>
      <c r="DM105" s="11">
        <f t="shared" si="205"/>
        <v>-0.56595905165635985</v>
      </c>
      <c r="DN105" s="11">
        <f t="shared" si="205"/>
        <v>-0.52300336182991758</v>
      </c>
      <c r="DO105" s="11">
        <f t="shared" si="205"/>
        <v>-1.0393180594512244</v>
      </c>
      <c r="DP105" s="11">
        <f t="shared" si="205"/>
        <v>-0.85450785655348449</v>
      </c>
      <c r="DQ105" s="11">
        <f t="shared" si="205"/>
        <v>-0.86137499372923232</v>
      </c>
      <c r="DR105" s="11">
        <f t="shared" si="205"/>
        <v>-0.68255295670356908</v>
      </c>
      <c r="DS105" s="11">
        <f t="shared" si="205"/>
        <v>-0.42682296435837302</v>
      </c>
      <c r="DT105" s="11">
        <f t="shared" si="205"/>
        <v>-0.7892659121847746</v>
      </c>
      <c r="DU105" s="11">
        <f t="shared" si="205"/>
        <v>-0.64361896678268282</v>
      </c>
      <c r="DV105" s="11">
        <f t="shared" si="13"/>
        <v>-1.7853596834164942</v>
      </c>
      <c r="DW105" s="11">
        <f t="shared" si="115"/>
        <v>-0.24278151904367101</v>
      </c>
      <c r="DX105" s="11">
        <f t="shared" si="115"/>
        <v>-3.3387677771894671E-2</v>
      </c>
      <c r="DY105" s="11">
        <f t="shared" si="115"/>
        <v>-0.36148814389005873</v>
      </c>
      <c r="DZ105" s="11">
        <f t="shared" si="115"/>
        <v>-0.36533300668184693</v>
      </c>
    </row>
    <row r="106" spans="1:130" ht="15">
      <c r="A106" s="8">
        <v>43922</v>
      </c>
      <c r="B106" s="11">
        <f t="shared" si="6"/>
        <v>0.13471235420542604</v>
      </c>
      <c r="C106" s="11">
        <f t="shared" si="6"/>
        <v>0.16147676137436798</v>
      </c>
      <c r="D106" s="11">
        <f t="shared" si="7"/>
        <v>0.10864230999669298</v>
      </c>
      <c r="E106" s="11">
        <f t="shared" si="7"/>
        <v>7.59250592144807E-2</v>
      </c>
      <c r="F106" s="11">
        <f t="shared" si="7"/>
        <v>3.8943843573593893E-2</v>
      </c>
      <c r="G106" s="11">
        <f t="shared" si="7"/>
        <v>0.16550863854131598</v>
      </c>
      <c r="H106" s="11">
        <f t="shared" ref="H106:M106" si="206">LN(H44/H43)</f>
        <v>8.7056151276238058E-2</v>
      </c>
      <c r="I106" s="11">
        <f t="shared" si="206"/>
        <v>0.16638393586751063</v>
      </c>
      <c r="J106" s="11">
        <f t="shared" si="206"/>
        <v>0.1553738832040123</v>
      </c>
      <c r="K106" s="11">
        <f t="shared" si="206"/>
        <v>0.13625225838356553</v>
      </c>
      <c r="L106" s="11">
        <f t="shared" si="206"/>
        <v>0.2190127749215407</v>
      </c>
      <c r="M106" s="11">
        <f t="shared" si="206"/>
        <v>7.0547354722548555E-2</v>
      </c>
      <c r="N106" s="11">
        <f t="shared" ref="N106:AS106" si="207">LN(N44/N43)</f>
        <v>0.27913928938494681</v>
      </c>
      <c r="O106" s="11">
        <f t="shared" si="207"/>
        <v>4.1737420200640356E-2</v>
      </c>
      <c r="P106" s="11">
        <f t="shared" si="207"/>
        <v>0.1637062125183848</v>
      </c>
      <c r="Q106" s="11">
        <f t="shared" si="207"/>
        <v>3.6734631082166742E-2</v>
      </c>
      <c r="R106" s="11">
        <f t="shared" si="207"/>
        <v>0.21598223811692563</v>
      </c>
      <c r="S106" s="11">
        <f t="shared" si="207"/>
        <v>7.4163558184088998E-2</v>
      </c>
      <c r="T106" s="11">
        <f t="shared" si="207"/>
        <v>0.1544582806336981</v>
      </c>
      <c r="U106" s="11">
        <f t="shared" si="207"/>
        <v>8.5616357408451541E-2</v>
      </c>
      <c r="V106" s="11">
        <f t="shared" si="207"/>
        <v>0.11673869615177131</v>
      </c>
      <c r="W106" s="11">
        <f t="shared" si="207"/>
        <v>0.28599634056553092</v>
      </c>
      <c r="X106" s="11">
        <f t="shared" si="207"/>
        <v>9.4158172851876512E-2</v>
      </c>
      <c r="Y106" s="11">
        <f t="shared" si="207"/>
        <v>0.11755963819757234</v>
      </c>
      <c r="Z106" s="11">
        <f t="shared" si="207"/>
        <v>9.7760287549066974E-2</v>
      </c>
      <c r="AA106" s="11">
        <f t="shared" si="207"/>
        <v>3.1152813938912643E-2</v>
      </c>
      <c r="AB106" s="11">
        <f t="shared" si="207"/>
        <v>5.3083793118753823E-2</v>
      </c>
      <c r="AC106" s="11">
        <f t="shared" si="207"/>
        <v>8.9369362610974515E-2</v>
      </c>
      <c r="AD106" s="11">
        <f t="shared" si="207"/>
        <v>0.12780033484443226</v>
      </c>
      <c r="AE106" s="11">
        <f t="shared" si="207"/>
        <v>0.10547363143194144</v>
      </c>
      <c r="AF106" s="11">
        <f t="shared" si="207"/>
        <v>9.167317403905173E-2</v>
      </c>
      <c r="AG106" s="11">
        <f t="shared" si="207"/>
        <v>0.198826673701577</v>
      </c>
      <c r="AH106" s="11">
        <f t="shared" si="207"/>
        <v>6.2918647034588521E-2</v>
      </c>
      <c r="AI106" s="11">
        <f t="shared" si="207"/>
        <v>0.15121927959419226</v>
      </c>
      <c r="AJ106" s="11">
        <f t="shared" si="207"/>
        <v>6.5774231264807956E-2</v>
      </c>
      <c r="AK106" s="11">
        <f t="shared" si="207"/>
        <v>0.12823968817058637</v>
      </c>
      <c r="AL106" s="11">
        <f t="shared" si="207"/>
        <v>0.26697779148431255</v>
      </c>
      <c r="AM106" s="11">
        <f t="shared" si="207"/>
        <v>0.1032793596202492</v>
      </c>
      <c r="AN106" s="11">
        <f t="shared" si="207"/>
        <v>0.10280745036175873</v>
      </c>
      <c r="AO106" s="11">
        <f t="shared" si="207"/>
        <v>0.15277726549876408</v>
      </c>
      <c r="AP106" s="11">
        <f t="shared" si="207"/>
        <v>0.14972392543702323</v>
      </c>
      <c r="AQ106" s="11">
        <f t="shared" si="207"/>
        <v>0.15883793775721222</v>
      </c>
      <c r="AR106" s="11">
        <f t="shared" si="207"/>
        <v>0.14144306453779307</v>
      </c>
      <c r="AS106" s="11">
        <f t="shared" si="207"/>
        <v>0.12980949978337919</v>
      </c>
      <c r="AT106" s="11">
        <f t="shared" ref="AT106:BY106" si="208">LN(AT44/AT43)</f>
        <v>0.20092390513532532</v>
      </c>
      <c r="AU106" s="11">
        <f t="shared" si="208"/>
        <v>0.18694963797656403</v>
      </c>
      <c r="AV106" s="11">
        <f t="shared" si="208"/>
        <v>0.2577015785959032</v>
      </c>
      <c r="AW106" s="11">
        <f t="shared" si="208"/>
        <v>0.11455589706079382</v>
      </c>
      <c r="AX106" s="11">
        <f t="shared" si="208"/>
        <v>0.15033987783102518</v>
      </c>
      <c r="AY106" s="11">
        <f t="shared" si="208"/>
        <v>0.14442385900338517</v>
      </c>
      <c r="AZ106" s="11">
        <f t="shared" si="208"/>
        <v>0.11761324457618151</v>
      </c>
      <c r="BA106" s="11">
        <f t="shared" si="208"/>
        <v>0.20430577349629567</v>
      </c>
      <c r="BB106" s="11">
        <f t="shared" si="208"/>
        <v>8.7319774613056955E-2</v>
      </c>
      <c r="BC106" s="11">
        <f t="shared" si="208"/>
        <v>0.14533702857623823</v>
      </c>
      <c r="BD106" s="11">
        <f t="shared" si="208"/>
        <v>0.14810152046844705</v>
      </c>
      <c r="BE106" s="11">
        <f t="shared" si="208"/>
        <v>-0.10335801893391813</v>
      </c>
      <c r="BF106" s="11">
        <f t="shared" si="208"/>
        <v>0.12388406065294007</v>
      </c>
      <c r="BG106" s="11">
        <f t="shared" si="208"/>
        <v>0.23815050144822464</v>
      </c>
      <c r="BH106" s="11">
        <f t="shared" si="208"/>
        <v>0.28142494958613395</v>
      </c>
      <c r="BI106" s="11">
        <f t="shared" si="208"/>
        <v>0.52328668312287241</v>
      </c>
      <c r="BJ106" s="11">
        <f t="shared" si="208"/>
        <v>8.2272348647262489E-2</v>
      </c>
      <c r="BK106" s="11">
        <f t="shared" si="208"/>
        <v>0.12603449568440733</v>
      </c>
      <c r="BL106" s="11">
        <f t="shared" si="208"/>
        <v>0.1545853871435994</v>
      </c>
      <c r="BM106" s="11">
        <f t="shared" si="208"/>
        <v>0.30375681555541467</v>
      </c>
      <c r="BN106" s="11">
        <f t="shared" si="208"/>
        <v>5.227188945015547E-2</v>
      </c>
      <c r="BO106" s="11">
        <f t="shared" si="208"/>
        <v>0.16996632000421702</v>
      </c>
      <c r="BP106" s="11">
        <f t="shared" si="208"/>
        <v>0.1164409409583983</v>
      </c>
      <c r="BQ106" s="11">
        <f t="shared" si="208"/>
        <v>1.4280367948263234E-2</v>
      </c>
      <c r="BR106" s="11">
        <f t="shared" si="208"/>
        <v>0.11137183096420163</v>
      </c>
      <c r="BS106" s="11">
        <f t="shared" si="208"/>
        <v>9.5795245794293993E-2</v>
      </c>
      <c r="BT106" s="11">
        <f t="shared" si="208"/>
        <v>0.18837759347099628</v>
      </c>
      <c r="BU106" s="11">
        <f t="shared" si="208"/>
        <v>0.23206337717522443</v>
      </c>
      <c r="BV106" s="11">
        <f t="shared" si="208"/>
        <v>0.11283869699046634</v>
      </c>
      <c r="BW106" s="11">
        <f t="shared" si="208"/>
        <v>2.814687711755131E-2</v>
      </c>
      <c r="BX106" s="11">
        <f t="shared" si="208"/>
        <v>0.18202580576625479</v>
      </c>
      <c r="BY106" s="11">
        <f t="shared" si="208"/>
        <v>0.26183345416202708</v>
      </c>
      <c r="BZ106" s="11">
        <f t="shared" ref="BZ106:DE106" si="209">LN(BZ44/BZ43)</f>
        <v>6.9101932432693497E-2</v>
      </c>
      <c r="CA106" s="11">
        <f t="shared" si="209"/>
        <v>4.5123788088133013E-2</v>
      </c>
      <c r="CB106" s="11">
        <f t="shared" si="209"/>
        <v>0.10340156872351627</v>
      </c>
      <c r="CC106" s="11">
        <f t="shared" si="209"/>
        <v>3.999858352816768E-2</v>
      </c>
      <c r="CD106" s="11">
        <f t="shared" si="209"/>
        <v>2.5382219903296709E-2</v>
      </c>
      <c r="CE106" s="11">
        <f t="shared" si="209"/>
        <v>8.6820607319249163E-2</v>
      </c>
      <c r="CF106" s="11">
        <f t="shared" si="209"/>
        <v>5.2969152510984566E-2</v>
      </c>
      <c r="CG106" s="11">
        <f t="shared" si="209"/>
        <v>0.10171371610068307</v>
      </c>
      <c r="CH106" s="11">
        <f t="shared" si="209"/>
        <v>3.2763117018881856E-2</v>
      </c>
      <c r="CI106" s="11">
        <f t="shared" si="209"/>
        <v>0.12835072229656547</v>
      </c>
      <c r="CJ106" s="11">
        <f t="shared" si="209"/>
        <v>5.7250557988400209E-2</v>
      </c>
      <c r="CK106" s="11">
        <f t="shared" si="209"/>
        <v>0.22076672480603285</v>
      </c>
      <c r="CL106" s="11">
        <f t="shared" si="209"/>
        <v>0.20959609298527584</v>
      </c>
      <c r="CM106" s="11">
        <f t="shared" si="209"/>
        <v>4.4926117376790295E-3</v>
      </c>
      <c r="CN106" s="11">
        <f t="shared" si="209"/>
        <v>9.7343231101318622E-2</v>
      </c>
      <c r="CO106" s="11">
        <f t="shared" si="209"/>
        <v>0.10497798465007546</v>
      </c>
      <c r="CP106" s="11">
        <f t="shared" si="209"/>
        <v>8.6660581178921822E-2</v>
      </c>
      <c r="CQ106" s="11">
        <f t="shared" si="209"/>
        <v>7.3373311214681283E-2</v>
      </c>
      <c r="CR106" s="11">
        <f t="shared" si="209"/>
        <v>7.9509377936104866E-2</v>
      </c>
      <c r="CS106" s="11">
        <f t="shared" si="209"/>
        <v>4.4189934129628169E-2</v>
      </c>
      <c r="CT106" s="11">
        <f t="shared" si="209"/>
        <v>0.19392348333887491</v>
      </c>
      <c r="CU106" s="11">
        <f t="shared" si="209"/>
        <v>0.19402615274348256</v>
      </c>
      <c r="CV106" s="11">
        <f t="shared" si="209"/>
        <v>1.3186245906748311E-2</v>
      </c>
      <c r="CW106" s="11">
        <f t="shared" si="209"/>
        <v>4.9453082196824774E-2</v>
      </c>
      <c r="CX106" s="11">
        <f t="shared" si="209"/>
        <v>0.1006985025520151</v>
      </c>
      <c r="CY106" s="11">
        <f t="shared" si="209"/>
        <v>-4.0788688386927612E-2</v>
      </c>
      <c r="CZ106" s="11">
        <f t="shared" si="209"/>
        <v>0.20180674398527959</v>
      </c>
      <c r="DA106" s="11">
        <f t="shared" si="209"/>
        <v>2.6005510572719409E-2</v>
      </c>
      <c r="DB106" s="11">
        <f t="shared" si="209"/>
        <v>0.17572648980921543</v>
      </c>
      <c r="DC106" s="11">
        <f t="shared" si="209"/>
        <v>0.15072040011835985</v>
      </c>
      <c r="DD106" s="11">
        <f t="shared" si="209"/>
        <v>0.17395311378022144</v>
      </c>
      <c r="DE106" s="11">
        <f t="shared" si="209"/>
        <v>0.10270265584872013</v>
      </c>
      <c r="DF106" s="11">
        <f t="shared" ref="DF106:DU106" si="210">LN(DF44/DF43)</f>
        <v>5.6437287874443215E-2</v>
      </c>
      <c r="DG106" s="11">
        <f t="shared" si="210"/>
        <v>0.28530395004681347</v>
      </c>
      <c r="DH106" s="11">
        <f t="shared" si="210"/>
        <v>0.13890093175067042</v>
      </c>
      <c r="DI106" s="11">
        <f t="shared" si="210"/>
        <v>0.20201063002601613</v>
      </c>
      <c r="DJ106" s="11">
        <f t="shared" si="210"/>
        <v>0.23875395058969956</v>
      </c>
      <c r="DK106" s="11">
        <f t="shared" si="210"/>
        <v>0.31253335192287029</v>
      </c>
      <c r="DL106" s="11">
        <f t="shared" si="210"/>
        <v>0.24952156573739978</v>
      </c>
      <c r="DM106" s="11">
        <f t="shared" si="210"/>
        <v>0.27964577811314173</v>
      </c>
      <c r="DN106" s="11">
        <f t="shared" si="210"/>
        <v>0.38653039696165736</v>
      </c>
      <c r="DO106" s="11">
        <f t="shared" si="210"/>
        <v>0.38997594586879275</v>
      </c>
      <c r="DP106" s="11">
        <f t="shared" si="210"/>
        <v>0.60111530432337712</v>
      </c>
      <c r="DQ106" s="11">
        <f t="shared" si="210"/>
        <v>0.51398758737813866</v>
      </c>
      <c r="DR106" s="11">
        <f t="shared" si="210"/>
        <v>0.22062055208019771</v>
      </c>
      <c r="DS106" s="11">
        <f t="shared" si="210"/>
        <v>0.28410463954627335</v>
      </c>
      <c r="DT106" s="11">
        <f t="shared" si="210"/>
        <v>0.29996492273730707</v>
      </c>
      <c r="DU106" s="11">
        <f t="shared" si="210"/>
        <v>0.25620987926522887</v>
      </c>
      <c r="DV106" s="11">
        <f t="shared" si="13"/>
        <v>1.1407733319255309</v>
      </c>
      <c r="DW106" s="11">
        <f t="shared" si="115"/>
        <v>0.40020959176377902</v>
      </c>
      <c r="DX106" s="11">
        <f t="shared" si="115"/>
        <v>1.979341324966253E-2</v>
      </c>
      <c r="DY106" s="11">
        <f t="shared" si="115"/>
        <v>0.20948035225953282</v>
      </c>
      <c r="DZ106" s="11">
        <f t="shared" si="115"/>
        <v>5.2431362897950008E-2</v>
      </c>
    </row>
    <row r="107" spans="1:130" ht="15">
      <c r="A107" s="8">
        <v>43952</v>
      </c>
      <c r="B107" s="11">
        <f t="shared" si="6"/>
        <v>-8.6350715791912985E-3</v>
      </c>
      <c r="C107" s="11">
        <f t="shared" si="6"/>
        <v>-4.441518081525174E-3</v>
      </c>
      <c r="D107" s="11">
        <f t="shared" si="7"/>
        <v>-1.0989242639759931E-2</v>
      </c>
      <c r="E107" s="11">
        <f t="shared" si="7"/>
        <v>0.13469340170070318</v>
      </c>
      <c r="F107" s="11">
        <f t="shared" si="7"/>
        <v>1.7243934073709451E-2</v>
      </c>
      <c r="G107" s="11">
        <f t="shared" si="7"/>
        <v>-4.0609479348998008E-2</v>
      </c>
      <c r="H107" s="11">
        <f t="shared" ref="H107:M107" si="211">LN(H45/H44)</f>
        <v>-9.8445865568262854E-3</v>
      </c>
      <c r="I107" s="11">
        <f t="shared" si="211"/>
        <v>4.244143936450559E-2</v>
      </c>
      <c r="J107" s="11">
        <f t="shared" si="211"/>
        <v>0.129255423576113</v>
      </c>
      <c r="K107" s="11">
        <f t="shared" si="211"/>
        <v>0.10677162332333136</v>
      </c>
      <c r="L107" s="11">
        <f t="shared" si="211"/>
        <v>0.12098659672873499</v>
      </c>
      <c r="M107" s="11">
        <f t="shared" si="211"/>
        <v>0.13954634343561853</v>
      </c>
      <c r="N107" s="11">
        <f t="shared" ref="N107:AS107" si="212">LN(N45/N44)</f>
        <v>4.7456783853279685E-2</v>
      </c>
      <c r="O107" s="11">
        <f t="shared" si="212"/>
        <v>9.9174239449979329E-2</v>
      </c>
      <c r="P107" s="11">
        <f t="shared" si="212"/>
        <v>4.1457922774944422E-2</v>
      </c>
      <c r="Q107" s="11">
        <f t="shared" si="212"/>
        <v>7.1601920043983941E-2</v>
      </c>
      <c r="R107" s="11">
        <f t="shared" si="212"/>
        <v>4.656042626598321E-2</v>
      </c>
      <c r="S107" s="11">
        <f t="shared" si="212"/>
        <v>0.15298188700269105</v>
      </c>
      <c r="T107" s="11">
        <f t="shared" si="212"/>
        <v>3.447022597506131E-2</v>
      </c>
      <c r="U107" s="11">
        <f t="shared" si="212"/>
        <v>9.6835672672864331E-3</v>
      </c>
      <c r="V107" s="11">
        <f t="shared" si="212"/>
        <v>4.8680307879623269E-2</v>
      </c>
      <c r="W107" s="11">
        <f t="shared" si="212"/>
        <v>0.11696322513136105</v>
      </c>
      <c r="X107" s="11">
        <f t="shared" si="212"/>
        <v>7.6679858168762688E-2</v>
      </c>
      <c r="Y107" s="11">
        <f t="shared" si="212"/>
        <v>1.7730796145237801E-2</v>
      </c>
      <c r="Z107" s="11">
        <f t="shared" si="212"/>
        <v>-2.2425158753639273E-2</v>
      </c>
      <c r="AA107" s="11">
        <f t="shared" si="212"/>
        <v>0.12694509737427706</v>
      </c>
      <c r="AB107" s="11">
        <f t="shared" si="212"/>
        <v>3.4798503849041283E-2</v>
      </c>
      <c r="AC107" s="11">
        <f t="shared" si="212"/>
        <v>1.3759324110199584E-2</v>
      </c>
      <c r="AD107" s="11">
        <f t="shared" si="212"/>
        <v>2.2292921231257111E-2</v>
      </c>
      <c r="AE107" s="11">
        <f t="shared" si="212"/>
        <v>8.9111120236626859E-2</v>
      </c>
      <c r="AF107" s="11">
        <f t="shared" si="212"/>
        <v>1.9729356437187918E-2</v>
      </c>
      <c r="AG107" s="11">
        <f t="shared" si="212"/>
        <v>0.14098982542701405</v>
      </c>
      <c r="AH107" s="11">
        <f t="shared" si="212"/>
        <v>0.25619083064793147</v>
      </c>
      <c r="AI107" s="11">
        <f t="shared" si="212"/>
        <v>4.4441385348421764E-2</v>
      </c>
      <c r="AJ107" s="11">
        <f t="shared" si="212"/>
        <v>7.9546611467947143E-2</v>
      </c>
      <c r="AK107" s="11">
        <f t="shared" si="212"/>
        <v>6.8585072562756491E-2</v>
      </c>
      <c r="AL107" s="11">
        <f t="shared" si="212"/>
        <v>3.9839176512475864E-2</v>
      </c>
      <c r="AM107" s="11">
        <f t="shared" si="212"/>
        <v>0.19446198696199685</v>
      </c>
      <c r="AN107" s="11">
        <f t="shared" si="212"/>
        <v>4.8011806875246511E-2</v>
      </c>
      <c r="AO107" s="11">
        <f t="shared" si="212"/>
        <v>6.9846776327227258E-2</v>
      </c>
      <c r="AP107" s="11">
        <f t="shared" si="212"/>
        <v>2.2742814234649945E-2</v>
      </c>
      <c r="AQ107" s="11">
        <f t="shared" si="212"/>
        <v>2.7704519319688529E-2</v>
      </c>
      <c r="AR107" s="11">
        <f t="shared" si="212"/>
        <v>2.6557733747610272E-2</v>
      </c>
      <c r="AS107" s="11">
        <f t="shared" si="212"/>
        <v>4.1749302633134114E-4</v>
      </c>
      <c r="AT107" s="11">
        <f t="shared" ref="AT107:BY107" si="213">LN(AT45/AT44)</f>
        <v>3.0108271189319469E-2</v>
      </c>
      <c r="AU107" s="11">
        <f t="shared" si="213"/>
        <v>-3.547158526811036E-2</v>
      </c>
      <c r="AV107" s="11">
        <f t="shared" si="213"/>
        <v>9.0292505992802599E-2</v>
      </c>
      <c r="AW107" s="11">
        <f t="shared" si="213"/>
        <v>5.074948806196436E-2</v>
      </c>
      <c r="AX107" s="11">
        <f t="shared" si="213"/>
        <v>0.13201326336641553</v>
      </c>
      <c r="AY107" s="11">
        <f t="shared" si="213"/>
        <v>7.8963419516668423E-2</v>
      </c>
      <c r="AZ107" s="11">
        <f t="shared" si="213"/>
        <v>7.6297607729656783E-2</v>
      </c>
      <c r="BA107" s="11">
        <f t="shared" si="213"/>
        <v>9.8501408191117731E-2</v>
      </c>
      <c r="BB107" s="11">
        <f t="shared" si="213"/>
        <v>0.10527421551987821</v>
      </c>
      <c r="BC107" s="11">
        <f t="shared" si="213"/>
        <v>0.11099717806459458</v>
      </c>
      <c r="BD107" s="11">
        <f t="shared" si="213"/>
        <v>-4.8337313315753652E-2</v>
      </c>
      <c r="BE107" s="11">
        <f t="shared" si="213"/>
        <v>-2.4144025642073089E-2</v>
      </c>
      <c r="BF107" s="11">
        <f t="shared" si="213"/>
        <v>-5.2698284245511545E-3</v>
      </c>
      <c r="BG107" s="11">
        <f t="shared" si="213"/>
        <v>-1.2867394607529382E-2</v>
      </c>
      <c r="BH107" s="11">
        <f t="shared" si="213"/>
        <v>0.13397055800265023</v>
      </c>
      <c r="BI107" s="11">
        <f t="shared" si="213"/>
        <v>0.22181694337905108</v>
      </c>
      <c r="BJ107" s="11">
        <f t="shared" si="213"/>
        <v>0.14933232223492227</v>
      </c>
      <c r="BK107" s="11">
        <f t="shared" si="213"/>
        <v>-6.6329710581276994E-3</v>
      </c>
      <c r="BL107" s="11">
        <f t="shared" si="213"/>
        <v>1.6287931778203819E-2</v>
      </c>
      <c r="BM107" s="11">
        <f t="shared" si="213"/>
        <v>4.0762405796303497E-2</v>
      </c>
      <c r="BN107" s="11">
        <f t="shared" si="213"/>
        <v>0.12289331146866431</v>
      </c>
      <c r="BO107" s="11">
        <f t="shared" si="213"/>
        <v>0.12250756171785208</v>
      </c>
      <c r="BP107" s="11">
        <f t="shared" si="213"/>
        <v>4.8075575942100518E-2</v>
      </c>
      <c r="BQ107" s="11">
        <f t="shared" si="213"/>
        <v>8.2911951675408616E-2</v>
      </c>
      <c r="BR107" s="11">
        <f t="shared" si="213"/>
        <v>0.1294819944224713</v>
      </c>
      <c r="BS107" s="11">
        <f t="shared" si="213"/>
        <v>0.10191537198193372</v>
      </c>
      <c r="BT107" s="11">
        <f t="shared" si="213"/>
        <v>-1.011386623692867E-2</v>
      </c>
      <c r="BU107" s="11">
        <f t="shared" si="213"/>
        <v>3.7470346521870403E-2</v>
      </c>
      <c r="BV107" s="11">
        <f t="shared" si="213"/>
        <v>6.3972116078450089E-2</v>
      </c>
      <c r="BW107" s="11">
        <f t="shared" si="213"/>
        <v>0.30869587698051426</v>
      </c>
      <c r="BX107" s="11">
        <f t="shared" si="213"/>
        <v>0.18481597134177369</v>
      </c>
      <c r="BY107" s="11">
        <f t="shared" si="213"/>
        <v>0.14172671888211449</v>
      </c>
      <c r="BZ107" s="11">
        <f t="shared" ref="BZ107:DE107" si="214">LN(BZ45/BZ44)</f>
        <v>-1.003494073450356E-2</v>
      </c>
      <c r="CA107" s="11">
        <f t="shared" si="214"/>
        <v>1.7068537909940937E-2</v>
      </c>
      <c r="CB107" s="11">
        <f t="shared" si="214"/>
        <v>-5.6094406991534108E-3</v>
      </c>
      <c r="CC107" s="11">
        <f t="shared" si="214"/>
        <v>-1.6761664323115242E-2</v>
      </c>
      <c r="CD107" s="11">
        <f t="shared" si="214"/>
        <v>4.1168793180791627E-2</v>
      </c>
      <c r="CE107" s="11">
        <f t="shared" si="214"/>
        <v>1.4037970531941564E-2</v>
      </c>
      <c r="CF107" s="11">
        <f t="shared" si="214"/>
        <v>7.7088529101444741E-3</v>
      </c>
      <c r="CG107" s="11">
        <f t="shared" si="214"/>
        <v>0.11283276054590707</v>
      </c>
      <c r="CH107" s="11">
        <f t="shared" si="214"/>
        <v>1.3132537264003284E-2</v>
      </c>
      <c r="CI107" s="11">
        <f t="shared" si="214"/>
        <v>5.2557620916825899E-2</v>
      </c>
      <c r="CJ107" s="11">
        <f t="shared" si="214"/>
        <v>3.4952990340139579E-2</v>
      </c>
      <c r="CK107" s="11">
        <f t="shared" si="214"/>
        <v>4.6052445780908301E-3</v>
      </c>
      <c r="CL107" s="11">
        <f t="shared" si="214"/>
        <v>-9.1177546786610879E-3</v>
      </c>
      <c r="CM107" s="11">
        <f t="shared" si="214"/>
        <v>4.6324795054119315E-2</v>
      </c>
      <c r="CN107" s="11">
        <f t="shared" si="214"/>
        <v>-2.9052103441137116E-3</v>
      </c>
      <c r="CO107" s="11">
        <f t="shared" si="214"/>
        <v>0.1146406391094391</v>
      </c>
      <c r="CP107" s="11">
        <f t="shared" si="214"/>
        <v>7.0068788155215139E-2</v>
      </c>
      <c r="CQ107" s="11">
        <f t="shared" si="214"/>
        <v>0.10650323942828105</v>
      </c>
      <c r="CR107" s="11">
        <f t="shared" si="214"/>
        <v>2.7326967529979328E-2</v>
      </c>
      <c r="CS107" s="11">
        <f t="shared" si="214"/>
        <v>-5.4027252749015174E-2</v>
      </c>
      <c r="CT107" s="11">
        <f t="shared" si="214"/>
        <v>-0.11627254910880884</v>
      </c>
      <c r="CU107" s="11">
        <f t="shared" si="214"/>
        <v>-6.2359079664638932E-2</v>
      </c>
      <c r="CV107" s="11">
        <f t="shared" si="214"/>
        <v>5.1974294145197657E-2</v>
      </c>
      <c r="CW107" s="11">
        <f t="shared" si="214"/>
        <v>2.9458315708964997E-2</v>
      </c>
      <c r="CX107" s="11">
        <f t="shared" si="214"/>
        <v>-7.016177869193338E-2</v>
      </c>
      <c r="CY107" s="11">
        <f t="shared" si="214"/>
        <v>-3.9920375011938694E-2</v>
      </c>
      <c r="CZ107" s="11">
        <f t="shared" si="214"/>
        <v>0.12305008670356479</v>
      </c>
      <c r="DA107" s="11">
        <f t="shared" si="214"/>
        <v>0.1662200013381801</v>
      </c>
      <c r="DB107" s="11">
        <f t="shared" si="214"/>
        <v>0.28501041710897645</v>
      </c>
      <c r="DC107" s="11">
        <f t="shared" si="214"/>
        <v>9.4551278531200392E-2</v>
      </c>
      <c r="DD107" s="11">
        <f t="shared" si="214"/>
        <v>-0.13473249895104986</v>
      </c>
      <c r="DE107" s="11">
        <f t="shared" si="214"/>
        <v>0.16345762231341274</v>
      </c>
      <c r="DF107" s="11">
        <f t="shared" ref="DF107:DU107" si="215">LN(DF45/DF44)</f>
        <v>-2.8248083973567369E-2</v>
      </c>
      <c r="DG107" s="11">
        <f t="shared" si="215"/>
        <v>0.27871340246902065</v>
      </c>
      <c r="DH107" s="11">
        <f t="shared" si="215"/>
        <v>2.4112743375490811E-2</v>
      </c>
      <c r="DI107" s="11">
        <f t="shared" si="215"/>
        <v>-2.1754267821071614E-2</v>
      </c>
      <c r="DJ107" s="11">
        <f t="shared" si="215"/>
        <v>-3.2664283452451038E-3</v>
      </c>
      <c r="DK107" s="11">
        <f t="shared" si="215"/>
        <v>1.8984279248006216E-3</v>
      </c>
      <c r="DL107" s="11">
        <f t="shared" si="215"/>
        <v>2.5317898087332369E-2</v>
      </c>
      <c r="DM107" s="11">
        <f t="shared" si="215"/>
        <v>7.9216864752355426E-2</v>
      </c>
      <c r="DN107" s="11">
        <f t="shared" si="215"/>
        <v>-2.4348282176787289E-2</v>
      </c>
      <c r="DO107" s="11">
        <f t="shared" si="215"/>
        <v>-0.24830644989810988</v>
      </c>
      <c r="DP107" s="11">
        <f t="shared" si="215"/>
        <v>-0.14285397352859178</v>
      </c>
      <c r="DQ107" s="11">
        <f t="shared" si="215"/>
        <v>-2.2295404472209485E-2</v>
      </c>
      <c r="DR107" s="11">
        <f t="shared" si="215"/>
        <v>9.3578493547465863E-2</v>
      </c>
      <c r="DS107" s="11">
        <f t="shared" si="215"/>
        <v>0.16848663051460688</v>
      </c>
      <c r="DT107" s="11">
        <f t="shared" si="215"/>
        <v>-0.18569426736414146</v>
      </c>
      <c r="DU107" s="11">
        <f t="shared" si="215"/>
        <v>-1.354062902676624E-2</v>
      </c>
      <c r="DV107" s="11">
        <f t="shared" si="13"/>
        <v>-0.18951202850097026</v>
      </c>
      <c r="DW107" s="11">
        <f t="shared" ref="DW107:DZ123" si="216">LN(DW45/DW44)</f>
        <v>6.573044876603433E-2</v>
      </c>
      <c r="DX107" s="11">
        <f t="shared" si="216"/>
        <v>8.8410947333091586E-2</v>
      </c>
      <c r="DY107" s="11">
        <f t="shared" si="216"/>
        <v>7.7615529436093317E-2</v>
      </c>
      <c r="DZ107" s="11">
        <f t="shared" si="216"/>
        <v>0.11494119310548753</v>
      </c>
    </row>
    <row r="108" spans="1:130" ht="15">
      <c r="A108" s="8">
        <v>43983</v>
      </c>
      <c r="B108" s="11">
        <f t="shared" si="6"/>
        <v>-4.9226328439674012E-2</v>
      </c>
      <c r="C108" s="11">
        <f t="shared" si="6"/>
        <v>-0.14528215443176226</v>
      </c>
      <c r="D108" s="11">
        <f t="shared" si="7"/>
        <v>7.5549053645800987E-2</v>
      </c>
      <c r="E108" s="11">
        <f t="shared" si="7"/>
        <v>5.7757845132585514E-2</v>
      </c>
      <c r="F108" s="11">
        <f t="shared" si="7"/>
        <v>-4.290447202895642E-2</v>
      </c>
      <c r="G108" s="11">
        <f t="shared" si="7"/>
        <v>3.3210125906585536E-2</v>
      </c>
      <c r="H108" s="11">
        <f t="shared" ref="H108:M108" si="217">LN(H46/H45)</f>
        <v>-1.5525303645704603E-2</v>
      </c>
      <c r="I108" s="11">
        <f t="shared" si="217"/>
        <v>3.6966935435591708E-2</v>
      </c>
      <c r="J108" s="11">
        <f t="shared" si="217"/>
        <v>1.9907938633042369E-2</v>
      </c>
      <c r="K108" s="11">
        <f t="shared" si="217"/>
        <v>6.6624533488345475E-2</v>
      </c>
      <c r="L108" s="11">
        <f t="shared" si="217"/>
        <v>6.9160268681236703E-2</v>
      </c>
      <c r="M108" s="11">
        <f t="shared" si="217"/>
        <v>2.6061711238638255E-3</v>
      </c>
      <c r="N108" s="11">
        <f t="shared" ref="N108:AS108" si="218">LN(N46/N45)</f>
        <v>-5.2448533241886364E-2</v>
      </c>
      <c r="O108" s="11">
        <f t="shared" si="218"/>
        <v>1.3183159282663594E-2</v>
      </c>
      <c r="P108" s="11">
        <f t="shared" si="218"/>
        <v>-3.301389285638507E-2</v>
      </c>
      <c r="Q108" s="11">
        <f t="shared" si="218"/>
        <v>-9.1926647785094944E-3</v>
      </c>
      <c r="R108" s="11">
        <f t="shared" si="218"/>
        <v>-0.11187573846476564</v>
      </c>
      <c r="S108" s="11">
        <f t="shared" si="218"/>
        <v>1.7534376740623515E-2</v>
      </c>
      <c r="T108" s="11">
        <f t="shared" si="218"/>
        <v>-3.7460604088999365E-2</v>
      </c>
      <c r="U108" s="11">
        <f t="shared" si="218"/>
        <v>-7.2345943696720039E-2</v>
      </c>
      <c r="V108" s="11">
        <f t="shared" si="218"/>
        <v>-8.2724497478127712E-2</v>
      </c>
      <c r="W108" s="11">
        <f t="shared" si="218"/>
        <v>-5.868067434952258E-2</v>
      </c>
      <c r="X108" s="11">
        <f t="shared" si="218"/>
        <v>-1.7002777784743496E-2</v>
      </c>
      <c r="Y108" s="11">
        <f t="shared" si="218"/>
        <v>-5.9746652341908707E-2</v>
      </c>
      <c r="Z108" s="11">
        <f t="shared" si="218"/>
        <v>-3.1512118622967558E-2</v>
      </c>
      <c r="AA108" s="11">
        <f t="shared" si="218"/>
        <v>-1.7741755610256298E-2</v>
      </c>
      <c r="AB108" s="11">
        <f t="shared" si="218"/>
        <v>0.17954556194379814</v>
      </c>
      <c r="AC108" s="11">
        <f t="shared" si="218"/>
        <v>-4.441131160243509E-2</v>
      </c>
      <c r="AD108" s="11">
        <f t="shared" si="218"/>
        <v>0.10764512491823189</v>
      </c>
      <c r="AE108" s="11">
        <f t="shared" si="218"/>
        <v>0.11866785418268523</v>
      </c>
      <c r="AF108" s="11">
        <f t="shared" si="218"/>
        <v>2.7514709362013036E-2</v>
      </c>
      <c r="AG108" s="11">
        <f t="shared" si="218"/>
        <v>7.4999888530577138E-2</v>
      </c>
      <c r="AH108" s="11">
        <f t="shared" si="218"/>
        <v>-1.3961958636750914E-2</v>
      </c>
      <c r="AI108" s="11">
        <f t="shared" si="218"/>
        <v>-5.7220191063243074E-2</v>
      </c>
      <c r="AJ108" s="11">
        <f t="shared" si="218"/>
        <v>1.2119082988584778E-2</v>
      </c>
      <c r="AK108" s="11">
        <f t="shared" si="218"/>
        <v>-0.13868709306834903</v>
      </c>
      <c r="AL108" s="11">
        <f t="shared" si="218"/>
        <v>-3.8260644219426078E-2</v>
      </c>
      <c r="AM108" s="11">
        <f t="shared" si="218"/>
        <v>6.7760134997682478E-2</v>
      </c>
      <c r="AN108" s="11">
        <f t="shared" si="218"/>
        <v>-4.4882892642437951E-2</v>
      </c>
      <c r="AO108" s="11">
        <f t="shared" si="218"/>
        <v>8.0256502033068874E-2</v>
      </c>
      <c r="AP108" s="11">
        <f t="shared" si="218"/>
        <v>7.4798515300984872E-2</v>
      </c>
      <c r="AQ108" s="11">
        <f t="shared" si="218"/>
        <v>0.1201979245048158</v>
      </c>
      <c r="AR108" s="11">
        <f t="shared" si="218"/>
        <v>-2.2367251425022883E-2</v>
      </c>
      <c r="AS108" s="11">
        <f t="shared" si="218"/>
        <v>7.2646013263051409E-2</v>
      </c>
      <c r="AT108" s="11">
        <f t="shared" ref="AT108:BY108" si="219">LN(AT46/AT45)</f>
        <v>8.772875255572056E-2</v>
      </c>
      <c r="AU108" s="11">
        <f t="shared" si="219"/>
        <v>0.17115959628968277</v>
      </c>
      <c r="AV108" s="11">
        <f t="shared" si="219"/>
        <v>9.6535909214119059E-2</v>
      </c>
      <c r="AW108" s="11">
        <f t="shared" si="219"/>
        <v>7.2099702049884209E-2</v>
      </c>
      <c r="AX108" s="11">
        <f t="shared" si="219"/>
        <v>7.960256706901489E-2</v>
      </c>
      <c r="AY108" s="11">
        <f t="shared" si="219"/>
        <v>0.14018999698366341</v>
      </c>
      <c r="AZ108" s="11">
        <f t="shared" si="219"/>
        <v>6.9286514125972434E-2</v>
      </c>
      <c r="BA108" s="11">
        <f t="shared" si="219"/>
        <v>4.3210293305964077E-2</v>
      </c>
      <c r="BB108" s="11">
        <f t="shared" si="219"/>
        <v>7.8155583321973268E-2</v>
      </c>
      <c r="BC108" s="11">
        <f t="shared" si="219"/>
        <v>-7.0394283704993676E-2</v>
      </c>
      <c r="BD108" s="11">
        <f t="shared" si="219"/>
        <v>0.10504947095080058</v>
      </c>
      <c r="BE108" s="11">
        <f t="shared" si="219"/>
        <v>0.14085247297630241</v>
      </c>
      <c r="BF108" s="11">
        <f t="shared" si="219"/>
        <v>-2.0303329144263808E-2</v>
      </c>
      <c r="BG108" s="11">
        <f t="shared" si="219"/>
        <v>0.1218341727147353</v>
      </c>
      <c r="BH108" s="11">
        <f t="shared" si="219"/>
        <v>0.14489326405414343</v>
      </c>
      <c r="BI108" s="11">
        <f t="shared" si="219"/>
        <v>0.27140434418790699</v>
      </c>
      <c r="BJ108" s="11">
        <f t="shared" si="219"/>
        <v>-2.2666073899225175E-2</v>
      </c>
      <c r="BK108" s="11">
        <f t="shared" si="219"/>
        <v>-3.3338943908636709E-3</v>
      </c>
      <c r="BL108" s="11">
        <f t="shared" si="219"/>
        <v>-5.2436158145618125E-2</v>
      </c>
      <c r="BM108" s="11">
        <f t="shared" si="219"/>
        <v>-1.4283175019837996E-2</v>
      </c>
      <c r="BN108" s="11">
        <f t="shared" si="219"/>
        <v>-2.8994112311674833E-3</v>
      </c>
      <c r="BO108" s="11">
        <f t="shared" si="219"/>
        <v>8.1364305489738196E-3</v>
      </c>
      <c r="BP108" s="11">
        <f t="shared" si="219"/>
        <v>-1.6003656499880156E-2</v>
      </c>
      <c r="BQ108" s="11">
        <f t="shared" si="219"/>
        <v>-2.3023957363922192E-2</v>
      </c>
      <c r="BR108" s="11">
        <f t="shared" si="219"/>
        <v>1.1566569870737507E-2</v>
      </c>
      <c r="BS108" s="11">
        <f t="shared" si="219"/>
        <v>-2.9137888288570245E-2</v>
      </c>
      <c r="BT108" s="11">
        <f t="shared" si="219"/>
        <v>4.2294861035025187E-2</v>
      </c>
      <c r="BU108" s="11">
        <f t="shared" si="219"/>
        <v>-2.6710228926389593E-2</v>
      </c>
      <c r="BV108" s="11">
        <f t="shared" si="219"/>
        <v>-4.3434516599523888E-2</v>
      </c>
      <c r="BW108" s="11">
        <f t="shared" si="219"/>
        <v>-7.8345286187814694E-2</v>
      </c>
      <c r="BX108" s="11">
        <f t="shared" si="219"/>
        <v>8.0242707148226428E-2</v>
      </c>
      <c r="BY108" s="11">
        <f t="shared" si="219"/>
        <v>2.2217862071176375E-2</v>
      </c>
      <c r="BZ108" s="11">
        <f t="shared" ref="BZ108:DE108" si="220">LN(BZ46/BZ45)</f>
        <v>3.100170961352983E-2</v>
      </c>
      <c r="CA108" s="11">
        <f t="shared" si="220"/>
        <v>-4.378966093684461E-2</v>
      </c>
      <c r="CB108" s="11">
        <f t="shared" si="220"/>
        <v>5.3819050983311342E-3</v>
      </c>
      <c r="CC108" s="11">
        <f t="shared" si="220"/>
        <v>-4.6027165788997682E-2</v>
      </c>
      <c r="CD108" s="11">
        <f t="shared" si="220"/>
        <v>2.3870730543173374E-2</v>
      </c>
      <c r="CE108" s="11">
        <f t="shared" si="220"/>
        <v>-4.5244620175170704E-2</v>
      </c>
      <c r="CF108" s="11">
        <f t="shared" si="220"/>
        <v>5.0332849882481025E-2</v>
      </c>
      <c r="CG108" s="11">
        <f t="shared" si="220"/>
        <v>-4.5534137783299358E-2</v>
      </c>
      <c r="CH108" s="11">
        <f t="shared" si="220"/>
        <v>-1.9177133447068759E-2</v>
      </c>
      <c r="CI108" s="11">
        <f t="shared" si="220"/>
        <v>1.8179921967543807E-2</v>
      </c>
      <c r="CJ108" s="11">
        <f t="shared" si="220"/>
        <v>1.2775567073026782E-2</v>
      </c>
      <c r="CK108" s="11">
        <f t="shared" si="220"/>
        <v>5.8524343443286636E-2</v>
      </c>
      <c r="CL108" s="11">
        <f t="shared" si="220"/>
        <v>-9.1059658134895732E-3</v>
      </c>
      <c r="CM108" s="11">
        <f t="shared" si="220"/>
        <v>-1.1534596722890632E-2</v>
      </c>
      <c r="CN108" s="11">
        <f t="shared" si="220"/>
        <v>2.0169504565460399E-2</v>
      </c>
      <c r="CO108" s="11">
        <f t="shared" si="220"/>
        <v>2.397400051675987E-2</v>
      </c>
      <c r="CP108" s="11">
        <f t="shared" si="220"/>
        <v>3.2545879355129544E-2</v>
      </c>
      <c r="CQ108" s="11">
        <f t="shared" si="220"/>
        <v>6.1670906292024527E-2</v>
      </c>
      <c r="CR108" s="11">
        <f t="shared" si="220"/>
        <v>-2.6837919977465974E-2</v>
      </c>
      <c r="CS108" s="11">
        <f t="shared" si="220"/>
        <v>0.20475097252680147</v>
      </c>
      <c r="CT108" s="11">
        <f t="shared" si="220"/>
        <v>2.9852963149681128E-2</v>
      </c>
      <c r="CU108" s="11">
        <f t="shared" si="220"/>
        <v>-0.20196164287396817</v>
      </c>
      <c r="CV108" s="11">
        <f t="shared" si="220"/>
        <v>0.11931777407100881</v>
      </c>
      <c r="CW108" s="11">
        <f t="shared" si="220"/>
        <v>7.1379810968816459E-2</v>
      </c>
      <c r="CX108" s="11">
        <f t="shared" si="220"/>
        <v>-1.515180502060222E-2</v>
      </c>
      <c r="CY108" s="11">
        <f t="shared" si="220"/>
        <v>1.8033979510214532E-2</v>
      </c>
      <c r="CZ108" s="11">
        <f t="shared" si="220"/>
        <v>0.10578068373123455</v>
      </c>
      <c r="DA108" s="11">
        <f t="shared" si="220"/>
        <v>4.3485111939738891E-2</v>
      </c>
      <c r="DB108" s="11">
        <f t="shared" si="220"/>
        <v>0.30833411700444985</v>
      </c>
      <c r="DC108" s="11">
        <f t="shared" si="220"/>
        <v>0.17310037656239013</v>
      </c>
      <c r="DD108" s="11">
        <f t="shared" si="220"/>
        <v>0.18791454017083972</v>
      </c>
      <c r="DE108" s="11">
        <f t="shared" si="220"/>
        <v>-8.8057082295391973E-3</v>
      </c>
      <c r="DF108" s="11">
        <f t="shared" ref="DF108:DU108" si="221">LN(DF46/DF45)</f>
        <v>2.3038110742432411E-2</v>
      </c>
      <c r="DG108" s="11">
        <f t="shared" si="221"/>
        <v>-8.1411575836998849E-3</v>
      </c>
      <c r="DH108" s="11">
        <f t="shared" si="221"/>
        <v>9.4148723037167953E-2</v>
      </c>
      <c r="DI108" s="11">
        <f t="shared" si="221"/>
        <v>2.5715939407543907E-3</v>
      </c>
      <c r="DJ108" s="11">
        <f t="shared" si="221"/>
        <v>-1.2730743006246702E-2</v>
      </c>
      <c r="DK108" s="11">
        <f t="shared" si="221"/>
        <v>6.1497319345220087E-3</v>
      </c>
      <c r="DL108" s="11">
        <f t="shared" si="221"/>
        <v>6.4470229240633239E-2</v>
      </c>
      <c r="DM108" s="11">
        <f t="shared" si="221"/>
        <v>-6.1007236875112074E-3</v>
      </c>
      <c r="DN108" s="11">
        <f t="shared" si="221"/>
        <v>8.7485437442843331E-2</v>
      </c>
      <c r="DO108" s="11">
        <f t="shared" si="221"/>
        <v>0.34580525688627201</v>
      </c>
      <c r="DP108" s="11">
        <f t="shared" si="221"/>
        <v>4.7864625198566831E-2</v>
      </c>
      <c r="DQ108" s="11">
        <f t="shared" si="221"/>
        <v>-8.7924214145646464E-3</v>
      </c>
      <c r="DR108" s="11">
        <f t="shared" si="221"/>
        <v>-4.3402741297827886E-3</v>
      </c>
      <c r="DS108" s="11">
        <f t="shared" si="221"/>
        <v>-5.8506590782342632E-2</v>
      </c>
      <c r="DT108" s="11">
        <f t="shared" si="221"/>
        <v>-7.8692143246123961E-2</v>
      </c>
      <c r="DU108" s="11">
        <f t="shared" si="221"/>
        <v>-1.7799822701209118E-2</v>
      </c>
      <c r="DV108" s="11">
        <f t="shared" si="13"/>
        <v>0.22406991995620495</v>
      </c>
      <c r="DW108" s="11">
        <f t="shared" si="216"/>
        <v>0.25710865386470305</v>
      </c>
      <c r="DX108" s="11">
        <f t="shared" si="216"/>
        <v>1.3540603108354672E-2</v>
      </c>
      <c r="DY108" s="11">
        <f t="shared" si="216"/>
        <v>6.4353807255427956E-2</v>
      </c>
      <c r="DZ108" s="11">
        <f t="shared" si="216"/>
        <v>6.2785672310156804E-2</v>
      </c>
    </row>
    <row r="109" spans="1:130" ht="15">
      <c r="A109" s="8">
        <v>44013</v>
      </c>
      <c r="B109" s="11">
        <f t="shared" si="6"/>
        <v>3.5829525387854194E-2</v>
      </c>
      <c r="C109" s="11">
        <f t="shared" si="6"/>
        <v>0.16276356990016927</v>
      </c>
      <c r="D109" s="11">
        <f t="shared" si="7"/>
        <v>-8.839638876067446E-2</v>
      </c>
      <c r="E109" s="11">
        <f t="shared" si="7"/>
        <v>-3.3873430877213583E-2</v>
      </c>
      <c r="F109" s="11">
        <f t="shared" si="7"/>
        <v>4.4857670700034623E-2</v>
      </c>
      <c r="G109" s="11">
        <f t="shared" si="7"/>
        <v>3.6672050353856955E-2</v>
      </c>
      <c r="H109" s="11">
        <f t="shared" ref="H109:M109" si="222">LN(H47/H46)</f>
        <v>-2.3838279154163055E-3</v>
      </c>
      <c r="I109" s="11">
        <f t="shared" si="222"/>
        <v>0.13381629363597966</v>
      </c>
      <c r="J109" s="11">
        <f t="shared" si="222"/>
        <v>3.1390864622408123E-2</v>
      </c>
      <c r="K109" s="11">
        <f t="shared" si="222"/>
        <v>0.18624628177356975</v>
      </c>
      <c r="L109" s="11">
        <f t="shared" si="222"/>
        <v>7.1712406506904691E-2</v>
      </c>
      <c r="M109" s="11">
        <f t="shared" si="222"/>
        <v>8.8344873845176447E-2</v>
      </c>
      <c r="N109" s="11">
        <f t="shared" ref="N109:AS109" si="223">LN(N47/N46)</f>
        <v>0.1100787161689078</v>
      </c>
      <c r="O109" s="11">
        <f t="shared" si="223"/>
        <v>0.1490212553516915</v>
      </c>
      <c r="P109" s="11">
        <f t="shared" si="223"/>
        <v>3.0498027102461384E-2</v>
      </c>
      <c r="Q109" s="11">
        <f t="shared" si="223"/>
        <v>-3.1743713442137701E-2</v>
      </c>
      <c r="R109" s="11">
        <f t="shared" si="223"/>
        <v>4.3485219128648764E-2</v>
      </c>
      <c r="S109" s="11">
        <f t="shared" si="223"/>
        <v>1.3410833935430492E-2</v>
      </c>
      <c r="T109" s="11">
        <f t="shared" si="223"/>
        <v>9.5976074305918188E-2</v>
      </c>
      <c r="U109" s="11">
        <f t="shared" si="223"/>
        <v>5.7356607995521336E-2</v>
      </c>
      <c r="V109" s="11">
        <f t="shared" si="223"/>
        <v>7.3546175767041436E-2</v>
      </c>
      <c r="W109" s="11">
        <f t="shared" si="223"/>
        <v>0.17524793916480919</v>
      </c>
      <c r="X109" s="11">
        <f t="shared" si="223"/>
        <v>0.10150041818676098</v>
      </c>
      <c r="Y109" s="11">
        <f t="shared" si="223"/>
        <v>1.8642319164271406E-3</v>
      </c>
      <c r="Z109" s="11">
        <f t="shared" si="223"/>
        <v>0.1652408092570628</v>
      </c>
      <c r="AA109" s="11">
        <f t="shared" si="223"/>
        <v>0.18472289708883674</v>
      </c>
      <c r="AB109" s="11">
        <f t="shared" si="223"/>
        <v>5.329387742770867E-2</v>
      </c>
      <c r="AC109" s="11">
        <f t="shared" si="223"/>
        <v>5.958020349677246E-3</v>
      </c>
      <c r="AD109" s="11">
        <f t="shared" si="223"/>
        <v>7.3432346916968965E-3</v>
      </c>
      <c r="AE109" s="11">
        <f t="shared" si="223"/>
        <v>2.048660260157362E-2</v>
      </c>
      <c r="AF109" s="11">
        <f t="shared" si="223"/>
        <v>3.2514120633380765E-3</v>
      </c>
      <c r="AG109" s="11">
        <f t="shared" si="223"/>
        <v>2.141018315327272E-2</v>
      </c>
      <c r="AH109" s="11">
        <f t="shared" si="223"/>
        <v>7.4754494071443117E-3</v>
      </c>
      <c r="AI109" s="11">
        <f t="shared" si="223"/>
        <v>2.3178500555413241E-2</v>
      </c>
      <c r="AJ109" s="11">
        <f t="shared" si="223"/>
        <v>4.8750143625547464E-2</v>
      </c>
      <c r="AK109" s="11">
        <f t="shared" si="223"/>
        <v>8.4234635062412397E-2</v>
      </c>
      <c r="AL109" s="11">
        <f t="shared" si="223"/>
        <v>-2.6001900650352301E-2</v>
      </c>
      <c r="AM109" s="11">
        <f t="shared" si="223"/>
        <v>0.11164577092657049</v>
      </c>
      <c r="AN109" s="11">
        <f t="shared" si="223"/>
        <v>-0.2259471405336167</v>
      </c>
      <c r="AO109" s="11">
        <f t="shared" si="223"/>
        <v>1.3855163154939338E-2</v>
      </c>
      <c r="AP109" s="11">
        <f t="shared" si="223"/>
        <v>4.5574230506883699E-3</v>
      </c>
      <c r="AQ109" s="11">
        <f t="shared" si="223"/>
        <v>0.15429855336451381</v>
      </c>
      <c r="AR109" s="11">
        <f t="shared" si="223"/>
        <v>0.38646808665591648</v>
      </c>
      <c r="AS109" s="11">
        <f t="shared" si="223"/>
        <v>-2.8747952267476683E-2</v>
      </c>
      <c r="AT109" s="11">
        <f t="shared" ref="AT109:BY109" si="224">LN(AT47/AT46)</f>
        <v>-6.5626182232262825E-2</v>
      </c>
      <c r="AU109" s="11">
        <f t="shared" si="224"/>
        <v>3.3811419900287652E-2</v>
      </c>
      <c r="AV109" s="11">
        <f t="shared" si="224"/>
        <v>-3.458638505694913E-2</v>
      </c>
      <c r="AW109" s="11">
        <f t="shared" si="224"/>
        <v>8.7155366312778704E-2</v>
      </c>
      <c r="AX109" s="11">
        <f t="shared" si="224"/>
        <v>0.1297902970840957</v>
      </c>
      <c r="AY109" s="11">
        <f t="shared" si="224"/>
        <v>0.15283397600069237</v>
      </c>
      <c r="AZ109" s="11">
        <f t="shared" si="224"/>
        <v>3.9358264311750588E-2</v>
      </c>
      <c r="BA109" s="11">
        <f t="shared" si="224"/>
        <v>8.0919685913486722E-2</v>
      </c>
      <c r="BB109" s="11">
        <f t="shared" si="224"/>
        <v>1.7812255833469976E-2</v>
      </c>
      <c r="BC109" s="11">
        <f t="shared" si="224"/>
        <v>-8.8703427083936526E-3</v>
      </c>
      <c r="BD109" s="11">
        <f t="shared" si="224"/>
        <v>3.6710544900481784E-2</v>
      </c>
      <c r="BE109" s="11">
        <f t="shared" si="224"/>
        <v>1.8302311942454394E-2</v>
      </c>
      <c r="BF109" s="11">
        <f t="shared" si="224"/>
        <v>1.7808313767360796E-2</v>
      </c>
      <c r="BG109" s="11">
        <f t="shared" si="224"/>
        <v>0.13724889256191516</v>
      </c>
      <c r="BH109" s="11">
        <f t="shared" si="224"/>
        <v>5.255089315710007E-2</v>
      </c>
      <c r="BI109" s="11">
        <f t="shared" si="224"/>
        <v>0.1082932344706569</v>
      </c>
      <c r="BJ109" s="11">
        <f t="shared" si="224"/>
        <v>-1.6338279353973934E-2</v>
      </c>
      <c r="BK109" s="11">
        <f t="shared" si="224"/>
        <v>5.1813857651869001E-2</v>
      </c>
      <c r="BL109" s="11">
        <f t="shared" si="224"/>
        <v>3.9173584124109755E-2</v>
      </c>
      <c r="BM109" s="11">
        <f t="shared" si="224"/>
        <v>1.7143933197626166E-3</v>
      </c>
      <c r="BN109" s="11">
        <f t="shared" si="224"/>
        <v>-4.4975280088638001E-3</v>
      </c>
      <c r="BO109" s="11">
        <f t="shared" si="224"/>
        <v>6.4031903325287978E-2</v>
      </c>
      <c r="BP109" s="11">
        <f t="shared" si="224"/>
        <v>-2.9487534447495793E-2</v>
      </c>
      <c r="BQ109" s="11">
        <f t="shared" si="224"/>
        <v>5.7869567001093275E-2</v>
      </c>
      <c r="BR109" s="11">
        <f t="shared" si="224"/>
        <v>8.7762759532239235E-3</v>
      </c>
      <c r="BS109" s="11">
        <f t="shared" si="224"/>
        <v>4.2895279928523267E-2</v>
      </c>
      <c r="BT109" s="11">
        <f t="shared" si="224"/>
        <v>-0.16805114894562381</v>
      </c>
      <c r="BU109" s="11">
        <f t="shared" si="224"/>
        <v>4.6535857415507566E-2</v>
      </c>
      <c r="BV109" s="11">
        <f t="shared" si="224"/>
        <v>4.7467744419792818E-2</v>
      </c>
      <c r="BW109" s="11">
        <f t="shared" si="224"/>
        <v>0.48894470229916293</v>
      </c>
      <c r="BX109" s="11">
        <f t="shared" si="224"/>
        <v>7.9814629874571302E-2</v>
      </c>
      <c r="BY109" s="11">
        <f t="shared" si="224"/>
        <v>5.4259984654119901E-2</v>
      </c>
      <c r="BZ109" s="11">
        <f t="shared" ref="BZ109:DE109" si="225">LN(BZ47/BZ46)</f>
        <v>9.2211184016136441E-2</v>
      </c>
      <c r="CA109" s="11">
        <f t="shared" si="225"/>
        <v>6.4758851831333231E-2</v>
      </c>
      <c r="CB109" s="11">
        <f t="shared" si="225"/>
        <v>4.7749944250140133E-2</v>
      </c>
      <c r="CC109" s="11">
        <f t="shared" si="225"/>
        <v>0.10779104879911186</v>
      </c>
      <c r="CD109" s="11">
        <f t="shared" si="225"/>
        <v>9.7163769587702661E-2</v>
      </c>
      <c r="CE109" s="11">
        <f t="shared" si="225"/>
        <v>9.1317722840058221E-2</v>
      </c>
      <c r="CF109" s="11">
        <f t="shared" si="225"/>
        <v>0.10855023894605836</v>
      </c>
      <c r="CG109" s="11">
        <f t="shared" si="225"/>
        <v>4.5888351046385813E-2</v>
      </c>
      <c r="CH109" s="11">
        <f t="shared" si="225"/>
        <v>8.7538409572295278E-2</v>
      </c>
      <c r="CI109" s="11">
        <f t="shared" si="225"/>
        <v>6.0386285288973551E-2</v>
      </c>
      <c r="CJ109" s="11">
        <f t="shared" si="225"/>
        <v>5.2384872485221681E-2</v>
      </c>
      <c r="CK109" s="11">
        <f t="shared" si="225"/>
        <v>7.5182574078630507E-2</v>
      </c>
      <c r="CL109" s="11">
        <f t="shared" si="225"/>
        <v>-3.367451411128352E-2</v>
      </c>
      <c r="CM109" s="11">
        <f t="shared" si="225"/>
        <v>5.2266369657340779E-2</v>
      </c>
      <c r="CN109" s="11">
        <f t="shared" si="225"/>
        <v>4.339789874071056E-2</v>
      </c>
      <c r="CO109" s="11">
        <f t="shared" si="225"/>
        <v>8.2812709080610683E-2</v>
      </c>
      <c r="CP109" s="11">
        <f t="shared" si="225"/>
        <v>0.22008588524391684</v>
      </c>
      <c r="CQ109" s="11">
        <f t="shared" si="225"/>
        <v>7.5230788316130767E-2</v>
      </c>
      <c r="CR109" s="11">
        <f t="shared" si="225"/>
        <v>-1.2095570284608216E-3</v>
      </c>
      <c r="CS109" s="11">
        <f t="shared" si="225"/>
        <v>3.2221215475118969E-2</v>
      </c>
      <c r="CT109" s="11">
        <f t="shared" si="225"/>
        <v>2.8987536873252406E-2</v>
      </c>
      <c r="CU109" s="11">
        <f t="shared" si="225"/>
        <v>-9.5606256786502572E-2</v>
      </c>
      <c r="CV109" s="11">
        <f t="shared" si="225"/>
        <v>0.25001470410916982</v>
      </c>
      <c r="CW109" s="11">
        <f t="shared" si="225"/>
        <v>0.18791655139936816</v>
      </c>
      <c r="CX109" s="11">
        <f t="shared" si="225"/>
        <v>7.8279557055155657E-2</v>
      </c>
      <c r="CY109" s="11">
        <f t="shared" si="225"/>
        <v>4.7370717515205794E-2</v>
      </c>
      <c r="CZ109" s="11">
        <f t="shared" si="225"/>
        <v>6.2823914042368798E-2</v>
      </c>
      <c r="DA109" s="11">
        <f t="shared" si="225"/>
        <v>0.14805309995913976</v>
      </c>
      <c r="DB109" s="11">
        <f t="shared" si="225"/>
        <v>-0.10235142069416461</v>
      </c>
      <c r="DC109" s="11">
        <f t="shared" si="225"/>
        <v>0.13659152829569179</v>
      </c>
      <c r="DD109" s="11">
        <f t="shared" si="225"/>
        <v>-0.20733257782984696</v>
      </c>
      <c r="DE109" s="11">
        <f t="shared" si="225"/>
        <v>7.6011078294962148E-2</v>
      </c>
      <c r="DF109" s="11">
        <f t="shared" ref="DF109:DU109" si="226">LN(DF47/DF46)</f>
        <v>0.10012325638402651</v>
      </c>
      <c r="DG109" s="11">
        <f t="shared" si="226"/>
        <v>0.32511959952391162</v>
      </c>
      <c r="DH109" s="11">
        <f t="shared" si="226"/>
        <v>5.1512941465178971E-2</v>
      </c>
      <c r="DI109" s="11">
        <f t="shared" si="226"/>
        <v>-6.0847996287630768E-2</v>
      </c>
      <c r="DJ109" s="11">
        <f t="shared" si="226"/>
        <v>-6.1115179233925239E-2</v>
      </c>
      <c r="DK109" s="11">
        <f t="shared" si="226"/>
        <v>-0.11674243824541444</v>
      </c>
      <c r="DL109" s="11">
        <f t="shared" si="226"/>
        <v>-2.1543417120003386E-3</v>
      </c>
      <c r="DM109" s="11">
        <f t="shared" si="226"/>
        <v>-7.8185465890909328E-2</v>
      </c>
      <c r="DN109" s="11">
        <f t="shared" si="226"/>
        <v>-4.6325953771770893E-2</v>
      </c>
      <c r="DO109" s="11">
        <f t="shared" si="226"/>
        <v>-0.15012158568574305</v>
      </c>
      <c r="DP109" s="11">
        <f t="shared" si="226"/>
        <v>-6.8856651470792285E-2</v>
      </c>
      <c r="DQ109" s="11">
        <f t="shared" si="226"/>
        <v>-4.8001197023674433E-2</v>
      </c>
      <c r="DR109" s="11">
        <f t="shared" si="226"/>
        <v>-6.8821541801252018E-3</v>
      </c>
      <c r="DS109" s="11">
        <f t="shared" si="226"/>
        <v>6.4763248568174576E-3</v>
      </c>
      <c r="DT109" s="11">
        <f t="shared" si="226"/>
        <v>0.1603966764229631</v>
      </c>
      <c r="DU109" s="11">
        <f t="shared" si="226"/>
        <v>-6.230971425694478E-2</v>
      </c>
      <c r="DV109" s="11">
        <f t="shared" si="13"/>
        <v>0.12842567491646281</v>
      </c>
      <c r="DW109" s="11">
        <f t="shared" si="216"/>
        <v>0.28142067189048242</v>
      </c>
      <c r="DX109" s="11">
        <f t="shared" si="216"/>
        <v>6.0634888199166501E-2</v>
      </c>
      <c r="DY109" s="11">
        <f t="shared" si="216"/>
        <v>3.6167238039427632E-2</v>
      </c>
      <c r="DZ109" s="11">
        <f t="shared" si="216"/>
        <v>8.3578957885519306E-2</v>
      </c>
    </row>
    <row r="110" spans="1:130" ht="15">
      <c r="A110" s="8">
        <v>44044</v>
      </c>
      <c r="B110" s="11">
        <f t="shared" si="6"/>
        <v>5.1152118118402159E-2</v>
      </c>
      <c r="C110" s="11">
        <f t="shared" si="6"/>
        <v>-8.368077935973434E-3</v>
      </c>
      <c r="D110" s="11">
        <f t="shared" si="7"/>
        <v>-1.2723158381708928E-2</v>
      </c>
      <c r="E110" s="11">
        <f t="shared" si="7"/>
        <v>2.1151671411393923E-2</v>
      </c>
      <c r="F110" s="11">
        <f t="shared" si="7"/>
        <v>6.0800530534715513E-2</v>
      </c>
      <c r="G110" s="11">
        <f t="shared" si="7"/>
        <v>3.4743283117082933E-2</v>
      </c>
      <c r="H110" s="11">
        <f t="shared" ref="H110:M110" si="227">LN(H48/H47)</f>
        <v>6.6197799421791631E-2</v>
      </c>
      <c r="I110" s="11">
        <f t="shared" si="227"/>
        <v>3.5665124636785867E-2</v>
      </c>
      <c r="J110" s="11">
        <f t="shared" si="227"/>
        <v>-6.7487530605368939E-2</v>
      </c>
      <c r="K110" s="11">
        <f t="shared" si="227"/>
        <v>-1.6962666319767467E-2</v>
      </c>
      <c r="L110" s="11">
        <f t="shared" si="227"/>
        <v>-2.3533230747700369E-2</v>
      </c>
      <c r="M110" s="11">
        <f t="shared" si="227"/>
        <v>4.1581395687792073E-2</v>
      </c>
      <c r="N110" s="11">
        <f t="shared" ref="N110:AS110" si="228">LN(N48/N47)</f>
        <v>3.3280528441032541E-2</v>
      </c>
      <c r="O110" s="11">
        <f t="shared" si="228"/>
        <v>3.7553342785825165E-2</v>
      </c>
      <c r="P110" s="11">
        <f t="shared" si="228"/>
        <v>3.1758044143114797E-2</v>
      </c>
      <c r="Q110" s="11">
        <f t="shared" si="228"/>
        <v>-5.334349533718143E-3</v>
      </c>
      <c r="R110" s="11">
        <f t="shared" si="228"/>
        <v>2.7805770264800411E-2</v>
      </c>
      <c r="S110" s="11">
        <f t="shared" si="228"/>
        <v>-1.9393579067866797E-2</v>
      </c>
      <c r="T110" s="11">
        <f t="shared" si="228"/>
        <v>8.7975545239065187E-2</v>
      </c>
      <c r="U110" s="11">
        <f t="shared" si="228"/>
        <v>0.10787649673804507</v>
      </c>
      <c r="V110" s="11">
        <f t="shared" si="228"/>
        <v>2.4832034116501391E-2</v>
      </c>
      <c r="W110" s="11">
        <f t="shared" si="228"/>
        <v>5.7400096460964486E-2</v>
      </c>
      <c r="X110" s="11">
        <f t="shared" si="228"/>
        <v>5.5425545018549467E-2</v>
      </c>
      <c r="Y110" s="11">
        <f t="shared" si="228"/>
        <v>1.6621040431352006E-2</v>
      </c>
      <c r="Z110" s="11">
        <f t="shared" si="228"/>
        <v>-0.14744948773732267</v>
      </c>
      <c r="AA110" s="11">
        <f t="shared" si="228"/>
        <v>6.4133589724135395E-2</v>
      </c>
      <c r="AB110" s="11">
        <f t="shared" si="228"/>
        <v>-0.11350848082732097</v>
      </c>
      <c r="AC110" s="11">
        <f t="shared" si="228"/>
        <v>7.956367848850383E-3</v>
      </c>
      <c r="AD110" s="11">
        <f t="shared" si="228"/>
        <v>9.5394959380840971E-2</v>
      </c>
      <c r="AE110" s="11">
        <f t="shared" si="228"/>
        <v>0.1444907666989807</v>
      </c>
      <c r="AF110" s="11">
        <f t="shared" si="228"/>
        <v>3.5640454091162906E-2</v>
      </c>
      <c r="AG110" s="11">
        <f t="shared" si="228"/>
        <v>0.10510950533998444</v>
      </c>
      <c r="AH110" s="11">
        <f t="shared" si="228"/>
        <v>-4.6547561378044527E-2</v>
      </c>
      <c r="AI110" s="11">
        <f t="shared" si="228"/>
        <v>1.4631662268064049E-2</v>
      </c>
      <c r="AJ110" s="11">
        <f t="shared" si="228"/>
        <v>3.4870488010593552E-2</v>
      </c>
      <c r="AK110" s="11">
        <f t="shared" si="228"/>
        <v>9.2126510052048388E-2</v>
      </c>
      <c r="AL110" s="11">
        <f t="shared" si="228"/>
        <v>-2.6620518372139954E-2</v>
      </c>
      <c r="AM110" s="11">
        <f t="shared" si="228"/>
        <v>0.23110537202438119</v>
      </c>
      <c r="AN110" s="11">
        <f t="shared" si="228"/>
        <v>6.5284708697018662E-2</v>
      </c>
      <c r="AO110" s="11">
        <f t="shared" si="228"/>
        <v>9.1644205455733596E-2</v>
      </c>
      <c r="AP110" s="11">
        <f t="shared" si="228"/>
        <v>0.11523504899890633</v>
      </c>
      <c r="AQ110" s="11">
        <f t="shared" si="228"/>
        <v>0.12021072820380684</v>
      </c>
      <c r="AR110" s="11">
        <f t="shared" si="228"/>
        <v>0.15950522327117272</v>
      </c>
      <c r="AS110" s="11">
        <f t="shared" si="228"/>
        <v>-9.5290236062279821E-2</v>
      </c>
      <c r="AT110" s="11">
        <f t="shared" ref="AT110:BY110" si="229">LN(AT48/AT47)</f>
        <v>1.752118421387357E-2</v>
      </c>
      <c r="AU110" s="11">
        <f t="shared" si="229"/>
        <v>6.7681303808891272E-2</v>
      </c>
      <c r="AV110" s="11">
        <f t="shared" si="229"/>
        <v>7.5427035903846432E-2</v>
      </c>
      <c r="AW110" s="11">
        <f t="shared" si="229"/>
        <v>-3.0166279254233888E-2</v>
      </c>
      <c r="AX110" s="11">
        <f t="shared" si="229"/>
        <v>-5.0271646347057539E-3</v>
      </c>
      <c r="AY110" s="11">
        <f t="shared" si="229"/>
        <v>0.19423364956245562</v>
      </c>
      <c r="AZ110" s="11">
        <f t="shared" si="229"/>
        <v>0.33595888958735232</v>
      </c>
      <c r="BA110" s="11">
        <f t="shared" si="229"/>
        <v>9.3030716770370156E-2</v>
      </c>
      <c r="BB110" s="11">
        <f t="shared" si="229"/>
        <v>4.9664369894745791E-2</v>
      </c>
      <c r="BC110" s="11">
        <f t="shared" si="229"/>
        <v>-1.3810007291721188E-2</v>
      </c>
      <c r="BD110" s="11">
        <f t="shared" si="229"/>
        <v>2.6987005815584775E-2</v>
      </c>
      <c r="BE110" s="11">
        <f t="shared" si="229"/>
        <v>0.10621324234065257</v>
      </c>
      <c r="BF110" s="11">
        <f t="shared" si="229"/>
        <v>3.0048486897392688E-3</v>
      </c>
      <c r="BG110" s="11">
        <f t="shared" si="229"/>
        <v>8.6600508566040818E-2</v>
      </c>
      <c r="BH110" s="11">
        <f t="shared" si="229"/>
        <v>-9.0860617983144869E-3</v>
      </c>
      <c r="BI110" s="11">
        <f t="shared" si="229"/>
        <v>1.1088823301348551E-2</v>
      </c>
      <c r="BJ110" s="11">
        <f t="shared" si="229"/>
        <v>0.1743212452059732</v>
      </c>
      <c r="BK110" s="11">
        <f t="shared" si="229"/>
        <v>9.4430040871944149E-2</v>
      </c>
      <c r="BL110" s="11">
        <f t="shared" si="229"/>
        <v>9.8713748163218373E-2</v>
      </c>
      <c r="BM110" s="11">
        <f t="shared" si="229"/>
        <v>0.13269096761006602</v>
      </c>
      <c r="BN110" s="11">
        <f t="shared" si="229"/>
        <v>0.13653605723735643</v>
      </c>
      <c r="BO110" s="11">
        <f t="shared" si="229"/>
        <v>7.1052569406993546E-2</v>
      </c>
      <c r="BP110" s="11">
        <f t="shared" si="229"/>
        <v>5.1896437093931908E-2</v>
      </c>
      <c r="BQ110" s="11">
        <f t="shared" si="229"/>
        <v>8.758862474331934E-2</v>
      </c>
      <c r="BR110" s="11">
        <f t="shared" si="229"/>
        <v>7.1190979611609986E-2</v>
      </c>
      <c r="BS110" s="11">
        <f t="shared" si="229"/>
        <v>0.13923890401541847</v>
      </c>
      <c r="BT110" s="11">
        <f t="shared" si="229"/>
        <v>0.17169856940266717</v>
      </c>
      <c r="BU110" s="11">
        <f t="shared" si="229"/>
        <v>5.1375606389192981E-2</v>
      </c>
      <c r="BV110" s="11">
        <f t="shared" si="229"/>
        <v>5.6201084862242352E-2</v>
      </c>
      <c r="BW110" s="11">
        <f t="shared" si="229"/>
        <v>0.18600178716881843</v>
      </c>
      <c r="BX110" s="11">
        <f t="shared" si="229"/>
        <v>4.1780281824916048E-2</v>
      </c>
      <c r="BY110" s="11">
        <f t="shared" si="229"/>
        <v>4.0273009965638165E-2</v>
      </c>
      <c r="BZ110" s="11">
        <f t="shared" ref="BZ110:DE110" si="230">LN(BZ48/BZ47)</f>
        <v>5.9819758315560648E-2</v>
      </c>
      <c r="CA110" s="11">
        <f t="shared" si="230"/>
        <v>4.7337400018312624E-2</v>
      </c>
      <c r="CB110" s="11">
        <f t="shared" si="230"/>
        <v>1.7283430296284059E-2</v>
      </c>
      <c r="CC110" s="11">
        <f t="shared" si="230"/>
        <v>3.8063452838286181E-2</v>
      </c>
      <c r="CD110" s="11">
        <f t="shared" si="230"/>
        <v>-1.4992781457535029E-2</v>
      </c>
      <c r="CE110" s="11">
        <f t="shared" si="230"/>
        <v>-9.1243516958898929E-2</v>
      </c>
      <c r="CF110" s="11">
        <f t="shared" si="230"/>
        <v>6.6110266591110023E-2</v>
      </c>
      <c r="CG110" s="11">
        <f t="shared" si="230"/>
        <v>0.1154743911513238</v>
      </c>
      <c r="CH110" s="11">
        <f t="shared" si="230"/>
        <v>5.1455606701795602E-2</v>
      </c>
      <c r="CI110" s="11">
        <f t="shared" si="230"/>
        <v>6.8638153950183162E-2</v>
      </c>
      <c r="CJ110" s="11">
        <f t="shared" si="230"/>
        <v>3.2219659057026138E-2</v>
      </c>
      <c r="CK110" s="11">
        <f t="shared" si="230"/>
        <v>1.9015065359757635E-2</v>
      </c>
      <c r="CL110" s="11">
        <f t="shared" si="230"/>
        <v>0.13748429125094883</v>
      </c>
      <c r="CM110" s="11">
        <f t="shared" si="230"/>
        <v>7.325393899468363E-3</v>
      </c>
      <c r="CN110" s="11">
        <f t="shared" si="230"/>
        <v>2.745025400816873E-2</v>
      </c>
      <c r="CO110" s="11">
        <f t="shared" si="230"/>
        <v>5.9819728728598649E-2</v>
      </c>
      <c r="CP110" s="11">
        <f t="shared" si="230"/>
        <v>-5.2040443341340578E-3</v>
      </c>
      <c r="CQ110" s="11">
        <f t="shared" si="230"/>
        <v>-5.172499134542001E-2</v>
      </c>
      <c r="CR110" s="11">
        <f t="shared" si="230"/>
        <v>6.6568897536190635E-2</v>
      </c>
      <c r="CS110" s="11">
        <f t="shared" si="230"/>
        <v>-2.5943664550742346E-2</v>
      </c>
      <c r="CT110" s="11">
        <f t="shared" si="230"/>
        <v>0.18191096348085717</v>
      </c>
      <c r="CU110" s="11">
        <f t="shared" si="230"/>
        <v>4.1473248206575095E-2</v>
      </c>
      <c r="CV110" s="11">
        <f t="shared" si="230"/>
        <v>0.13638178376639476</v>
      </c>
      <c r="CW110" s="11">
        <f t="shared" si="230"/>
        <v>0.26655787810957821</v>
      </c>
      <c r="CX110" s="11">
        <f t="shared" si="230"/>
        <v>0.2170071147818447</v>
      </c>
      <c r="CY110" s="11">
        <f t="shared" si="230"/>
        <v>-8.4652885330336783E-2</v>
      </c>
      <c r="CZ110" s="11">
        <f t="shared" si="230"/>
        <v>7.8826603020658095E-2</v>
      </c>
      <c r="DA110" s="11">
        <f t="shared" si="230"/>
        <v>8.5947122532387385E-2</v>
      </c>
      <c r="DB110" s="11">
        <f t="shared" si="230"/>
        <v>0.12681391016765356</v>
      </c>
      <c r="DC110" s="11">
        <f t="shared" si="230"/>
        <v>0.10693873762105263</v>
      </c>
      <c r="DD110" s="11">
        <f t="shared" si="230"/>
        <v>0.18313811031059185</v>
      </c>
      <c r="DE110" s="11">
        <f t="shared" si="230"/>
        <v>0.10065653422688654</v>
      </c>
      <c r="DF110" s="11">
        <f t="shared" ref="DF110:DU110" si="231">LN(DF48/DF47)</f>
        <v>1.7613346472218745E-2</v>
      </c>
      <c r="DG110" s="11">
        <f t="shared" si="231"/>
        <v>-0.20824524180374621</v>
      </c>
      <c r="DH110" s="11">
        <f t="shared" si="231"/>
        <v>2.3677615845494854E-2</v>
      </c>
      <c r="DI110" s="11">
        <f t="shared" si="231"/>
        <v>-5.2194284959083619E-2</v>
      </c>
      <c r="DJ110" s="11">
        <f t="shared" si="231"/>
        <v>-1.192956505518451E-4</v>
      </c>
      <c r="DK110" s="11">
        <f t="shared" si="231"/>
        <v>2.3433969308473367E-2</v>
      </c>
      <c r="DL110" s="11">
        <f t="shared" si="231"/>
        <v>6.9832150829166481E-2</v>
      </c>
      <c r="DM110" s="11">
        <f t="shared" si="231"/>
        <v>-2.4828597767704234E-2</v>
      </c>
      <c r="DN110" s="11">
        <f t="shared" si="231"/>
        <v>-6.658621108844362E-2</v>
      </c>
      <c r="DO110" s="11">
        <f t="shared" si="231"/>
        <v>-0.2114583048603767</v>
      </c>
      <c r="DP110" s="11">
        <f t="shared" si="231"/>
        <v>3.5584389313946869E-2</v>
      </c>
      <c r="DQ110" s="11">
        <f t="shared" si="231"/>
        <v>-2.2837941808656757E-2</v>
      </c>
      <c r="DR110" s="11">
        <f t="shared" si="231"/>
        <v>4.6845410991962613E-2</v>
      </c>
      <c r="DS110" s="11">
        <f t="shared" si="231"/>
        <v>-8.1334192862940996E-2</v>
      </c>
      <c r="DT110" s="11">
        <f t="shared" si="231"/>
        <v>-4.196407715631683E-2</v>
      </c>
      <c r="DU110" s="11">
        <f t="shared" si="231"/>
        <v>4.1690427054209021E-2</v>
      </c>
      <c r="DV110" s="11">
        <f t="shared" si="13"/>
        <v>-3.4648371621669428E-2</v>
      </c>
      <c r="DW110" s="11">
        <f t="shared" si="216"/>
        <v>0.55471930277394965</v>
      </c>
      <c r="DX110" s="11">
        <f t="shared" si="216"/>
        <v>6.9359488547377057E-2</v>
      </c>
      <c r="DY110" s="11">
        <f t="shared" si="216"/>
        <v>5.1499008167917755E-2</v>
      </c>
      <c r="DZ110" s="11">
        <f t="shared" si="216"/>
        <v>3.1275817991775902E-2</v>
      </c>
    </row>
    <row r="111" spans="1:130" ht="15">
      <c r="A111" s="8">
        <v>44075</v>
      </c>
      <c r="B111" s="11">
        <f t="shared" si="6"/>
        <v>-2.3339690879673875E-2</v>
      </c>
      <c r="C111" s="11">
        <f t="shared" si="6"/>
        <v>-2.9267715401273018E-2</v>
      </c>
      <c r="D111" s="11">
        <f t="shared" si="7"/>
        <v>2.3664774898529838E-3</v>
      </c>
      <c r="E111" s="11">
        <f t="shared" si="7"/>
        <v>-8.9282610162327997E-2</v>
      </c>
      <c r="F111" s="11">
        <f t="shared" si="7"/>
        <v>-2.7584709456736314E-2</v>
      </c>
      <c r="G111" s="11">
        <f t="shared" si="7"/>
        <v>9.9867027940651314E-3</v>
      </c>
      <c r="H111" s="11">
        <f t="shared" ref="H111:M111" si="232">LN(H49/H48)</f>
        <v>-3.1188634236971529E-2</v>
      </c>
      <c r="I111" s="11">
        <f t="shared" si="232"/>
        <v>2.8813011480336395E-2</v>
      </c>
      <c r="J111" s="11">
        <f t="shared" si="232"/>
        <v>-0.14475169541095451</v>
      </c>
      <c r="K111" s="11">
        <f t="shared" si="232"/>
        <v>5.2284700257632655E-3</v>
      </c>
      <c r="L111" s="11">
        <f t="shared" si="232"/>
        <v>-3.1471963765311216E-2</v>
      </c>
      <c r="M111" s="11">
        <f t="shared" si="232"/>
        <v>5.1652128708935558E-3</v>
      </c>
      <c r="N111" s="11">
        <f t="shared" ref="N111:AS111" si="233">LN(N49/N48)</f>
        <v>-3.8090359876910257E-2</v>
      </c>
      <c r="O111" s="11">
        <f t="shared" si="233"/>
        <v>-5.1948705281214397E-3</v>
      </c>
      <c r="P111" s="11">
        <f t="shared" si="233"/>
        <v>-2.4988119342358854E-3</v>
      </c>
      <c r="Q111" s="11">
        <f t="shared" si="233"/>
        <v>-6.1751892617260246E-2</v>
      </c>
      <c r="R111" s="11">
        <f t="shared" si="233"/>
        <v>-4.7017478151506399E-2</v>
      </c>
      <c r="S111" s="11">
        <f t="shared" si="233"/>
        <v>-0.10206271904152811</v>
      </c>
      <c r="T111" s="11">
        <f t="shared" si="233"/>
        <v>-5.8636033326006157E-3</v>
      </c>
      <c r="U111" s="11">
        <f t="shared" si="233"/>
        <v>-3.3590796206630961E-2</v>
      </c>
      <c r="V111" s="11">
        <f t="shared" si="233"/>
        <v>5.0240391977212188E-2</v>
      </c>
      <c r="W111" s="11">
        <f t="shared" si="233"/>
        <v>-7.6822672331154584E-2</v>
      </c>
      <c r="X111" s="11">
        <f t="shared" si="233"/>
        <v>3.2387259319951213E-2</v>
      </c>
      <c r="Y111" s="11">
        <f t="shared" si="233"/>
        <v>-9.9408977413999552E-2</v>
      </c>
      <c r="Z111" s="11">
        <f t="shared" si="233"/>
        <v>-4.2450532233986038E-2</v>
      </c>
      <c r="AA111" s="11">
        <f t="shared" si="233"/>
        <v>-2.9577684801735657E-2</v>
      </c>
      <c r="AB111" s="11">
        <f t="shared" si="233"/>
        <v>-5.0972994301155497E-2</v>
      </c>
      <c r="AC111" s="11">
        <f t="shared" si="233"/>
        <v>-7.6605572756256138E-2</v>
      </c>
      <c r="AD111" s="11">
        <f t="shared" si="233"/>
        <v>-6.736116042655281E-2</v>
      </c>
      <c r="AE111" s="11">
        <f t="shared" si="233"/>
        <v>-4.5753232955168303E-2</v>
      </c>
      <c r="AF111" s="11">
        <f t="shared" si="233"/>
        <v>4.2428560733775468E-2</v>
      </c>
      <c r="AG111" s="11">
        <f t="shared" si="233"/>
        <v>-3.3636694346543559E-2</v>
      </c>
      <c r="AH111" s="11">
        <f t="shared" si="233"/>
        <v>-0.1138045200346402</v>
      </c>
      <c r="AI111" s="11">
        <f t="shared" si="233"/>
        <v>-4.742935864182958E-2</v>
      </c>
      <c r="AJ111" s="11">
        <f t="shared" si="233"/>
        <v>-5.1912787643807697E-2</v>
      </c>
      <c r="AK111" s="11">
        <f t="shared" si="233"/>
        <v>-0.11544293711154645</v>
      </c>
      <c r="AL111" s="11">
        <f t="shared" si="233"/>
        <v>-7.4986116592209662E-2</v>
      </c>
      <c r="AM111" s="11">
        <f t="shared" si="233"/>
        <v>1.1596466675864357E-2</v>
      </c>
      <c r="AN111" s="11">
        <f t="shared" si="233"/>
        <v>2.2927839926285325E-2</v>
      </c>
      <c r="AO111" s="11">
        <f t="shared" si="233"/>
        <v>4.8275632628437218E-2</v>
      </c>
      <c r="AP111" s="11">
        <f t="shared" si="233"/>
        <v>4.4917909542280003E-3</v>
      </c>
      <c r="AQ111" s="11">
        <f t="shared" si="233"/>
        <v>-1.1994109162595043E-2</v>
      </c>
      <c r="AR111" s="11">
        <f t="shared" si="233"/>
        <v>-0.10228223706171877</v>
      </c>
      <c r="AS111" s="11">
        <f t="shared" si="233"/>
        <v>3.1364181722464281E-2</v>
      </c>
      <c r="AT111" s="11">
        <f t="shared" ref="AT111:BY111" si="234">LN(AT49/AT48)</f>
        <v>3.9587656083221734E-3</v>
      </c>
      <c r="AU111" s="11">
        <f t="shared" si="234"/>
        <v>-7.5830591063433331E-3</v>
      </c>
      <c r="AV111" s="11">
        <f t="shared" si="234"/>
        <v>-6.1943351557163684E-2</v>
      </c>
      <c r="AW111" s="11">
        <f t="shared" si="234"/>
        <v>4.4072281884677354E-3</v>
      </c>
      <c r="AX111" s="11">
        <f t="shared" si="234"/>
        <v>7.94677301469752E-3</v>
      </c>
      <c r="AY111" s="11">
        <f t="shared" si="234"/>
        <v>-0.10637017438273699</v>
      </c>
      <c r="AZ111" s="11">
        <f t="shared" si="234"/>
        <v>-8.1461893837324217E-2</v>
      </c>
      <c r="BA111" s="11">
        <f t="shared" si="234"/>
        <v>6.1632839717923223E-3</v>
      </c>
      <c r="BB111" s="11">
        <f t="shared" si="234"/>
        <v>-8.8231911740919003E-2</v>
      </c>
      <c r="BC111" s="11">
        <f t="shared" si="234"/>
        <v>2.635581860141754E-3</v>
      </c>
      <c r="BD111" s="11">
        <f t="shared" si="234"/>
        <v>5.628642840521729E-2</v>
      </c>
      <c r="BE111" s="11">
        <f t="shared" si="234"/>
        <v>-2.9062394418411217E-2</v>
      </c>
      <c r="BF111" s="11">
        <f t="shared" si="234"/>
        <v>-3.8019003046710353E-4</v>
      </c>
      <c r="BG111" s="11">
        <f t="shared" si="234"/>
        <v>-9.165325626782328E-2</v>
      </c>
      <c r="BH111" s="11">
        <f t="shared" si="234"/>
        <v>-4.7207734207979406E-2</v>
      </c>
      <c r="BI111" s="11">
        <f t="shared" si="234"/>
        <v>1.599503706641742E-2</v>
      </c>
      <c r="BJ111" s="11">
        <f t="shared" si="234"/>
        <v>-1.3508951733556078E-3</v>
      </c>
      <c r="BK111" s="11">
        <f t="shared" si="234"/>
        <v>3.3409603412775719E-2</v>
      </c>
      <c r="BL111" s="11">
        <f t="shared" si="234"/>
        <v>2.2445144124105802E-2</v>
      </c>
      <c r="BM111" s="11">
        <f t="shared" si="234"/>
        <v>0.15043507666325592</v>
      </c>
      <c r="BN111" s="11">
        <f t="shared" si="234"/>
        <v>0.11732147770202705</v>
      </c>
      <c r="BO111" s="11">
        <f t="shared" si="234"/>
        <v>-2.6052535824325929E-2</v>
      </c>
      <c r="BP111" s="11">
        <f t="shared" si="234"/>
        <v>7.431271913764334E-2</v>
      </c>
      <c r="BQ111" s="11">
        <f t="shared" si="234"/>
        <v>3.5514689169498855E-2</v>
      </c>
      <c r="BR111" s="11">
        <f t="shared" si="234"/>
        <v>-9.0425247259844673E-4</v>
      </c>
      <c r="BS111" s="11">
        <f t="shared" si="234"/>
        <v>-0.11044786411579093</v>
      </c>
      <c r="BT111" s="11">
        <f t="shared" si="234"/>
        <v>-8.21687525138418E-2</v>
      </c>
      <c r="BU111" s="11">
        <f t="shared" si="234"/>
        <v>-4.3754325602720835E-2</v>
      </c>
      <c r="BV111" s="11">
        <f t="shared" si="234"/>
        <v>3.9130244712519142E-2</v>
      </c>
      <c r="BW111" s="11">
        <f t="shared" si="234"/>
        <v>7.8786046832378775E-2</v>
      </c>
      <c r="BX111" s="11">
        <f t="shared" si="234"/>
        <v>-3.4956240703993682E-2</v>
      </c>
      <c r="BY111" s="11">
        <f t="shared" si="234"/>
        <v>-1.8140259733440064E-2</v>
      </c>
      <c r="BZ111" s="11">
        <f t="shared" ref="BZ111:DE111" si="235">LN(BZ49/BZ48)</f>
        <v>4.759697189998178E-3</v>
      </c>
      <c r="CA111" s="11">
        <f t="shared" si="235"/>
        <v>-3.2355664727441958E-3</v>
      </c>
      <c r="CB111" s="11">
        <f t="shared" si="235"/>
        <v>-1.0478711624163311E-2</v>
      </c>
      <c r="CC111" s="11">
        <f t="shared" si="235"/>
        <v>-6.2043561106607685E-2</v>
      </c>
      <c r="CD111" s="11">
        <f t="shared" si="235"/>
        <v>4.2335301565060282E-2</v>
      </c>
      <c r="CE111" s="11">
        <f t="shared" si="235"/>
        <v>3.9936297253570202E-2</v>
      </c>
      <c r="CF111" s="11">
        <f t="shared" si="235"/>
        <v>-7.6266504024130266E-2</v>
      </c>
      <c r="CG111" s="11">
        <f t="shared" si="235"/>
        <v>-1.3553972874362281E-2</v>
      </c>
      <c r="CH111" s="11">
        <f t="shared" si="235"/>
        <v>-1.6743299522812435E-2</v>
      </c>
      <c r="CI111" s="11">
        <f t="shared" si="235"/>
        <v>-4.0110045353832245E-2</v>
      </c>
      <c r="CJ111" s="11">
        <f t="shared" si="235"/>
        <v>-2.6981966606027852E-2</v>
      </c>
      <c r="CK111" s="11">
        <f t="shared" si="235"/>
        <v>-0.14556780435331645</v>
      </c>
      <c r="CL111" s="11">
        <f t="shared" si="235"/>
        <v>3.4001381316970072E-2</v>
      </c>
      <c r="CM111" s="11">
        <f t="shared" si="235"/>
        <v>-4.186061325858436E-2</v>
      </c>
      <c r="CN111" s="11">
        <f t="shared" si="235"/>
        <v>-8.5238627710728473E-2</v>
      </c>
      <c r="CO111" s="11">
        <f t="shared" si="235"/>
        <v>-6.0472722542299247E-2</v>
      </c>
      <c r="CP111" s="11">
        <f t="shared" si="235"/>
        <v>-1.983677261116858E-2</v>
      </c>
      <c r="CQ111" s="11">
        <f t="shared" si="235"/>
        <v>-6.149462680935084E-2</v>
      </c>
      <c r="CR111" s="11">
        <f t="shared" si="235"/>
        <v>-8.4026396049474469E-2</v>
      </c>
      <c r="CS111" s="11">
        <f t="shared" si="235"/>
        <v>8.5551291029556845E-2</v>
      </c>
      <c r="CT111" s="11">
        <f t="shared" si="235"/>
        <v>-9.1539065317114962E-2</v>
      </c>
      <c r="CU111" s="11">
        <f t="shared" si="235"/>
        <v>-6.6540523808244212E-2</v>
      </c>
      <c r="CV111" s="11">
        <f t="shared" si="235"/>
        <v>2.4579612055128989E-2</v>
      </c>
      <c r="CW111" s="11">
        <f t="shared" si="235"/>
        <v>0.13462237356825885</v>
      </c>
      <c r="CX111" s="11">
        <f t="shared" si="235"/>
        <v>-2.6873018251096455E-2</v>
      </c>
      <c r="CY111" s="11">
        <f t="shared" si="235"/>
        <v>-0.15032995512059313</v>
      </c>
      <c r="CZ111" s="11">
        <f t="shared" si="235"/>
        <v>-6.7353526857518387E-2</v>
      </c>
      <c r="DA111" s="11">
        <f t="shared" si="235"/>
        <v>-5.8408010038315611E-2</v>
      </c>
      <c r="DB111" s="11">
        <f t="shared" si="235"/>
        <v>-0.31687270312121574</v>
      </c>
      <c r="DC111" s="11">
        <f t="shared" si="235"/>
        <v>-8.2548575882568434E-2</v>
      </c>
      <c r="DD111" s="11">
        <f t="shared" si="235"/>
        <v>5.5569524022327989E-2</v>
      </c>
      <c r="DE111" s="11">
        <f t="shared" si="235"/>
        <v>-0.1111033569687121</v>
      </c>
      <c r="DF111" s="11">
        <f t="shared" ref="DF111:DU111" si="236">LN(DF49/DF48)</f>
        <v>-7.0001658638788836E-2</v>
      </c>
      <c r="DG111" s="11">
        <f t="shared" si="236"/>
        <v>-0.12921173148000623</v>
      </c>
      <c r="DH111" s="11">
        <f t="shared" si="236"/>
        <v>-7.4198985588378855E-2</v>
      </c>
      <c r="DI111" s="11">
        <f t="shared" si="236"/>
        <v>-0.13182271505680451</v>
      </c>
      <c r="DJ111" s="11">
        <f t="shared" si="236"/>
        <v>-0.13900318399739539</v>
      </c>
      <c r="DK111" s="11">
        <f t="shared" si="236"/>
        <v>-0.14304018906404578</v>
      </c>
      <c r="DL111" s="11">
        <f t="shared" si="236"/>
        <v>-0.18948680362183834</v>
      </c>
      <c r="DM111" s="11">
        <f t="shared" si="236"/>
        <v>-0.23233881276429463</v>
      </c>
      <c r="DN111" s="11">
        <f t="shared" si="236"/>
        <v>-0.11764726211049518</v>
      </c>
      <c r="DO111" s="11">
        <f t="shared" si="236"/>
        <v>-0.24116218559192754</v>
      </c>
      <c r="DP111" s="11">
        <f t="shared" si="236"/>
        <v>-0.11793207497147595</v>
      </c>
      <c r="DQ111" s="11">
        <f t="shared" si="236"/>
        <v>-0.24887358575205376</v>
      </c>
      <c r="DR111" s="11">
        <f t="shared" si="236"/>
        <v>-0.20026140672482323</v>
      </c>
      <c r="DS111" s="11">
        <f t="shared" si="236"/>
        <v>-6.1056864524897482E-2</v>
      </c>
      <c r="DT111" s="11">
        <f t="shared" si="236"/>
        <v>-0.1990848119146455</v>
      </c>
      <c r="DU111" s="11">
        <f t="shared" si="236"/>
        <v>-0.28103752973311236</v>
      </c>
      <c r="DV111" s="11">
        <f t="shared" si="13"/>
        <v>-0.44649824152900247</v>
      </c>
      <c r="DW111" s="11">
        <f t="shared" si="216"/>
        <v>-0.14976221226623748</v>
      </c>
      <c r="DX111" s="11">
        <f t="shared" si="216"/>
        <v>-5.6291623236744526E-2</v>
      </c>
      <c r="DY111" s="11">
        <f t="shared" si="216"/>
        <v>-5.2925913649772574E-2</v>
      </c>
      <c r="DZ111" s="11">
        <f t="shared" si="216"/>
        <v>-2.3739987303072942E-2</v>
      </c>
    </row>
    <row r="112" spans="1:130" ht="15">
      <c r="A112" s="8">
        <v>44105</v>
      </c>
      <c r="B112" s="11">
        <f t="shared" si="6"/>
        <v>-8.2356927635071964E-2</v>
      </c>
      <c r="C112" s="11">
        <f t="shared" si="6"/>
        <v>-3.3807595597435278E-2</v>
      </c>
      <c r="D112" s="11">
        <f t="shared" si="7"/>
        <v>-0.12628078912488078</v>
      </c>
      <c r="E112" s="11">
        <f t="shared" si="7"/>
        <v>-2.8839804890078549E-2</v>
      </c>
      <c r="F112" s="11">
        <f t="shared" si="7"/>
        <v>-9.0706929582500484E-2</v>
      </c>
      <c r="G112" s="11">
        <f t="shared" si="7"/>
        <v>-0.15834330795244331</v>
      </c>
      <c r="H112" s="11">
        <f t="shared" ref="H112:M112" si="237">LN(H50/H49)</f>
        <v>-3.0994691742483135E-2</v>
      </c>
      <c r="I112" s="11">
        <f t="shared" si="237"/>
        <v>6.9636059243239221E-2</v>
      </c>
      <c r="J112" s="11">
        <f t="shared" si="237"/>
        <v>-5.4451949367542975E-2</v>
      </c>
      <c r="K112" s="11">
        <f t="shared" si="237"/>
        <v>7.7576078874846729E-2</v>
      </c>
      <c r="L112" s="11">
        <f t="shared" si="237"/>
        <v>-0.25457381230055037</v>
      </c>
      <c r="M112" s="11">
        <f t="shared" si="237"/>
        <v>1.1328420784321173E-2</v>
      </c>
      <c r="N112" s="11">
        <f t="shared" ref="N112:AS112" si="238">LN(N50/N49)</f>
        <v>-2.336284939812942E-2</v>
      </c>
      <c r="O112" s="11">
        <f t="shared" si="238"/>
        <v>3.2758090337858703E-2</v>
      </c>
      <c r="P112" s="11">
        <f t="shared" si="238"/>
        <v>-1.7382795514100748E-2</v>
      </c>
      <c r="Q112" s="11">
        <f t="shared" si="238"/>
        <v>-4.0358431431388286E-2</v>
      </c>
      <c r="R112" s="11">
        <f t="shared" si="238"/>
        <v>1.9114119995838574E-2</v>
      </c>
      <c r="S112" s="11">
        <f t="shared" si="238"/>
        <v>-2.9403753345457102E-2</v>
      </c>
      <c r="T112" s="11">
        <f t="shared" si="238"/>
        <v>-3.4779588070673384E-2</v>
      </c>
      <c r="U112" s="11">
        <f t="shared" si="238"/>
        <v>-2.7119235896574796E-2</v>
      </c>
      <c r="V112" s="11">
        <f t="shared" si="238"/>
        <v>-2.8220139814575471E-2</v>
      </c>
      <c r="W112" s="11">
        <f t="shared" si="238"/>
        <v>2.4333784416801393E-2</v>
      </c>
      <c r="X112" s="11">
        <f t="shared" si="238"/>
        <v>-4.2115768011967508E-2</v>
      </c>
      <c r="Y112" s="11">
        <f t="shared" si="238"/>
        <v>-1.9748848747608721E-2</v>
      </c>
      <c r="Z112" s="11">
        <f t="shared" si="238"/>
        <v>-3.3029787896519743E-3</v>
      </c>
      <c r="AA112" s="11">
        <f t="shared" si="238"/>
        <v>-6.1706893988350664E-2</v>
      </c>
      <c r="AB112" s="11">
        <f t="shared" si="238"/>
        <v>0.11300812073451764</v>
      </c>
      <c r="AC112" s="11">
        <f t="shared" si="238"/>
        <v>-3.6082040812147977E-2</v>
      </c>
      <c r="AD112" s="11">
        <f t="shared" si="238"/>
        <v>-3.8086327908076936E-2</v>
      </c>
      <c r="AE112" s="11">
        <f t="shared" si="238"/>
        <v>-9.2500274062366772E-2</v>
      </c>
      <c r="AF112" s="11">
        <f t="shared" si="238"/>
        <v>-6.2017914070132338E-2</v>
      </c>
      <c r="AG112" s="11">
        <f t="shared" si="238"/>
        <v>-5.6095738194981526E-4</v>
      </c>
      <c r="AH112" s="11">
        <f t="shared" si="238"/>
        <v>-6.5234799473235239E-2</v>
      </c>
      <c r="AI112" s="11">
        <f t="shared" si="238"/>
        <v>-7.157649138650668E-2</v>
      </c>
      <c r="AJ112" s="11">
        <f t="shared" si="238"/>
        <v>-0.15023819402259048</v>
      </c>
      <c r="AK112" s="11">
        <f t="shared" si="238"/>
        <v>-1.304065677430063E-2</v>
      </c>
      <c r="AL112" s="11">
        <f t="shared" si="238"/>
        <v>7.9585212420687168E-2</v>
      </c>
      <c r="AM112" s="11">
        <f t="shared" si="238"/>
        <v>-7.6201873739513634E-2</v>
      </c>
      <c r="AN112" s="11">
        <f t="shared" si="238"/>
        <v>-0.15647096558057744</v>
      </c>
      <c r="AO112" s="11">
        <f t="shared" si="238"/>
        <v>-3.2081514083064859E-2</v>
      </c>
      <c r="AP112" s="11">
        <f t="shared" si="238"/>
        <v>1.2527557929809974E-2</v>
      </c>
      <c r="AQ112" s="11">
        <f t="shared" si="238"/>
        <v>5.2478766826952419E-2</v>
      </c>
      <c r="AR112" s="11">
        <f t="shared" si="238"/>
        <v>-8.5249964746055243E-2</v>
      </c>
      <c r="AS112" s="11">
        <f t="shared" si="238"/>
        <v>6.9503775130563689E-2</v>
      </c>
      <c r="AT112" s="11">
        <f t="shared" ref="AT112:BY112" si="239">LN(AT50/AT49)</f>
        <v>1.5216837068399949E-2</v>
      </c>
      <c r="AU112" s="11">
        <f t="shared" si="239"/>
        <v>8.2381214318948376E-2</v>
      </c>
      <c r="AV112" s="11">
        <f t="shared" si="239"/>
        <v>2.2325803440601661E-2</v>
      </c>
      <c r="AW112" s="11">
        <f t="shared" si="239"/>
        <v>0.12981857172047215</v>
      </c>
      <c r="AX112" s="11">
        <f t="shared" si="239"/>
        <v>-2.9361899792894389E-2</v>
      </c>
      <c r="AY112" s="11">
        <f t="shared" si="239"/>
        <v>-6.1888402377182627E-2</v>
      </c>
      <c r="AZ112" s="11">
        <f t="shared" si="239"/>
        <v>-7.8826539447220609E-2</v>
      </c>
      <c r="BA112" s="11">
        <f t="shared" si="239"/>
        <v>2.5587359280940664E-2</v>
      </c>
      <c r="BB112" s="11">
        <f t="shared" si="239"/>
        <v>9.8296640335375093E-2</v>
      </c>
      <c r="BC112" s="11">
        <f t="shared" si="239"/>
        <v>5.982633273383501E-2</v>
      </c>
      <c r="BD112" s="11">
        <f t="shared" si="239"/>
        <v>-3.4684807936438501E-2</v>
      </c>
      <c r="BE112" s="11">
        <f t="shared" si="239"/>
        <v>-4.6571214180365784E-2</v>
      </c>
      <c r="BF112" s="11">
        <f t="shared" si="239"/>
        <v>-8.5853661548359314E-2</v>
      </c>
      <c r="BG112" s="11">
        <f t="shared" si="239"/>
        <v>-3.6408931510118148E-2</v>
      </c>
      <c r="BH112" s="11">
        <f t="shared" si="239"/>
        <v>-8.9701973518272776E-2</v>
      </c>
      <c r="BI112" s="11">
        <f t="shared" si="239"/>
        <v>-3.2892032201805509E-4</v>
      </c>
      <c r="BJ112" s="11">
        <f t="shared" si="239"/>
        <v>0.15439204498978271</v>
      </c>
      <c r="BK112" s="11">
        <f t="shared" si="239"/>
        <v>-3.0014457251068091E-2</v>
      </c>
      <c r="BL112" s="11">
        <f t="shared" si="239"/>
        <v>1.2031651904598204E-2</v>
      </c>
      <c r="BM112" s="11">
        <f t="shared" si="239"/>
        <v>-9.1624279291574129E-2</v>
      </c>
      <c r="BN112" s="11">
        <f t="shared" si="239"/>
        <v>-4.446632110331368E-2</v>
      </c>
      <c r="BO112" s="11">
        <f t="shared" si="239"/>
        <v>-3.515564165575788E-2</v>
      </c>
      <c r="BP112" s="11">
        <f t="shared" si="239"/>
        <v>5.6261435707438814E-2</v>
      </c>
      <c r="BQ112" s="11">
        <f t="shared" si="239"/>
        <v>6.8351083611954883E-2</v>
      </c>
      <c r="BR112" s="11">
        <f t="shared" si="239"/>
        <v>-4.746040682623167E-2</v>
      </c>
      <c r="BS112" s="11">
        <f t="shared" si="239"/>
        <v>-5.292278269106556E-2</v>
      </c>
      <c r="BT112" s="11">
        <f t="shared" si="239"/>
        <v>-0.10185327839326072</v>
      </c>
      <c r="BU112" s="11">
        <f t="shared" si="239"/>
        <v>2.1990833848431302E-2</v>
      </c>
      <c r="BV112" s="11">
        <f t="shared" si="239"/>
        <v>-0.11502901373056371</v>
      </c>
      <c r="BW112" s="11">
        <f t="shared" si="239"/>
        <v>6.2677009507503111E-3</v>
      </c>
      <c r="BX112" s="11">
        <f t="shared" si="239"/>
        <v>-7.3292433415583308E-2</v>
      </c>
      <c r="BY112" s="11">
        <f t="shared" si="239"/>
        <v>-3.9747545843886595E-2</v>
      </c>
      <c r="BZ112" s="11">
        <f t="shared" ref="BZ112:DE112" si="240">LN(BZ50/BZ49)</f>
        <v>-1.3691290399129344E-2</v>
      </c>
      <c r="CA112" s="11">
        <f t="shared" si="240"/>
        <v>-1.8830466223810849E-2</v>
      </c>
      <c r="CB112" s="11">
        <f t="shared" si="240"/>
        <v>-3.1899844670183031E-2</v>
      </c>
      <c r="CC112" s="11">
        <f t="shared" si="240"/>
        <v>-3.8688154849429779E-2</v>
      </c>
      <c r="CD112" s="11">
        <f t="shared" si="240"/>
        <v>-8.1895368390416098E-2</v>
      </c>
      <c r="CE112" s="11">
        <f t="shared" si="240"/>
        <v>-5.5868583981035835E-2</v>
      </c>
      <c r="CF112" s="11">
        <f t="shared" si="240"/>
        <v>-3.7247929644657674E-2</v>
      </c>
      <c r="CG112" s="11">
        <f t="shared" si="240"/>
        <v>6.4400467409329431E-3</v>
      </c>
      <c r="CH112" s="11">
        <f t="shared" si="240"/>
        <v>-7.2820826168838976E-2</v>
      </c>
      <c r="CI112" s="11">
        <f t="shared" si="240"/>
        <v>-1.5592688132966874E-2</v>
      </c>
      <c r="CJ112" s="11">
        <f t="shared" si="240"/>
        <v>2.2302842331669379E-2</v>
      </c>
      <c r="CK112" s="11">
        <f t="shared" si="240"/>
        <v>2.114376425684894E-2</v>
      </c>
      <c r="CL112" s="11">
        <f t="shared" si="240"/>
        <v>-0.11772277162803517</v>
      </c>
      <c r="CM112" s="11">
        <f t="shared" si="240"/>
        <v>-4.0991683682338863E-3</v>
      </c>
      <c r="CN112" s="11">
        <f t="shared" si="240"/>
        <v>-2.6672420120337634E-2</v>
      </c>
      <c r="CO112" s="11">
        <f t="shared" si="240"/>
        <v>-7.2587445160140707E-2</v>
      </c>
      <c r="CP112" s="11">
        <f t="shared" si="240"/>
        <v>-5.8446106165152417E-2</v>
      </c>
      <c r="CQ112" s="11">
        <f t="shared" si="240"/>
        <v>-1.3990717771895991E-2</v>
      </c>
      <c r="CR112" s="11">
        <f t="shared" si="240"/>
        <v>-3.5778352701087007E-2</v>
      </c>
      <c r="CS112" s="11">
        <f t="shared" si="240"/>
        <v>2.8720716718436994E-2</v>
      </c>
      <c r="CT112" s="11">
        <f t="shared" si="240"/>
        <v>-6.124362524071867E-2</v>
      </c>
      <c r="CU112" s="11">
        <f t="shared" si="240"/>
        <v>0.11175286662979209</v>
      </c>
      <c r="CV112" s="11">
        <f t="shared" si="240"/>
        <v>-5.8829898923878313E-2</v>
      </c>
      <c r="CW112" s="11">
        <f t="shared" si="240"/>
        <v>3.3974882003425945E-2</v>
      </c>
      <c r="CX112" s="11">
        <f t="shared" si="240"/>
        <v>0</v>
      </c>
      <c r="CY112" s="11">
        <f t="shared" si="240"/>
        <v>-1.0320009031989472E-2</v>
      </c>
      <c r="CZ112" s="11">
        <f t="shared" si="240"/>
        <v>-5.81706328548681E-2</v>
      </c>
      <c r="DA112" s="11">
        <f t="shared" si="240"/>
        <v>4.5514112487364838E-2</v>
      </c>
      <c r="DB112" s="11">
        <f t="shared" si="240"/>
        <v>0.12878078986592478</v>
      </c>
      <c r="DC112" s="11">
        <f t="shared" si="240"/>
        <v>-1.7538586474665246E-2</v>
      </c>
      <c r="DD112" s="11">
        <f t="shared" si="240"/>
        <v>3.0420917580372544E-2</v>
      </c>
      <c r="DE112" s="11">
        <f t="shared" si="240"/>
        <v>5.1656985664932611E-2</v>
      </c>
      <c r="DF112" s="11">
        <f t="shared" ref="DF112:DU112" si="241">LN(DF50/DF49)</f>
        <v>-1.3953954222714292E-3</v>
      </c>
      <c r="DG112" s="11">
        <f t="shared" si="241"/>
        <v>0.21176875812025575</v>
      </c>
      <c r="DH112" s="11">
        <f t="shared" si="241"/>
        <v>-1.5552856841115398E-2</v>
      </c>
      <c r="DI112" s="11">
        <f t="shared" si="241"/>
        <v>-5.1094308275478409E-2</v>
      </c>
      <c r="DJ112" s="11">
        <f t="shared" si="241"/>
        <v>-3.5339345348225859E-2</v>
      </c>
      <c r="DK112" s="11">
        <f t="shared" si="241"/>
        <v>-0.13754132899574964</v>
      </c>
      <c r="DL112" s="11">
        <f t="shared" si="241"/>
        <v>-7.1472120116999299E-2</v>
      </c>
      <c r="DM112" s="11">
        <f t="shared" si="241"/>
        <v>-4.8456218976456127E-2</v>
      </c>
      <c r="DN112" s="11">
        <f t="shared" si="241"/>
        <v>-8.921986718001336E-2</v>
      </c>
      <c r="DO112" s="11">
        <f t="shared" si="241"/>
        <v>-9.1039983612469177E-2</v>
      </c>
      <c r="DP112" s="11">
        <f t="shared" si="241"/>
        <v>-4.5177110341312963E-2</v>
      </c>
      <c r="DQ112" s="11">
        <f t="shared" si="241"/>
        <v>-0.14863284203746993</v>
      </c>
      <c r="DR112" s="11">
        <f t="shared" si="241"/>
        <v>-3.4064011525555792E-2</v>
      </c>
      <c r="DS112" s="11">
        <f t="shared" si="241"/>
        <v>0.10558622751235112</v>
      </c>
      <c r="DT112" s="11">
        <f t="shared" si="241"/>
        <v>-0.13194784060522727</v>
      </c>
      <c r="DU112" s="11">
        <f t="shared" si="241"/>
        <v>-7.5637414205620077E-2</v>
      </c>
      <c r="DV112" s="11">
        <f t="shared" si="13"/>
        <v>-0.13187337689412548</v>
      </c>
      <c r="DW112" s="11">
        <f t="shared" si="216"/>
        <v>-0.10037180158656976</v>
      </c>
      <c r="DX112" s="11">
        <f t="shared" si="216"/>
        <v>-3.1284378805690745E-2</v>
      </c>
      <c r="DY112" s="11">
        <f t="shared" si="216"/>
        <v>0.11078843434925374</v>
      </c>
      <c r="DZ112" s="11">
        <f t="shared" si="216"/>
        <v>0.14898937804703283</v>
      </c>
    </row>
    <row r="113" spans="1:130" ht="15">
      <c r="A113" s="8">
        <v>44136</v>
      </c>
      <c r="B113" s="11">
        <f t="shared" si="6"/>
        <v>5.374095340902988E-2</v>
      </c>
      <c r="C113" s="11">
        <f t="shared" si="6"/>
        <v>0.12933438284137075</v>
      </c>
      <c r="D113" s="11">
        <f t="shared" si="7"/>
        <v>0.11014004457541116</v>
      </c>
      <c r="E113" s="11">
        <f t="shared" si="7"/>
        <v>0.21965112915677787</v>
      </c>
      <c r="F113" s="11">
        <f t="shared" si="7"/>
        <v>6.6605614053968767E-2</v>
      </c>
      <c r="G113" s="11">
        <f t="shared" si="7"/>
        <v>2.323657461442501E-2</v>
      </c>
      <c r="H113" s="11">
        <f t="shared" ref="H113:M113" si="242">LN(H51/H50)</f>
        <v>7.288556802546807E-2</v>
      </c>
      <c r="I113" s="11">
        <f t="shared" si="242"/>
        <v>-1.735470431955E-2</v>
      </c>
      <c r="J113" s="11">
        <f t="shared" si="242"/>
        <v>9.5682815898442061E-2</v>
      </c>
      <c r="K113" s="11">
        <f t="shared" si="242"/>
        <v>8.1689108308859726E-2</v>
      </c>
      <c r="L113" s="11">
        <f t="shared" si="242"/>
        <v>3.1286174894639275E-4</v>
      </c>
      <c r="M113" s="11">
        <f t="shared" si="242"/>
        <v>0.13726524002979842</v>
      </c>
      <c r="N113" s="11">
        <f t="shared" ref="N113:AS113" si="243">LN(N51/N50)</f>
        <v>9.2951876334410766E-2</v>
      </c>
      <c r="O113" s="11">
        <f t="shared" si="243"/>
        <v>0.14188891147684121</v>
      </c>
      <c r="P113" s="11">
        <f t="shared" si="243"/>
        <v>9.7351890455541767E-2</v>
      </c>
      <c r="Q113" s="11">
        <f t="shared" si="243"/>
        <v>0.1979059605947284</v>
      </c>
      <c r="R113" s="11">
        <f t="shared" si="243"/>
        <v>0.13272481481896314</v>
      </c>
      <c r="S113" s="11">
        <f t="shared" si="243"/>
        <v>-5.1975192725887451E-2</v>
      </c>
      <c r="T113" s="11">
        <f t="shared" si="243"/>
        <v>3.248655299720548E-2</v>
      </c>
      <c r="U113" s="11">
        <f t="shared" si="243"/>
        <v>0.12270956396774628</v>
      </c>
      <c r="V113" s="11">
        <f t="shared" si="243"/>
        <v>0.14443668901372769</v>
      </c>
      <c r="W113" s="11">
        <f t="shared" si="243"/>
        <v>9.1085705861788366E-2</v>
      </c>
      <c r="X113" s="11">
        <f t="shared" si="243"/>
        <v>1.2726895097183855E-2</v>
      </c>
      <c r="Y113" s="11">
        <f t="shared" si="243"/>
        <v>0.14566515920472903</v>
      </c>
      <c r="Z113" s="11">
        <f t="shared" si="243"/>
        <v>1.5923995501229145E-2</v>
      </c>
      <c r="AA113" s="11">
        <f t="shared" si="243"/>
        <v>8.470890422336784E-2</v>
      </c>
      <c r="AB113" s="11">
        <f t="shared" si="243"/>
        <v>8.8017824307548259E-2</v>
      </c>
      <c r="AC113" s="11">
        <f t="shared" si="243"/>
        <v>-1.9526698379580459E-2</v>
      </c>
      <c r="AD113" s="11">
        <f t="shared" si="243"/>
        <v>5.571169227023505E-2</v>
      </c>
      <c r="AE113" s="11">
        <f t="shared" si="243"/>
        <v>6.7811229762837474E-2</v>
      </c>
      <c r="AF113" s="11">
        <f t="shared" si="243"/>
        <v>3.2330709838909913E-2</v>
      </c>
      <c r="AG113" s="11">
        <f t="shared" si="243"/>
        <v>6.1828643062494575E-2</v>
      </c>
      <c r="AH113" s="11">
        <f t="shared" si="243"/>
        <v>0.11021417016523902</v>
      </c>
      <c r="AI113" s="11">
        <f t="shared" si="243"/>
        <v>5.1209389451793576E-2</v>
      </c>
      <c r="AJ113" s="11">
        <f t="shared" si="243"/>
        <v>8.4528974013132502E-2</v>
      </c>
      <c r="AK113" s="11">
        <f t="shared" si="243"/>
        <v>-0.1207650419168184</v>
      </c>
      <c r="AL113" s="11">
        <f t="shared" si="243"/>
        <v>0.20268597812998737</v>
      </c>
      <c r="AM113" s="11">
        <f t="shared" si="243"/>
        <v>6.69214407357588E-2</v>
      </c>
      <c r="AN113" s="11">
        <f t="shared" si="243"/>
        <v>8.7933202498627572E-2</v>
      </c>
      <c r="AO113" s="11">
        <f t="shared" si="243"/>
        <v>0.1385312708393478</v>
      </c>
      <c r="AP113" s="11">
        <f t="shared" si="243"/>
        <v>0.11621225093048229</v>
      </c>
      <c r="AQ113" s="11">
        <f t="shared" si="243"/>
        <v>0.17648207999943474</v>
      </c>
      <c r="AR113" s="11">
        <f t="shared" si="243"/>
        <v>0.20758955612647134</v>
      </c>
      <c r="AS113" s="11">
        <f t="shared" si="243"/>
        <v>0.24148825788194062</v>
      </c>
      <c r="AT113" s="11">
        <f t="shared" ref="AT113:BY113" si="244">LN(AT51/AT50)</f>
        <v>0.15988382977641258</v>
      </c>
      <c r="AU113" s="11">
        <f t="shared" si="244"/>
        <v>0.15908711615854546</v>
      </c>
      <c r="AV113" s="11">
        <f t="shared" si="244"/>
        <v>0.24602369034273988</v>
      </c>
      <c r="AW113" s="11">
        <f t="shared" si="244"/>
        <v>0.20400465928102066</v>
      </c>
      <c r="AX113" s="11">
        <f t="shared" si="244"/>
        <v>-8.4943714667445869E-4</v>
      </c>
      <c r="AY113" s="11">
        <f t="shared" si="244"/>
        <v>8.9481106073221447E-2</v>
      </c>
      <c r="AZ113" s="11">
        <f t="shared" si="244"/>
        <v>5.6617709044408875E-2</v>
      </c>
      <c r="BA113" s="11">
        <f t="shared" si="244"/>
        <v>7.1689021241084963E-2</v>
      </c>
      <c r="BB113" s="11">
        <f t="shared" si="244"/>
        <v>0.11553717328967822</v>
      </c>
      <c r="BC113" s="11">
        <f t="shared" si="244"/>
        <v>0.13510353272585263</v>
      </c>
      <c r="BD113" s="11">
        <f t="shared" si="244"/>
        <v>0.1296887909635964</v>
      </c>
      <c r="BE113" s="11">
        <f t="shared" si="244"/>
        <v>0.19970851834718875</v>
      </c>
      <c r="BF113" s="11">
        <f t="shared" si="244"/>
        <v>0.10094367528323718</v>
      </c>
      <c r="BG113" s="11">
        <f t="shared" si="244"/>
        <v>4.2522834707578269E-2</v>
      </c>
      <c r="BH113" s="11">
        <f t="shared" si="244"/>
        <v>5.7123389264918993E-2</v>
      </c>
      <c r="BI113" s="11">
        <f t="shared" si="244"/>
        <v>0.27888454343513996</v>
      </c>
      <c r="BJ113" s="11">
        <f t="shared" si="244"/>
        <v>0.23871813123785912</v>
      </c>
      <c r="BK113" s="11">
        <f t="shared" si="244"/>
        <v>2.0630817304950106E-2</v>
      </c>
      <c r="BL113" s="11">
        <f t="shared" si="244"/>
        <v>0.11972326913271786</v>
      </c>
      <c r="BM113" s="11">
        <f t="shared" si="244"/>
        <v>0.16398820811829079</v>
      </c>
      <c r="BN113" s="11">
        <f t="shared" si="244"/>
        <v>0.11489128988392938</v>
      </c>
      <c r="BO113" s="11">
        <f t="shared" si="244"/>
        <v>3.9334568466473457E-2</v>
      </c>
      <c r="BP113" s="11">
        <f t="shared" si="244"/>
        <v>0.12704676006210033</v>
      </c>
      <c r="BQ113" s="11">
        <f t="shared" si="244"/>
        <v>7.581587467338996E-2</v>
      </c>
      <c r="BR113" s="11">
        <f t="shared" si="244"/>
        <v>8.2767872058357894E-2</v>
      </c>
      <c r="BS113" s="11">
        <f t="shared" si="244"/>
        <v>0.22330378500923351</v>
      </c>
      <c r="BT113" s="11">
        <f t="shared" si="244"/>
        <v>0.37660627964618443</v>
      </c>
      <c r="BU113" s="11">
        <f t="shared" si="244"/>
        <v>0.12540914567707323</v>
      </c>
      <c r="BV113" s="11">
        <f t="shared" si="244"/>
        <v>3.6974366247256335E-2</v>
      </c>
      <c r="BW113" s="11">
        <f t="shared" si="244"/>
        <v>0.19262945964010064</v>
      </c>
      <c r="BX113" s="11">
        <f t="shared" si="244"/>
        <v>5.5484892717631983E-2</v>
      </c>
      <c r="BY113" s="11">
        <f t="shared" si="244"/>
        <v>2.8481624168373671E-3</v>
      </c>
      <c r="BZ113" s="11">
        <f t="shared" ref="BZ113:DE113" si="245">LN(BZ51/BZ50)</f>
        <v>1.8364613615700388E-2</v>
      </c>
      <c r="CA113" s="11">
        <f t="shared" si="245"/>
        <v>7.1071539521070454E-2</v>
      </c>
      <c r="CB113" s="11">
        <f t="shared" si="245"/>
        <v>7.8882238531658114E-2</v>
      </c>
      <c r="CC113" s="11">
        <f t="shared" si="245"/>
        <v>6.4476899016661926E-2</v>
      </c>
      <c r="CD113" s="11">
        <f t="shared" si="245"/>
        <v>8.0137849065198608E-2</v>
      </c>
      <c r="CE113" s="11">
        <f t="shared" si="245"/>
        <v>0.1741839857649263</v>
      </c>
      <c r="CF113" s="11">
        <f t="shared" si="245"/>
        <v>0.2503936775251559</v>
      </c>
      <c r="CG113" s="11">
        <f t="shared" si="245"/>
        <v>0.11048244671052945</v>
      </c>
      <c r="CH113" s="11">
        <f t="shared" si="245"/>
        <v>7.8361512486954499E-2</v>
      </c>
      <c r="CI113" s="11">
        <f t="shared" si="245"/>
        <v>0.11156912523549749</v>
      </c>
      <c r="CJ113" s="11">
        <f t="shared" si="245"/>
        <v>8.7599381925378819E-2</v>
      </c>
      <c r="CK113" s="11">
        <f t="shared" si="245"/>
        <v>7.4014696310298569E-2</v>
      </c>
      <c r="CL113" s="11">
        <f t="shared" si="245"/>
        <v>0.26106103188538515</v>
      </c>
      <c r="CM113" s="11">
        <f t="shared" si="245"/>
        <v>-2.687623977429543E-2</v>
      </c>
      <c r="CN113" s="11">
        <f t="shared" si="245"/>
        <v>1.6088668213022246E-2</v>
      </c>
      <c r="CO113" s="11">
        <f t="shared" si="245"/>
        <v>3.8429880205993229E-2</v>
      </c>
      <c r="CP113" s="11">
        <f t="shared" si="245"/>
        <v>-7.0390864251024298E-3</v>
      </c>
      <c r="CQ113" s="11">
        <f t="shared" si="245"/>
        <v>-2.0916770423888828E-2</v>
      </c>
      <c r="CR113" s="11">
        <f t="shared" si="245"/>
        <v>7.6552267082629785E-2</v>
      </c>
      <c r="CS113" s="11">
        <f t="shared" si="245"/>
        <v>0.18552558091829338</v>
      </c>
      <c r="CT113" s="11">
        <f t="shared" si="245"/>
        <v>0.40960326457843732</v>
      </c>
      <c r="CU113" s="11">
        <f t="shared" si="245"/>
        <v>0.12083161645208899</v>
      </c>
      <c r="CV113" s="11">
        <f t="shared" si="245"/>
        <v>8.5126482963616606E-2</v>
      </c>
      <c r="CW113" s="11">
        <f t="shared" si="245"/>
        <v>9.9376451249355749E-2</v>
      </c>
      <c r="CX113" s="11">
        <f t="shared" si="245"/>
        <v>0.14128336942884068</v>
      </c>
      <c r="CY113" s="11">
        <f t="shared" si="245"/>
        <v>0.13197416417591626</v>
      </c>
      <c r="CZ113" s="11">
        <f t="shared" si="245"/>
        <v>9.7910961504382166E-2</v>
      </c>
      <c r="DA113" s="11">
        <f t="shared" si="245"/>
        <v>5.1311833333241234E-2</v>
      </c>
      <c r="DB113" s="11">
        <f t="shared" si="245"/>
        <v>0.25485752680373741</v>
      </c>
      <c r="DC113" s="11">
        <f t="shared" si="245"/>
        <v>0.31714238739832118</v>
      </c>
      <c r="DD113" s="11">
        <f t="shared" si="245"/>
        <v>-1.129962488763403E-2</v>
      </c>
      <c r="DE113" s="11">
        <f t="shared" si="245"/>
        <v>6.6007922341687633E-2</v>
      </c>
      <c r="DF113" s="11">
        <f t="shared" ref="DF113:DU113" si="246">LN(DF51/DF50)</f>
        <v>8.5780484770146728E-2</v>
      </c>
      <c r="DG113" s="11">
        <f t="shared" si="246"/>
        <v>1.7699577099400638E-2</v>
      </c>
      <c r="DH113" s="11">
        <f t="shared" si="246"/>
        <v>7.1711825407994423E-2</v>
      </c>
      <c r="DI113" s="11">
        <f t="shared" si="246"/>
        <v>0.15607570345669408</v>
      </c>
      <c r="DJ113" s="11">
        <f t="shared" si="246"/>
        <v>0.22664815336372013</v>
      </c>
      <c r="DK113" s="11">
        <f t="shared" si="246"/>
        <v>0.3359341215353574</v>
      </c>
      <c r="DL113" s="11">
        <f t="shared" si="246"/>
        <v>0.23444192119814228</v>
      </c>
      <c r="DM113" s="11">
        <f t="shared" si="246"/>
        <v>0.32421459919723628</v>
      </c>
      <c r="DN113" s="11">
        <f t="shared" si="246"/>
        <v>0.23712388861446868</v>
      </c>
      <c r="DO113" s="11">
        <f t="shared" si="246"/>
        <v>0.54590961981298036</v>
      </c>
      <c r="DP113" s="11">
        <f t="shared" si="246"/>
        <v>0.44892635531504821</v>
      </c>
      <c r="DQ113" s="11">
        <f t="shared" si="246"/>
        <v>0.43132221343785693</v>
      </c>
      <c r="DR113" s="11">
        <f t="shared" si="246"/>
        <v>0.33042970064651361</v>
      </c>
      <c r="DS113" s="11">
        <f t="shared" si="246"/>
        <v>0.23699413846699477</v>
      </c>
      <c r="DT113" s="11">
        <f t="shared" si="246"/>
        <v>0.40727192055516032</v>
      </c>
      <c r="DU113" s="11">
        <f t="shared" si="246"/>
        <v>0.37811022465879734</v>
      </c>
      <c r="DV113" s="11">
        <f t="shared" si="13"/>
        <v>0.44280119799480061</v>
      </c>
      <c r="DW113" s="11">
        <f t="shared" si="216"/>
        <v>0.3803085181928047</v>
      </c>
      <c r="DX113" s="11">
        <f t="shared" si="216"/>
        <v>0.16823903656393974</v>
      </c>
      <c r="DY113" s="11">
        <f t="shared" si="216"/>
        <v>0.18375521133778278</v>
      </c>
      <c r="DZ113" s="11">
        <f t="shared" si="216"/>
        <v>0.16096533001387123</v>
      </c>
    </row>
    <row r="114" spans="1:130" ht="15">
      <c r="A114" s="8">
        <v>44166</v>
      </c>
      <c r="B114" s="11">
        <f t="shared" si="6"/>
        <v>9.106362017916339E-2</v>
      </c>
      <c r="C114" s="11">
        <f t="shared" si="6"/>
        <v>-2.9709650929104339E-2</v>
      </c>
      <c r="D114" s="11">
        <f t="shared" si="7"/>
        <v>0.15286958242431259</v>
      </c>
      <c r="E114" s="11">
        <f t="shared" si="7"/>
        <v>2.427737412516957E-2</v>
      </c>
      <c r="F114" s="11">
        <f t="shared" si="7"/>
        <v>1.738743100772517E-2</v>
      </c>
      <c r="G114" s="11">
        <f t="shared" si="7"/>
        <v>4.16439455396189E-2</v>
      </c>
      <c r="H114" s="11">
        <f t="shared" ref="H114:M114" si="247">LN(H52/H51)</f>
        <v>-5.9471779436804347E-3</v>
      </c>
      <c r="I114" s="11">
        <f t="shared" si="247"/>
        <v>1.7191398890213151E-3</v>
      </c>
      <c r="J114" s="11">
        <f t="shared" si="247"/>
        <v>0.13867199604198802</v>
      </c>
      <c r="K114" s="11">
        <f t="shared" si="247"/>
        <v>8.0993406508733254E-2</v>
      </c>
      <c r="L114" s="11">
        <f t="shared" si="247"/>
        <v>0.14542546693638828</v>
      </c>
      <c r="M114" s="11">
        <f t="shared" si="247"/>
        <v>1.3509665034320851E-2</v>
      </c>
      <c r="N114" s="11">
        <f t="shared" ref="N114:AS114" si="248">LN(N52/N51)</f>
        <v>5.8495534237074071E-2</v>
      </c>
      <c r="O114" s="11">
        <f t="shared" si="248"/>
        <v>-9.0492031310467607E-3</v>
      </c>
      <c r="P114" s="11">
        <f t="shared" si="248"/>
        <v>4.1751478505101046E-2</v>
      </c>
      <c r="Q114" s="11">
        <f t="shared" si="248"/>
        <v>7.495240376572029E-3</v>
      </c>
      <c r="R114" s="11">
        <f t="shared" si="248"/>
        <v>3.0257924723712862E-2</v>
      </c>
      <c r="S114" s="11">
        <f t="shared" si="248"/>
        <v>-6.5920532332176873E-2</v>
      </c>
      <c r="T114" s="11">
        <f t="shared" si="248"/>
        <v>1.1667052232897667E-2</v>
      </c>
      <c r="U114" s="11">
        <f t="shared" si="248"/>
        <v>2.9806175181305485E-2</v>
      </c>
      <c r="V114" s="11">
        <f t="shared" si="248"/>
        <v>4.8667562957356601E-2</v>
      </c>
      <c r="W114" s="11">
        <f t="shared" si="248"/>
        <v>7.9258287183953322E-2</v>
      </c>
      <c r="X114" s="11">
        <f t="shared" si="248"/>
        <v>3.1425660306971304E-2</v>
      </c>
      <c r="Y114" s="11">
        <f t="shared" si="248"/>
        <v>0.10809177807327257</v>
      </c>
      <c r="Z114" s="11">
        <f t="shared" si="248"/>
        <v>6.3436327942464038E-2</v>
      </c>
      <c r="AA114" s="11">
        <f t="shared" si="248"/>
        <v>0.11936569554290609</v>
      </c>
      <c r="AB114" s="11">
        <f t="shared" si="248"/>
        <v>1.5793145564376894E-2</v>
      </c>
      <c r="AC114" s="11">
        <f t="shared" si="248"/>
        <v>5.3368051675581646E-2</v>
      </c>
      <c r="AD114" s="11">
        <f t="shared" si="248"/>
        <v>4.0878639135386974E-2</v>
      </c>
      <c r="AE114" s="11">
        <f t="shared" si="248"/>
        <v>4.4254556624026477E-2</v>
      </c>
      <c r="AF114" s="11">
        <f t="shared" si="248"/>
        <v>0.11400290013392363</v>
      </c>
      <c r="AG114" s="11">
        <f t="shared" si="248"/>
        <v>0.1306040351685101</v>
      </c>
      <c r="AH114" s="11">
        <f t="shared" si="248"/>
        <v>0.18673443009140964</v>
      </c>
      <c r="AI114" s="11">
        <f t="shared" si="248"/>
        <v>7.5217644914159706E-2</v>
      </c>
      <c r="AJ114" s="11">
        <f t="shared" si="248"/>
        <v>1.4196881131190924E-2</v>
      </c>
      <c r="AK114" s="11">
        <f t="shared" si="248"/>
        <v>0.13764054710482368</v>
      </c>
      <c r="AL114" s="11">
        <f t="shared" si="248"/>
        <v>7.7559151081105296E-2</v>
      </c>
      <c r="AM114" s="11">
        <f t="shared" si="248"/>
        <v>-2.6195610060879393E-2</v>
      </c>
      <c r="AN114" s="11">
        <f t="shared" si="248"/>
        <v>3.7197506475141091E-2</v>
      </c>
      <c r="AO114" s="11">
        <f t="shared" si="248"/>
        <v>8.6469704186717233E-2</v>
      </c>
      <c r="AP114" s="11">
        <f t="shared" si="248"/>
        <v>1.7702598572194635E-2</v>
      </c>
      <c r="AQ114" s="11">
        <f t="shared" si="248"/>
        <v>3.4526298061505437E-2</v>
      </c>
      <c r="AR114" s="11">
        <f t="shared" si="248"/>
        <v>-1.0305455417649524E-2</v>
      </c>
      <c r="AS114" s="11">
        <f t="shared" si="248"/>
        <v>0.15959704849449136</v>
      </c>
      <c r="AT114" s="11">
        <f t="shared" ref="AT114:BY114" si="249">LN(AT52/AT51)</f>
        <v>6.0336912720273958E-2</v>
      </c>
      <c r="AU114" s="11">
        <f t="shared" si="249"/>
        <v>3.7169957583290543E-3</v>
      </c>
      <c r="AV114" s="11">
        <f t="shared" si="249"/>
        <v>3.0264799750868519E-2</v>
      </c>
      <c r="AW114" s="11">
        <f t="shared" si="249"/>
        <v>-2.3476231825155538E-2</v>
      </c>
      <c r="AX114" s="11">
        <f t="shared" si="249"/>
        <v>8.3246722195229883E-2</v>
      </c>
      <c r="AY114" s="11">
        <f t="shared" si="249"/>
        <v>0.11019582568262817</v>
      </c>
      <c r="AZ114" s="11">
        <f t="shared" si="249"/>
        <v>-9.9456273153909869E-2</v>
      </c>
      <c r="BA114" s="11">
        <f t="shared" si="249"/>
        <v>2.9274519488190563E-2</v>
      </c>
      <c r="BB114" s="11">
        <f t="shared" si="249"/>
        <v>2.4534050060769773E-2</v>
      </c>
      <c r="BC114" s="11">
        <f t="shared" si="249"/>
        <v>9.5658487863605798E-2</v>
      </c>
      <c r="BD114" s="11">
        <f t="shared" si="249"/>
        <v>1.075036279363463E-2</v>
      </c>
      <c r="BE114" s="11">
        <f t="shared" si="249"/>
        <v>0.1144842703516647</v>
      </c>
      <c r="BF114" s="11">
        <f t="shared" si="249"/>
        <v>3.332245065462594E-2</v>
      </c>
      <c r="BG114" s="11">
        <f t="shared" si="249"/>
        <v>2.767193375733203E-2</v>
      </c>
      <c r="BH114" s="11">
        <f t="shared" si="249"/>
        <v>-4.544984437170785E-4</v>
      </c>
      <c r="BI114" s="11">
        <f t="shared" si="249"/>
        <v>0.10173853170321721</v>
      </c>
      <c r="BJ114" s="11">
        <f t="shared" si="249"/>
        <v>-5.1485398892991967E-2</v>
      </c>
      <c r="BK114" s="11">
        <f t="shared" si="249"/>
        <v>-7.3141364045317819E-3</v>
      </c>
      <c r="BL114" s="11">
        <f t="shared" si="249"/>
        <v>9.2174934009756293E-2</v>
      </c>
      <c r="BM114" s="11">
        <f t="shared" si="249"/>
        <v>9.8185882414919393E-2</v>
      </c>
      <c r="BN114" s="11">
        <f t="shared" si="249"/>
        <v>4.9038086220589659E-2</v>
      </c>
      <c r="BO114" s="11">
        <f t="shared" si="249"/>
        <v>-4.3429790759495074E-2</v>
      </c>
      <c r="BP114" s="11">
        <f t="shared" si="249"/>
        <v>5.9067164602640568E-2</v>
      </c>
      <c r="BQ114" s="11">
        <f t="shared" si="249"/>
        <v>-2.8361323272482138E-2</v>
      </c>
      <c r="BR114" s="11">
        <f t="shared" si="249"/>
        <v>4.8040353888874544E-2</v>
      </c>
      <c r="BS114" s="11">
        <f t="shared" si="249"/>
        <v>9.3504665656423708E-2</v>
      </c>
      <c r="BT114" s="11">
        <f t="shared" si="249"/>
        <v>8.0735468352436987E-2</v>
      </c>
      <c r="BU114" s="11">
        <f t="shared" si="249"/>
        <v>3.0237953942479995E-2</v>
      </c>
      <c r="BV114" s="11">
        <f t="shared" si="249"/>
        <v>-2.3479400827386136E-2</v>
      </c>
      <c r="BW114" s="11">
        <f t="shared" si="249"/>
        <v>-4.2638007477538688E-2</v>
      </c>
      <c r="BX114" s="11">
        <f t="shared" si="249"/>
        <v>1.4172189419105728E-3</v>
      </c>
      <c r="BY114" s="11">
        <f t="shared" si="249"/>
        <v>6.4305914176224208E-2</v>
      </c>
      <c r="BZ114" s="11">
        <f t="shared" ref="BZ114:DE114" si="250">LN(BZ52/BZ51)</f>
        <v>1.9423160411901231E-3</v>
      </c>
      <c r="CA114" s="11">
        <f t="shared" si="250"/>
        <v>6.870837740800001E-2</v>
      </c>
      <c r="CB114" s="11">
        <f t="shared" si="250"/>
        <v>2.7827831195876226E-2</v>
      </c>
      <c r="CC114" s="11">
        <f t="shared" si="250"/>
        <v>8.8868893855026124E-2</v>
      </c>
      <c r="CD114" s="11">
        <f t="shared" si="250"/>
        <v>-1.1530423198391974E-2</v>
      </c>
      <c r="CE114" s="11">
        <f t="shared" si="250"/>
        <v>2.4606140710371899E-2</v>
      </c>
      <c r="CF114" s="11">
        <f t="shared" si="250"/>
        <v>4.7303717206302331E-2</v>
      </c>
      <c r="CG114" s="11">
        <f t="shared" si="250"/>
        <v>8.3796157058316015E-2</v>
      </c>
      <c r="CH114" s="11">
        <f t="shared" si="250"/>
        <v>1.7598891162955328E-2</v>
      </c>
      <c r="CI114" s="11">
        <f t="shared" si="250"/>
        <v>4.1648629070549184E-2</v>
      </c>
      <c r="CJ114" s="11">
        <f t="shared" si="250"/>
        <v>-1.5190674000441801E-3</v>
      </c>
      <c r="CK114" s="11">
        <f t="shared" si="250"/>
        <v>6.2792537582427477E-2</v>
      </c>
      <c r="CL114" s="11">
        <f t="shared" si="250"/>
        <v>4.0816508832937429E-2</v>
      </c>
      <c r="CM114" s="11">
        <f t="shared" si="250"/>
        <v>-1.2154960315074254E-2</v>
      </c>
      <c r="CN114" s="11">
        <f t="shared" si="250"/>
        <v>-1.7618832273454104E-2</v>
      </c>
      <c r="CO114" s="11">
        <f t="shared" si="250"/>
        <v>2.2318320555636283E-2</v>
      </c>
      <c r="CP114" s="11">
        <f t="shared" si="250"/>
        <v>-3.4248465498550396E-3</v>
      </c>
      <c r="CQ114" s="11">
        <f t="shared" si="250"/>
        <v>1.3606158651517799E-5</v>
      </c>
      <c r="CR114" s="11">
        <f t="shared" si="250"/>
        <v>-3.3956882962495688E-2</v>
      </c>
      <c r="CS114" s="11">
        <f t="shared" si="250"/>
        <v>9.4139385513111722E-3</v>
      </c>
      <c r="CT114" s="11">
        <f t="shared" si="250"/>
        <v>5.6505228656385957E-2</v>
      </c>
      <c r="CU114" s="11">
        <f t="shared" si="250"/>
        <v>3.7406958694836678E-2</v>
      </c>
      <c r="CV114" s="11">
        <f t="shared" si="250"/>
        <v>-9.6510282908125154E-3</v>
      </c>
      <c r="CW114" s="11">
        <f t="shared" si="250"/>
        <v>-9.8798857510542931E-2</v>
      </c>
      <c r="CX114" s="11">
        <f t="shared" si="250"/>
        <v>-2.0478531343540676E-2</v>
      </c>
      <c r="CY114" s="11">
        <f t="shared" si="250"/>
        <v>0.81697253067229136</v>
      </c>
      <c r="CZ114" s="11">
        <f t="shared" si="250"/>
        <v>-1.3755842277753323E-2</v>
      </c>
      <c r="DA114" s="11">
        <f t="shared" si="250"/>
        <v>-5.6889092631347393E-2</v>
      </c>
      <c r="DB114" s="11">
        <f t="shared" si="250"/>
        <v>0.11238636848422918</v>
      </c>
      <c r="DC114" s="11">
        <f t="shared" si="250"/>
        <v>2.0208630653035756E-2</v>
      </c>
      <c r="DD114" s="11">
        <f t="shared" si="250"/>
        <v>4.8068201681449367E-2</v>
      </c>
      <c r="DE114" s="11">
        <f t="shared" si="250"/>
        <v>-4.1055331464052207E-2</v>
      </c>
      <c r="DF114" s="11">
        <f t="shared" ref="DF114:DU114" si="251">LN(DF52/DF51)</f>
        <v>4.265115178899119E-2</v>
      </c>
      <c r="DG114" s="11">
        <f t="shared" si="251"/>
        <v>2.1692824611259969E-2</v>
      </c>
      <c r="DH114" s="11">
        <f t="shared" si="251"/>
        <v>4.5783564625810159E-2</v>
      </c>
      <c r="DI114" s="11">
        <f t="shared" si="251"/>
        <v>0.10176228456067546</v>
      </c>
      <c r="DJ114" s="11">
        <f t="shared" si="251"/>
        <v>-1.7208280788221442E-2</v>
      </c>
      <c r="DK114" s="11">
        <f t="shared" si="251"/>
        <v>1.0810946744868231E-2</v>
      </c>
      <c r="DL114" s="11">
        <f t="shared" si="251"/>
        <v>0.12427989568286671</v>
      </c>
      <c r="DM114" s="11">
        <f t="shared" si="251"/>
        <v>6.1828536021516563E-2</v>
      </c>
      <c r="DN114" s="11">
        <f t="shared" si="251"/>
        <v>0.11235153307467788</v>
      </c>
      <c r="DO114" s="11">
        <f t="shared" si="251"/>
        <v>9.3808842710423626E-2</v>
      </c>
      <c r="DP114" s="11">
        <f t="shared" si="251"/>
        <v>0.12230002054683807</v>
      </c>
      <c r="DQ114" s="11">
        <f t="shared" si="251"/>
        <v>0.20326259091463647</v>
      </c>
      <c r="DR114" s="11">
        <f t="shared" si="251"/>
        <v>4.8813301149612777E-2</v>
      </c>
      <c r="DS114" s="11">
        <f t="shared" si="251"/>
        <v>0.11927076864861498</v>
      </c>
      <c r="DT114" s="11">
        <f t="shared" si="251"/>
        <v>0.12325008866729981</v>
      </c>
      <c r="DU114" s="11">
        <f t="shared" si="251"/>
        <v>0.11324128927181443</v>
      </c>
      <c r="DV114" s="11">
        <f t="shared" si="13"/>
        <v>9.6085582852078244E-2</v>
      </c>
      <c r="DW114" s="11">
        <f t="shared" si="216"/>
        <v>0.21773076083527568</v>
      </c>
      <c r="DX114" s="11">
        <f t="shared" si="216"/>
        <v>8.3610510067186394E-2</v>
      </c>
      <c r="DY114" s="11">
        <f t="shared" si="216"/>
        <v>0.14868097892357648</v>
      </c>
      <c r="DZ114" s="11">
        <f t="shared" si="216"/>
        <v>-3.2459480916116383E-2</v>
      </c>
    </row>
    <row r="115" spans="1:130" ht="15">
      <c r="A115" s="8">
        <v>44197</v>
      </c>
      <c r="B115" s="11">
        <f t="shared" si="6"/>
        <v>3.5884223445960359E-2</v>
      </c>
      <c r="C115" s="11">
        <f t="shared" si="6"/>
        <v>-2.503247810592369E-2</v>
      </c>
      <c r="D115" s="11">
        <f t="shared" si="7"/>
        <v>0.2084425259912967</v>
      </c>
      <c r="E115" s="11">
        <f t="shared" si="7"/>
        <v>-4.4561876498272077E-2</v>
      </c>
      <c r="F115" s="11">
        <f t="shared" si="7"/>
        <v>-5.1697128112777546E-2</v>
      </c>
      <c r="G115" s="11">
        <f t="shared" si="7"/>
        <v>4.8847988964743641E-2</v>
      </c>
      <c r="H115" s="11">
        <f t="shared" ref="H115:M115" si="252">LN(H53/H52)</f>
        <v>-1.774877121827024E-3</v>
      </c>
      <c r="I115" s="11">
        <f t="shared" si="252"/>
        <v>9.0575611694583447E-2</v>
      </c>
      <c r="J115" s="11">
        <f t="shared" si="252"/>
        <v>0.14196867144400416</v>
      </c>
      <c r="K115" s="11">
        <f t="shared" si="252"/>
        <v>-4.3315748911016319E-2</v>
      </c>
      <c r="L115" s="11">
        <f t="shared" si="252"/>
        <v>1.3779983552494103E-2</v>
      </c>
      <c r="M115" s="11">
        <f t="shared" si="252"/>
        <v>1.4078817566034475E-2</v>
      </c>
      <c r="N115" s="11">
        <f t="shared" ref="N115:AS115" si="253">LN(N53/N52)</f>
        <v>-7.6757527320022575E-3</v>
      </c>
      <c r="O115" s="11">
        <f t="shared" si="253"/>
        <v>2.4630975931606677E-2</v>
      </c>
      <c r="P115" s="11">
        <f t="shared" si="253"/>
        <v>-4.6399963409000315E-2</v>
      </c>
      <c r="Q115" s="11">
        <f t="shared" si="253"/>
        <v>4.788329593457942E-2</v>
      </c>
      <c r="R115" s="11">
        <f t="shared" si="253"/>
        <v>-7.5111364783951973E-2</v>
      </c>
      <c r="S115" s="11">
        <f t="shared" si="253"/>
        <v>4.2014386358482175E-2</v>
      </c>
      <c r="T115" s="11">
        <f t="shared" si="253"/>
        <v>0.12113651488566266</v>
      </c>
      <c r="U115" s="11">
        <f t="shared" si="253"/>
        <v>-4.5889005385068439E-2</v>
      </c>
      <c r="V115" s="11">
        <f t="shared" si="253"/>
        <v>-0.10059404367171706</v>
      </c>
      <c r="W115" s="11">
        <f t="shared" si="253"/>
        <v>0.10030306683160688</v>
      </c>
      <c r="X115" s="11">
        <f t="shared" si="253"/>
        <v>-7.0397073953255243E-2</v>
      </c>
      <c r="Y115" s="11">
        <f t="shared" si="253"/>
        <v>-9.8035288860317468E-2</v>
      </c>
      <c r="Z115" s="11">
        <f t="shared" si="253"/>
        <v>4.866278293670534E-2</v>
      </c>
      <c r="AA115" s="11">
        <f t="shared" si="253"/>
        <v>-9.0062999821675468E-2</v>
      </c>
      <c r="AB115" s="11">
        <f t="shared" si="253"/>
        <v>-5.3087558793667756E-2</v>
      </c>
      <c r="AC115" s="11">
        <f t="shared" si="253"/>
        <v>-4.0212820665002327E-2</v>
      </c>
      <c r="AD115" s="11">
        <f t="shared" si="253"/>
        <v>4.1997872519450308E-2</v>
      </c>
      <c r="AE115" s="11">
        <f t="shared" si="253"/>
        <v>-8.6299074478083507E-2</v>
      </c>
      <c r="AF115" s="11">
        <f t="shared" si="253"/>
        <v>-6.8120968975030782E-2</v>
      </c>
      <c r="AG115" s="11">
        <f t="shared" si="253"/>
        <v>-1.4727577782708398E-2</v>
      </c>
      <c r="AH115" s="11">
        <f t="shared" si="253"/>
        <v>-2.577884158833672E-2</v>
      </c>
      <c r="AI115" s="11">
        <f t="shared" si="253"/>
        <v>-0.10890962824832275</v>
      </c>
      <c r="AJ115" s="11">
        <f t="shared" si="253"/>
        <v>5.5935327539324481E-2</v>
      </c>
      <c r="AK115" s="11">
        <f t="shared" si="253"/>
        <v>1.3859031800879331E-2</v>
      </c>
      <c r="AL115" s="11">
        <f t="shared" si="253"/>
        <v>0.1077164968211119</v>
      </c>
      <c r="AM115" s="11">
        <f t="shared" si="253"/>
        <v>-4.7145970555842022E-3</v>
      </c>
      <c r="AN115" s="11">
        <f t="shared" si="253"/>
        <v>0.10814650996714767</v>
      </c>
      <c r="AO115" s="11">
        <f t="shared" si="253"/>
        <v>3.6966168259331487E-2</v>
      </c>
      <c r="AP115" s="11">
        <f t="shared" si="253"/>
        <v>9.4595712611735324E-3</v>
      </c>
      <c r="AQ115" s="11">
        <f t="shared" si="253"/>
        <v>2.9840628102533656E-2</v>
      </c>
      <c r="AR115" s="11">
        <f t="shared" si="253"/>
        <v>-6.847896084937076E-2</v>
      </c>
      <c r="AS115" s="11">
        <f t="shared" si="253"/>
        <v>4.0279062378278802E-2</v>
      </c>
      <c r="AT115" s="11">
        <f t="shared" ref="AT115:BY115" si="254">LN(AT53/AT52)</f>
        <v>1.7062819380391076E-3</v>
      </c>
      <c r="AU115" s="11">
        <f t="shared" si="254"/>
        <v>1.1529554428634285E-2</v>
      </c>
      <c r="AV115" s="11">
        <f t="shared" si="254"/>
        <v>-1.4587375023372012E-2</v>
      </c>
      <c r="AW115" s="11">
        <f t="shared" si="254"/>
        <v>-8.2296544709593078E-2</v>
      </c>
      <c r="AX115" s="11">
        <f t="shared" si="254"/>
        <v>0.10172302951771106</v>
      </c>
      <c r="AY115" s="11">
        <f t="shared" si="254"/>
        <v>-5.516838560895956E-3</v>
      </c>
      <c r="AZ115" s="11">
        <f t="shared" si="254"/>
        <v>1.3524274960956833E-2</v>
      </c>
      <c r="BA115" s="11">
        <f t="shared" si="254"/>
        <v>-1.3295855117105492E-2</v>
      </c>
      <c r="BB115" s="11">
        <f t="shared" si="254"/>
        <v>-3.5798510060131079E-2</v>
      </c>
      <c r="BC115" s="11">
        <f t="shared" si="254"/>
        <v>6.9452048861107382E-2</v>
      </c>
      <c r="BD115" s="11">
        <f t="shared" si="254"/>
        <v>-6.9275424372344671E-2</v>
      </c>
      <c r="BE115" s="11">
        <f t="shared" si="254"/>
        <v>-1.9922546782429745E-3</v>
      </c>
      <c r="BF115" s="11">
        <f t="shared" si="254"/>
        <v>-5.5281588742991536E-2</v>
      </c>
      <c r="BG115" s="11">
        <f t="shared" si="254"/>
        <v>-1.569859861899105E-2</v>
      </c>
      <c r="BH115" s="11">
        <f t="shared" si="254"/>
        <v>0.1174072635383544</v>
      </c>
      <c r="BI115" s="11">
        <f t="shared" si="254"/>
        <v>0.11247917934502097</v>
      </c>
      <c r="BJ115" s="11">
        <f t="shared" si="254"/>
        <v>0.19647011170617013</v>
      </c>
      <c r="BK115" s="11">
        <f t="shared" si="254"/>
        <v>-3.1914238369197406E-2</v>
      </c>
      <c r="BL115" s="11">
        <f t="shared" si="254"/>
        <v>-9.989174686814925E-2</v>
      </c>
      <c r="BM115" s="11">
        <f t="shared" si="254"/>
        <v>-1.8897926126057008E-2</v>
      </c>
      <c r="BN115" s="11">
        <f t="shared" si="254"/>
        <v>-5.5302335273199228E-2</v>
      </c>
      <c r="BO115" s="11">
        <f t="shared" si="254"/>
        <v>2.4825535399348762E-2</v>
      </c>
      <c r="BP115" s="11">
        <f t="shared" si="254"/>
        <v>-1.7935763581260332E-2</v>
      </c>
      <c r="BQ115" s="11">
        <f t="shared" si="254"/>
        <v>-5.6969133878238085E-2</v>
      </c>
      <c r="BR115" s="11">
        <f t="shared" si="254"/>
        <v>-7.3128361078788146E-2</v>
      </c>
      <c r="BS115" s="11">
        <f t="shared" si="254"/>
        <v>-0.135859175543523</v>
      </c>
      <c r="BT115" s="11">
        <f t="shared" si="254"/>
        <v>-0.14854928401921319</v>
      </c>
      <c r="BU115" s="11">
        <f t="shared" si="254"/>
        <v>-6.7342616113881204E-2</v>
      </c>
      <c r="BV115" s="11">
        <f t="shared" si="254"/>
        <v>-3.1643533917480551E-2</v>
      </c>
      <c r="BW115" s="11">
        <f t="shared" si="254"/>
        <v>9.1661373061087223E-2</v>
      </c>
      <c r="BX115" s="11">
        <f t="shared" si="254"/>
        <v>8.2180674530702678E-3</v>
      </c>
      <c r="BY115" s="11">
        <f t="shared" si="254"/>
        <v>-5.3052695467602232E-2</v>
      </c>
      <c r="BZ115" s="11">
        <f t="shared" ref="BZ115:DE115" si="255">LN(BZ53/BZ52)</f>
        <v>-8.1810855362815543E-2</v>
      </c>
      <c r="CA115" s="11">
        <f t="shared" si="255"/>
        <v>-0.13009871854324975</v>
      </c>
      <c r="CB115" s="11">
        <f t="shared" si="255"/>
        <v>-7.5301159983909918E-2</v>
      </c>
      <c r="CC115" s="11">
        <f t="shared" si="255"/>
        <v>-2.4305680420434673E-2</v>
      </c>
      <c r="CD115" s="11">
        <f t="shared" si="255"/>
        <v>-3.4038684045777229E-2</v>
      </c>
      <c r="CE115" s="11">
        <f t="shared" si="255"/>
        <v>9.1518026002283589E-3</v>
      </c>
      <c r="CF115" s="11">
        <f t="shared" si="255"/>
        <v>-0.10900680951541297</v>
      </c>
      <c r="CG115" s="11">
        <f t="shared" si="255"/>
        <v>-0.1176279526940031</v>
      </c>
      <c r="CH115" s="11">
        <f t="shared" si="255"/>
        <v>-4.7808715152525501E-2</v>
      </c>
      <c r="CI115" s="11">
        <f t="shared" si="255"/>
        <v>7.0907847242368093E-4</v>
      </c>
      <c r="CJ115" s="11">
        <f t="shared" si="255"/>
        <v>-9.1924560256255547E-2</v>
      </c>
      <c r="CK115" s="11">
        <f t="shared" si="255"/>
        <v>-3.374212425544567E-2</v>
      </c>
      <c r="CL115" s="11">
        <f t="shared" si="255"/>
        <v>-3.7735211247377248E-2</v>
      </c>
      <c r="CM115" s="11">
        <f t="shared" si="255"/>
        <v>5.3493022306467857E-3</v>
      </c>
      <c r="CN115" s="11">
        <f t="shared" si="255"/>
        <v>-5.4317250909167121E-2</v>
      </c>
      <c r="CO115" s="11">
        <f t="shared" si="255"/>
        <v>-6.1895180207607037E-2</v>
      </c>
      <c r="CP115" s="11">
        <f t="shared" si="255"/>
        <v>-3.2625470168444824E-2</v>
      </c>
      <c r="CQ115" s="11">
        <f t="shared" si="255"/>
        <v>3.6661283311860922E-2</v>
      </c>
      <c r="CR115" s="11">
        <f t="shared" si="255"/>
        <v>-4.9760120841445274E-3</v>
      </c>
      <c r="CS115" s="11">
        <f t="shared" si="255"/>
        <v>0.12347182834204616</v>
      </c>
      <c r="CT115" s="11">
        <f t="shared" si="255"/>
        <v>-7.2193080405931517E-2</v>
      </c>
      <c r="CU115" s="11">
        <f t="shared" si="255"/>
        <v>-1.1798033745634777E-2</v>
      </c>
      <c r="CV115" s="11">
        <f t="shared" si="255"/>
        <v>-8.2917297213400881E-2</v>
      </c>
      <c r="CW115" s="11">
        <f t="shared" si="255"/>
        <v>-9.5950534950063518E-2</v>
      </c>
      <c r="CX115" s="11">
        <f t="shared" si="255"/>
        <v>0</v>
      </c>
      <c r="CY115" s="11">
        <f t="shared" si="255"/>
        <v>-0.19933290262049125</v>
      </c>
      <c r="CZ115" s="11">
        <f t="shared" si="255"/>
        <v>4.3172171865208782E-2</v>
      </c>
      <c r="DA115" s="11">
        <f t="shared" si="255"/>
        <v>-1.8438904345314523E-2</v>
      </c>
      <c r="DB115" s="11">
        <f t="shared" si="255"/>
        <v>-0.12647874262393735</v>
      </c>
      <c r="DC115" s="11">
        <f t="shared" si="255"/>
        <v>8.2725360749227206E-2</v>
      </c>
      <c r="DD115" s="11">
        <f t="shared" si="255"/>
        <v>3.6038757412819675E-3</v>
      </c>
      <c r="DE115" s="11">
        <f t="shared" si="255"/>
        <v>-5.3266292137097073E-3</v>
      </c>
      <c r="DF115" s="11">
        <f t="shared" ref="DF115:DU115" si="256">LN(DF53/DF52)</f>
        <v>-7.9764968468862552E-2</v>
      </c>
      <c r="DG115" s="11">
        <f t="shared" si="256"/>
        <v>0.10578960813383702</v>
      </c>
      <c r="DH115" s="11">
        <f t="shared" si="256"/>
        <v>-1.6631595892940918E-2</v>
      </c>
      <c r="DI115" s="11">
        <f t="shared" si="256"/>
        <v>8.4177053229534435E-2</v>
      </c>
      <c r="DJ115" s="11">
        <f t="shared" si="256"/>
        <v>8.8417437323074707E-3</v>
      </c>
      <c r="DK115" s="11">
        <f t="shared" si="256"/>
        <v>9.9945527510064236E-4</v>
      </c>
      <c r="DL115" s="11">
        <f t="shared" si="256"/>
        <v>6.4713922385261136E-2</v>
      </c>
      <c r="DM115" s="11">
        <f t="shared" si="256"/>
        <v>2.1621445536592166E-2</v>
      </c>
      <c r="DN115" s="11">
        <f t="shared" si="256"/>
        <v>2.6716120186044436E-2</v>
      </c>
      <c r="DO115" s="11">
        <f t="shared" si="256"/>
        <v>0.14796631796544718</v>
      </c>
      <c r="DP115" s="11">
        <f t="shared" si="256"/>
        <v>4.7316893710341285E-2</v>
      </c>
      <c r="DQ115" s="11">
        <f t="shared" si="256"/>
        <v>0.15809787674913706</v>
      </c>
      <c r="DR115" s="11">
        <f t="shared" si="256"/>
        <v>2.3287878086453669E-2</v>
      </c>
      <c r="DS115" s="11">
        <f t="shared" si="256"/>
        <v>-3.713158483466987E-2</v>
      </c>
      <c r="DT115" s="11">
        <f t="shared" si="256"/>
        <v>0.12859897530600825</v>
      </c>
      <c r="DU115" s="11">
        <f t="shared" si="256"/>
        <v>-0.10350095252342961</v>
      </c>
      <c r="DV115" s="11">
        <f t="shared" si="13"/>
        <v>6.3224459633201089E-3</v>
      </c>
      <c r="DW115" s="11">
        <f t="shared" si="216"/>
        <v>0.11734364031399168</v>
      </c>
      <c r="DX115" s="11">
        <f t="shared" si="216"/>
        <v>-9.7587030562903576E-2</v>
      </c>
      <c r="DY115" s="11">
        <f t="shared" si="216"/>
        <v>-7.7987018704699859E-3</v>
      </c>
      <c r="DZ115" s="11">
        <f t="shared" si="216"/>
        <v>0.18061361444879856</v>
      </c>
    </row>
    <row r="116" spans="1:130" ht="15">
      <c r="A116" s="8">
        <v>44228</v>
      </c>
      <c r="B116" s="11">
        <f t="shared" si="6"/>
        <v>-2.904562305941406E-2</v>
      </c>
      <c r="C116" s="11">
        <f t="shared" si="6"/>
        <v>-5.8670303049608297E-2</v>
      </c>
      <c r="D116" s="11">
        <f t="shared" si="7"/>
        <v>-1.4920744525380744E-2</v>
      </c>
      <c r="E116" s="11">
        <f t="shared" si="7"/>
        <v>6.1681679551875104E-2</v>
      </c>
      <c r="F116" s="11">
        <f t="shared" si="7"/>
        <v>-5.9473729709313208E-2</v>
      </c>
      <c r="G116" s="11">
        <f t="shared" si="7"/>
        <v>-7.0834731542838966E-2</v>
      </c>
      <c r="H116" s="11">
        <f t="shared" ref="H116:M116" si="257">LN(H54/H53)</f>
        <v>-1.629158590787644E-3</v>
      </c>
      <c r="I116" s="11">
        <f t="shared" si="257"/>
        <v>-0.12439700165631558</v>
      </c>
      <c r="J116" s="11">
        <f t="shared" si="257"/>
        <v>2.9961240916051252E-2</v>
      </c>
      <c r="K116" s="11">
        <f t="shared" si="257"/>
        <v>8.3123365519375533E-2</v>
      </c>
      <c r="L116" s="11">
        <f t="shared" si="257"/>
        <v>5.9373142686029327E-2</v>
      </c>
      <c r="M116" s="11">
        <f t="shared" si="257"/>
        <v>1.7325720039348239E-2</v>
      </c>
      <c r="N116" s="11">
        <f t="shared" ref="N116:AS116" si="258">LN(N54/N53)</f>
        <v>8.0942190531573074E-2</v>
      </c>
      <c r="O116" s="11">
        <f t="shared" si="258"/>
        <v>-4.5582831356629196E-2</v>
      </c>
      <c r="P116" s="11">
        <f t="shared" si="258"/>
        <v>-4.0852638507368685E-3</v>
      </c>
      <c r="Q116" s="11">
        <f t="shared" si="258"/>
        <v>-4.3708920198853148E-2</v>
      </c>
      <c r="R116" s="11">
        <f t="shared" si="258"/>
        <v>2.069490653405924E-2</v>
      </c>
      <c r="S116" s="11">
        <f t="shared" si="258"/>
        <v>-0.11174530946711542</v>
      </c>
      <c r="T116" s="11">
        <f t="shared" si="258"/>
        <v>-2.7292760186990464E-2</v>
      </c>
      <c r="U116" s="11">
        <f t="shared" si="258"/>
        <v>4.9418470927749675E-2</v>
      </c>
      <c r="V116" s="11">
        <f t="shared" si="258"/>
        <v>9.3576929657429336E-2</v>
      </c>
      <c r="W116" s="11">
        <f t="shared" si="258"/>
        <v>-1.1715468844743473E-2</v>
      </c>
      <c r="X116" s="11">
        <f t="shared" si="258"/>
        <v>7.9461872691543502E-3</v>
      </c>
      <c r="Y116" s="11">
        <f t="shared" si="258"/>
        <v>-0.13462510301164118</v>
      </c>
      <c r="Z116" s="11">
        <f t="shared" si="258"/>
        <v>-8.2123396250492781E-2</v>
      </c>
      <c r="AA116" s="11">
        <f t="shared" si="258"/>
        <v>-1.4605093756880029E-2</v>
      </c>
      <c r="AB116" s="11">
        <f t="shared" si="258"/>
        <v>-4.4587201248311358E-2</v>
      </c>
      <c r="AC116" s="11">
        <f t="shared" si="258"/>
        <v>1.1131337217353139E-2</v>
      </c>
      <c r="AD116" s="11">
        <f t="shared" si="258"/>
        <v>1.8087130946421517E-3</v>
      </c>
      <c r="AE116" s="11">
        <f t="shared" si="258"/>
        <v>1.9598455818008315E-3</v>
      </c>
      <c r="AF116" s="11">
        <f t="shared" si="258"/>
        <v>6.9153910066587512E-2</v>
      </c>
      <c r="AG116" s="11">
        <f t="shared" si="258"/>
        <v>-4.0911709512098167E-2</v>
      </c>
      <c r="AH116" s="11">
        <f t="shared" si="258"/>
        <v>0.15400263037847203</v>
      </c>
      <c r="AI116" s="11">
        <f t="shared" si="258"/>
        <v>-2.0613244082263955E-4</v>
      </c>
      <c r="AJ116" s="11">
        <f t="shared" si="258"/>
        <v>-0.1612006005664772</v>
      </c>
      <c r="AK116" s="11">
        <f t="shared" si="258"/>
        <v>-7.6923375519211301E-2</v>
      </c>
      <c r="AL116" s="11">
        <f t="shared" si="258"/>
        <v>-3.0940721183604063E-2</v>
      </c>
      <c r="AM116" s="11">
        <f t="shared" si="258"/>
        <v>5.4292603205730601E-2</v>
      </c>
      <c r="AN116" s="11">
        <f t="shared" si="258"/>
        <v>9.0697663786226151E-2</v>
      </c>
      <c r="AO116" s="11">
        <f t="shared" si="258"/>
        <v>4.2098115960243404E-2</v>
      </c>
      <c r="AP116" s="11">
        <f t="shared" si="258"/>
        <v>4.4990214579855282E-2</v>
      </c>
      <c r="AQ116" s="11">
        <f t="shared" si="258"/>
        <v>-0.13759771898514647</v>
      </c>
      <c r="AR116" s="11">
        <f t="shared" si="258"/>
        <v>-1.3282593165091115E-2</v>
      </c>
      <c r="AS116" s="11">
        <f t="shared" si="258"/>
        <v>0.15650251037028726</v>
      </c>
      <c r="AT116" s="11">
        <f t="shared" ref="AT116:BY116" si="259">LN(AT54/AT53)</f>
        <v>5.6026033573497176E-2</v>
      </c>
      <c r="AU116" s="11">
        <f t="shared" si="259"/>
        <v>0.12891721714212129</v>
      </c>
      <c r="AV116" s="11">
        <f t="shared" si="259"/>
        <v>0.11455358791048643</v>
      </c>
      <c r="AW116" s="11">
        <f t="shared" si="259"/>
        <v>-2.069997289147669E-3</v>
      </c>
      <c r="AX116" s="11">
        <f t="shared" si="259"/>
        <v>4.9395204064511714E-2</v>
      </c>
      <c r="AY116" s="11">
        <f t="shared" si="259"/>
        <v>-8.4562157772619273E-2</v>
      </c>
      <c r="AZ116" s="11">
        <f t="shared" si="259"/>
        <v>-4.0995651496436802E-2</v>
      </c>
      <c r="BA116" s="11">
        <f t="shared" si="259"/>
        <v>-1.8019844469491231E-2</v>
      </c>
      <c r="BB116" s="11">
        <f t="shared" si="259"/>
        <v>7.6728374949726216E-2</v>
      </c>
      <c r="BC116" s="11">
        <f t="shared" si="259"/>
        <v>-4.945074453496127E-4</v>
      </c>
      <c r="BD116" s="11">
        <f t="shared" si="259"/>
        <v>-3.9424878061198416E-3</v>
      </c>
      <c r="BE116" s="11">
        <f t="shared" si="259"/>
        <v>0.17413940540630551</v>
      </c>
      <c r="BF116" s="11">
        <f t="shared" si="259"/>
        <v>-1.5117911243574557E-3</v>
      </c>
      <c r="BG116" s="11">
        <f t="shared" si="259"/>
        <v>-3.5967573575716387E-2</v>
      </c>
      <c r="BH116" s="11">
        <f t="shared" si="259"/>
        <v>-1.5939665573339787E-3</v>
      </c>
      <c r="BI116" s="11">
        <f t="shared" si="259"/>
        <v>0.101097082804361</v>
      </c>
      <c r="BJ116" s="11">
        <f t="shared" si="259"/>
        <v>1.2744021119273509E-2</v>
      </c>
      <c r="BK116" s="11">
        <f t="shared" si="259"/>
        <v>-8.2131908373301327E-3</v>
      </c>
      <c r="BL116" s="11">
        <f t="shared" si="259"/>
        <v>0.10965900888615131</v>
      </c>
      <c r="BM116" s="11">
        <f t="shared" si="259"/>
        <v>0.16421828427242791</v>
      </c>
      <c r="BN116" s="11">
        <f t="shared" si="259"/>
        <v>8.8681010097282579E-3</v>
      </c>
      <c r="BO116" s="11">
        <f t="shared" si="259"/>
        <v>-4.7177932778073993E-2</v>
      </c>
      <c r="BP116" s="11">
        <f t="shared" si="259"/>
        <v>-1.8312832697501374E-2</v>
      </c>
      <c r="BQ116" s="11">
        <f t="shared" si="259"/>
        <v>-3.0335013835986805E-2</v>
      </c>
      <c r="BR116" s="11">
        <f t="shared" si="259"/>
        <v>0</v>
      </c>
      <c r="BS116" s="11">
        <f t="shared" si="259"/>
        <v>0.18031113332309509</v>
      </c>
      <c r="BT116" s="11">
        <f t="shared" si="259"/>
        <v>0.35961651578838416</v>
      </c>
      <c r="BU116" s="11">
        <f t="shared" si="259"/>
        <v>1.9901901496984131E-2</v>
      </c>
      <c r="BV116" s="11">
        <f t="shared" si="259"/>
        <v>-6.7643521321821734E-2</v>
      </c>
      <c r="BW116" s="11">
        <f t="shared" si="259"/>
        <v>0.29343083848379437</v>
      </c>
      <c r="BX116" s="11">
        <f t="shared" si="259"/>
        <v>0.11465819420771045</v>
      </c>
      <c r="BY116" s="11">
        <f t="shared" si="259"/>
        <v>7.2473217716014948E-2</v>
      </c>
      <c r="BZ116" s="11">
        <f t="shared" ref="BZ116:DE116" si="260">LN(BZ54/BZ53)</f>
        <v>-3.117227327238389E-2</v>
      </c>
      <c r="CA116" s="11">
        <f t="shared" si="260"/>
        <v>1.7295008979539887E-2</v>
      </c>
      <c r="CB116" s="11">
        <f t="shared" si="260"/>
        <v>-5.555267719382443E-2</v>
      </c>
      <c r="CC116" s="11">
        <f t="shared" si="260"/>
        <v>5.3412778475574317E-2</v>
      </c>
      <c r="CD116" s="11">
        <f t="shared" si="260"/>
        <v>-0.11389100609008944</v>
      </c>
      <c r="CE116" s="11">
        <f t="shared" si="260"/>
        <v>-1.591174722343279E-2</v>
      </c>
      <c r="CF116" s="11">
        <f t="shared" si="260"/>
        <v>-8.2424967659075421E-2</v>
      </c>
      <c r="CG116" s="11">
        <f t="shared" si="260"/>
        <v>0.1889198908771493</v>
      </c>
      <c r="CH116" s="11">
        <f t="shared" si="260"/>
        <v>-4.1995241874374957E-2</v>
      </c>
      <c r="CI116" s="11">
        <f t="shared" si="260"/>
        <v>3.0910746028696014E-2</v>
      </c>
      <c r="CJ116" s="11">
        <f t="shared" si="260"/>
        <v>-3.0992243128149858E-2</v>
      </c>
      <c r="CK116" s="11">
        <f t="shared" si="260"/>
        <v>8.2175088436061292E-2</v>
      </c>
      <c r="CL116" s="11">
        <f t="shared" si="260"/>
        <v>0.11349213248137598</v>
      </c>
      <c r="CM116" s="11">
        <f t="shared" si="260"/>
        <v>-5.1385712734785512E-3</v>
      </c>
      <c r="CN116" s="11">
        <f t="shared" si="260"/>
        <v>-2.1089521618158216E-2</v>
      </c>
      <c r="CO116" s="11">
        <f t="shared" si="260"/>
        <v>-6.0540869565588053E-2</v>
      </c>
      <c r="CP116" s="11">
        <f t="shared" si="260"/>
        <v>-6.9644582574339142E-2</v>
      </c>
      <c r="CQ116" s="11">
        <f t="shared" si="260"/>
        <v>-0.14050897505452606</v>
      </c>
      <c r="CR116" s="11">
        <f t="shared" si="260"/>
        <v>-4.846474477161225E-2</v>
      </c>
      <c r="CS116" s="11">
        <f t="shared" si="260"/>
        <v>-3.6028533016475746E-2</v>
      </c>
      <c r="CT116" s="11">
        <f t="shared" si="260"/>
        <v>0.16255119745086016</v>
      </c>
      <c r="CU116" s="11">
        <f t="shared" si="260"/>
        <v>0.14437282414804337</v>
      </c>
      <c r="CV116" s="11">
        <f t="shared" si="260"/>
        <v>1.8093545344794397E-2</v>
      </c>
      <c r="CW116" s="11">
        <f t="shared" si="260"/>
        <v>7.8269613714827074E-2</v>
      </c>
      <c r="CX116" s="11">
        <f t="shared" si="260"/>
        <v>0.15464316937181002</v>
      </c>
      <c r="CY116" s="11">
        <f t="shared" si="260"/>
        <v>0.18558420242877097</v>
      </c>
      <c r="CZ116" s="11">
        <f t="shared" si="260"/>
        <v>-4.1805117653675714E-2</v>
      </c>
      <c r="DA116" s="11">
        <f t="shared" si="260"/>
        <v>5.6482994843441547E-2</v>
      </c>
      <c r="DB116" s="11">
        <f t="shared" si="260"/>
        <v>0.26085153201665157</v>
      </c>
      <c r="DC116" s="11">
        <f t="shared" si="260"/>
        <v>0.24114663664301764</v>
      </c>
      <c r="DD116" s="11">
        <f t="shared" si="260"/>
        <v>7.7826759018830391E-2</v>
      </c>
      <c r="DE116" s="11">
        <f t="shared" si="260"/>
        <v>0.10170987420674149</v>
      </c>
      <c r="DF116" s="11">
        <f t="shared" ref="DF116:DU116" si="261">LN(DF54/DF53)</f>
        <v>8.9888985818342135E-2</v>
      </c>
      <c r="DG116" s="11">
        <f t="shared" si="261"/>
        <v>-2.1464238668299739E-2</v>
      </c>
      <c r="DH116" s="11">
        <f t="shared" si="261"/>
        <v>8.7812754535468204E-2</v>
      </c>
      <c r="DI116" s="11">
        <f t="shared" si="261"/>
        <v>0.19271187087245972</v>
      </c>
      <c r="DJ116" s="11">
        <f t="shared" si="261"/>
        <v>0.16016885228420827</v>
      </c>
      <c r="DK116" s="11">
        <f t="shared" si="261"/>
        <v>0.26180691048619437</v>
      </c>
      <c r="DL116" s="11">
        <f t="shared" si="261"/>
        <v>0.20609239092486328</v>
      </c>
      <c r="DM116" s="11">
        <f t="shared" si="261"/>
        <v>0.24277474162842502</v>
      </c>
      <c r="DN116" s="11">
        <f t="shared" si="261"/>
        <v>0.19389453207793222</v>
      </c>
      <c r="DO116" s="11">
        <f t="shared" si="261"/>
        <v>0.28255939397521285</v>
      </c>
      <c r="DP116" s="11">
        <f t="shared" si="261"/>
        <v>0.26897860286900127</v>
      </c>
      <c r="DQ116" s="11">
        <f t="shared" si="261"/>
        <v>0.20055835088924551</v>
      </c>
      <c r="DR116" s="11">
        <f t="shared" si="261"/>
        <v>0.22844234867512239</v>
      </c>
      <c r="DS116" s="11">
        <f t="shared" si="261"/>
        <v>0.19763390463069747</v>
      </c>
      <c r="DT116" s="11">
        <f t="shared" si="261"/>
        <v>3.2911732118996305E-2</v>
      </c>
      <c r="DU116" s="11">
        <f t="shared" si="261"/>
        <v>0.19861247656442843</v>
      </c>
      <c r="DV116" s="11">
        <f t="shared" si="13"/>
        <v>0.32471234833687068</v>
      </c>
      <c r="DW116" s="11">
        <f t="shared" si="216"/>
        <v>-0.16103818903490144</v>
      </c>
      <c r="DX116" s="11">
        <f t="shared" si="216"/>
        <v>-5.3271935617764832E-2</v>
      </c>
      <c r="DY116" s="11">
        <f t="shared" si="216"/>
        <v>0.18113455024846159</v>
      </c>
      <c r="DZ116" s="11">
        <f t="shared" si="216"/>
        <v>0.10536051565782635</v>
      </c>
    </row>
    <row r="117" spans="1:130" ht="15">
      <c r="A117" s="8">
        <v>44256</v>
      </c>
      <c r="B117" s="11">
        <f t="shared" si="6"/>
        <v>4.2712849310214497E-2</v>
      </c>
      <c r="C117" s="11">
        <f t="shared" si="6"/>
        <v>7.8640585767473362E-2</v>
      </c>
      <c r="D117" s="11">
        <f t="shared" si="7"/>
        <v>-8.8160306916836184E-2</v>
      </c>
      <c r="E117" s="11">
        <f t="shared" si="7"/>
        <v>4.4452226473445247E-3</v>
      </c>
      <c r="F117" s="11">
        <f t="shared" si="7"/>
        <v>5.9733061756279508E-2</v>
      </c>
      <c r="G117" s="11">
        <f t="shared" si="7"/>
        <v>0.1083530490443549</v>
      </c>
      <c r="H117" s="11">
        <f t="shared" ref="H117:M117" si="262">LN(H55/H54)</f>
        <v>2.8926811987614084E-2</v>
      </c>
      <c r="I117" s="11">
        <f t="shared" si="262"/>
        <v>1.3900631934042196E-2</v>
      </c>
      <c r="J117" s="11">
        <f t="shared" si="262"/>
        <v>-0.13463412761635848</v>
      </c>
      <c r="K117" s="11">
        <f t="shared" si="262"/>
        <v>-6.1159445778960098E-2</v>
      </c>
      <c r="L117" s="11">
        <f t="shared" si="262"/>
        <v>-0.101490938824104</v>
      </c>
      <c r="M117" s="11">
        <f t="shared" si="262"/>
        <v>4.0694583949970935E-2</v>
      </c>
      <c r="N117" s="11">
        <f t="shared" ref="N117:AS117" si="263">LN(N55/N54)</f>
        <v>1.8138009273942139E-3</v>
      </c>
      <c r="O117" s="11">
        <f t="shared" si="263"/>
        <v>3.4901902374380754E-2</v>
      </c>
      <c r="P117" s="11">
        <f t="shared" si="263"/>
        <v>0.11328450357350875</v>
      </c>
      <c r="Q117" s="11">
        <f t="shared" si="263"/>
        <v>9.9132528297251679E-2</v>
      </c>
      <c r="R117" s="11">
        <f t="shared" si="263"/>
        <v>0.16882338408561229</v>
      </c>
      <c r="S117" s="11">
        <f t="shared" si="263"/>
        <v>4.8877879898662303E-2</v>
      </c>
      <c r="T117" s="11">
        <f t="shared" si="263"/>
        <v>5.0034078875810641E-4</v>
      </c>
      <c r="U117" s="11">
        <f t="shared" si="263"/>
        <v>9.8682994602571367E-3</v>
      </c>
      <c r="V117" s="11">
        <f t="shared" si="263"/>
        <v>3.6603046589212302E-3</v>
      </c>
      <c r="W117" s="11">
        <f t="shared" si="263"/>
        <v>-7.6742966244125604E-2</v>
      </c>
      <c r="X117" s="11">
        <f t="shared" si="263"/>
        <v>1.4326531519241983E-2</v>
      </c>
      <c r="Y117" s="11">
        <f t="shared" si="263"/>
        <v>-6.1087837248851355E-2</v>
      </c>
      <c r="Z117" s="11">
        <f t="shared" si="263"/>
        <v>8.2591644008016985E-3</v>
      </c>
      <c r="AA117" s="11">
        <f t="shared" si="263"/>
        <v>2.9002419125774073E-3</v>
      </c>
      <c r="AB117" s="11">
        <f t="shared" si="263"/>
        <v>8.3647030304260083E-3</v>
      </c>
      <c r="AC117" s="11">
        <f t="shared" si="263"/>
        <v>8.5255002254792933E-2</v>
      </c>
      <c r="AD117" s="11">
        <f t="shared" si="263"/>
        <v>1.6783482791990594E-2</v>
      </c>
      <c r="AE117" s="11">
        <f t="shared" si="263"/>
        <v>3.3584607450497128E-2</v>
      </c>
      <c r="AF117" s="11">
        <f t="shared" si="263"/>
        <v>8.4100401399467006E-2</v>
      </c>
      <c r="AG117" s="11">
        <f t="shared" si="263"/>
        <v>1.0426269422883938E-2</v>
      </c>
      <c r="AH117" s="11">
        <f t="shared" si="263"/>
        <v>8.8205018279418484E-2</v>
      </c>
      <c r="AI117" s="11">
        <f t="shared" si="263"/>
        <v>2.4085280450938586E-2</v>
      </c>
      <c r="AJ117" s="11">
        <f t="shared" si="263"/>
        <v>7.539210572898207E-2</v>
      </c>
      <c r="AK117" s="11">
        <f t="shared" si="263"/>
        <v>9.1916937476743663E-2</v>
      </c>
      <c r="AL117" s="11">
        <f t="shared" si="263"/>
        <v>9.359561178578879E-2</v>
      </c>
      <c r="AM117" s="11">
        <f t="shared" si="263"/>
        <v>-2.7067987146968436E-2</v>
      </c>
      <c r="AN117" s="11">
        <f t="shared" si="263"/>
        <v>5.7673821640853336E-2</v>
      </c>
      <c r="AO117" s="11">
        <f t="shared" si="263"/>
        <v>-1.3304546945504805E-2</v>
      </c>
      <c r="AP117" s="11">
        <f t="shared" si="263"/>
        <v>9.2631093130125408E-2</v>
      </c>
      <c r="AQ117" s="11">
        <f t="shared" si="263"/>
        <v>-2.678998915049666E-2</v>
      </c>
      <c r="AR117" s="11">
        <f t="shared" si="263"/>
        <v>-7.3771245768028196E-2</v>
      </c>
      <c r="AS117" s="11">
        <f t="shared" si="263"/>
        <v>-3.6946499170440336E-2</v>
      </c>
      <c r="AT117" s="11">
        <f t="shared" ref="AT117:BY117" si="264">LN(AT55/AT54)</f>
        <v>-4.8564945841117008E-4</v>
      </c>
      <c r="AU117" s="11">
        <f t="shared" si="264"/>
        <v>9.7971090720255838E-2</v>
      </c>
      <c r="AV117" s="11">
        <f t="shared" si="264"/>
        <v>1.9321228655930226E-2</v>
      </c>
      <c r="AW117" s="11">
        <f t="shared" si="264"/>
        <v>-5.036469549570266E-2</v>
      </c>
      <c r="AX117" s="11">
        <f t="shared" si="264"/>
        <v>3.3986094940388012E-2</v>
      </c>
      <c r="AY117" s="11">
        <f t="shared" si="264"/>
        <v>8.8058764151941592E-3</v>
      </c>
      <c r="AZ117" s="11">
        <f t="shared" si="264"/>
        <v>-2.161766840634536E-2</v>
      </c>
      <c r="BA117" s="11">
        <f t="shared" si="264"/>
        <v>-6.4556017135362201E-2</v>
      </c>
      <c r="BB117" s="11">
        <f t="shared" si="264"/>
        <v>6.1222168605584826E-2</v>
      </c>
      <c r="BC117" s="11">
        <f t="shared" si="264"/>
        <v>1.3196878313990143E-2</v>
      </c>
      <c r="BD117" s="11">
        <f t="shared" si="264"/>
        <v>7.1708371821079003E-2</v>
      </c>
      <c r="BE117" s="11">
        <f t="shared" si="264"/>
        <v>9.1632033821971506E-2</v>
      </c>
      <c r="BF117" s="11">
        <f t="shared" si="264"/>
        <v>0.12704085857917244</v>
      </c>
      <c r="BG117" s="11">
        <f t="shared" si="264"/>
        <v>3.7174661532602977E-4</v>
      </c>
      <c r="BH117" s="11">
        <f t="shared" si="264"/>
        <v>8.5140921026141694E-2</v>
      </c>
      <c r="BI117" s="11">
        <f t="shared" si="264"/>
        <v>-8.822136844431587E-2</v>
      </c>
      <c r="BJ117" s="11">
        <f t="shared" si="264"/>
        <v>0.11281367697893173</v>
      </c>
      <c r="BK117" s="11">
        <f t="shared" si="264"/>
        <v>8.9849493651104242E-2</v>
      </c>
      <c r="BL117" s="11">
        <f t="shared" si="264"/>
        <v>1.5661189351535758E-2</v>
      </c>
      <c r="BM117" s="11">
        <f t="shared" si="264"/>
        <v>3.3440359288593874E-2</v>
      </c>
      <c r="BN117" s="11">
        <f t="shared" si="264"/>
        <v>-1.2090903789532448E-2</v>
      </c>
      <c r="BO117" s="11">
        <f t="shared" si="264"/>
        <v>0.16685453708841416</v>
      </c>
      <c r="BP117" s="11">
        <f t="shared" si="264"/>
        <v>1.8461647870849487E-2</v>
      </c>
      <c r="BQ117" s="11">
        <f t="shared" si="264"/>
        <v>-5.9008531685525922E-3</v>
      </c>
      <c r="BR117" s="11">
        <f t="shared" si="264"/>
        <v>7.5838684729595415E-2</v>
      </c>
      <c r="BS117" s="11">
        <f t="shared" si="264"/>
        <v>5.7101765051499511E-4</v>
      </c>
      <c r="BT117" s="11">
        <f t="shared" si="264"/>
        <v>-7.8814444379540875E-3</v>
      </c>
      <c r="BU117" s="11">
        <f t="shared" si="264"/>
        <v>4.8716096565240563E-2</v>
      </c>
      <c r="BV117" s="11">
        <f t="shared" si="264"/>
        <v>5.9600490077862119E-2</v>
      </c>
      <c r="BW117" s="11">
        <f t="shared" si="264"/>
        <v>0.12374157727360643</v>
      </c>
      <c r="BX117" s="11">
        <f t="shared" si="264"/>
        <v>0.11097869190777622</v>
      </c>
      <c r="BY117" s="11">
        <f t="shared" si="264"/>
        <v>0.13480144828049223</v>
      </c>
      <c r="BZ117" s="11">
        <f t="shared" ref="BZ117:DE117" si="265">LN(BZ55/BZ54)</f>
        <v>9.1971284770364897E-2</v>
      </c>
      <c r="CA117" s="11">
        <f t="shared" si="265"/>
        <v>7.3188938017256705E-2</v>
      </c>
      <c r="CB117" s="11">
        <f t="shared" si="265"/>
        <v>9.0661600919751395E-2</v>
      </c>
      <c r="CC117" s="11">
        <f t="shared" si="265"/>
        <v>5.4655844779052762E-2</v>
      </c>
      <c r="CD117" s="11">
        <f t="shared" si="265"/>
        <v>7.9432350420697795E-2</v>
      </c>
      <c r="CE117" s="11">
        <f t="shared" si="265"/>
        <v>4.9418266955493846E-2</v>
      </c>
      <c r="CF117" s="11">
        <f t="shared" si="265"/>
        <v>8.4973817414477334E-2</v>
      </c>
      <c r="CG117" s="11">
        <f t="shared" si="265"/>
        <v>1.9107939974974043E-2</v>
      </c>
      <c r="CH117" s="11">
        <f t="shared" si="265"/>
        <v>9.6233211711973535E-2</v>
      </c>
      <c r="CI117" s="11">
        <f t="shared" si="265"/>
        <v>3.2502555769466777E-2</v>
      </c>
      <c r="CJ117" s="11">
        <f t="shared" si="265"/>
        <v>4.7142523845171633E-2</v>
      </c>
      <c r="CK117" s="11">
        <f t="shared" si="265"/>
        <v>9.4860433473123715E-2</v>
      </c>
      <c r="CL117" s="11">
        <f t="shared" si="265"/>
        <v>-1.1239510221012005E-2</v>
      </c>
      <c r="CM117" s="11">
        <f t="shared" si="265"/>
        <v>2.9954287662893431E-2</v>
      </c>
      <c r="CN117" s="11">
        <f t="shared" si="265"/>
        <v>9.2454846885713191E-2</v>
      </c>
      <c r="CO117" s="11">
        <f t="shared" si="265"/>
        <v>5.6287932187835385E-2</v>
      </c>
      <c r="CP117" s="11">
        <f t="shared" si="265"/>
        <v>0.10670789783626235</v>
      </c>
      <c r="CQ117" s="11">
        <f t="shared" si="265"/>
        <v>6.3295136618157943E-2</v>
      </c>
      <c r="CR117" s="11">
        <f t="shared" si="265"/>
        <v>0.10013588590045955</v>
      </c>
      <c r="CS117" s="11">
        <f t="shared" si="265"/>
        <v>0.15427187502480935</v>
      </c>
      <c r="CT117" s="11">
        <f t="shared" si="265"/>
        <v>4.4523309535484279E-2</v>
      </c>
      <c r="CU117" s="11">
        <f t="shared" si="265"/>
        <v>6.0650893704202728E-2</v>
      </c>
      <c r="CV117" s="11">
        <f t="shared" si="265"/>
        <v>8.0532655870276512E-2</v>
      </c>
      <c r="CW117" s="11">
        <f t="shared" si="265"/>
        <v>0.109814102436813</v>
      </c>
      <c r="CX117" s="11">
        <f t="shared" si="265"/>
        <v>2.6240572652517221E-2</v>
      </c>
      <c r="CY117" s="11">
        <f t="shared" si="265"/>
        <v>-3.2694821906839117E-2</v>
      </c>
      <c r="CZ117" s="11">
        <f t="shared" si="265"/>
        <v>3.9345495195336956E-2</v>
      </c>
      <c r="DA117" s="11">
        <f t="shared" si="265"/>
        <v>0.11993434519889555</v>
      </c>
      <c r="DB117" s="11">
        <f t="shared" si="265"/>
        <v>0.58159991850945525</v>
      </c>
      <c r="DC117" s="11">
        <f t="shared" si="265"/>
        <v>0.17789544746739439</v>
      </c>
      <c r="DD117" s="11">
        <f t="shared" si="265"/>
        <v>5.6983224886984832E-2</v>
      </c>
      <c r="DE117" s="11">
        <f t="shared" si="265"/>
        <v>0.11277792096627665</v>
      </c>
      <c r="DF117" s="11">
        <f t="shared" ref="DF117:DU117" si="266">LN(DF55/DF54)</f>
        <v>0.15568773048066281</v>
      </c>
      <c r="DG117" s="11">
        <f t="shared" si="266"/>
        <v>-2.1935076866255794E-2</v>
      </c>
      <c r="DH117" s="11">
        <f t="shared" si="266"/>
        <v>8.9469257315209008E-2</v>
      </c>
      <c r="DI117" s="11">
        <f t="shared" si="266"/>
        <v>4.333853880046698E-2</v>
      </c>
      <c r="DJ117" s="11">
        <f t="shared" si="266"/>
        <v>6.0825182674606813E-2</v>
      </c>
      <c r="DK117" s="11">
        <f t="shared" si="266"/>
        <v>2.7431906210182436E-2</v>
      </c>
      <c r="DL117" s="11">
        <f t="shared" si="266"/>
        <v>6.6715620156744815E-2</v>
      </c>
      <c r="DM117" s="11">
        <f t="shared" si="266"/>
        <v>0.1164051240716594</v>
      </c>
      <c r="DN117" s="11">
        <f t="shared" si="266"/>
        <v>7.6785967993297552E-2</v>
      </c>
      <c r="DO117" s="11">
        <f t="shared" si="266"/>
        <v>3.7575793807594722E-4</v>
      </c>
      <c r="DP117" s="11">
        <f t="shared" si="266"/>
        <v>1.4289254684649198E-2</v>
      </c>
      <c r="DQ117" s="11">
        <f t="shared" si="266"/>
        <v>5.89929764758731E-2</v>
      </c>
      <c r="DR117" s="11">
        <f t="shared" si="266"/>
        <v>-2.1455146691218299E-2</v>
      </c>
      <c r="DS117" s="11">
        <f t="shared" si="266"/>
        <v>-0.11651425829312542</v>
      </c>
      <c r="DT117" s="11">
        <f t="shared" si="266"/>
        <v>-6.2755845031403898E-2</v>
      </c>
      <c r="DU117" s="11">
        <f t="shared" si="266"/>
        <v>-9.5840121523139449E-2</v>
      </c>
      <c r="DV117" s="11">
        <f t="shared" si="13"/>
        <v>-9.7339601678728835E-2</v>
      </c>
      <c r="DW117" s="11">
        <f t="shared" si="216"/>
        <v>-1.1269779773669152E-2</v>
      </c>
      <c r="DX117" s="11">
        <f t="shared" si="216"/>
        <v>5.8541871312220876E-2</v>
      </c>
      <c r="DY117" s="11">
        <f t="shared" si="216"/>
        <v>4.459633426016725E-2</v>
      </c>
      <c r="DZ117" s="11">
        <f t="shared" si="216"/>
        <v>4.5937095187025608E-2</v>
      </c>
    </row>
    <row r="118" spans="1:130" ht="15">
      <c r="A118" s="8">
        <v>44287</v>
      </c>
      <c r="B118" s="11">
        <f t="shared" si="6"/>
        <v>-9.9062524534357151E-3</v>
      </c>
      <c r="C118" s="11">
        <f t="shared" si="6"/>
        <v>6.465933198150102E-2</v>
      </c>
      <c r="D118" s="11">
        <f t="shared" si="7"/>
        <v>-2.1917036204345392E-2</v>
      </c>
      <c r="E118" s="11">
        <f t="shared" si="7"/>
        <v>2.9857747293825704E-2</v>
      </c>
      <c r="F118" s="11">
        <f t="shared" si="7"/>
        <v>-2.5426708373162511E-2</v>
      </c>
      <c r="G118" s="11">
        <f t="shared" si="7"/>
        <v>-3.7551771204663908E-2</v>
      </c>
      <c r="H118" s="11">
        <f t="shared" ref="H118:M118" si="267">LN(H56/H55)</f>
        <v>-3.540503391388426E-3</v>
      </c>
      <c r="I118" s="11">
        <f t="shared" si="267"/>
        <v>3.0473345438627456E-2</v>
      </c>
      <c r="J118" s="11">
        <f t="shared" si="267"/>
        <v>2.2603613907606405E-2</v>
      </c>
      <c r="K118" s="11">
        <f t="shared" si="267"/>
        <v>0.11508399096165794</v>
      </c>
      <c r="L118" s="11">
        <f t="shared" si="267"/>
        <v>7.1688253459194384E-2</v>
      </c>
      <c r="M118" s="11">
        <f t="shared" si="267"/>
        <v>4.9860736081587594E-2</v>
      </c>
      <c r="N118" s="11">
        <f t="shared" ref="N118:AS118" si="268">LN(N56/N55)</f>
        <v>0.19485017982632716</v>
      </c>
      <c r="O118" s="11">
        <f t="shared" si="268"/>
        <v>0.12786071410866895</v>
      </c>
      <c r="P118" s="11">
        <f t="shared" si="268"/>
        <v>7.2924485825236307E-2</v>
      </c>
      <c r="Q118" s="11">
        <f t="shared" si="268"/>
        <v>1.5432665597408565E-2</v>
      </c>
      <c r="R118" s="11">
        <f t="shared" si="268"/>
        <v>5.8714609468515214E-2</v>
      </c>
      <c r="S118" s="11">
        <f t="shared" si="268"/>
        <v>1.7099448524802521E-2</v>
      </c>
      <c r="T118" s="11">
        <f t="shared" si="268"/>
        <v>2.0013805535500739E-3</v>
      </c>
      <c r="U118" s="11">
        <f t="shared" si="268"/>
        <v>0.10781493488743156</v>
      </c>
      <c r="V118" s="11">
        <f t="shared" si="268"/>
        <v>7.7907091462182707E-2</v>
      </c>
      <c r="W118" s="11">
        <f t="shared" si="268"/>
        <v>6.5778138023424609E-2</v>
      </c>
      <c r="X118" s="11">
        <f t="shared" si="268"/>
        <v>9.4166209189153402E-2</v>
      </c>
      <c r="Y118" s="11">
        <f t="shared" si="268"/>
        <v>-4.9148062129908431E-2</v>
      </c>
      <c r="Z118" s="11">
        <f t="shared" si="268"/>
        <v>2.6389693489452731E-2</v>
      </c>
      <c r="AA118" s="11">
        <f t="shared" si="268"/>
        <v>0.15751278007820502</v>
      </c>
      <c r="AB118" s="11">
        <f t="shared" si="268"/>
        <v>-3.1678625901720096E-2</v>
      </c>
      <c r="AC118" s="11">
        <f t="shared" si="268"/>
        <v>1.5880083866322003E-2</v>
      </c>
      <c r="AD118" s="11">
        <f t="shared" si="268"/>
        <v>6.7286311646977723E-2</v>
      </c>
      <c r="AE118" s="11">
        <f t="shared" si="268"/>
        <v>6.7057066860489692E-2</v>
      </c>
      <c r="AF118" s="11">
        <f t="shared" si="268"/>
        <v>7.7045586876361857E-2</v>
      </c>
      <c r="AG118" s="11">
        <f t="shared" si="268"/>
        <v>-2.9100335789250913E-3</v>
      </c>
      <c r="AH118" s="11">
        <f t="shared" si="268"/>
        <v>0.10203104461807132</v>
      </c>
      <c r="AI118" s="11">
        <f t="shared" si="268"/>
        <v>9.5922882895695505E-2</v>
      </c>
      <c r="AJ118" s="11">
        <f t="shared" si="268"/>
        <v>6.4599853898484605E-2</v>
      </c>
      <c r="AK118" s="11">
        <f t="shared" si="268"/>
        <v>1.6328567374067914E-2</v>
      </c>
      <c r="AL118" s="11">
        <f t="shared" si="268"/>
        <v>-0.11069004514508884</v>
      </c>
      <c r="AM118" s="11">
        <f t="shared" si="268"/>
        <v>0.11764307736372627</v>
      </c>
      <c r="AN118" s="11">
        <f t="shared" si="268"/>
        <v>-0.10657657965486537</v>
      </c>
      <c r="AO118" s="11">
        <f t="shared" si="268"/>
        <v>-8.4338699663959009E-3</v>
      </c>
      <c r="AP118" s="11">
        <f t="shared" si="268"/>
        <v>-4.5908042395912813E-2</v>
      </c>
      <c r="AQ118" s="11">
        <f t="shared" si="268"/>
        <v>5.0527328583703006E-2</v>
      </c>
      <c r="AR118" s="11">
        <f t="shared" si="268"/>
        <v>3.8975705189296994E-2</v>
      </c>
      <c r="AS118" s="11">
        <f t="shared" si="268"/>
        <v>-2.4559383674452831E-2</v>
      </c>
      <c r="AT118" s="11">
        <f t="shared" ref="AT118:BY118" si="269">LN(AT56/AT55)</f>
        <v>-1.2457514397323066E-2</v>
      </c>
      <c r="AU118" s="11">
        <f t="shared" si="269"/>
        <v>-4.1855680440397232E-2</v>
      </c>
      <c r="AV118" s="11">
        <f t="shared" si="269"/>
        <v>-3.2276733843923683E-2</v>
      </c>
      <c r="AW118" s="11">
        <f t="shared" si="269"/>
        <v>3.224292644622035E-2</v>
      </c>
      <c r="AX118" s="11">
        <f t="shared" si="269"/>
        <v>-1.1786778869726273E-2</v>
      </c>
      <c r="AY118" s="11">
        <f t="shared" si="269"/>
        <v>7.3453545833132253E-2</v>
      </c>
      <c r="AZ118" s="11">
        <f t="shared" si="269"/>
        <v>8.3496767267721234E-2</v>
      </c>
      <c r="BA118" s="11">
        <f t="shared" si="269"/>
        <v>1.2439553143205625E-2</v>
      </c>
      <c r="BB118" s="11">
        <f t="shared" si="269"/>
        <v>4.4854409299381497E-2</v>
      </c>
      <c r="BC118" s="11">
        <f t="shared" si="269"/>
        <v>6.6029779434241204E-3</v>
      </c>
      <c r="BD118" s="11">
        <f t="shared" si="269"/>
        <v>2.5449592024637678E-3</v>
      </c>
      <c r="BE118" s="11">
        <f t="shared" si="269"/>
        <v>7.8151003576378344E-2</v>
      </c>
      <c r="BF118" s="11">
        <f t="shared" si="269"/>
        <v>6.2680084193271826E-2</v>
      </c>
      <c r="BG118" s="11">
        <f t="shared" si="269"/>
        <v>0.11392019325058292</v>
      </c>
      <c r="BH118" s="11">
        <f t="shared" si="269"/>
        <v>-9.3206032335489353E-2</v>
      </c>
      <c r="BI118" s="11">
        <f t="shared" si="269"/>
        <v>-1.4383707005320415E-2</v>
      </c>
      <c r="BJ118" s="11">
        <f t="shared" si="269"/>
        <v>-4.1855659291793208E-3</v>
      </c>
      <c r="BK118" s="11">
        <f t="shared" si="269"/>
        <v>5.1899984218789337E-2</v>
      </c>
      <c r="BL118" s="11">
        <f t="shared" si="269"/>
        <v>4.6665488175446579E-2</v>
      </c>
      <c r="BM118" s="11">
        <f t="shared" si="269"/>
        <v>3.2698823251583894E-2</v>
      </c>
      <c r="BN118" s="11">
        <f t="shared" si="269"/>
        <v>-2.0337288346096364E-3</v>
      </c>
      <c r="BO118" s="11">
        <f t="shared" si="269"/>
        <v>6.4840379682472873E-2</v>
      </c>
      <c r="BP118" s="11">
        <f t="shared" si="269"/>
        <v>0.10059969286855691</v>
      </c>
      <c r="BQ118" s="11">
        <f t="shared" si="269"/>
        <v>9.9870014528113754E-2</v>
      </c>
      <c r="BR118" s="11">
        <f t="shared" si="269"/>
        <v>5.974983140764163E-3</v>
      </c>
      <c r="BS118" s="11">
        <f t="shared" si="269"/>
        <v>5.6830249724420329E-2</v>
      </c>
      <c r="BT118" s="11">
        <f t="shared" si="269"/>
        <v>5.2121888461548152E-2</v>
      </c>
      <c r="BU118" s="11">
        <f t="shared" si="269"/>
        <v>9.9687717274666895E-2</v>
      </c>
      <c r="BV118" s="11">
        <f t="shared" si="269"/>
        <v>0.14092495138417427</v>
      </c>
      <c r="BW118" s="11">
        <f t="shared" si="269"/>
        <v>6.3264746325071702E-2</v>
      </c>
      <c r="BX118" s="11">
        <f t="shared" si="269"/>
        <v>6.3026305299471938E-2</v>
      </c>
      <c r="BY118" s="11">
        <f t="shared" si="269"/>
        <v>8.8331632692755693E-2</v>
      </c>
      <c r="BZ118" s="11">
        <f t="shared" ref="BZ118:DE118" si="270">LN(BZ56/BZ55)</f>
        <v>-1.4953313079250788E-2</v>
      </c>
      <c r="CA118" s="11">
        <f t="shared" si="270"/>
        <v>3.2097443600508049E-2</v>
      </c>
      <c r="CB118" s="11">
        <f t="shared" si="270"/>
        <v>2.6931059852738415E-2</v>
      </c>
      <c r="CC118" s="11">
        <f t="shared" si="270"/>
        <v>8.1505579227253724E-2</v>
      </c>
      <c r="CD118" s="11">
        <f t="shared" si="270"/>
        <v>5.0469167600987054E-2</v>
      </c>
      <c r="CE118" s="11">
        <f t="shared" si="270"/>
        <v>8.8192647942574476E-2</v>
      </c>
      <c r="CF118" s="11">
        <f t="shared" si="270"/>
        <v>0.12136554654161828</v>
      </c>
      <c r="CG118" s="11">
        <f t="shared" si="270"/>
        <v>7.5948154937032511E-2</v>
      </c>
      <c r="CH118" s="11">
        <f t="shared" si="270"/>
        <v>4.3462918076833099E-2</v>
      </c>
      <c r="CI118" s="11">
        <f t="shared" si="270"/>
        <v>5.246499364789331E-2</v>
      </c>
      <c r="CJ118" s="11">
        <f t="shared" si="270"/>
        <v>2.3444883783781369E-2</v>
      </c>
      <c r="CK118" s="11">
        <f t="shared" si="270"/>
        <v>4.191638942617458E-2</v>
      </c>
      <c r="CL118" s="11">
        <f t="shared" si="270"/>
        <v>7.8967052610656202E-2</v>
      </c>
      <c r="CM118" s="11">
        <f t="shared" si="270"/>
        <v>-3.362718250750163E-2</v>
      </c>
      <c r="CN118" s="11">
        <f t="shared" si="270"/>
        <v>-4.0734560270727594E-3</v>
      </c>
      <c r="CO118" s="11">
        <f t="shared" si="270"/>
        <v>1.3369173175450886E-2</v>
      </c>
      <c r="CP118" s="11">
        <f t="shared" si="270"/>
        <v>-1.8603546398649619E-2</v>
      </c>
      <c r="CQ118" s="11">
        <f t="shared" si="270"/>
        <v>-5.5317746727672548E-2</v>
      </c>
      <c r="CR118" s="11">
        <f t="shared" si="270"/>
        <v>-5.1429472936395985E-2</v>
      </c>
      <c r="CS118" s="11">
        <f t="shared" si="270"/>
        <v>6.6986907300078495E-3</v>
      </c>
      <c r="CT118" s="11">
        <f t="shared" si="270"/>
        <v>8.3990028221632276E-2</v>
      </c>
      <c r="CU118" s="11">
        <f t="shared" si="270"/>
        <v>7.1204489323824184E-3</v>
      </c>
      <c r="CV118" s="11">
        <f t="shared" si="270"/>
        <v>0.18169367450095553</v>
      </c>
      <c r="CW118" s="11">
        <f t="shared" si="270"/>
        <v>2.4434513567907955E-2</v>
      </c>
      <c r="CX118" s="11">
        <f t="shared" si="270"/>
        <v>-3.9623672028146428E-2</v>
      </c>
      <c r="CY118" s="11">
        <f t="shared" si="270"/>
        <v>-5.3132772760472326E-2</v>
      </c>
      <c r="CZ118" s="11">
        <f t="shared" si="270"/>
        <v>5.042277933261903E-2</v>
      </c>
      <c r="DA118" s="11">
        <f t="shared" si="270"/>
        <v>4.0248764352652594E-2</v>
      </c>
      <c r="DB118" s="11">
        <f t="shared" si="270"/>
        <v>-1.5636423769754888E-2</v>
      </c>
      <c r="DC118" s="11">
        <f t="shared" si="270"/>
        <v>3.3399460195820359E-2</v>
      </c>
      <c r="DD118" s="11">
        <f t="shared" si="270"/>
        <v>0.20009506261003493</v>
      </c>
      <c r="DE118" s="11">
        <f t="shared" si="270"/>
        <v>7.0783681496375497E-2</v>
      </c>
      <c r="DF118" s="11">
        <f t="shared" ref="DF118:DU118" si="271">LN(DF56/DF55)</f>
        <v>-2.34597224956253E-2</v>
      </c>
      <c r="DG118" s="11">
        <f t="shared" si="271"/>
        <v>2.6853925937851915E-2</v>
      </c>
      <c r="DH118" s="11">
        <f t="shared" si="271"/>
        <v>6.5118528349235533E-3</v>
      </c>
      <c r="DI118" s="11">
        <f t="shared" si="271"/>
        <v>2.4941726374203388E-2</v>
      </c>
      <c r="DJ118" s="11">
        <f t="shared" si="271"/>
        <v>-1.6550007882998229E-2</v>
      </c>
      <c r="DK118" s="11">
        <f t="shared" si="271"/>
        <v>-3.5158714916365803E-2</v>
      </c>
      <c r="DL118" s="11">
        <f t="shared" si="271"/>
        <v>-2.8466857311178161E-2</v>
      </c>
      <c r="DM118" s="11">
        <f t="shared" si="271"/>
        <v>1.5188146830812696E-2</v>
      </c>
      <c r="DN118" s="11">
        <f t="shared" si="271"/>
        <v>5.514296892130531E-2</v>
      </c>
      <c r="DO118" s="11">
        <f t="shared" si="271"/>
        <v>-4.8153428325596756E-2</v>
      </c>
      <c r="DP118" s="11">
        <f t="shared" si="271"/>
        <v>7.9930179288848172E-2</v>
      </c>
      <c r="DQ118" s="11">
        <f t="shared" si="271"/>
        <v>0.11192096759675069</v>
      </c>
      <c r="DR118" s="11">
        <f t="shared" si="271"/>
        <v>-5.1624355771352042E-3</v>
      </c>
      <c r="DS118" s="11">
        <f t="shared" si="271"/>
        <v>-7.3432267305444554E-2</v>
      </c>
      <c r="DT118" s="11">
        <f t="shared" si="271"/>
        <v>-4.2334363826560653E-2</v>
      </c>
      <c r="DU118" s="11">
        <f t="shared" si="271"/>
        <v>8.5856677538956191E-2</v>
      </c>
      <c r="DV118" s="11">
        <f t="shared" si="13"/>
        <v>0.11093165147259057</v>
      </c>
      <c r="DW118" s="11">
        <f t="shared" si="216"/>
        <v>6.0292548801362346E-2</v>
      </c>
      <c r="DX118" s="11">
        <f t="shared" si="216"/>
        <v>1.9448613895486608E-2</v>
      </c>
      <c r="DY118" s="11">
        <f t="shared" si="216"/>
        <v>7.4823992823937535E-2</v>
      </c>
      <c r="DZ118" s="11">
        <f t="shared" si="216"/>
        <v>-5.970667591078252E-2</v>
      </c>
    </row>
    <row r="119" spans="1:130" ht="15">
      <c r="A119" s="8">
        <v>44317</v>
      </c>
      <c r="B119" s="11">
        <f t="shared" si="6"/>
        <v>3.9284540269281895E-2</v>
      </c>
      <c r="C119" s="11">
        <f t="shared" si="6"/>
        <v>2.067761719804126E-3</v>
      </c>
      <c r="D119" s="11">
        <f t="shared" si="7"/>
        <v>8.878819816354741E-2</v>
      </c>
      <c r="E119" s="11">
        <f t="shared" si="7"/>
        <v>2.7216968135563371E-2</v>
      </c>
      <c r="F119" s="11">
        <f t="shared" si="7"/>
        <v>1.8485912170715744E-2</v>
      </c>
      <c r="G119" s="11">
        <f t="shared" si="7"/>
        <v>-7.1192796243368314E-3</v>
      </c>
      <c r="H119" s="11">
        <f t="shared" ref="H119:M119" si="272">LN(H57/H56)</f>
        <v>5.1517531915924397E-2</v>
      </c>
      <c r="I119" s="11">
        <f t="shared" si="272"/>
        <v>-1.5537389949469807E-3</v>
      </c>
      <c r="J119" s="11">
        <f t="shared" si="272"/>
        <v>3.2063662454222167E-2</v>
      </c>
      <c r="K119" s="11">
        <f t="shared" si="272"/>
        <v>1.6475849162328363E-2</v>
      </c>
      <c r="L119" s="11">
        <f t="shared" si="272"/>
        <v>-4.4243406797300926E-2</v>
      </c>
      <c r="M119" s="11">
        <f t="shared" si="272"/>
        <v>3.4566262442398549E-2</v>
      </c>
      <c r="N119" s="11">
        <f t="shared" ref="N119:AS119" si="273">LN(N57/N56)</f>
        <v>2.303987352005284E-2</v>
      </c>
      <c r="O119" s="11">
        <f t="shared" si="273"/>
        <v>-9.4635154894965844E-3</v>
      </c>
      <c r="P119" s="11">
        <f t="shared" si="273"/>
        <v>3.2369117846399162E-2</v>
      </c>
      <c r="Q119" s="11">
        <f t="shared" si="273"/>
        <v>0.1300080968834276</v>
      </c>
      <c r="R119" s="11">
        <f t="shared" si="273"/>
        <v>4.8439888966445389E-2</v>
      </c>
      <c r="S119" s="11">
        <f t="shared" si="273"/>
        <v>4.29655504379488E-2</v>
      </c>
      <c r="T119" s="11">
        <f t="shared" si="273"/>
        <v>-2.5315441526972182E-2</v>
      </c>
      <c r="U119" s="11">
        <f t="shared" si="273"/>
        <v>-3.3632883901953556E-2</v>
      </c>
      <c r="V119" s="11">
        <f t="shared" si="273"/>
        <v>-2.8424313095452531E-2</v>
      </c>
      <c r="W119" s="11">
        <f t="shared" si="273"/>
        <v>-7.0346528951449078E-2</v>
      </c>
      <c r="X119" s="11">
        <f t="shared" si="273"/>
        <v>2.2363550950563926E-2</v>
      </c>
      <c r="Y119" s="11">
        <f t="shared" si="273"/>
        <v>0.13615968123454836</v>
      </c>
      <c r="Z119" s="11">
        <f t="shared" si="273"/>
        <v>-2.8206784117098125E-2</v>
      </c>
      <c r="AA119" s="11">
        <f t="shared" si="273"/>
        <v>-2.6735738814449826E-2</v>
      </c>
      <c r="AB119" s="11">
        <f t="shared" si="273"/>
        <v>9.0865440302978315E-2</v>
      </c>
      <c r="AC119" s="11">
        <f t="shared" si="273"/>
        <v>-4.2554627257670029E-2</v>
      </c>
      <c r="AD119" s="11">
        <f t="shared" si="273"/>
        <v>-9.9631217192346303E-3</v>
      </c>
      <c r="AE119" s="11">
        <f t="shared" si="273"/>
        <v>-7.424114974783444E-3</v>
      </c>
      <c r="AF119" s="11">
        <f t="shared" si="273"/>
        <v>4.2502216340610563E-2</v>
      </c>
      <c r="AG119" s="11">
        <f t="shared" si="273"/>
        <v>2.904073248393314E-2</v>
      </c>
      <c r="AH119" s="11">
        <f t="shared" si="273"/>
        <v>6.7722254413532745E-2</v>
      </c>
      <c r="AI119" s="11">
        <f t="shared" si="273"/>
        <v>5.242894227174966E-3</v>
      </c>
      <c r="AJ119" s="11">
        <f t="shared" si="273"/>
        <v>4.9447064935351809E-2</v>
      </c>
      <c r="AK119" s="11">
        <f t="shared" si="273"/>
        <v>0.24683112025830081</v>
      </c>
      <c r="AL119" s="11">
        <f t="shared" si="273"/>
        <v>-7.1469177634444978E-3</v>
      </c>
      <c r="AM119" s="11">
        <f t="shared" si="273"/>
        <v>7.9071072598845632E-2</v>
      </c>
      <c r="AN119" s="11">
        <f t="shared" si="273"/>
        <v>-7.1522455098591408E-3</v>
      </c>
      <c r="AO119" s="11">
        <f t="shared" si="273"/>
        <v>3.4746412416068996E-2</v>
      </c>
      <c r="AP119" s="11">
        <f t="shared" si="273"/>
        <v>5.5794264589935312E-2</v>
      </c>
      <c r="AQ119" s="11">
        <f t="shared" si="273"/>
        <v>-3.1173051787309506E-2</v>
      </c>
      <c r="AR119" s="11">
        <f t="shared" si="273"/>
        <v>-1.9048194970694588E-2</v>
      </c>
      <c r="AS119" s="11">
        <f t="shared" si="273"/>
        <v>-2.2678887776173787E-2</v>
      </c>
      <c r="AT119" s="11">
        <f t="shared" ref="AT119:BY119" si="274">LN(AT57/AT56)</f>
        <v>7.2035116990978323E-2</v>
      </c>
      <c r="AU119" s="11">
        <f t="shared" si="274"/>
        <v>9.3698405134882229E-2</v>
      </c>
      <c r="AV119" s="11">
        <f t="shared" si="274"/>
        <v>4.3360601872202725E-2</v>
      </c>
      <c r="AW119" s="11">
        <f t="shared" si="274"/>
        <v>-7.5306286227258996E-3</v>
      </c>
      <c r="AX119" s="11">
        <f t="shared" si="274"/>
        <v>-6.4520322335184913E-2</v>
      </c>
      <c r="AY119" s="11">
        <f t="shared" si="274"/>
        <v>-5.351411146311779E-2</v>
      </c>
      <c r="AZ119" s="11">
        <f t="shared" si="274"/>
        <v>3.322110718889662E-2</v>
      </c>
      <c r="BA119" s="11">
        <f t="shared" si="274"/>
        <v>-6.6313502282387762E-2</v>
      </c>
      <c r="BB119" s="11">
        <f t="shared" si="274"/>
        <v>3.5783926122482025E-2</v>
      </c>
      <c r="BC119" s="11">
        <f t="shared" si="274"/>
        <v>-1.3741366433216939E-2</v>
      </c>
      <c r="BD119" s="11">
        <f t="shared" si="274"/>
        <v>2.3720896830894057E-2</v>
      </c>
      <c r="BE119" s="11">
        <f t="shared" si="274"/>
        <v>-0.15439511778823523</v>
      </c>
      <c r="BF119" s="11">
        <f t="shared" si="274"/>
        <v>1.3024397977929163E-2</v>
      </c>
      <c r="BG119" s="11">
        <f t="shared" si="274"/>
        <v>-7.3076480070740385E-2</v>
      </c>
      <c r="BH119" s="11">
        <f t="shared" si="274"/>
        <v>8.7310143387536399E-2</v>
      </c>
      <c r="BI119" s="11">
        <f t="shared" si="274"/>
        <v>-0.18794122118753903</v>
      </c>
      <c r="BJ119" s="11">
        <f t="shared" si="274"/>
        <v>3.5874438228671056E-2</v>
      </c>
      <c r="BK119" s="11">
        <f t="shared" si="274"/>
        <v>-9.3198273849472851E-3</v>
      </c>
      <c r="BL119" s="11">
        <f t="shared" si="274"/>
        <v>-5.3428082546054549E-3</v>
      </c>
      <c r="BM119" s="11">
        <f t="shared" si="274"/>
        <v>-1.8018304537563486E-2</v>
      </c>
      <c r="BN119" s="11">
        <f t="shared" si="274"/>
        <v>2.854323846633176E-2</v>
      </c>
      <c r="BO119" s="11">
        <f t="shared" si="274"/>
        <v>-1.481580793676506E-2</v>
      </c>
      <c r="BP119" s="11">
        <f t="shared" si="274"/>
        <v>6.7499331717428062E-3</v>
      </c>
      <c r="BQ119" s="11">
        <f t="shared" si="274"/>
        <v>-0.13078901285375014</v>
      </c>
      <c r="BR119" s="11">
        <f t="shared" si="274"/>
        <v>4.2467099922367116E-3</v>
      </c>
      <c r="BS119" s="11">
        <f t="shared" si="274"/>
        <v>-4.331166230310881E-2</v>
      </c>
      <c r="BT119" s="11">
        <f t="shared" si="274"/>
        <v>5.5647178714391489E-2</v>
      </c>
      <c r="BU119" s="11">
        <f t="shared" si="274"/>
        <v>3.7574346885659187E-3</v>
      </c>
      <c r="BV119" s="11">
        <f t="shared" si="274"/>
        <v>1.0668875626673647E-2</v>
      </c>
      <c r="BW119" s="11">
        <f t="shared" si="274"/>
        <v>5.8497844058187275E-2</v>
      </c>
      <c r="BX119" s="11">
        <f t="shared" si="274"/>
        <v>-3.7271205833221112E-2</v>
      </c>
      <c r="BY119" s="11">
        <f t="shared" si="274"/>
        <v>-5.3514979811068307E-2</v>
      </c>
      <c r="BZ119" s="11">
        <f t="shared" ref="BZ119:DE119" si="275">LN(BZ57/BZ56)</f>
        <v>1.7038956664463936E-2</v>
      </c>
      <c r="CA119" s="11">
        <f t="shared" si="275"/>
        <v>2.3978570717368537E-2</v>
      </c>
      <c r="CB119" s="11">
        <f t="shared" si="275"/>
        <v>2.5882724278889577E-2</v>
      </c>
      <c r="CC119" s="11">
        <f t="shared" si="275"/>
        <v>1.4940460760961064E-2</v>
      </c>
      <c r="CD119" s="11">
        <f t="shared" si="275"/>
        <v>2.1063932411834137E-2</v>
      </c>
      <c r="CE119" s="11">
        <f t="shared" si="275"/>
        <v>7.4645534929378116E-2</v>
      </c>
      <c r="CF119" s="11">
        <f t="shared" si="275"/>
        <v>6.5585983798841244E-2</v>
      </c>
      <c r="CG119" s="11">
        <f t="shared" si="275"/>
        <v>-2.3472887727561696E-2</v>
      </c>
      <c r="CH119" s="11">
        <f t="shared" si="275"/>
        <v>4.3757928100022325E-2</v>
      </c>
      <c r="CI119" s="11">
        <f t="shared" si="275"/>
        <v>4.5494246029671483E-3</v>
      </c>
      <c r="CJ119" s="11">
        <f t="shared" si="275"/>
        <v>4.3070573029547629E-2</v>
      </c>
      <c r="CK119" s="11">
        <f t="shared" si="275"/>
        <v>5.4207521375252352E-2</v>
      </c>
      <c r="CL119" s="11">
        <f t="shared" si="275"/>
        <v>-4.5020562754142637E-2</v>
      </c>
      <c r="CM119" s="11">
        <f t="shared" si="275"/>
        <v>5.4610350624394136E-2</v>
      </c>
      <c r="CN119" s="11">
        <f t="shared" si="275"/>
        <v>4.8011729910053341E-2</v>
      </c>
      <c r="CO119" s="11">
        <f t="shared" si="275"/>
        <v>-1.0691214256548719E-2</v>
      </c>
      <c r="CP119" s="11">
        <f t="shared" si="275"/>
        <v>-1.1650784126786632E-4</v>
      </c>
      <c r="CQ119" s="11">
        <f t="shared" si="275"/>
        <v>-2.6267133887269398E-2</v>
      </c>
      <c r="CR119" s="11">
        <f t="shared" si="275"/>
        <v>2.6497733979811474E-2</v>
      </c>
      <c r="CS119" s="11">
        <f t="shared" si="275"/>
        <v>6.2194616876291908E-2</v>
      </c>
      <c r="CT119" s="11">
        <f t="shared" si="275"/>
        <v>-6.270710706358E-2</v>
      </c>
      <c r="CU119" s="11">
        <f t="shared" si="275"/>
        <v>3.333336419758217E-3</v>
      </c>
      <c r="CV119" s="11">
        <f t="shared" si="275"/>
        <v>5.1342767551014037E-2</v>
      </c>
      <c r="CW119" s="11">
        <f t="shared" si="275"/>
        <v>8.102006957384443E-2</v>
      </c>
      <c r="CX119" s="11">
        <f t="shared" si="275"/>
        <v>0.14080279596899839</v>
      </c>
      <c r="CY119" s="11">
        <f t="shared" si="275"/>
        <v>3.0583423372080185E-2</v>
      </c>
      <c r="CZ119" s="11">
        <f t="shared" si="275"/>
        <v>-9.1819557298513474E-2</v>
      </c>
      <c r="DA119" s="11">
        <f t="shared" si="275"/>
        <v>4.3680291017161178E-2</v>
      </c>
      <c r="DB119" s="11">
        <f t="shared" si="275"/>
        <v>0.38292712901034021</v>
      </c>
      <c r="DC119" s="11">
        <f t="shared" si="275"/>
        <v>6.7488877067845843E-2</v>
      </c>
      <c r="DD119" s="11">
        <f t="shared" si="275"/>
        <v>4.8049903612385737E-2</v>
      </c>
      <c r="DE119" s="11">
        <f t="shared" si="275"/>
        <v>2.9203818748969566E-2</v>
      </c>
      <c r="DF119" s="11">
        <f t="shared" ref="DF119:DU119" si="276">LN(DF57/DF56)</f>
        <v>6.037397281324277E-2</v>
      </c>
      <c r="DG119" s="11">
        <f t="shared" si="276"/>
        <v>0.11045058146355147</v>
      </c>
      <c r="DH119" s="11">
        <f t="shared" si="276"/>
        <v>6.6639028800691572E-2</v>
      </c>
      <c r="DI119" s="11">
        <f t="shared" si="276"/>
        <v>1.9548959676486736E-2</v>
      </c>
      <c r="DJ119" s="11">
        <f t="shared" si="276"/>
        <v>6.9609485597721728E-3</v>
      </c>
      <c r="DK119" s="11">
        <f t="shared" si="276"/>
        <v>8.6131093158724595E-2</v>
      </c>
      <c r="DL119" s="11">
        <f t="shared" si="276"/>
        <v>-1.0718070856800301E-2</v>
      </c>
      <c r="DM119" s="11">
        <f t="shared" si="276"/>
        <v>9.266685193273147E-2</v>
      </c>
      <c r="DN119" s="11">
        <f t="shared" si="276"/>
        <v>0.11773836036876943</v>
      </c>
      <c r="DO119" s="11">
        <f t="shared" si="276"/>
        <v>2.3383616338259972E-2</v>
      </c>
      <c r="DP119" s="11">
        <f t="shared" si="276"/>
        <v>0.12752512785516679</v>
      </c>
      <c r="DQ119" s="11">
        <f t="shared" si="276"/>
        <v>-2.0520067493470615E-2</v>
      </c>
      <c r="DR119" s="11">
        <f t="shared" si="276"/>
        <v>0.14688906016493214</v>
      </c>
      <c r="DS119" s="11">
        <f t="shared" si="276"/>
        <v>0.19485903317751208</v>
      </c>
      <c r="DT119" s="11">
        <f t="shared" si="276"/>
        <v>0.14911873578603996</v>
      </c>
      <c r="DU119" s="11">
        <f t="shared" si="276"/>
        <v>7.5349437241786998E-2</v>
      </c>
      <c r="DV119" s="11">
        <f t="shared" si="13"/>
        <v>4.0692339150408742E-2</v>
      </c>
      <c r="DW119" s="11">
        <f t="shared" si="216"/>
        <v>-0.12637233862901098</v>
      </c>
      <c r="DX119" s="11">
        <f t="shared" si="216"/>
        <v>-6.7770407910468537E-3</v>
      </c>
      <c r="DY119" s="11">
        <f t="shared" si="216"/>
        <v>6.3299922162945346E-2</v>
      </c>
      <c r="DZ119" s="11">
        <f t="shared" si="216"/>
        <v>0.23039621650223807</v>
      </c>
    </row>
    <row r="120" spans="1:130" ht="15">
      <c r="A120" s="8">
        <v>44348</v>
      </c>
      <c r="B120" s="11">
        <f t="shared" si="6"/>
        <v>-2.0789101130293162E-2</v>
      </c>
      <c r="C120" s="11">
        <f t="shared" si="6"/>
        <v>2.0846572034079448E-2</v>
      </c>
      <c r="D120" s="11">
        <f t="shared" si="7"/>
        <v>0.14338294655650505</v>
      </c>
      <c r="E120" s="11">
        <f t="shared" si="7"/>
        <v>-4.959043070743907E-3</v>
      </c>
      <c r="F120" s="11">
        <f t="shared" si="7"/>
        <v>7.1354326781858629E-2</v>
      </c>
      <c r="G120" s="11">
        <f t="shared" si="7"/>
        <v>3.1131286265149348E-2</v>
      </c>
      <c r="H120" s="11">
        <f t="shared" ref="H120:M120" si="277">LN(H58/H57)</f>
        <v>1.6599338811712137E-2</v>
      </c>
      <c r="I120" s="11">
        <f t="shared" si="277"/>
        <v>7.1840281355689969E-2</v>
      </c>
      <c r="J120" s="11">
        <f t="shared" si="277"/>
        <v>0.15407319785058379</v>
      </c>
      <c r="K120" s="11">
        <f t="shared" si="277"/>
        <v>0.12362103965026683</v>
      </c>
      <c r="L120" s="11">
        <f t="shared" si="277"/>
        <v>0.14493101675573483</v>
      </c>
      <c r="M120" s="11">
        <f t="shared" si="277"/>
        <v>6.7732430460759149E-2</v>
      </c>
      <c r="N120" s="11">
        <f t="shared" ref="N120:AS120" si="278">LN(N58/N57)</f>
        <v>8.953798833830004E-3</v>
      </c>
      <c r="O120" s="11">
        <f t="shared" si="278"/>
        <v>6.285083006039266E-2</v>
      </c>
      <c r="P120" s="11">
        <f t="shared" si="278"/>
        <v>-2.8265213357571855E-2</v>
      </c>
      <c r="Q120" s="11">
        <f t="shared" si="278"/>
        <v>-3.5322829466915374E-2</v>
      </c>
      <c r="R120" s="11">
        <f t="shared" si="278"/>
        <v>-4.2107758633940569E-2</v>
      </c>
      <c r="S120" s="11">
        <f t="shared" si="278"/>
        <v>0.10586990960944109</v>
      </c>
      <c r="T120" s="11">
        <f t="shared" si="278"/>
        <v>-6.1917030029519085E-3</v>
      </c>
      <c r="U120" s="11">
        <f t="shared" si="278"/>
        <v>-1.9624214967264575E-2</v>
      </c>
      <c r="V120" s="11">
        <f t="shared" si="278"/>
        <v>1.7321045028696132E-2</v>
      </c>
      <c r="W120" s="11">
        <f t="shared" si="278"/>
        <v>3.0901730943765623E-2</v>
      </c>
      <c r="X120" s="11">
        <f t="shared" si="278"/>
        <v>5.3340284136852552E-2</v>
      </c>
      <c r="Y120" s="11">
        <f t="shared" si="278"/>
        <v>-5.7282655026876475E-2</v>
      </c>
      <c r="Z120" s="11">
        <f t="shared" si="278"/>
        <v>5.3602628078408326E-3</v>
      </c>
      <c r="AA120" s="11">
        <f t="shared" si="278"/>
        <v>8.7988520998306133E-2</v>
      </c>
      <c r="AB120" s="11">
        <f t="shared" si="278"/>
        <v>0.1822997817792556</v>
      </c>
      <c r="AC120" s="11">
        <f t="shared" si="278"/>
        <v>-1.9924335028915389E-2</v>
      </c>
      <c r="AD120" s="11">
        <f t="shared" si="278"/>
        <v>8.3876232173368426E-2</v>
      </c>
      <c r="AE120" s="11">
        <f t="shared" si="278"/>
        <v>0.14897886625856199</v>
      </c>
      <c r="AF120" s="11">
        <f t="shared" si="278"/>
        <v>-1.1495818423527872E-2</v>
      </c>
      <c r="AG120" s="11">
        <f t="shared" si="278"/>
        <v>8.0967751951172257E-2</v>
      </c>
      <c r="AH120" s="11">
        <f t="shared" si="278"/>
        <v>8.6099610369223881E-2</v>
      </c>
      <c r="AI120" s="11">
        <f t="shared" si="278"/>
        <v>3.4721210813083214E-2</v>
      </c>
      <c r="AJ120" s="11">
        <f t="shared" si="278"/>
        <v>2.0710414853876296E-2</v>
      </c>
      <c r="AK120" s="11">
        <f t="shared" si="278"/>
        <v>-1.6035495508525035E-2</v>
      </c>
      <c r="AL120" s="11">
        <f t="shared" si="278"/>
        <v>6.611327798308861E-3</v>
      </c>
      <c r="AM120" s="11">
        <f t="shared" si="278"/>
        <v>0.20810248649350216</v>
      </c>
      <c r="AN120" s="11">
        <f t="shared" si="278"/>
        <v>-1.116543001567225E-2</v>
      </c>
      <c r="AO120" s="11">
        <f t="shared" si="278"/>
        <v>9.5032951841041782E-3</v>
      </c>
      <c r="AP120" s="11">
        <f t="shared" si="278"/>
        <v>1.2980684669738922E-2</v>
      </c>
      <c r="AQ120" s="11">
        <f t="shared" si="278"/>
        <v>6.0494106656666415E-2</v>
      </c>
      <c r="AR120" s="11">
        <f t="shared" si="278"/>
        <v>0.15952368899945901</v>
      </c>
      <c r="AS120" s="11">
        <f t="shared" si="278"/>
        <v>9.9338865232974586E-3</v>
      </c>
      <c r="AT120" s="11">
        <f t="shared" ref="AT120:BY120" si="279">LN(AT58/AT57)</f>
        <v>4.9125214695740868E-2</v>
      </c>
      <c r="AU120" s="11">
        <f t="shared" si="279"/>
        <v>-2.733044210850907E-2</v>
      </c>
      <c r="AV120" s="11">
        <f t="shared" si="279"/>
        <v>-4.421364200074452E-2</v>
      </c>
      <c r="AW120" s="11">
        <f t="shared" si="279"/>
        <v>0.13006081018527504</v>
      </c>
      <c r="AX120" s="11">
        <f t="shared" si="279"/>
        <v>0.12342082325299777</v>
      </c>
      <c r="AY120" s="11">
        <f t="shared" si="279"/>
        <v>9.6197121310287209E-2</v>
      </c>
      <c r="AZ120" s="11">
        <f t="shared" si="279"/>
        <v>2.5583417394093644E-2</v>
      </c>
      <c r="BA120" s="11">
        <f t="shared" si="279"/>
        <v>0.14814563642835102</v>
      </c>
      <c r="BB120" s="11">
        <f t="shared" si="279"/>
        <v>1.6732508440578827E-2</v>
      </c>
      <c r="BC120" s="11">
        <f t="shared" si="279"/>
        <v>8.1111862657045716E-2</v>
      </c>
      <c r="BD120" s="11">
        <f t="shared" si="279"/>
        <v>-3.8115002111504662E-2</v>
      </c>
      <c r="BE120" s="11">
        <f t="shared" si="279"/>
        <v>3.2315291438978176E-2</v>
      </c>
      <c r="BF120" s="11">
        <f t="shared" si="279"/>
        <v>3.0744187274896709E-2</v>
      </c>
      <c r="BG120" s="11">
        <f t="shared" si="279"/>
        <v>6.5183660438693544E-2</v>
      </c>
      <c r="BH120" s="11">
        <f t="shared" si="279"/>
        <v>0.14561530366376288</v>
      </c>
      <c r="BI120" s="11">
        <f t="shared" si="279"/>
        <v>0.22279139801459794</v>
      </c>
      <c r="BJ120" s="11">
        <f t="shared" si="279"/>
        <v>-2.3632691620325162E-3</v>
      </c>
      <c r="BK120" s="11">
        <f t="shared" si="279"/>
        <v>-6.9690713571480727E-3</v>
      </c>
      <c r="BL120" s="11">
        <f t="shared" si="279"/>
        <v>-1.4373076333463981E-2</v>
      </c>
      <c r="BM120" s="11">
        <f t="shared" si="279"/>
        <v>1.9086428796982795E-2</v>
      </c>
      <c r="BN120" s="11">
        <f t="shared" si="279"/>
        <v>0.12611404623126643</v>
      </c>
      <c r="BO120" s="11">
        <f t="shared" si="279"/>
        <v>-6.2414506799176819E-5</v>
      </c>
      <c r="BP120" s="11">
        <f t="shared" si="279"/>
        <v>-9.3213410226350754E-2</v>
      </c>
      <c r="BQ120" s="11">
        <f t="shared" si="279"/>
        <v>-1.2156140697296999E-2</v>
      </c>
      <c r="BR120" s="11">
        <f t="shared" si="279"/>
        <v>-1.930537132776932E-2</v>
      </c>
      <c r="BS120" s="11">
        <f t="shared" si="279"/>
        <v>-7.6289165944176021E-2</v>
      </c>
      <c r="BT120" s="11">
        <f t="shared" si="279"/>
        <v>-0.11457438644569448</v>
      </c>
      <c r="BU120" s="11">
        <f t="shared" si="279"/>
        <v>-3.7890077969481628E-2</v>
      </c>
      <c r="BV120" s="11">
        <f t="shared" si="279"/>
        <v>8.8756929555323355E-2</v>
      </c>
      <c r="BW120" s="11">
        <f t="shared" si="279"/>
        <v>3.0862751862022357E-2</v>
      </c>
      <c r="BX120" s="11">
        <f t="shared" si="279"/>
        <v>2.6543973158009399E-2</v>
      </c>
      <c r="BY120" s="11">
        <f t="shared" si="279"/>
        <v>7.8090691276580845E-2</v>
      </c>
      <c r="BZ120" s="11">
        <f t="shared" ref="BZ120:DE120" si="280">LN(BZ58/BZ57)</f>
        <v>5.9307580165204757E-4</v>
      </c>
      <c r="CA120" s="11">
        <f t="shared" si="280"/>
        <v>-2.1573190494394771E-2</v>
      </c>
      <c r="CB120" s="11">
        <f t="shared" si="280"/>
        <v>1.5536314114359532E-3</v>
      </c>
      <c r="CC120" s="11">
        <f t="shared" si="280"/>
        <v>2.7413005725502627E-2</v>
      </c>
      <c r="CD120" s="11">
        <f t="shared" si="280"/>
        <v>-1.6260673853065056E-2</v>
      </c>
      <c r="CE120" s="11">
        <f t="shared" si="280"/>
        <v>-8.1053245954951173E-3</v>
      </c>
      <c r="CF120" s="11">
        <f t="shared" si="280"/>
        <v>-4.254205304624651E-2</v>
      </c>
      <c r="CG120" s="11">
        <f t="shared" si="280"/>
        <v>3.8754427645260527E-2</v>
      </c>
      <c r="CH120" s="11">
        <f t="shared" si="280"/>
        <v>-1.7306146742200854E-2</v>
      </c>
      <c r="CI120" s="11">
        <f t="shared" si="280"/>
        <v>2.145686541087859E-2</v>
      </c>
      <c r="CJ120" s="11">
        <f t="shared" si="280"/>
        <v>-2.9433512212398778E-2</v>
      </c>
      <c r="CK120" s="11">
        <f t="shared" si="280"/>
        <v>-5.7541045934276676E-2</v>
      </c>
      <c r="CL120" s="11">
        <f t="shared" si="280"/>
        <v>-4.0950559022798608E-2</v>
      </c>
      <c r="CM120" s="11">
        <f t="shared" si="280"/>
        <v>-1.6409203843336086E-2</v>
      </c>
      <c r="CN120" s="11">
        <f t="shared" si="280"/>
        <v>-8.982390687577101E-3</v>
      </c>
      <c r="CO120" s="11">
        <f t="shared" si="280"/>
        <v>-8.3437092984720261E-3</v>
      </c>
      <c r="CP120" s="11">
        <f t="shared" si="280"/>
        <v>-3.0677565261021753E-3</v>
      </c>
      <c r="CQ120" s="11">
        <f t="shared" si="280"/>
        <v>1.7833994853350767E-2</v>
      </c>
      <c r="CR120" s="11">
        <f t="shared" si="280"/>
        <v>-6.5374187848860593E-2</v>
      </c>
      <c r="CS120" s="11">
        <f t="shared" si="280"/>
        <v>-3.5279406340189716E-2</v>
      </c>
      <c r="CT120" s="11">
        <f t="shared" si="280"/>
        <v>-1.5006749928816098E-2</v>
      </c>
      <c r="CU120" s="11">
        <f t="shared" si="280"/>
        <v>-8.052812774478578E-2</v>
      </c>
      <c r="CV120" s="11">
        <f t="shared" si="280"/>
        <v>-2.6602976033294964E-2</v>
      </c>
      <c r="CW120" s="11">
        <f t="shared" si="280"/>
        <v>-5.3769233734039343E-2</v>
      </c>
      <c r="CX120" s="11">
        <f t="shared" si="280"/>
        <v>-0.10406097031574085</v>
      </c>
      <c r="CY120" s="11">
        <f t="shared" si="280"/>
        <v>6.133308801680834E-2</v>
      </c>
      <c r="CZ120" s="11">
        <f t="shared" si="280"/>
        <v>0.16842207393259101</v>
      </c>
      <c r="DA120" s="11">
        <f t="shared" si="280"/>
        <v>-0.10549063080991924</v>
      </c>
      <c r="DB120" s="11">
        <f t="shared" si="280"/>
        <v>0</v>
      </c>
      <c r="DC120" s="11">
        <f t="shared" si="280"/>
        <v>-0.29003104266401936</v>
      </c>
      <c r="DD120" s="11">
        <f t="shared" si="280"/>
        <v>0.22310126496928445</v>
      </c>
      <c r="DE120" s="11">
        <f t="shared" si="280"/>
        <v>-4.4879940925149145E-2</v>
      </c>
      <c r="DF120" s="11">
        <f t="shared" ref="DF120:DU120" si="281">LN(DF58/DF57)</f>
        <v>-5.6425600181874709E-2</v>
      </c>
      <c r="DG120" s="11">
        <f t="shared" si="281"/>
        <v>2.602054870189606E-2</v>
      </c>
      <c r="DH120" s="11">
        <f t="shared" si="281"/>
        <v>-7.7843932541144092E-2</v>
      </c>
      <c r="DI120" s="11">
        <f t="shared" si="281"/>
        <v>9.2064748821658979E-2</v>
      </c>
      <c r="DJ120" s="11">
        <f t="shared" si="281"/>
        <v>2.1278189188183343E-2</v>
      </c>
      <c r="DK120" s="11">
        <f t="shared" si="281"/>
        <v>9.628630213313831E-2</v>
      </c>
      <c r="DL120" s="11">
        <f t="shared" si="281"/>
        <v>6.567091890989081E-2</v>
      </c>
      <c r="DM120" s="11">
        <f t="shared" si="281"/>
        <v>3.7860149777964869E-2</v>
      </c>
      <c r="DN120" s="11">
        <f t="shared" si="281"/>
        <v>4.0907879752930532E-2</v>
      </c>
      <c r="DO120" s="11">
        <f t="shared" si="281"/>
        <v>0.18610227236037458</v>
      </c>
      <c r="DP120" s="11">
        <f t="shared" si="281"/>
        <v>9.4420163264335916E-2</v>
      </c>
      <c r="DQ120" s="11">
        <f t="shared" si="281"/>
        <v>0.16424785299136979</v>
      </c>
      <c r="DR120" s="11">
        <f t="shared" si="281"/>
        <v>2.1472146549676909E-2</v>
      </c>
      <c r="DS120" s="11">
        <f t="shared" si="281"/>
        <v>-5.7684462113829521E-2</v>
      </c>
      <c r="DT120" s="11">
        <f t="shared" si="281"/>
        <v>5.2166021715670918E-2</v>
      </c>
      <c r="DU120" s="11">
        <f t="shared" si="281"/>
        <v>-5.0901572766037018E-2</v>
      </c>
      <c r="DV120" s="11">
        <f t="shared" si="13"/>
        <v>3.9128286245021036E-2</v>
      </c>
      <c r="DW120" s="11">
        <f t="shared" si="216"/>
        <v>8.354793655365686E-2</v>
      </c>
      <c r="DX120" s="11">
        <f t="shared" si="216"/>
        <v>-2.3312644412696763E-2</v>
      </c>
      <c r="DY120" s="11">
        <f t="shared" si="216"/>
        <v>-7.7835155261882158E-2</v>
      </c>
      <c r="DZ120" s="11">
        <f t="shared" si="216"/>
        <v>2.2457561707421674E-2</v>
      </c>
    </row>
    <row r="121" spans="1:130" ht="15">
      <c r="A121" s="8">
        <v>44378</v>
      </c>
      <c r="B121" s="11">
        <f t="shared" si="6"/>
        <v>4.4288526698087312E-2</v>
      </c>
      <c r="C121" s="11">
        <f t="shared" si="6"/>
        <v>8.9115701036989806E-2</v>
      </c>
      <c r="D121" s="11">
        <f t="shared" si="7"/>
        <v>5.912674618532282E-2</v>
      </c>
      <c r="E121" s="11">
        <f t="shared" si="7"/>
        <v>3.1976627301915549E-2</v>
      </c>
      <c r="F121" s="11">
        <f t="shared" si="7"/>
        <v>-3.0810676078644982E-3</v>
      </c>
      <c r="G121" s="11">
        <f t="shared" si="7"/>
        <v>-9.1081638850303466E-3</v>
      </c>
      <c r="H121" s="11">
        <f t="shared" ref="H121:M121" si="282">LN(H59/H58)</f>
        <v>1.55915956086675E-2</v>
      </c>
      <c r="I121" s="11">
        <f t="shared" si="282"/>
        <v>6.8638358033102281E-2</v>
      </c>
      <c r="J121" s="11">
        <f t="shared" si="282"/>
        <v>4.6532502805525927E-2</v>
      </c>
      <c r="K121" s="11">
        <f t="shared" si="282"/>
        <v>7.1751578258022752E-2</v>
      </c>
      <c r="L121" s="11">
        <f t="shared" si="282"/>
        <v>0.18837268868233387</v>
      </c>
      <c r="M121" s="11">
        <f t="shared" si="282"/>
        <v>3.6012485068654253E-2</v>
      </c>
      <c r="N121" s="11">
        <f t="shared" ref="N121:AS121" si="283">LN(N59/N58)</f>
        <v>2.195916977633202E-2</v>
      </c>
      <c r="O121" s="11">
        <f t="shared" si="283"/>
        <v>6.183743397881019E-2</v>
      </c>
      <c r="P121" s="11">
        <f t="shared" si="283"/>
        <v>3.2648945651317672E-2</v>
      </c>
      <c r="Q121" s="11">
        <f t="shared" si="283"/>
        <v>-1.3027945105047671E-2</v>
      </c>
      <c r="R121" s="11">
        <f t="shared" si="283"/>
        <v>8.6592574754794649E-3</v>
      </c>
      <c r="S121" s="11">
        <f t="shared" si="283"/>
        <v>2.836531344836667E-2</v>
      </c>
      <c r="T121" s="11">
        <f t="shared" si="283"/>
        <v>4.2639127315043018E-2</v>
      </c>
      <c r="U121" s="11">
        <f t="shared" si="283"/>
        <v>6.1264997382403256E-2</v>
      </c>
      <c r="V121" s="11">
        <f t="shared" si="283"/>
        <v>4.4677309580678358E-2</v>
      </c>
      <c r="W121" s="11">
        <f t="shared" si="283"/>
        <v>0.10266543324356088</v>
      </c>
      <c r="X121" s="11">
        <f t="shared" si="283"/>
        <v>8.4046512529703285E-2</v>
      </c>
      <c r="Y121" s="11">
        <f t="shared" si="283"/>
        <v>-1.5515643980153329E-2</v>
      </c>
      <c r="Z121" s="11">
        <f t="shared" si="283"/>
        <v>5.38279436378655E-2</v>
      </c>
      <c r="AA121" s="11">
        <f t="shared" si="283"/>
        <v>7.5196315115542089E-2</v>
      </c>
      <c r="AB121" s="11">
        <f t="shared" si="283"/>
        <v>9.7623523058469469E-2</v>
      </c>
      <c r="AC121" s="11">
        <f t="shared" si="283"/>
        <v>-3.6479394948768701E-2</v>
      </c>
      <c r="AD121" s="11">
        <f t="shared" si="283"/>
        <v>5.0423480920785468E-2</v>
      </c>
      <c r="AE121" s="11">
        <f t="shared" si="283"/>
        <v>5.9639794111819439E-2</v>
      </c>
      <c r="AF121" s="11">
        <f t="shared" si="283"/>
        <v>0.11286057878671585</v>
      </c>
      <c r="AG121" s="11">
        <f t="shared" si="283"/>
        <v>4.3286050767120429E-2</v>
      </c>
      <c r="AH121" s="11">
        <f t="shared" si="283"/>
        <v>0.13361535568082733</v>
      </c>
      <c r="AI121" s="11">
        <f t="shared" si="283"/>
        <v>-5.0995149470735059E-2</v>
      </c>
      <c r="AJ121" s="11">
        <f t="shared" si="283"/>
        <v>2.8075579877950334E-2</v>
      </c>
      <c r="AK121" s="11">
        <f t="shared" si="283"/>
        <v>-8.7895571560248062E-2</v>
      </c>
      <c r="AL121" s="11">
        <f t="shared" si="283"/>
        <v>0.10106005724109964</v>
      </c>
      <c r="AM121" s="11">
        <f t="shared" si="283"/>
        <v>-2.526498687032808E-2</v>
      </c>
      <c r="AN121" s="11">
        <f t="shared" si="283"/>
        <v>-4.4063094151481935E-2</v>
      </c>
      <c r="AO121" s="11">
        <f t="shared" si="283"/>
        <v>2.5589410601982009E-2</v>
      </c>
      <c r="AP121" s="11">
        <f t="shared" si="283"/>
        <v>-8.7748264359404447E-3</v>
      </c>
      <c r="AQ121" s="11">
        <f t="shared" si="283"/>
        <v>5.2035679046940252E-2</v>
      </c>
      <c r="AR121" s="11">
        <f t="shared" si="283"/>
        <v>0.12268011840933003</v>
      </c>
      <c r="AS121" s="11">
        <f t="shared" si="283"/>
        <v>-9.1106264259926142E-2</v>
      </c>
      <c r="AT121" s="11">
        <f t="shared" ref="AT121:BY121" si="284">LN(AT59/AT58)</f>
        <v>-2.7918902527512481E-2</v>
      </c>
      <c r="AU121" s="11">
        <f t="shared" si="284"/>
        <v>6.0547567221618873E-3</v>
      </c>
      <c r="AV121" s="11">
        <f t="shared" si="284"/>
        <v>-4.5216580544422527E-2</v>
      </c>
      <c r="AW121" s="11">
        <f t="shared" si="284"/>
        <v>3.532016149196688E-2</v>
      </c>
      <c r="AX121" s="11">
        <f t="shared" si="284"/>
        <v>-3.848881582606236E-2</v>
      </c>
      <c r="AY121" s="11">
        <f t="shared" si="284"/>
        <v>6.2958447533426221E-2</v>
      </c>
      <c r="AZ121" s="11">
        <f t="shared" si="284"/>
        <v>-9.6257427712145537E-3</v>
      </c>
      <c r="BA121" s="11">
        <f t="shared" si="284"/>
        <v>6.7440094053106914E-2</v>
      </c>
      <c r="BB121" s="11">
        <f t="shared" si="284"/>
        <v>8.791016010345562E-2</v>
      </c>
      <c r="BC121" s="11">
        <f t="shared" si="284"/>
        <v>6.3603073056576143E-2</v>
      </c>
      <c r="BD121" s="11">
        <f t="shared" si="284"/>
        <v>4.1017072182152947E-2</v>
      </c>
      <c r="BE121" s="11">
        <f t="shared" si="284"/>
        <v>-3.833740525495033E-2</v>
      </c>
      <c r="BF121" s="11">
        <f t="shared" si="284"/>
        <v>-3.916327681048723E-2</v>
      </c>
      <c r="BG121" s="11">
        <f t="shared" si="284"/>
        <v>-3.3269663677392113E-2</v>
      </c>
      <c r="BH121" s="11">
        <f t="shared" si="284"/>
        <v>-2.88995998361141E-2</v>
      </c>
      <c r="BI121" s="11">
        <f t="shared" si="284"/>
        <v>-0.11483000605090563</v>
      </c>
      <c r="BJ121" s="11">
        <f t="shared" si="284"/>
        <v>-4.0174353459702744E-2</v>
      </c>
      <c r="BK121" s="11">
        <f t="shared" si="284"/>
        <v>4.949291482522658E-2</v>
      </c>
      <c r="BL121" s="11">
        <f t="shared" si="284"/>
        <v>8.2536918099190171E-2</v>
      </c>
      <c r="BM121" s="11">
        <f t="shared" si="284"/>
        <v>-7.5385161668332739E-4</v>
      </c>
      <c r="BN121" s="11">
        <f t="shared" si="284"/>
        <v>8.0913374134810548E-2</v>
      </c>
      <c r="BO121" s="11">
        <f t="shared" si="284"/>
        <v>3.3976237408985831E-2</v>
      </c>
      <c r="BP121" s="11">
        <f t="shared" si="284"/>
        <v>5.0894575769777607E-2</v>
      </c>
      <c r="BQ121" s="11">
        <f t="shared" si="284"/>
        <v>-1.7294954516053889E-3</v>
      </c>
      <c r="BR121" s="11">
        <f t="shared" si="284"/>
        <v>8.6882068169836044E-3</v>
      </c>
      <c r="BS121" s="11">
        <f t="shared" si="284"/>
        <v>-4.5026242089946499E-3</v>
      </c>
      <c r="BT121" s="11">
        <f t="shared" si="284"/>
        <v>-0.19684225518580772</v>
      </c>
      <c r="BU121" s="11">
        <f t="shared" si="284"/>
        <v>0.13297660280771104</v>
      </c>
      <c r="BV121" s="11">
        <f t="shared" si="284"/>
        <v>0.12117219975178965</v>
      </c>
      <c r="BW121" s="11">
        <f t="shared" si="284"/>
        <v>0.10760494729323306</v>
      </c>
      <c r="BX121" s="11">
        <f t="shared" si="284"/>
        <v>-2.7958896765306013E-2</v>
      </c>
      <c r="BY121" s="11">
        <f t="shared" si="284"/>
        <v>3.826756628050472E-2</v>
      </c>
      <c r="BZ121" s="11">
        <f t="shared" ref="BZ121:DE121" si="285">LN(BZ59/BZ58)</f>
        <v>5.2688804723274633E-2</v>
      </c>
      <c r="CA121" s="11">
        <f t="shared" si="285"/>
        <v>6.0065265427285221E-2</v>
      </c>
      <c r="CB121" s="11">
        <f t="shared" si="285"/>
        <v>6.4845853059425612E-2</v>
      </c>
      <c r="CC121" s="11">
        <f t="shared" si="285"/>
        <v>2.190594452013021E-2</v>
      </c>
      <c r="CD121" s="11">
        <f t="shared" si="285"/>
        <v>-1.6720232769016626E-2</v>
      </c>
      <c r="CE121" s="11">
        <f t="shared" si="285"/>
        <v>3.3448031415162907E-2</v>
      </c>
      <c r="CF121" s="11">
        <f t="shared" si="285"/>
        <v>-0.13398778258789698</v>
      </c>
      <c r="CG121" s="11">
        <f t="shared" si="285"/>
        <v>4.8328929506242346E-2</v>
      </c>
      <c r="CH121" s="11">
        <f t="shared" si="285"/>
        <v>1.8044617908252715E-2</v>
      </c>
      <c r="CI121" s="11">
        <f t="shared" si="285"/>
        <v>2.0279321004168852E-2</v>
      </c>
      <c r="CJ121" s="11">
        <f t="shared" si="285"/>
        <v>-2.3003866025908228E-2</v>
      </c>
      <c r="CK121" s="11">
        <f t="shared" si="285"/>
        <v>-5.8312828520901895E-2</v>
      </c>
      <c r="CL121" s="11">
        <f t="shared" si="285"/>
        <v>-4.673455963358094E-2</v>
      </c>
      <c r="CM121" s="11">
        <f t="shared" si="285"/>
        <v>-2.9110720348631349E-2</v>
      </c>
      <c r="CN121" s="11">
        <f t="shared" si="285"/>
        <v>-1.5193456970274733E-2</v>
      </c>
      <c r="CO121" s="11">
        <f t="shared" si="285"/>
        <v>-4.8128060089276205E-2</v>
      </c>
      <c r="CP121" s="11">
        <f t="shared" si="285"/>
        <v>1.5832701337182033E-2</v>
      </c>
      <c r="CQ121" s="11">
        <f t="shared" si="285"/>
        <v>5.4325207730596204E-3</v>
      </c>
      <c r="CR121" s="11">
        <f t="shared" si="285"/>
        <v>-4.188272398733614E-2</v>
      </c>
      <c r="CS121" s="11">
        <f t="shared" si="285"/>
        <v>-0.10426880122544199</v>
      </c>
      <c r="CT121" s="11">
        <f t="shared" si="285"/>
        <v>-0.11070439454590791</v>
      </c>
      <c r="CU121" s="11">
        <f t="shared" si="285"/>
        <v>-1.3534854310763762E-3</v>
      </c>
      <c r="CV121" s="11">
        <f t="shared" si="285"/>
        <v>-8.3237383176286747E-2</v>
      </c>
      <c r="CW121" s="11">
        <f t="shared" si="285"/>
        <v>-6.1116290544258926E-2</v>
      </c>
      <c r="CX121" s="11">
        <f t="shared" si="285"/>
        <v>-0.1080899064507238</v>
      </c>
      <c r="CY121" s="11">
        <f t="shared" si="285"/>
        <v>0.21477190084416503</v>
      </c>
      <c r="CZ121" s="11">
        <f t="shared" si="285"/>
        <v>4.9368365977966219E-2</v>
      </c>
      <c r="DA121" s="11">
        <f t="shared" si="285"/>
        <v>6.1618485865284102E-3</v>
      </c>
      <c r="DB121" s="11">
        <f t="shared" si="285"/>
        <v>-2.2819895803404089E-3</v>
      </c>
      <c r="DC121" s="11">
        <f t="shared" si="285"/>
        <v>1.5686723370073766E-2</v>
      </c>
      <c r="DD121" s="11">
        <f t="shared" si="285"/>
        <v>-6.3742052514006595E-2</v>
      </c>
      <c r="DE121" s="11">
        <f t="shared" si="285"/>
        <v>5.947583708381942E-2</v>
      </c>
      <c r="DF121" s="11">
        <f t="shared" ref="DF121:DU121" si="286">LN(DF59/DF58)</f>
        <v>4.5365267579268514E-3</v>
      </c>
      <c r="DG121" s="11">
        <f t="shared" si="286"/>
        <v>-8.2972222826409148E-2</v>
      </c>
      <c r="DH121" s="11">
        <f t="shared" si="286"/>
        <v>-1.1995961824320856E-2</v>
      </c>
      <c r="DI121" s="11">
        <f t="shared" si="286"/>
        <v>-9.1402231390027899E-2</v>
      </c>
      <c r="DJ121" s="11">
        <f t="shared" si="286"/>
        <v>-2.8373516448237802E-2</v>
      </c>
      <c r="DK121" s="11">
        <f t="shared" si="286"/>
        <v>-8.2810542501307607E-2</v>
      </c>
      <c r="DL121" s="11">
        <f t="shared" si="286"/>
        <v>-0.10801766059465728</v>
      </c>
      <c r="DM121" s="11">
        <f t="shared" si="286"/>
        <v>-0.13558797627602334</v>
      </c>
      <c r="DN121" s="11">
        <f t="shared" si="286"/>
        <v>-0.13028181330697455</v>
      </c>
      <c r="DO121" s="11">
        <f t="shared" si="286"/>
        <v>-0.18038134961489011</v>
      </c>
      <c r="DP121" s="11">
        <f t="shared" si="286"/>
        <v>-0.11026680019962126</v>
      </c>
      <c r="DQ121" s="11">
        <f t="shared" si="286"/>
        <v>-0.19663162124108116</v>
      </c>
      <c r="DR121" s="11">
        <f t="shared" si="286"/>
        <v>-0.10063389652664813</v>
      </c>
      <c r="DS121" s="11">
        <f t="shared" si="286"/>
        <v>-7.393962604226785E-2</v>
      </c>
      <c r="DT121" s="11">
        <f t="shared" si="286"/>
        <v>-0.22590980480710002</v>
      </c>
      <c r="DU121" s="11">
        <f t="shared" si="286"/>
        <v>-0.10376619689124451</v>
      </c>
      <c r="DV121" s="11">
        <f t="shared" si="13"/>
        <v>-0.14288750384544385</v>
      </c>
      <c r="DW121" s="11">
        <f t="shared" si="216"/>
        <v>1.0973846317453189E-2</v>
      </c>
      <c r="DX121" s="11">
        <f t="shared" si="216"/>
        <v>5.770559620144456E-2</v>
      </c>
      <c r="DY121" s="11">
        <f t="shared" si="216"/>
        <v>-9.993003469820845E-2</v>
      </c>
      <c r="DZ121" s="11">
        <f t="shared" si="216"/>
        <v>-6.3193531022238444E-2</v>
      </c>
    </row>
    <row r="122" spans="1:130" ht="15">
      <c r="A122" s="8">
        <v>44409</v>
      </c>
      <c r="B122" s="11">
        <f t="shared" si="6"/>
        <v>5.3861281464668044E-3</v>
      </c>
      <c r="C122" s="11">
        <f t="shared" si="6"/>
        <v>8.240672543398625E-2</v>
      </c>
      <c r="D122" s="11">
        <f t="shared" si="7"/>
        <v>5.8966047309096055E-2</v>
      </c>
      <c r="E122" s="11">
        <f t="shared" si="7"/>
        <v>4.8883809885401433E-2</v>
      </c>
      <c r="F122" s="11">
        <f t="shared" si="7"/>
        <v>-7.5739692076680059E-3</v>
      </c>
      <c r="G122" s="11">
        <f t="shared" si="7"/>
        <v>-6.8581828156911676E-2</v>
      </c>
      <c r="H122" s="11">
        <f t="shared" ref="H122:M122" si="287">LN(H60/H59)</f>
        <v>-7.6330882205825961E-3</v>
      </c>
      <c r="I122" s="11">
        <f t="shared" si="287"/>
        <v>2.7290446372680091E-2</v>
      </c>
      <c r="J122" s="11">
        <f t="shared" si="287"/>
        <v>-8.1038328370508075E-2</v>
      </c>
      <c r="K122" s="11">
        <f t="shared" si="287"/>
        <v>-7.0547290643892171E-3</v>
      </c>
      <c r="L122" s="11">
        <f t="shared" si="287"/>
        <v>2.6625365785751112E-2</v>
      </c>
      <c r="M122" s="11">
        <f t="shared" si="287"/>
        <v>0.13684129567897982</v>
      </c>
      <c r="N122" s="11">
        <f t="shared" ref="N122:AS122" si="288">LN(N60/N59)</f>
        <v>4.7424293406984834E-2</v>
      </c>
      <c r="O122" s="11">
        <f t="shared" si="288"/>
        <v>5.229604176857177E-2</v>
      </c>
      <c r="P122" s="11">
        <f t="shared" si="288"/>
        <v>9.777060971308588E-3</v>
      </c>
      <c r="Q122" s="11">
        <f t="shared" si="288"/>
        <v>5.3810029359490842E-2</v>
      </c>
      <c r="R122" s="11">
        <f t="shared" si="288"/>
        <v>-2.3395830120299325E-2</v>
      </c>
      <c r="S122" s="11">
        <f t="shared" si="288"/>
        <v>0.15864795692215386</v>
      </c>
      <c r="T122" s="11">
        <f t="shared" si="288"/>
        <v>4.7388440704423919E-2</v>
      </c>
      <c r="U122" s="11">
        <f t="shared" si="288"/>
        <v>1.6390748584766131E-2</v>
      </c>
      <c r="V122" s="11">
        <f t="shared" si="288"/>
        <v>2.2481019505841561E-2</v>
      </c>
      <c r="W122" s="11">
        <f t="shared" si="288"/>
        <v>8.5006196269310663E-2</v>
      </c>
      <c r="X122" s="11">
        <f t="shared" si="288"/>
        <v>1.0399013819352104E-2</v>
      </c>
      <c r="Y122" s="11">
        <f t="shared" si="288"/>
        <v>3.9029580319636235E-2</v>
      </c>
      <c r="Z122" s="11">
        <f t="shared" si="288"/>
        <v>-1.5962652538407264E-2</v>
      </c>
      <c r="AA122" s="11">
        <f t="shared" si="288"/>
        <v>6.0751580404968128E-2</v>
      </c>
      <c r="AB122" s="11">
        <f t="shared" si="288"/>
        <v>6.6640108439468423E-2</v>
      </c>
      <c r="AC122" s="11">
        <f t="shared" si="288"/>
        <v>-1.4716646675847836E-2</v>
      </c>
      <c r="AD122" s="11">
        <f t="shared" si="288"/>
        <v>5.785633250990032E-2</v>
      </c>
      <c r="AE122" s="11">
        <f t="shared" si="288"/>
        <v>6.5485179714778366E-2</v>
      </c>
      <c r="AF122" s="11">
        <f t="shared" si="288"/>
        <v>2.6261962977344289E-2</v>
      </c>
      <c r="AG122" s="11">
        <f t="shared" si="288"/>
        <v>0.14293184201160478</v>
      </c>
      <c r="AH122" s="11">
        <f t="shared" si="288"/>
        <v>0.14633295434124916</v>
      </c>
      <c r="AI122" s="11">
        <f t="shared" si="288"/>
        <v>-5.0851768194727057E-4</v>
      </c>
      <c r="AJ122" s="11">
        <f t="shared" si="288"/>
        <v>-5.7227089431198926E-2</v>
      </c>
      <c r="AK122" s="11">
        <f t="shared" si="288"/>
        <v>6.7756555502030621E-2</v>
      </c>
      <c r="AL122" s="11">
        <f t="shared" si="288"/>
        <v>-1.4338911299745433E-2</v>
      </c>
      <c r="AM122" s="11">
        <f t="shared" si="288"/>
        <v>0.13802787133711675</v>
      </c>
      <c r="AN122" s="11">
        <f t="shared" si="288"/>
        <v>6.3090784591465499E-3</v>
      </c>
      <c r="AO122" s="11">
        <f t="shared" si="288"/>
        <v>2.4039225331266078E-2</v>
      </c>
      <c r="AP122" s="11">
        <f t="shared" si="288"/>
        <v>7.0817447675267479E-3</v>
      </c>
      <c r="AQ122" s="11">
        <f t="shared" si="288"/>
        <v>-2.0979667237356441E-2</v>
      </c>
      <c r="AR122" s="11">
        <f t="shared" si="288"/>
        <v>4.1774549453605175E-2</v>
      </c>
      <c r="AS122" s="11">
        <f t="shared" si="288"/>
        <v>-5.1306942926311813E-2</v>
      </c>
      <c r="AT122" s="11">
        <f t="shared" ref="AT122:BY122" si="289">LN(AT60/AT59)</f>
        <v>-2.7062263090016095E-2</v>
      </c>
      <c r="AU122" s="11">
        <f t="shared" si="289"/>
        <v>4.147495910727772E-2</v>
      </c>
      <c r="AV122" s="11">
        <f t="shared" si="289"/>
        <v>9.4852805071827209E-2</v>
      </c>
      <c r="AW122" s="11">
        <f t="shared" si="289"/>
        <v>3.7656284191038371E-2</v>
      </c>
      <c r="AX122" s="11">
        <f t="shared" si="289"/>
        <v>-5.7070361939546045E-3</v>
      </c>
      <c r="AY122" s="11">
        <f t="shared" si="289"/>
        <v>4.011441984008355E-2</v>
      </c>
      <c r="AZ122" s="11">
        <f t="shared" si="289"/>
        <v>9.2099747101420756E-2</v>
      </c>
      <c r="BA122" s="11">
        <f t="shared" si="289"/>
        <v>9.0599708022933156E-2</v>
      </c>
      <c r="BB122" s="11">
        <f t="shared" si="289"/>
        <v>0.10400467787149002</v>
      </c>
      <c r="BC122" s="11">
        <f t="shared" si="289"/>
        <v>8.629198530050794E-2</v>
      </c>
      <c r="BD122" s="11">
        <f t="shared" si="289"/>
        <v>1.6515792608622709E-2</v>
      </c>
      <c r="BE122" s="11">
        <f t="shared" si="289"/>
        <v>2.9690029887904403E-2</v>
      </c>
      <c r="BF122" s="11">
        <f t="shared" si="289"/>
        <v>-4.4078010712115413E-3</v>
      </c>
      <c r="BG122" s="11">
        <f t="shared" si="289"/>
        <v>4.2133915498725999E-2</v>
      </c>
      <c r="BH122" s="11">
        <f t="shared" si="289"/>
        <v>0.117831886224725</v>
      </c>
      <c r="BI122" s="11">
        <f t="shared" si="289"/>
        <v>0.16421222559480783</v>
      </c>
      <c r="BJ122" s="11">
        <f t="shared" si="289"/>
        <v>-0.14821594430744386</v>
      </c>
      <c r="BK122" s="11">
        <f t="shared" si="289"/>
        <v>-2.1867814022760779E-2</v>
      </c>
      <c r="BL122" s="11">
        <f t="shared" si="289"/>
        <v>-3.2985029559822222E-2</v>
      </c>
      <c r="BM122" s="11">
        <f t="shared" si="289"/>
        <v>3.95954265623275E-2</v>
      </c>
      <c r="BN122" s="11">
        <f t="shared" si="289"/>
        <v>-1.6674358733959387E-2</v>
      </c>
      <c r="BO122" s="11">
        <f t="shared" si="289"/>
        <v>-6.1432338143256352E-3</v>
      </c>
      <c r="BP122" s="11">
        <f t="shared" si="289"/>
        <v>6.9605487222314189E-2</v>
      </c>
      <c r="BQ122" s="11">
        <f t="shared" si="289"/>
        <v>0.17096485504755241</v>
      </c>
      <c r="BR122" s="11">
        <f t="shared" si="289"/>
        <v>0.105793343575157</v>
      </c>
      <c r="BS122" s="11">
        <f t="shared" si="289"/>
        <v>5.4239241420251029E-2</v>
      </c>
      <c r="BT122" s="11">
        <f t="shared" si="289"/>
        <v>0.10886476122088663</v>
      </c>
      <c r="BU122" s="11">
        <f t="shared" si="289"/>
        <v>-2.7432278031316866E-3</v>
      </c>
      <c r="BV122" s="11">
        <f t="shared" si="289"/>
        <v>-1.6501105333390203E-2</v>
      </c>
      <c r="BW122" s="11">
        <f t="shared" si="289"/>
        <v>4.1619175797794325E-2</v>
      </c>
      <c r="BX122" s="11">
        <f t="shared" si="289"/>
        <v>7.1035405775762381E-2</v>
      </c>
      <c r="BY122" s="11">
        <f t="shared" si="289"/>
        <v>-4.4402288222847842E-2</v>
      </c>
      <c r="BZ122" s="11">
        <f t="shared" ref="BZ122:DE122" si="290">LN(BZ60/BZ59)</f>
        <v>7.3943614172583176E-3</v>
      </c>
      <c r="CA122" s="11">
        <f t="shared" si="290"/>
        <v>-1.2705363976077026E-2</v>
      </c>
      <c r="CB122" s="11">
        <f t="shared" si="290"/>
        <v>-3.5744758289865917E-3</v>
      </c>
      <c r="CC122" s="11">
        <f t="shared" si="290"/>
        <v>2.8658954631123418E-2</v>
      </c>
      <c r="CD122" s="11">
        <f t="shared" si="290"/>
        <v>-3.2685436870804399E-2</v>
      </c>
      <c r="CE122" s="11">
        <f t="shared" si="290"/>
        <v>-3.1258911681066787E-2</v>
      </c>
      <c r="CF122" s="11">
        <f t="shared" si="290"/>
        <v>-2.7853366248042188E-2</v>
      </c>
      <c r="CG122" s="11">
        <f t="shared" si="290"/>
        <v>1.975374634132927E-2</v>
      </c>
      <c r="CH122" s="11">
        <f t="shared" si="290"/>
        <v>-1.8990363178334718E-2</v>
      </c>
      <c r="CI122" s="11">
        <f t="shared" si="290"/>
        <v>2.8184312381566365E-2</v>
      </c>
      <c r="CJ122" s="11">
        <f t="shared" si="290"/>
        <v>-1.4315895066728139E-2</v>
      </c>
      <c r="CK122" s="11">
        <f t="shared" si="290"/>
        <v>-6.6637699405743225E-2</v>
      </c>
      <c r="CL122" s="11">
        <f t="shared" si="290"/>
        <v>7.6941452362870907E-2</v>
      </c>
      <c r="CM122" s="11">
        <f t="shared" si="290"/>
        <v>-1.3133187674487989E-2</v>
      </c>
      <c r="CN122" s="11">
        <f t="shared" si="290"/>
        <v>-3.4782688164938591E-3</v>
      </c>
      <c r="CO122" s="11">
        <f t="shared" si="290"/>
        <v>2.8787274705003481E-2</v>
      </c>
      <c r="CP122" s="11">
        <f t="shared" si="290"/>
        <v>-3.4307892173596324E-2</v>
      </c>
      <c r="CQ122" s="11">
        <f t="shared" si="290"/>
        <v>-6.7358848514342151E-2</v>
      </c>
      <c r="CR122" s="11">
        <f t="shared" si="290"/>
        <v>-3.8429371719171372E-2</v>
      </c>
      <c r="CS122" s="11">
        <f t="shared" si="290"/>
        <v>2.6317048864278717E-2</v>
      </c>
      <c r="CT122" s="11">
        <f t="shared" si="290"/>
        <v>-9.950330853168203E-3</v>
      </c>
      <c r="CU122" s="11">
        <f t="shared" si="290"/>
        <v>0.22863633897507432</v>
      </c>
      <c r="CV122" s="11">
        <f t="shared" si="290"/>
        <v>2.2068358379299664E-2</v>
      </c>
      <c r="CW122" s="11">
        <f t="shared" si="290"/>
        <v>-5.2280857874623159E-2</v>
      </c>
      <c r="CX122" s="11">
        <f t="shared" si="290"/>
        <v>9.6478745523045834E-2</v>
      </c>
      <c r="CY122" s="11">
        <f t="shared" si="290"/>
        <v>0.11345693602567458</v>
      </c>
      <c r="CZ122" s="11">
        <f t="shared" si="290"/>
        <v>7.6032900563306333E-2</v>
      </c>
      <c r="DA122" s="11">
        <f t="shared" si="290"/>
        <v>6.1137983491001011E-2</v>
      </c>
      <c r="DB122" s="11">
        <f t="shared" si="290"/>
        <v>0.3806827395316203</v>
      </c>
      <c r="DC122" s="11">
        <f t="shared" si="290"/>
        <v>0.12125454363016303</v>
      </c>
      <c r="DD122" s="11">
        <f t="shared" si="290"/>
        <v>3.9547327202887533E-2</v>
      </c>
      <c r="DE122" s="11">
        <f t="shared" si="290"/>
        <v>7.0188586526097288E-2</v>
      </c>
      <c r="DF122" s="11">
        <f t="shared" ref="DF122:DU122" si="291">LN(DF60/DF59)</f>
        <v>5.7460118473403231E-2</v>
      </c>
      <c r="DG122" s="11">
        <f t="shared" si="291"/>
        <v>8.4683087230038492E-2</v>
      </c>
      <c r="DH122" s="11">
        <f t="shared" si="291"/>
        <v>1.6580121784024345E-2</v>
      </c>
      <c r="DI122" s="11">
        <f t="shared" si="291"/>
        <v>-5.44340955490734E-2</v>
      </c>
      <c r="DJ122" s="11">
        <f t="shared" si="291"/>
        <v>-5.0770969053739685E-2</v>
      </c>
      <c r="DK122" s="11">
        <f t="shared" si="291"/>
        <v>-1.8824338442338215E-3</v>
      </c>
      <c r="DL122" s="11">
        <f t="shared" si="291"/>
        <v>2.9150332638674926E-2</v>
      </c>
      <c r="DM122" s="11">
        <f t="shared" si="291"/>
        <v>-5.8218886753103223E-2</v>
      </c>
      <c r="DN122" s="11">
        <f t="shared" si="291"/>
        <v>-0.10602936945857006</v>
      </c>
      <c r="DO122" s="11">
        <f t="shared" si="291"/>
        <v>-1.5833294028003625E-2</v>
      </c>
      <c r="DP122" s="11">
        <f t="shared" si="291"/>
        <v>0.13416001096798322</v>
      </c>
      <c r="DQ122" s="11">
        <f t="shared" si="291"/>
        <v>1.2961159439497258E-4</v>
      </c>
      <c r="DR122" s="11">
        <f t="shared" si="291"/>
        <v>-2.7784515337152763E-2</v>
      </c>
      <c r="DS122" s="11">
        <f t="shared" si="291"/>
        <v>6.9996376434346808E-2</v>
      </c>
      <c r="DT122" s="11">
        <f t="shared" si="291"/>
        <v>-8.5250148706963721E-2</v>
      </c>
      <c r="DU122" s="11">
        <f t="shared" si="291"/>
        <v>-4.745145166601112E-2</v>
      </c>
      <c r="DV122" s="11">
        <f t="shared" si="13"/>
        <v>3.9619293602610184E-2</v>
      </c>
      <c r="DW122" s="11">
        <f t="shared" si="216"/>
        <v>6.8224240892551302E-2</v>
      </c>
      <c r="DX122" s="11">
        <f t="shared" si="216"/>
        <v>-4.085479299161982E-3</v>
      </c>
      <c r="DY122" s="11">
        <f t="shared" si="216"/>
        <v>-6.048283910510794E-2</v>
      </c>
      <c r="DZ122" s="11">
        <f t="shared" si="216"/>
        <v>-6.8225117130620933E-2</v>
      </c>
    </row>
    <row r="123" spans="1:130" ht="15">
      <c r="A123" s="8">
        <v>44440</v>
      </c>
      <c r="B123" s="11">
        <f t="shared" si="6"/>
        <v>-6.3612976854501346E-2</v>
      </c>
      <c r="C123" s="11">
        <f t="shared" si="6"/>
        <v>-6.8729332152180772E-2</v>
      </c>
      <c r="D123" s="11">
        <f t="shared" si="7"/>
        <v>-0.10822518157441414</v>
      </c>
      <c r="E123" s="11">
        <f t="shared" si="7"/>
        <v>-0.11304391049241738</v>
      </c>
      <c r="F123" s="11">
        <f t="shared" si="7"/>
        <v>-1.5588042898905499E-2</v>
      </c>
      <c r="G123" s="11">
        <f t="shared" si="7"/>
        <v>-5.1113217041280641E-2</v>
      </c>
      <c r="H123" s="11">
        <f t="shared" ref="H123:M123" si="292">LN(H61/H60)</f>
        <v>-0.12218621563900535</v>
      </c>
      <c r="I123" s="11">
        <f t="shared" si="292"/>
        <v>2.9088808026150093E-2</v>
      </c>
      <c r="J123" s="11">
        <f t="shared" si="292"/>
        <v>-0.1196413322240021</v>
      </c>
      <c r="K123" s="11">
        <f t="shared" si="292"/>
        <v>-8.0094656303774117E-2</v>
      </c>
      <c r="L123" s="11">
        <f t="shared" si="292"/>
        <v>3.2410760467570743E-2</v>
      </c>
      <c r="M123" s="11">
        <f t="shared" si="292"/>
        <v>-0.10785217180516651</v>
      </c>
      <c r="N123" s="11">
        <f t="shared" ref="N123:AS123" si="293">LN(N61/N60)</f>
        <v>-8.0922212382938022E-2</v>
      </c>
      <c r="O123" s="11">
        <f t="shared" si="293"/>
        <v>-0.11991044913813233</v>
      </c>
      <c r="P123" s="11">
        <f t="shared" si="293"/>
        <v>-6.3291703430134336E-2</v>
      </c>
      <c r="Q123" s="11">
        <f t="shared" si="293"/>
        <v>-1.7869088596613965E-2</v>
      </c>
      <c r="R123" s="11">
        <f t="shared" si="293"/>
        <v>-6.230543065917124E-3</v>
      </c>
      <c r="S123" s="11">
        <f t="shared" si="293"/>
        <v>-0.10681357228547085</v>
      </c>
      <c r="T123" s="11">
        <f t="shared" si="293"/>
        <v>-6.7428398810160883E-2</v>
      </c>
      <c r="U123" s="11">
        <f t="shared" si="293"/>
        <v>-6.2842072102420349E-2</v>
      </c>
      <c r="V123" s="11">
        <f t="shared" si="293"/>
        <v>-4.9490413844834012E-2</v>
      </c>
      <c r="W123" s="11">
        <f t="shared" si="293"/>
        <v>1.9961954634532722E-2</v>
      </c>
      <c r="X123" s="11">
        <f t="shared" si="293"/>
        <v>-5.2281782698851004E-2</v>
      </c>
      <c r="Y123" s="11">
        <f t="shared" si="293"/>
        <v>-6.9171453326243332E-2</v>
      </c>
      <c r="Z123" s="11">
        <f t="shared" si="293"/>
        <v>-2.3638053776493792E-2</v>
      </c>
      <c r="AA123" s="11">
        <f t="shared" si="293"/>
        <v>-5.8042083932155875E-2</v>
      </c>
      <c r="AB123" s="11">
        <f t="shared" si="293"/>
        <v>-9.5965696956157046E-2</v>
      </c>
      <c r="AC123" s="11">
        <f t="shared" si="293"/>
        <v>5.3763354048818518E-2</v>
      </c>
      <c r="AD123" s="11">
        <f t="shared" si="293"/>
        <v>-6.6493723975918684E-2</v>
      </c>
      <c r="AE123" s="11">
        <f t="shared" si="293"/>
        <v>-0.14220880875740929</v>
      </c>
      <c r="AF123" s="11">
        <f t="shared" si="293"/>
        <v>-2.269472189943051E-2</v>
      </c>
      <c r="AG123" s="11">
        <f t="shared" si="293"/>
        <v>-0.10404372776114161</v>
      </c>
      <c r="AH123" s="11">
        <f t="shared" si="293"/>
        <v>-7.6126205346014414E-2</v>
      </c>
      <c r="AI123" s="11">
        <f t="shared" si="293"/>
        <v>-5.3422629080907336E-2</v>
      </c>
      <c r="AJ123" s="11">
        <f t="shared" si="293"/>
        <v>-7.9549819596966581E-2</v>
      </c>
      <c r="AK123" s="11">
        <f t="shared" si="293"/>
        <v>-4.3750949951275452E-2</v>
      </c>
      <c r="AL123" s="11">
        <f t="shared" si="293"/>
        <v>-2.3811240539095349E-2</v>
      </c>
      <c r="AM123" s="11">
        <f t="shared" si="293"/>
        <v>-7.7308270111651672E-2</v>
      </c>
      <c r="AN123" s="11">
        <f t="shared" si="293"/>
        <v>-8.0562374737471864E-3</v>
      </c>
      <c r="AO123" s="11">
        <f t="shared" si="293"/>
        <v>-2.5008008419573399E-2</v>
      </c>
      <c r="AP123" s="11">
        <f t="shared" si="293"/>
        <v>6.786411512472129E-3</v>
      </c>
      <c r="AQ123" s="11">
        <f t="shared" si="293"/>
        <v>-0.1286641390755125</v>
      </c>
      <c r="AR123" s="11">
        <f t="shared" si="293"/>
        <v>-7.324684902935541E-2</v>
      </c>
      <c r="AS123" s="11">
        <f t="shared" si="293"/>
        <v>-3.7604608637869512E-2</v>
      </c>
      <c r="AT123" s="11">
        <f t="shared" ref="AT123:BY123" si="294">LN(AT61/AT60)</f>
        <v>3.1636837578922203E-2</v>
      </c>
      <c r="AU123" s="11">
        <f t="shared" si="294"/>
        <v>-9.3791754846157316E-2</v>
      </c>
      <c r="AV123" s="11">
        <f t="shared" si="294"/>
        <v>-2.1854687541313377E-2</v>
      </c>
      <c r="AW123" s="11">
        <f t="shared" si="294"/>
        <v>-3.0010732870493058E-2</v>
      </c>
      <c r="AX123" s="11">
        <f t="shared" si="294"/>
        <v>-0.10432721101506578</v>
      </c>
      <c r="AY123" s="11">
        <f t="shared" si="294"/>
        <v>-6.8964885229615414E-2</v>
      </c>
      <c r="AZ123" s="11">
        <f t="shared" si="294"/>
        <v>2.218212444268235E-2</v>
      </c>
      <c r="BA123" s="11">
        <f t="shared" si="294"/>
        <v>-3.3765481437514511E-2</v>
      </c>
      <c r="BB123" s="11">
        <f t="shared" si="294"/>
        <v>-0.11513514089580425</v>
      </c>
      <c r="BC123" s="11">
        <f t="shared" si="294"/>
        <v>-8.7873301771611553E-2</v>
      </c>
      <c r="BD123" s="11">
        <f t="shared" si="294"/>
        <v>-4.5701731868615605E-2</v>
      </c>
      <c r="BE123" s="11">
        <f t="shared" si="294"/>
        <v>-8.3410951197024047E-2</v>
      </c>
      <c r="BF123" s="11">
        <f t="shared" si="294"/>
        <v>1.3490705309309888E-3</v>
      </c>
      <c r="BG123" s="11">
        <f t="shared" si="294"/>
        <v>-5.5003405330353652E-2</v>
      </c>
      <c r="BH123" s="11">
        <f t="shared" si="294"/>
        <v>-9.4329493705046216E-2</v>
      </c>
      <c r="BI123" s="11">
        <f t="shared" si="294"/>
        <v>-3.9135634001875919E-2</v>
      </c>
      <c r="BJ123" s="11">
        <f t="shared" si="294"/>
        <v>7.2780831945659485E-2</v>
      </c>
      <c r="BK123" s="11">
        <f t="shared" si="294"/>
        <v>2.0721277320532073E-2</v>
      </c>
      <c r="BL123" s="11">
        <f t="shared" si="294"/>
        <v>-5.9184432479450558E-2</v>
      </c>
      <c r="BM123" s="11">
        <f t="shared" si="294"/>
        <v>5.4283199626238045E-3</v>
      </c>
      <c r="BN123" s="11">
        <f t="shared" si="294"/>
        <v>-0.12440097790656313</v>
      </c>
      <c r="BO123" s="11">
        <f t="shared" si="294"/>
        <v>6.3566678166420238E-3</v>
      </c>
      <c r="BP123" s="11">
        <f t="shared" si="294"/>
        <v>-9.8717506623022602E-2</v>
      </c>
      <c r="BQ123" s="11">
        <f t="shared" si="294"/>
        <v>-6.236282742202242E-2</v>
      </c>
      <c r="BR123" s="11">
        <f t="shared" si="294"/>
        <v>-0.10320162028630021</v>
      </c>
      <c r="BS123" s="11">
        <f t="shared" si="294"/>
        <v>3.1755900408949246E-2</v>
      </c>
      <c r="BT123" s="11">
        <f t="shared" si="294"/>
        <v>3.5405529220142298E-2</v>
      </c>
      <c r="BU123" s="11">
        <f t="shared" si="294"/>
        <v>-6.5141570809361671E-2</v>
      </c>
      <c r="BV123" s="11">
        <f t="shared" si="294"/>
        <v>-8.0397528040484251E-2</v>
      </c>
      <c r="BW123" s="11">
        <f t="shared" si="294"/>
        <v>-6.5693850631574402E-2</v>
      </c>
      <c r="BX123" s="11">
        <f t="shared" si="294"/>
        <v>4.4808220600688495E-2</v>
      </c>
      <c r="BY123" s="11">
        <f t="shared" si="294"/>
        <v>2.934096156034454E-2</v>
      </c>
      <c r="BZ123" s="11">
        <f t="shared" ref="BZ123:DE123" si="295">LN(BZ61/BZ60)</f>
        <v>-1.8356941993193161E-2</v>
      </c>
      <c r="CA123" s="11">
        <f t="shared" si="295"/>
        <v>-7.0630450159510111E-2</v>
      </c>
      <c r="CB123" s="11">
        <f t="shared" si="295"/>
        <v>-3.8987397833599405E-2</v>
      </c>
      <c r="CC123" s="11">
        <f t="shared" si="295"/>
        <v>-8.3064793954534685E-2</v>
      </c>
      <c r="CD123" s="11">
        <f t="shared" si="295"/>
        <v>-1.7767989987592596E-2</v>
      </c>
      <c r="CE123" s="11">
        <f t="shared" si="295"/>
        <v>1.7539976586795521E-2</v>
      </c>
      <c r="CF123" s="11">
        <f t="shared" si="295"/>
        <v>-8.284936373886978E-2</v>
      </c>
      <c r="CG123" s="11">
        <f t="shared" si="295"/>
        <v>-0.12528032029419986</v>
      </c>
      <c r="CH123" s="11">
        <f t="shared" si="295"/>
        <v>-6.472119611075694E-2</v>
      </c>
      <c r="CI123" s="11">
        <f t="shared" si="295"/>
        <v>-4.8820000745985803E-2</v>
      </c>
      <c r="CJ123" s="11">
        <f t="shared" si="295"/>
        <v>-3.0875897582442687E-2</v>
      </c>
      <c r="CK123" s="11">
        <f t="shared" si="295"/>
        <v>3.3936016297750352E-2</v>
      </c>
      <c r="CL123" s="11">
        <f t="shared" si="295"/>
        <v>-1.4543520717738874E-2</v>
      </c>
      <c r="CM123" s="11">
        <f t="shared" si="295"/>
        <v>-0.10501899393128579</v>
      </c>
      <c r="CN123" s="11">
        <f t="shared" si="295"/>
        <v>2.1503327987251103E-2</v>
      </c>
      <c r="CO123" s="11">
        <f t="shared" si="295"/>
        <v>-6.2894260047582334E-2</v>
      </c>
      <c r="CP123" s="11">
        <f t="shared" si="295"/>
        <v>-1.010955899986115E-2</v>
      </c>
      <c r="CQ123" s="11">
        <f t="shared" si="295"/>
        <v>-1.4625927569715058E-2</v>
      </c>
      <c r="CR123" s="11">
        <f t="shared" si="295"/>
        <v>1.9152507650125317E-3</v>
      </c>
      <c r="CS123" s="11">
        <f t="shared" si="295"/>
        <v>-0.12871056570499359</v>
      </c>
      <c r="CT123" s="11">
        <f t="shared" si="295"/>
        <v>1.9225759671298519E-2</v>
      </c>
      <c r="CU123" s="11">
        <f t="shared" si="295"/>
        <v>4.3576817199099706E-2</v>
      </c>
      <c r="CV123" s="11">
        <f t="shared" si="295"/>
        <v>-6.639891884863304E-2</v>
      </c>
      <c r="CW123" s="11">
        <f t="shared" si="295"/>
        <v>-0.19193542367003846</v>
      </c>
      <c r="CX123" s="11">
        <f t="shared" si="295"/>
        <v>-6.9514383884690445E-2</v>
      </c>
      <c r="CY123" s="11">
        <f t="shared" si="295"/>
        <v>-0.17923684113893881</v>
      </c>
      <c r="CZ123" s="11">
        <f t="shared" si="295"/>
        <v>3.582996320321849E-2</v>
      </c>
      <c r="DA123" s="11">
        <f t="shared" si="295"/>
        <v>0.37227644934003634</v>
      </c>
      <c r="DB123" s="11">
        <f t="shared" si="295"/>
        <v>-1.2274732334021058E-3</v>
      </c>
      <c r="DC123" s="11">
        <f t="shared" si="295"/>
        <v>0.20446018276099392</v>
      </c>
      <c r="DD123" s="11">
        <f t="shared" si="295"/>
        <v>3.739573389686289E-2</v>
      </c>
      <c r="DE123" s="11">
        <f t="shared" si="295"/>
        <v>-8.8546601320016304E-3</v>
      </c>
      <c r="DF123" s="11">
        <f t="shared" ref="DF123:DU123" si="296">LN(DF61/DF60)</f>
        <v>-2.0871574485084837E-2</v>
      </c>
      <c r="DG123" s="11">
        <f t="shared" si="296"/>
        <v>5.0010420574661416E-2</v>
      </c>
      <c r="DH123" s="11">
        <f t="shared" si="296"/>
        <v>-2.6706508878204187E-2</v>
      </c>
      <c r="DI123" s="11">
        <f t="shared" si="296"/>
        <v>9.0936724335899319E-2</v>
      </c>
      <c r="DJ123" s="11">
        <f t="shared" si="296"/>
        <v>6.0621196489625037E-2</v>
      </c>
      <c r="DK123" s="11">
        <f t="shared" si="296"/>
        <v>0.19919620389450562</v>
      </c>
      <c r="DL123" s="11">
        <f t="shared" si="296"/>
        <v>0.10662288455673277</v>
      </c>
      <c r="DM123" s="11">
        <f t="shared" si="296"/>
        <v>0.17297210185578379</v>
      </c>
      <c r="DN123" s="11">
        <f t="shared" si="296"/>
        <v>0.12764131476677223</v>
      </c>
      <c r="DO123" s="11">
        <f t="shared" si="296"/>
        <v>0.14099668499682286</v>
      </c>
      <c r="DP123" s="11">
        <f t="shared" si="296"/>
        <v>0.18373063655750937</v>
      </c>
      <c r="DQ123" s="11">
        <f t="shared" si="296"/>
        <v>0.21055229823338423</v>
      </c>
      <c r="DR123" s="11">
        <f t="shared" si="296"/>
        <v>5.9922649970232687E-2</v>
      </c>
      <c r="DS123" s="11">
        <f t="shared" si="296"/>
        <v>9.066514161195624E-2</v>
      </c>
      <c r="DT123" s="11">
        <f t="shared" si="296"/>
        <v>0.12729023761403105</v>
      </c>
      <c r="DU123" s="11">
        <f t="shared" si="296"/>
        <v>-4.5662179795811948E-3</v>
      </c>
      <c r="DV123" s="11">
        <f t="shared" si="13"/>
        <v>9.5403511271096655E-2</v>
      </c>
      <c r="DW123" s="11">
        <f t="shared" si="216"/>
        <v>5.2632580908409846E-2</v>
      </c>
      <c r="DX123" s="11">
        <f t="shared" si="216"/>
        <v>-3.8830724811197218E-2</v>
      </c>
      <c r="DY123" s="11">
        <f t="shared" si="216"/>
        <v>-4.2385938386365424E-2</v>
      </c>
      <c r="DZ123" s="11">
        <f t="shared" si="216"/>
        <v>8.3166697128819994E-2</v>
      </c>
    </row>
    <row r="125" spans="1:130" s="23" customFormat="1" ht="50.1" customHeight="1">
      <c r="A125" s="25" t="s">
        <v>143</v>
      </c>
      <c r="B125" s="23">
        <f>AVERAGE(B66:B123)</f>
        <v>8.699284701560504E-3</v>
      </c>
      <c r="C125" s="23">
        <f t="shared" ref="C125:L125" si="297">AVERAGE(C66:C123)</f>
        <v>9.2012141928622792E-3</v>
      </c>
      <c r="D125" s="23">
        <f t="shared" si="297"/>
        <v>2.3228877988977967E-2</v>
      </c>
      <c r="E125" s="23">
        <f t="shared" si="297"/>
        <v>1.3639382221731179E-2</v>
      </c>
      <c r="F125" s="23">
        <f t="shared" si="297"/>
        <v>6.8159147547803486E-3</v>
      </c>
      <c r="G125" s="23">
        <f t="shared" si="297"/>
        <v>9.172105076553189E-3</v>
      </c>
      <c r="H125" s="23">
        <f t="shared" si="297"/>
        <v>3.2386966370475359E-3</v>
      </c>
      <c r="I125" s="23">
        <f t="shared" si="297"/>
        <v>2.4467232968361646E-2</v>
      </c>
      <c r="J125" s="23">
        <f t="shared" si="297"/>
        <v>1.9206739666083404E-2</v>
      </c>
      <c r="K125" s="23">
        <f t="shared" si="297"/>
        <v>2.8708020567870193E-2</v>
      </c>
      <c r="L125" s="23">
        <f t="shared" si="297"/>
        <v>3.6644033499409291E-2</v>
      </c>
      <c r="M125" s="23">
        <f t="shared" ref="M125:AR125" si="298">AVERAGE(M66:M123)</f>
        <v>2.269629114878173E-2</v>
      </c>
      <c r="N125" s="23">
        <f t="shared" si="298"/>
        <v>1.9605607390341673E-2</v>
      </c>
      <c r="O125" s="23">
        <f t="shared" si="298"/>
        <v>2.0807793286337528E-2</v>
      </c>
      <c r="P125" s="23">
        <f t="shared" si="298"/>
        <v>1.6829118169733068E-2</v>
      </c>
      <c r="Q125" s="23">
        <f t="shared" si="298"/>
        <v>4.0777859299840511E-3</v>
      </c>
      <c r="R125" s="23">
        <f t="shared" si="298"/>
        <v>1.7639072206068997E-2</v>
      </c>
      <c r="S125" s="23">
        <f t="shared" si="298"/>
        <v>8.0578738688231958E-3</v>
      </c>
      <c r="T125" s="23">
        <f t="shared" si="298"/>
        <v>2.0983322165716859E-2</v>
      </c>
      <c r="U125" s="23">
        <f t="shared" si="298"/>
        <v>1.1034303463605032E-2</v>
      </c>
      <c r="V125" s="23">
        <f t="shared" si="298"/>
        <v>1.5465957950627985E-2</v>
      </c>
      <c r="W125" s="23">
        <f t="shared" si="298"/>
        <v>2.9581765579920163E-2</v>
      </c>
      <c r="X125" s="23">
        <f t="shared" si="298"/>
        <v>2.380121049834397E-2</v>
      </c>
      <c r="Y125" s="23">
        <f t="shared" si="298"/>
        <v>-1.6885133368068989E-2</v>
      </c>
      <c r="Z125" s="23">
        <f t="shared" si="298"/>
        <v>7.5661817768555564E-3</v>
      </c>
      <c r="AA125" s="23">
        <f t="shared" si="298"/>
        <v>2.6434577094749834E-2</v>
      </c>
      <c r="AB125" s="23">
        <f t="shared" si="298"/>
        <v>2.6221612595757216E-2</v>
      </c>
      <c r="AC125" s="23">
        <f t="shared" si="298"/>
        <v>1.1153445701398633E-2</v>
      </c>
      <c r="AD125" s="23">
        <f t="shared" si="298"/>
        <v>2.7942571794032822E-2</v>
      </c>
      <c r="AE125" s="23">
        <f t="shared" si="298"/>
        <v>2.9702393221376612E-2</v>
      </c>
      <c r="AF125" s="23">
        <f t="shared" si="298"/>
        <v>1.4686420304713793E-2</v>
      </c>
      <c r="AG125" s="23">
        <f t="shared" si="298"/>
        <v>2.7577605856725508E-2</v>
      </c>
      <c r="AH125" s="23">
        <f t="shared" si="298"/>
        <v>3.9178717369535425E-2</v>
      </c>
      <c r="AI125" s="23">
        <f t="shared" si="298"/>
        <v>1.6474335259093725E-2</v>
      </c>
      <c r="AJ125" s="23">
        <f t="shared" si="298"/>
        <v>7.7559136524930879E-3</v>
      </c>
      <c r="AK125" s="23">
        <f t="shared" si="298"/>
        <v>1.149879709430437E-2</v>
      </c>
      <c r="AL125" s="23">
        <f t="shared" si="298"/>
        <v>5.9519554917251563E-3</v>
      </c>
      <c r="AM125" s="23">
        <f t="shared" si="298"/>
        <v>3.8108514210443242E-2</v>
      </c>
      <c r="AN125" s="23">
        <f t="shared" si="298"/>
        <v>9.6034810742778899E-3</v>
      </c>
      <c r="AO125" s="23">
        <f t="shared" si="298"/>
        <v>2.0935191933320312E-2</v>
      </c>
      <c r="AP125" s="23">
        <f t="shared" si="298"/>
        <v>1.8743336049490598E-2</v>
      </c>
      <c r="AQ125" s="23">
        <f t="shared" si="298"/>
        <v>1.3702979507892803E-2</v>
      </c>
      <c r="AR125" s="23">
        <f t="shared" si="298"/>
        <v>4.2182472437194571E-2</v>
      </c>
      <c r="AS125" s="23">
        <f t="shared" ref="AS125:BX125" si="299">AVERAGE(AS66:AS123)</f>
        <v>2.2249074437540529E-2</v>
      </c>
      <c r="AT125" s="23">
        <f t="shared" si="299"/>
        <v>1.5768983840085102E-2</v>
      </c>
      <c r="AU125" s="23">
        <f t="shared" si="299"/>
        <v>1.2368691238650312E-2</v>
      </c>
      <c r="AV125" s="23">
        <f t="shared" si="299"/>
        <v>1.5879702394810132E-2</v>
      </c>
      <c r="AW125" s="23">
        <f t="shared" si="299"/>
        <v>1.9055769051659663E-2</v>
      </c>
      <c r="AX125" s="23">
        <f t="shared" si="299"/>
        <v>1.4449487000928069E-2</v>
      </c>
      <c r="AY125" s="23">
        <f t="shared" si="299"/>
        <v>2.9268501406545914E-2</v>
      </c>
      <c r="AZ125" s="23">
        <f t="shared" si="299"/>
        <v>2.2866623804202471E-2</v>
      </c>
      <c r="BA125" s="23">
        <f t="shared" si="299"/>
        <v>3.4702204767491342E-2</v>
      </c>
      <c r="BB125" s="23">
        <f t="shared" si="299"/>
        <v>2.12800218212605E-2</v>
      </c>
      <c r="BC125" s="23">
        <f t="shared" si="299"/>
        <v>2.5781386697608134E-2</v>
      </c>
      <c r="BD125" s="23">
        <f t="shared" si="299"/>
        <v>7.7006854177821557E-3</v>
      </c>
      <c r="BE125" s="23">
        <f t="shared" si="299"/>
        <v>1.2399512632946736E-2</v>
      </c>
      <c r="BF125" s="23">
        <f t="shared" si="299"/>
        <v>1.2092357219520894E-3</v>
      </c>
      <c r="BG125" s="23">
        <f t="shared" si="299"/>
        <v>2.5453468784967265E-2</v>
      </c>
      <c r="BH125" s="23">
        <f t="shared" si="299"/>
        <v>1.6485459747201253E-2</v>
      </c>
      <c r="BI125" s="23">
        <f t="shared" si="299"/>
        <v>4.8614642774215934E-2</v>
      </c>
      <c r="BJ125" s="23">
        <f t="shared" si="299"/>
        <v>9.7870857203826139E-3</v>
      </c>
      <c r="BK125" s="23">
        <f t="shared" si="299"/>
        <v>1.4270008076381051E-2</v>
      </c>
      <c r="BL125" s="23">
        <f t="shared" si="299"/>
        <v>1.2765742735776358E-2</v>
      </c>
      <c r="BM125" s="23">
        <f t="shared" si="299"/>
        <v>1.4452406639492066E-2</v>
      </c>
      <c r="BN125" s="23">
        <f t="shared" si="299"/>
        <v>1.9288049471392552E-2</v>
      </c>
      <c r="BO125" s="23">
        <f t="shared" si="299"/>
        <v>1.798253795753129E-2</v>
      </c>
      <c r="BP125" s="23">
        <f t="shared" si="299"/>
        <v>1.066588545870421E-2</v>
      </c>
      <c r="BQ125" s="23">
        <f t="shared" si="299"/>
        <v>1.5803530598859642E-2</v>
      </c>
      <c r="BR125" s="23">
        <f t="shared" si="299"/>
        <v>3.2313466230375612E-3</v>
      </c>
      <c r="BS125" s="23">
        <f t="shared" si="299"/>
        <v>7.8725189285668799E-3</v>
      </c>
      <c r="BT125" s="23">
        <f t="shared" si="299"/>
        <v>-1.0438664335078528E-2</v>
      </c>
      <c r="BU125" s="23">
        <f t="shared" si="299"/>
        <v>1.2759602509097443E-2</v>
      </c>
      <c r="BV125" s="23">
        <f t="shared" si="299"/>
        <v>1.8737471949686817E-2</v>
      </c>
      <c r="BW125" s="23">
        <f t="shared" si="299"/>
        <v>5.3027655155198578E-3</v>
      </c>
      <c r="BX125" s="23">
        <f t="shared" si="299"/>
        <v>1.8341654304049031E-2</v>
      </c>
      <c r="BY125" s="23">
        <f t="shared" ref="BY125:DD125" si="300">AVERAGE(BY66:BY123)</f>
        <v>3.9220588674481627E-3</v>
      </c>
      <c r="BZ125" s="23">
        <f t="shared" si="300"/>
        <v>1.1450592817748314E-2</v>
      </c>
      <c r="CA125" s="23">
        <f t="shared" si="300"/>
        <v>7.2204040865704597E-3</v>
      </c>
      <c r="CB125" s="23">
        <f t="shared" si="300"/>
        <v>9.448335979656863E-3</v>
      </c>
      <c r="CC125" s="23">
        <f t="shared" si="300"/>
        <v>5.5270400430000536E-3</v>
      </c>
      <c r="CD125" s="23">
        <f t="shared" si="300"/>
        <v>7.9190648753141458E-3</v>
      </c>
      <c r="CE125" s="23">
        <f t="shared" si="300"/>
        <v>1.3200005603591433E-2</v>
      </c>
      <c r="CF125" s="23">
        <f t="shared" si="300"/>
        <v>-8.1938308582484194E-3</v>
      </c>
      <c r="CG125" s="23">
        <f t="shared" si="300"/>
        <v>2.4170821226551741E-2</v>
      </c>
      <c r="CH125" s="23">
        <f t="shared" si="300"/>
        <v>7.6565127344379331E-3</v>
      </c>
      <c r="CI125" s="23">
        <f t="shared" si="300"/>
        <v>1.3020930711326871E-2</v>
      </c>
      <c r="CJ125" s="23">
        <f t="shared" si="300"/>
        <v>4.4597707405836231E-3</v>
      </c>
      <c r="CK125" s="23">
        <f t="shared" si="300"/>
        <v>-1.0007608052927218E-2</v>
      </c>
      <c r="CL125" s="23">
        <f t="shared" si="300"/>
        <v>8.7443394027281376E-3</v>
      </c>
      <c r="CM125" s="23">
        <f t="shared" si="300"/>
        <v>4.7723200891873702E-3</v>
      </c>
      <c r="CN125" s="23">
        <f t="shared" si="300"/>
        <v>9.2108147506051103E-4</v>
      </c>
      <c r="CO125" s="23">
        <f t="shared" si="300"/>
        <v>1.1261182211087753E-2</v>
      </c>
      <c r="CP125" s="23">
        <f t="shared" si="300"/>
        <v>1.2136180753002289E-2</v>
      </c>
      <c r="CQ125" s="23">
        <f t="shared" si="300"/>
        <v>8.2538723641578954E-3</v>
      </c>
      <c r="CR125" s="23">
        <f t="shared" si="300"/>
        <v>-2.7687382795756766E-3</v>
      </c>
      <c r="CS125" s="23">
        <f t="shared" si="300"/>
        <v>-9.5177224774510676E-3</v>
      </c>
      <c r="CT125" s="23">
        <f t="shared" si="300"/>
        <v>7.1758211365654349E-3</v>
      </c>
      <c r="CU125" s="23">
        <f t="shared" si="300"/>
        <v>8.6479953475379918E-3</v>
      </c>
      <c r="CV125" s="23">
        <f t="shared" si="300"/>
        <v>1.0425652270743654E-2</v>
      </c>
      <c r="CW125" s="23">
        <f t="shared" si="300"/>
        <v>3.3055965017125782E-3</v>
      </c>
      <c r="CX125" s="23">
        <f t="shared" si="300"/>
        <v>9.7025963231171346E-3</v>
      </c>
      <c r="CY125" s="23">
        <f t="shared" si="300"/>
        <v>1.3554056939674201E-2</v>
      </c>
      <c r="CZ125" s="23">
        <f t="shared" si="300"/>
        <v>2.2410627483938548E-2</v>
      </c>
      <c r="DA125" s="23">
        <f t="shared" si="300"/>
        <v>1.1073675403280629E-2</v>
      </c>
      <c r="DB125" s="23">
        <f t="shared" si="300"/>
        <v>1.117168591458834E-2</v>
      </c>
      <c r="DC125" s="23">
        <f t="shared" si="300"/>
        <v>1.7891290286332982E-2</v>
      </c>
      <c r="DD125" s="23">
        <f t="shared" si="300"/>
        <v>8.6378768450269833E-3</v>
      </c>
      <c r="DE125" s="23">
        <f t="shared" ref="DE125:DZ125" si="301">AVERAGE(DE66:DE123)</f>
        <v>2.7756373778888812E-2</v>
      </c>
      <c r="DF125" s="23">
        <f t="shared" si="301"/>
        <v>8.1512257155671019E-3</v>
      </c>
      <c r="DG125" s="23">
        <f t="shared" si="301"/>
        <v>1.170032896546612E-2</v>
      </c>
      <c r="DH125" s="23">
        <f t="shared" si="301"/>
        <v>9.6456557851304723E-3</v>
      </c>
      <c r="DI125" s="23">
        <f t="shared" si="301"/>
        <v>-2.38179667459308E-3</v>
      </c>
      <c r="DJ125" s="23">
        <f t="shared" si="301"/>
        <v>2.1778963325167831E-3</v>
      </c>
      <c r="DK125" s="23">
        <f t="shared" si="301"/>
        <v>7.9353885523450723E-3</v>
      </c>
      <c r="DL125" s="23">
        <f t="shared" si="301"/>
        <v>-1.6289421209559388E-3</v>
      </c>
      <c r="DM125" s="23">
        <f t="shared" si="301"/>
        <v>-2.7536016051957065E-3</v>
      </c>
      <c r="DN125" s="23">
        <f t="shared" si="301"/>
        <v>7.3041432935693242E-3</v>
      </c>
      <c r="DO125" s="23">
        <f t="shared" si="301"/>
        <v>-1.1737360400168113E-2</v>
      </c>
      <c r="DP125" s="23">
        <f t="shared" si="301"/>
        <v>-3.3413408218647259E-3</v>
      </c>
      <c r="DQ125" s="23">
        <f t="shared" si="301"/>
        <v>-1.1728249083955088E-3</v>
      </c>
      <c r="DR125" s="23">
        <f t="shared" si="301"/>
        <v>-1.5035498059619214E-2</v>
      </c>
      <c r="DS125" s="23">
        <f t="shared" si="301"/>
        <v>-7.830362825347886E-3</v>
      </c>
      <c r="DT125" s="23">
        <f t="shared" si="301"/>
        <v>-1.9863405611534893E-2</v>
      </c>
      <c r="DU125" s="23">
        <f t="shared" si="301"/>
        <v>-1.7610842908896251E-2</v>
      </c>
      <c r="DV125" s="23">
        <f t="shared" si="301"/>
        <v>-1.7673613823263538E-2</v>
      </c>
      <c r="DW125" s="23">
        <f t="shared" si="301"/>
        <v>5.2052740071605687E-2</v>
      </c>
      <c r="DX125" s="23">
        <f t="shared" si="301"/>
        <v>2.3955062933784157E-2</v>
      </c>
      <c r="DY125" s="23">
        <f t="shared" si="301"/>
        <v>1.2953023899930209E-2</v>
      </c>
      <c r="DZ125" s="23">
        <f t="shared" si="301"/>
        <v>6.446444297773221E-3</v>
      </c>
    </row>
    <row r="128" spans="1:130" ht="27">
      <c r="A128" s="2" t="s">
        <v>146</v>
      </c>
    </row>
    <row r="129" spans="1:114" ht="27">
      <c r="A129" s="2" t="s">
        <v>0</v>
      </c>
    </row>
    <row r="130" spans="1:114" ht="15">
      <c r="A130" s="7" t="s">
        <v>14</v>
      </c>
      <c r="B130" s="7" t="s">
        <v>15</v>
      </c>
      <c r="C130" s="7" t="s">
        <v>19</v>
      </c>
      <c r="D130" s="7" t="s">
        <v>17</v>
      </c>
      <c r="E130" s="7" t="s">
        <v>18</v>
      </c>
      <c r="F130" s="7" t="s">
        <v>20</v>
      </c>
      <c r="G130" s="7" t="s">
        <v>22</v>
      </c>
      <c r="H130" s="7" t="s">
        <v>23</v>
      </c>
      <c r="I130" s="7" t="s">
        <v>24</v>
      </c>
      <c r="J130" s="7" t="s">
        <v>29</v>
      </c>
      <c r="K130" s="7" t="s">
        <v>30</v>
      </c>
      <c r="L130" s="7" t="s">
        <v>32</v>
      </c>
      <c r="M130" s="7" t="s">
        <v>41</v>
      </c>
      <c r="N130" s="7" t="s">
        <v>43</v>
      </c>
      <c r="O130" s="7" t="s">
        <v>45</v>
      </c>
      <c r="P130" s="7" t="s">
        <v>47</v>
      </c>
      <c r="Q130" s="7" t="s">
        <v>50</v>
      </c>
      <c r="R130" s="7" t="s">
        <v>52</v>
      </c>
      <c r="S130" s="7" t="s">
        <v>53</v>
      </c>
      <c r="T130" s="7" t="s">
        <v>54</v>
      </c>
      <c r="U130" s="7" t="s">
        <v>57</v>
      </c>
      <c r="V130" s="7" t="s">
        <v>62</v>
      </c>
      <c r="W130" s="7" t="s">
        <v>66</v>
      </c>
      <c r="X130" s="7" t="s">
        <v>70</v>
      </c>
      <c r="Y130" s="7" t="s">
        <v>74</v>
      </c>
      <c r="Z130" s="7" t="s">
        <v>76</v>
      </c>
      <c r="AA130" s="7" t="s">
        <v>79</v>
      </c>
      <c r="AB130" s="7" t="s">
        <v>87</v>
      </c>
      <c r="AC130" s="7" t="s">
        <v>88</v>
      </c>
      <c r="AD130" s="7" t="s">
        <v>91</v>
      </c>
      <c r="AE130" s="7" t="s">
        <v>94</v>
      </c>
      <c r="AF130" s="7" t="s">
        <v>95</v>
      </c>
      <c r="AG130" s="7" t="s">
        <v>102</v>
      </c>
      <c r="AH130" s="7" t="s">
        <v>110</v>
      </c>
      <c r="AI130" s="7" t="s">
        <v>114</v>
      </c>
      <c r="AJ130" s="7" t="s">
        <v>120</v>
      </c>
      <c r="AK130" s="7" t="s">
        <v>123</v>
      </c>
      <c r="AL130" s="7" t="s">
        <v>127</v>
      </c>
      <c r="AM130" s="7" t="s">
        <v>139</v>
      </c>
      <c r="AN130" s="7" t="s">
        <v>140</v>
      </c>
      <c r="AO130" s="7" t="s">
        <v>142</v>
      </c>
      <c r="AP130" s="7"/>
      <c r="AQ130" s="7" t="s">
        <v>4</v>
      </c>
      <c r="AR130" s="7"/>
      <c r="AS130" s="7"/>
      <c r="AX130" s="7"/>
      <c r="AY130" s="14"/>
      <c r="AZ130" s="7"/>
      <c r="BA130" s="7"/>
      <c r="BB130" s="14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14"/>
      <c r="BP130" s="7"/>
      <c r="BQ130" s="7"/>
      <c r="BR130" s="7"/>
      <c r="BS130" s="14"/>
      <c r="BT130" s="7"/>
      <c r="BU130" s="7"/>
      <c r="BV130" s="14"/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7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  <c r="DJ130" s="7"/>
    </row>
    <row r="131" spans="1:114" ht="15">
      <c r="A131" s="8">
        <v>42675</v>
      </c>
    </row>
    <row r="132" spans="1:114" ht="15">
      <c r="A132" s="8">
        <v>42705</v>
      </c>
      <c r="B132" s="11">
        <f>LN(B4/B3)</f>
        <v>4.1413784094608865E-2</v>
      </c>
      <c r="C132" s="11">
        <f>LN(F4/F3)</f>
        <v>-3.8652092531796044E-2</v>
      </c>
      <c r="D132" s="11">
        <f t="shared" ref="D132:E132" si="302">LN(D4/D3)</f>
        <v>9.8010286471022182E-2</v>
      </c>
      <c r="E132" s="11">
        <f t="shared" si="302"/>
        <v>2.9494958993352145E-2</v>
      </c>
      <c r="F132" s="11">
        <f t="shared" ref="F132:F163" si="303">LN(G4/G3)</f>
        <v>2.1476977343807383E-2</v>
      </c>
      <c r="G132" s="11">
        <f t="shared" ref="G132:G163" si="304">LN(I4/I3)</f>
        <v>7.0409467583240123E-3</v>
      </c>
      <c r="H132" s="11">
        <f t="shared" ref="H132:H163" si="305">LN(J4/J3)</f>
        <v>-3.9058491070895193E-2</v>
      </c>
      <c r="I132" s="11">
        <f t="shared" ref="I132:I163" si="306">LN(K4/K3)</f>
        <v>-3.2351467003984224E-3</v>
      </c>
      <c r="J132" s="11">
        <f t="shared" ref="J132:J163" si="307">LN(P4/P3)</f>
        <v>1.4778929074293604E-2</v>
      </c>
      <c r="K132" s="11">
        <f t="shared" ref="K132:K163" si="308">LN(Q4/Q3)</f>
        <v>2.5932388393113803E-2</v>
      </c>
      <c r="L132" s="11">
        <f t="shared" ref="L132:L163" si="309">LN(S4/S3)</f>
        <v>-3.2562200451914373E-2</v>
      </c>
      <c r="M132" s="11">
        <f t="shared" ref="M132:M163" si="310">LN(AB4/AB3)</f>
        <v>1.4938475914150635E-2</v>
      </c>
      <c r="N132" s="11">
        <f t="shared" ref="N132:N163" si="311">LN(AD4/AD3)</f>
        <v>3.7454349903784351E-2</v>
      </c>
      <c r="O132" s="11">
        <f t="shared" ref="O132:O163" si="312">LN(AF4/AF3)</f>
        <v>-4.425948725252709E-2</v>
      </c>
      <c r="P132" s="11">
        <f t="shared" ref="P132:P163" si="313">LN(AH4/AH3)</f>
        <v>6.6423117686276601E-4</v>
      </c>
      <c r="Q132" s="11">
        <f t="shared" ref="Q132:Q163" si="314">LN(AK4/AK3)</f>
        <v>-1.7569858194201059E-2</v>
      </c>
      <c r="R132" s="11">
        <f t="shared" ref="R132:R163" si="315">LN(AM4/AM3)</f>
        <v>0.1479320804024849</v>
      </c>
      <c r="S132" s="11">
        <f t="shared" ref="S132:S163" si="316">LN(AN4/AN3)</f>
        <v>5.1794538095356821E-2</v>
      </c>
      <c r="T132" s="11">
        <f t="shared" ref="T132:T163" si="317">LN(AO4/AO3)</f>
        <v>3.6172895240085386E-2</v>
      </c>
      <c r="U132" s="11">
        <f t="shared" ref="U132:U163" si="318">LN(AR4/AR3)</f>
        <v>0.24116205681688804</v>
      </c>
      <c r="V132" s="11">
        <f t="shared" ref="V132:V163" si="319">LN(AW4/AW3)</f>
        <v>0.11840997779229966</v>
      </c>
      <c r="W132" s="11">
        <f t="shared" ref="W132:W163" si="320">LN(BA4/BA3)</f>
        <v>-0.11199704076983062</v>
      </c>
      <c r="X132" s="11">
        <f t="shared" ref="X132:X163" si="321">LN(BE4/BE3)</f>
        <v>-3.7041542403167364E-2</v>
      </c>
      <c r="Y132" s="11">
        <f t="shared" ref="Y132:Y163" si="322">LN(BI4/BI3)</f>
        <v>-5.1293294387550578E-2</v>
      </c>
      <c r="Z132" s="11">
        <f t="shared" ref="Z132:Z163" si="323">LN(BK4/BK3)</f>
        <v>2.807938032956887E-2</v>
      </c>
      <c r="AA132" s="11">
        <f t="shared" ref="AA132:AA163" si="324">LN(BN4/BN3)</f>
        <v>1.506480732584827E-2</v>
      </c>
      <c r="AB132" s="11">
        <f t="shared" ref="AB132:AB163" si="325">LN(BV4/BV3)</f>
        <v>-5.378921263838761E-2</v>
      </c>
      <c r="AC132" s="11">
        <f t="shared" ref="AC132:AC163" si="326">LN(BW4/BW3)</f>
        <v>-5.5634700214208646E-2</v>
      </c>
      <c r="AD132" s="11">
        <f t="shared" ref="AD132:AD163" si="327">LN(BZ4/BZ3)</f>
        <v>1.945563124905789E-2</v>
      </c>
      <c r="AE132" s="11">
        <f t="shared" ref="AE132:AE163" si="328">LN(CC4/CC3)</f>
        <v>3.5716037864411736E-2</v>
      </c>
      <c r="AF132" s="11">
        <f t="shared" ref="AF132:AF163" si="329">LN(CD4/CD3)</f>
        <v>1.7848938835618715E-2</v>
      </c>
      <c r="AG132" s="11">
        <f t="shared" ref="AG132:AG163" si="330">LN(CK4/CK3)</f>
        <v>7.4306210309913953E-2</v>
      </c>
      <c r="AH132" s="11">
        <f t="shared" ref="AH132:AH163" si="331">LN(CS4/CS3)</f>
        <v>-4.7577572536372834E-2</v>
      </c>
      <c r="AI132" s="11">
        <f t="shared" ref="AI132:AI163" si="332">LN(CW4/CW3)</f>
        <v>-2.895368115553246E-2</v>
      </c>
      <c r="AJ132" s="11">
        <f t="shared" ref="AJ132:AJ163" si="333">LN(DC4/DC3)</f>
        <v>-9.3330483948605034E-2</v>
      </c>
      <c r="AK132" s="11">
        <f t="shared" ref="AK132:AK163" si="334">LN(DF4/DF3)</f>
        <v>2.0785967759834656E-2</v>
      </c>
      <c r="AL132" s="11">
        <f t="shared" ref="AL132:AL163" si="335">LN(DJ4/DJ3)</f>
        <v>6.3537840445225924E-2</v>
      </c>
      <c r="AM132" s="11">
        <f t="shared" ref="AM132:AM163" si="336">LN(DW4/DW3)</f>
        <v>0.1206651859063942</v>
      </c>
      <c r="AN132" s="11">
        <f t="shared" ref="AN132:AN163" si="337">LN(DX4/DX3)</f>
        <v>7.16501092530034E-2</v>
      </c>
      <c r="AO132" s="11">
        <f t="shared" ref="AO132:AO163" si="338">LN(DZ4/DZ3)</f>
        <v>1.411382821585112E-2</v>
      </c>
      <c r="AQ132" s="1">
        <f t="shared" ref="AQ132:AQ163" si="339">LN(EA4/EA3)</f>
        <v>1.8037103051757427E-2</v>
      </c>
    </row>
    <row r="133" spans="1:114" ht="15">
      <c r="A133" s="8">
        <v>42736</v>
      </c>
      <c r="B133" s="11">
        <f t="shared" ref="B133:E133" si="340">LN(B5/B4)</f>
        <v>-1.7158596796396412E-2</v>
      </c>
      <c r="C133" s="11">
        <f t="shared" ref="C133:C189" si="341">LN(F5/F4)</f>
        <v>5.9285875338587479E-2</v>
      </c>
      <c r="D133" s="11">
        <f t="shared" si="340"/>
        <v>4.6229429382499437E-2</v>
      </c>
      <c r="E133" s="11">
        <f t="shared" si="340"/>
        <v>-2.4409268175604903E-2</v>
      </c>
      <c r="F133" s="11">
        <f t="shared" si="303"/>
        <v>6.9161102903789601E-2</v>
      </c>
      <c r="G133" s="11">
        <f t="shared" si="304"/>
        <v>7.8008077989253855E-2</v>
      </c>
      <c r="H133" s="11">
        <f t="shared" si="305"/>
        <v>0.22345590490100675</v>
      </c>
      <c r="I133" s="11">
        <f t="shared" si="306"/>
        <v>4.2243342585851919E-2</v>
      </c>
      <c r="J133" s="11">
        <f t="shared" si="307"/>
        <v>1.2789515234212682E-2</v>
      </c>
      <c r="K133" s="11">
        <f t="shared" si="308"/>
        <v>-1.2680709425937806E-3</v>
      </c>
      <c r="L133" s="11">
        <f t="shared" si="309"/>
        <v>-2.1477187761037301E-2</v>
      </c>
      <c r="M133" s="11">
        <f t="shared" si="310"/>
        <v>8.4779324851608856E-2</v>
      </c>
      <c r="N133" s="11">
        <f t="shared" si="311"/>
        <v>3.9598153204807592E-2</v>
      </c>
      <c r="O133" s="11">
        <f t="shared" si="312"/>
        <v>4.2266823363757637E-2</v>
      </c>
      <c r="P133" s="11">
        <f t="shared" si="313"/>
        <v>9.9166070833088704E-2</v>
      </c>
      <c r="Q133" s="11">
        <f t="shared" si="314"/>
        <v>0.14254268804815465</v>
      </c>
      <c r="R133" s="11">
        <f t="shared" si="315"/>
        <v>2.2601990957302524E-2</v>
      </c>
      <c r="S133" s="11">
        <f t="shared" si="316"/>
        <v>1.5049748654198258E-2</v>
      </c>
      <c r="T133" s="11">
        <f t="shared" si="317"/>
        <v>0.12666516158966679</v>
      </c>
      <c r="U133" s="11">
        <f t="shared" si="318"/>
        <v>-8.9419276058170141E-2</v>
      </c>
      <c r="V133" s="11">
        <f t="shared" si="319"/>
        <v>-3.6606835374054264E-2</v>
      </c>
      <c r="W133" s="11">
        <f t="shared" si="320"/>
        <v>0.19802577436988611</v>
      </c>
      <c r="X133" s="11">
        <f t="shared" si="321"/>
        <v>2.2516514104702481E-2</v>
      </c>
      <c r="Y133" s="11">
        <f t="shared" si="322"/>
        <v>6.8086971753387598E-2</v>
      </c>
      <c r="Z133" s="11">
        <f t="shared" si="323"/>
        <v>6.9592889658817506E-3</v>
      </c>
      <c r="AA133" s="11">
        <f t="shared" si="324"/>
        <v>4.3517891775687503E-2</v>
      </c>
      <c r="AB133" s="11">
        <f t="shared" si="325"/>
        <v>9.4091519162051385E-2</v>
      </c>
      <c r="AC133" s="11">
        <f t="shared" si="326"/>
        <v>-8.9389305630503221E-2</v>
      </c>
      <c r="AD133" s="11">
        <f t="shared" si="327"/>
        <v>4.1012203164960195E-2</v>
      </c>
      <c r="AE133" s="11">
        <f t="shared" si="328"/>
        <v>6.0908197366846946E-2</v>
      </c>
      <c r="AF133" s="11">
        <f t="shared" si="329"/>
        <v>1.002335436424699E-2</v>
      </c>
      <c r="AG133" s="11">
        <f t="shared" si="330"/>
        <v>2.2310203560299398E-2</v>
      </c>
      <c r="AH133" s="11">
        <f t="shared" si="331"/>
        <v>5.8290006342875178E-2</v>
      </c>
      <c r="AI133" s="11">
        <f t="shared" si="332"/>
        <v>1.7545003839096709E-2</v>
      </c>
      <c r="AJ133" s="11">
        <f t="shared" si="333"/>
        <v>0.13353129788218696</v>
      </c>
      <c r="AK133" s="11">
        <f t="shared" si="334"/>
        <v>1.3621095951965137E-2</v>
      </c>
      <c r="AL133" s="11">
        <f t="shared" si="335"/>
        <v>-5.5460620468595317E-2</v>
      </c>
      <c r="AM133" s="11">
        <f t="shared" si="336"/>
        <v>0.16462490448788064</v>
      </c>
      <c r="AN133" s="11">
        <f t="shared" si="337"/>
        <v>6.6374923111567494E-2</v>
      </c>
      <c r="AO133" s="11">
        <f t="shared" si="338"/>
        <v>1.8783502598233727E-2</v>
      </c>
      <c r="AQ133" s="1">
        <f t="shared" si="339"/>
        <v>1.772629809300964E-2</v>
      </c>
    </row>
    <row r="134" spans="1:114" ht="15">
      <c r="A134" s="8">
        <v>42767</v>
      </c>
      <c r="B134" s="11">
        <f t="shared" ref="B134:E134" si="342">LN(B6/B5)</f>
        <v>7.6142629326610964E-2</v>
      </c>
      <c r="C134" s="11">
        <f t="shared" si="341"/>
        <v>6.0709946158399676E-2</v>
      </c>
      <c r="D134" s="11">
        <f t="shared" si="342"/>
        <v>7.2354026301968619E-2</v>
      </c>
      <c r="E134" s="11">
        <f t="shared" si="342"/>
        <v>2.1914053250184442E-2</v>
      </c>
      <c r="F134" s="11">
        <f t="shared" si="303"/>
        <v>0.11928515614935854</v>
      </c>
      <c r="G134" s="11">
        <f t="shared" si="304"/>
        <v>3.4124520197240986E-2</v>
      </c>
      <c r="H134" s="11">
        <f t="shared" si="305"/>
        <v>4.458753805270603E-2</v>
      </c>
      <c r="I134" s="11">
        <f t="shared" si="306"/>
        <v>0.16959755262231033</v>
      </c>
      <c r="J134" s="11">
        <f t="shared" si="307"/>
        <v>2.0032783273370394E-2</v>
      </c>
      <c r="K134" s="11">
        <f t="shared" si="308"/>
        <v>2.8238386044760276E-2</v>
      </c>
      <c r="L134" s="11">
        <f t="shared" si="309"/>
        <v>3.8788142736065255E-2</v>
      </c>
      <c r="M134" s="11">
        <f t="shared" si="310"/>
        <v>6.4362816160931299E-2</v>
      </c>
      <c r="N134" s="11">
        <f t="shared" si="311"/>
        <v>-1.0417552891649915E-2</v>
      </c>
      <c r="O134" s="11">
        <f t="shared" si="312"/>
        <v>6.3902726356526066E-2</v>
      </c>
      <c r="P134" s="11">
        <f t="shared" si="313"/>
        <v>0.11597743781404485</v>
      </c>
      <c r="Q134" s="11">
        <f t="shared" si="314"/>
        <v>3.6354610472319783E-2</v>
      </c>
      <c r="R134" s="11">
        <f t="shared" si="315"/>
        <v>-7.3136143408779816E-2</v>
      </c>
      <c r="S134" s="11">
        <f t="shared" si="316"/>
        <v>-1.6981742771991198E-2</v>
      </c>
      <c r="T134" s="11">
        <f t="shared" si="317"/>
        <v>5.5711945243586192E-2</v>
      </c>
      <c r="U134" s="11">
        <f t="shared" si="318"/>
        <v>0.33246919448918283</v>
      </c>
      <c r="V134" s="11">
        <f t="shared" si="319"/>
        <v>1.0596496171522116E-2</v>
      </c>
      <c r="W134" s="11">
        <f t="shared" si="320"/>
        <v>-4.168678385076327E-2</v>
      </c>
      <c r="X134" s="11">
        <f t="shared" si="321"/>
        <v>0.14336638129123547</v>
      </c>
      <c r="Y134" s="11">
        <f t="shared" si="322"/>
        <v>-3.9633169335659767E-2</v>
      </c>
      <c r="Z134" s="11">
        <f t="shared" si="323"/>
        <v>4.0609107650348433E-2</v>
      </c>
      <c r="AA134" s="11">
        <f t="shared" si="324"/>
        <v>7.7451174923890156E-2</v>
      </c>
      <c r="AB134" s="11">
        <f t="shared" si="325"/>
        <v>8.3868964464978615E-2</v>
      </c>
      <c r="AC134" s="11">
        <f t="shared" si="326"/>
        <v>-0.13474220317154043</v>
      </c>
      <c r="AD134" s="11">
        <f t="shared" si="327"/>
        <v>4.6741433394437919E-2</v>
      </c>
      <c r="AE134" s="11">
        <f t="shared" si="328"/>
        <v>0.12885209466108516</v>
      </c>
      <c r="AF134" s="11">
        <f t="shared" si="329"/>
        <v>0.14405701867464074</v>
      </c>
      <c r="AG134" s="11">
        <f t="shared" si="330"/>
        <v>2.455842546453197E-2</v>
      </c>
      <c r="AH134" s="11">
        <f t="shared" si="331"/>
        <v>3.5287792235455501E-2</v>
      </c>
      <c r="AI134" s="11">
        <f t="shared" si="332"/>
        <v>2.0257582459859615E-2</v>
      </c>
      <c r="AJ134" s="11">
        <f t="shared" si="333"/>
        <v>-7.3864812707948438E-2</v>
      </c>
      <c r="AK134" s="11">
        <f t="shared" si="334"/>
        <v>0.12986062752572561</v>
      </c>
      <c r="AL134" s="11">
        <f t="shared" si="335"/>
        <v>1.0275031977278831E-2</v>
      </c>
      <c r="AM134" s="11">
        <f t="shared" si="336"/>
        <v>-7.7303540840276269E-3</v>
      </c>
      <c r="AN134" s="11">
        <f t="shared" si="337"/>
        <v>4.6081030877816044E-2</v>
      </c>
      <c r="AO134" s="11">
        <f t="shared" si="338"/>
        <v>2.9648580096566481E-2</v>
      </c>
      <c r="AQ134" s="1">
        <f t="shared" si="339"/>
        <v>3.6523097609435645E-2</v>
      </c>
    </row>
    <row r="135" spans="1:114" ht="15">
      <c r="A135" s="8">
        <v>42795</v>
      </c>
      <c r="B135" s="11">
        <f t="shared" ref="B135:E135" si="343">LN(B7/B6)</f>
        <v>2.5562080012259174E-2</v>
      </c>
      <c r="C135" s="11">
        <f t="shared" si="341"/>
        <v>-3.6013749835079933E-2</v>
      </c>
      <c r="D135" s="11">
        <f t="shared" si="343"/>
        <v>2.2283714026944974E-2</v>
      </c>
      <c r="E135" s="11">
        <f t="shared" si="343"/>
        <v>5.2295478057512515E-2</v>
      </c>
      <c r="F135" s="11">
        <f t="shared" si="303"/>
        <v>-6.6323740563423259E-2</v>
      </c>
      <c r="G135" s="11">
        <f t="shared" si="304"/>
        <v>-2.6215603205342938E-2</v>
      </c>
      <c r="H135" s="11">
        <f t="shared" si="305"/>
        <v>1.9169916107720123E-2</v>
      </c>
      <c r="I135" s="11">
        <f t="shared" si="306"/>
        <v>6.4585953433368037E-2</v>
      </c>
      <c r="J135" s="11">
        <f t="shared" si="307"/>
        <v>-8.318593575013614E-3</v>
      </c>
      <c r="K135" s="11">
        <f t="shared" si="308"/>
        <v>-2.6151988377523739E-2</v>
      </c>
      <c r="L135" s="11">
        <f t="shared" si="309"/>
        <v>3.6823650339161802E-2</v>
      </c>
      <c r="M135" s="11">
        <f t="shared" si="310"/>
        <v>3.9825344904288991E-3</v>
      </c>
      <c r="N135" s="11">
        <f t="shared" si="311"/>
        <v>3.5004802567713829E-2</v>
      </c>
      <c r="O135" s="11">
        <f t="shared" si="312"/>
        <v>4.6338548143568331E-2</v>
      </c>
      <c r="P135" s="11">
        <f t="shared" si="313"/>
        <v>2.6421616234438772E-2</v>
      </c>
      <c r="Q135" s="11">
        <f t="shared" si="314"/>
        <v>7.3872025557828166E-2</v>
      </c>
      <c r="R135" s="11">
        <f t="shared" si="315"/>
        <v>7.2104925873667708E-2</v>
      </c>
      <c r="S135" s="11">
        <f t="shared" si="316"/>
        <v>3.5159022441128142E-3</v>
      </c>
      <c r="T135" s="11">
        <f t="shared" si="317"/>
        <v>3.7363061796086845E-2</v>
      </c>
      <c r="U135" s="11">
        <f t="shared" si="318"/>
        <v>6.2047768868828696E-3</v>
      </c>
      <c r="V135" s="11">
        <f t="shared" si="319"/>
        <v>-1.0253022246366135E-2</v>
      </c>
      <c r="W135" s="11">
        <f t="shared" si="320"/>
        <v>6.307722043534649E-3</v>
      </c>
      <c r="X135" s="11">
        <f t="shared" si="321"/>
        <v>2.893814270860523E-2</v>
      </c>
      <c r="Y135" s="11">
        <f t="shared" si="322"/>
        <v>-0.13117678828731166</v>
      </c>
      <c r="Z135" s="11">
        <f t="shared" si="323"/>
        <v>2.2571289895537243E-2</v>
      </c>
      <c r="AA135" s="11">
        <f t="shared" si="324"/>
        <v>-2.5335670708743617E-2</v>
      </c>
      <c r="AB135" s="11">
        <f t="shared" si="325"/>
        <v>-2.9458067552507662E-2</v>
      </c>
      <c r="AC135" s="11">
        <f t="shared" si="326"/>
        <v>-0.10044996447088597</v>
      </c>
      <c r="AD135" s="11">
        <f t="shared" si="327"/>
        <v>-1.34867595027033E-2</v>
      </c>
      <c r="AE135" s="11">
        <f t="shared" si="328"/>
        <v>3.1948840029263813E-2</v>
      </c>
      <c r="AF135" s="11">
        <f t="shared" si="329"/>
        <v>4.6714285876806247E-2</v>
      </c>
      <c r="AG135" s="11">
        <f t="shared" si="330"/>
        <v>-7.6786352732642693E-3</v>
      </c>
      <c r="AH135" s="11">
        <f t="shared" si="331"/>
        <v>-3.4622397604511176E-2</v>
      </c>
      <c r="AI135" s="11">
        <f t="shared" si="332"/>
        <v>1.1181707473365513E-2</v>
      </c>
      <c r="AJ135" s="11">
        <f t="shared" si="333"/>
        <v>-0.11864489360461679</v>
      </c>
      <c r="AK135" s="11">
        <f t="shared" si="334"/>
        <v>-8.4673877049104646E-2</v>
      </c>
      <c r="AL135" s="11">
        <f t="shared" si="335"/>
        <v>-3.7146076138546792E-2</v>
      </c>
      <c r="AM135" s="11">
        <f t="shared" si="336"/>
        <v>0.10727875146962</v>
      </c>
      <c r="AN135" s="11">
        <f t="shared" si="337"/>
        <v>0.13360806129406208</v>
      </c>
      <c r="AO135" s="11">
        <f t="shared" si="338"/>
        <v>-7.3678712189739731E-2</v>
      </c>
      <c r="AQ135" s="1">
        <f t="shared" si="339"/>
        <v>-3.8930594013980509E-4</v>
      </c>
    </row>
    <row r="136" spans="1:114" ht="15">
      <c r="A136" s="8">
        <v>42826</v>
      </c>
      <c r="B136" s="11">
        <f t="shared" ref="B136:E136" si="344">LN(B8/B7)</f>
        <v>-8.7088155645213827E-3</v>
      </c>
      <c r="C136" s="11">
        <f t="shared" si="341"/>
        <v>-1.2036264596179416E-2</v>
      </c>
      <c r="D136" s="11">
        <f t="shared" si="344"/>
        <v>-2.4674819928936543E-2</v>
      </c>
      <c r="E136" s="11">
        <f t="shared" si="344"/>
        <v>1.1899518365079364E-2</v>
      </c>
      <c r="F136" s="11">
        <f t="shared" si="303"/>
        <v>-4.5816165260171449E-3</v>
      </c>
      <c r="G136" s="11">
        <f t="shared" si="304"/>
        <v>7.453367133383354E-2</v>
      </c>
      <c r="H136" s="11">
        <f t="shared" si="305"/>
        <v>8.0042707673536564E-2</v>
      </c>
      <c r="I136" s="11">
        <f t="shared" si="306"/>
        <v>8.1449726592160265E-2</v>
      </c>
      <c r="J136" s="11">
        <f t="shared" si="307"/>
        <v>6.7893437770302115E-2</v>
      </c>
      <c r="K136" s="11">
        <f t="shared" si="308"/>
        <v>4.8972152002258587E-2</v>
      </c>
      <c r="L136" s="11">
        <f t="shared" si="309"/>
        <v>2.5257745386481631E-3</v>
      </c>
      <c r="M136" s="11">
        <f t="shared" si="310"/>
        <v>-5.688893162973107E-2</v>
      </c>
      <c r="N136" s="11">
        <f t="shared" si="311"/>
        <v>3.8718698141990478E-2</v>
      </c>
      <c r="O136" s="11">
        <f t="shared" si="312"/>
        <v>7.8147753737245109E-3</v>
      </c>
      <c r="P136" s="11">
        <f t="shared" si="313"/>
        <v>1.6807118316381191E-2</v>
      </c>
      <c r="Q136" s="11">
        <f t="shared" si="314"/>
        <v>3.0494844139406754E-2</v>
      </c>
      <c r="R136" s="11">
        <f t="shared" si="315"/>
        <v>-4.3434345195739722E-2</v>
      </c>
      <c r="S136" s="11">
        <f t="shared" si="316"/>
        <v>2.2150004232092783E-3</v>
      </c>
      <c r="T136" s="11">
        <f t="shared" si="317"/>
        <v>1.2937935517444259E-2</v>
      </c>
      <c r="U136" s="11">
        <f t="shared" si="318"/>
        <v>-8.9826958389793474E-2</v>
      </c>
      <c r="V136" s="11">
        <f t="shared" si="319"/>
        <v>8.633466607605382E-2</v>
      </c>
      <c r="W136" s="11">
        <f t="shared" si="320"/>
        <v>7.7092294457343322E-2</v>
      </c>
      <c r="X136" s="11">
        <f t="shared" si="321"/>
        <v>5.8932594273337711E-2</v>
      </c>
      <c r="Y136" s="11">
        <f t="shared" si="322"/>
        <v>1.2155362379781678E-2</v>
      </c>
      <c r="Z136" s="11">
        <f t="shared" si="323"/>
        <v>7.661261732020172E-2</v>
      </c>
      <c r="AA136" s="11">
        <f t="shared" si="324"/>
        <v>-2.6476048648134565E-3</v>
      </c>
      <c r="AB136" s="11">
        <f t="shared" si="325"/>
        <v>-1.3449261221949156E-2</v>
      </c>
      <c r="AC136" s="11">
        <f t="shared" si="326"/>
        <v>0.11442805928090376</v>
      </c>
      <c r="AD136" s="11">
        <f t="shared" si="327"/>
        <v>-2.8447627660206594E-2</v>
      </c>
      <c r="AE136" s="11">
        <f t="shared" si="328"/>
        <v>-9.2509384468128959E-3</v>
      </c>
      <c r="AF136" s="11">
        <f t="shared" si="329"/>
        <v>3.9735176211944417E-2</v>
      </c>
      <c r="AG136" s="11">
        <f t="shared" si="330"/>
        <v>1.9425280952895139E-3</v>
      </c>
      <c r="AH136" s="11">
        <f t="shared" si="331"/>
        <v>1.2011510957716241E-2</v>
      </c>
      <c r="AI136" s="11">
        <f t="shared" si="332"/>
        <v>-2.6248636188516323E-2</v>
      </c>
      <c r="AJ136" s="11">
        <f t="shared" si="333"/>
        <v>1.7159717551351452E-2</v>
      </c>
      <c r="AK136" s="11">
        <f t="shared" si="334"/>
        <v>-0.16989903679539747</v>
      </c>
      <c r="AL136" s="11">
        <f t="shared" si="335"/>
        <v>-6.2595569602003874E-3</v>
      </c>
      <c r="AM136" s="11">
        <f t="shared" si="336"/>
        <v>0.12091622246752827</v>
      </c>
      <c r="AN136" s="11">
        <f t="shared" si="337"/>
        <v>1.1233067359752182E-2</v>
      </c>
      <c r="AO136" s="11">
        <f t="shared" si="338"/>
        <v>-1.4712378597939293E-2</v>
      </c>
      <c r="AQ136" s="1">
        <f t="shared" si="339"/>
        <v>9.0501405584374091E-3</v>
      </c>
    </row>
    <row r="137" spans="1:114" ht="15">
      <c r="A137" s="8">
        <v>42856</v>
      </c>
      <c r="B137" s="11">
        <f t="shared" ref="B137:E137" si="345">LN(B9/B8)</f>
        <v>3.7982675440875253E-2</v>
      </c>
      <c r="C137" s="11">
        <f t="shared" si="341"/>
        <v>4.3635234616278884E-2</v>
      </c>
      <c r="D137" s="11">
        <f t="shared" si="345"/>
        <v>-3.0813594788672068E-2</v>
      </c>
      <c r="E137" s="11">
        <f t="shared" si="345"/>
        <v>1.1112031889916388E-2</v>
      </c>
      <c r="F137" s="11">
        <f t="shared" si="303"/>
        <v>-5.0739816903803005E-2</v>
      </c>
      <c r="G137" s="11">
        <f t="shared" si="304"/>
        <v>4.4133216887036503E-2</v>
      </c>
      <c r="H137" s="11">
        <f t="shared" si="305"/>
        <v>-4.1417216528575475E-2</v>
      </c>
      <c r="I137" s="11">
        <f t="shared" si="306"/>
        <v>3.9271739155538688E-3</v>
      </c>
      <c r="J137" s="11">
        <f t="shared" si="307"/>
        <v>1.713715740149692E-3</v>
      </c>
      <c r="K137" s="11">
        <f t="shared" si="308"/>
        <v>-6.4064992659259121E-2</v>
      </c>
      <c r="L137" s="11">
        <f t="shared" si="309"/>
        <v>0.16691349102113345</v>
      </c>
      <c r="M137" s="11">
        <f t="shared" si="310"/>
        <v>4.4726747661781543E-2</v>
      </c>
      <c r="N137" s="11">
        <f t="shared" si="311"/>
        <v>1.9957055871427772E-2</v>
      </c>
      <c r="O137" s="11">
        <f t="shared" si="312"/>
        <v>1.3818039587389025E-2</v>
      </c>
      <c r="P137" s="11">
        <f t="shared" si="313"/>
        <v>8.6801668312665968E-3</v>
      </c>
      <c r="Q137" s="11">
        <f t="shared" si="314"/>
        <v>-4.2628229573630973E-2</v>
      </c>
      <c r="R137" s="11">
        <f t="shared" si="315"/>
        <v>0.32496985887827362</v>
      </c>
      <c r="S137" s="11">
        <f t="shared" si="316"/>
        <v>-1.1065767093967355E-3</v>
      </c>
      <c r="T137" s="11">
        <f t="shared" si="317"/>
        <v>8.1167760474459047E-2</v>
      </c>
      <c r="U137" s="11">
        <f t="shared" si="318"/>
        <v>-0.17274351290387432</v>
      </c>
      <c r="V137" s="11">
        <f t="shared" si="319"/>
        <v>5.5475573872555806E-2</v>
      </c>
      <c r="W137" s="11">
        <f t="shared" si="320"/>
        <v>0.10223327700290184</v>
      </c>
      <c r="X137" s="11">
        <f t="shared" si="321"/>
        <v>-3.1930317634599179E-3</v>
      </c>
      <c r="Y137" s="11">
        <f t="shared" si="322"/>
        <v>0.22016514255994887</v>
      </c>
      <c r="Z137" s="11">
        <f t="shared" si="323"/>
        <v>7.5409247141349223E-2</v>
      </c>
      <c r="AA137" s="11">
        <f t="shared" si="324"/>
        <v>-4.4656747206905635E-2</v>
      </c>
      <c r="AB137" s="11">
        <f t="shared" si="325"/>
        <v>0.15461511922675825</v>
      </c>
      <c r="AC137" s="11">
        <f t="shared" si="326"/>
        <v>-2.3179433689254226E-2</v>
      </c>
      <c r="AD137" s="11">
        <f t="shared" si="327"/>
        <v>1.6292752622632342E-2</v>
      </c>
      <c r="AE137" s="11">
        <f t="shared" si="328"/>
        <v>7.7736070037759966E-2</v>
      </c>
      <c r="AF137" s="11">
        <f t="shared" si="329"/>
        <v>8.0072660957948669E-2</v>
      </c>
      <c r="AG137" s="11">
        <f t="shared" si="330"/>
        <v>1.9826387491802107E-2</v>
      </c>
      <c r="AH137" s="11">
        <f t="shared" si="331"/>
        <v>0.10357856105780217</v>
      </c>
      <c r="AI137" s="11">
        <f t="shared" si="332"/>
        <v>2.1588911661308084E-2</v>
      </c>
      <c r="AJ137" s="11">
        <f t="shared" si="333"/>
        <v>-0.34139935152479478</v>
      </c>
      <c r="AK137" s="11">
        <f t="shared" si="334"/>
        <v>-8.8056855391182673E-2</v>
      </c>
      <c r="AL137" s="11">
        <f t="shared" si="335"/>
        <v>-3.0643010313046965E-2</v>
      </c>
      <c r="AM137" s="11">
        <f t="shared" si="336"/>
        <v>8.2295911367355576E-2</v>
      </c>
      <c r="AN137" s="11">
        <f t="shared" si="337"/>
        <v>0.15219583608089704</v>
      </c>
      <c r="AO137" s="11">
        <f t="shared" si="338"/>
        <v>-1.7602870577057783E-2</v>
      </c>
      <c r="AQ137" s="1">
        <f t="shared" si="339"/>
        <v>1.1509718385591177E-2</v>
      </c>
    </row>
    <row r="138" spans="1:114" ht="15">
      <c r="A138" s="8">
        <v>42887</v>
      </c>
      <c r="B138" s="11">
        <f t="shared" ref="B138:E138" si="346">LN(B10/B9)</f>
        <v>3.7624869207274522E-2</v>
      </c>
      <c r="C138" s="11">
        <f t="shared" si="341"/>
        <v>-1.5789597442021023E-2</v>
      </c>
      <c r="D138" s="11">
        <f t="shared" si="346"/>
        <v>4.0170567496330821E-2</v>
      </c>
      <c r="E138" s="11">
        <f t="shared" si="346"/>
        <v>9.3766908844143099E-2</v>
      </c>
      <c r="F138" s="11">
        <f t="shared" si="303"/>
        <v>0.11106230526725007</v>
      </c>
      <c r="G138" s="11">
        <f t="shared" si="304"/>
        <v>9.6759519903402789E-3</v>
      </c>
      <c r="H138" s="11">
        <f t="shared" si="305"/>
        <v>-2.1888698789437097E-2</v>
      </c>
      <c r="I138" s="11">
        <f t="shared" si="306"/>
        <v>-4.2273053725991369E-2</v>
      </c>
      <c r="J138" s="11">
        <f t="shared" si="307"/>
        <v>5.6809573028979606E-2</v>
      </c>
      <c r="K138" s="11">
        <f t="shared" si="308"/>
        <v>4.6164623392451434E-2</v>
      </c>
      <c r="L138" s="11">
        <f t="shared" si="309"/>
        <v>6.7548299063084793E-2</v>
      </c>
      <c r="M138" s="11">
        <f t="shared" si="310"/>
        <v>9.5779048333305791E-2</v>
      </c>
      <c r="N138" s="11">
        <f t="shared" si="311"/>
        <v>-7.3999341013364743E-3</v>
      </c>
      <c r="O138" s="11">
        <f t="shared" si="312"/>
        <v>9.9527250300248699E-2</v>
      </c>
      <c r="P138" s="11">
        <f t="shared" si="313"/>
        <v>-4.9502161351521815E-2</v>
      </c>
      <c r="Q138" s="11">
        <f t="shared" si="314"/>
        <v>-7.0383659037591945E-2</v>
      </c>
      <c r="R138" s="11">
        <f t="shared" si="315"/>
        <v>2.5061539865428072E-3</v>
      </c>
      <c r="S138" s="11">
        <f t="shared" si="316"/>
        <v>-6.047421330232372E-2</v>
      </c>
      <c r="T138" s="11">
        <f t="shared" si="317"/>
        <v>-2.7217071647379076E-2</v>
      </c>
      <c r="U138" s="11">
        <f t="shared" si="318"/>
        <v>0.10910684061744781</v>
      </c>
      <c r="V138" s="11">
        <f t="shared" si="319"/>
        <v>-3.1050053192307379E-2</v>
      </c>
      <c r="W138" s="11">
        <f t="shared" si="320"/>
        <v>1.2817645220058302E-2</v>
      </c>
      <c r="X138" s="11">
        <f t="shared" si="321"/>
        <v>-7.0669417016676533E-2</v>
      </c>
      <c r="Y138" s="11">
        <f t="shared" si="322"/>
        <v>0.11204950380862293</v>
      </c>
      <c r="Z138" s="11">
        <f t="shared" si="323"/>
        <v>1.4931643074092799E-2</v>
      </c>
      <c r="AA138" s="11">
        <f t="shared" si="324"/>
        <v>0.10743412125124263</v>
      </c>
      <c r="AB138" s="11">
        <f t="shared" si="325"/>
        <v>-8.9758573196059197E-4</v>
      </c>
      <c r="AC138" s="11">
        <f t="shared" si="326"/>
        <v>5.5201952732178816E-2</v>
      </c>
      <c r="AD138" s="11">
        <f t="shared" si="327"/>
        <v>-1.0728233678454947E-2</v>
      </c>
      <c r="AE138" s="11">
        <f t="shared" si="328"/>
        <v>-1.9810998228241401E-2</v>
      </c>
      <c r="AF138" s="11">
        <f t="shared" si="329"/>
        <v>-1.9917844299089757E-2</v>
      </c>
      <c r="AG138" s="11">
        <f t="shared" si="330"/>
        <v>-6.705172680639522E-2</v>
      </c>
      <c r="AH138" s="11">
        <f t="shared" si="331"/>
        <v>1.6900079458492222E-2</v>
      </c>
      <c r="AI138" s="11">
        <f t="shared" si="332"/>
        <v>0.11438387180965251</v>
      </c>
      <c r="AJ138" s="11">
        <f t="shared" si="333"/>
        <v>9.5863850982160173E-2</v>
      </c>
      <c r="AK138" s="11">
        <f t="shared" si="334"/>
        <v>6.7410960767635891E-2</v>
      </c>
      <c r="AL138" s="11">
        <f t="shared" si="335"/>
        <v>1.8301683327937194E-2</v>
      </c>
      <c r="AM138" s="11">
        <f t="shared" si="336"/>
        <v>5.865448063616048E-2</v>
      </c>
      <c r="AN138" s="11">
        <f t="shared" si="337"/>
        <v>-8.1046680112696664E-3</v>
      </c>
      <c r="AO138" s="11">
        <f t="shared" si="338"/>
        <v>6.2753541109242606E-3</v>
      </c>
      <c r="AQ138" s="1">
        <f t="shared" si="339"/>
        <v>4.802282553352028E-3</v>
      </c>
    </row>
    <row r="139" spans="1:114" ht="15">
      <c r="A139" s="8">
        <v>42917</v>
      </c>
      <c r="B139" s="11">
        <f t="shared" ref="B139:E139" si="347">LN(B11/B10)</f>
        <v>3.2454540246560247E-3</v>
      </c>
      <c r="C139" s="11">
        <f t="shared" si="341"/>
        <v>4.0437649988399136E-3</v>
      </c>
      <c r="D139" s="11">
        <f t="shared" si="347"/>
        <v>4.3647312312290179E-3</v>
      </c>
      <c r="E139" s="11">
        <f t="shared" si="347"/>
        <v>-3.6515942930960631E-2</v>
      </c>
      <c r="F139" s="11">
        <f t="shared" si="303"/>
        <v>1.3151307522825829E-2</v>
      </c>
      <c r="G139" s="11">
        <f t="shared" si="304"/>
        <v>6.9228313057044443E-3</v>
      </c>
      <c r="H139" s="11">
        <f t="shared" si="305"/>
        <v>1.8999919352514615E-3</v>
      </c>
      <c r="I139" s="11">
        <f t="shared" si="306"/>
        <v>3.0745376421722974E-2</v>
      </c>
      <c r="J139" s="11">
        <f t="shared" si="307"/>
        <v>3.8003052443846976E-2</v>
      </c>
      <c r="K139" s="11">
        <f t="shared" si="308"/>
        <v>-6.6085658768063908E-3</v>
      </c>
      <c r="L139" s="11">
        <f t="shared" si="309"/>
        <v>9.7684081193512989E-4</v>
      </c>
      <c r="M139" s="11">
        <f t="shared" si="310"/>
        <v>-9.6782197659801301E-3</v>
      </c>
      <c r="N139" s="11">
        <f t="shared" si="311"/>
        <v>5.3249938392960626E-2</v>
      </c>
      <c r="O139" s="11">
        <f t="shared" si="312"/>
        <v>-4.1969039535720573E-3</v>
      </c>
      <c r="P139" s="11">
        <f t="shared" si="313"/>
        <v>-1.4257134567484156E-2</v>
      </c>
      <c r="Q139" s="11">
        <f t="shared" si="314"/>
        <v>9.5067135357727844E-2</v>
      </c>
      <c r="R139" s="11">
        <f t="shared" si="315"/>
        <v>0.11704475407061535</v>
      </c>
      <c r="S139" s="11">
        <f t="shared" si="316"/>
        <v>5.0003507758583199E-2</v>
      </c>
      <c r="T139" s="11">
        <f t="shared" si="317"/>
        <v>6.10074856055745E-2</v>
      </c>
      <c r="U139" s="11">
        <f t="shared" si="318"/>
        <v>8.6677453722093109E-2</v>
      </c>
      <c r="V139" s="11">
        <f t="shared" si="319"/>
        <v>-1.6617334101402564E-2</v>
      </c>
      <c r="W139" s="11">
        <f t="shared" si="320"/>
        <v>4.1123835754059056E-2</v>
      </c>
      <c r="X139" s="11">
        <f t="shared" si="321"/>
        <v>9.6130712939877169E-2</v>
      </c>
      <c r="Y139" s="11">
        <f t="shared" si="322"/>
        <v>-4.290750101127655E-2</v>
      </c>
      <c r="Z139" s="11">
        <f t="shared" si="323"/>
        <v>1.9094175054733823E-2</v>
      </c>
      <c r="AA139" s="11">
        <f t="shared" si="324"/>
        <v>4.249768143665047E-3</v>
      </c>
      <c r="AB139" s="11">
        <f t="shared" si="325"/>
        <v>-0.12367872383996602</v>
      </c>
      <c r="AC139" s="11">
        <f t="shared" si="326"/>
        <v>-0.14986086797195311</v>
      </c>
      <c r="AD139" s="11">
        <f t="shared" si="327"/>
        <v>4.1249023827236164E-2</v>
      </c>
      <c r="AE139" s="11">
        <f t="shared" si="328"/>
        <v>2.2329803047372474E-3</v>
      </c>
      <c r="AF139" s="11">
        <f t="shared" si="329"/>
        <v>5.1672031928387388E-2</v>
      </c>
      <c r="AG139" s="11">
        <f t="shared" si="330"/>
        <v>2.1029146124032418E-2</v>
      </c>
      <c r="AH139" s="11">
        <f t="shared" si="331"/>
        <v>-1.6927108218927404E-2</v>
      </c>
      <c r="AI139" s="11">
        <f t="shared" si="332"/>
        <v>-4.1361533462683238E-2</v>
      </c>
      <c r="AJ139" s="11">
        <f t="shared" si="333"/>
        <v>0.29974519564741386</v>
      </c>
      <c r="AK139" s="11">
        <f t="shared" si="334"/>
        <v>-0.11892449521774401</v>
      </c>
      <c r="AL139" s="11">
        <f t="shared" si="335"/>
        <v>4.5530282335401365E-2</v>
      </c>
      <c r="AM139" s="11">
        <f t="shared" si="336"/>
        <v>-0.11145990906540093</v>
      </c>
      <c r="AN139" s="11">
        <f t="shared" si="337"/>
        <v>0.20118856619706749</v>
      </c>
      <c r="AO139" s="11">
        <f t="shared" si="338"/>
        <v>2.67727722495447E-3</v>
      </c>
      <c r="AQ139" s="1">
        <f t="shared" si="339"/>
        <v>1.9163961513693484E-2</v>
      </c>
    </row>
    <row r="140" spans="1:114" ht="15">
      <c r="A140" s="8">
        <v>42948</v>
      </c>
      <c r="B140" s="11">
        <f t="shared" ref="B140:E140" si="348">LN(B12/B11)</f>
        <v>-2.640988144834505E-3</v>
      </c>
      <c r="C140" s="11">
        <f t="shared" si="341"/>
        <v>-3.1288035590909329E-4</v>
      </c>
      <c r="D140" s="11">
        <f t="shared" si="348"/>
        <v>-1.6712818904481189E-2</v>
      </c>
      <c r="E140" s="11">
        <f t="shared" si="348"/>
        <v>8.3220230718911617E-2</v>
      </c>
      <c r="F140" s="11">
        <f t="shared" si="303"/>
        <v>1.850860226927312E-2</v>
      </c>
      <c r="G140" s="11">
        <f t="shared" si="304"/>
        <v>6.4046617813701481E-2</v>
      </c>
      <c r="H140" s="11">
        <f t="shared" si="305"/>
        <v>0.16217949887499772</v>
      </c>
      <c r="I140" s="11">
        <f t="shared" si="306"/>
        <v>-6.8559570823142485E-2</v>
      </c>
      <c r="J140" s="11">
        <f t="shared" si="307"/>
        <v>3.629685059059775E-2</v>
      </c>
      <c r="K140" s="11">
        <f t="shared" si="308"/>
        <v>-2.6458443759185254E-2</v>
      </c>
      <c r="L140" s="11">
        <f t="shared" si="309"/>
        <v>1.0682738261439487E-2</v>
      </c>
      <c r="M140" s="11">
        <f t="shared" si="310"/>
        <v>5.947308441003437E-3</v>
      </c>
      <c r="N140" s="11">
        <f t="shared" si="311"/>
        <v>2.807548607092792E-2</v>
      </c>
      <c r="O140" s="11">
        <f t="shared" si="312"/>
        <v>1.174428807738878E-2</v>
      </c>
      <c r="P140" s="11">
        <f t="shared" si="313"/>
        <v>3.4352998570622358E-2</v>
      </c>
      <c r="Q140" s="11">
        <f t="shared" si="314"/>
        <v>-3.3134317108501121E-2</v>
      </c>
      <c r="R140" s="11">
        <f t="shared" si="315"/>
        <v>4.1759520583170985E-2</v>
      </c>
      <c r="S140" s="11">
        <f t="shared" si="316"/>
        <v>-1.1341535196162456E-2</v>
      </c>
      <c r="T140" s="11">
        <f t="shared" si="317"/>
        <v>2.1696042094697474E-2</v>
      </c>
      <c r="U140" s="11">
        <f t="shared" si="318"/>
        <v>-4.585545920183793E-2</v>
      </c>
      <c r="V140" s="11">
        <f t="shared" si="319"/>
        <v>4.3310375148827608E-2</v>
      </c>
      <c r="W140" s="11">
        <f t="shared" si="320"/>
        <v>5.0663852328644218E-2</v>
      </c>
      <c r="X140" s="11">
        <f t="shared" si="321"/>
        <v>-1.0477220146191684E-3</v>
      </c>
      <c r="Y140" s="11">
        <f t="shared" si="322"/>
        <v>0.13030769129211012</v>
      </c>
      <c r="Z140" s="11">
        <f t="shared" si="323"/>
        <v>3.0658430088778499E-2</v>
      </c>
      <c r="AA140" s="11">
        <f t="shared" si="324"/>
        <v>-0.11168388939490762</v>
      </c>
      <c r="AB140" s="11">
        <f t="shared" si="325"/>
        <v>-2.2997356989571525E-2</v>
      </c>
      <c r="AC140" s="11">
        <f t="shared" si="326"/>
        <v>-0.24747261302350596</v>
      </c>
      <c r="AD140" s="11">
        <f t="shared" si="327"/>
        <v>2.3654340302353201E-2</v>
      </c>
      <c r="AE140" s="11">
        <f t="shared" si="328"/>
        <v>1.8830761847111355E-3</v>
      </c>
      <c r="AF140" s="11">
        <f t="shared" si="329"/>
        <v>2.1181413662421031E-2</v>
      </c>
      <c r="AG140" s="11">
        <f t="shared" si="330"/>
        <v>-7.9823729340488578E-2</v>
      </c>
      <c r="AH140" s="11">
        <f t="shared" si="331"/>
        <v>-8.7977374595430535E-2</v>
      </c>
      <c r="AI140" s="11">
        <f t="shared" si="332"/>
        <v>3.0068109733940498E-2</v>
      </c>
      <c r="AJ140" s="11">
        <f t="shared" si="333"/>
        <v>6.6111085605392014E-2</v>
      </c>
      <c r="AK140" s="11">
        <f t="shared" si="334"/>
        <v>0.12152866335613172</v>
      </c>
      <c r="AL140" s="11">
        <f t="shared" si="335"/>
        <v>-1.4482833599222287E-2</v>
      </c>
      <c r="AM140" s="11">
        <f t="shared" si="336"/>
        <v>9.5543418578658806E-2</v>
      </c>
      <c r="AN140" s="11">
        <f t="shared" si="337"/>
        <v>8.4719511469248318E-2</v>
      </c>
      <c r="AO140" s="11">
        <f t="shared" si="338"/>
        <v>-4.3181834102556721E-3</v>
      </c>
      <c r="AQ140" s="1">
        <f t="shared" si="339"/>
        <v>5.4634305631591474E-4</v>
      </c>
    </row>
    <row r="141" spans="1:114" ht="15">
      <c r="A141" s="8">
        <v>42979</v>
      </c>
      <c r="B141" s="11">
        <f t="shared" ref="B141:E141" si="349">LN(B13/B12)</f>
        <v>-1.1648692521644976E-2</v>
      </c>
      <c r="C141" s="11">
        <f t="shared" si="341"/>
        <v>2.6584186761266478E-3</v>
      </c>
      <c r="D141" s="11">
        <f t="shared" si="349"/>
        <v>5.731865960637756E-2</v>
      </c>
      <c r="E141" s="11">
        <f t="shared" si="349"/>
        <v>0.16558180207740833</v>
      </c>
      <c r="F141" s="11">
        <f t="shared" si="303"/>
        <v>5.4394300063369212E-2</v>
      </c>
      <c r="G141" s="11">
        <f t="shared" si="304"/>
        <v>1.0947718975320674E-2</v>
      </c>
      <c r="H141" s="11">
        <f t="shared" si="305"/>
        <v>-2.6063012178370249E-2</v>
      </c>
      <c r="I141" s="11">
        <f t="shared" si="306"/>
        <v>3.8595137491831801E-4</v>
      </c>
      <c r="J141" s="11">
        <f t="shared" si="307"/>
        <v>-1.5453099602807838E-2</v>
      </c>
      <c r="K141" s="11">
        <f t="shared" si="308"/>
        <v>5.0180559383004378E-2</v>
      </c>
      <c r="L141" s="11">
        <f t="shared" si="309"/>
        <v>-0.10556178364683209</v>
      </c>
      <c r="M141" s="11">
        <f t="shared" si="310"/>
        <v>-3.2586208177054037E-3</v>
      </c>
      <c r="N141" s="11">
        <f t="shared" si="311"/>
        <v>1.5618435306936076E-3</v>
      </c>
      <c r="O141" s="11">
        <f t="shared" si="312"/>
        <v>-4.0135218033570688E-2</v>
      </c>
      <c r="P141" s="11">
        <f t="shared" si="313"/>
        <v>-6.3770927505799768E-2</v>
      </c>
      <c r="Q141" s="11">
        <f t="shared" si="314"/>
        <v>9.2856957885540062E-2</v>
      </c>
      <c r="R141" s="11">
        <f t="shared" si="315"/>
        <v>5.4481372470710727E-2</v>
      </c>
      <c r="S141" s="11">
        <f t="shared" si="316"/>
        <v>8.9822087998919234E-2</v>
      </c>
      <c r="T141" s="11">
        <f t="shared" si="317"/>
        <v>-3.8540133109330126E-2</v>
      </c>
      <c r="U141" s="11">
        <f t="shared" si="318"/>
        <v>-1.9418085857101627E-2</v>
      </c>
      <c r="V141" s="11">
        <f t="shared" si="319"/>
        <v>7.5217526486332564E-2</v>
      </c>
      <c r="W141" s="11">
        <f t="shared" si="320"/>
        <v>1.1466837949992342E-2</v>
      </c>
      <c r="X141" s="11">
        <f t="shared" si="321"/>
        <v>4.5089559531968193E-2</v>
      </c>
      <c r="Y141" s="11">
        <f t="shared" si="322"/>
        <v>3.0679097784767347E-2</v>
      </c>
      <c r="Z141" s="11">
        <f t="shared" si="323"/>
        <v>-1.4865820316344864E-2</v>
      </c>
      <c r="AA141" s="11">
        <f t="shared" si="324"/>
        <v>-1.4915191335401461E-2</v>
      </c>
      <c r="AB141" s="11">
        <f t="shared" si="325"/>
        <v>8.5607104525158989E-2</v>
      </c>
      <c r="AC141" s="11">
        <f t="shared" si="326"/>
        <v>0.15401577684420278</v>
      </c>
      <c r="AD141" s="11">
        <f t="shared" si="327"/>
        <v>-1.4079457281253684E-2</v>
      </c>
      <c r="AE141" s="11">
        <f t="shared" si="328"/>
        <v>-5.1954973632997031E-2</v>
      </c>
      <c r="AF141" s="11">
        <f t="shared" si="329"/>
        <v>3.0087113639492742E-3</v>
      </c>
      <c r="AG141" s="11">
        <f t="shared" si="330"/>
        <v>-3.3203423294737647E-2</v>
      </c>
      <c r="AH141" s="11">
        <f t="shared" si="331"/>
        <v>-0.11873646842414314</v>
      </c>
      <c r="AI141" s="11">
        <f t="shared" si="332"/>
        <v>5.0924470177122906E-2</v>
      </c>
      <c r="AJ141" s="11">
        <f t="shared" si="333"/>
        <v>0.12211596196097539</v>
      </c>
      <c r="AK141" s="11">
        <f t="shared" si="334"/>
        <v>0.11067795247861141</v>
      </c>
      <c r="AL141" s="11">
        <f t="shared" si="335"/>
        <v>9.7829181903425405E-2</v>
      </c>
      <c r="AM141" s="11">
        <f t="shared" si="336"/>
        <v>-4.2474103091547089E-2</v>
      </c>
      <c r="AN141" s="11">
        <f t="shared" si="337"/>
        <v>-3.5653213686261072E-2</v>
      </c>
      <c r="AO141" s="11">
        <f t="shared" si="338"/>
        <v>8.1784539221258154E-2</v>
      </c>
      <c r="AQ141" s="1">
        <f t="shared" si="339"/>
        <v>1.9118957203248872E-2</v>
      </c>
    </row>
    <row r="142" spans="1:114" ht="15">
      <c r="A142" s="8">
        <v>43009</v>
      </c>
      <c r="B142" s="11">
        <f t="shared" ref="B142:E142" si="350">LN(B14/B13)</f>
        <v>6.9808203371863914E-2</v>
      </c>
      <c r="C142" s="11">
        <f t="shared" si="341"/>
        <v>-0.14317639722452855</v>
      </c>
      <c r="D142" s="11">
        <f t="shared" si="350"/>
        <v>-4.2996683539406541E-2</v>
      </c>
      <c r="E142" s="11">
        <f t="shared" si="350"/>
        <v>1.5521436913979962E-2</v>
      </c>
      <c r="F142" s="11">
        <f t="shared" si="303"/>
        <v>-6.2121350585213148E-2</v>
      </c>
      <c r="G142" s="11">
        <f t="shared" si="304"/>
        <v>2.4960640864338222E-2</v>
      </c>
      <c r="H142" s="11">
        <f t="shared" si="305"/>
        <v>2.9627034015158309E-2</v>
      </c>
      <c r="I142" s="11">
        <f t="shared" si="306"/>
        <v>6.6429939843397151E-2</v>
      </c>
      <c r="J142" s="11">
        <f t="shared" si="307"/>
        <v>7.4593189427068191E-2</v>
      </c>
      <c r="K142" s="11">
        <f t="shared" si="308"/>
        <v>-0.17112033748557526</v>
      </c>
      <c r="L142" s="11">
        <f t="shared" si="309"/>
        <v>-0.10483382589076035</v>
      </c>
      <c r="M142" s="11">
        <f t="shared" si="310"/>
        <v>8.9671658694413167E-2</v>
      </c>
      <c r="N142" s="11">
        <f t="shared" si="311"/>
        <v>0.1103421276642719</v>
      </c>
      <c r="O142" s="11">
        <f t="shared" si="312"/>
        <v>5.1396726182915721E-2</v>
      </c>
      <c r="P142" s="11">
        <f t="shared" si="313"/>
        <v>9.49550031001824E-2</v>
      </c>
      <c r="Q142" s="11">
        <f t="shared" si="314"/>
        <v>-9.4935414474561757E-3</v>
      </c>
      <c r="R142" s="11">
        <f t="shared" si="315"/>
        <v>0.14570022257333393</v>
      </c>
      <c r="S142" s="11">
        <f t="shared" si="316"/>
        <v>0.1778034430971443</v>
      </c>
      <c r="T142" s="11">
        <f t="shared" si="317"/>
        <v>8.8520717542474606E-2</v>
      </c>
      <c r="U142" s="11">
        <f t="shared" si="318"/>
        <v>-0.14854550318890519</v>
      </c>
      <c r="V142" s="11">
        <f t="shared" si="319"/>
        <v>3.9584347219542237E-2</v>
      </c>
      <c r="W142" s="11">
        <f t="shared" si="320"/>
        <v>7.2520491625826675E-2</v>
      </c>
      <c r="X142" s="11">
        <f t="shared" si="321"/>
        <v>8.3553075907431787E-2</v>
      </c>
      <c r="Y142" s="11">
        <f t="shared" si="322"/>
        <v>-1.0720769745101659E-2</v>
      </c>
      <c r="Z142" s="11">
        <f t="shared" si="323"/>
        <v>6.3249594928089903E-2</v>
      </c>
      <c r="AA142" s="11">
        <f t="shared" si="324"/>
        <v>5.879639452026917E-2</v>
      </c>
      <c r="AB142" s="11">
        <f t="shared" si="325"/>
        <v>-7.9112632437873628E-2</v>
      </c>
      <c r="AC142" s="11">
        <f t="shared" si="326"/>
        <v>3.378975616225089E-2</v>
      </c>
      <c r="AD142" s="11">
        <f t="shared" si="327"/>
        <v>-5.2346556355210377E-2</v>
      </c>
      <c r="AE142" s="11">
        <f t="shared" si="328"/>
        <v>-4.9601343249626728E-2</v>
      </c>
      <c r="AF142" s="11">
        <f t="shared" si="329"/>
        <v>-2.2861115144458471E-2</v>
      </c>
      <c r="AG142" s="11">
        <f t="shared" si="330"/>
        <v>-2.8408452412086852E-3</v>
      </c>
      <c r="AH142" s="11">
        <f t="shared" si="331"/>
        <v>-4.5304146260452538E-2</v>
      </c>
      <c r="AI142" s="11">
        <f t="shared" si="332"/>
        <v>3.361801216925581E-3</v>
      </c>
      <c r="AJ142" s="11">
        <f t="shared" si="333"/>
        <v>-2.5739354098998763E-2</v>
      </c>
      <c r="AK142" s="11">
        <f t="shared" si="334"/>
        <v>8.1159865781795914E-3</v>
      </c>
      <c r="AL142" s="11">
        <f t="shared" si="335"/>
        <v>-1.3796871734318017E-2</v>
      </c>
      <c r="AM142" s="11">
        <f t="shared" si="336"/>
        <v>-2.8457386155799531E-2</v>
      </c>
      <c r="AN142" s="11">
        <f t="shared" si="337"/>
        <v>7.9986710806482147E-2</v>
      </c>
      <c r="AO142" s="11">
        <f t="shared" si="338"/>
        <v>2.4753594913945701E-2</v>
      </c>
      <c r="AQ142" s="1">
        <f t="shared" si="339"/>
        <v>2.1945598878305109E-2</v>
      </c>
    </row>
    <row r="143" spans="1:114" ht="15">
      <c r="A143" s="8">
        <v>43040</v>
      </c>
      <c r="B143" s="11">
        <f t="shared" ref="B143:E143" si="351">LN(B15/B14)</f>
        <v>-5.7429275831905274E-4</v>
      </c>
      <c r="C143" s="11">
        <f t="shared" si="341"/>
        <v>3.2617591540621067E-3</v>
      </c>
      <c r="D143" s="11">
        <f t="shared" si="351"/>
        <v>3.2419455821023908E-2</v>
      </c>
      <c r="E143" s="11">
        <f t="shared" si="351"/>
        <v>7.8254365619194827E-2</v>
      </c>
      <c r="F143" s="11">
        <f t="shared" si="303"/>
        <v>2.5082336507223049E-3</v>
      </c>
      <c r="G143" s="11">
        <f t="shared" si="304"/>
        <v>-5.5354422595995136E-3</v>
      </c>
      <c r="H143" s="11">
        <f t="shared" si="305"/>
        <v>0.11427335603427134</v>
      </c>
      <c r="I143" s="11">
        <f t="shared" si="306"/>
        <v>-6.0530596026971993E-2</v>
      </c>
      <c r="J143" s="11">
        <f t="shared" si="307"/>
        <v>8.1936293148557118E-2</v>
      </c>
      <c r="K143" s="11">
        <f t="shared" si="308"/>
        <v>0.11788379892820859</v>
      </c>
      <c r="L143" s="11">
        <f t="shared" si="309"/>
        <v>-0.10673579237973191</v>
      </c>
      <c r="M143" s="11">
        <f t="shared" si="310"/>
        <v>1.4388772962501583E-2</v>
      </c>
      <c r="N143" s="11">
        <f t="shared" si="311"/>
        <v>1.1831449841729432E-2</v>
      </c>
      <c r="O143" s="11">
        <f t="shared" si="312"/>
        <v>-3.2882223077717945E-2</v>
      </c>
      <c r="P143" s="11">
        <f t="shared" si="313"/>
        <v>6.5077579067641625E-2</v>
      </c>
      <c r="Q143" s="11">
        <f t="shared" si="314"/>
        <v>-0.11497942100393943</v>
      </c>
      <c r="R143" s="11">
        <f t="shared" si="315"/>
        <v>-2.9939396621443976E-2</v>
      </c>
      <c r="S143" s="11">
        <f t="shared" si="316"/>
        <v>-1.4392200893354289E-2</v>
      </c>
      <c r="T143" s="11">
        <f t="shared" si="317"/>
        <v>5.179723564565139E-2</v>
      </c>
      <c r="U143" s="11">
        <f t="shared" si="318"/>
        <v>-9.1408314706608578E-3</v>
      </c>
      <c r="V143" s="11">
        <f t="shared" si="319"/>
        <v>-5.8396313911459115E-2</v>
      </c>
      <c r="W143" s="11">
        <f t="shared" si="320"/>
        <v>-2.7029756398171935E-2</v>
      </c>
      <c r="X143" s="11">
        <f t="shared" si="321"/>
        <v>-4.6508649357989923E-3</v>
      </c>
      <c r="Y143" s="11">
        <f t="shared" si="322"/>
        <v>-1.4475524173785604E-2</v>
      </c>
      <c r="Z143" s="11">
        <f t="shared" si="323"/>
        <v>2.9865383917313432E-2</v>
      </c>
      <c r="AA143" s="11">
        <f t="shared" si="324"/>
        <v>9.4168876106621197E-2</v>
      </c>
      <c r="AB143" s="11">
        <f t="shared" si="325"/>
        <v>1.7120554791580991E-2</v>
      </c>
      <c r="AC143" s="11">
        <f t="shared" si="326"/>
        <v>0.26447092287754304</v>
      </c>
      <c r="AD143" s="11">
        <f t="shared" si="327"/>
        <v>4.8870978516554635E-2</v>
      </c>
      <c r="AE143" s="11">
        <f t="shared" si="328"/>
        <v>-1.8227077925549159E-2</v>
      </c>
      <c r="AF143" s="11">
        <f t="shared" si="329"/>
        <v>-3.0052813129410267E-3</v>
      </c>
      <c r="AG143" s="11">
        <f t="shared" si="330"/>
        <v>5.0924968198031974E-2</v>
      </c>
      <c r="AH143" s="11">
        <f t="shared" si="331"/>
        <v>-0.27517264364552146</v>
      </c>
      <c r="AI143" s="11">
        <f t="shared" si="332"/>
        <v>2.4713426294933689E-2</v>
      </c>
      <c r="AJ143" s="11">
        <f t="shared" si="333"/>
        <v>0.14931883987666261</v>
      </c>
      <c r="AK143" s="11">
        <f t="shared" si="334"/>
        <v>9.8873004488966104E-2</v>
      </c>
      <c r="AL143" s="11">
        <f t="shared" si="335"/>
        <v>2.6397910253812249E-2</v>
      </c>
      <c r="AM143" s="11">
        <f t="shared" si="336"/>
        <v>-7.0862581126892268E-2</v>
      </c>
      <c r="AN143" s="11">
        <f t="shared" si="337"/>
        <v>-9.7150367842974858E-2</v>
      </c>
      <c r="AO143" s="11">
        <f t="shared" si="338"/>
        <v>3.2511712061290471E-2</v>
      </c>
      <c r="AQ143" s="1">
        <f t="shared" si="339"/>
        <v>2.7695515330648682E-2</v>
      </c>
    </row>
    <row r="144" spans="1:114" ht="15">
      <c r="A144" s="8">
        <v>43070</v>
      </c>
      <c r="B144" s="11">
        <f t="shared" ref="B144:E144" si="352">LN(B16/B15)</f>
        <v>8.9002726990383904E-3</v>
      </c>
      <c r="C144" s="11">
        <f t="shared" si="341"/>
        <v>1.7931417176430361E-2</v>
      </c>
      <c r="D144" s="11">
        <f t="shared" si="352"/>
        <v>4.1667475796134399E-3</v>
      </c>
      <c r="E144" s="11">
        <f t="shared" si="352"/>
        <v>-2.1690559411556773E-3</v>
      </c>
      <c r="F144" s="11">
        <f t="shared" si="303"/>
        <v>-3.2570620000080455E-3</v>
      </c>
      <c r="G144" s="11">
        <f t="shared" si="304"/>
        <v>-1.5053587708746961E-2</v>
      </c>
      <c r="H144" s="11">
        <f t="shared" si="305"/>
        <v>-5.1469488301993986E-2</v>
      </c>
      <c r="I144" s="11">
        <f t="shared" si="306"/>
        <v>-1.9182198978222255E-4</v>
      </c>
      <c r="J144" s="11">
        <f t="shared" si="307"/>
        <v>-3.1004066193071046E-2</v>
      </c>
      <c r="K144" s="11">
        <f t="shared" si="308"/>
        <v>-5.5010478013487463E-2</v>
      </c>
      <c r="L144" s="11">
        <f t="shared" si="309"/>
        <v>3.8225358061150232E-2</v>
      </c>
      <c r="M144" s="11">
        <f t="shared" si="310"/>
        <v>-4.0965677227941446E-3</v>
      </c>
      <c r="N144" s="11">
        <f t="shared" si="311"/>
        <v>2.1154988895964268E-2</v>
      </c>
      <c r="O144" s="11">
        <f t="shared" si="312"/>
        <v>-3.69566409601602E-2</v>
      </c>
      <c r="P144" s="11">
        <f t="shared" si="313"/>
        <v>3.8022072688790626E-2</v>
      </c>
      <c r="Q144" s="11">
        <f t="shared" si="314"/>
        <v>-2.9259740909872153E-2</v>
      </c>
      <c r="R144" s="11">
        <f t="shared" si="315"/>
        <v>-3.5889072559033432E-2</v>
      </c>
      <c r="S144" s="11">
        <f t="shared" si="316"/>
        <v>3.4921770514019651E-2</v>
      </c>
      <c r="T144" s="11">
        <f t="shared" si="317"/>
        <v>-7.871839262139281E-2</v>
      </c>
      <c r="U144" s="11">
        <f t="shared" si="318"/>
        <v>-5.7644676917850225E-2</v>
      </c>
      <c r="V144" s="11">
        <f t="shared" si="319"/>
        <v>-2.5678439803228072E-2</v>
      </c>
      <c r="W144" s="11">
        <f t="shared" si="320"/>
        <v>5.8345604062963387E-2</v>
      </c>
      <c r="X144" s="11">
        <f t="shared" si="321"/>
        <v>-2.072582216290153E-2</v>
      </c>
      <c r="Y144" s="11">
        <f t="shared" si="322"/>
        <v>0.21704968723988696</v>
      </c>
      <c r="Z144" s="11">
        <f t="shared" si="323"/>
        <v>6.8153606912364304E-3</v>
      </c>
      <c r="AA144" s="11">
        <f t="shared" si="324"/>
        <v>3.4646053599272822E-2</v>
      </c>
      <c r="AB144" s="11">
        <f t="shared" si="325"/>
        <v>1.4929106427814809E-2</v>
      </c>
      <c r="AC144" s="11">
        <f t="shared" si="326"/>
        <v>8.3551993372475208E-2</v>
      </c>
      <c r="AD144" s="11">
        <f t="shared" si="327"/>
        <v>2.0784851787834738E-2</v>
      </c>
      <c r="AE144" s="11">
        <f t="shared" si="328"/>
        <v>2.7832655231144272E-2</v>
      </c>
      <c r="AF144" s="11">
        <f t="shared" si="329"/>
        <v>-1.2850700053822162E-2</v>
      </c>
      <c r="AG144" s="11">
        <f t="shared" si="330"/>
        <v>-3.7414432804998093E-2</v>
      </c>
      <c r="AH144" s="11">
        <f t="shared" si="331"/>
        <v>5.2375736350535754E-3</v>
      </c>
      <c r="AI144" s="11">
        <f t="shared" si="332"/>
        <v>7.5212067073523334E-2</v>
      </c>
      <c r="AJ144" s="11">
        <f t="shared" si="333"/>
        <v>-5.4573508238376291E-2</v>
      </c>
      <c r="AK144" s="11">
        <f t="shared" si="334"/>
        <v>2.0898649194592365E-3</v>
      </c>
      <c r="AL144" s="11">
        <f t="shared" si="335"/>
        <v>6.0110861550481016E-2</v>
      </c>
      <c r="AM144" s="11">
        <f t="shared" si="336"/>
        <v>8.0619591765528024E-3</v>
      </c>
      <c r="AN144" s="11">
        <f t="shared" si="337"/>
        <v>-3.5235237784700224E-2</v>
      </c>
      <c r="AO144" s="11">
        <f t="shared" si="338"/>
        <v>-2.3993500453040528E-3</v>
      </c>
      <c r="AQ144" s="1">
        <f t="shared" si="339"/>
        <v>9.783603904362663E-3</v>
      </c>
    </row>
    <row r="145" spans="1:43" ht="15">
      <c r="A145" s="8">
        <v>43101</v>
      </c>
      <c r="B145" s="11">
        <f t="shared" ref="B145:E145" si="353">LN(B17/B16)</f>
        <v>-1.1010438133996511E-2</v>
      </c>
      <c r="C145" s="11">
        <f t="shared" si="341"/>
        <v>6.0074388540853875E-2</v>
      </c>
      <c r="D145" s="11">
        <f t="shared" si="353"/>
        <v>-3.628886181554531E-2</v>
      </c>
      <c r="E145" s="11">
        <f t="shared" si="353"/>
        <v>0.14874441321089557</v>
      </c>
      <c r="F145" s="11">
        <f t="shared" si="303"/>
        <v>6.7534389176262435E-2</v>
      </c>
      <c r="G145" s="11">
        <f t="shared" si="304"/>
        <v>0.1665283007571601</v>
      </c>
      <c r="H145" s="11">
        <f t="shared" si="305"/>
        <v>6.2751947447220902E-2</v>
      </c>
      <c r="I145" s="11">
        <f t="shared" si="306"/>
        <v>0.1790335550273903</v>
      </c>
      <c r="J145" s="11">
        <f t="shared" si="307"/>
        <v>7.1415305707576662E-2</v>
      </c>
      <c r="K145" s="11">
        <f t="shared" si="308"/>
        <v>8.1929434935094525E-2</v>
      </c>
      <c r="L145" s="11">
        <f t="shared" si="309"/>
        <v>-2.507504021229218E-2</v>
      </c>
      <c r="M145" s="11">
        <f t="shared" si="310"/>
        <v>0.17404165606520211</v>
      </c>
      <c r="N145" s="11">
        <f t="shared" si="311"/>
        <v>0.10499826269239956</v>
      </c>
      <c r="O145" s="11">
        <f t="shared" si="312"/>
        <v>8.7240275638017409E-2</v>
      </c>
      <c r="P145" s="11">
        <f t="shared" si="313"/>
        <v>5.2391340890337416E-2</v>
      </c>
      <c r="Q145" s="11">
        <f t="shared" si="314"/>
        <v>-3.002606238097846E-2</v>
      </c>
      <c r="R145" s="11">
        <f t="shared" si="315"/>
        <v>0.23924069179097932</v>
      </c>
      <c r="S145" s="11">
        <f t="shared" si="316"/>
        <v>4.1999587675988888E-2</v>
      </c>
      <c r="T145" s="11">
        <f t="shared" si="317"/>
        <v>-2.8529847919455821E-2</v>
      </c>
      <c r="U145" s="11">
        <f t="shared" si="318"/>
        <v>0.29011102676718431</v>
      </c>
      <c r="V145" s="11">
        <f t="shared" si="319"/>
        <v>7.9791709754236384E-2</v>
      </c>
      <c r="W145" s="11">
        <f t="shared" si="320"/>
        <v>0.13254348245358508</v>
      </c>
      <c r="X145" s="11">
        <f t="shared" si="321"/>
        <v>0.11085979248502652</v>
      </c>
      <c r="Y145" s="11">
        <f t="shared" si="322"/>
        <v>-8.625593891073198E-2</v>
      </c>
      <c r="Z145" s="11">
        <f t="shared" si="323"/>
        <v>-5.7099288249975091E-3</v>
      </c>
      <c r="AA145" s="11">
        <f t="shared" si="324"/>
        <v>9.0087290810795556E-2</v>
      </c>
      <c r="AB145" s="11">
        <f t="shared" si="325"/>
        <v>0.14022170275229973</v>
      </c>
      <c r="AC145" s="11">
        <f t="shared" si="326"/>
        <v>-0.18418306654806552</v>
      </c>
      <c r="AD145" s="11">
        <f t="shared" si="327"/>
        <v>-6.2190363993147757E-2</v>
      </c>
      <c r="AE145" s="11">
        <f t="shared" si="328"/>
        <v>2.4790158743790428E-2</v>
      </c>
      <c r="AF145" s="11">
        <f t="shared" si="329"/>
        <v>2.0213426807651386E-2</v>
      </c>
      <c r="AG145" s="11">
        <f t="shared" si="330"/>
        <v>8.0689999408817478E-3</v>
      </c>
      <c r="AH145" s="11">
        <f t="shared" si="331"/>
        <v>-0.15587815198355076</v>
      </c>
      <c r="AI145" s="11">
        <f t="shared" si="332"/>
        <v>5.2647366994158527E-2</v>
      </c>
      <c r="AJ145" s="11">
        <f t="shared" si="333"/>
        <v>-5.6105101629279081E-3</v>
      </c>
      <c r="AK145" s="11">
        <f t="shared" si="334"/>
        <v>3.1266309994319222E-3</v>
      </c>
      <c r="AL145" s="11">
        <f t="shared" si="335"/>
        <v>1.2775821199381935E-3</v>
      </c>
      <c r="AM145" s="11">
        <f t="shared" si="336"/>
        <v>0.12925455482301684</v>
      </c>
      <c r="AN145" s="11">
        <f t="shared" si="337"/>
        <v>0.13088067950639048</v>
      </c>
      <c r="AO145" s="11">
        <f t="shared" si="338"/>
        <v>-0.12976433399226445</v>
      </c>
      <c r="AQ145" s="1">
        <f t="shared" si="339"/>
        <v>5.4657417787024952E-2</v>
      </c>
    </row>
    <row r="146" spans="1:43" ht="15">
      <c r="A146" s="8">
        <v>43132</v>
      </c>
      <c r="B146" s="11">
        <f t="shared" ref="B146:E146" si="354">LN(B18/B17)</f>
        <v>-6.2018447141367339E-2</v>
      </c>
      <c r="C146" s="11">
        <f t="shared" si="341"/>
        <v>-8.8715987963841961E-2</v>
      </c>
      <c r="D146" s="11">
        <f t="shared" si="354"/>
        <v>-5.5924226530472604E-2</v>
      </c>
      <c r="E146" s="11">
        <f t="shared" si="354"/>
        <v>3.8809773764979981E-2</v>
      </c>
      <c r="F146" s="11">
        <f t="shared" si="303"/>
        <v>-1.2329902024250128E-2</v>
      </c>
      <c r="G146" s="11">
        <f t="shared" si="304"/>
        <v>-7.1814505151871405E-2</v>
      </c>
      <c r="H146" s="11">
        <f t="shared" si="305"/>
        <v>-2.0058849939580743E-2</v>
      </c>
      <c r="I146" s="11">
        <f t="shared" si="306"/>
        <v>1.0153098903029239E-3</v>
      </c>
      <c r="J146" s="11">
        <f t="shared" si="307"/>
        <v>-4.5888566434638983E-2</v>
      </c>
      <c r="K146" s="11">
        <f t="shared" si="308"/>
        <v>-0.14379100066081099</v>
      </c>
      <c r="L146" s="11">
        <f t="shared" si="309"/>
        <v>-0.13471266319289241</v>
      </c>
      <c r="M146" s="11">
        <f t="shared" si="310"/>
        <v>-5.6324475958753367E-2</v>
      </c>
      <c r="N146" s="11">
        <f t="shared" si="311"/>
        <v>-1.3137121335006691E-2</v>
      </c>
      <c r="O146" s="11">
        <f t="shared" si="312"/>
        <v>-1.4107117036072283E-2</v>
      </c>
      <c r="P146" s="11">
        <f t="shared" si="313"/>
        <v>9.1868516498489122E-2</v>
      </c>
      <c r="Q146" s="11">
        <f t="shared" si="314"/>
        <v>-3.5130446390351525E-2</v>
      </c>
      <c r="R146" s="11">
        <f t="shared" si="315"/>
        <v>-1.5580476811125373E-2</v>
      </c>
      <c r="S146" s="11">
        <f t="shared" si="316"/>
        <v>2.3607994494194373E-2</v>
      </c>
      <c r="T146" s="11">
        <f t="shared" si="317"/>
        <v>-6.3500520200896176E-3</v>
      </c>
      <c r="U146" s="11">
        <f t="shared" si="318"/>
        <v>-0.12627972922920247</v>
      </c>
      <c r="V146" s="11">
        <f t="shared" si="319"/>
        <v>-2.4538340600497338E-2</v>
      </c>
      <c r="W146" s="11">
        <f t="shared" si="320"/>
        <v>7.8393032967881179E-2</v>
      </c>
      <c r="X146" s="11">
        <f t="shared" si="321"/>
        <v>2.9973750446780933E-3</v>
      </c>
      <c r="Y146" s="11">
        <f t="shared" si="322"/>
        <v>0.29947263097895399</v>
      </c>
      <c r="Z146" s="11">
        <f t="shared" si="323"/>
        <v>-8.1533706486897506E-2</v>
      </c>
      <c r="AA146" s="11">
        <f t="shared" si="324"/>
        <v>-1.7597597916070167E-2</v>
      </c>
      <c r="AB146" s="11">
        <f t="shared" si="325"/>
        <v>2.5317057070038295E-2</v>
      </c>
      <c r="AC146" s="11">
        <f t="shared" si="326"/>
        <v>-1.5289041019295842E-2</v>
      </c>
      <c r="AD146" s="11">
        <f t="shared" si="327"/>
        <v>-8.7344810903874498E-2</v>
      </c>
      <c r="AE146" s="11">
        <f t="shared" si="328"/>
        <v>-3.4921431454942774E-2</v>
      </c>
      <c r="AF146" s="11">
        <f t="shared" si="329"/>
        <v>-9.0187758651021008E-2</v>
      </c>
      <c r="AG146" s="11">
        <f t="shared" si="330"/>
        <v>-0.15625787924994422</v>
      </c>
      <c r="AH146" s="11">
        <f t="shared" si="331"/>
        <v>-2.8776178572980177E-2</v>
      </c>
      <c r="AI146" s="11">
        <f t="shared" si="332"/>
        <v>-6.317797961138627E-2</v>
      </c>
      <c r="AJ146" s="11">
        <f t="shared" si="333"/>
        <v>-7.1406816274819318E-2</v>
      </c>
      <c r="AK146" s="11">
        <f t="shared" si="334"/>
        <v>-9.6038853130690313E-2</v>
      </c>
      <c r="AL146" s="11">
        <f t="shared" si="335"/>
        <v>-0.11332584173340833</v>
      </c>
      <c r="AM146" s="11">
        <f t="shared" si="336"/>
        <v>-3.2266877159799034E-2</v>
      </c>
      <c r="AN146" s="11">
        <f t="shared" si="337"/>
        <v>3.8657089646203791E-2</v>
      </c>
      <c r="AO146" s="11">
        <f t="shared" si="338"/>
        <v>-9.0394880912034008E-3</v>
      </c>
      <c r="AQ146" s="1">
        <f t="shared" si="339"/>
        <v>-3.9726115635920697E-2</v>
      </c>
    </row>
    <row r="147" spans="1:43" ht="15">
      <c r="A147" s="8">
        <v>43160</v>
      </c>
      <c r="B147" s="11">
        <f t="shared" ref="B147:E147" si="355">LN(B19/B18)</f>
        <v>-7.0267386899265328E-3</v>
      </c>
      <c r="C147" s="11">
        <f t="shared" si="341"/>
        <v>4.6002475638149756E-3</v>
      </c>
      <c r="D147" s="11">
        <f t="shared" si="355"/>
        <v>1.1949030955489633E-2</v>
      </c>
      <c r="E147" s="11">
        <f t="shared" si="355"/>
        <v>-0.20193756235019975</v>
      </c>
      <c r="F147" s="11">
        <f t="shared" si="303"/>
        <v>-6.7536376463249156E-2</v>
      </c>
      <c r="G147" s="11">
        <f t="shared" si="304"/>
        <v>-1.0215435305978465E-2</v>
      </c>
      <c r="H147" s="11">
        <f t="shared" si="305"/>
        <v>3.6176539916657119E-2</v>
      </c>
      <c r="I147" s="11">
        <f t="shared" si="306"/>
        <v>2.197542343592045E-2</v>
      </c>
      <c r="J147" s="11">
        <f t="shared" si="307"/>
        <v>-5.5267057339562338E-2</v>
      </c>
      <c r="K147" s="11">
        <f t="shared" si="308"/>
        <v>-8.5013470588345519E-2</v>
      </c>
      <c r="L147" s="11">
        <f t="shared" si="309"/>
        <v>7.1992570442837953E-2</v>
      </c>
      <c r="M147" s="11">
        <f t="shared" si="310"/>
        <v>3.6726194551606396E-2</v>
      </c>
      <c r="N147" s="11">
        <f t="shared" si="311"/>
        <v>-2.2336504225169494E-2</v>
      </c>
      <c r="O147" s="11">
        <f t="shared" si="312"/>
        <v>-0.10214211624438678</v>
      </c>
      <c r="P147" s="11">
        <f t="shared" si="313"/>
        <v>5.9796763764291702E-2</v>
      </c>
      <c r="Q147" s="11">
        <f t="shared" si="314"/>
        <v>-1.4098635606302616E-2</v>
      </c>
      <c r="R147" s="11">
        <f t="shared" si="315"/>
        <v>-4.3347869239217601E-2</v>
      </c>
      <c r="S147" s="11">
        <f t="shared" si="316"/>
        <v>6.1821232075545386E-2</v>
      </c>
      <c r="T147" s="11">
        <f t="shared" si="317"/>
        <v>-4.4851782730575745E-2</v>
      </c>
      <c r="U147" s="11">
        <f t="shared" si="318"/>
        <v>-0.18645892305991604</v>
      </c>
      <c r="V147" s="11">
        <f t="shared" si="319"/>
        <v>1.9038842649777298E-2</v>
      </c>
      <c r="W147" s="11">
        <f t="shared" si="320"/>
        <v>2.7202559510773938E-2</v>
      </c>
      <c r="X147" s="11">
        <f t="shared" si="321"/>
        <v>-6.4909534880484426E-2</v>
      </c>
      <c r="Y147" s="11">
        <f t="shared" si="322"/>
        <v>0.1031455001172821</v>
      </c>
      <c r="Z147" s="11">
        <f t="shared" si="323"/>
        <v>-2.3529193712992866E-3</v>
      </c>
      <c r="AA147" s="11">
        <f t="shared" si="324"/>
        <v>-8.8410261938014732E-3</v>
      </c>
      <c r="AB147" s="11">
        <f t="shared" si="325"/>
        <v>4.8916263885788458E-2</v>
      </c>
      <c r="AC147" s="11">
        <f t="shared" si="326"/>
        <v>-0.24283539001586596</v>
      </c>
      <c r="AD147" s="11">
        <f t="shared" si="327"/>
        <v>9.6321709859811533E-3</v>
      </c>
      <c r="AE147" s="11">
        <f t="shared" si="328"/>
        <v>-4.0902710248758044E-2</v>
      </c>
      <c r="AF147" s="11">
        <f t="shared" si="329"/>
        <v>8.232566347069499E-2</v>
      </c>
      <c r="AG147" s="11">
        <f t="shared" si="330"/>
        <v>-7.3637657961896155E-2</v>
      </c>
      <c r="AH147" s="11">
        <f t="shared" si="331"/>
        <v>9.3790032045411119E-5</v>
      </c>
      <c r="AI147" s="11">
        <f t="shared" si="332"/>
        <v>-2.5899702044504813E-2</v>
      </c>
      <c r="AJ147" s="11">
        <f t="shared" si="333"/>
        <v>-2.9970299805518501E-2</v>
      </c>
      <c r="AK147" s="11">
        <f t="shared" si="334"/>
        <v>-4.2111485350126848E-2</v>
      </c>
      <c r="AL147" s="11">
        <f t="shared" si="335"/>
        <v>2.8670323159629391E-2</v>
      </c>
      <c r="AM147" s="11">
        <f t="shared" si="336"/>
        <v>-0.25392044778107375</v>
      </c>
      <c r="AN147" s="11">
        <f t="shared" si="337"/>
        <v>-3.0157828588857717E-2</v>
      </c>
      <c r="AO147" s="11">
        <f t="shared" si="338"/>
        <v>4.3344731974558535E-2</v>
      </c>
      <c r="AQ147" s="1">
        <f t="shared" si="339"/>
        <v>-2.725251295379243E-2</v>
      </c>
    </row>
    <row r="148" spans="1:43" ht="15">
      <c r="A148" s="8">
        <v>43191</v>
      </c>
      <c r="B148" s="11">
        <f t="shared" ref="B148:E148" si="356">LN(B20/B19)</f>
        <v>-1.3038772337461748E-2</v>
      </c>
      <c r="C148" s="11">
        <f t="shared" si="341"/>
        <v>8.638838017215808E-2</v>
      </c>
      <c r="D148" s="11">
        <f t="shared" si="356"/>
        <v>4.6713804619081409E-2</v>
      </c>
      <c r="E148" s="11">
        <f t="shared" si="356"/>
        <v>1.9875118773247998E-2</v>
      </c>
      <c r="F148" s="11">
        <f t="shared" si="303"/>
        <v>2.319213291316705E-2</v>
      </c>
      <c r="G148" s="11">
        <f t="shared" si="304"/>
        <v>1.9456493221449288E-2</v>
      </c>
      <c r="H148" s="11">
        <f t="shared" si="305"/>
        <v>1.889655054624963E-2</v>
      </c>
      <c r="I148" s="11">
        <f t="shared" si="306"/>
        <v>1.6067516805032392E-2</v>
      </c>
      <c r="J148" s="11">
        <f t="shared" si="307"/>
        <v>0.10285485193476047</v>
      </c>
      <c r="K148" s="11">
        <f t="shared" si="308"/>
        <v>0.11554790690245817</v>
      </c>
      <c r="L148" s="11">
        <f t="shared" si="309"/>
        <v>-0.12571310636819086</v>
      </c>
      <c r="M148" s="11">
        <f t="shared" si="310"/>
        <v>-3.9671571235485613E-2</v>
      </c>
      <c r="N148" s="11">
        <f t="shared" si="311"/>
        <v>2.4353168957424693E-2</v>
      </c>
      <c r="O148" s="11">
        <f t="shared" si="312"/>
        <v>-1.7505266889691767E-3</v>
      </c>
      <c r="P148" s="11">
        <f t="shared" si="313"/>
        <v>3.2681447192951511E-2</v>
      </c>
      <c r="Q148" s="11">
        <f t="shared" si="314"/>
        <v>7.2366107577330002E-2</v>
      </c>
      <c r="R148" s="11">
        <f t="shared" si="315"/>
        <v>-2.9312591592864076E-2</v>
      </c>
      <c r="S148" s="11">
        <f t="shared" si="316"/>
        <v>-8.8718284180800671E-3</v>
      </c>
      <c r="T148" s="11">
        <f t="shared" si="317"/>
        <v>-1.224670086909839E-2</v>
      </c>
      <c r="U148" s="11">
        <f t="shared" si="318"/>
        <v>7.9353606922711817E-2</v>
      </c>
      <c r="V148" s="11">
        <f t="shared" si="319"/>
        <v>-0.11736785351283426</v>
      </c>
      <c r="W148" s="11">
        <f t="shared" si="320"/>
        <v>4.1617720433043525E-3</v>
      </c>
      <c r="X148" s="11">
        <f t="shared" si="321"/>
        <v>-1.3961322059307744E-2</v>
      </c>
      <c r="Y148" s="11">
        <f t="shared" si="322"/>
        <v>6.4850304317167498E-2</v>
      </c>
      <c r="Z148" s="11">
        <f t="shared" si="323"/>
        <v>6.8336597312003436E-2</v>
      </c>
      <c r="AA148" s="11">
        <f t="shared" si="324"/>
        <v>3.1947613847625012E-2</v>
      </c>
      <c r="AB148" s="11">
        <f t="shared" si="325"/>
        <v>3.681478911051559E-2</v>
      </c>
      <c r="AC148" s="11">
        <f t="shared" si="326"/>
        <v>-9.0323786912031481E-2</v>
      </c>
      <c r="AD148" s="11">
        <f t="shared" si="327"/>
        <v>-9.1608455597875421E-2</v>
      </c>
      <c r="AE148" s="11">
        <f t="shared" si="328"/>
        <v>-0.18170421651767399</v>
      </c>
      <c r="AF148" s="11">
        <f t="shared" si="329"/>
        <v>7.352550940671756E-3</v>
      </c>
      <c r="AG148" s="11">
        <f t="shared" si="330"/>
        <v>-9.0378312154615392E-2</v>
      </c>
      <c r="AH148" s="11">
        <f t="shared" si="331"/>
        <v>8.1008526006861717E-2</v>
      </c>
      <c r="AI148" s="11">
        <f t="shared" si="332"/>
        <v>3.1181837785397883E-2</v>
      </c>
      <c r="AJ148" s="11">
        <f t="shared" si="333"/>
        <v>1.55864759765654E-3</v>
      </c>
      <c r="AK148" s="11">
        <f t="shared" si="334"/>
        <v>4.8960827195701703E-2</v>
      </c>
      <c r="AL148" s="11">
        <f t="shared" si="335"/>
        <v>9.2644307709592297E-2</v>
      </c>
      <c r="AM148" s="11">
        <f t="shared" si="336"/>
        <v>9.9254662224266502E-2</v>
      </c>
      <c r="AN148" s="11">
        <f t="shared" si="337"/>
        <v>1.7763604116937989E-2</v>
      </c>
      <c r="AO148" s="11">
        <f t="shared" si="338"/>
        <v>1.4337363930506358E-2</v>
      </c>
      <c r="AQ148" s="1">
        <f t="shared" si="339"/>
        <v>2.7151117471289339E-3</v>
      </c>
    </row>
    <row r="149" spans="1:43" ht="15">
      <c r="A149" s="8">
        <v>43221</v>
      </c>
      <c r="B149" s="11">
        <f t="shared" ref="B149:E149" si="357">LN(B21/B20)</f>
        <v>-5.5842918122646829E-2</v>
      </c>
      <c r="C149" s="11">
        <f t="shared" si="341"/>
        <v>1.1148796437311282E-2</v>
      </c>
      <c r="D149" s="11">
        <f t="shared" si="357"/>
        <v>4.7808719453375725E-2</v>
      </c>
      <c r="E149" s="11">
        <f t="shared" si="357"/>
        <v>3.4757644635828255E-2</v>
      </c>
      <c r="F149" s="11">
        <f t="shared" si="303"/>
        <v>2.9033194015595339E-2</v>
      </c>
      <c r="G149" s="11">
        <f t="shared" si="304"/>
        <v>-9.9378705947616736E-3</v>
      </c>
      <c r="H149" s="11">
        <f t="shared" si="305"/>
        <v>0.12291197150463704</v>
      </c>
      <c r="I149" s="11">
        <f t="shared" si="306"/>
        <v>6.8166437912088859E-2</v>
      </c>
      <c r="J149" s="11">
        <f t="shared" si="307"/>
        <v>2.1385974494664013E-2</v>
      </c>
      <c r="K149" s="11">
        <f t="shared" si="308"/>
        <v>-8.9136780367949212E-2</v>
      </c>
      <c r="L149" s="11">
        <f t="shared" si="309"/>
        <v>-1.1125942583364443E-2</v>
      </c>
      <c r="M149" s="11">
        <f t="shared" si="310"/>
        <v>8.2802386077215878E-2</v>
      </c>
      <c r="N149" s="11">
        <f t="shared" si="311"/>
        <v>5.5327103532587255E-2</v>
      </c>
      <c r="O149" s="11">
        <f t="shared" si="312"/>
        <v>2.6862843091043618E-2</v>
      </c>
      <c r="P149" s="11">
        <f t="shared" si="313"/>
        <v>9.9963027413343244E-2</v>
      </c>
      <c r="Q149" s="11">
        <f t="shared" si="314"/>
        <v>-0.29068543598357433</v>
      </c>
      <c r="R149" s="11">
        <f t="shared" si="315"/>
        <v>0.11452674956400412</v>
      </c>
      <c r="S149" s="11">
        <f t="shared" si="316"/>
        <v>6.7053606394434376E-2</v>
      </c>
      <c r="T149" s="11">
        <f t="shared" si="317"/>
        <v>9.4152127715452144E-2</v>
      </c>
      <c r="U149" s="11">
        <f t="shared" si="318"/>
        <v>0.23265697835208313</v>
      </c>
      <c r="V149" s="11">
        <f t="shared" si="319"/>
        <v>5.8497970936441032E-2</v>
      </c>
      <c r="W149" s="11">
        <f t="shared" si="320"/>
        <v>6.6759328868310167E-2</v>
      </c>
      <c r="X149" s="11">
        <f t="shared" si="321"/>
        <v>2.4817263080969373E-2</v>
      </c>
      <c r="Y149" s="11">
        <f t="shared" si="322"/>
        <v>7.7109475157478569E-2</v>
      </c>
      <c r="Z149" s="11">
        <f t="shared" si="323"/>
        <v>-4.5389392079932922E-2</v>
      </c>
      <c r="AA149" s="11">
        <f t="shared" si="324"/>
        <v>4.8657797340668718E-2</v>
      </c>
      <c r="AB149" s="11">
        <f t="shared" si="325"/>
        <v>3.9541706954412351E-2</v>
      </c>
      <c r="AC149" s="11">
        <f t="shared" si="326"/>
        <v>-2.9063527015024751E-2</v>
      </c>
      <c r="AD149" s="11">
        <f t="shared" si="327"/>
        <v>2.0619178313778491E-2</v>
      </c>
      <c r="AE149" s="11">
        <f t="shared" si="328"/>
        <v>-3.0459241347564048E-2</v>
      </c>
      <c r="AF149" s="11">
        <f t="shared" si="329"/>
        <v>-1.2404879132796144E-2</v>
      </c>
      <c r="AG149" s="11">
        <f t="shared" si="330"/>
        <v>1.9322402065915623E-2</v>
      </c>
      <c r="AH149" s="11">
        <f t="shared" si="331"/>
        <v>-0.1585035821031392</v>
      </c>
      <c r="AI149" s="11">
        <f t="shared" si="332"/>
        <v>7.7370609237292325E-3</v>
      </c>
      <c r="AJ149" s="11">
        <f t="shared" si="333"/>
        <v>0.39082074669786271</v>
      </c>
      <c r="AK149" s="11">
        <f t="shared" si="334"/>
        <v>0.12796988096337655</v>
      </c>
      <c r="AL149" s="11">
        <f t="shared" si="335"/>
        <v>-6.4951312201690561E-3</v>
      </c>
      <c r="AM149" s="11">
        <f t="shared" si="336"/>
        <v>-3.1698210614361177E-2</v>
      </c>
      <c r="AN149" s="11">
        <f t="shared" si="337"/>
        <v>7.5419466429195101E-2</v>
      </c>
      <c r="AO149" s="11">
        <f t="shared" si="338"/>
        <v>4.0534055885194445E-2</v>
      </c>
      <c r="AQ149" s="1">
        <f t="shared" si="339"/>
        <v>2.1378202402637565E-2</v>
      </c>
    </row>
    <row r="150" spans="1:43" ht="15">
      <c r="A150" s="8">
        <v>43252</v>
      </c>
      <c r="B150" s="11">
        <f t="shared" ref="B150:E150" si="358">LN(B22/B21)</f>
        <v>2.1665712046271633E-2</v>
      </c>
      <c r="C150" s="11">
        <f t="shared" si="341"/>
        <v>1.9463069835908842E-2</v>
      </c>
      <c r="D150" s="11">
        <f t="shared" si="358"/>
        <v>1.0276253196385345E-2</v>
      </c>
      <c r="E150" s="11">
        <f t="shared" si="358"/>
        <v>-6.568467296094796E-2</v>
      </c>
      <c r="F150" s="11">
        <f t="shared" si="303"/>
        <v>3.4982389710928291E-2</v>
      </c>
      <c r="G150" s="11">
        <f t="shared" si="304"/>
        <v>-5.4405679183666582E-3</v>
      </c>
      <c r="H150" s="11">
        <f t="shared" si="305"/>
        <v>2.4832262141840162E-2</v>
      </c>
      <c r="I150" s="11">
        <f t="shared" si="306"/>
        <v>4.567260978163723E-2</v>
      </c>
      <c r="J150" s="11">
        <f t="shared" si="307"/>
        <v>1.5733833869073174E-2</v>
      </c>
      <c r="K150" s="11">
        <f t="shared" si="308"/>
        <v>1.5030817236156716E-2</v>
      </c>
      <c r="L150" s="11">
        <f t="shared" si="309"/>
        <v>0.13866685826582681</v>
      </c>
      <c r="M150" s="11">
        <f t="shared" si="310"/>
        <v>1.1045959767134475E-2</v>
      </c>
      <c r="N150" s="11">
        <f t="shared" si="311"/>
        <v>1.9953581387575133E-3</v>
      </c>
      <c r="O150" s="11">
        <f t="shared" si="312"/>
        <v>-5.8619904226291653E-2</v>
      </c>
      <c r="P150" s="11">
        <f t="shared" si="313"/>
        <v>2.0225590350895294E-2</v>
      </c>
      <c r="Q150" s="11">
        <f t="shared" si="314"/>
        <v>-6.2759323725797211E-3</v>
      </c>
      <c r="R150" s="11">
        <f t="shared" si="315"/>
        <v>-6.192640114562125E-2</v>
      </c>
      <c r="S150" s="11">
        <f t="shared" si="316"/>
        <v>-9.9001976448304496E-2</v>
      </c>
      <c r="T150" s="11">
        <f t="shared" si="317"/>
        <v>-3.8127806508221229E-2</v>
      </c>
      <c r="U150" s="11">
        <f t="shared" si="318"/>
        <v>8.7800092334626559E-2</v>
      </c>
      <c r="V150" s="11">
        <f t="shared" si="319"/>
        <v>-3.7528509073700235E-2</v>
      </c>
      <c r="W150" s="11">
        <f t="shared" si="320"/>
        <v>-2.9366826975926321E-2</v>
      </c>
      <c r="X150" s="11">
        <f t="shared" si="321"/>
        <v>2.9519248745907823E-2</v>
      </c>
      <c r="Y150" s="11">
        <f t="shared" si="322"/>
        <v>0.26587837198728631</v>
      </c>
      <c r="Z150" s="11">
        <f t="shared" si="323"/>
        <v>-2.0967076067856836E-2</v>
      </c>
      <c r="AA150" s="11">
        <f t="shared" si="324"/>
        <v>0.10413417136214025</v>
      </c>
      <c r="AB150" s="11">
        <f t="shared" si="325"/>
        <v>0.11514642016476399</v>
      </c>
      <c r="AC150" s="11">
        <f t="shared" si="326"/>
        <v>0.10068236350322975</v>
      </c>
      <c r="AD150" s="11">
        <f t="shared" si="327"/>
        <v>6.469233207973793E-2</v>
      </c>
      <c r="AE150" s="11">
        <f t="shared" si="328"/>
        <v>1.4974151595896068E-2</v>
      </c>
      <c r="AF150" s="11">
        <f t="shared" si="329"/>
        <v>8.9481311106626351E-3</v>
      </c>
      <c r="AG150" s="11">
        <f t="shared" si="330"/>
        <v>9.9433750039196217E-2</v>
      </c>
      <c r="AH150" s="11">
        <f t="shared" si="331"/>
        <v>9.8894114331657096E-2</v>
      </c>
      <c r="AI150" s="11">
        <f t="shared" si="332"/>
        <v>-9.272038922830024E-2</v>
      </c>
      <c r="AJ150" s="11">
        <f t="shared" si="333"/>
        <v>-3.588538247917944E-2</v>
      </c>
      <c r="AK150" s="11">
        <f t="shared" si="334"/>
        <v>-3.0075210639554399E-3</v>
      </c>
      <c r="AL150" s="11">
        <f t="shared" si="335"/>
        <v>2.5673063796870926E-2</v>
      </c>
      <c r="AM150" s="11">
        <f t="shared" si="336"/>
        <v>0.1860433011348199</v>
      </c>
      <c r="AN150" s="11">
        <f t="shared" si="337"/>
        <v>2.748316083750842E-2</v>
      </c>
      <c r="AO150" s="11">
        <f t="shared" si="338"/>
        <v>-4.2446753290510023E-2</v>
      </c>
      <c r="AQ150" s="1">
        <f t="shared" si="339"/>
        <v>4.8307134968018613E-3</v>
      </c>
    </row>
    <row r="151" spans="1:43" ht="15">
      <c r="A151" s="8">
        <v>43282</v>
      </c>
      <c r="B151" s="11">
        <f t="shared" ref="B151:E151" si="359">LN(B23/B22)</f>
        <v>8.8137207947356452E-2</v>
      </c>
      <c r="C151" s="11">
        <f t="shared" si="341"/>
        <v>8.9438063630850273E-2</v>
      </c>
      <c r="D151" s="11">
        <f t="shared" si="359"/>
        <v>0.14667272837590281</v>
      </c>
      <c r="E151" s="11">
        <f t="shared" si="359"/>
        <v>-4.5433745892120639E-3</v>
      </c>
      <c r="F151" s="11">
        <f t="shared" si="303"/>
        <v>6.2779723532280202E-2</v>
      </c>
      <c r="G151" s="11">
        <f t="shared" si="304"/>
        <v>0.12497506847423878</v>
      </c>
      <c r="H151" s="11">
        <f t="shared" si="305"/>
        <v>0.14960334156139898</v>
      </c>
      <c r="I151" s="11">
        <f t="shared" si="306"/>
        <v>0.11675265988616985</v>
      </c>
      <c r="J151" s="11">
        <f t="shared" si="307"/>
        <v>3.5144673735443367E-2</v>
      </c>
      <c r="K151" s="11">
        <f t="shared" si="308"/>
        <v>7.8941952355598213E-3</v>
      </c>
      <c r="L151" s="11">
        <f t="shared" si="309"/>
        <v>6.4594680608744903E-2</v>
      </c>
      <c r="M151" s="11">
        <f t="shared" si="310"/>
        <v>2.1016838201761003E-2</v>
      </c>
      <c r="N151" s="11">
        <f t="shared" si="311"/>
        <v>7.3021051794084441E-2</v>
      </c>
      <c r="O151" s="11">
        <f t="shared" si="312"/>
        <v>7.8959530841133496E-2</v>
      </c>
      <c r="P151" s="11">
        <f t="shared" si="313"/>
        <v>7.6592045082855458E-3</v>
      </c>
      <c r="Q151" s="11">
        <f t="shared" si="314"/>
        <v>-1.7554857016754091E-2</v>
      </c>
      <c r="R151" s="11">
        <f t="shared" si="315"/>
        <v>3.3048486283581348E-2</v>
      </c>
      <c r="S151" s="11">
        <f t="shared" si="316"/>
        <v>-3.2924004940950595E-2</v>
      </c>
      <c r="T151" s="11">
        <f t="shared" si="317"/>
        <v>-7.6617013608039408E-2</v>
      </c>
      <c r="U151" s="11">
        <f t="shared" si="318"/>
        <v>0.20115574973710723</v>
      </c>
      <c r="V151" s="11">
        <f t="shared" si="319"/>
        <v>9.9258456656204669E-2</v>
      </c>
      <c r="W151" s="11">
        <f t="shared" si="320"/>
        <v>2.0033388177209732E-2</v>
      </c>
      <c r="X151" s="11">
        <f t="shared" si="321"/>
        <v>2.2847957578322014E-2</v>
      </c>
      <c r="Y151" s="11">
        <f t="shared" si="322"/>
        <v>-3.203163674677123E-2</v>
      </c>
      <c r="Z151" s="11">
        <f t="shared" si="323"/>
        <v>1.1742179905181593E-2</v>
      </c>
      <c r="AA151" s="11">
        <f t="shared" si="324"/>
        <v>-3.2593322317245627E-2</v>
      </c>
      <c r="AB151" s="11">
        <f t="shared" si="325"/>
        <v>-6.963671953969483E-2</v>
      </c>
      <c r="AC151" s="11">
        <f t="shared" si="326"/>
        <v>-0.15229958674390282</v>
      </c>
      <c r="AD151" s="11">
        <f t="shared" si="327"/>
        <v>3.5488977756454848E-2</v>
      </c>
      <c r="AE151" s="11">
        <f t="shared" si="328"/>
        <v>8.0638733113249983E-2</v>
      </c>
      <c r="AF151" s="11">
        <f t="shared" si="329"/>
        <v>3.0815675858935652E-2</v>
      </c>
      <c r="AG151" s="11">
        <f t="shared" si="330"/>
        <v>-4.1770864453135957E-2</v>
      </c>
      <c r="AH151" s="11">
        <f t="shared" si="331"/>
        <v>1.539106264397273E-2</v>
      </c>
      <c r="AI151" s="11">
        <f t="shared" si="332"/>
        <v>8.2226716777186598E-2</v>
      </c>
      <c r="AJ151" s="11">
        <f t="shared" si="333"/>
        <v>1.842847499312902E-2</v>
      </c>
      <c r="AK151" s="11">
        <f t="shared" si="334"/>
        <v>-7.0715524798397614E-2</v>
      </c>
      <c r="AL151" s="11">
        <f t="shared" si="335"/>
        <v>-1.2664106616324647E-3</v>
      </c>
      <c r="AM151" s="11">
        <f t="shared" si="336"/>
        <v>-0.14002148910304621</v>
      </c>
      <c r="AN151" s="11">
        <f t="shared" si="337"/>
        <v>-1.7861092409973061E-2</v>
      </c>
      <c r="AO151" s="11">
        <f t="shared" si="338"/>
        <v>-9.7661639407261483E-2</v>
      </c>
      <c r="AQ151" s="1">
        <f t="shared" si="339"/>
        <v>3.5387979976799259E-2</v>
      </c>
    </row>
    <row r="152" spans="1:43" ht="15">
      <c r="A152" s="8">
        <v>43313</v>
      </c>
      <c r="B152" s="11">
        <f t="shared" ref="B152:E152" si="360">LN(B24/B23)</f>
        <v>1.6241991324523114E-2</v>
      </c>
      <c r="C152" s="11">
        <f t="shared" si="341"/>
        <v>4.046355535969489E-2</v>
      </c>
      <c r="D152" s="11">
        <f t="shared" si="360"/>
        <v>6.6932857412723701E-2</v>
      </c>
      <c r="E152" s="11">
        <f t="shared" si="360"/>
        <v>5.001533016564242E-2</v>
      </c>
      <c r="F152" s="11">
        <f t="shared" si="303"/>
        <v>1.6450179597952513E-2</v>
      </c>
      <c r="G152" s="11">
        <f t="shared" si="304"/>
        <v>1.92983471531799E-2</v>
      </c>
      <c r="H152" s="11">
        <f t="shared" si="305"/>
        <v>8.9784791463214636E-2</v>
      </c>
      <c r="I152" s="11">
        <f t="shared" si="306"/>
        <v>3.6519279499864131E-2</v>
      </c>
      <c r="J152" s="11">
        <f t="shared" si="307"/>
        <v>5.8443088067341144E-2</v>
      </c>
      <c r="K152" s="11">
        <f t="shared" si="308"/>
        <v>0.15601726699929813</v>
      </c>
      <c r="L152" s="11">
        <f t="shared" si="309"/>
        <v>0.10008863438637697</v>
      </c>
      <c r="M152" s="11">
        <f t="shared" si="310"/>
        <v>5.1855288485789172E-2</v>
      </c>
      <c r="N152" s="11">
        <f t="shared" si="311"/>
        <v>5.7247303487052786E-2</v>
      </c>
      <c r="O152" s="11">
        <f t="shared" si="312"/>
        <v>2.2614683547880359E-2</v>
      </c>
      <c r="P152" s="11">
        <f t="shared" si="313"/>
        <v>0.28625043298034331</v>
      </c>
      <c r="Q152" s="11">
        <f t="shared" si="314"/>
        <v>-2.9721416860260738E-3</v>
      </c>
      <c r="R152" s="11">
        <f t="shared" si="315"/>
        <v>0.13652874667830756</v>
      </c>
      <c r="S152" s="11">
        <f t="shared" si="316"/>
        <v>6.8373951673797321E-3</v>
      </c>
      <c r="T152" s="11">
        <f t="shared" si="317"/>
        <v>-1.2432452892170175E-2</v>
      </c>
      <c r="U152" s="11">
        <f t="shared" si="318"/>
        <v>0.31711374729561109</v>
      </c>
      <c r="V152" s="11">
        <f t="shared" si="319"/>
        <v>7.6888817377377766E-2</v>
      </c>
      <c r="W152" s="11">
        <f t="shared" si="320"/>
        <v>0.10969301270933278</v>
      </c>
      <c r="X152" s="11">
        <f t="shared" si="321"/>
        <v>6.5810647888720944E-2</v>
      </c>
      <c r="Y152" s="11">
        <f t="shared" si="322"/>
        <v>0.17532208080513356</v>
      </c>
      <c r="Z152" s="11">
        <f t="shared" si="323"/>
        <v>2.9336298085931158E-2</v>
      </c>
      <c r="AA152" s="11">
        <f t="shared" si="324"/>
        <v>6.6519243381919446E-2</v>
      </c>
      <c r="AB152" s="11">
        <f t="shared" si="325"/>
        <v>0.12811035558996114</v>
      </c>
      <c r="AC152" s="11">
        <f t="shared" si="326"/>
        <v>-0.18087004188913039</v>
      </c>
      <c r="AD152" s="11">
        <f t="shared" si="327"/>
        <v>3.4305975763235144E-2</v>
      </c>
      <c r="AE152" s="11">
        <f t="shared" si="328"/>
        <v>-0.10253216886323097</v>
      </c>
      <c r="AF152" s="11">
        <f t="shared" si="329"/>
        <v>-2.4588048470345365E-3</v>
      </c>
      <c r="AG152" s="11">
        <f t="shared" si="330"/>
        <v>-3.3415060540458716E-2</v>
      </c>
      <c r="AH152" s="11">
        <f t="shared" si="331"/>
        <v>-0.18714466721698728</v>
      </c>
      <c r="AI152" s="11">
        <f t="shared" si="332"/>
        <v>-7.8395654769037922E-3</v>
      </c>
      <c r="AJ152" s="11">
        <f t="shared" si="333"/>
        <v>3.2755264979719111E-2</v>
      </c>
      <c r="AK152" s="11">
        <f t="shared" si="334"/>
        <v>0.13015825308403714</v>
      </c>
      <c r="AL152" s="11">
        <f t="shared" si="335"/>
        <v>-6.3847950039736895E-2</v>
      </c>
      <c r="AM152" s="11">
        <f t="shared" si="336"/>
        <v>1.1737380497822083E-2</v>
      </c>
      <c r="AN152" s="11">
        <f t="shared" si="337"/>
        <v>-1.1603287190124063E-2</v>
      </c>
      <c r="AO152" s="11">
        <f t="shared" si="338"/>
        <v>-4.3432576189832851E-2</v>
      </c>
      <c r="AQ152" s="1">
        <f t="shared" si="339"/>
        <v>2.9814321663194848E-2</v>
      </c>
    </row>
    <row r="153" spans="1:43" ht="15">
      <c r="A153" s="8">
        <v>43344</v>
      </c>
      <c r="B153" s="11">
        <f t="shared" ref="B153:E153" si="361">LN(B25/B24)</f>
        <v>3.2151447917717284E-2</v>
      </c>
      <c r="C153" s="11">
        <f t="shared" si="341"/>
        <v>3.3687741456417432E-2</v>
      </c>
      <c r="D153" s="11">
        <f t="shared" si="361"/>
        <v>2.1101006343842491E-2</v>
      </c>
      <c r="E153" s="11">
        <f t="shared" si="361"/>
        <v>-1.4693823816398678E-2</v>
      </c>
      <c r="F153" s="11">
        <f t="shared" si="303"/>
        <v>4.3534932633459734E-2</v>
      </c>
      <c r="G153" s="11">
        <f t="shared" si="304"/>
        <v>2.0614081580417519E-2</v>
      </c>
      <c r="H153" s="11">
        <f t="shared" si="305"/>
        <v>3.3886520890754696E-2</v>
      </c>
      <c r="I153" s="11">
        <f t="shared" si="306"/>
        <v>-1.7391742711869222E-2</v>
      </c>
      <c r="J153" s="11">
        <f t="shared" si="307"/>
        <v>-9.0550562745599951E-3</v>
      </c>
      <c r="K153" s="11">
        <f t="shared" si="308"/>
        <v>4.5214188839030112E-2</v>
      </c>
      <c r="L153" s="11">
        <f t="shared" si="309"/>
        <v>-6.6848631381637548E-3</v>
      </c>
      <c r="M153" s="11">
        <f t="shared" si="310"/>
        <v>3.8090866533378384E-2</v>
      </c>
      <c r="N153" s="11">
        <f t="shared" si="311"/>
        <v>2.1838276261043871E-2</v>
      </c>
      <c r="O153" s="11">
        <f t="shared" si="312"/>
        <v>5.9533957122276819E-2</v>
      </c>
      <c r="P153" s="11">
        <f t="shared" si="313"/>
        <v>9.6763495028182919E-2</v>
      </c>
      <c r="Q153" s="11">
        <f t="shared" si="314"/>
        <v>5.7938656689085342E-2</v>
      </c>
      <c r="R153" s="11">
        <f t="shared" si="315"/>
        <v>1.7572448518736706E-3</v>
      </c>
      <c r="S153" s="11">
        <f t="shared" si="316"/>
        <v>-1.7757388399936212E-2</v>
      </c>
      <c r="T153" s="11">
        <f t="shared" si="317"/>
        <v>0.11908618141264145</v>
      </c>
      <c r="U153" s="11">
        <f t="shared" si="318"/>
        <v>0.20477969778326574</v>
      </c>
      <c r="V153" s="11">
        <f t="shared" si="319"/>
        <v>3.4558031707789844E-2</v>
      </c>
      <c r="W153" s="11">
        <f t="shared" si="320"/>
        <v>-3.7245891166312276E-3</v>
      </c>
      <c r="X153" s="11">
        <f t="shared" si="321"/>
        <v>4.4434296969813283E-2</v>
      </c>
      <c r="Y153" s="11">
        <f t="shared" si="322"/>
        <v>5.3775321487128033E-2</v>
      </c>
      <c r="Z153" s="11">
        <f t="shared" si="323"/>
        <v>3.6936630248731575E-2</v>
      </c>
      <c r="AA153" s="11">
        <f t="shared" si="324"/>
        <v>3.2656542603160213E-2</v>
      </c>
      <c r="AB153" s="11">
        <f t="shared" si="325"/>
        <v>-1.2673772499797398E-2</v>
      </c>
      <c r="AC153" s="11">
        <f t="shared" si="326"/>
        <v>0.15528757502941498</v>
      </c>
      <c r="AD153" s="11">
        <f t="shared" si="327"/>
        <v>3.3698683735597142E-3</v>
      </c>
      <c r="AE153" s="11">
        <f t="shared" si="328"/>
        <v>4.5796165094073617E-2</v>
      </c>
      <c r="AF153" s="11">
        <f t="shared" si="329"/>
        <v>-2.6002717791355871E-2</v>
      </c>
      <c r="AG153" s="11">
        <f t="shared" si="330"/>
        <v>-4.5122970622447148E-2</v>
      </c>
      <c r="AH153" s="11">
        <f t="shared" si="331"/>
        <v>-5.7337676935146284E-2</v>
      </c>
      <c r="AI153" s="11">
        <f t="shared" si="332"/>
        <v>-1.303809667921374E-2</v>
      </c>
      <c r="AJ153" s="11">
        <f t="shared" si="333"/>
        <v>1.0986981420074255E-2</v>
      </c>
      <c r="AK153" s="11">
        <f t="shared" si="334"/>
        <v>-0.14754999579590622</v>
      </c>
      <c r="AL153" s="11">
        <f t="shared" si="335"/>
        <v>4.1280439181959172E-2</v>
      </c>
      <c r="AM153" s="11">
        <f t="shared" si="336"/>
        <v>-0.13043903074675506</v>
      </c>
      <c r="AN153" s="11">
        <f t="shared" si="337"/>
        <v>4.3439203112341583E-2</v>
      </c>
      <c r="AO153" s="11">
        <f t="shared" si="338"/>
        <v>-2.4560704940498689E-2</v>
      </c>
      <c r="AQ153" s="1">
        <f t="shared" si="339"/>
        <v>4.2851067203219049E-3</v>
      </c>
    </row>
    <row r="154" spans="1:43" ht="15">
      <c r="A154" s="8">
        <v>43374</v>
      </c>
      <c r="B154" s="11">
        <f t="shared" ref="B154:E154" si="362">LN(B26/B25)</f>
        <v>1.3086204820330639E-2</v>
      </c>
      <c r="C154" s="11">
        <f t="shared" si="341"/>
        <v>4.3746554005920903E-2</v>
      </c>
      <c r="D154" s="11">
        <f t="shared" si="362"/>
        <v>1.0475604023212404E-2</v>
      </c>
      <c r="E154" s="11">
        <f t="shared" si="362"/>
        <v>-0.19466237399650216</v>
      </c>
      <c r="F154" s="11">
        <f t="shared" si="303"/>
        <v>-7.2516798892756737E-2</v>
      </c>
      <c r="G154" s="11">
        <f t="shared" si="304"/>
        <v>-4.2974900508867611E-2</v>
      </c>
      <c r="H154" s="11">
        <f t="shared" si="305"/>
        <v>-0.16525021141509916</v>
      </c>
      <c r="I154" s="11">
        <f t="shared" si="306"/>
        <v>-0.1629478399539756</v>
      </c>
      <c r="J154" s="11">
        <f t="shared" si="307"/>
        <v>-1.4417531523121706E-2</v>
      </c>
      <c r="K154" s="11">
        <f t="shared" si="308"/>
        <v>-8.3829068524262043E-2</v>
      </c>
      <c r="L154" s="11">
        <f t="shared" si="309"/>
        <v>-0.17480606146748423</v>
      </c>
      <c r="M154" s="11">
        <f t="shared" si="310"/>
        <v>-8.5199750530629559E-2</v>
      </c>
      <c r="N154" s="11">
        <f t="shared" si="311"/>
        <v>-6.8386836105724894E-2</v>
      </c>
      <c r="O154" s="11">
        <f t="shared" si="312"/>
        <v>-5.419630652546481E-2</v>
      </c>
      <c r="P154" s="11">
        <f t="shared" si="313"/>
        <v>-0.11580709813520067</v>
      </c>
      <c r="Q154" s="11">
        <f t="shared" si="314"/>
        <v>-0.15909712722207492</v>
      </c>
      <c r="R154" s="11">
        <f t="shared" si="315"/>
        <v>-0.28737342054065984</v>
      </c>
      <c r="S154" s="11">
        <f t="shared" si="316"/>
        <v>-8.7077104154573166E-3</v>
      </c>
      <c r="T154" s="11">
        <f t="shared" si="317"/>
        <v>-9.1448095637781251E-2</v>
      </c>
      <c r="U154" s="11">
        <f t="shared" si="318"/>
        <v>-0.52846161319097362</v>
      </c>
      <c r="V154" s="11">
        <f t="shared" si="319"/>
        <v>6.2845472563559768E-2</v>
      </c>
      <c r="W154" s="11">
        <f t="shared" si="320"/>
        <v>-7.7507118747938641E-2</v>
      </c>
      <c r="X154" s="11">
        <f t="shared" si="321"/>
        <v>-5.9685855862286516E-2</v>
      </c>
      <c r="Y154" s="11">
        <f t="shared" si="322"/>
        <v>-0.18927443820799036</v>
      </c>
      <c r="Z154" s="11">
        <f t="shared" si="323"/>
        <v>5.5856018505864052E-2</v>
      </c>
      <c r="AA154" s="11">
        <f t="shared" si="324"/>
        <v>-0.12133027836259899</v>
      </c>
      <c r="AB154" s="11">
        <f t="shared" si="325"/>
        <v>-9.043674194097015E-2</v>
      </c>
      <c r="AC154" s="11">
        <f t="shared" si="326"/>
        <v>6.7628021817974754E-2</v>
      </c>
      <c r="AD154" s="11">
        <f t="shared" si="327"/>
        <v>6.3426679476099701E-2</v>
      </c>
      <c r="AE154" s="11">
        <f t="shared" si="328"/>
        <v>9.1105763531663359E-2</v>
      </c>
      <c r="AF154" s="11">
        <f t="shared" si="329"/>
        <v>-3.6873010476510558E-2</v>
      </c>
      <c r="AG154" s="11">
        <f t="shared" si="330"/>
        <v>-2.5435487789979374E-3</v>
      </c>
      <c r="AH154" s="11">
        <f t="shared" si="331"/>
        <v>-0.24556067205495807</v>
      </c>
      <c r="AI154" s="11">
        <f t="shared" si="332"/>
        <v>-8.6109474444411929E-2</v>
      </c>
      <c r="AJ154" s="11">
        <f t="shared" si="333"/>
        <v>-0.26843840242131267</v>
      </c>
      <c r="AK154" s="11">
        <f t="shared" si="334"/>
        <v>4.8129605050090266E-3</v>
      </c>
      <c r="AL154" s="11">
        <f t="shared" si="335"/>
        <v>-9.0944593551387218E-2</v>
      </c>
      <c r="AM154" s="11">
        <f t="shared" si="336"/>
        <v>0.24217051011308968</v>
      </c>
      <c r="AN154" s="11">
        <f t="shared" si="337"/>
        <v>-0.15621016674381824</v>
      </c>
      <c r="AO154" s="11">
        <f t="shared" si="338"/>
        <v>3.191763108797864E-2</v>
      </c>
      <c r="AQ154" s="1">
        <f t="shared" si="339"/>
        <v>-7.1929349055660202E-2</v>
      </c>
    </row>
    <row r="155" spans="1:43" ht="15">
      <c r="A155" s="8">
        <v>43405</v>
      </c>
      <c r="B155" s="11">
        <f t="shared" ref="B155:E155" si="363">LN(B27/B26)</f>
        <v>4.8181049263486424E-2</v>
      </c>
      <c r="C155" s="11">
        <f t="shared" si="341"/>
        <v>7.496155223514131E-2</v>
      </c>
      <c r="D155" s="11">
        <f t="shared" si="363"/>
        <v>8.9896694966642363E-2</v>
      </c>
      <c r="E155" s="11">
        <f t="shared" si="363"/>
        <v>0.20201992518458223</v>
      </c>
      <c r="F155" s="11">
        <f t="shared" si="303"/>
        <v>7.7137632624971586E-2</v>
      </c>
      <c r="G155" s="11">
        <f t="shared" si="304"/>
        <v>6.5835157296159172E-2</v>
      </c>
      <c r="H155" s="11">
        <f t="shared" si="305"/>
        <v>8.1290399297357679E-2</v>
      </c>
      <c r="I155" s="11">
        <f t="shared" si="306"/>
        <v>-4.0209321597727783E-2</v>
      </c>
      <c r="J155" s="11">
        <f t="shared" si="307"/>
        <v>7.377416739076606E-2</v>
      </c>
      <c r="K155" s="11">
        <f t="shared" si="308"/>
        <v>0.1093433446641132</v>
      </c>
      <c r="L155" s="11">
        <f t="shared" si="309"/>
        <v>7.496877022346092E-2</v>
      </c>
      <c r="M155" s="11">
        <f t="shared" si="310"/>
        <v>5.3937533016684434E-2</v>
      </c>
      <c r="N155" s="11">
        <f t="shared" si="311"/>
        <v>3.7486680267601755E-2</v>
      </c>
      <c r="O155" s="11">
        <f t="shared" si="312"/>
        <v>2.3786864495938561E-3</v>
      </c>
      <c r="P155" s="11">
        <f t="shared" si="313"/>
        <v>-0.10701137326066698</v>
      </c>
      <c r="Q155" s="11">
        <f t="shared" si="314"/>
        <v>0.1973594205837722</v>
      </c>
      <c r="R155" s="11">
        <f t="shared" si="315"/>
        <v>-0.25466749185002724</v>
      </c>
      <c r="S155" s="11">
        <f t="shared" si="316"/>
        <v>5.0535664212959575E-2</v>
      </c>
      <c r="T155" s="11">
        <f t="shared" si="317"/>
        <v>6.0422131228806998E-2</v>
      </c>
      <c r="U155" s="11">
        <f t="shared" si="318"/>
        <v>0.15673617897586284</v>
      </c>
      <c r="V155" s="11">
        <f t="shared" si="319"/>
        <v>7.9997658668203603E-2</v>
      </c>
      <c r="W155" s="11">
        <f t="shared" si="320"/>
        <v>2.3096219236639393E-2</v>
      </c>
      <c r="X155" s="11">
        <f t="shared" si="321"/>
        <v>-4.8376006484658972E-2</v>
      </c>
      <c r="Y155" s="11">
        <f t="shared" si="322"/>
        <v>0.23974995961825088</v>
      </c>
      <c r="Z155" s="11">
        <f t="shared" si="323"/>
        <v>6.3566495146549301E-2</v>
      </c>
      <c r="AA155" s="11">
        <f t="shared" si="324"/>
        <v>1.065417014538028E-3</v>
      </c>
      <c r="AB155" s="11">
        <f t="shared" si="325"/>
        <v>3.1241824287821292E-2</v>
      </c>
      <c r="AC155" s="11">
        <f t="shared" si="326"/>
        <v>2.1059756559659904E-2</v>
      </c>
      <c r="AD155" s="11">
        <f t="shared" si="327"/>
        <v>7.2468502362091139E-2</v>
      </c>
      <c r="AE155" s="11">
        <f t="shared" si="328"/>
        <v>-1.7640960141513187E-2</v>
      </c>
      <c r="AF155" s="11">
        <f t="shared" si="329"/>
        <v>2.4425693707833561E-2</v>
      </c>
      <c r="AG155" s="11">
        <f t="shared" si="330"/>
        <v>-7.2611778830054666E-2</v>
      </c>
      <c r="AH155" s="11">
        <f t="shared" si="331"/>
        <v>0.38767606479442984</v>
      </c>
      <c r="AI155" s="11">
        <f t="shared" si="332"/>
        <v>3.8549916590963074E-2</v>
      </c>
      <c r="AJ155" s="11">
        <f t="shared" si="333"/>
        <v>8.1202671319476658E-2</v>
      </c>
      <c r="AK155" s="11">
        <f t="shared" si="334"/>
        <v>-3.0580712253920287E-2</v>
      </c>
      <c r="AL155" s="11">
        <f t="shared" si="335"/>
        <v>6.3250355325397328E-2</v>
      </c>
      <c r="AM155" s="11">
        <f t="shared" si="336"/>
        <v>3.8271608799202286E-2</v>
      </c>
      <c r="AN155" s="11">
        <f t="shared" si="337"/>
        <v>-6.6276152863991425E-2</v>
      </c>
      <c r="AO155" s="11">
        <f t="shared" si="338"/>
        <v>3.0363252619708299E-3</v>
      </c>
      <c r="AQ155" s="1">
        <f t="shared" si="339"/>
        <v>1.7701776759294796E-2</v>
      </c>
    </row>
    <row r="156" spans="1:43" ht="15">
      <c r="A156" s="8">
        <v>43435</v>
      </c>
      <c r="B156" s="11">
        <f t="shared" ref="B156:E156" si="364">LN(B28/B27)</f>
        <v>-0.123204806295347</v>
      </c>
      <c r="C156" s="11">
        <f t="shared" si="341"/>
        <v>-3.7629174851371787E-2</v>
      </c>
      <c r="D156" s="11">
        <f t="shared" si="364"/>
        <v>-1.9898462993773534E-2</v>
      </c>
      <c r="E156" s="11">
        <f t="shared" si="364"/>
        <v>-2.2311205870704683E-2</v>
      </c>
      <c r="F156" s="11">
        <f t="shared" si="303"/>
        <v>-6.047560840028985E-2</v>
      </c>
      <c r="G156" s="11">
        <f t="shared" si="304"/>
        <v>-0.10895149743515821</v>
      </c>
      <c r="H156" s="11">
        <f t="shared" si="305"/>
        <v>-0.11801639621617428</v>
      </c>
      <c r="I156" s="11">
        <f t="shared" si="306"/>
        <v>-9.1088635856880568E-2</v>
      </c>
      <c r="J156" s="11">
        <f t="shared" si="307"/>
        <v>-0.11850961301398323</v>
      </c>
      <c r="K156" s="11">
        <f t="shared" si="308"/>
        <v>-0.20216790880867555</v>
      </c>
      <c r="L156" s="11">
        <f t="shared" si="309"/>
        <v>2.1241412855911811E-2</v>
      </c>
      <c r="M156" s="11">
        <f t="shared" si="310"/>
        <v>2.1965537423574363E-2</v>
      </c>
      <c r="N156" s="11">
        <f t="shared" si="311"/>
        <v>-8.347937111018891E-2</v>
      </c>
      <c r="O156" s="11">
        <f t="shared" si="312"/>
        <v>-7.6920028222656076E-2</v>
      </c>
      <c r="P156" s="11">
        <f t="shared" si="313"/>
        <v>-4.7281281437277632E-2</v>
      </c>
      <c r="Q156" s="11">
        <f t="shared" si="314"/>
        <v>-0.15364656879604785</v>
      </c>
      <c r="R156" s="11">
        <f t="shared" si="315"/>
        <v>-0.20128302835196521</v>
      </c>
      <c r="S156" s="11">
        <f t="shared" si="316"/>
        <v>-4.3196444210872299E-2</v>
      </c>
      <c r="T156" s="11">
        <f t="shared" si="317"/>
        <v>6.8647262199426198E-2</v>
      </c>
      <c r="U156" s="11">
        <f t="shared" si="318"/>
        <v>-0.1431008436406733</v>
      </c>
      <c r="V156" s="11">
        <f t="shared" si="319"/>
        <v>-7.8181525537013116E-2</v>
      </c>
      <c r="W156" s="11">
        <f t="shared" si="320"/>
        <v>-3.9749810838134551E-2</v>
      </c>
      <c r="X156" s="11">
        <f t="shared" si="321"/>
        <v>-0.11702296421747677</v>
      </c>
      <c r="Y156" s="11">
        <f t="shared" si="322"/>
        <v>-0.127522202647808</v>
      </c>
      <c r="Z156" s="11">
        <f t="shared" si="323"/>
        <v>-5.3638563953989755E-2</v>
      </c>
      <c r="AA156" s="11">
        <f t="shared" si="324"/>
        <v>-1.0167794523024604E-2</v>
      </c>
      <c r="AB156" s="11">
        <f t="shared" si="325"/>
        <v>-0.11178380599824038</v>
      </c>
      <c r="AC156" s="11">
        <f t="shared" si="326"/>
        <v>-0.23318199995631603</v>
      </c>
      <c r="AD156" s="11">
        <f t="shared" si="327"/>
        <v>-2.7787109417168821E-2</v>
      </c>
      <c r="AE156" s="11">
        <f t="shared" si="328"/>
        <v>-0.25938681796066793</v>
      </c>
      <c r="AF156" s="11">
        <f t="shared" si="329"/>
        <v>-2.9789068373432627E-2</v>
      </c>
      <c r="AG156" s="11">
        <f t="shared" si="330"/>
        <v>-0.16010166590759742</v>
      </c>
      <c r="AH156" s="11">
        <f t="shared" si="331"/>
        <v>-0.22031037899841577</v>
      </c>
      <c r="AI156" s="11">
        <f t="shared" si="332"/>
        <v>-0.35027041098101924</v>
      </c>
      <c r="AJ156" s="11">
        <f t="shared" si="333"/>
        <v>-0.15944995993294689</v>
      </c>
      <c r="AK156" s="11">
        <f t="shared" si="334"/>
        <v>-0.18133194760878826</v>
      </c>
      <c r="AL156" s="11">
        <f t="shared" si="335"/>
        <v>-7.9474292686011805E-2</v>
      </c>
      <c r="AM156" s="11">
        <f t="shared" si="336"/>
        <v>-5.1761934558589455E-2</v>
      </c>
      <c r="AN156" s="11">
        <f t="shared" si="337"/>
        <v>-9.7282705448894835E-2</v>
      </c>
      <c r="AO156" s="11">
        <f t="shared" si="338"/>
        <v>-0.20706730801869905</v>
      </c>
      <c r="AQ156" s="1">
        <f t="shared" si="339"/>
        <v>-9.6265287118076068E-2</v>
      </c>
    </row>
    <row r="157" spans="1:43" ht="15">
      <c r="A157" s="8">
        <v>43466</v>
      </c>
      <c r="B157" s="11">
        <f t="shared" ref="B157:E157" si="365">LN(B29/B28)</f>
        <v>3.0750895165532432E-2</v>
      </c>
      <c r="C157" s="11">
        <f t="shared" si="341"/>
        <v>-1.9268931083314747E-2</v>
      </c>
      <c r="D157" s="11">
        <f t="shared" si="365"/>
        <v>3.5150477675967753E-2</v>
      </c>
      <c r="E157" s="11">
        <f t="shared" si="365"/>
        <v>-0.13820677185656019</v>
      </c>
      <c r="F157" s="11">
        <f t="shared" si="303"/>
        <v>-3.9608924642219656E-2</v>
      </c>
      <c r="G157" s="11">
        <f t="shared" si="304"/>
        <v>9.3985642835126726E-2</v>
      </c>
      <c r="H157" s="11">
        <f t="shared" si="305"/>
        <v>-6.9509792317864624E-2</v>
      </c>
      <c r="I157" s="11">
        <f t="shared" si="306"/>
        <v>0.13440457327389896</v>
      </c>
      <c r="J157" s="11">
        <f t="shared" si="307"/>
        <v>8.1227575513698469E-2</v>
      </c>
      <c r="K157" s="11">
        <f t="shared" si="308"/>
        <v>4.5778426579312344E-4</v>
      </c>
      <c r="L157" s="11">
        <f t="shared" si="309"/>
        <v>0.13916808701388125</v>
      </c>
      <c r="M157" s="11">
        <f t="shared" si="310"/>
        <v>-0.17939231559512636</v>
      </c>
      <c r="N157" s="11">
        <f t="shared" si="311"/>
        <v>2.7768554718862918E-2</v>
      </c>
      <c r="O157" s="11">
        <f t="shared" si="312"/>
        <v>0.10662228890952742</v>
      </c>
      <c r="P157" s="11">
        <f t="shared" si="313"/>
        <v>8.3586046367712843E-2</v>
      </c>
      <c r="Q157" s="11">
        <f t="shared" si="314"/>
        <v>0.10631289161758777</v>
      </c>
      <c r="R157" s="11">
        <f t="shared" si="315"/>
        <v>7.3974067596025248E-2</v>
      </c>
      <c r="S157" s="11">
        <f t="shared" si="316"/>
        <v>4.0405870096961753E-3</v>
      </c>
      <c r="T157" s="11">
        <f t="shared" si="317"/>
        <v>6.3966025302243101E-2</v>
      </c>
      <c r="U157" s="11">
        <f t="shared" si="318"/>
        <v>0.27938665533016255</v>
      </c>
      <c r="V157" s="11">
        <f t="shared" si="319"/>
        <v>0.27331392066999061</v>
      </c>
      <c r="W157" s="11">
        <f t="shared" si="320"/>
        <v>0.21165404158750289</v>
      </c>
      <c r="X157" s="11">
        <f t="shared" si="321"/>
        <v>8.1054409584462445E-2</v>
      </c>
      <c r="Y157" s="11">
        <f t="shared" si="322"/>
        <v>0.1387469041783575</v>
      </c>
      <c r="Z157" s="11">
        <f t="shared" si="323"/>
        <v>6.7912708376831922E-3</v>
      </c>
      <c r="AA157" s="11">
        <f t="shared" si="324"/>
        <v>9.9299429342019255E-2</v>
      </c>
      <c r="AB157" s="11">
        <f t="shared" si="325"/>
        <v>0.1368398908354698</v>
      </c>
      <c r="AC157" s="11">
        <f t="shared" si="326"/>
        <v>8.1151157272861624E-2</v>
      </c>
      <c r="AD157" s="11">
        <f t="shared" si="327"/>
        <v>4.8313423902450886E-2</v>
      </c>
      <c r="AE157" s="11">
        <f t="shared" si="328"/>
        <v>0.15433991918874418</v>
      </c>
      <c r="AF157" s="11">
        <f t="shared" si="329"/>
        <v>6.6761199853298692E-3</v>
      </c>
      <c r="AG157" s="11">
        <f t="shared" si="330"/>
        <v>0.11032005711286343</v>
      </c>
      <c r="AH157" s="11">
        <f t="shared" si="331"/>
        <v>0.13184841620617355</v>
      </c>
      <c r="AI157" s="11">
        <f t="shared" si="332"/>
        <v>9.8940373976475177E-2</v>
      </c>
      <c r="AJ157" s="11">
        <f t="shared" si="333"/>
        <v>9.355728699924605E-2</v>
      </c>
      <c r="AK157" s="11">
        <f t="shared" si="334"/>
        <v>0.18290586586512209</v>
      </c>
      <c r="AL157" s="11">
        <f t="shared" si="335"/>
        <v>5.2465058093585384E-2</v>
      </c>
      <c r="AM157" s="11">
        <f t="shared" si="336"/>
        <v>-8.0628816901998038E-2</v>
      </c>
      <c r="AN157" s="11">
        <f t="shared" si="337"/>
        <v>0.23910540897742219</v>
      </c>
      <c r="AO157" s="11">
        <f t="shared" si="338"/>
        <v>0.14004608572823846</v>
      </c>
      <c r="AQ157" s="1">
        <f t="shared" si="339"/>
        <v>7.574215482837561E-2</v>
      </c>
    </row>
    <row r="158" spans="1:43" ht="15">
      <c r="A158" s="8">
        <v>43497</v>
      </c>
      <c r="B158" s="11">
        <f t="shared" ref="B158:E158" si="366">LN(B30/B29)</f>
        <v>2.6398997776357989E-2</v>
      </c>
      <c r="C158" s="11">
        <f t="shared" si="341"/>
        <v>8.8164199984054989E-2</v>
      </c>
      <c r="D158" s="11">
        <f t="shared" si="366"/>
        <v>5.2257197009314582E-2</v>
      </c>
      <c r="E158" s="11">
        <f t="shared" si="366"/>
        <v>-9.7349566331540402E-4</v>
      </c>
      <c r="F158" s="11">
        <f t="shared" si="303"/>
        <v>1.5748393128728451E-2</v>
      </c>
      <c r="G158" s="11">
        <f t="shared" si="304"/>
        <v>5.5037152238416175E-2</v>
      </c>
      <c r="H158" s="11">
        <f t="shared" si="305"/>
        <v>0.11142877436476217</v>
      </c>
      <c r="I158" s="11">
        <f t="shared" si="306"/>
        <v>-8.2584646239984918E-3</v>
      </c>
      <c r="J158" s="11">
        <f t="shared" si="307"/>
        <v>-0.10931584896417723</v>
      </c>
      <c r="K158" s="11">
        <f t="shared" si="308"/>
        <v>-0.11771354811782526</v>
      </c>
      <c r="L158" s="11">
        <f t="shared" si="309"/>
        <v>3.4185682296933662E-3</v>
      </c>
      <c r="M158" s="11">
        <f t="shared" si="310"/>
        <v>7.3514930649912422E-2</v>
      </c>
      <c r="N158" s="11">
        <f t="shared" si="311"/>
        <v>7.0249726607490057E-2</v>
      </c>
      <c r="O158" s="11">
        <f t="shared" si="312"/>
        <v>4.1079631353035204E-2</v>
      </c>
      <c r="P158" s="11">
        <f t="shared" si="313"/>
        <v>0.12528605253112149</v>
      </c>
      <c r="Q158" s="11">
        <f t="shared" si="314"/>
        <v>6.7595729916014258E-2</v>
      </c>
      <c r="R158" s="11">
        <f t="shared" si="315"/>
        <v>7.0563643082227873E-2</v>
      </c>
      <c r="S158" s="11">
        <f t="shared" si="316"/>
        <v>0.11683937743183176</v>
      </c>
      <c r="T158" s="11">
        <f t="shared" si="317"/>
        <v>2.6159639000886234E-2</v>
      </c>
      <c r="U158" s="11">
        <f t="shared" si="318"/>
        <v>-3.6716681665597509E-2</v>
      </c>
      <c r="V158" s="11">
        <f t="shared" si="319"/>
        <v>0.11274822057493109</v>
      </c>
      <c r="W158" s="11">
        <f t="shared" si="320"/>
        <v>8.4584412233153744E-2</v>
      </c>
      <c r="X158" s="11">
        <f t="shared" si="321"/>
        <v>-0.11026473309830986</v>
      </c>
      <c r="Y158" s="11">
        <f t="shared" si="322"/>
        <v>0.26552626689123171</v>
      </c>
      <c r="Z158" s="11">
        <f t="shared" si="323"/>
        <v>2.7909703199867499E-2</v>
      </c>
      <c r="AA158" s="11">
        <f t="shared" si="324"/>
        <v>4.5947971126172979E-2</v>
      </c>
      <c r="AB158" s="11">
        <f t="shared" si="325"/>
        <v>-0.1228090082739873</v>
      </c>
      <c r="AC158" s="11">
        <f t="shared" si="326"/>
        <v>-6.3007542541806225E-2</v>
      </c>
      <c r="AD158" s="11">
        <f t="shared" si="327"/>
        <v>2.9210287403030912E-2</v>
      </c>
      <c r="AE158" s="11">
        <f t="shared" si="328"/>
        <v>0.12505577037945168</v>
      </c>
      <c r="AF158" s="11">
        <f t="shared" si="329"/>
        <v>1.190599949240922E-2</v>
      </c>
      <c r="AG158" s="11">
        <f t="shared" si="330"/>
        <v>-0.37020148952466686</v>
      </c>
      <c r="AH158" s="11">
        <f t="shared" si="331"/>
        <v>-0.26761110673669575</v>
      </c>
      <c r="AI158" s="11">
        <f t="shared" si="332"/>
        <v>1.9131761384741989E-2</v>
      </c>
      <c r="AJ158" s="11">
        <f t="shared" si="333"/>
        <v>-7.7056566698239209E-2</v>
      </c>
      <c r="AK158" s="11">
        <f t="shared" si="334"/>
        <v>-3.4978991813398551E-2</v>
      </c>
      <c r="AL158" s="11">
        <f t="shared" si="335"/>
        <v>4.2101383619527546E-2</v>
      </c>
      <c r="AM158" s="11">
        <f t="shared" si="336"/>
        <v>4.1033033418633756E-2</v>
      </c>
      <c r="AN158" s="11">
        <f t="shared" si="337"/>
        <v>1.5399638051759207E-2</v>
      </c>
      <c r="AO158" s="11">
        <f t="shared" si="338"/>
        <v>1.3856732210356566E-2</v>
      </c>
      <c r="AQ158" s="1">
        <f t="shared" si="339"/>
        <v>2.9295592986693514E-2</v>
      </c>
    </row>
    <row r="159" spans="1:43" ht="15">
      <c r="A159" s="8">
        <v>43525</v>
      </c>
      <c r="B159" s="11">
        <f t="shared" ref="B159:E159" si="367">LN(B31/B30)</f>
        <v>2.9402224559102762E-2</v>
      </c>
      <c r="C159" s="11">
        <f t="shared" si="341"/>
        <v>2.2863379535331026E-2</v>
      </c>
      <c r="D159" s="11">
        <f t="shared" si="367"/>
        <v>3.2510294403165101E-2</v>
      </c>
      <c r="E159" s="11">
        <f t="shared" si="367"/>
        <v>1.6893553728738967E-2</v>
      </c>
      <c r="F159" s="11">
        <f t="shared" si="303"/>
        <v>7.1764547205747159E-3</v>
      </c>
      <c r="G159" s="11">
        <f t="shared" si="304"/>
        <v>5.3079387764001888E-2</v>
      </c>
      <c r="H159" s="11">
        <f t="shared" si="305"/>
        <v>-6.6724656501007031E-3</v>
      </c>
      <c r="I159" s="11">
        <f t="shared" si="306"/>
        <v>5.7858437816722584E-2</v>
      </c>
      <c r="J159" s="11">
        <f t="shared" si="307"/>
        <v>2.0593521377509971E-2</v>
      </c>
      <c r="K159" s="11">
        <f t="shared" si="308"/>
        <v>-6.9820830873266473E-2</v>
      </c>
      <c r="L159" s="11">
        <f t="shared" si="309"/>
        <v>-4.7836447211828344E-2</v>
      </c>
      <c r="M159" s="11">
        <f t="shared" si="310"/>
        <v>1.8818857760515062E-2</v>
      </c>
      <c r="N159" s="11">
        <f t="shared" si="311"/>
        <v>5.5671449017856686E-2</v>
      </c>
      <c r="O159" s="11">
        <f t="shared" si="312"/>
        <v>2.9858306980589763E-2</v>
      </c>
      <c r="P159" s="11">
        <f t="shared" si="313"/>
        <v>-3.3031815460681679E-2</v>
      </c>
      <c r="Q159" s="11">
        <f t="shared" si="314"/>
        <v>2.524677597915902E-2</v>
      </c>
      <c r="R159" s="11">
        <f t="shared" si="315"/>
        <v>0.15290025422855277</v>
      </c>
      <c r="S159" s="11">
        <f t="shared" si="316"/>
        <v>2.0194720990047328E-2</v>
      </c>
      <c r="T159" s="11">
        <f t="shared" si="317"/>
        <v>8.8067305026968967E-2</v>
      </c>
      <c r="U159" s="11">
        <f t="shared" si="318"/>
        <v>8.1186255737317997E-2</v>
      </c>
      <c r="V159" s="11">
        <f t="shared" si="319"/>
        <v>1.5093170665256079E-2</v>
      </c>
      <c r="W159" s="11">
        <f t="shared" si="320"/>
        <v>2.9018561164081299E-2</v>
      </c>
      <c r="X159" s="11">
        <f t="shared" si="321"/>
        <v>-1.5322285422558084E-2</v>
      </c>
      <c r="Y159" s="11">
        <f t="shared" si="322"/>
        <v>-5.8504659216819695E-2</v>
      </c>
      <c r="Z159" s="11">
        <f t="shared" si="323"/>
        <v>3.8778357408821656E-2</v>
      </c>
      <c r="AA159" s="11">
        <f t="shared" si="324"/>
        <v>-1.7889013859876741E-2</v>
      </c>
      <c r="AB159" s="11">
        <f t="shared" si="325"/>
        <v>2.8132989554498659E-2</v>
      </c>
      <c r="AC159" s="11">
        <f t="shared" si="326"/>
        <v>6.4601497149550727E-2</v>
      </c>
      <c r="AD159" s="11">
        <f t="shared" si="327"/>
        <v>5.4307405572107323E-2</v>
      </c>
      <c r="AE159" s="11">
        <f t="shared" si="328"/>
        <v>1.6540652841748476E-2</v>
      </c>
      <c r="AF159" s="11">
        <f t="shared" si="329"/>
        <v>8.9084512059512858E-2</v>
      </c>
      <c r="AG159" s="11">
        <f t="shared" si="330"/>
        <v>-1.6403483729191204E-2</v>
      </c>
      <c r="AH159" s="11">
        <f t="shared" si="331"/>
        <v>-4.2871645157555427E-2</v>
      </c>
      <c r="AI159" s="11">
        <f t="shared" si="332"/>
        <v>2.262813604354669E-3</v>
      </c>
      <c r="AJ159" s="11">
        <f t="shared" si="333"/>
        <v>-0.12113961053698367</v>
      </c>
      <c r="AK159" s="11">
        <f t="shared" si="334"/>
        <v>-5.0828069908352383E-2</v>
      </c>
      <c r="AL159" s="11">
        <f t="shared" si="335"/>
        <v>3.9663082586789959E-2</v>
      </c>
      <c r="AM159" s="11">
        <f t="shared" si="336"/>
        <v>-0.13365644733612175</v>
      </c>
      <c r="AN159" s="11">
        <f t="shared" si="337"/>
        <v>4.2286306262747847E-2</v>
      </c>
      <c r="AO159" s="11">
        <f t="shared" si="338"/>
        <v>1.139449953659312E-3</v>
      </c>
      <c r="AQ159" s="1">
        <f t="shared" si="339"/>
        <v>1.7765541837019908E-2</v>
      </c>
    </row>
    <row r="160" spans="1:43" ht="15">
      <c r="A160" s="8">
        <v>43556</v>
      </c>
      <c r="B160" s="11">
        <f t="shared" ref="B160:E160" si="368">LN(B32/B31)</f>
        <v>1.0036384543382459E-2</v>
      </c>
      <c r="C160" s="11">
        <f t="shared" si="341"/>
        <v>-4.8353024903105092E-2</v>
      </c>
      <c r="D160" s="11">
        <f t="shared" si="368"/>
        <v>-0.10317085245660063</v>
      </c>
      <c r="E160" s="11">
        <f t="shared" si="368"/>
        <v>-1.5002384786252577E-2</v>
      </c>
      <c r="F160" s="11">
        <f t="shared" si="303"/>
        <v>-5.7747127738711254E-2</v>
      </c>
      <c r="G160" s="11">
        <f t="shared" si="304"/>
        <v>1.4269073575831768E-2</v>
      </c>
      <c r="H160" s="11">
        <f t="shared" si="305"/>
        <v>4.2075573162753555E-3</v>
      </c>
      <c r="I160" s="11">
        <f t="shared" si="306"/>
        <v>3.6878630385365992E-2</v>
      </c>
      <c r="J160" s="11">
        <f t="shared" si="307"/>
        <v>-5.5291435838902607E-2</v>
      </c>
      <c r="K160" s="11">
        <f t="shared" si="308"/>
        <v>8.3095229347921479E-3</v>
      </c>
      <c r="L160" s="11">
        <f t="shared" si="309"/>
        <v>-0.17952968544933853</v>
      </c>
      <c r="M160" s="11">
        <f t="shared" si="310"/>
        <v>5.1802552069314936E-3</v>
      </c>
      <c r="N160" s="11">
        <f t="shared" si="311"/>
        <v>0.10196302357029556</v>
      </c>
      <c r="O160" s="11">
        <f t="shared" si="312"/>
        <v>2.9716216001485565E-2</v>
      </c>
      <c r="P160" s="11">
        <f t="shared" si="313"/>
        <v>0.10664586287849011</v>
      </c>
      <c r="Q160" s="11">
        <f t="shared" si="314"/>
        <v>5.170610574690588E-2</v>
      </c>
      <c r="R160" s="11">
        <f t="shared" si="315"/>
        <v>7.9874196882198708E-3</v>
      </c>
      <c r="S160" s="11">
        <f t="shared" si="316"/>
        <v>-5.0803457696908659E-2</v>
      </c>
      <c r="T160" s="11">
        <f t="shared" si="317"/>
        <v>6.6055190051159035E-2</v>
      </c>
      <c r="U160" s="11">
        <f t="shared" si="318"/>
        <v>7.9439680458735992E-2</v>
      </c>
      <c r="V160" s="11">
        <f t="shared" si="319"/>
        <v>-5.3874799729115623E-2</v>
      </c>
      <c r="W160" s="11">
        <f t="shared" si="320"/>
        <v>9.6677546399691616E-2</v>
      </c>
      <c r="X160" s="11">
        <f t="shared" si="321"/>
        <v>3.484974585660424E-2</v>
      </c>
      <c r="Y160" s="11">
        <f t="shared" si="322"/>
        <v>4.749192660462094E-3</v>
      </c>
      <c r="Z160" s="11">
        <f t="shared" si="323"/>
        <v>3.9595706589703988E-2</v>
      </c>
      <c r="AA160" s="11">
        <f t="shared" si="324"/>
        <v>4.4658955489165694E-2</v>
      </c>
      <c r="AB160" s="11">
        <f t="shared" si="325"/>
        <v>4.9873249046129081E-2</v>
      </c>
      <c r="AC160" s="11">
        <f t="shared" si="326"/>
        <v>-7.2937120182138146E-2</v>
      </c>
      <c r="AD160" s="11">
        <f t="shared" si="327"/>
        <v>2.308568878118224E-2</v>
      </c>
      <c r="AE160" s="11">
        <f t="shared" si="328"/>
        <v>-8.3381656460055145E-3</v>
      </c>
      <c r="AF160" s="11">
        <f t="shared" si="329"/>
        <v>5.1985991712001155E-2</v>
      </c>
      <c r="AG160" s="11">
        <f t="shared" si="330"/>
        <v>3.0156497698247228E-2</v>
      </c>
      <c r="AH160" s="11">
        <f t="shared" si="331"/>
        <v>-6.4625062432045105E-2</v>
      </c>
      <c r="AI160" s="11">
        <f t="shared" si="332"/>
        <v>4.7185786708363153E-2</v>
      </c>
      <c r="AJ160" s="11">
        <f t="shared" si="333"/>
        <v>-7.498265625429967E-3</v>
      </c>
      <c r="AK160" s="11">
        <f t="shared" si="334"/>
        <v>1.7471931958534213E-2</v>
      </c>
      <c r="AL160" s="11">
        <f t="shared" si="335"/>
        <v>-2.5655315407828831E-2</v>
      </c>
      <c r="AM160" s="11">
        <f t="shared" si="336"/>
        <v>-0.15912383925062457</v>
      </c>
      <c r="AN160" s="11">
        <f t="shared" si="337"/>
        <v>1.6529377016538907E-2</v>
      </c>
      <c r="AO160" s="11">
        <f t="shared" si="338"/>
        <v>0.17412568357387997</v>
      </c>
      <c r="AQ160" s="1">
        <f t="shared" si="339"/>
        <v>3.8560336443090391E-2</v>
      </c>
    </row>
    <row r="161" spans="1:43" ht="15">
      <c r="A161" s="8">
        <v>43586</v>
      </c>
      <c r="B161" s="11">
        <f t="shared" ref="B161:E161" si="369">LN(B33/B32)</f>
        <v>-7.3836312085815967E-2</v>
      </c>
      <c r="C161" s="11">
        <f t="shared" si="341"/>
        <v>6.3318185851588072E-3</v>
      </c>
      <c r="D161" s="11">
        <f t="shared" si="369"/>
        <v>-9.4425340306195579E-3</v>
      </c>
      <c r="E161" s="11">
        <f t="shared" si="369"/>
        <v>-2.116844258054261E-2</v>
      </c>
      <c r="F161" s="11">
        <f t="shared" si="303"/>
        <v>-7.297627557887125E-2</v>
      </c>
      <c r="G161" s="11">
        <f t="shared" si="304"/>
        <v>-3.8466771350120992E-2</v>
      </c>
      <c r="H161" s="11">
        <f t="shared" si="305"/>
        <v>-1.6448642811083995E-2</v>
      </c>
      <c r="I161" s="11">
        <f t="shared" si="306"/>
        <v>7.3803122736194632E-2</v>
      </c>
      <c r="J161" s="11">
        <f t="shared" si="307"/>
        <v>3.6771764133413917E-2</v>
      </c>
      <c r="K161" s="11">
        <f t="shared" si="308"/>
        <v>-2.811685838522137E-2</v>
      </c>
      <c r="L161" s="11">
        <f t="shared" si="309"/>
        <v>-0.12863909216984953</v>
      </c>
      <c r="M161" s="11">
        <f t="shared" si="310"/>
        <v>8.7967917658604011E-2</v>
      </c>
      <c r="N161" s="11">
        <f t="shared" si="311"/>
        <v>-5.4441871521466088E-2</v>
      </c>
      <c r="O161" s="11">
        <f t="shared" si="312"/>
        <v>-8.489529142355641E-2</v>
      </c>
      <c r="P161" s="11">
        <f t="shared" si="313"/>
        <v>-0.2537947933392381</v>
      </c>
      <c r="Q161" s="11">
        <f t="shared" si="314"/>
        <v>-0.25663963989437161</v>
      </c>
      <c r="R161" s="11">
        <f t="shared" si="315"/>
        <v>-0.28982058883510436</v>
      </c>
      <c r="S161" s="11">
        <f t="shared" si="316"/>
        <v>-0.14751135310921248</v>
      </c>
      <c r="T161" s="11">
        <f t="shared" si="317"/>
        <v>-0.23530885009364552</v>
      </c>
      <c r="U161" s="11">
        <f t="shared" si="318"/>
        <v>-7.994228620630749E-3</v>
      </c>
      <c r="V161" s="11">
        <f t="shared" si="319"/>
        <v>-0.16065014171148817</v>
      </c>
      <c r="W161" s="11">
        <f t="shared" si="320"/>
        <v>-3.5921678617390485E-2</v>
      </c>
      <c r="X161" s="11">
        <f t="shared" si="321"/>
        <v>-6.5775874062481421E-2</v>
      </c>
      <c r="Y161" s="11">
        <f t="shared" si="322"/>
        <v>-8.0598088401291082E-2</v>
      </c>
      <c r="Z161" s="11">
        <f t="shared" si="323"/>
        <v>3.5366366798007102E-3</v>
      </c>
      <c r="AA161" s="11">
        <f t="shared" si="324"/>
        <v>-0.12978102083311432</v>
      </c>
      <c r="AB161" s="11">
        <f t="shared" si="325"/>
        <v>3.2434588425963945E-2</v>
      </c>
      <c r="AC161" s="11">
        <f t="shared" si="326"/>
        <v>-0.13241810696413647</v>
      </c>
      <c r="AD161" s="11">
        <f t="shared" si="327"/>
        <v>-2.7067805614614721E-2</v>
      </c>
      <c r="AE161" s="11">
        <f t="shared" si="328"/>
        <v>-0.11534561491120134</v>
      </c>
      <c r="AF161" s="11">
        <f t="shared" si="329"/>
        <v>1.8076692141552322E-3</v>
      </c>
      <c r="AG161" s="11">
        <f t="shared" si="330"/>
        <v>-0.18412838597547235</v>
      </c>
      <c r="AH161" s="11">
        <f t="shared" si="331"/>
        <v>-6.9092629489433066E-2</v>
      </c>
      <c r="AI161" s="11">
        <f t="shared" si="332"/>
        <v>-0.20540900617482194</v>
      </c>
      <c r="AJ161" s="11">
        <f t="shared" si="333"/>
        <v>-0.19802014293690423</v>
      </c>
      <c r="AK161" s="11">
        <f t="shared" si="334"/>
        <v>-6.4843274490211752E-2</v>
      </c>
      <c r="AL161" s="11">
        <f t="shared" si="335"/>
        <v>-5.3109207830077887E-2</v>
      </c>
      <c r="AM161" s="11">
        <f t="shared" si="336"/>
        <v>-0.2539453227138731</v>
      </c>
      <c r="AN161" s="11">
        <f t="shared" si="337"/>
        <v>5.8443540144722271E-2</v>
      </c>
      <c r="AO161" s="11">
        <f t="shared" si="338"/>
        <v>-7.7291601440645119E-2</v>
      </c>
      <c r="AQ161" s="1">
        <f t="shared" si="339"/>
        <v>-6.8040888853204307E-2</v>
      </c>
    </row>
    <row r="162" spans="1:43" ht="15">
      <c r="A162" s="8">
        <v>43617</v>
      </c>
      <c r="B162" s="11">
        <f t="shared" ref="B162:E162" si="370">LN(B34/B33)</f>
        <v>6.6963563283575653E-2</v>
      </c>
      <c r="C162" s="11">
        <f t="shared" si="341"/>
        <v>5.6927065395545241E-2</v>
      </c>
      <c r="D162" s="11">
        <f t="shared" si="370"/>
        <v>-3.984236774721845E-2</v>
      </c>
      <c r="E162" s="11">
        <f t="shared" si="370"/>
        <v>-5.3415557642147338E-2</v>
      </c>
      <c r="F162" s="11">
        <f t="shared" si="303"/>
        <v>0.10883308089181458</v>
      </c>
      <c r="G162" s="11">
        <f t="shared" si="304"/>
        <v>9.5316961787308904E-2</v>
      </c>
      <c r="H162" s="11">
        <f t="shared" si="305"/>
        <v>0.1819359188163274</v>
      </c>
      <c r="I162" s="11">
        <f t="shared" si="306"/>
        <v>9.7429883839548787E-2</v>
      </c>
      <c r="J162" s="11">
        <f t="shared" si="307"/>
        <v>9.0984157284342941E-3</v>
      </c>
      <c r="K162" s="11">
        <f t="shared" si="308"/>
        <v>3.9683357976619017E-2</v>
      </c>
      <c r="L162" s="11">
        <f t="shared" si="309"/>
        <v>3.6703755554723036E-2</v>
      </c>
      <c r="M162" s="11">
        <f t="shared" si="310"/>
        <v>7.0314583655034943E-2</v>
      </c>
      <c r="N162" s="11">
        <f t="shared" si="311"/>
        <v>8.353886630967583E-2</v>
      </c>
      <c r="O162" s="11">
        <f t="shared" si="312"/>
        <v>0.11857338824940167</v>
      </c>
      <c r="P162" s="11">
        <f t="shared" si="313"/>
        <v>5.8284527144819534E-2</v>
      </c>
      <c r="Q162" s="11">
        <f t="shared" si="314"/>
        <v>0.14994693325353178</v>
      </c>
      <c r="R162" s="11">
        <f t="shared" si="315"/>
        <v>0.19373216318537215</v>
      </c>
      <c r="S162" s="11">
        <f t="shared" si="316"/>
        <v>8.9496357849104938E-2</v>
      </c>
      <c r="T162" s="11">
        <f t="shared" si="317"/>
        <v>0.13447436722796155</v>
      </c>
      <c r="U162" s="11">
        <f t="shared" si="318"/>
        <v>0.10254736874296301</v>
      </c>
      <c r="V162" s="11">
        <f t="shared" si="319"/>
        <v>0.14527357208039743</v>
      </c>
      <c r="W162" s="11">
        <f t="shared" si="320"/>
        <v>4.7128945056931638E-2</v>
      </c>
      <c r="X162" s="11">
        <f t="shared" si="321"/>
        <v>0.10701882710623643</v>
      </c>
      <c r="Y162" s="11">
        <f t="shared" si="322"/>
        <v>-1.5200810155125026E-2</v>
      </c>
      <c r="Z162" s="11">
        <f t="shared" si="323"/>
        <v>5.2111446075130061E-2</v>
      </c>
      <c r="AA162" s="11">
        <f t="shared" si="324"/>
        <v>8.7378871449265205E-2</v>
      </c>
      <c r="AB162" s="11">
        <f t="shared" si="325"/>
        <v>-4.374295484094631E-3</v>
      </c>
      <c r="AC162" s="11">
        <f t="shared" si="326"/>
        <v>0.16353898443273554</v>
      </c>
      <c r="AD162" s="11">
        <f t="shared" si="327"/>
        <v>6.3438493031798493E-2</v>
      </c>
      <c r="AE162" s="11">
        <f t="shared" si="328"/>
        <v>1.7988586104658012E-2</v>
      </c>
      <c r="AF162" s="11">
        <f t="shared" si="329"/>
        <v>2.498387701407211E-2</v>
      </c>
      <c r="AG162" s="11">
        <f t="shared" si="330"/>
        <v>0.1296963135315147</v>
      </c>
      <c r="AH162" s="11">
        <f t="shared" si="331"/>
        <v>0.1559126729041562</v>
      </c>
      <c r="AI162" s="11">
        <f t="shared" si="332"/>
        <v>6.2255315407818639E-2</v>
      </c>
      <c r="AJ162" s="11">
        <f t="shared" si="333"/>
        <v>0.1172499404044951</v>
      </c>
      <c r="AK162" s="11">
        <f t="shared" si="334"/>
        <v>7.4657835618152479E-2</v>
      </c>
      <c r="AL162" s="11">
        <f t="shared" si="335"/>
        <v>9.8732697962247748E-2</v>
      </c>
      <c r="AM162" s="11">
        <f t="shared" si="336"/>
        <v>0.18801211095612222</v>
      </c>
      <c r="AN162" s="11">
        <f t="shared" si="337"/>
        <v>0.12102484579245019</v>
      </c>
      <c r="AO162" s="11">
        <f t="shared" si="338"/>
        <v>7.1929720818700082E-2</v>
      </c>
      <c r="AQ162" s="1">
        <f t="shared" si="339"/>
        <v>6.6658319534241436E-2</v>
      </c>
    </row>
    <row r="163" spans="1:43" ht="15">
      <c r="A163" s="8">
        <v>43647</v>
      </c>
      <c r="B163" s="11">
        <f t="shared" ref="B163:E163" si="371">LN(B35/B34)</f>
        <v>-6.7260198593827716E-2</v>
      </c>
      <c r="C163" s="11">
        <f t="shared" si="341"/>
        <v>-3.6526118704342642E-3</v>
      </c>
      <c r="D163" s="11">
        <f t="shared" si="371"/>
        <v>-1.6747534842851609E-2</v>
      </c>
      <c r="E163" s="11">
        <f t="shared" si="371"/>
        <v>-8.7611490527565741E-2</v>
      </c>
      <c r="F163" s="11">
        <f t="shared" si="303"/>
        <v>1.2404039020103655E-2</v>
      </c>
      <c r="G163" s="11">
        <f t="shared" si="304"/>
        <v>-5.5355386106431585E-2</v>
      </c>
      <c r="H163" s="11">
        <f t="shared" si="305"/>
        <v>-0.20677679432763613</v>
      </c>
      <c r="I163" s="11">
        <f t="shared" si="306"/>
        <v>2.4113981943931731E-2</v>
      </c>
      <c r="J163" s="11">
        <f t="shared" si="307"/>
        <v>2.4702121266169406E-2</v>
      </c>
      <c r="K163" s="11">
        <f t="shared" si="308"/>
        <v>2.5010341167478016E-2</v>
      </c>
      <c r="L163" s="11">
        <f t="shared" si="309"/>
        <v>-2.6678608935344406E-2</v>
      </c>
      <c r="M163" s="11">
        <f t="shared" si="310"/>
        <v>5.3217328186137607E-2</v>
      </c>
      <c r="N163" s="11">
        <f t="shared" si="311"/>
        <v>1.7096817418547149E-2</v>
      </c>
      <c r="O163" s="11">
        <f t="shared" si="312"/>
        <v>-1.1830282490942661E-2</v>
      </c>
      <c r="P163" s="11">
        <f t="shared" si="313"/>
        <v>4.4298957320827267E-2</v>
      </c>
      <c r="Q163" s="11">
        <f t="shared" si="314"/>
        <v>-5.2672734162490988E-3</v>
      </c>
      <c r="R163" s="11">
        <f t="shared" si="315"/>
        <v>2.6972707150345838E-2</v>
      </c>
      <c r="S163" s="11">
        <f t="shared" si="316"/>
        <v>5.4474055065716703E-2</v>
      </c>
      <c r="T163" s="11">
        <f t="shared" si="317"/>
        <v>1.6914256526936282E-2</v>
      </c>
      <c r="U163" s="11">
        <f t="shared" si="318"/>
        <v>2.6307150982485847E-3</v>
      </c>
      <c r="V163" s="11">
        <f t="shared" si="319"/>
        <v>-3.1967325065512663E-2</v>
      </c>
      <c r="W163" s="11">
        <f t="shared" si="320"/>
        <v>1.0218220656515427E-2</v>
      </c>
      <c r="X163" s="11">
        <f t="shared" si="321"/>
        <v>2.0034150417015322E-2</v>
      </c>
      <c r="Y163" s="11">
        <f t="shared" si="322"/>
        <v>8.8069965908158632E-2</v>
      </c>
      <c r="Z163" s="11">
        <f t="shared" si="323"/>
        <v>1.4627900956954104E-2</v>
      </c>
      <c r="AA163" s="11">
        <f t="shared" si="324"/>
        <v>2.4474730556068656E-2</v>
      </c>
      <c r="AB163" s="11">
        <f t="shared" si="325"/>
        <v>-0.12698234395986804</v>
      </c>
      <c r="AC163" s="11">
        <f t="shared" si="326"/>
        <v>-5.7636874205242708E-3</v>
      </c>
      <c r="AD163" s="11">
        <f t="shared" si="327"/>
        <v>7.3729990731218137E-2</v>
      </c>
      <c r="AE163" s="11">
        <f t="shared" si="328"/>
        <v>7.7666837958700441E-2</v>
      </c>
      <c r="AF163" s="11">
        <f t="shared" si="329"/>
        <v>-3.0307767146764746E-2</v>
      </c>
      <c r="AG163" s="11">
        <f t="shared" si="330"/>
        <v>3.0771647752819146E-2</v>
      </c>
      <c r="AH163" s="11">
        <f t="shared" si="331"/>
        <v>-8.3128235960988395E-2</v>
      </c>
      <c r="AI163" s="11">
        <f t="shared" si="332"/>
        <v>4.1751897834966349E-2</v>
      </c>
      <c r="AJ163" s="11">
        <f t="shared" si="333"/>
        <v>6.2735926380352039E-2</v>
      </c>
      <c r="AK163" s="11">
        <f t="shared" si="334"/>
        <v>7.721686216865882E-2</v>
      </c>
      <c r="AL163" s="11">
        <f t="shared" si="335"/>
        <v>-1.0746112395727871E-2</v>
      </c>
      <c r="AM163" s="11">
        <f t="shared" si="336"/>
        <v>7.8092428813372333E-2</v>
      </c>
      <c r="AN163" s="11">
        <f t="shared" si="337"/>
        <v>-2.1081731987790827E-3</v>
      </c>
      <c r="AO163" s="11">
        <f t="shared" si="338"/>
        <v>-7.0879934289559909E-2</v>
      </c>
      <c r="AQ163" s="1">
        <f t="shared" si="339"/>
        <v>1.3042767473010496E-2</v>
      </c>
    </row>
    <row r="164" spans="1:43" ht="15">
      <c r="A164" s="8">
        <v>43678</v>
      </c>
      <c r="B164" s="11">
        <f t="shared" ref="B164:E164" si="372">LN(B36/B35)</f>
        <v>-1.4386800226432623E-2</v>
      </c>
      <c r="C164" s="11">
        <f t="shared" si="341"/>
        <v>4.1077441202078374E-2</v>
      </c>
      <c r="D164" s="11">
        <f t="shared" si="372"/>
        <v>3.6233424062906423E-2</v>
      </c>
      <c r="E164" s="11">
        <f t="shared" si="372"/>
        <v>1.8363636629003352E-3</v>
      </c>
      <c r="F164" s="11">
        <f t="shared" ref="F164:F189" si="373">LN(G36/G35)</f>
        <v>0.11165388843961889</v>
      </c>
      <c r="G164" s="11">
        <f t="shared" ref="G164:G189" si="374">LN(I36/I35)</f>
        <v>3.3221920962003E-2</v>
      </c>
      <c r="H164" s="11">
        <f t="shared" ref="H164:H189" si="375">LN(J36/J35)</f>
        <v>-6.2149767157539858E-2</v>
      </c>
      <c r="I164" s="11">
        <f t="shared" ref="I164:I189" si="376">LN(K36/K35)</f>
        <v>2.6899608927520413E-2</v>
      </c>
      <c r="J164" s="11">
        <f t="shared" ref="J164:J189" si="377">LN(P36/P35)</f>
        <v>-6.2171698625957485E-2</v>
      </c>
      <c r="K164" s="11">
        <f t="shared" ref="K164:K189" si="378">LN(Q36/Q35)</f>
        <v>9.5459400398404351E-2</v>
      </c>
      <c r="L164" s="11">
        <f t="shared" ref="L164:L189" si="379">LN(S36/S35)</f>
        <v>-4.947125969273547E-2</v>
      </c>
      <c r="M164" s="11">
        <f t="shared" ref="M164:M189" si="380">LN(AB36/AB35)</f>
        <v>7.9146001663307666E-2</v>
      </c>
      <c r="N164" s="11">
        <f t="shared" ref="N164:N189" si="381">LN(AD36/AD35)</f>
        <v>1.1600184470720511E-2</v>
      </c>
      <c r="O164" s="11">
        <f t="shared" ref="O164:O189" si="382">LN(AF36/AF35)</f>
        <v>-7.4258071385090635E-2</v>
      </c>
      <c r="P164" s="11">
        <f t="shared" ref="P164:P189" si="383">LN(AH36/AH35)</f>
        <v>-1.4170404522386233E-2</v>
      </c>
      <c r="Q164" s="11">
        <f t="shared" ref="Q164:Q189" si="384">LN(AK36/AK35)</f>
        <v>7.546525817026925E-2</v>
      </c>
      <c r="R164" s="11">
        <f t="shared" ref="R164:R189" si="385">LN(AM36/AM35)</f>
        <v>-7.1973807250359451E-3</v>
      </c>
      <c r="S164" s="11">
        <f t="shared" ref="S164:S189" si="386">LN(AN36/AN35)</f>
        <v>-6.4129920538882501E-2</v>
      </c>
      <c r="T164" s="11">
        <f t="shared" ref="T164:T189" si="387">LN(AO36/AO35)</f>
        <v>-2.5672431519863505E-2</v>
      </c>
      <c r="U164" s="11">
        <f t="shared" ref="U164:U189" si="388">LN(AR36/AR35)</f>
        <v>3.2312988990543461E-2</v>
      </c>
      <c r="V164" s="11">
        <f t="shared" ref="V164:V189" si="389">LN(AW36/AW35)</f>
        <v>-9.3071966462864114E-2</v>
      </c>
      <c r="W164" s="11">
        <f t="shared" ref="W164:W189" si="390">LN(BA36/BA35)</f>
        <v>-5.7690828011348075E-2</v>
      </c>
      <c r="X164" s="11">
        <f t="shared" ref="X164:X189" si="391">LN(BE36/BE35)</f>
        <v>-0.14007072337756393</v>
      </c>
      <c r="Y164" s="11">
        <f t="shared" ref="Y164:Y189" si="392">LN(BI36/BI35)</f>
        <v>-0.2386693034736394</v>
      </c>
      <c r="Z164" s="11">
        <f t="shared" ref="Z164:Z189" si="393">LN(BK36/BK35)</f>
        <v>3.3827159604299988E-2</v>
      </c>
      <c r="AA164" s="11">
        <f t="shared" ref="AA164:AA189" si="394">LN(BN36/BN35)</f>
        <v>-1.7944480878412911E-2</v>
      </c>
      <c r="AB164" s="11">
        <f t="shared" ref="AB164:AB189" si="395">LN(BV36/BV35)</f>
        <v>-7.5093074594612633E-2</v>
      </c>
      <c r="AC164" s="11">
        <f t="shared" ref="AC164:AC189" si="396">LN(BW36/BW35)</f>
        <v>-0.45220541791047408</v>
      </c>
      <c r="AD164" s="11">
        <f t="shared" ref="AD164:AD189" si="397">LN(BZ36/BZ35)</f>
        <v>2.4838430465589704E-2</v>
      </c>
      <c r="AE164" s="11">
        <f t="shared" ref="AE164:AE189" si="398">LN(CC36/CC35)</f>
        <v>-0.14824805909414954</v>
      </c>
      <c r="AF164" s="11">
        <f t="shared" ref="AF164:AF189" si="399">LN(CD36/CD35)</f>
        <v>4.9645123284722051E-2</v>
      </c>
      <c r="AG164" s="11">
        <f t="shared" ref="AG164:AG189" si="400">LN(CK36/CK35)</f>
        <v>-0.22658587442999875</v>
      </c>
      <c r="AH164" s="11">
        <f t="shared" ref="AH164:AH189" si="401">LN(CS36/CS35)</f>
        <v>0.15686550834199384</v>
      </c>
      <c r="AI164" s="11">
        <f t="shared" ref="AI164:AI189" si="402">LN(CW36/CW35)</f>
        <v>-7.2462799100888556E-2</v>
      </c>
      <c r="AJ164" s="11">
        <f t="shared" ref="AJ164:AJ189" si="403">LN(DC36/DC35)</f>
        <v>-1.0749409301215823E-2</v>
      </c>
      <c r="AK164" s="11">
        <f t="shared" ref="AK164:AK189" si="404">LN(DF36/DF35)</f>
        <v>-5.1815684624928644E-2</v>
      </c>
      <c r="AL164" s="11">
        <f t="shared" ref="AL164:AL189" si="405">LN(DJ36/DJ35)</f>
        <v>-4.476935290285286E-2</v>
      </c>
      <c r="AM164" s="11">
        <f t="shared" ref="AM164:AM189" si="406">LN(DW36/DW35)</f>
        <v>-6.8517011049904403E-2</v>
      </c>
      <c r="AN164" s="11">
        <f t="shared" ref="AN164:AN189" si="407">LN(DX36/DX35)</f>
        <v>-2.0890025583818216E-2</v>
      </c>
      <c r="AO164" s="11">
        <f t="shared" ref="AO164:AO189" si="408">LN(DZ36/DZ35)</f>
        <v>-2.3692345720289252E-2</v>
      </c>
      <c r="AQ164" s="1">
        <f t="shared" ref="AQ164:AQ189" si="409">LN(EA36/EA35)</f>
        <v>-1.8257307714875135E-2</v>
      </c>
    </row>
    <row r="165" spans="1:43" ht="15">
      <c r="A165" s="8">
        <v>43709</v>
      </c>
      <c r="B165" s="11">
        <f t="shared" ref="B165:E165" si="410">LN(B37/B36)</f>
        <v>1.5380670896516502E-2</v>
      </c>
      <c r="C165" s="11">
        <f t="shared" si="341"/>
        <v>-2.6840349877815459E-2</v>
      </c>
      <c r="D165" s="11">
        <f t="shared" si="410"/>
        <v>-4.5521287183553551E-3</v>
      </c>
      <c r="E165" s="11">
        <f t="shared" si="410"/>
        <v>0.14133461596474495</v>
      </c>
      <c r="F165" s="11">
        <f t="shared" si="373"/>
        <v>-6.8125113783366775E-2</v>
      </c>
      <c r="G165" s="11">
        <f t="shared" si="374"/>
        <v>1.4559409998011729E-2</v>
      </c>
      <c r="H165" s="11">
        <f t="shared" si="375"/>
        <v>7.818722155404717E-2</v>
      </c>
      <c r="I165" s="11">
        <f t="shared" si="376"/>
        <v>-6.3439288879635458E-2</v>
      </c>
      <c r="J165" s="11">
        <f t="shared" si="377"/>
        <v>-7.3950202477094162E-2</v>
      </c>
      <c r="K165" s="11">
        <f t="shared" si="378"/>
        <v>3.4683709612011768E-2</v>
      </c>
      <c r="L165" s="11">
        <f t="shared" si="379"/>
        <v>-4.4592814031342201E-2</v>
      </c>
      <c r="M165" s="11">
        <f t="shared" si="380"/>
        <v>-2.764771381254813E-2</v>
      </c>
      <c r="N165" s="11">
        <f t="shared" si="381"/>
        <v>1.1775545209129486E-2</v>
      </c>
      <c r="O165" s="11">
        <f t="shared" si="382"/>
        <v>5.5481733784779726E-2</v>
      </c>
      <c r="P165" s="11">
        <f t="shared" si="383"/>
        <v>-3.1040070538485377E-2</v>
      </c>
      <c r="Q165" s="11">
        <f t="shared" si="384"/>
        <v>1.9404363568860935E-2</v>
      </c>
      <c r="R165" s="11">
        <f t="shared" si="385"/>
        <v>3.9403933679033332E-2</v>
      </c>
      <c r="S165" s="11">
        <f t="shared" si="386"/>
        <v>9.0060159329966347E-2</v>
      </c>
      <c r="T165" s="11">
        <f t="shared" si="387"/>
        <v>-2.3519380301867475E-2</v>
      </c>
      <c r="U165" s="11">
        <f t="shared" si="388"/>
        <v>-8.1448040212885486E-2</v>
      </c>
      <c r="V165" s="11">
        <f t="shared" si="389"/>
        <v>-7.819754187840805E-2</v>
      </c>
      <c r="W165" s="11">
        <f t="shared" si="390"/>
        <v>-3.0990088799521649E-2</v>
      </c>
      <c r="X165" s="11">
        <f t="shared" si="391"/>
        <v>3.3865010457261285E-2</v>
      </c>
      <c r="Y165" s="11">
        <f t="shared" si="392"/>
        <v>6.791885931687032E-2</v>
      </c>
      <c r="Z165" s="11">
        <f t="shared" si="393"/>
        <v>-9.79505778451213E-3</v>
      </c>
      <c r="AA165" s="11">
        <f t="shared" si="394"/>
        <v>0.10827176083476027</v>
      </c>
      <c r="AB165" s="11">
        <f t="shared" si="395"/>
        <v>7.5338308487665873E-2</v>
      </c>
      <c r="AC165" s="11">
        <f t="shared" si="396"/>
        <v>0.18591971410568833</v>
      </c>
      <c r="AD165" s="11">
        <f t="shared" si="397"/>
        <v>3.3935108188959943E-2</v>
      </c>
      <c r="AE165" s="11">
        <f t="shared" si="398"/>
        <v>5.1896873263733954E-2</v>
      </c>
      <c r="AF165" s="11">
        <f t="shared" si="399"/>
        <v>-4.2219401381672912E-2</v>
      </c>
      <c r="AG165" s="11">
        <f t="shared" si="400"/>
        <v>0.10609829154931054</v>
      </c>
      <c r="AH165" s="11">
        <f t="shared" si="401"/>
        <v>0.134435529032324</v>
      </c>
      <c r="AI165" s="11">
        <f t="shared" si="402"/>
        <v>-8.5791000325870267E-2</v>
      </c>
      <c r="AJ165" s="11">
        <f t="shared" si="403"/>
        <v>3.0847572199895756E-2</v>
      </c>
      <c r="AK165" s="11">
        <f t="shared" si="404"/>
        <v>7.6857820657093678E-2</v>
      </c>
      <c r="AL165" s="11">
        <f t="shared" si="405"/>
        <v>1.7674671397152102E-2</v>
      </c>
      <c r="AM165" s="11">
        <f t="shared" si="406"/>
        <v>6.5449523982042485E-2</v>
      </c>
      <c r="AN165" s="11">
        <f t="shared" si="407"/>
        <v>-2.3474529108351589E-2</v>
      </c>
      <c r="AO165" s="11">
        <f t="shared" si="408"/>
        <v>-1.0911062286383434E-3</v>
      </c>
      <c r="AQ165" s="1">
        <f t="shared" si="409"/>
        <v>1.7035240523677681E-2</v>
      </c>
    </row>
    <row r="166" spans="1:43" ht="15">
      <c r="A166" s="8">
        <v>43739</v>
      </c>
      <c r="B166" s="11">
        <f t="shared" ref="B166:E166" si="411">LN(B38/B37)</f>
        <v>2.0351149155606027E-2</v>
      </c>
      <c r="C166" s="11">
        <f t="shared" si="341"/>
        <v>3.5658886480469283E-2</v>
      </c>
      <c r="D166" s="11">
        <f t="shared" si="411"/>
        <v>1.877992055713652E-2</v>
      </c>
      <c r="E166" s="11">
        <f t="shared" si="411"/>
        <v>4.9343542281305018E-2</v>
      </c>
      <c r="F166" s="11">
        <f t="shared" si="373"/>
        <v>9.7135814251081365E-2</v>
      </c>
      <c r="G166" s="11">
        <f t="shared" si="374"/>
        <v>3.674892489309884E-2</v>
      </c>
      <c r="H166" s="11">
        <f t="shared" si="375"/>
        <v>-2.9014607432667233E-2</v>
      </c>
      <c r="I166" s="11">
        <f t="shared" si="376"/>
        <v>4.697958713851904E-2</v>
      </c>
      <c r="J166" s="11">
        <f t="shared" si="377"/>
        <v>0.15553663388584177</v>
      </c>
      <c r="K166" s="11">
        <f t="shared" si="378"/>
        <v>5.1301082748233591E-2</v>
      </c>
      <c r="L166" s="11">
        <f t="shared" si="379"/>
        <v>9.90392083641915E-2</v>
      </c>
      <c r="M166" s="11">
        <f t="shared" si="380"/>
        <v>9.0582892974541904E-2</v>
      </c>
      <c r="N166" s="11">
        <f t="shared" si="381"/>
        <v>3.0738755619184176E-2</v>
      </c>
      <c r="O166" s="11">
        <f t="shared" si="382"/>
        <v>-9.8612826808211779E-3</v>
      </c>
      <c r="P166" s="11">
        <f t="shared" si="383"/>
        <v>6.0655274566755221E-2</v>
      </c>
      <c r="Q166" s="11">
        <f t="shared" si="384"/>
        <v>-3.2254033784795355E-2</v>
      </c>
      <c r="R166" s="11">
        <f t="shared" si="385"/>
        <v>0.14394670470376864</v>
      </c>
      <c r="S166" s="11">
        <f t="shared" si="386"/>
        <v>9.2607024293331314E-2</v>
      </c>
      <c r="T166" s="11">
        <f t="shared" si="387"/>
        <v>6.8165677223071749E-2</v>
      </c>
      <c r="U166" s="11">
        <f t="shared" si="388"/>
        <v>0.15734863586257469</v>
      </c>
      <c r="V166" s="11">
        <f t="shared" si="389"/>
        <v>-5.5307706294874914E-2</v>
      </c>
      <c r="W166" s="11">
        <f t="shared" si="390"/>
        <v>-2.6303126814622411E-2</v>
      </c>
      <c r="X166" s="11">
        <f t="shared" si="391"/>
        <v>-7.7022670220254372E-2</v>
      </c>
      <c r="Y166" s="11">
        <f t="shared" si="392"/>
        <v>-0.23897619333444481</v>
      </c>
      <c r="Z166" s="11">
        <f t="shared" si="393"/>
        <v>-8.7608897123381074E-2</v>
      </c>
      <c r="AA166" s="11">
        <f t="shared" si="394"/>
        <v>-4.764632909485314E-2</v>
      </c>
      <c r="AB166" s="11">
        <f t="shared" si="395"/>
        <v>0.10743384007335785</v>
      </c>
      <c r="AC166" s="11">
        <f t="shared" si="396"/>
        <v>-0.13945581889190256</v>
      </c>
      <c r="AD166" s="11">
        <f t="shared" si="397"/>
        <v>1.0443785820816967E-3</v>
      </c>
      <c r="AE166" s="11">
        <f t="shared" si="398"/>
        <v>8.6438256217241022E-2</v>
      </c>
      <c r="AF166" s="11">
        <f t="shared" si="399"/>
        <v>1.6663991633667245E-4</v>
      </c>
      <c r="AG166" s="11">
        <f t="shared" si="400"/>
        <v>0.14611512401331811</v>
      </c>
      <c r="AH166" s="11">
        <f t="shared" si="401"/>
        <v>1.3266759866118284E-2</v>
      </c>
      <c r="AI166" s="11">
        <f t="shared" si="402"/>
        <v>5.1517957837016931E-2</v>
      </c>
      <c r="AJ166" s="11">
        <f t="shared" si="403"/>
        <v>-5.2590751729567377E-2</v>
      </c>
      <c r="AK166" s="11">
        <f t="shared" si="404"/>
        <v>-1.516822147317143E-2</v>
      </c>
      <c r="AL166" s="11">
        <f t="shared" si="405"/>
        <v>-2.0959448629775421E-2</v>
      </c>
      <c r="AM166" s="11">
        <f t="shared" si="406"/>
        <v>0.26806126945156422</v>
      </c>
      <c r="AN166" s="11">
        <f t="shared" si="407"/>
        <v>3.8386437250732583E-2</v>
      </c>
      <c r="AO166" s="11">
        <f t="shared" si="408"/>
        <v>-6.4247360319268448E-2</v>
      </c>
      <c r="AQ166" s="1">
        <f t="shared" si="409"/>
        <v>2.0225819582931022E-2</v>
      </c>
    </row>
    <row r="167" spans="1:43" ht="15">
      <c r="A167" s="8">
        <v>43770</v>
      </c>
      <c r="B167" s="11">
        <f t="shared" ref="B167:E167" si="412">LN(B39/B38)</f>
        <v>4.0445598479767163E-2</v>
      </c>
      <c r="C167" s="11">
        <f t="shared" si="341"/>
        <v>5.9823557623056561E-3</v>
      </c>
      <c r="D167" s="11">
        <f t="shared" si="412"/>
        <v>2.9401857141715837E-2</v>
      </c>
      <c r="E167" s="11">
        <f t="shared" si="412"/>
        <v>0.11235440750396471</v>
      </c>
      <c r="F167" s="11">
        <f t="shared" si="373"/>
        <v>9.5928020602966527E-2</v>
      </c>
      <c r="G167" s="11">
        <f t="shared" si="374"/>
        <v>3.8873059028696949E-2</v>
      </c>
      <c r="H167" s="11">
        <f t="shared" si="375"/>
        <v>8.1956663487898165E-2</v>
      </c>
      <c r="I167" s="11">
        <f t="shared" si="376"/>
        <v>-0.12476323696166274</v>
      </c>
      <c r="J167" s="11">
        <f t="shared" si="377"/>
        <v>0.10212234680683403</v>
      </c>
      <c r="K167" s="11">
        <f t="shared" si="378"/>
        <v>0.13307566096685441</v>
      </c>
      <c r="L167" s="11">
        <f t="shared" si="379"/>
        <v>0.18629692779560461</v>
      </c>
      <c r="M167" s="11">
        <f t="shared" si="380"/>
        <v>1.1293623657474451E-2</v>
      </c>
      <c r="N167" s="11">
        <f t="shared" si="381"/>
        <v>5.4365055032012798E-2</v>
      </c>
      <c r="O167" s="11">
        <f t="shared" si="382"/>
        <v>3.4281602550165102E-2</v>
      </c>
      <c r="P167" s="11">
        <f t="shared" si="383"/>
        <v>0.25366847512900864</v>
      </c>
      <c r="Q167" s="11">
        <f t="shared" si="384"/>
        <v>8.4604877054356029E-2</v>
      </c>
      <c r="R167" s="11">
        <f t="shared" si="385"/>
        <v>7.5294237014539175E-2</v>
      </c>
      <c r="S167" s="11">
        <f t="shared" si="386"/>
        <v>2.6533379288906908E-2</v>
      </c>
      <c r="T167" s="11">
        <f t="shared" si="387"/>
        <v>7.6745706049851842E-2</v>
      </c>
      <c r="U167" s="11">
        <f t="shared" si="388"/>
        <v>0.14310084364067324</v>
      </c>
      <c r="V167" s="11">
        <f t="shared" si="389"/>
        <v>2.2232809203642279E-2</v>
      </c>
      <c r="W167" s="11">
        <f t="shared" si="390"/>
        <v>0.13514781583269428</v>
      </c>
      <c r="X167" s="11">
        <f t="shared" si="391"/>
        <v>0.14497962313791513</v>
      </c>
      <c r="Y167" s="11">
        <f t="shared" si="392"/>
        <v>-2.503544500769107E-2</v>
      </c>
      <c r="Z167" s="11">
        <f t="shared" si="393"/>
        <v>-1.135061120739559E-2</v>
      </c>
      <c r="AA167" s="11">
        <f t="shared" si="394"/>
        <v>4.3057337502626532E-2</v>
      </c>
      <c r="AB167" s="11">
        <f t="shared" si="395"/>
        <v>8.0195390908839356E-2</v>
      </c>
      <c r="AC167" s="11">
        <f t="shared" si="396"/>
        <v>0.11621691652665896</v>
      </c>
      <c r="AD167" s="11">
        <f t="shared" si="397"/>
        <v>-1.3506210717090676E-2</v>
      </c>
      <c r="AE167" s="11">
        <f t="shared" si="398"/>
        <v>1.8130117471130483E-2</v>
      </c>
      <c r="AF167" s="11">
        <f t="shared" si="399"/>
        <v>-2.8264970686858763E-3</v>
      </c>
      <c r="AG167" s="11">
        <f t="shared" si="400"/>
        <v>-5.8268724302966278E-2</v>
      </c>
      <c r="AH167" s="11">
        <f t="shared" si="401"/>
        <v>1.3092483419391857E-2</v>
      </c>
      <c r="AI167" s="11">
        <f t="shared" si="402"/>
        <v>4.7272598194912745E-2</v>
      </c>
      <c r="AJ167" s="11">
        <f t="shared" si="403"/>
        <v>-3.8145814251292587E-3</v>
      </c>
      <c r="AK167" s="11">
        <f t="shared" si="404"/>
        <v>0.10891314953941332</v>
      </c>
      <c r="AL167" s="11">
        <f t="shared" si="405"/>
        <v>8.4875616902641126E-3</v>
      </c>
      <c r="AM167" s="11">
        <f t="shared" si="406"/>
        <v>4.6592181431511857E-2</v>
      </c>
      <c r="AN167" s="11">
        <f t="shared" si="407"/>
        <v>4.9646432276245933E-2</v>
      </c>
      <c r="AO167" s="11">
        <f t="shared" si="408"/>
        <v>6.9548587018586114E-2</v>
      </c>
      <c r="AQ167" s="1">
        <f t="shared" si="409"/>
        <v>3.3480291579323126E-2</v>
      </c>
    </row>
    <row r="168" spans="1:43" ht="15">
      <c r="A168" s="8">
        <v>43800</v>
      </c>
      <c r="B168" s="11">
        <f t="shared" ref="B168:E168" si="413">LN(B40/B39)</f>
        <v>6.6069682194670645E-2</v>
      </c>
      <c r="C168" s="11">
        <f t="shared" si="341"/>
        <v>4.2335164227665985E-2</v>
      </c>
      <c r="D168" s="11">
        <f t="shared" si="413"/>
        <v>0.11904802242424554</v>
      </c>
      <c r="E168" s="11">
        <f t="shared" si="413"/>
        <v>9.1904968004807002E-3</v>
      </c>
      <c r="F168" s="11">
        <f t="shared" si="373"/>
        <v>3.3316712900715903E-2</v>
      </c>
      <c r="G168" s="11">
        <f t="shared" si="374"/>
        <v>3.4191101226590921E-2</v>
      </c>
      <c r="H168" s="11">
        <f t="shared" si="375"/>
        <v>3.365834963906867E-2</v>
      </c>
      <c r="I168" s="11">
        <f t="shared" si="376"/>
        <v>3.7257337200348337E-2</v>
      </c>
      <c r="J168" s="11">
        <f t="shared" si="377"/>
        <v>4.9186444111839575E-2</v>
      </c>
      <c r="K168" s="11">
        <f t="shared" si="378"/>
        <v>-1.3105320279580031E-2</v>
      </c>
      <c r="L168" s="11">
        <f t="shared" si="379"/>
        <v>1.7408563428263909E-2</v>
      </c>
      <c r="M168" s="11">
        <f t="shared" si="380"/>
        <v>3.7971311583245758E-2</v>
      </c>
      <c r="N168" s="11">
        <f t="shared" si="381"/>
        <v>4.4298287865839218E-2</v>
      </c>
      <c r="O168" s="11">
        <f t="shared" si="382"/>
        <v>-5.793424668637074E-2</v>
      </c>
      <c r="P168" s="11">
        <f t="shared" si="383"/>
        <v>1.5575903701060476E-2</v>
      </c>
      <c r="Q168" s="11">
        <f t="shared" si="384"/>
        <v>2.9694907000177625E-2</v>
      </c>
      <c r="R168" s="11">
        <f t="shared" si="385"/>
        <v>8.2900288723564156E-2</v>
      </c>
      <c r="S168" s="11">
        <f t="shared" si="386"/>
        <v>3.6025310267729108E-2</v>
      </c>
      <c r="T168" s="11">
        <f t="shared" si="387"/>
        <v>-6.0101826196974357E-4</v>
      </c>
      <c r="U168" s="11">
        <f t="shared" si="388"/>
        <v>0.15819285499294639</v>
      </c>
      <c r="V168" s="11">
        <f t="shared" si="389"/>
        <v>5.6246268537753739E-2</v>
      </c>
      <c r="W168" s="11">
        <f t="shared" si="390"/>
        <v>-2.547051044460567E-3</v>
      </c>
      <c r="X168" s="11">
        <f t="shared" si="391"/>
        <v>2.3136603987352348E-2</v>
      </c>
      <c r="Y168" s="11">
        <f t="shared" si="392"/>
        <v>2.0755677240830592E-2</v>
      </c>
      <c r="Z168" s="11">
        <f t="shared" si="393"/>
        <v>2.2354891125005837E-2</v>
      </c>
      <c r="AA168" s="11">
        <f t="shared" si="394"/>
        <v>8.2936566794706457E-2</v>
      </c>
      <c r="AB168" s="11">
        <f t="shared" si="395"/>
        <v>-1.7682895467946705E-3</v>
      </c>
      <c r="AC168" s="11">
        <f t="shared" si="396"/>
        <v>-3.5704121902690414E-2</v>
      </c>
      <c r="AD168" s="11">
        <f t="shared" si="397"/>
        <v>2.3001473153915906E-2</v>
      </c>
      <c r="AE168" s="11">
        <f t="shared" si="398"/>
        <v>2.5712684372738305E-2</v>
      </c>
      <c r="AF168" s="11">
        <f t="shared" si="399"/>
        <v>-3.9778928767568923E-2</v>
      </c>
      <c r="AG168" s="11">
        <f t="shared" si="400"/>
        <v>6.4148316022981294E-2</v>
      </c>
      <c r="AH168" s="11">
        <f t="shared" si="401"/>
        <v>1.2000990483820653E-2</v>
      </c>
      <c r="AI168" s="11">
        <f t="shared" si="402"/>
        <v>-5.6815951632266569E-2</v>
      </c>
      <c r="AJ168" s="11">
        <f t="shared" si="403"/>
        <v>-3.9303157844898767E-2</v>
      </c>
      <c r="AK168" s="11">
        <f t="shared" si="404"/>
        <v>4.2985607416245299E-3</v>
      </c>
      <c r="AL168" s="11">
        <f t="shared" si="405"/>
        <v>3.8253805191271952E-2</v>
      </c>
      <c r="AM168" s="11">
        <f t="shared" si="406"/>
        <v>0.2373597749907605</v>
      </c>
      <c r="AN168" s="11">
        <f t="shared" si="407"/>
        <v>-1.6356812558632385E-2</v>
      </c>
      <c r="AO168" s="11">
        <f t="shared" si="408"/>
        <v>2.6145209131838747E-2</v>
      </c>
      <c r="AQ168" s="1">
        <f t="shared" si="409"/>
        <v>2.818874101228944E-2</v>
      </c>
    </row>
    <row r="169" spans="1:43" ht="15">
      <c r="A169" s="8">
        <v>43831</v>
      </c>
      <c r="B169" s="11">
        <f t="shared" ref="B169:E169" si="414">LN(B41/B40)</f>
        <v>2.0357157476123534E-2</v>
      </c>
      <c r="C169" s="11">
        <f t="shared" si="341"/>
        <v>-5.5661972086559652E-2</v>
      </c>
      <c r="D169" s="11">
        <f t="shared" si="414"/>
        <v>6.0593392861906417E-2</v>
      </c>
      <c r="E169" s="11">
        <f t="shared" si="414"/>
        <v>-8.875836335936306E-2</v>
      </c>
      <c r="F169" s="11">
        <f t="shared" si="373"/>
        <v>-0.10957749733182652</v>
      </c>
      <c r="G169" s="11">
        <f t="shared" si="374"/>
        <v>-3.6021842162883656E-2</v>
      </c>
      <c r="H169" s="11">
        <f t="shared" si="375"/>
        <v>-0.13422925641433081</v>
      </c>
      <c r="I169" s="11">
        <f t="shared" si="376"/>
        <v>3.7137352956827865E-2</v>
      </c>
      <c r="J169" s="11">
        <f t="shared" si="377"/>
        <v>-7.2219524556290882E-2</v>
      </c>
      <c r="K169" s="11">
        <f t="shared" si="378"/>
        <v>-9.111896951796411E-2</v>
      </c>
      <c r="L169" s="11">
        <f t="shared" si="379"/>
        <v>-0.10533684253628742</v>
      </c>
      <c r="M169" s="11">
        <f t="shared" si="380"/>
        <v>2.5483620403323057E-2</v>
      </c>
      <c r="N169" s="11">
        <f t="shared" si="381"/>
        <v>7.6455453133070783E-2</v>
      </c>
      <c r="O169" s="11">
        <f t="shared" si="382"/>
        <v>-1.0054003078121617E-2</v>
      </c>
      <c r="P169" s="11">
        <f t="shared" si="383"/>
        <v>7.7474349000315509E-2</v>
      </c>
      <c r="Q169" s="11">
        <f t="shared" si="384"/>
        <v>0.1076305922150872</v>
      </c>
      <c r="R169" s="11">
        <f t="shared" si="385"/>
        <v>4.7910038689707715E-3</v>
      </c>
      <c r="S169" s="11">
        <f t="shared" si="386"/>
        <v>6.5947321604850548E-2</v>
      </c>
      <c r="T169" s="11">
        <f t="shared" si="387"/>
        <v>-2.4890714940830554E-2</v>
      </c>
      <c r="U169" s="11">
        <f t="shared" si="388"/>
        <v>2.4554324280300174E-2</v>
      </c>
      <c r="V169" s="11">
        <f t="shared" si="389"/>
        <v>-0.14610278638869084</v>
      </c>
      <c r="W169" s="11">
        <f t="shared" si="390"/>
        <v>0.18068495807175586</v>
      </c>
      <c r="X169" s="11">
        <f t="shared" si="391"/>
        <v>4.5419802239269412E-2</v>
      </c>
      <c r="Y169" s="11">
        <f t="shared" si="392"/>
        <v>9.6950532847966342E-2</v>
      </c>
      <c r="Z169" s="11">
        <f t="shared" si="393"/>
        <v>7.9540406294130048E-2</v>
      </c>
      <c r="AA169" s="11">
        <f t="shared" si="394"/>
        <v>-5.0716697207502819E-2</v>
      </c>
      <c r="AB169" s="11">
        <f t="shared" si="395"/>
        <v>-3.9594755199626776E-2</v>
      </c>
      <c r="AC169" s="11">
        <f t="shared" si="396"/>
        <v>0.24541058234916424</v>
      </c>
      <c r="AD169" s="11">
        <f t="shared" si="397"/>
        <v>-2.2443148447373268E-3</v>
      </c>
      <c r="AE169" s="11">
        <f t="shared" si="398"/>
        <v>-1.4783881464989186E-2</v>
      </c>
      <c r="AF169" s="11">
        <f t="shared" si="399"/>
        <v>4.4474619629322233E-2</v>
      </c>
      <c r="AG169" s="11">
        <f t="shared" si="400"/>
        <v>-9.5621433489013474E-2</v>
      </c>
      <c r="AH169" s="11">
        <f t="shared" si="401"/>
        <v>1.6000798483600618E-2</v>
      </c>
      <c r="AI169" s="11">
        <f t="shared" si="402"/>
        <v>-4.0190591228858631E-2</v>
      </c>
      <c r="AJ169" s="11">
        <f t="shared" si="403"/>
        <v>-0.21278082501240084</v>
      </c>
      <c r="AK169" s="11">
        <f t="shared" si="404"/>
        <v>3.0340268846181663E-2</v>
      </c>
      <c r="AL169" s="11">
        <f t="shared" si="405"/>
        <v>-0.11759634040498455</v>
      </c>
      <c r="AM169" s="11">
        <f t="shared" si="406"/>
        <v>0.4415783069556608</v>
      </c>
      <c r="AN169" s="11">
        <f t="shared" si="407"/>
        <v>1.9620426552164873E-2</v>
      </c>
      <c r="AO169" s="11">
        <f t="shared" si="408"/>
        <v>-5.29926149468707E-2</v>
      </c>
      <c r="AQ169" s="1">
        <f t="shared" si="409"/>
        <v>-1.6294165896177356E-3</v>
      </c>
    </row>
    <row r="170" spans="1:43" ht="15">
      <c r="A170" s="8">
        <v>43862</v>
      </c>
      <c r="B170" s="11">
        <f t="shared" ref="B170:E170" si="415">LN(B42/B41)</f>
        <v>-0.10165735735377035</v>
      </c>
      <c r="C170" s="11">
        <f t="shared" si="341"/>
        <v>-0.10973971766509855</v>
      </c>
      <c r="D170" s="11">
        <f t="shared" si="415"/>
        <v>-0.10175500265208939</v>
      </c>
      <c r="E170" s="11">
        <f t="shared" si="415"/>
        <v>6.9693402551345943E-2</v>
      </c>
      <c r="F170" s="11">
        <f t="shared" si="373"/>
        <v>-7.8543369383978309E-2</v>
      </c>
      <c r="G170" s="11">
        <f t="shared" si="374"/>
        <v>-7.4174407765542433E-2</v>
      </c>
      <c r="H170" s="11">
        <f t="shared" si="375"/>
        <v>-8.786733606873115E-2</v>
      </c>
      <c r="I170" s="11">
        <f t="shared" si="376"/>
        <v>-6.281559261841968E-2</v>
      </c>
      <c r="J170" s="11">
        <f t="shared" si="377"/>
        <v>-6.6348509902463534E-2</v>
      </c>
      <c r="K170" s="11">
        <f t="shared" si="378"/>
        <v>-0.12954783398927833</v>
      </c>
      <c r="L170" s="11">
        <f t="shared" si="379"/>
        <v>0.2742391579376931</v>
      </c>
      <c r="M170" s="11">
        <f t="shared" si="380"/>
        <v>-6.2513794518246783E-5</v>
      </c>
      <c r="N170" s="11">
        <f t="shared" si="381"/>
        <v>-4.9491930329587937E-2</v>
      </c>
      <c r="O170" s="11">
        <f t="shared" si="382"/>
        <v>-5.4255050364415823E-2</v>
      </c>
      <c r="P170" s="11">
        <f t="shared" si="383"/>
        <v>-0.12249679790081355</v>
      </c>
      <c r="Q170" s="11">
        <f t="shared" si="384"/>
        <v>-0.40107642238885033</v>
      </c>
      <c r="R170" s="11">
        <f t="shared" si="385"/>
        <v>0.13302889943311352</v>
      </c>
      <c r="S170" s="11">
        <f t="shared" si="386"/>
        <v>-0.14104540787175382</v>
      </c>
      <c r="T170" s="11">
        <f t="shared" si="387"/>
        <v>-0.11275733203897552</v>
      </c>
      <c r="U170" s="11">
        <f t="shared" si="388"/>
        <v>-3.2874932827723365E-2</v>
      </c>
      <c r="V170" s="11">
        <f t="shared" si="389"/>
        <v>-1.1788032708891423E-2</v>
      </c>
      <c r="W170" s="11">
        <f t="shared" si="390"/>
        <v>-3.6552720553740384E-2</v>
      </c>
      <c r="X170" s="11">
        <f t="shared" si="391"/>
        <v>-2.5173249323105072E-2</v>
      </c>
      <c r="Y170" s="11">
        <f t="shared" si="392"/>
        <v>0.16922656119532867</v>
      </c>
      <c r="Z170" s="11">
        <f t="shared" si="393"/>
        <v>-9.7102104305961348E-2</v>
      </c>
      <c r="AA170" s="11">
        <f t="shared" si="394"/>
        <v>-7.4571316980513627E-2</v>
      </c>
      <c r="AB170" s="11">
        <f t="shared" si="395"/>
        <v>0.18633583605055337</v>
      </c>
      <c r="AC170" s="11">
        <f t="shared" si="396"/>
        <v>-6.6959316323455975E-2</v>
      </c>
      <c r="AD170" s="11">
        <f t="shared" si="397"/>
        <v>-8.9924346398963143E-2</v>
      </c>
      <c r="AE170" s="11">
        <f t="shared" si="398"/>
        <v>-1.0086752368365844E-2</v>
      </c>
      <c r="AF170" s="11">
        <f t="shared" si="399"/>
        <v>-0.10281702339321035</v>
      </c>
      <c r="AG170" s="11">
        <f t="shared" si="400"/>
        <v>-0.16453566390982058</v>
      </c>
      <c r="AH170" s="11">
        <f t="shared" si="401"/>
        <v>-0.23563807635252565</v>
      </c>
      <c r="AI170" s="11">
        <f t="shared" si="402"/>
        <v>-2.428302217222892E-2</v>
      </c>
      <c r="AJ170" s="11">
        <f t="shared" si="403"/>
        <v>-0.11884817026770132</v>
      </c>
      <c r="AK170" s="11">
        <f t="shared" si="404"/>
        <v>-0.13420713224722486</v>
      </c>
      <c r="AL170" s="11">
        <f t="shared" si="405"/>
        <v>-0.13788771595456237</v>
      </c>
      <c r="AM170" s="11">
        <f t="shared" si="406"/>
        <v>2.6424301670513562E-2</v>
      </c>
      <c r="AN170" s="11">
        <f t="shared" si="407"/>
        <v>-6.7821954412159532E-2</v>
      </c>
      <c r="AO170" s="11">
        <f t="shared" si="408"/>
        <v>-0.21997854797105326</v>
      </c>
      <c r="AQ170" s="1">
        <f t="shared" si="409"/>
        <v>-8.7859520936204846E-2</v>
      </c>
    </row>
    <row r="171" spans="1:43" ht="15">
      <c r="A171" s="8">
        <v>43891</v>
      </c>
      <c r="B171" s="11">
        <f t="shared" ref="B171:E171" si="416">LN(B43/B42)</f>
        <v>-1.887008470932067E-2</v>
      </c>
      <c r="C171" s="11">
        <f t="shared" si="341"/>
        <v>4.9511638601926252E-3</v>
      </c>
      <c r="D171" s="11">
        <f t="shared" si="416"/>
        <v>0.10031482469988258</v>
      </c>
      <c r="E171" s="11">
        <f t="shared" si="416"/>
        <v>-0.11773927661648102</v>
      </c>
      <c r="F171" s="11">
        <f t="shared" si="373"/>
        <v>2.1981845542757096E-2</v>
      </c>
      <c r="G171" s="11">
        <f t="shared" si="374"/>
        <v>-2.5070924705171645E-2</v>
      </c>
      <c r="H171" s="11">
        <f t="shared" si="375"/>
        <v>2.765632195129579E-2</v>
      </c>
      <c r="I171" s="11">
        <f t="shared" si="376"/>
        <v>-4.9411157700399055E-2</v>
      </c>
      <c r="J171" s="11">
        <f t="shared" si="377"/>
        <v>-2.2128444603735396E-2</v>
      </c>
      <c r="K171" s="11">
        <f t="shared" si="378"/>
        <v>2.5315951418254648E-3</v>
      </c>
      <c r="L171" s="11">
        <f t="shared" si="379"/>
        <v>9.3801968774117755E-2</v>
      </c>
      <c r="M171" s="11">
        <f t="shared" si="380"/>
        <v>-7.4009885142319043E-2</v>
      </c>
      <c r="N171" s="11">
        <f t="shared" si="381"/>
        <v>-2.4172530615288068E-2</v>
      </c>
      <c r="O171" s="11">
        <f t="shared" si="382"/>
        <v>-2.3111753678669245E-2</v>
      </c>
      <c r="P171" s="11">
        <f t="shared" si="383"/>
        <v>-8.7586054180264338E-3</v>
      </c>
      <c r="Q171" s="11">
        <f t="shared" si="384"/>
        <v>0.5376651508963125</v>
      </c>
      <c r="R171" s="11">
        <f t="shared" si="385"/>
        <v>-2.3650408192756277E-2</v>
      </c>
      <c r="S171" s="11">
        <f t="shared" si="386"/>
        <v>-2.0627111830716163E-2</v>
      </c>
      <c r="T171" s="11">
        <f t="shared" si="387"/>
        <v>-0.13959710932456021</v>
      </c>
      <c r="U171" s="11">
        <f t="shared" si="388"/>
        <v>0</v>
      </c>
      <c r="V171" s="11">
        <f t="shared" si="389"/>
        <v>-6.4456737146556864E-2</v>
      </c>
      <c r="W171" s="11">
        <f t="shared" si="390"/>
        <v>-0.12915568759657337</v>
      </c>
      <c r="X171" s="11">
        <f t="shared" si="391"/>
        <v>-0.18030358131727131</v>
      </c>
      <c r="Y171" s="11">
        <f t="shared" si="392"/>
        <v>-0.4080631869922931</v>
      </c>
      <c r="Z171" s="11">
        <f t="shared" si="393"/>
        <v>-0.15443155494574437</v>
      </c>
      <c r="AA171" s="11">
        <f t="shared" si="394"/>
        <v>-7.4423243007225373E-2</v>
      </c>
      <c r="AB171" s="11">
        <f t="shared" si="395"/>
        <v>-4.6396641200583143E-2</v>
      </c>
      <c r="AC171" s="11">
        <f t="shared" si="396"/>
        <v>-0.61564653055487506</v>
      </c>
      <c r="AD171" s="11">
        <f t="shared" si="397"/>
        <v>-2.8941224154183657E-2</v>
      </c>
      <c r="AE171" s="11">
        <f t="shared" si="398"/>
        <v>-0.11522137327421966</v>
      </c>
      <c r="AF171" s="11">
        <f t="shared" si="399"/>
        <v>-5.6760243087743086E-2</v>
      </c>
      <c r="AG171" s="11">
        <f t="shared" si="400"/>
        <v>-1.2118463734103206E-3</v>
      </c>
      <c r="AH171" s="11">
        <f t="shared" si="401"/>
        <v>-0.13609385424604475</v>
      </c>
      <c r="AI171" s="11">
        <f t="shared" si="402"/>
        <v>-0.15202836496749622</v>
      </c>
      <c r="AJ171" s="11">
        <f t="shared" si="403"/>
        <v>-0.11937173535555634</v>
      </c>
      <c r="AK171" s="11">
        <f t="shared" si="404"/>
        <v>-1.6576170163214849E-2</v>
      </c>
      <c r="AL171" s="11">
        <f t="shared" si="405"/>
        <v>-0.24159372083706479</v>
      </c>
      <c r="AM171" s="11">
        <f t="shared" si="406"/>
        <v>-0.24278151904367101</v>
      </c>
      <c r="AN171" s="11">
        <f t="shared" si="407"/>
        <v>-3.3387677771894671E-2</v>
      </c>
      <c r="AO171" s="11">
        <f t="shared" si="408"/>
        <v>-0.36533300668184693</v>
      </c>
      <c r="AQ171" s="1">
        <f t="shared" si="409"/>
        <v>-0.13366776859296695</v>
      </c>
    </row>
    <row r="172" spans="1:43" ht="15">
      <c r="A172" s="8">
        <v>43922</v>
      </c>
      <c r="B172" s="11">
        <f t="shared" ref="B172:E172" si="417">LN(B44/B43)</f>
        <v>0.13471235420542604</v>
      </c>
      <c r="C172" s="11">
        <f t="shared" si="341"/>
        <v>3.8943843573593893E-2</v>
      </c>
      <c r="D172" s="11">
        <f t="shared" si="417"/>
        <v>0.10864230999669298</v>
      </c>
      <c r="E172" s="11">
        <f t="shared" si="417"/>
        <v>7.59250592144807E-2</v>
      </c>
      <c r="F172" s="11">
        <f t="shared" si="373"/>
        <v>0.16550863854131598</v>
      </c>
      <c r="G172" s="11">
        <f t="shared" si="374"/>
        <v>0.16638393586751063</v>
      </c>
      <c r="H172" s="11">
        <f t="shared" si="375"/>
        <v>0.1553738832040123</v>
      </c>
      <c r="I172" s="11">
        <f t="shared" si="376"/>
        <v>0.13625225838356553</v>
      </c>
      <c r="J172" s="11">
        <f t="shared" si="377"/>
        <v>0.1637062125183848</v>
      </c>
      <c r="K172" s="11">
        <f t="shared" si="378"/>
        <v>3.6734631082166742E-2</v>
      </c>
      <c r="L172" s="11">
        <f t="shared" si="379"/>
        <v>7.4163558184088998E-2</v>
      </c>
      <c r="M172" s="11">
        <f t="shared" si="380"/>
        <v>5.3083793118753823E-2</v>
      </c>
      <c r="N172" s="11">
        <f t="shared" si="381"/>
        <v>0.12780033484443226</v>
      </c>
      <c r="O172" s="11">
        <f t="shared" si="382"/>
        <v>9.167317403905173E-2</v>
      </c>
      <c r="P172" s="11">
        <f t="shared" si="383"/>
        <v>6.2918647034588521E-2</v>
      </c>
      <c r="Q172" s="11">
        <f t="shared" si="384"/>
        <v>0.12823968817058637</v>
      </c>
      <c r="R172" s="11">
        <f t="shared" si="385"/>
        <v>0.1032793596202492</v>
      </c>
      <c r="S172" s="11">
        <f t="shared" si="386"/>
        <v>0.10280745036175873</v>
      </c>
      <c r="T172" s="11">
        <f t="shared" si="387"/>
        <v>0.15277726549876408</v>
      </c>
      <c r="U172" s="11">
        <f t="shared" si="388"/>
        <v>0.14144306453779307</v>
      </c>
      <c r="V172" s="11">
        <f t="shared" si="389"/>
        <v>0.11455589706079382</v>
      </c>
      <c r="W172" s="11">
        <f t="shared" si="390"/>
        <v>0.20430577349629567</v>
      </c>
      <c r="X172" s="11">
        <f t="shared" si="391"/>
        <v>-0.10335801893391813</v>
      </c>
      <c r="Y172" s="11">
        <f t="shared" si="392"/>
        <v>0.52328668312287241</v>
      </c>
      <c r="Z172" s="11">
        <f t="shared" si="393"/>
        <v>0.12603449568440733</v>
      </c>
      <c r="AA172" s="11">
        <f t="shared" si="394"/>
        <v>5.227188945015547E-2</v>
      </c>
      <c r="AB172" s="11">
        <f t="shared" si="395"/>
        <v>0.11283869699046634</v>
      </c>
      <c r="AC172" s="11">
        <f t="shared" si="396"/>
        <v>2.814687711755131E-2</v>
      </c>
      <c r="AD172" s="11">
        <f t="shared" si="397"/>
        <v>6.9101932432693497E-2</v>
      </c>
      <c r="AE172" s="11">
        <f t="shared" si="398"/>
        <v>3.999858352816768E-2</v>
      </c>
      <c r="AF172" s="11">
        <f t="shared" si="399"/>
        <v>2.5382219903296709E-2</v>
      </c>
      <c r="AG172" s="11">
        <f t="shared" si="400"/>
        <v>0.22076672480603285</v>
      </c>
      <c r="AH172" s="11">
        <f t="shared" si="401"/>
        <v>4.4189934129628169E-2</v>
      </c>
      <c r="AI172" s="11">
        <f t="shared" si="402"/>
        <v>4.9453082196824774E-2</v>
      </c>
      <c r="AJ172" s="11">
        <f t="shared" si="403"/>
        <v>0.15072040011835985</v>
      </c>
      <c r="AK172" s="11">
        <f t="shared" si="404"/>
        <v>5.6437287874443215E-2</v>
      </c>
      <c r="AL172" s="11">
        <f t="shared" si="405"/>
        <v>0.23875395058969956</v>
      </c>
      <c r="AM172" s="11">
        <f t="shared" si="406"/>
        <v>0.40020959176377902</v>
      </c>
      <c r="AN172" s="11">
        <f t="shared" si="407"/>
        <v>1.979341324966253E-2</v>
      </c>
      <c r="AO172" s="11">
        <f t="shared" si="408"/>
        <v>5.2431362897950008E-2</v>
      </c>
      <c r="AQ172" s="1">
        <f t="shared" si="409"/>
        <v>0.11942089623740584</v>
      </c>
    </row>
    <row r="173" spans="1:43" ht="15">
      <c r="A173" s="8">
        <v>43952</v>
      </c>
      <c r="B173" s="11">
        <f t="shared" ref="B173:E173" si="418">LN(B45/B44)</f>
        <v>-8.6350715791912985E-3</v>
      </c>
      <c r="C173" s="11">
        <f t="shared" si="341"/>
        <v>1.7243934073709451E-2</v>
      </c>
      <c r="D173" s="11">
        <f t="shared" si="418"/>
        <v>-1.0989242639759931E-2</v>
      </c>
      <c r="E173" s="11">
        <f t="shared" si="418"/>
        <v>0.13469340170070318</v>
      </c>
      <c r="F173" s="11">
        <f t="shared" si="373"/>
        <v>-4.0609479348998008E-2</v>
      </c>
      <c r="G173" s="11">
        <f t="shared" si="374"/>
        <v>4.244143936450559E-2</v>
      </c>
      <c r="H173" s="11">
        <f t="shared" si="375"/>
        <v>0.129255423576113</v>
      </c>
      <c r="I173" s="11">
        <f t="shared" si="376"/>
        <v>0.10677162332333136</v>
      </c>
      <c r="J173" s="11">
        <f t="shared" si="377"/>
        <v>4.1457922774944422E-2</v>
      </c>
      <c r="K173" s="11">
        <f t="shared" si="378"/>
        <v>7.1601920043983941E-2</v>
      </c>
      <c r="L173" s="11">
        <f t="shared" si="379"/>
        <v>0.15298188700269105</v>
      </c>
      <c r="M173" s="11">
        <f t="shared" si="380"/>
        <v>3.4798503849041283E-2</v>
      </c>
      <c r="N173" s="11">
        <f t="shared" si="381"/>
        <v>2.2292921231257111E-2</v>
      </c>
      <c r="O173" s="11">
        <f t="shared" si="382"/>
        <v>1.9729356437187918E-2</v>
      </c>
      <c r="P173" s="11">
        <f t="shared" si="383"/>
        <v>0.25619083064793147</v>
      </c>
      <c r="Q173" s="11">
        <f t="shared" si="384"/>
        <v>6.8585072562756491E-2</v>
      </c>
      <c r="R173" s="11">
        <f t="shared" si="385"/>
        <v>0.19446198696199685</v>
      </c>
      <c r="S173" s="11">
        <f t="shared" si="386"/>
        <v>4.8011806875246511E-2</v>
      </c>
      <c r="T173" s="11">
        <f t="shared" si="387"/>
        <v>6.9846776327227258E-2</v>
      </c>
      <c r="U173" s="11">
        <f t="shared" si="388"/>
        <v>2.6557733747610272E-2</v>
      </c>
      <c r="V173" s="11">
        <f t="shared" si="389"/>
        <v>5.074948806196436E-2</v>
      </c>
      <c r="W173" s="11">
        <f t="shared" si="390"/>
        <v>9.8501408191117731E-2</v>
      </c>
      <c r="X173" s="11">
        <f t="shared" si="391"/>
        <v>-2.4144025642073089E-2</v>
      </c>
      <c r="Y173" s="11">
        <f t="shared" si="392"/>
        <v>0.22181694337905108</v>
      </c>
      <c r="Z173" s="11">
        <f t="shared" si="393"/>
        <v>-6.6329710581276994E-3</v>
      </c>
      <c r="AA173" s="11">
        <f t="shared" si="394"/>
        <v>0.12289331146866431</v>
      </c>
      <c r="AB173" s="11">
        <f t="shared" si="395"/>
        <v>6.3972116078450089E-2</v>
      </c>
      <c r="AC173" s="11">
        <f t="shared" si="396"/>
        <v>0.30869587698051426</v>
      </c>
      <c r="AD173" s="11">
        <f t="shared" si="397"/>
        <v>-1.003494073450356E-2</v>
      </c>
      <c r="AE173" s="11">
        <f t="shared" si="398"/>
        <v>-1.6761664323115242E-2</v>
      </c>
      <c r="AF173" s="11">
        <f t="shared" si="399"/>
        <v>4.1168793180791627E-2</v>
      </c>
      <c r="AG173" s="11">
        <f t="shared" si="400"/>
        <v>4.6052445780908301E-3</v>
      </c>
      <c r="AH173" s="11">
        <f t="shared" si="401"/>
        <v>-5.4027252749015174E-2</v>
      </c>
      <c r="AI173" s="11">
        <f t="shared" si="402"/>
        <v>2.9458315708964997E-2</v>
      </c>
      <c r="AJ173" s="11">
        <f t="shared" si="403"/>
        <v>9.4551278531200392E-2</v>
      </c>
      <c r="AK173" s="11">
        <f t="shared" si="404"/>
        <v>-2.8248083973567369E-2</v>
      </c>
      <c r="AL173" s="11">
        <f t="shared" si="405"/>
        <v>-3.2664283452451038E-3</v>
      </c>
      <c r="AM173" s="11">
        <f t="shared" si="406"/>
        <v>6.573044876603433E-2</v>
      </c>
      <c r="AN173" s="11">
        <f t="shared" si="407"/>
        <v>8.8410947333091586E-2</v>
      </c>
      <c r="AO173" s="11">
        <f t="shared" si="408"/>
        <v>0.11494119310548753</v>
      </c>
      <c r="AQ173" s="1">
        <f t="shared" si="409"/>
        <v>4.4286490230530599E-2</v>
      </c>
    </row>
    <row r="174" spans="1:43" ht="15">
      <c r="A174" s="8">
        <v>43983</v>
      </c>
      <c r="B174" s="11">
        <f t="shared" ref="B174:E174" si="419">LN(B46/B45)</f>
        <v>-4.9226328439674012E-2</v>
      </c>
      <c r="C174" s="11">
        <f t="shared" si="341"/>
        <v>-4.290447202895642E-2</v>
      </c>
      <c r="D174" s="11">
        <f t="shared" si="419"/>
        <v>7.5549053645800987E-2</v>
      </c>
      <c r="E174" s="11">
        <f t="shared" si="419"/>
        <v>5.7757845132585514E-2</v>
      </c>
      <c r="F174" s="11">
        <f t="shared" si="373"/>
        <v>3.3210125906585536E-2</v>
      </c>
      <c r="G174" s="11">
        <f t="shared" si="374"/>
        <v>3.6966935435591708E-2</v>
      </c>
      <c r="H174" s="11">
        <f t="shared" si="375"/>
        <v>1.9907938633042369E-2</v>
      </c>
      <c r="I174" s="11">
        <f t="shared" si="376"/>
        <v>6.6624533488345475E-2</v>
      </c>
      <c r="J174" s="11">
        <f t="shared" si="377"/>
        <v>-3.301389285638507E-2</v>
      </c>
      <c r="K174" s="11">
        <f t="shared" si="378"/>
        <v>-9.1926647785094944E-3</v>
      </c>
      <c r="L174" s="11">
        <f t="shared" si="379"/>
        <v>1.7534376740623515E-2</v>
      </c>
      <c r="M174" s="11">
        <f t="shared" si="380"/>
        <v>0.17954556194379814</v>
      </c>
      <c r="N174" s="11">
        <f t="shared" si="381"/>
        <v>0.10764512491823189</v>
      </c>
      <c r="O174" s="11">
        <f t="shared" si="382"/>
        <v>2.7514709362013036E-2</v>
      </c>
      <c r="P174" s="11">
        <f t="shared" si="383"/>
        <v>-1.3961958636750914E-2</v>
      </c>
      <c r="Q174" s="11">
        <f t="shared" si="384"/>
        <v>-0.13868709306834903</v>
      </c>
      <c r="R174" s="11">
        <f t="shared" si="385"/>
        <v>6.7760134997682478E-2</v>
      </c>
      <c r="S174" s="11">
        <f t="shared" si="386"/>
        <v>-4.4882892642437951E-2</v>
      </c>
      <c r="T174" s="11">
        <f t="shared" si="387"/>
        <v>8.0256502033068874E-2</v>
      </c>
      <c r="U174" s="11">
        <f t="shared" si="388"/>
        <v>-2.2367251425022883E-2</v>
      </c>
      <c r="V174" s="11">
        <f t="shared" si="389"/>
        <v>7.2099702049884209E-2</v>
      </c>
      <c r="W174" s="11">
        <f t="shared" si="390"/>
        <v>4.3210293305964077E-2</v>
      </c>
      <c r="X174" s="11">
        <f t="shared" si="391"/>
        <v>0.14085247297630241</v>
      </c>
      <c r="Y174" s="11">
        <f t="shared" si="392"/>
        <v>0.27140434418790699</v>
      </c>
      <c r="Z174" s="11">
        <f t="shared" si="393"/>
        <v>-3.3338943908636709E-3</v>
      </c>
      <c r="AA174" s="11">
        <f t="shared" si="394"/>
        <v>-2.8994112311674833E-3</v>
      </c>
      <c r="AB174" s="11">
        <f t="shared" si="395"/>
        <v>-4.3434516599523888E-2</v>
      </c>
      <c r="AC174" s="11">
        <f t="shared" si="396"/>
        <v>-7.8345286187814694E-2</v>
      </c>
      <c r="AD174" s="11">
        <f t="shared" si="397"/>
        <v>3.100170961352983E-2</v>
      </c>
      <c r="AE174" s="11">
        <f t="shared" si="398"/>
        <v>-4.6027165788997682E-2</v>
      </c>
      <c r="AF174" s="11">
        <f t="shared" si="399"/>
        <v>2.3870730543173374E-2</v>
      </c>
      <c r="AG174" s="11">
        <f t="shared" si="400"/>
        <v>5.8524343443286636E-2</v>
      </c>
      <c r="AH174" s="11">
        <f t="shared" si="401"/>
        <v>0.20475097252680147</v>
      </c>
      <c r="AI174" s="11">
        <f t="shared" si="402"/>
        <v>7.1379810968816459E-2</v>
      </c>
      <c r="AJ174" s="11">
        <f t="shared" si="403"/>
        <v>0.17310037656239013</v>
      </c>
      <c r="AK174" s="11">
        <f t="shared" si="404"/>
        <v>2.3038110742432411E-2</v>
      </c>
      <c r="AL174" s="11">
        <f t="shared" si="405"/>
        <v>-1.2730743006246702E-2</v>
      </c>
      <c r="AM174" s="11">
        <f t="shared" si="406"/>
        <v>0.25710865386470305</v>
      </c>
      <c r="AN174" s="11">
        <f t="shared" si="407"/>
        <v>1.3540603108354672E-2</v>
      </c>
      <c r="AO174" s="11">
        <f t="shared" si="408"/>
        <v>6.2785672310156804E-2</v>
      </c>
      <c r="AQ174" s="1">
        <f t="shared" si="409"/>
        <v>1.8221381004063585E-2</v>
      </c>
    </row>
    <row r="175" spans="1:43" ht="15">
      <c r="A175" s="8">
        <v>44013</v>
      </c>
      <c r="B175" s="11">
        <f t="shared" ref="B175:E175" si="420">LN(B47/B46)</f>
        <v>3.5829525387854194E-2</v>
      </c>
      <c r="C175" s="11">
        <f t="shared" si="341"/>
        <v>4.4857670700034623E-2</v>
      </c>
      <c r="D175" s="11">
        <f t="shared" si="420"/>
        <v>-8.839638876067446E-2</v>
      </c>
      <c r="E175" s="11">
        <f t="shared" si="420"/>
        <v>-3.3873430877213583E-2</v>
      </c>
      <c r="F175" s="11">
        <f t="shared" si="373"/>
        <v>3.6672050353856955E-2</v>
      </c>
      <c r="G175" s="11">
        <f t="shared" si="374"/>
        <v>0.13381629363597966</v>
      </c>
      <c r="H175" s="11">
        <f t="shared" si="375"/>
        <v>3.1390864622408123E-2</v>
      </c>
      <c r="I175" s="11">
        <f t="shared" si="376"/>
        <v>0.18624628177356975</v>
      </c>
      <c r="J175" s="11">
        <f t="shared" si="377"/>
        <v>3.0498027102461384E-2</v>
      </c>
      <c r="K175" s="11">
        <f t="shared" si="378"/>
        <v>-3.1743713442137701E-2</v>
      </c>
      <c r="L175" s="11">
        <f t="shared" si="379"/>
        <v>1.3410833935430492E-2</v>
      </c>
      <c r="M175" s="11">
        <f t="shared" si="380"/>
        <v>5.329387742770867E-2</v>
      </c>
      <c r="N175" s="11">
        <f t="shared" si="381"/>
        <v>7.3432346916968965E-3</v>
      </c>
      <c r="O175" s="11">
        <f t="shared" si="382"/>
        <v>3.2514120633380765E-3</v>
      </c>
      <c r="P175" s="11">
        <f t="shared" si="383"/>
        <v>7.4754494071443117E-3</v>
      </c>
      <c r="Q175" s="11">
        <f t="shared" si="384"/>
        <v>8.4234635062412397E-2</v>
      </c>
      <c r="R175" s="11">
        <f t="shared" si="385"/>
        <v>0.11164577092657049</v>
      </c>
      <c r="S175" s="11">
        <f t="shared" si="386"/>
        <v>-0.2259471405336167</v>
      </c>
      <c r="T175" s="11">
        <f t="shared" si="387"/>
        <v>1.3855163154939338E-2</v>
      </c>
      <c r="U175" s="11">
        <f t="shared" si="388"/>
        <v>0.38646808665591648</v>
      </c>
      <c r="V175" s="11">
        <f t="shared" si="389"/>
        <v>8.7155366312778704E-2</v>
      </c>
      <c r="W175" s="11">
        <f t="shared" si="390"/>
        <v>8.0919685913486722E-2</v>
      </c>
      <c r="X175" s="11">
        <f t="shared" si="391"/>
        <v>1.8302311942454394E-2</v>
      </c>
      <c r="Y175" s="11">
        <f t="shared" si="392"/>
        <v>0.1082932344706569</v>
      </c>
      <c r="Z175" s="11">
        <f t="shared" si="393"/>
        <v>5.1813857651869001E-2</v>
      </c>
      <c r="AA175" s="11">
        <f t="shared" si="394"/>
        <v>-4.4975280088638001E-3</v>
      </c>
      <c r="AB175" s="11">
        <f t="shared" si="395"/>
        <v>4.7467744419792818E-2</v>
      </c>
      <c r="AC175" s="11">
        <f t="shared" si="396"/>
        <v>0.48894470229916293</v>
      </c>
      <c r="AD175" s="11">
        <f t="shared" si="397"/>
        <v>9.2211184016136441E-2</v>
      </c>
      <c r="AE175" s="11">
        <f t="shared" si="398"/>
        <v>0.10779104879911186</v>
      </c>
      <c r="AF175" s="11">
        <f t="shared" si="399"/>
        <v>9.7163769587702661E-2</v>
      </c>
      <c r="AG175" s="11">
        <f t="shared" si="400"/>
        <v>7.5182574078630507E-2</v>
      </c>
      <c r="AH175" s="11">
        <f t="shared" si="401"/>
        <v>3.2221215475118969E-2</v>
      </c>
      <c r="AI175" s="11">
        <f t="shared" si="402"/>
        <v>0.18791655139936816</v>
      </c>
      <c r="AJ175" s="11">
        <f t="shared" si="403"/>
        <v>0.13659152829569179</v>
      </c>
      <c r="AK175" s="11">
        <f t="shared" si="404"/>
        <v>0.10012325638402651</v>
      </c>
      <c r="AL175" s="11">
        <f t="shared" si="405"/>
        <v>-6.1115179233925239E-2</v>
      </c>
      <c r="AM175" s="11">
        <f t="shared" si="406"/>
        <v>0.28142067189048242</v>
      </c>
      <c r="AN175" s="11">
        <f t="shared" si="407"/>
        <v>6.0634888199166501E-2</v>
      </c>
      <c r="AO175" s="11">
        <f t="shared" si="408"/>
        <v>8.3578957885519306E-2</v>
      </c>
      <c r="AQ175" s="1">
        <f t="shared" si="409"/>
        <v>5.3636778409248576E-2</v>
      </c>
    </row>
    <row r="176" spans="1:43" ht="15">
      <c r="A176" s="8">
        <v>44044</v>
      </c>
      <c r="B176" s="11">
        <f t="shared" ref="B176:E176" si="421">LN(B48/B47)</f>
        <v>5.1152118118402159E-2</v>
      </c>
      <c r="C176" s="11">
        <f t="shared" si="341"/>
        <v>6.0800530534715513E-2</v>
      </c>
      <c r="D176" s="11">
        <f t="shared" si="421"/>
        <v>-1.2723158381708928E-2</v>
      </c>
      <c r="E176" s="11">
        <f t="shared" si="421"/>
        <v>2.1151671411393923E-2</v>
      </c>
      <c r="F176" s="11">
        <f t="shared" si="373"/>
        <v>3.4743283117082933E-2</v>
      </c>
      <c r="G176" s="11">
        <f t="shared" si="374"/>
        <v>3.5665124636785867E-2</v>
      </c>
      <c r="H176" s="11">
        <f t="shared" si="375"/>
        <v>-6.7487530605368939E-2</v>
      </c>
      <c r="I176" s="11">
        <f t="shared" si="376"/>
        <v>-1.6962666319767467E-2</v>
      </c>
      <c r="J176" s="11">
        <f t="shared" si="377"/>
        <v>3.1758044143114797E-2</v>
      </c>
      <c r="K176" s="11">
        <f t="shared" si="378"/>
        <v>-5.334349533718143E-3</v>
      </c>
      <c r="L176" s="11">
        <f t="shared" si="379"/>
        <v>-1.9393579067866797E-2</v>
      </c>
      <c r="M176" s="11">
        <f t="shared" si="380"/>
        <v>-0.11350848082732097</v>
      </c>
      <c r="N176" s="11">
        <f t="shared" si="381"/>
        <v>9.5394959380840971E-2</v>
      </c>
      <c r="O176" s="11">
        <f t="shared" si="382"/>
        <v>3.5640454091162906E-2</v>
      </c>
      <c r="P176" s="11">
        <f t="shared" si="383"/>
        <v>-4.6547561378044527E-2</v>
      </c>
      <c r="Q176" s="11">
        <f t="shared" si="384"/>
        <v>9.2126510052048388E-2</v>
      </c>
      <c r="R176" s="11">
        <f t="shared" si="385"/>
        <v>0.23110537202438119</v>
      </c>
      <c r="S176" s="11">
        <f t="shared" si="386"/>
        <v>6.5284708697018662E-2</v>
      </c>
      <c r="T176" s="11">
        <f t="shared" si="387"/>
        <v>9.1644205455733596E-2</v>
      </c>
      <c r="U176" s="11">
        <f t="shared" si="388"/>
        <v>0.15950522327117272</v>
      </c>
      <c r="V176" s="11">
        <f t="shared" si="389"/>
        <v>-3.0166279254233888E-2</v>
      </c>
      <c r="W176" s="11">
        <f t="shared" si="390"/>
        <v>9.3030716770370156E-2</v>
      </c>
      <c r="X176" s="11">
        <f t="shared" si="391"/>
        <v>0.10621324234065257</v>
      </c>
      <c r="Y176" s="11">
        <f t="shared" si="392"/>
        <v>1.1088823301348551E-2</v>
      </c>
      <c r="Z176" s="11">
        <f t="shared" si="393"/>
        <v>9.4430040871944149E-2</v>
      </c>
      <c r="AA176" s="11">
        <f t="shared" si="394"/>
        <v>0.13653605723735643</v>
      </c>
      <c r="AB176" s="11">
        <f t="shared" si="395"/>
        <v>5.6201084862242352E-2</v>
      </c>
      <c r="AC176" s="11">
        <f t="shared" si="396"/>
        <v>0.18600178716881843</v>
      </c>
      <c r="AD176" s="11">
        <f t="shared" si="397"/>
        <v>5.9819758315560648E-2</v>
      </c>
      <c r="AE176" s="11">
        <f t="shared" si="398"/>
        <v>3.8063452838286181E-2</v>
      </c>
      <c r="AF176" s="11">
        <f t="shared" si="399"/>
        <v>-1.4992781457535029E-2</v>
      </c>
      <c r="AG176" s="11">
        <f t="shared" si="400"/>
        <v>1.9015065359757635E-2</v>
      </c>
      <c r="AH176" s="11">
        <f t="shared" si="401"/>
        <v>-2.5943664550742346E-2</v>
      </c>
      <c r="AI176" s="11">
        <f t="shared" si="402"/>
        <v>0.26655787810957821</v>
      </c>
      <c r="AJ176" s="11">
        <f t="shared" si="403"/>
        <v>0.10693873762105263</v>
      </c>
      <c r="AK176" s="11">
        <f t="shared" si="404"/>
        <v>1.7613346472218745E-2</v>
      </c>
      <c r="AL176" s="11">
        <f t="shared" si="405"/>
        <v>-1.192956505518451E-4</v>
      </c>
      <c r="AM176" s="11">
        <f t="shared" si="406"/>
        <v>0.55471930277394965</v>
      </c>
      <c r="AN176" s="11">
        <f t="shared" si="407"/>
        <v>6.9359488547377057E-2</v>
      </c>
      <c r="AO176" s="11">
        <f t="shared" si="408"/>
        <v>3.1275817991775902E-2</v>
      </c>
      <c r="AQ176" s="1">
        <f t="shared" si="409"/>
        <v>6.7719102089653677E-2</v>
      </c>
    </row>
    <row r="177" spans="1:43" ht="15">
      <c r="A177" s="8">
        <v>44075</v>
      </c>
      <c r="B177" s="11">
        <f t="shared" ref="B177:E177" si="422">LN(B49/B48)</f>
        <v>-2.3339690879673875E-2</v>
      </c>
      <c r="C177" s="11">
        <f t="shared" si="341"/>
        <v>-2.7584709456736314E-2</v>
      </c>
      <c r="D177" s="11">
        <f t="shared" si="422"/>
        <v>2.3664774898529838E-3</v>
      </c>
      <c r="E177" s="11">
        <f t="shared" si="422"/>
        <v>-8.9282610162327997E-2</v>
      </c>
      <c r="F177" s="11">
        <f t="shared" si="373"/>
        <v>9.9867027940651314E-3</v>
      </c>
      <c r="G177" s="11">
        <f t="shared" si="374"/>
        <v>2.8813011480336395E-2</v>
      </c>
      <c r="H177" s="11">
        <f t="shared" si="375"/>
        <v>-0.14475169541095451</v>
      </c>
      <c r="I177" s="11">
        <f t="shared" si="376"/>
        <v>5.2284700257632655E-3</v>
      </c>
      <c r="J177" s="11">
        <f t="shared" si="377"/>
        <v>-2.4988119342358854E-3</v>
      </c>
      <c r="K177" s="11">
        <f t="shared" si="378"/>
        <v>-6.1751892617260246E-2</v>
      </c>
      <c r="L177" s="11">
        <f t="shared" si="379"/>
        <v>-0.10206271904152811</v>
      </c>
      <c r="M177" s="11">
        <f t="shared" si="380"/>
        <v>-5.0972994301155497E-2</v>
      </c>
      <c r="N177" s="11">
        <f t="shared" si="381"/>
        <v>-6.736116042655281E-2</v>
      </c>
      <c r="O177" s="11">
        <f t="shared" si="382"/>
        <v>4.2428560733775468E-2</v>
      </c>
      <c r="P177" s="11">
        <f t="shared" si="383"/>
        <v>-0.1138045200346402</v>
      </c>
      <c r="Q177" s="11">
        <f t="shared" si="384"/>
        <v>-0.11544293711154645</v>
      </c>
      <c r="R177" s="11">
        <f t="shared" si="385"/>
        <v>1.1596466675864357E-2</v>
      </c>
      <c r="S177" s="11">
        <f t="shared" si="386"/>
        <v>2.2927839926285325E-2</v>
      </c>
      <c r="T177" s="11">
        <f t="shared" si="387"/>
        <v>4.8275632628437218E-2</v>
      </c>
      <c r="U177" s="11">
        <f t="shared" si="388"/>
        <v>-0.10228223706171877</v>
      </c>
      <c r="V177" s="11">
        <f t="shared" si="389"/>
        <v>4.4072281884677354E-3</v>
      </c>
      <c r="W177" s="11">
        <f t="shared" si="390"/>
        <v>6.1632839717923223E-3</v>
      </c>
      <c r="X177" s="11">
        <f t="shared" si="391"/>
        <v>-2.9062394418411217E-2</v>
      </c>
      <c r="Y177" s="11">
        <f t="shared" si="392"/>
        <v>1.599503706641742E-2</v>
      </c>
      <c r="Z177" s="11">
        <f t="shared" si="393"/>
        <v>3.3409603412775719E-2</v>
      </c>
      <c r="AA177" s="11">
        <f t="shared" si="394"/>
        <v>0.11732147770202705</v>
      </c>
      <c r="AB177" s="11">
        <f t="shared" si="395"/>
        <v>3.9130244712519142E-2</v>
      </c>
      <c r="AC177" s="11">
        <f t="shared" si="396"/>
        <v>7.8786046832378775E-2</v>
      </c>
      <c r="AD177" s="11">
        <f t="shared" si="397"/>
        <v>4.759697189998178E-3</v>
      </c>
      <c r="AE177" s="11">
        <f t="shared" si="398"/>
        <v>-6.2043561106607685E-2</v>
      </c>
      <c r="AF177" s="11">
        <f t="shared" si="399"/>
        <v>4.2335301565060282E-2</v>
      </c>
      <c r="AG177" s="11">
        <f t="shared" si="400"/>
        <v>-0.14556780435331645</v>
      </c>
      <c r="AH177" s="11">
        <f t="shared" si="401"/>
        <v>8.5551291029556845E-2</v>
      </c>
      <c r="AI177" s="11">
        <f t="shared" si="402"/>
        <v>0.13462237356825885</v>
      </c>
      <c r="AJ177" s="11">
        <f t="shared" si="403"/>
        <v>-8.2548575882568434E-2</v>
      </c>
      <c r="AK177" s="11">
        <f t="shared" si="404"/>
        <v>-7.0001658638788836E-2</v>
      </c>
      <c r="AL177" s="11">
        <f t="shared" si="405"/>
        <v>-0.13900318399739539</v>
      </c>
      <c r="AM177" s="11">
        <f t="shared" si="406"/>
        <v>-0.14976221226623748</v>
      </c>
      <c r="AN177" s="11">
        <f t="shared" si="407"/>
        <v>-5.6291623236744526E-2</v>
      </c>
      <c r="AO177" s="11">
        <f t="shared" si="408"/>
        <v>-2.3739987303072942E-2</v>
      </c>
      <c r="AQ177" s="1">
        <f t="shared" si="409"/>
        <v>-4.0018103243589488E-2</v>
      </c>
    </row>
    <row r="178" spans="1:43" ht="15">
      <c r="A178" s="8">
        <v>44105</v>
      </c>
      <c r="B178" s="11">
        <f t="shared" ref="B178:E178" si="423">LN(B50/B49)</f>
        <v>-8.2356927635071964E-2</v>
      </c>
      <c r="C178" s="11">
        <f t="shared" si="341"/>
        <v>-9.0706929582500484E-2</v>
      </c>
      <c r="D178" s="11">
        <f t="shared" si="423"/>
        <v>-0.12628078912488078</v>
      </c>
      <c r="E178" s="11">
        <f t="shared" si="423"/>
        <v>-2.8839804890078549E-2</v>
      </c>
      <c r="F178" s="11">
        <f t="shared" si="373"/>
        <v>-0.15834330795244331</v>
      </c>
      <c r="G178" s="11">
        <f t="shared" si="374"/>
        <v>6.9636059243239221E-2</v>
      </c>
      <c r="H178" s="11">
        <f t="shared" si="375"/>
        <v>-5.4451949367542975E-2</v>
      </c>
      <c r="I178" s="11">
        <f t="shared" si="376"/>
        <v>7.7576078874846729E-2</v>
      </c>
      <c r="J178" s="11">
        <f t="shared" si="377"/>
        <v>-1.7382795514100748E-2</v>
      </c>
      <c r="K178" s="11">
        <f t="shared" si="378"/>
        <v>-4.0358431431388286E-2</v>
      </c>
      <c r="L178" s="11">
        <f t="shared" si="379"/>
        <v>-2.9403753345457102E-2</v>
      </c>
      <c r="M178" s="11">
        <f t="shared" si="380"/>
        <v>0.11300812073451764</v>
      </c>
      <c r="N178" s="11">
        <f t="shared" si="381"/>
        <v>-3.8086327908076936E-2</v>
      </c>
      <c r="O178" s="11">
        <f t="shared" si="382"/>
        <v>-6.2017914070132338E-2</v>
      </c>
      <c r="P178" s="11">
        <f t="shared" si="383"/>
        <v>-6.5234799473235239E-2</v>
      </c>
      <c r="Q178" s="11">
        <f t="shared" si="384"/>
        <v>-1.304065677430063E-2</v>
      </c>
      <c r="R178" s="11">
        <f t="shared" si="385"/>
        <v>-7.6201873739513634E-2</v>
      </c>
      <c r="S178" s="11">
        <f t="shared" si="386"/>
        <v>-0.15647096558057744</v>
      </c>
      <c r="T178" s="11">
        <f t="shared" si="387"/>
        <v>-3.2081514083064859E-2</v>
      </c>
      <c r="U178" s="11">
        <f t="shared" si="388"/>
        <v>-8.5249964746055243E-2</v>
      </c>
      <c r="V178" s="11">
        <f t="shared" si="389"/>
        <v>0.12981857172047215</v>
      </c>
      <c r="W178" s="11">
        <f t="shared" si="390"/>
        <v>2.5587359280940664E-2</v>
      </c>
      <c r="X178" s="11">
        <f t="shared" si="391"/>
        <v>-4.6571214180365784E-2</v>
      </c>
      <c r="Y178" s="11">
        <f t="shared" si="392"/>
        <v>-3.2892032201805509E-4</v>
      </c>
      <c r="Z178" s="11">
        <f t="shared" si="393"/>
        <v>-3.0014457251068091E-2</v>
      </c>
      <c r="AA178" s="11">
        <f t="shared" si="394"/>
        <v>-4.446632110331368E-2</v>
      </c>
      <c r="AB178" s="11">
        <f t="shared" si="395"/>
        <v>-0.11502901373056371</v>
      </c>
      <c r="AC178" s="11">
        <f t="shared" si="396"/>
        <v>6.2677009507503111E-3</v>
      </c>
      <c r="AD178" s="11">
        <f t="shared" si="397"/>
        <v>-1.3691290399129344E-2</v>
      </c>
      <c r="AE178" s="11">
        <f t="shared" si="398"/>
        <v>-3.8688154849429779E-2</v>
      </c>
      <c r="AF178" s="11">
        <f t="shared" si="399"/>
        <v>-8.1895368390416098E-2</v>
      </c>
      <c r="AG178" s="11">
        <f t="shared" si="400"/>
        <v>2.114376425684894E-2</v>
      </c>
      <c r="AH178" s="11">
        <f t="shared" si="401"/>
        <v>2.8720716718436994E-2</v>
      </c>
      <c r="AI178" s="11">
        <f t="shared" si="402"/>
        <v>3.3974882003425945E-2</v>
      </c>
      <c r="AJ178" s="11">
        <f t="shared" si="403"/>
        <v>-1.7538586474665246E-2</v>
      </c>
      <c r="AK178" s="11">
        <f t="shared" si="404"/>
        <v>-1.3953954222714292E-3</v>
      </c>
      <c r="AL178" s="11">
        <f t="shared" si="405"/>
        <v>-3.5339345348225859E-2</v>
      </c>
      <c r="AM178" s="11">
        <f t="shared" si="406"/>
        <v>-0.10037180158656976</v>
      </c>
      <c r="AN178" s="11">
        <f t="shared" si="407"/>
        <v>-3.1284378805690745E-2</v>
      </c>
      <c r="AO178" s="11">
        <f t="shared" si="408"/>
        <v>0.14898937804703283</v>
      </c>
      <c r="AQ178" s="1">
        <f t="shared" si="409"/>
        <v>-2.8055680339689231E-2</v>
      </c>
    </row>
    <row r="179" spans="1:43" ht="15">
      <c r="A179" s="8">
        <v>44136</v>
      </c>
      <c r="B179" s="11">
        <f t="shared" ref="B179:E179" si="424">LN(B51/B50)</f>
        <v>5.374095340902988E-2</v>
      </c>
      <c r="C179" s="11">
        <f t="shared" si="341"/>
        <v>6.6605614053968767E-2</v>
      </c>
      <c r="D179" s="11">
        <f t="shared" si="424"/>
        <v>0.11014004457541116</v>
      </c>
      <c r="E179" s="11">
        <f t="shared" si="424"/>
        <v>0.21965112915677787</v>
      </c>
      <c r="F179" s="11">
        <f t="shared" si="373"/>
        <v>2.323657461442501E-2</v>
      </c>
      <c r="G179" s="11">
        <f t="shared" si="374"/>
        <v>-1.735470431955E-2</v>
      </c>
      <c r="H179" s="11">
        <f t="shared" si="375"/>
        <v>9.5682815898442061E-2</v>
      </c>
      <c r="I179" s="11">
        <f t="shared" si="376"/>
        <v>8.1689108308859726E-2</v>
      </c>
      <c r="J179" s="11">
        <f t="shared" si="377"/>
        <v>9.7351890455541767E-2</v>
      </c>
      <c r="K179" s="11">
        <f t="shared" si="378"/>
        <v>0.1979059605947284</v>
      </c>
      <c r="L179" s="11">
        <f t="shared" si="379"/>
        <v>-5.1975192725887451E-2</v>
      </c>
      <c r="M179" s="11">
        <f t="shared" si="380"/>
        <v>8.8017824307548259E-2</v>
      </c>
      <c r="N179" s="11">
        <f t="shared" si="381"/>
        <v>5.571169227023505E-2</v>
      </c>
      <c r="O179" s="11">
        <f t="shared" si="382"/>
        <v>3.2330709838909913E-2</v>
      </c>
      <c r="P179" s="11">
        <f t="shared" si="383"/>
        <v>0.11021417016523902</v>
      </c>
      <c r="Q179" s="11">
        <f t="shared" si="384"/>
        <v>-0.1207650419168184</v>
      </c>
      <c r="R179" s="11">
        <f t="shared" si="385"/>
        <v>6.69214407357588E-2</v>
      </c>
      <c r="S179" s="11">
        <f t="shared" si="386"/>
        <v>8.7933202498627572E-2</v>
      </c>
      <c r="T179" s="11">
        <f t="shared" si="387"/>
        <v>0.1385312708393478</v>
      </c>
      <c r="U179" s="11">
        <f t="shared" si="388"/>
        <v>0.20758955612647134</v>
      </c>
      <c r="V179" s="11">
        <f t="shared" si="389"/>
        <v>0.20400465928102066</v>
      </c>
      <c r="W179" s="11">
        <f t="shared" si="390"/>
        <v>7.1689021241084963E-2</v>
      </c>
      <c r="X179" s="11">
        <f t="shared" si="391"/>
        <v>0.19970851834718875</v>
      </c>
      <c r="Y179" s="11">
        <f t="shared" si="392"/>
        <v>0.27888454343513996</v>
      </c>
      <c r="Z179" s="11">
        <f t="shared" si="393"/>
        <v>2.0630817304950106E-2</v>
      </c>
      <c r="AA179" s="11">
        <f t="shared" si="394"/>
        <v>0.11489128988392938</v>
      </c>
      <c r="AB179" s="11">
        <f t="shared" si="395"/>
        <v>3.6974366247256335E-2</v>
      </c>
      <c r="AC179" s="11">
        <f t="shared" si="396"/>
        <v>0.19262945964010064</v>
      </c>
      <c r="AD179" s="11">
        <f t="shared" si="397"/>
        <v>1.8364613615700388E-2</v>
      </c>
      <c r="AE179" s="11">
        <f t="shared" si="398"/>
        <v>6.4476899016661926E-2</v>
      </c>
      <c r="AF179" s="11">
        <f t="shared" si="399"/>
        <v>8.0137849065198608E-2</v>
      </c>
      <c r="AG179" s="11">
        <f t="shared" si="400"/>
        <v>7.4014696310298569E-2</v>
      </c>
      <c r="AH179" s="11">
        <f t="shared" si="401"/>
        <v>0.18552558091829338</v>
      </c>
      <c r="AI179" s="11">
        <f t="shared" si="402"/>
        <v>9.9376451249355749E-2</v>
      </c>
      <c r="AJ179" s="11">
        <f t="shared" si="403"/>
        <v>0.31714238739832118</v>
      </c>
      <c r="AK179" s="11">
        <f t="shared" si="404"/>
        <v>8.5780484770146728E-2</v>
      </c>
      <c r="AL179" s="11">
        <f t="shared" si="405"/>
        <v>0.22664815336372013</v>
      </c>
      <c r="AM179" s="11">
        <f t="shared" si="406"/>
        <v>0.3803085181928047</v>
      </c>
      <c r="AN179" s="11">
        <f t="shared" si="407"/>
        <v>0.16823903656393974</v>
      </c>
      <c r="AO179" s="11">
        <f t="shared" si="408"/>
        <v>0.16096533001387123</v>
      </c>
      <c r="AQ179" s="1">
        <f t="shared" si="409"/>
        <v>0.10214644831840361</v>
      </c>
    </row>
    <row r="180" spans="1:43" ht="15">
      <c r="A180" s="8">
        <v>44166</v>
      </c>
      <c r="B180" s="11">
        <f t="shared" ref="B180:E180" si="425">LN(B52/B51)</f>
        <v>9.106362017916339E-2</v>
      </c>
      <c r="C180" s="11">
        <f t="shared" si="341"/>
        <v>1.738743100772517E-2</v>
      </c>
      <c r="D180" s="11">
        <f t="shared" si="425"/>
        <v>0.15286958242431259</v>
      </c>
      <c r="E180" s="11">
        <f t="shared" si="425"/>
        <v>2.427737412516957E-2</v>
      </c>
      <c r="F180" s="11">
        <f t="shared" si="373"/>
        <v>4.16439455396189E-2</v>
      </c>
      <c r="G180" s="11">
        <f t="shared" si="374"/>
        <v>1.7191398890213151E-3</v>
      </c>
      <c r="H180" s="11">
        <f t="shared" si="375"/>
        <v>0.13867199604198802</v>
      </c>
      <c r="I180" s="11">
        <f t="shared" si="376"/>
        <v>8.0993406508733254E-2</v>
      </c>
      <c r="J180" s="11">
        <f t="shared" si="377"/>
        <v>4.1751478505101046E-2</v>
      </c>
      <c r="K180" s="11">
        <f t="shared" si="378"/>
        <v>7.495240376572029E-3</v>
      </c>
      <c r="L180" s="11">
        <f t="shared" si="379"/>
        <v>-6.5920532332176873E-2</v>
      </c>
      <c r="M180" s="11">
        <f t="shared" si="380"/>
        <v>1.5793145564376894E-2</v>
      </c>
      <c r="N180" s="11">
        <f t="shared" si="381"/>
        <v>4.0878639135386974E-2</v>
      </c>
      <c r="O180" s="11">
        <f t="shared" si="382"/>
        <v>0.11400290013392363</v>
      </c>
      <c r="P180" s="11">
        <f t="shared" si="383"/>
        <v>0.18673443009140964</v>
      </c>
      <c r="Q180" s="11">
        <f t="shared" si="384"/>
        <v>0.13764054710482368</v>
      </c>
      <c r="R180" s="11">
        <f t="shared" si="385"/>
        <v>-2.6195610060879393E-2</v>
      </c>
      <c r="S180" s="11">
        <f t="shared" si="386"/>
        <v>3.7197506475141091E-2</v>
      </c>
      <c r="T180" s="11">
        <f t="shared" si="387"/>
        <v>8.6469704186717233E-2</v>
      </c>
      <c r="U180" s="11">
        <f t="shared" si="388"/>
        <v>-1.0305455417649524E-2</v>
      </c>
      <c r="V180" s="11">
        <f t="shared" si="389"/>
        <v>-2.3476231825155538E-2</v>
      </c>
      <c r="W180" s="11">
        <f t="shared" si="390"/>
        <v>2.9274519488190563E-2</v>
      </c>
      <c r="X180" s="11">
        <f t="shared" si="391"/>
        <v>0.1144842703516647</v>
      </c>
      <c r="Y180" s="11">
        <f t="shared" si="392"/>
        <v>0.10173853170321721</v>
      </c>
      <c r="Z180" s="11">
        <f t="shared" si="393"/>
        <v>-7.3141364045317819E-3</v>
      </c>
      <c r="AA180" s="11">
        <f t="shared" si="394"/>
        <v>4.9038086220589659E-2</v>
      </c>
      <c r="AB180" s="11">
        <f t="shared" si="395"/>
        <v>-2.3479400827386136E-2</v>
      </c>
      <c r="AC180" s="11">
        <f t="shared" si="396"/>
        <v>-4.2638007477538688E-2</v>
      </c>
      <c r="AD180" s="11">
        <f t="shared" si="397"/>
        <v>1.9423160411901231E-3</v>
      </c>
      <c r="AE180" s="11">
        <f t="shared" si="398"/>
        <v>8.8868893855026124E-2</v>
      </c>
      <c r="AF180" s="11">
        <f t="shared" si="399"/>
        <v>-1.1530423198391974E-2</v>
      </c>
      <c r="AG180" s="11">
        <f t="shared" si="400"/>
        <v>6.2792537582427477E-2</v>
      </c>
      <c r="AH180" s="11">
        <f t="shared" si="401"/>
        <v>9.4139385513111722E-3</v>
      </c>
      <c r="AI180" s="11">
        <f t="shared" si="402"/>
        <v>-9.8798857510542931E-2</v>
      </c>
      <c r="AJ180" s="11">
        <f t="shared" si="403"/>
        <v>2.0208630653035756E-2</v>
      </c>
      <c r="AK180" s="11">
        <f t="shared" si="404"/>
        <v>4.265115178899119E-2</v>
      </c>
      <c r="AL180" s="11">
        <f t="shared" si="405"/>
        <v>-1.7208280788221442E-2</v>
      </c>
      <c r="AM180" s="11">
        <f t="shared" si="406"/>
        <v>0.21773076083527568</v>
      </c>
      <c r="AN180" s="11">
        <f t="shared" si="407"/>
        <v>8.3610510067186394E-2</v>
      </c>
      <c r="AO180" s="11">
        <f t="shared" si="408"/>
        <v>-3.2459480916116383E-2</v>
      </c>
      <c r="AQ180" s="1">
        <f t="shared" si="409"/>
        <v>3.6448997283216107E-2</v>
      </c>
    </row>
    <row r="181" spans="1:43" ht="15">
      <c r="A181" s="8">
        <v>44197</v>
      </c>
      <c r="B181" s="11">
        <f t="shared" ref="B181:E181" si="426">LN(B53/B52)</f>
        <v>3.5884223445960359E-2</v>
      </c>
      <c r="C181" s="11">
        <f t="shared" si="341"/>
        <v>-5.1697128112777546E-2</v>
      </c>
      <c r="D181" s="11">
        <f t="shared" si="426"/>
        <v>0.2084425259912967</v>
      </c>
      <c r="E181" s="11">
        <f t="shared" si="426"/>
        <v>-4.4561876498272077E-2</v>
      </c>
      <c r="F181" s="11">
        <f t="shared" si="373"/>
        <v>4.8847988964743641E-2</v>
      </c>
      <c r="G181" s="11">
        <f t="shared" si="374"/>
        <v>9.0575611694583447E-2</v>
      </c>
      <c r="H181" s="11">
        <f t="shared" si="375"/>
        <v>0.14196867144400416</v>
      </c>
      <c r="I181" s="11">
        <f t="shared" si="376"/>
        <v>-4.3315748911016319E-2</v>
      </c>
      <c r="J181" s="11">
        <f t="shared" si="377"/>
        <v>-4.6399963409000315E-2</v>
      </c>
      <c r="K181" s="11">
        <f t="shared" si="378"/>
        <v>4.788329593457942E-2</v>
      </c>
      <c r="L181" s="11">
        <f t="shared" si="379"/>
        <v>4.2014386358482175E-2</v>
      </c>
      <c r="M181" s="11">
        <f t="shared" si="380"/>
        <v>-5.3087558793667756E-2</v>
      </c>
      <c r="N181" s="11">
        <f t="shared" si="381"/>
        <v>4.1997872519450308E-2</v>
      </c>
      <c r="O181" s="11">
        <f t="shared" si="382"/>
        <v>-6.8120968975030782E-2</v>
      </c>
      <c r="P181" s="11">
        <f t="shared" si="383"/>
        <v>-2.577884158833672E-2</v>
      </c>
      <c r="Q181" s="11">
        <f t="shared" si="384"/>
        <v>1.3859031800879331E-2</v>
      </c>
      <c r="R181" s="11">
        <f t="shared" si="385"/>
        <v>-4.7145970555842022E-3</v>
      </c>
      <c r="S181" s="11">
        <f t="shared" si="386"/>
        <v>0.10814650996714767</v>
      </c>
      <c r="T181" s="11">
        <f t="shared" si="387"/>
        <v>3.6966168259331487E-2</v>
      </c>
      <c r="U181" s="11">
        <f t="shared" si="388"/>
        <v>-6.847896084937076E-2</v>
      </c>
      <c r="V181" s="11">
        <f t="shared" si="389"/>
        <v>-8.2296544709593078E-2</v>
      </c>
      <c r="W181" s="11">
        <f t="shared" si="390"/>
        <v>-1.3295855117105492E-2</v>
      </c>
      <c r="X181" s="11">
        <f t="shared" si="391"/>
        <v>-1.9922546782429745E-3</v>
      </c>
      <c r="Y181" s="11">
        <f t="shared" si="392"/>
        <v>0.11247917934502097</v>
      </c>
      <c r="Z181" s="11">
        <f t="shared" si="393"/>
        <v>-3.1914238369197406E-2</v>
      </c>
      <c r="AA181" s="11">
        <f t="shared" si="394"/>
        <v>-5.5302335273199228E-2</v>
      </c>
      <c r="AB181" s="11">
        <f t="shared" si="395"/>
        <v>-3.1643533917480551E-2</v>
      </c>
      <c r="AC181" s="11">
        <f t="shared" si="396"/>
        <v>9.1661373061087223E-2</v>
      </c>
      <c r="AD181" s="11">
        <f t="shared" si="397"/>
        <v>-8.1810855362815543E-2</v>
      </c>
      <c r="AE181" s="11">
        <f t="shared" si="398"/>
        <v>-2.4305680420434673E-2</v>
      </c>
      <c r="AF181" s="11">
        <f t="shared" si="399"/>
        <v>-3.4038684045777229E-2</v>
      </c>
      <c r="AG181" s="11">
        <f t="shared" si="400"/>
        <v>-3.374212425544567E-2</v>
      </c>
      <c r="AH181" s="11">
        <f t="shared" si="401"/>
        <v>0.12347182834204616</v>
      </c>
      <c r="AI181" s="11">
        <f t="shared" si="402"/>
        <v>-9.5950534950063518E-2</v>
      </c>
      <c r="AJ181" s="11">
        <f t="shared" si="403"/>
        <v>8.2725360749227206E-2</v>
      </c>
      <c r="AK181" s="11">
        <f t="shared" si="404"/>
        <v>-7.9764968468862552E-2</v>
      </c>
      <c r="AL181" s="11">
        <f t="shared" si="405"/>
        <v>8.8417437323074707E-3</v>
      </c>
      <c r="AM181" s="11">
        <f t="shared" si="406"/>
        <v>0.11734364031399168</v>
      </c>
      <c r="AN181" s="11">
        <f t="shared" si="407"/>
        <v>-9.7587030562903576E-2</v>
      </c>
      <c r="AO181" s="11">
        <f t="shared" si="408"/>
        <v>0.18061361444879856</v>
      </c>
      <c r="AQ181" s="1">
        <f t="shared" si="409"/>
        <v>-1.1199116821942242E-2</v>
      </c>
    </row>
    <row r="182" spans="1:43" ht="15">
      <c r="A182" s="8">
        <v>44228</v>
      </c>
      <c r="B182" s="11">
        <f t="shared" ref="B182:E182" si="427">LN(B54/B53)</f>
        <v>-2.904562305941406E-2</v>
      </c>
      <c r="C182" s="11">
        <f t="shared" si="341"/>
        <v>-5.9473729709313208E-2</v>
      </c>
      <c r="D182" s="11">
        <f t="shared" si="427"/>
        <v>-1.4920744525380744E-2</v>
      </c>
      <c r="E182" s="11">
        <f t="shared" si="427"/>
        <v>6.1681679551875104E-2</v>
      </c>
      <c r="F182" s="11">
        <f t="shared" si="373"/>
        <v>-7.0834731542838966E-2</v>
      </c>
      <c r="G182" s="11">
        <f t="shared" si="374"/>
        <v>-0.12439700165631558</v>
      </c>
      <c r="H182" s="11">
        <f t="shared" si="375"/>
        <v>2.9961240916051252E-2</v>
      </c>
      <c r="I182" s="11">
        <f t="shared" si="376"/>
        <v>8.3123365519375533E-2</v>
      </c>
      <c r="J182" s="11">
        <f t="shared" si="377"/>
        <v>-4.0852638507368685E-3</v>
      </c>
      <c r="K182" s="11">
        <f t="shared" si="378"/>
        <v>-4.3708920198853148E-2</v>
      </c>
      <c r="L182" s="11">
        <f t="shared" si="379"/>
        <v>-0.11174530946711542</v>
      </c>
      <c r="M182" s="11">
        <f t="shared" si="380"/>
        <v>-4.4587201248311358E-2</v>
      </c>
      <c r="N182" s="11">
        <f t="shared" si="381"/>
        <v>1.8087130946421517E-3</v>
      </c>
      <c r="O182" s="11">
        <f t="shared" si="382"/>
        <v>6.9153910066587512E-2</v>
      </c>
      <c r="P182" s="11">
        <f t="shared" si="383"/>
        <v>0.15400263037847203</v>
      </c>
      <c r="Q182" s="11">
        <f t="shared" si="384"/>
        <v>-7.6923375519211301E-2</v>
      </c>
      <c r="R182" s="11">
        <f t="shared" si="385"/>
        <v>5.4292603205730601E-2</v>
      </c>
      <c r="S182" s="11">
        <f t="shared" si="386"/>
        <v>9.0697663786226151E-2</v>
      </c>
      <c r="T182" s="11">
        <f t="shared" si="387"/>
        <v>4.2098115960243404E-2</v>
      </c>
      <c r="U182" s="11">
        <f t="shared" si="388"/>
        <v>-1.3282593165091115E-2</v>
      </c>
      <c r="V182" s="11">
        <f t="shared" si="389"/>
        <v>-2.069997289147669E-3</v>
      </c>
      <c r="W182" s="11">
        <f t="shared" si="390"/>
        <v>-1.8019844469491231E-2</v>
      </c>
      <c r="X182" s="11">
        <f t="shared" si="391"/>
        <v>0.17413940540630551</v>
      </c>
      <c r="Y182" s="11">
        <f t="shared" si="392"/>
        <v>0.101097082804361</v>
      </c>
      <c r="Z182" s="11">
        <f t="shared" si="393"/>
        <v>-8.2131908373301327E-3</v>
      </c>
      <c r="AA182" s="11">
        <f t="shared" si="394"/>
        <v>8.8681010097282579E-3</v>
      </c>
      <c r="AB182" s="11">
        <f t="shared" si="395"/>
        <v>-6.7643521321821734E-2</v>
      </c>
      <c r="AC182" s="11">
        <f t="shared" si="396"/>
        <v>0.29343083848379437</v>
      </c>
      <c r="AD182" s="11">
        <f t="shared" si="397"/>
        <v>-3.117227327238389E-2</v>
      </c>
      <c r="AE182" s="11">
        <f t="shared" si="398"/>
        <v>5.3412778475574317E-2</v>
      </c>
      <c r="AF182" s="11">
        <f t="shared" si="399"/>
        <v>-0.11389100609008944</v>
      </c>
      <c r="AG182" s="11">
        <f t="shared" si="400"/>
        <v>8.2175088436061292E-2</v>
      </c>
      <c r="AH182" s="11">
        <f t="shared" si="401"/>
        <v>-3.6028533016475746E-2</v>
      </c>
      <c r="AI182" s="11">
        <f t="shared" si="402"/>
        <v>7.8269613714827074E-2</v>
      </c>
      <c r="AJ182" s="11">
        <f t="shared" si="403"/>
        <v>0.24114663664301764</v>
      </c>
      <c r="AK182" s="11">
        <f t="shared" si="404"/>
        <v>8.9888985818342135E-2</v>
      </c>
      <c r="AL182" s="11">
        <f t="shared" si="405"/>
        <v>0.16016885228420827</v>
      </c>
      <c r="AM182" s="11">
        <f t="shared" si="406"/>
        <v>-0.16103818903490144</v>
      </c>
      <c r="AN182" s="11">
        <f t="shared" si="407"/>
        <v>-5.3271935617764832E-2</v>
      </c>
      <c r="AO182" s="11">
        <f t="shared" si="408"/>
        <v>0.10536051565782635</v>
      </c>
      <c r="AQ182" s="1">
        <f t="shared" si="409"/>
        <v>2.5756899667125591E-2</v>
      </c>
    </row>
    <row r="183" spans="1:43" ht="15">
      <c r="A183" s="8">
        <v>44256</v>
      </c>
      <c r="B183" s="11">
        <f t="shared" ref="B183:E183" si="428">LN(B55/B54)</f>
        <v>4.2712849310214497E-2</v>
      </c>
      <c r="C183" s="11">
        <f t="shared" si="341"/>
        <v>5.9733061756279508E-2</v>
      </c>
      <c r="D183" s="11">
        <f t="shared" si="428"/>
        <v>-8.8160306916836184E-2</v>
      </c>
      <c r="E183" s="11">
        <f t="shared" si="428"/>
        <v>4.4452226473445247E-3</v>
      </c>
      <c r="F183" s="11">
        <f t="shared" si="373"/>
        <v>0.1083530490443549</v>
      </c>
      <c r="G183" s="11">
        <f t="shared" si="374"/>
        <v>1.3900631934042196E-2</v>
      </c>
      <c r="H183" s="11">
        <f t="shared" si="375"/>
        <v>-0.13463412761635848</v>
      </c>
      <c r="I183" s="11">
        <f t="shared" si="376"/>
        <v>-6.1159445778960098E-2</v>
      </c>
      <c r="J183" s="11">
        <f t="shared" si="377"/>
        <v>0.11328450357350875</v>
      </c>
      <c r="K183" s="11">
        <f t="shared" si="378"/>
        <v>9.9132528297251679E-2</v>
      </c>
      <c r="L183" s="11">
        <f t="shared" si="379"/>
        <v>4.8877879898662303E-2</v>
      </c>
      <c r="M183" s="11">
        <f t="shared" si="380"/>
        <v>8.3647030304260083E-3</v>
      </c>
      <c r="N183" s="11">
        <f t="shared" si="381"/>
        <v>1.6783482791990594E-2</v>
      </c>
      <c r="O183" s="11">
        <f t="shared" si="382"/>
        <v>8.4100401399467006E-2</v>
      </c>
      <c r="P183" s="11">
        <f t="shared" si="383"/>
        <v>8.8205018279418484E-2</v>
      </c>
      <c r="Q183" s="11">
        <f t="shared" si="384"/>
        <v>9.1916937476743663E-2</v>
      </c>
      <c r="R183" s="11">
        <f t="shared" si="385"/>
        <v>-2.7067987146968436E-2</v>
      </c>
      <c r="S183" s="11">
        <f t="shared" si="386"/>
        <v>5.7673821640853336E-2</v>
      </c>
      <c r="T183" s="11">
        <f t="shared" si="387"/>
        <v>-1.3304546945504805E-2</v>
      </c>
      <c r="U183" s="11">
        <f t="shared" si="388"/>
        <v>-7.3771245768028196E-2</v>
      </c>
      <c r="V183" s="11">
        <f t="shared" si="389"/>
        <v>-5.036469549570266E-2</v>
      </c>
      <c r="W183" s="11">
        <f t="shared" si="390"/>
        <v>-6.4556017135362201E-2</v>
      </c>
      <c r="X183" s="11">
        <f t="shared" si="391"/>
        <v>9.1632033821971506E-2</v>
      </c>
      <c r="Y183" s="11">
        <f t="shared" si="392"/>
        <v>-8.822136844431587E-2</v>
      </c>
      <c r="Z183" s="11">
        <f t="shared" si="393"/>
        <v>8.9849493651104242E-2</v>
      </c>
      <c r="AA183" s="11">
        <f t="shared" si="394"/>
        <v>-1.2090903789532448E-2</v>
      </c>
      <c r="AB183" s="11">
        <f t="shared" si="395"/>
        <v>5.9600490077862119E-2</v>
      </c>
      <c r="AC183" s="11">
        <f t="shared" si="396"/>
        <v>0.12374157727360643</v>
      </c>
      <c r="AD183" s="11">
        <f t="shared" si="397"/>
        <v>9.1971284770364897E-2</v>
      </c>
      <c r="AE183" s="11">
        <f t="shared" si="398"/>
        <v>5.4655844779052762E-2</v>
      </c>
      <c r="AF183" s="11">
        <f t="shared" si="399"/>
        <v>7.9432350420697795E-2</v>
      </c>
      <c r="AG183" s="11">
        <f t="shared" si="400"/>
        <v>9.4860433473123715E-2</v>
      </c>
      <c r="AH183" s="11">
        <f t="shared" si="401"/>
        <v>0.15427187502480935</v>
      </c>
      <c r="AI183" s="11">
        <f t="shared" si="402"/>
        <v>0.109814102436813</v>
      </c>
      <c r="AJ183" s="11">
        <f t="shared" si="403"/>
        <v>0.17789544746739439</v>
      </c>
      <c r="AK183" s="11">
        <f t="shared" si="404"/>
        <v>0.15568773048066281</v>
      </c>
      <c r="AL183" s="11">
        <f t="shared" si="405"/>
        <v>6.0825182674606813E-2</v>
      </c>
      <c r="AM183" s="11">
        <f t="shared" si="406"/>
        <v>-1.1269779773669152E-2</v>
      </c>
      <c r="AN183" s="11">
        <f t="shared" si="407"/>
        <v>5.8541871312220876E-2</v>
      </c>
      <c r="AO183" s="11">
        <f t="shared" si="408"/>
        <v>4.5937095187025608E-2</v>
      </c>
      <c r="AQ183" s="1">
        <f t="shared" si="409"/>
        <v>4.1562808697442971E-2</v>
      </c>
    </row>
    <row r="184" spans="1:43" ht="15">
      <c r="A184" s="8">
        <v>44287</v>
      </c>
      <c r="B184" s="11">
        <f t="shared" ref="B184:E184" si="429">LN(B56/B55)</f>
        <v>-9.9062524534357151E-3</v>
      </c>
      <c r="C184" s="11">
        <f t="shared" si="341"/>
        <v>-2.5426708373162511E-2</v>
      </c>
      <c r="D184" s="11">
        <f t="shared" si="429"/>
        <v>-2.1917036204345392E-2</v>
      </c>
      <c r="E184" s="11">
        <f t="shared" si="429"/>
        <v>2.9857747293825704E-2</v>
      </c>
      <c r="F184" s="11">
        <f t="shared" si="373"/>
        <v>-3.7551771204663908E-2</v>
      </c>
      <c r="G184" s="11">
        <f t="shared" si="374"/>
        <v>3.0473345438627456E-2</v>
      </c>
      <c r="H184" s="11">
        <f t="shared" si="375"/>
        <v>2.2603613907606405E-2</v>
      </c>
      <c r="I184" s="11">
        <f t="shared" si="376"/>
        <v>0.11508399096165794</v>
      </c>
      <c r="J184" s="11">
        <f t="shared" si="377"/>
        <v>7.2924485825236307E-2</v>
      </c>
      <c r="K184" s="11">
        <f t="shared" si="378"/>
        <v>1.5432665597408565E-2</v>
      </c>
      <c r="L184" s="11">
        <f t="shared" si="379"/>
        <v>1.7099448524802521E-2</v>
      </c>
      <c r="M184" s="11">
        <f t="shared" si="380"/>
        <v>-3.1678625901720096E-2</v>
      </c>
      <c r="N184" s="11">
        <f t="shared" si="381"/>
        <v>6.7286311646977723E-2</v>
      </c>
      <c r="O184" s="11">
        <f t="shared" si="382"/>
        <v>7.7045586876361857E-2</v>
      </c>
      <c r="P184" s="11">
        <f t="shared" si="383"/>
        <v>0.10203104461807132</v>
      </c>
      <c r="Q184" s="11">
        <f t="shared" si="384"/>
        <v>1.6328567374067914E-2</v>
      </c>
      <c r="R184" s="11">
        <f t="shared" si="385"/>
        <v>0.11764307736372627</v>
      </c>
      <c r="S184" s="11">
        <f t="shared" si="386"/>
        <v>-0.10657657965486537</v>
      </c>
      <c r="T184" s="11">
        <f t="shared" si="387"/>
        <v>-8.4338699663959009E-3</v>
      </c>
      <c r="U184" s="11">
        <f t="shared" si="388"/>
        <v>3.8975705189296994E-2</v>
      </c>
      <c r="V184" s="11">
        <f t="shared" si="389"/>
        <v>3.224292644622035E-2</v>
      </c>
      <c r="W184" s="11">
        <f t="shared" si="390"/>
        <v>1.2439553143205625E-2</v>
      </c>
      <c r="X184" s="11">
        <f t="shared" si="391"/>
        <v>7.8151003576378344E-2</v>
      </c>
      <c r="Y184" s="11">
        <f t="shared" si="392"/>
        <v>-1.4383707005320415E-2</v>
      </c>
      <c r="Z184" s="11">
        <f t="shared" si="393"/>
        <v>5.1899984218789337E-2</v>
      </c>
      <c r="AA184" s="11">
        <f t="shared" si="394"/>
        <v>-2.0337288346096364E-3</v>
      </c>
      <c r="AB184" s="11">
        <f t="shared" si="395"/>
        <v>0.14092495138417427</v>
      </c>
      <c r="AC184" s="11">
        <f t="shared" si="396"/>
        <v>6.3264746325071702E-2</v>
      </c>
      <c r="AD184" s="11">
        <f t="shared" si="397"/>
        <v>-1.4953313079250788E-2</v>
      </c>
      <c r="AE184" s="11">
        <f t="shared" si="398"/>
        <v>8.1505579227253724E-2</v>
      </c>
      <c r="AF184" s="11">
        <f t="shared" si="399"/>
        <v>5.0469167600987054E-2</v>
      </c>
      <c r="AG184" s="11">
        <f t="shared" si="400"/>
        <v>4.191638942617458E-2</v>
      </c>
      <c r="AH184" s="11">
        <f t="shared" si="401"/>
        <v>6.6986907300078495E-3</v>
      </c>
      <c r="AI184" s="11">
        <f t="shared" si="402"/>
        <v>2.4434513567907955E-2</v>
      </c>
      <c r="AJ184" s="11">
        <f t="shared" si="403"/>
        <v>3.3399460195820359E-2</v>
      </c>
      <c r="AK184" s="11">
        <f t="shared" si="404"/>
        <v>-2.34597224956253E-2</v>
      </c>
      <c r="AL184" s="11">
        <f t="shared" si="405"/>
        <v>-1.6550007882998229E-2</v>
      </c>
      <c r="AM184" s="11">
        <f t="shared" si="406"/>
        <v>6.0292548801362346E-2</v>
      </c>
      <c r="AN184" s="11">
        <f t="shared" si="407"/>
        <v>1.9448613895486608E-2</v>
      </c>
      <c r="AO184" s="11">
        <f t="shared" si="408"/>
        <v>-5.970667591078252E-2</v>
      </c>
      <c r="AQ184" s="1">
        <f t="shared" si="409"/>
        <v>5.1097322114293922E-2</v>
      </c>
    </row>
    <row r="185" spans="1:43" ht="15">
      <c r="A185" s="8">
        <v>44317</v>
      </c>
      <c r="B185" s="11">
        <f t="shared" ref="B185:E185" si="430">LN(B57/B56)</f>
        <v>3.9284540269281895E-2</v>
      </c>
      <c r="C185" s="11">
        <f t="shared" si="341"/>
        <v>1.8485912170715744E-2</v>
      </c>
      <c r="D185" s="11">
        <f t="shared" si="430"/>
        <v>8.878819816354741E-2</v>
      </c>
      <c r="E185" s="11">
        <f t="shared" si="430"/>
        <v>2.7216968135563371E-2</v>
      </c>
      <c r="F185" s="11">
        <f t="shared" si="373"/>
        <v>-7.1192796243368314E-3</v>
      </c>
      <c r="G185" s="11">
        <f t="shared" si="374"/>
        <v>-1.5537389949469807E-3</v>
      </c>
      <c r="H185" s="11">
        <f t="shared" si="375"/>
        <v>3.2063662454222167E-2</v>
      </c>
      <c r="I185" s="11">
        <f t="shared" si="376"/>
        <v>1.6475849162328363E-2</v>
      </c>
      <c r="J185" s="11">
        <f t="shared" si="377"/>
        <v>3.2369117846399162E-2</v>
      </c>
      <c r="K185" s="11">
        <f t="shared" si="378"/>
        <v>0.1300080968834276</v>
      </c>
      <c r="L185" s="11">
        <f t="shared" si="379"/>
        <v>4.29655504379488E-2</v>
      </c>
      <c r="M185" s="11">
        <f t="shared" si="380"/>
        <v>9.0865440302978315E-2</v>
      </c>
      <c r="N185" s="11">
        <f t="shared" si="381"/>
        <v>-9.9631217192346303E-3</v>
      </c>
      <c r="O185" s="11">
        <f t="shared" si="382"/>
        <v>4.2502216340610563E-2</v>
      </c>
      <c r="P185" s="11">
        <f t="shared" si="383"/>
        <v>6.7722254413532745E-2</v>
      </c>
      <c r="Q185" s="11">
        <f t="shared" si="384"/>
        <v>0.24683112025830081</v>
      </c>
      <c r="R185" s="11">
        <f t="shared" si="385"/>
        <v>7.9071072598845632E-2</v>
      </c>
      <c r="S185" s="11">
        <f t="shared" si="386"/>
        <v>-7.1522455098591408E-3</v>
      </c>
      <c r="T185" s="11">
        <f t="shared" si="387"/>
        <v>3.4746412416068996E-2</v>
      </c>
      <c r="U185" s="11">
        <f t="shared" si="388"/>
        <v>-1.9048194970694588E-2</v>
      </c>
      <c r="V185" s="11">
        <f t="shared" si="389"/>
        <v>-7.5306286227258996E-3</v>
      </c>
      <c r="W185" s="11">
        <f t="shared" si="390"/>
        <v>-6.6313502282387762E-2</v>
      </c>
      <c r="X185" s="11">
        <f t="shared" si="391"/>
        <v>-0.15439511778823523</v>
      </c>
      <c r="Y185" s="11">
        <f t="shared" si="392"/>
        <v>-0.18794122118753903</v>
      </c>
      <c r="Z185" s="11">
        <f t="shared" si="393"/>
        <v>-9.3198273849472851E-3</v>
      </c>
      <c r="AA185" s="11">
        <f t="shared" si="394"/>
        <v>2.854323846633176E-2</v>
      </c>
      <c r="AB185" s="11">
        <f t="shared" si="395"/>
        <v>1.0668875626673647E-2</v>
      </c>
      <c r="AC185" s="11">
        <f t="shared" si="396"/>
        <v>5.8497844058187275E-2</v>
      </c>
      <c r="AD185" s="11">
        <f t="shared" si="397"/>
        <v>1.7038956664463936E-2</v>
      </c>
      <c r="AE185" s="11">
        <f t="shared" si="398"/>
        <v>1.4940460760961064E-2</v>
      </c>
      <c r="AF185" s="11">
        <f t="shared" si="399"/>
        <v>2.1063932411834137E-2</v>
      </c>
      <c r="AG185" s="11">
        <f t="shared" si="400"/>
        <v>5.4207521375252352E-2</v>
      </c>
      <c r="AH185" s="11">
        <f t="shared" si="401"/>
        <v>6.2194616876291908E-2</v>
      </c>
      <c r="AI185" s="11">
        <f t="shared" si="402"/>
        <v>8.102006957384443E-2</v>
      </c>
      <c r="AJ185" s="11">
        <f t="shared" si="403"/>
        <v>6.7488877067845843E-2</v>
      </c>
      <c r="AK185" s="11">
        <f t="shared" si="404"/>
        <v>6.037397281324277E-2</v>
      </c>
      <c r="AL185" s="11">
        <f t="shared" si="405"/>
        <v>6.9609485597721728E-3</v>
      </c>
      <c r="AM185" s="11">
        <f t="shared" si="406"/>
        <v>-0.12637233862901098</v>
      </c>
      <c r="AN185" s="11">
        <f t="shared" si="407"/>
        <v>-6.7770407910468537E-3</v>
      </c>
      <c r="AO185" s="11">
        <f t="shared" si="408"/>
        <v>0.23039621650223807</v>
      </c>
      <c r="AQ185" s="1">
        <f t="shared" si="409"/>
        <v>5.4715065520221503E-3</v>
      </c>
    </row>
    <row r="186" spans="1:43" ht="15">
      <c r="A186" s="8">
        <v>44348</v>
      </c>
      <c r="B186" s="11">
        <f t="shared" ref="B186:E186" si="431">LN(B58/B57)</f>
        <v>-2.0789101130293162E-2</v>
      </c>
      <c r="C186" s="11">
        <f t="shared" si="341"/>
        <v>7.1354326781858629E-2</v>
      </c>
      <c r="D186" s="11">
        <f t="shared" si="431"/>
        <v>0.14338294655650505</v>
      </c>
      <c r="E186" s="11">
        <f t="shared" si="431"/>
        <v>-4.959043070743907E-3</v>
      </c>
      <c r="F186" s="11">
        <f t="shared" si="373"/>
        <v>3.1131286265149348E-2</v>
      </c>
      <c r="G186" s="11">
        <f t="shared" si="374"/>
        <v>7.1840281355689969E-2</v>
      </c>
      <c r="H186" s="11">
        <f t="shared" si="375"/>
        <v>0.15407319785058379</v>
      </c>
      <c r="I186" s="11">
        <f t="shared" si="376"/>
        <v>0.12362103965026683</v>
      </c>
      <c r="J186" s="11">
        <f t="shared" si="377"/>
        <v>-2.8265213357571855E-2</v>
      </c>
      <c r="K186" s="11">
        <f t="shared" si="378"/>
        <v>-3.5322829466915374E-2</v>
      </c>
      <c r="L186" s="11">
        <f t="shared" si="379"/>
        <v>0.10586990960944109</v>
      </c>
      <c r="M186" s="11">
        <f t="shared" si="380"/>
        <v>0.1822997817792556</v>
      </c>
      <c r="N186" s="11">
        <f t="shared" si="381"/>
        <v>8.3876232173368426E-2</v>
      </c>
      <c r="O186" s="11">
        <f t="shared" si="382"/>
        <v>-1.1495818423527872E-2</v>
      </c>
      <c r="P186" s="11">
        <f t="shared" si="383"/>
        <v>8.6099610369223881E-2</v>
      </c>
      <c r="Q186" s="11">
        <f t="shared" si="384"/>
        <v>-1.6035495508525035E-2</v>
      </c>
      <c r="R186" s="11">
        <f t="shared" si="385"/>
        <v>0.20810248649350216</v>
      </c>
      <c r="S186" s="11">
        <f t="shared" si="386"/>
        <v>-1.116543001567225E-2</v>
      </c>
      <c r="T186" s="11">
        <f t="shared" si="387"/>
        <v>9.5032951841041782E-3</v>
      </c>
      <c r="U186" s="11">
        <f t="shared" si="388"/>
        <v>0.15952368899945901</v>
      </c>
      <c r="V186" s="11">
        <f t="shared" si="389"/>
        <v>0.13006081018527504</v>
      </c>
      <c r="W186" s="11">
        <f t="shared" si="390"/>
        <v>0.14814563642835102</v>
      </c>
      <c r="X186" s="11">
        <f t="shared" si="391"/>
        <v>3.2315291438978176E-2</v>
      </c>
      <c r="Y186" s="11">
        <f t="shared" si="392"/>
        <v>0.22279139801459794</v>
      </c>
      <c r="Z186" s="11">
        <f t="shared" si="393"/>
        <v>-6.9690713571480727E-3</v>
      </c>
      <c r="AA186" s="11">
        <f t="shared" si="394"/>
        <v>0.12611404623126643</v>
      </c>
      <c r="AB186" s="11">
        <f t="shared" si="395"/>
        <v>8.8756929555323355E-2</v>
      </c>
      <c r="AC186" s="11">
        <f t="shared" si="396"/>
        <v>3.0862751862022357E-2</v>
      </c>
      <c r="AD186" s="11">
        <f t="shared" si="397"/>
        <v>5.9307580165204757E-4</v>
      </c>
      <c r="AE186" s="11">
        <f t="shared" si="398"/>
        <v>2.7413005725502627E-2</v>
      </c>
      <c r="AF186" s="11">
        <f t="shared" si="399"/>
        <v>-1.6260673853065056E-2</v>
      </c>
      <c r="AG186" s="11">
        <f t="shared" si="400"/>
        <v>-5.7541045934276676E-2</v>
      </c>
      <c r="AH186" s="11">
        <f t="shared" si="401"/>
        <v>-3.5279406340189716E-2</v>
      </c>
      <c r="AI186" s="11">
        <f t="shared" si="402"/>
        <v>-5.3769233734039343E-2</v>
      </c>
      <c r="AJ186" s="11">
        <f t="shared" si="403"/>
        <v>-0.29003104266401936</v>
      </c>
      <c r="AK186" s="11">
        <f t="shared" si="404"/>
        <v>-5.6425600181874709E-2</v>
      </c>
      <c r="AL186" s="11">
        <f t="shared" si="405"/>
        <v>2.1278189188183343E-2</v>
      </c>
      <c r="AM186" s="11">
        <f t="shared" si="406"/>
        <v>8.354793655365686E-2</v>
      </c>
      <c r="AN186" s="11">
        <f t="shared" si="407"/>
        <v>-2.3312644412696763E-2</v>
      </c>
      <c r="AO186" s="11">
        <f t="shared" si="408"/>
        <v>2.2457561707421674E-2</v>
      </c>
      <c r="AQ186" s="1">
        <f t="shared" si="409"/>
        <v>2.1970840045862021E-2</v>
      </c>
    </row>
    <row r="187" spans="1:43" ht="15">
      <c r="A187" s="8">
        <v>44378</v>
      </c>
      <c r="B187" s="11">
        <f t="shared" ref="B187:E187" si="432">LN(B59/B58)</f>
        <v>4.4288526698087312E-2</v>
      </c>
      <c r="C187" s="11">
        <f t="shared" si="341"/>
        <v>-3.0810676078644982E-3</v>
      </c>
      <c r="D187" s="11">
        <f t="shared" si="432"/>
        <v>5.912674618532282E-2</v>
      </c>
      <c r="E187" s="11">
        <f t="shared" si="432"/>
        <v>3.1976627301915549E-2</v>
      </c>
      <c r="F187" s="11">
        <f t="shared" si="373"/>
        <v>-9.1081638850303466E-3</v>
      </c>
      <c r="G187" s="11">
        <f t="shared" si="374"/>
        <v>6.8638358033102281E-2</v>
      </c>
      <c r="H187" s="11">
        <f t="shared" si="375"/>
        <v>4.6532502805525927E-2</v>
      </c>
      <c r="I187" s="11">
        <f t="shared" si="376"/>
        <v>7.1751578258022752E-2</v>
      </c>
      <c r="J187" s="11">
        <f t="shared" si="377"/>
        <v>3.2648945651317672E-2</v>
      </c>
      <c r="K187" s="11">
        <f t="shared" si="378"/>
        <v>-1.3027945105047671E-2</v>
      </c>
      <c r="L187" s="11">
        <f t="shared" si="379"/>
        <v>2.836531344836667E-2</v>
      </c>
      <c r="M187" s="11">
        <f t="shared" si="380"/>
        <v>9.7623523058469469E-2</v>
      </c>
      <c r="N187" s="11">
        <f t="shared" si="381"/>
        <v>5.0423480920785468E-2</v>
      </c>
      <c r="O187" s="11">
        <f t="shared" si="382"/>
        <v>0.11286057878671585</v>
      </c>
      <c r="P187" s="11">
        <f t="shared" si="383"/>
        <v>0.13361535568082733</v>
      </c>
      <c r="Q187" s="11">
        <f t="shared" si="384"/>
        <v>-8.7895571560248062E-2</v>
      </c>
      <c r="R187" s="11">
        <f t="shared" si="385"/>
        <v>-2.526498687032808E-2</v>
      </c>
      <c r="S187" s="11">
        <f t="shared" si="386"/>
        <v>-4.4063094151481935E-2</v>
      </c>
      <c r="T187" s="11">
        <f t="shared" si="387"/>
        <v>2.5589410601982009E-2</v>
      </c>
      <c r="U187" s="11">
        <f t="shared" si="388"/>
        <v>0.12268011840933003</v>
      </c>
      <c r="V187" s="11">
        <f t="shared" si="389"/>
        <v>3.532016149196688E-2</v>
      </c>
      <c r="W187" s="11">
        <f t="shared" si="390"/>
        <v>6.7440094053106914E-2</v>
      </c>
      <c r="X187" s="11">
        <f t="shared" si="391"/>
        <v>-3.833740525495033E-2</v>
      </c>
      <c r="Y187" s="11">
        <f t="shared" si="392"/>
        <v>-0.11483000605090563</v>
      </c>
      <c r="Z187" s="11">
        <f t="shared" si="393"/>
        <v>4.949291482522658E-2</v>
      </c>
      <c r="AA187" s="11">
        <f t="shared" si="394"/>
        <v>8.0913374134810548E-2</v>
      </c>
      <c r="AB187" s="11">
        <f t="shared" si="395"/>
        <v>0.12117219975178965</v>
      </c>
      <c r="AC187" s="11">
        <f t="shared" si="396"/>
        <v>0.10760494729323306</v>
      </c>
      <c r="AD187" s="11">
        <f t="shared" si="397"/>
        <v>5.2688804723274633E-2</v>
      </c>
      <c r="AE187" s="11">
        <f t="shared" si="398"/>
        <v>2.190594452013021E-2</v>
      </c>
      <c r="AF187" s="11">
        <f t="shared" si="399"/>
        <v>-1.6720232769016626E-2</v>
      </c>
      <c r="AG187" s="11">
        <f t="shared" si="400"/>
        <v>-5.8312828520901895E-2</v>
      </c>
      <c r="AH187" s="11">
        <f t="shared" si="401"/>
        <v>-0.10426880122544199</v>
      </c>
      <c r="AI187" s="11">
        <f t="shared" si="402"/>
        <v>-6.1116290544258926E-2</v>
      </c>
      <c r="AJ187" s="11">
        <f t="shared" si="403"/>
        <v>1.5686723370073766E-2</v>
      </c>
      <c r="AK187" s="11">
        <f t="shared" si="404"/>
        <v>4.5365267579268514E-3</v>
      </c>
      <c r="AL187" s="11">
        <f t="shared" si="405"/>
        <v>-2.8373516448237802E-2</v>
      </c>
      <c r="AM187" s="11">
        <f t="shared" si="406"/>
        <v>1.0973846317453189E-2</v>
      </c>
      <c r="AN187" s="11">
        <f t="shared" si="407"/>
        <v>5.770559620144456E-2</v>
      </c>
      <c r="AO187" s="11">
        <f t="shared" si="408"/>
        <v>-6.3193531022238444E-2</v>
      </c>
      <c r="AQ187" s="1">
        <f t="shared" si="409"/>
        <v>2.249322924674322E-2</v>
      </c>
    </row>
    <row r="188" spans="1:43" ht="15">
      <c r="A188" s="8">
        <v>44409</v>
      </c>
      <c r="B188" s="11">
        <f t="shared" ref="B188:E188" si="433">LN(B60/B59)</f>
        <v>5.3861281464668044E-3</v>
      </c>
      <c r="C188" s="11">
        <f t="shared" si="341"/>
        <v>-7.5739692076680059E-3</v>
      </c>
      <c r="D188" s="11">
        <f t="shared" si="433"/>
        <v>5.8966047309096055E-2</v>
      </c>
      <c r="E188" s="11">
        <f t="shared" si="433"/>
        <v>4.8883809885401433E-2</v>
      </c>
      <c r="F188" s="11">
        <f t="shared" si="373"/>
        <v>-6.8581828156911676E-2</v>
      </c>
      <c r="G188" s="11">
        <f t="shared" si="374"/>
        <v>2.7290446372680091E-2</v>
      </c>
      <c r="H188" s="11">
        <f t="shared" si="375"/>
        <v>-8.1038328370508075E-2</v>
      </c>
      <c r="I188" s="11">
        <f t="shared" si="376"/>
        <v>-7.0547290643892171E-3</v>
      </c>
      <c r="J188" s="11">
        <f t="shared" si="377"/>
        <v>9.777060971308588E-3</v>
      </c>
      <c r="K188" s="11">
        <f t="shared" si="378"/>
        <v>5.3810029359490842E-2</v>
      </c>
      <c r="L188" s="11">
        <f t="shared" si="379"/>
        <v>0.15864795692215386</v>
      </c>
      <c r="M188" s="11">
        <f t="shared" si="380"/>
        <v>6.6640108439468423E-2</v>
      </c>
      <c r="N188" s="11">
        <f t="shared" si="381"/>
        <v>5.785633250990032E-2</v>
      </c>
      <c r="O188" s="11">
        <f t="shared" si="382"/>
        <v>2.6261962977344289E-2</v>
      </c>
      <c r="P188" s="11">
        <f t="shared" si="383"/>
        <v>0.14633295434124916</v>
      </c>
      <c r="Q188" s="11">
        <f t="shared" si="384"/>
        <v>6.7756555502030621E-2</v>
      </c>
      <c r="R188" s="11">
        <f t="shared" si="385"/>
        <v>0.13802787133711675</v>
      </c>
      <c r="S188" s="11">
        <f t="shared" si="386"/>
        <v>6.3090784591465499E-3</v>
      </c>
      <c r="T188" s="11">
        <f t="shared" si="387"/>
        <v>2.4039225331266078E-2</v>
      </c>
      <c r="U188" s="11">
        <f t="shared" si="388"/>
        <v>4.1774549453605175E-2</v>
      </c>
      <c r="V188" s="11">
        <f t="shared" si="389"/>
        <v>3.7656284191038371E-2</v>
      </c>
      <c r="W188" s="11">
        <f t="shared" si="390"/>
        <v>9.0599708022933156E-2</v>
      </c>
      <c r="X188" s="11">
        <f t="shared" si="391"/>
        <v>2.9690029887904403E-2</v>
      </c>
      <c r="Y188" s="11">
        <f t="shared" si="392"/>
        <v>0.16421222559480783</v>
      </c>
      <c r="Z188" s="11">
        <f t="shared" si="393"/>
        <v>-2.1867814022760779E-2</v>
      </c>
      <c r="AA188" s="11">
        <f t="shared" si="394"/>
        <v>-1.6674358733959387E-2</v>
      </c>
      <c r="AB188" s="11">
        <f t="shared" si="395"/>
        <v>-1.6501105333390203E-2</v>
      </c>
      <c r="AC188" s="11">
        <f t="shared" si="396"/>
        <v>4.1619175797794325E-2</v>
      </c>
      <c r="AD188" s="11">
        <f t="shared" si="397"/>
        <v>7.3943614172583176E-3</v>
      </c>
      <c r="AE188" s="11">
        <f t="shared" si="398"/>
        <v>2.8658954631123418E-2</v>
      </c>
      <c r="AF188" s="11">
        <f t="shared" si="399"/>
        <v>-3.2685436870804399E-2</v>
      </c>
      <c r="AG188" s="11">
        <f t="shared" si="400"/>
        <v>-6.6637699405743225E-2</v>
      </c>
      <c r="AH188" s="11">
        <f t="shared" si="401"/>
        <v>2.6317048864278717E-2</v>
      </c>
      <c r="AI188" s="11">
        <f t="shared" si="402"/>
        <v>-5.2280857874623159E-2</v>
      </c>
      <c r="AJ188" s="11">
        <f t="shared" si="403"/>
        <v>0.12125454363016303</v>
      </c>
      <c r="AK188" s="11">
        <f t="shared" si="404"/>
        <v>5.7460118473403231E-2</v>
      </c>
      <c r="AL188" s="11">
        <f t="shared" si="405"/>
        <v>-5.0770969053739685E-2</v>
      </c>
      <c r="AM188" s="11">
        <f t="shared" si="406"/>
        <v>6.8224240892551302E-2</v>
      </c>
      <c r="AN188" s="11">
        <f t="shared" si="407"/>
        <v>-4.085479299161982E-3</v>
      </c>
      <c r="AO188" s="11">
        <f t="shared" si="408"/>
        <v>-6.8225117130620933E-2</v>
      </c>
      <c r="AQ188" s="1">
        <f t="shared" si="409"/>
        <v>2.857805096868915E-2</v>
      </c>
    </row>
    <row r="189" spans="1:43" ht="15">
      <c r="A189" s="8">
        <v>44440</v>
      </c>
      <c r="B189" s="11">
        <f t="shared" ref="B189:E189" si="434">LN(B61/B60)</f>
        <v>-6.3612976854501346E-2</v>
      </c>
      <c r="C189" s="11">
        <f t="shared" si="341"/>
        <v>-1.5588042898905499E-2</v>
      </c>
      <c r="D189" s="11">
        <f t="shared" si="434"/>
        <v>-0.10822518157441414</v>
      </c>
      <c r="E189" s="11">
        <f t="shared" si="434"/>
        <v>-0.11304391049241738</v>
      </c>
      <c r="F189" s="11">
        <f t="shared" si="373"/>
        <v>-5.1113217041280641E-2</v>
      </c>
      <c r="G189" s="11">
        <f t="shared" si="374"/>
        <v>2.9088808026150093E-2</v>
      </c>
      <c r="H189" s="11">
        <f t="shared" si="375"/>
        <v>-0.1196413322240021</v>
      </c>
      <c r="I189" s="11">
        <f t="shared" si="376"/>
        <v>-8.0094656303774117E-2</v>
      </c>
      <c r="J189" s="11">
        <f t="shared" si="377"/>
        <v>-6.3291703430134336E-2</v>
      </c>
      <c r="K189" s="11">
        <f t="shared" si="378"/>
        <v>-1.7869088596613965E-2</v>
      </c>
      <c r="L189" s="11">
        <f t="shared" si="379"/>
        <v>-0.10681357228547085</v>
      </c>
      <c r="M189" s="11">
        <f t="shared" si="380"/>
        <v>-9.5965696956157046E-2</v>
      </c>
      <c r="N189" s="11">
        <f t="shared" si="381"/>
        <v>-6.6493723975918684E-2</v>
      </c>
      <c r="O189" s="11">
        <f t="shared" si="382"/>
        <v>-2.269472189943051E-2</v>
      </c>
      <c r="P189" s="11">
        <f t="shared" si="383"/>
        <v>-7.6126205346014414E-2</v>
      </c>
      <c r="Q189" s="11">
        <f t="shared" si="384"/>
        <v>-4.3750949951275452E-2</v>
      </c>
      <c r="R189" s="11">
        <f t="shared" si="385"/>
        <v>-7.7308270111651672E-2</v>
      </c>
      <c r="S189" s="11">
        <f t="shared" si="386"/>
        <v>-8.0562374737471864E-3</v>
      </c>
      <c r="T189" s="11">
        <f t="shared" si="387"/>
        <v>-2.5008008419573399E-2</v>
      </c>
      <c r="U189" s="11">
        <f t="shared" si="388"/>
        <v>-7.324684902935541E-2</v>
      </c>
      <c r="V189" s="11">
        <f t="shared" si="389"/>
        <v>-3.0010732870493058E-2</v>
      </c>
      <c r="W189" s="11">
        <f t="shared" si="390"/>
        <v>-3.3765481437514511E-2</v>
      </c>
      <c r="X189" s="11">
        <f t="shared" si="391"/>
        <v>-8.3410951197024047E-2</v>
      </c>
      <c r="Y189" s="11">
        <f t="shared" si="392"/>
        <v>-3.9135634001875919E-2</v>
      </c>
      <c r="Z189" s="11">
        <f t="shared" si="393"/>
        <v>2.0721277320532073E-2</v>
      </c>
      <c r="AA189" s="11">
        <f t="shared" si="394"/>
        <v>-0.12440097790656313</v>
      </c>
      <c r="AB189" s="11">
        <f t="shared" si="395"/>
        <v>-8.0397528040484251E-2</v>
      </c>
      <c r="AC189" s="11">
        <f t="shared" si="396"/>
        <v>-6.5693850631574402E-2</v>
      </c>
      <c r="AD189" s="11">
        <f t="shared" si="397"/>
        <v>-1.8356941993193161E-2</v>
      </c>
      <c r="AE189" s="11">
        <f t="shared" si="398"/>
        <v>-8.3064793954534685E-2</v>
      </c>
      <c r="AF189" s="11">
        <f t="shared" si="399"/>
        <v>-1.7767989987592596E-2</v>
      </c>
      <c r="AG189" s="11">
        <f t="shared" si="400"/>
        <v>3.3936016297750352E-2</v>
      </c>
      <c r="AH189" s="11">
        <f t="shared" si="401"/>
        <v>-0.12871056570499359</v>
      </c>
      <c r="AI189" s="11">
        <f t="shared" si="402"/>
        <v>-0.19193542367003846</v>
      </c>
      <c r="AJ189" s="11">
        <f t="shared" si="403"/>
        <v>0.20446018276099392</v>
      </c>
      <c r="AK189" s="11">
        <f t="shared" si="404"/>
        <v>-2.0871574485084837E-2</v>
      </c>
      <c r="AL189" s="11">
        <f t="shared" si="405"/>
        <v>6.0621196489625037E-2</v>
      </c>
      <c r="AM189" s="11">
        <f t="shared" si="406"/>
        <v>5.2632580908409846E-2</v>
      </c>
      <c r="AN189" s="11">
        <f t="shared" si="407"/>
        <v>-3.8830724811197218E-2</v>
      </c>
      <c r="AO189" s="11">
        <f t="shared" si="408"/>
        <v>8.3166697128819994E-2</v>
      </c>
      <c r="AQ189" s="1">
        <f t="shared" si="409"/>
        <v>-4.8737762984622721E-2</v>
      </c>
    </row>
    <row r="191" spans="1:43" ht="15">
      <c r="A191" s="12" t="s">
        <v>3</v>
      </c>
      <c r="B191" s="11">
        <f>AVERAGE(B132:B189)</f>
        <v>8.699284701560504E-3</v>
      </c>
      <c r="C191" s="11">
        <f t="shared" ref="C191:AQ191" si="435">AVERAGE(C132:C189)</f>
        <v>6.8159147547803486E-3</v>
      </c>
      <c r="D191" s="11">
        <f t="shared" si="435"/>
        <v>2.3228877988977967E-2</v>
      </c>
      <c r="E191" s="11">
        <f t="shared" si="435"/>
        <v>1.3639382221731179E-2</v>
      </c>
      <c r="F191" s="11">
        <f t="shared" si="435"/>
        <v>9.172105076553189E-3</v>
      </c>
      <c r="G191" s="11">
        <f t="shared" si="435"/>
        <v>2.4467232968361646E-2</v>
      </c>
      <c r="H191" s="11">
        <f t="shared" si="435"/>
        <v>1.9206739666083404E-2</v>
      </c>
      <c r="I191" s="11">
        <f t="shared" si="435"/>
        <v>2.8708020567870193E-2</v>
      </c>
      <c r="J191" s="11">
        <f t="shared" si="435"/>
        <v>1.6829118169733068E-2</v>
      </c>
      <c r="K191" s="11">
        <f t="shared" si="435"/>
        <v>4.0777859299840511E-3</v>
      </c>
      <c r="L191" s="11">
        <f t="shared" si="435"/>
        <v>8.0578738688231958E-3</v>
      </c>
      <c r="M191" s="11">
        <f t="shared" si="435"/>
        <v>2.6221612595757216E-2</v>
      </c>
      <c r="N191" s="11">
        <f t="shared" si="435"/>
        <v>2.7942571794032822E-2</v>
      </c>
      <c r="O191" s="11">
        <f t="shared" si="435"/>
        <v>1.4686420304713793E-2</v>
      </c>
      <c r="P191" s="11">
        <f t="shared" si="435"/>
        <v>3.9178717369535425E-2</v>
      </c>
      <c r="Q191" s="11">
        <f t="shared" si="435"/>
        <v>1.149879709430437E-2</v>
      </c>
      <c r="R191" s="11">
        <f t="shared" si="435"/>
        <v>3.8108514210443242E-2</v>
      </c>
      <c r="S191" s="11">
        <f t="shared" si="435"/>
        <v>9.6034810742778899E-3</v>
      </c>
      <c r="T191" s="11">
        <f t="shared" si="435"/>
        <v>2.0935191933320312E-2</v>
      </c>
      <c r="U191" s="11">
        <f t="shared" si="435"/>
        <v>4.2182472437194571E-2</v>
      </c>
      <c r="V191" s="11">
        <f t="shared" si="435"/>
        <v>1.9055769051659663E-2</v>
      </c>
      <c r="W191" s="11">
        <f t="shared" si="435"/>
        <v>3.4702204767491342E-2</v>
      </c>
      <c r="X191" s="11">
        <f t="shared" si="435"/>
        <v>1.2399512632946736E-2</v>
      </c>
      <c r="Y191" s="11">
        <f t="shared" si="435"/>
        <v>4.8614642774215934E-2</v>
      </c>
      <c r="Z191" s="11">
        <f t="shared" si="435"/>
        <v>1.4270008076381051E-2</v>
      </c>
      <c r="AA191" s="11">
        <f t="shared" si="435"/>
        <v>1.9288049471392552E-2</v>
      </c>
      <c r="AB191" s="11">
        <f t="shared" si="435"/>
        <v>1.8737471949686817E-2</v>
      </c>
      <c r="AC191" s="11">
        <f t="shared" si="435"/>
        <v>5.3027655155198578E-3</v>
      </c>
      <c r="AD191" s="11">
        <f t="shared" si="435"/>
        <v>1.1450592817748314E-2</v>
      </c>
      <c r="AE191" s="11">
        <f t="shared" si="435"/>
        <v>5.5270400430000536E-3</v>
      </c>
      <c r="AF191" s="11">
        <f t="shared" si="435"/>
        <v>7.9190648753141458E-3</v>
      </c>
      <c r="AG191" s="11">
        <f t="shared" si="435"/>
        <v>-1.0007608052927218E-2</v>
      </c>
      <c r="AH191" s="11">
        <f t="shared" si="435"/>
        <v>-9.5177224774510676E-3</v>
      </c>
      <c r="AI191" s="11">
        <f t="shared" si="435"/>
        <v>3.3055965017125782E-3</v>
      </c>
      <c r="AJ191" s="11">
        <f t="shared" si="435"/>
        <v>1.7891290286332982E-2</v>
      </c>
      <c r="AK191" s="11">
        <f t="shared" si="435"/>
        <v>8.1512257155671019E-3</v>
      </c>
      <c r="AL191" s="11">
        <f t="shared" si="435"/>
        <v>2.1778963325167831E-3</v>
      </c>
      <c r="AM191" s="11">
        <f t="shared" si="435"/>
        <v>5.2052740071605687E-2</v>
      </c>
      <c r="AN191" s="11">
        <f t="shared" si="435"/>
        <v>2.3955062933784157E-2</v>
      </c>
      <c r="AO191" s="11">
        <f t="shared" si="435"/>
        <v>6.446444297773221E-3</v>
      </c>
      <c r="AP191" s="11"/>
      <c r="AQ191" s="11">
        <f t="shared" si="435"/>
        <v>1.1593977078903689E-2</v>
      </c>
    </row>
    <row r="193" spans="1:42" ht="15">
      <c r="A193" s="12" t="s">
        <v>154</v>
      </c>
      <c r="B193" s="11">
        <v>422.43400000000003</v>
      </c>
      <c r="C193" s="11">
        <v>206.054</v>
      </c>
      <c r="D193" s="11">
        <v>219.62100000000001</v>
      </c>
      <c r="E193" s="11">
        <v>192.78200000000001</v>
      </c>
      <c r="F193" s="11">
        <v>121.47499999999999</v>
      </c>
      <c r="G193" s="11">
        <v>225.31899999999999</v>
      </c>
      <c r="H193" s="11">
        <v>61.792000000000002</v>
      </c>
      <c r="I193" s="11">
        <v>53.085999999999999</v>
      </c>
      <c r="J193" s="11">
        <v>370.029</v>
      </c>
      <c r="K193" s="11">
        <v>110.93600000000001</v>
      </c>
      <c r="L193" s="11">
        <v>61.048999999999999</v>
      </c>
      <c r="M193" s="11">
        <v>38.198</v>
      </c>
      <c r="N193" s="11">
        <v>2173</v>
      </c>
      <c r="O193" s="11">
        <v>245.321</v>
      </c>
      <c r="P193" s="11">
        <v>48.668999999999997</v>
      </c>
      <c r="Q193" s="11">
        <v>14.856999999999999</v>
      </c>
      <c r="R193" s="11">
        <v>516.89099999999996</v>
      </c>
      <c r="S193" s="11">
        <v>218.51</v>
      </c>
      <c r="T193" s="11">
        <v>200.601</v>
      </c>
      <c r="U193" s="11">
        <v>124.26900000000001</v>
      </c>
      <c r="V193" s="11">
        <v>37.582999999999998</v>
      </c>
      <c r="W193" s="11">
        <v>125.358</v>
      </c>
      <c r="X193" s="11">
        <v>32.350999999999999</v>
      </c>
      <c r="Y193" s="11">
        <v>25.869</v>
      </c>
      <c r="Z193" s="11">
        <v>181.42</v>
      </c>
      <c r="AA193" s="11">
        <v>232.81100000000001</v>
      </c>
      <c r="AB193" s="11">
        <v>17.507999999999999</v>
      </c>
      <c r="AC193" s="11">
        <v>16.920000000000002</v>
      </c>
      <c r="AD193" s="11">
        <v>338.94499999999999</v>
      </c>
      <c r="AE193" s="11">
        <v>149.745</v>
      </c>
      <c r="AF193" s="11">
        <v>140.08500000000001</v>
      </c>
      <c r="AG193" s="11">
        <v>44.874000000000002</v>
      </c>
      <c r="AH193" s="11">
        <v>9.5969999999999995</v>
      </c>
      <c r="AI193" s="11">
        <v>59.115000000000002</v>
      </c>
      <c r="AJ193" s="11">
        <v>2.1709999999999998</v>
      </c>
      <c r="AK193" s="11">
        <v>2.38</v>
      </c>
      <c r="AL193" s="11">
        <v>201.76499999999999</v>
      </c>
      <c r="AM193" s="11">
        <v>776.59199999999998</v>
      </c>
      <c r="AN193" s="11">
        <v>51.49</v>
      </c>
      <c r="AO193" s="11">
        <v>56.566000000000003</v>
      </c>
      <c r="AP193" s="11"/>
    </row>
    <row r="194" spans="1:42" ht="15">
      <c r="A194" s="12" t="s">
        <v>155</v>
      </c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</row>
  </sheetData>
  <phoneticPr fontId="19" type="noConversion"/>
  <conditionalFormatting sqref="A130">
    <cfRule type="duplicateValues" dxfId="70" priority="5"/>
  </conditionalFormatting>
  <conditionalFormatting sqref="A64:XFD64">
    <cfRule type="duplicateValues" dxfId="69" priority="8"/>
  </conditionalFormatting>
  <conditionalFormatting sqref="CP130:XFD130 A130:AP130">
    <cfRule type="duplicateValues" dxfId="68" priority="3"/>
  </conditionalFormatting>
  <conditionalFormatting sqref="AQ130:CO130">
    <cfRule type="duplicateValues" dxfId="67" priority="2"/>
  </conditionalFormatting>
  <conditionalFormatting sqref="A130:XFD130">
    <cfRule type="duplicateValues" dxfId="66" priority="1"/>
  </conditionalFormatting>
  <conditionalFormatting sqref="B130:AO130">
    <cfRule type="duplicateValues" dxfId="65" priority="37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Y131"/>
  <sheetViews>
    <sheetView zoomScale="50" workbookViewId="0">
      <selection activeCell="C4" sqref="C4"/>
    </sheetView>
  </sheetViews>
  <sheetFormatPr defaultColWidth="11" defaultRowHeight="14.25"/>
  <sheetData>
    <row r="1" spans="1:129" ht="27">
      <c r="A1" s="2" t="s">
        <v>2</v>
      </c>
    </row>
    <row r="3" spans="1:129" ht="15">
      <c r="B3" s="7" t="s">
        <v>15</v>
      </c>
      <c r="C3" s="7" t="s">
        <v>19</v>
      </c>
      <c r="D3" s="7" t="s">
        <v>17</v>
      </c>
      <c r="E3" s="7" t="s">
        <v>18</v>
      </c>
      <c r="F3" s="7" t="s">
        <v>19</v>
      </c>
      <c r="G3" s="7" t="s">
        <v>20</v>
      </c>
      <c r="H3" s="7" t="s">
        <v>21</v>
      </c>
      <c r="I3" s="7" t="s">
        <v>22</v>
      </c>
      <c r="J3" s="7" t="s">
        <v>23</v>
      </c>
      <c r="K3" s="7" t="s">
        <v>24</v>
      </c>
      <c r="L3" s="7" t="s">
        <v>25</v>
      </c>
      <c r="M3" s="7" t="s">
        <v>26</v>
      </c>
      <c r="N3" s="7" t="s">
        <v>27</v>
      </c>
      <c r="O3" s="7" t="s">
        <v>28</v>
      </c>
      <c r="P3" s="7" t="s">
        <v>29</v>
      </c>
      <c r="Q3" s="7" t="s">
        <v>30</v>
      </c>
      <c r="R3" s="7" t="s">
        <v>31</v>
      </c>
      <c r="S3" s="7" t="s">
        <v>32</v>
      </c>
      <c r="T3" s="7" t="s">
        <v>33</v>
      </c>
      <c r="U3" s="7" t="s">
        <v>34</v>
      </c>
      <c r="V3" s="7" t="s">
        <v>35</v>
      </c>
      <c r="W3" s="7" t="s">
        <v>36</v>
      </c>
      <c r="X3" s="7" t="s">
        <v>37</v>
      </c>
      <c r="Y3" s="7" t="s">
        <v>38</v>
      </c>
      <c r="Z3" s="7" t="s">
        <v>39</v>
      </c>
      <c r="AA3" s="7" t="s">
        <v>40</v>
      </c>
      <c r="AB3" s="7" t="s">
        <v>41</v>
      </c>
      <c r="AC3" s="7" t="s">
        <v>42</v>
      </c>
      <c r="AD3" s="7" t="s">
        <v>43</v>
      </c>
      <c r="AE3" s="7" t="s">
        <v>44</v>
      </c>
      <c r="AF3" s="7" t="s">
        <v>45</v>
      </c>
      <c r="AG3" s="7" t="s">
        <v>46</v>
      </c>
      <c r="AH3" s="7" t="s">
        <v>47</v>
      </c>
      <c r="AI3" s="7" t="s">
        <v>48</v>
      </c>
      <c r="AJ3" s="7" t="s">
        <v>49</v>
      </c>
      <c r="AK3" s="7" t="s">
        <v>50</v>
      </c>
      <c r="AL3" s="7" t="s">
        <v>51</v>
      </c>
      <c r="AM3" s="7" t="s">
        <v>52</v>
      </c>
      <c r="AN3" s="7" t="s">
        <v>53</v>
      </c>
      <c r="AO3" s="7" t="s">
        <v>54</v>
      </c>
      <c r="AP3" s="7" t="s">
        <v>55</v>
      </c>
      <c r="AQ3" s="7" t="s">
        <v>56</v>
      </c>
      <c r="AR3" s="7" t="s">
        <v>57</v>
      </c>
      <c r="AS3" s="7" t="s">
        <v>58</v>
      </c>
      <c r="AT3" s="7" t="s">
        <v>59</v>
      </c>
      <c r="AU3" s="7" t="s">
        <v>60</v>
      </c>
      <c r="AV3" s="7" t="s">
        <v>61</v>
      </c>
      <c r="AW3" s="7" t="s">
        <v>62</v>
      </c>
      <c r="AX3" s="7" t="s">
        <v>63</v>
      </c>
      <c r="AY3" s="7" t="s">
        <v>64</v>
      </c>
      <c r="AZ3" s="7" t="s">
        <v>65</v>
      </c>
      <c r="BA3" s="7" t="s">
        <v>66</v>
      </c>
      <c r="BB3" s="7" t="s">
        <v>67</v>
      </c>
      <c r="BC3" s="7" t="s">
        <v>68</v>
      </c>
      <c r="BD3" s="7" t="s">
        <v>69</v>
      </c>
      <c r="BE3" s="7" t="s">
        <v>70</v>
      </c>
      <c r="BF3" s="7" t="s">
        <v>71</v>
      </c>
      <c r="BG3" s="7" t="s">
        <v>72</v>
      </c>
      <c r="BH3" s="7" t="s">
        <v>73</v>
      </c>
      <c r="BI3" s="7" t="s">
        <v>74</v>
      </c>
      <c r="BJ3" s="7" t="s">
        <v>75</v>
      </c>
      <c r="BK3" s="7" t="s">
        <v>76</v>
      </c>
      <c r="BL3" s="7" t="s">
        <v>77</v>
      </c>
      <c r="BM3" s="7" t="s">
        <v>78</v>
      </c>
      <c r="BN3" s="7" t="s">
        <v>79</v>
      </c>
      <c r="BO3" s="7" t="s">
        <v>80</v>
      </c>
      <c r="BP3" s="7" t="s">
        <v>81</v>
      </c>
      <c r="BQ3" s="7" t="s">
        <v>82</v>
      </c>
      <c r="BR3" s="7" t="s">
        <v>83</v>
      </c>
      <c r="BS3" s="7" t="s">
        <v>84</v>
      </c>
      <c r="BT3" s="7" t="s">
        <v>85</v>
      </c>
      <c r="BU3" s="7" t="s">
        <v>86</v>
      </c>
      <c r="BV3" s="7" t="s">
        <v>87</v>
      </c>
      <c r="BW3" s="7" t="s">
        <v>88</v>
      </c>
      <c r="BX3" s="7" t="s">
        <v>89</v>
      </c>
      <c r="BY3" s="7" t="s">
        <v>90</v>
      </c>
      <c r="BZ3" s="7" t="s">
        <v>91</v>
      </c>
      <c r="CA3" s="7" t="s">
        <v>92</v>
      </c>
      <c r="CB3" s="7" t="s">
        <v>93</v>
      </c>
      <c r="CC3" s="7" t="s">
        <v>94</v>
      </c>
      <c r="CD3" s="7" t="s">
        <v>95</v>
      </c>
      <c r="CE3" s="7" t="s">
        <v>96</v>
      </c>
      <c r="CF3" s="7" t="s">
        <v>97</v>
      </c>
      <c r="CG3" s="7" t="s">
        <v>98</v>
      </c>
      <c r="CH3" s="7" t="s">
        <v>99</v>
      </c>
      <c r="CI3" s="7" t="s">
        <v>100</v>
      </c>
      <c r="CJ3" s="7" t="s">
        <v>101</v>
      </c>
      <c r="CK3" s="7" t="s">
        <v>102</v>
      </c>
      <c r="CL3" s="7" t="s">
        <v>103</v>
      </c>
      <c r="CM3" s="7" t="s">
        <v>104</v>
      </c>
      <c r="CN3" s="7" t="s">
        <v>105</v>
      </c>
      <c r="CO3" s="7" t="s">
        <v>106</v>
      </c>
      <c r="CP3" s="7" t="s">
        <v>107</v>
      </c>
      <c r="CQ3" s="7" t="s">
        <v>108</v>
      </c>
      <c r="CR3" s="7" t="s">
        <v>109</v>
      </c>
      <c r="CS3" s="7" t="s">
        <v>110</v>
      </c>
      <c r="CT3" s="7" t="s">
        <v>111</v>
      </c>
      <c r="CU3" s="7" t="s">
        <v>112</v>
      </c>
      <c r="CV3" s="7" t="s">
        <v>113</v>
      </c>
      <c r="CW3" s="7" t="s">
        <v>114</v>
      </c>
      <c r="CX3" s="7" t="s">
        <v>115</v>
      </c>
      <c r="CY3" s="7" t="s">
        <v>116</v>
      </c>
      <c r="CZ3" s="7" t="s">
        <v>117</v>
      </c>
      <c r="DA3" s="7" t="s">
        <v>118</v>
      </c>
      <c r="DB3" s="7" t="s">
        <v>119</v>
      </c>
      <c r="DC3" s="7" t="s">
        <v>120</v>
      </c>
      <c r="DD3" s="7" t="s">
        <v>121</v>
      </c>
      <c r="DE3" s="7" t="s">
        <v>122</v>
      </c>
      <c r="DF3" s="7" t="s">
        <v>123</v>
      </c>
      <c r="DG3" s="7" t="s">
        <v>124</v>
      </c>
      <c r="DH3" s="7" t="s">
        <v>125</v>
      </c>
      <c r="DI3" s="7" t="s">
        <v>126</v>
      </c>
      <c r="DJ3" s="7" t="s">
        <v>127</v>
      </c>
      <c r="DK3" s="7" t="s">
        <v>128</v>
      </c>
      <c r="DL3" s="7" t="s">
        <v>129</v>
      </c>
      <c r="DM3" s="7" t="s">
        <v>130</v>
      </c>
      <c r="DN3" s="7" t="s">
        <v>131</v>
      </c>
      <c r="DO3" s="7" t="s">
        <v>132</v>
      </c>
      <c r="DP3" s="7" t="s">
        <v>133</v>
      </c>
      <c r="DQ3" s="7" t="s">
        <v>134</v>
      </c>
      <c r="DR3" s="7" t="s">
        <v>135</v>
      </c>
      <c r="DS3" s="7" t="s">
        <v>136</v>
      </c>
      <c r="DT3" s="7" t="s">
        <v>137</v>
      </c>
      <c r="DU3" s="7" t="s">
        <v>138</v>
      </c>
      <c r="DV3" s="7" t="s">
        <v>139</v>
      </c>
      <c r="DW3" s="7" t="s">
        <v>140</v>
      </c>
      <c r="DX3" s="7" t="s">
        <v>141</v>
      </c>
      <c r="DY3" s="7" t="s">
        <v>142</v>
      </c>
    </row>
    <row r="4" spans="1:129" ht="15">
      <c r="A4" s="7" t="s">
        <v>15</v>
      </c>
      <c r="B4" s="1">
        <f t="array" ref="B4:DY131">CorrMatrixTriangular(Data!B66:DZ123)</f>
        <v>1</v>
      </c>
      <c r="C4" s="1">
        <v>0.58722862050212432</v>
      </c>
      <c r="D4" s="1">
        <v>0.45958845085018696</v>
      </c>
      <c r="E4" s="1">
        <v>0.15687867601213745</v>
      </c>
      <c r="F4" s="1">
        <v>0.40649727803444541</v>
      </c>
      <c r="G4" s="1">
        <v>0.49664829022355828</v>
      </c>
      <c r="H4" s="1">
        <v>0.36119896553556463</v>
      </c>
      <c r="I4" s="1">
        <v>0.49551973485409467</v>
      </c>
      <c r="J4" s="1">
        <v>0.38277144686923853</v>
      </c>
      <c r="K4" s="1">
        <v>0.2352971494709036</v>
      </c>
      <c r="L4" s="1">
        <v>0.10720498299195766</v>
      </c>
      <c r="M4" s="1">
        <v>0.56988019979419668</v>
      </c>
      <c r="N4" s="1">
        <v>0.57508487093378946</v>
      </c>
      <c r="O4" s="1">
        <v>0.54172563810294216</v>
      </c>
      <c r="P4" s="1">
        <v>0.47902282053352702</v>
      </c>
      <c r="Q4" s="1">
        <v>0.35558431872900453</v>
      </c>
      <c r="R4" s="1">
        <v>0.44724650709141006</v>
      </c>
      <c r="S4" s="1">
        <v>0.12644137331988053</v>
      </c>
      <c r="T4" s="1">
        <v>0.5903353802829957</v>
      </c>
      <c r="U4" s="1">
        <v>0.46284397132661259</v>
      </c>
      <c r="V4" s="1">
        <v>0.45488880538327314</v>
      </c>
      <c r="W4" s="1">
        <v>0.56210227641074817</v>
      </c>
      <c r="X4" s="1">
        <v>0.35363864719249261</v>
      </c>
      <c r="Y4" s="1">
        <v>0.5934729017416821</v>
      </c>
      <c r="Z4" s="1">
        <v>0.50596938092932986</v>
      </c>
      <c r="AA4" s="1">
        <v>0.39615856800334337</v>
      </c>
      <c r="AB4" s="1">
        <v>1.3979430195872947E-2</v>
      </c>
      <c r="AC4" s="1">
        <v>0.3157800853246639</v>
      </c>
      <c r="AD4" s="1">
        <v>0.53487528323611344</v>
      </c>
      <c r="AE4" s="1">
        <v>0.3797451087279955</v>
      </c>
      <c r="AF4" s="1">
        <v>0.5220291942479699</v>
      </c>
      <c r="AG4" s="1">
        <v>0.50364481537521977</v>
      </c>
      <c r="AH4" s="1">
        <v>0.32158178917226565</v>
      </c>
      <c r="AI4" s="1">
        <v>0.41961217938343515</v>
      </c>
      <c r="AJ4" s="1">
        <v>0.28037015782089181</v>
      </c>
      <c r="AK4" s="1">
        <v>0.43673259766743</v>
      </c>
      <c r="AL4" s="1">
        <v>0.3889600697027098</v>
      </c>
      <c r="AM4" s="1">
        <v>0.24555706297341917</v>
      </c>
      <c r="AN4" s="1">
        <v>0.37127378282362555</v>
      </c>
      <c r="AO4" s="1">
        <v>0.39086058343981761</v>
      </c>
      <c r="AP4" s="1">
        <v>0.33835336160975327</v>
      </c>
      <c r="AQ4" s="1">
        <v>0.33898995247977132</v>
      </c>
      <c r="AR4" s="1">
        <v>0.3402509146784673</v>
      </c>
      <c r="AS4" s="1">
        <v>0.20651911075391291</v>
      </c>
      <c r="AT4" s="1">
        <v>0.36349690020703168</v>
      </c>
      <c r="AU4" s="1">
        <v>0.32782616227179062</v>
      </c>
      <c r="AV4" s="1">
        <v>0.33278631427899424</v>
      </c>
      <c r="AW4" s="1">
        <v>0.28811751509910694</v>
      </c>
      <c r="AX4" s="1">
        <v>0.29952814344867862</v>
      </c>
      <c r="AY4" s="1">
        <v>0.45296955707836872</v>
      </c>
      <c r="AZ4" s="1">
        <v>0.24184151962636091</v>
      </c>
      <c r="BA4" s="1">
        <v>0.20083013869233793</v>
      </c>
      <c r="BB4" s="1">
        <v>0.37443271486298496</v>
      </c>
      <c r="BC4" s="1">
        <v>0.28203497537981326</v>
      </c>
      <c r="BD4" s="1">
        <v>0.51469429602148442</v>
      </c>
      <c r="BE4" s="1">
        <v>0.2247335841305749</v>
      </c>
      <c r="BF4" s="1">
        <v>0.44912875665144891</v>
      </c>
      <c r="BG4" s="1">
        <v>0.38292333305061532</v>
      </c>
      <c r="BH4" s="1">
        <v>0.28994728711534223</v>
      </c>
      <c r="BI4" s="1">
        <v>0.12589915896290499</v>
      </c>
      <c r="BJ4" s="1">
        <v>0.22410051308497173</v>
      </c>
      <c r="BK4" s="1">
        <v>0.51867208214279448</v>
      </c>
      <c r="BL4" s="1">
        <v>0.38872756373872192</v>
      </c>
      <c r="BM4" s="1">
        <v>0.39671249259208635</v>
      </c>
      <c r="BN4" s="1">
        <v>0.35524504493356457</v>
      </c>
      <c r="BO4" s="1">
        <v>0.37501031404763818</v>
      </c>
      <c r="BP4" s="1">
        <v>0.40263051419235046</v>
      </c>
      <c r="BQ4" s="1">
        <v>0.18060590320629941</v>
      </c>
      <c r="BR4" s="1">
        <v>0.51989957143124677</v>
      </c>
      <c r="BS4" s="1">
        <v>0.34292806876484022</v>
      </c>
      <c r="BT4" s="1">
        <v>0.2995650892376312</v>
      </c>
      <c r="BU4" s="1">
        <v>0.4538207368007604</v>
      </c>
      <c r="BV4" s="1">
        <v>0.15885325093672367</v>
      </c>
      <c r="BW4" s="1">
        <v>0.23179525552471417</v>
      </c>
      <c r="BX4" s="1">
        <v>0.27002988579375103</v>
      </c>
      <c r="BY4" s="1">
        <v>0.17750228052482811</v>
      </c>
      <c r="BZ4" s="1">
        <v>0.42939248165240729</v>
      </c>
      <c r="CA4" s="1">
        <v>0.49810213821095484</v>
      </c>
      <c r="CB4" s="1">
        <v>0.63871623426569679</v>
      </c>
      <c r="CC4" s="1">
        <v>0.52803794525842207</v>
      </c>
      <c r="CD4" s="1">
        <v>0.40889917050237251</v>
      </c>
      <c r="CE4" s="1">
        <v>0.42645126574976133</v>
      </c>
      <c r="CF4" s="1">
        <v>0.43398693275699068</v>
      </c>
      <c r="CG4" s="1">
        <v>0.35060093624754352</v>
      </c>
      <c r="CH4" s="1">
        <v>0.56553053428673594</v>
      </c>
      <c r="CI4" s="1">
        <v>0.61162504204837143</v>
      </c>
      <c r="CJ4" s="1">
        <v>0.46065839696910715</v>
      </c>
      <c r="CK4" s="1">
        <v>0.39546493209023481</v>
      </c>
      <c r="CL4" s="1">
        <v>0.39976687220403095</v>
      </c>
      <c r="CM4" s="1">
        <v>0.20842626101656375</v>
      </c>
      <c r="CN4" s="1">
        <v>0.41676632643952688</v>
      </c>
      <c r="CO4" s="1">
        <v>0.38368577830144063</v>
      </c>
      <c r="CP4" s="1">
        <v>0.31291376728832448</v>
      </c>
      <c r="CQ4" s="1">
        <v>0.290296035340188</v>
      </c>
      <c r="CR4" s="1">
        <v>0.47888517098262717</v>
      </c>
      <c r="CS4" s="1">
        <v>0.35857178059897349</v>
      </c>
      <c r="CT4" s="1">
        <v>0.27900874726371938</v>
      </c>
      <c r="CU4" s="1">
        <v>0.34537125959333331</v>
      </c>
      <c r="CV4" s="1">
        <v>0.32107969952836568</v>
      </c>
      <c r="CW4" s="1">
        <v>0.39380934468704831</v>
      </c>
      <c r="CX4" s="1">
        <v>0.38812632617584153</v>
      </c>
      <c r="CY4" s="1">
        <v>0.29464495273240682</v>
      </c>
      <c r="CZ4" s="1">
        <v>0.30074127793669719</v>
      </c>
      <c r="DA4" s="1">
        <v>0.1888080013332494</v>
      </c>
      <c r="DB4" s="1">
        <v>0.26068342739066902</v>
      </c>
      <c r="DC4" s="1">
        <v>8.6259784033078199E-2</v>
      </c>
      <c r="DD4" s="1">
        <v>-2.519030950849314E-3</v>
      </c>
      <c r="DE4" s="1">
        <v>0.22619045347827163</v>
      </c>
      <c r="DF4" s="1">
        <v>0.30639057842017281</v>
      </c>
      <c r="DG4" s="1">
        <v>0.1735752999674964</v>
      </c>
      <c r="DH4" s="1">
        <v>0.50581394822460612</v>
      </c>
      <c r="DI4" s="1">
        <v>0.4499876683475097</v>
      </c>
      <c r="DJ4" s="1">
        <v>0.42234586704141969</v>
      </c>
      <c r="DK4" s="1">
        <v>0.32690776843928987</v>
      </c>
      <c r="DL4" s="1">
        <v>0.37410140435449446</v>
      </c>
      <c r="DM4" s="1">
        <v>0.37389397944584568</v>
      </c>
      <c r="DN4" s="1">
        <v>0.32238509546957783</v>
      </c>
      <c r="DO4" s="1">
        <v>0.22450802823159585</v>
      </c>
      <c r="DP4" s="1">
        <v>0.37665291484165675</v>
      </c>
      <c r="DQ4" s="1">
        <v>0.36293279510420773</v>
      </c>
      <c r="DR4" s="1">
        <v>0.36056078820209603</v>
      </c>
      <c r="DS4" s="1">
        <v>0.25688342659930408</v>
      </c>
      <c r="DT4" s="1">
        <v>0.36454652600074128</v>
      </c>
      <c r="DU4" s="1">
        <v>0.35969031459699441</v>
      </c>
      <c r="DV4" s="1">
        <v>0.35159822765549159</v>
      </c>
      <c r="DW4" s="1">
        <v>0.35234696539126209</v>
      </c>
      <c r="DX4" s="1">
        <v>0.30087610898662059</v>
      </c>
      <c r="DY4" s="1">
        <v>0.3600599734918965</v>
      </c>
    </row>
    <row r="5" spans="1:129" ht="15">
      <c r="A5" s="7" t="s">
        <v>19</v>
      </c>
      <c r="B5" s="1" t="str">
        <v/>
      </c>
      <c r="C5" s="1">
        <v>1</v>
      </c>
      <c r="D5" s="1">
        <v>0.21772146096715211</v>
      </c>
      <c r="E5" s="1">
        <v>0.34297294171413889</v>
      </c>
      <c r="F5" s="1">
        <v>0.49141453901393228</v>
      </c>
      <c r="G5" s="1">
        <v>0.41408215345030319</v>
      </c>
      <c r="H5" s="1">
        <v>0.39988018077031123</v>
      </c>
      <c r="I5" s="1">
        <v>0.44947679776307259</v>
      </c>
      <c r="J5" s="1">
        <v>0.37293865759268297</v>
      </c>
      <c r="K5" s="1">
        <v>0.28499015652687781</v>
      </c>
      <c r="L5" s="1">
        <v>3.4372478754791193E-2</v>
      </c>
      <c r="M5" s="1">
        <v>0.47094362542373741</v>
      </c>
      <c r="N5" s="1">
        <v>0.5153280833431424</v>
      </c>
      <c r="O5" s="1">
        <v>0.55152529624148239</v>
      </c>
      <c r="P5" s="1">
        <v>0.52751744964681435</v>
      </c>
      <c r="Q5" s="1">
        <v>0.3893245373901153</v>
      </c>
      <c r="R5" s="1">
        <v>0.54629097409427163</v>
      </c>
      <c r="S5" s="1">
        <v>0.14110098220648518</v>
      </c>
      <c r="T5" s="1">
        <v>0.55346672533254138</v>
      </c>
      <c r="U5" s="1">
        <v>0.49658985278465684</v>
      </c>
      <c r="V5" s="1">
        <v>0.41824467772014107</v>
      </c>
      <c r="W5" s="1">
        <v>0.40900298393839635</v>
      </c>
      <c r="X5" s="1">
        <v>0.32916152025973189</v>
      </c>
      <c r="Y5" s="1">
        <v>0.24170999032076695</v>
      </c>
      <c r="Z5" s="1">
        <v>0.48259602907267707</v>
      </c>
      <c r="AA5" s="1">
        <v>0.46939581696440758</v>
      </c>
      <c r="AB5" s="1">
        <v>0.15718958421524293</v>
      </c>
      <c r="AC5" s="1">
        <v>0.1524229114417546</v>
      </c>
      <c r="AD5" s="1">
        <v>0.23639231824218365</v>
      </c>
      <c r="AE5" s="1">
        <v>0.18186179836607466</v>
      </c>
      <c r="AF5" s="1">
        <v>0.32738503483796305</v>
      </c>
      <c r="AG5" s="1">
        <v>0.25735783583248001</v>
      </c>
      <c r="AH5" s="1">
        <v>0.18647374851821119</v>
      </c>
      <c r="AI5" s="1">
        <v>0.37715548964895262</v>
      </c>
      <c r="AJ5" s="1">
        <v>0.18399848300434318</v>
      </c>
      <c r="AK5" s="1">
        <v>0.19704668553463575</v>
      </c>
      <c r="AL5" s="1">
        <v>0.46210400501899784</v>
      </c>
      <c r="AM5" s="1">
        <v>6.4960900348800157E-2</v>
      </c>
      <c r="AN5" s="1">
        <v>1.7448893582679703E-2</v>
      </c>
      <c r="AO5" s="1">
        <v>0.12531354698524808</v>
      </c>
      <c r="AP5" s="1">
        <v>0.11578436549071899</v>
      </c>
      <c r="AQ5" s="1">
        <v>0.26062866761651787</v>
      </c>
      <c r="AR5" s="1">
        <v>0.47087074547485042</v>
      </c>
      <c r="AS5" s="1">
        <v>-1.6804036261987804E-2</v>
      </c>
      <c r="AT5" s="1">
        <v>8.2196018562705295E-2</v>
      </c>
      <c r="AU5" s="1">
        <v>9.8797860958864628E-2</v>
      </c>
      <c r="AV5" s="1">
        <v>0.16533623764833968</v>
      </c>
      <c r="AW5" s="1">
        <v>0.31104886435180862</v>
      </c>
      <c r="AX5" s="1">
        <v>6.7087741037283044E-2</v>
      </c>
      <c r="AY5" s="1">
        <v>0.22251626857255527</v>
      </c>
      <c r="AZ5" s="1">
        <v>0.14678931526152719</v>
      </c>
      <c r="BA5" s="1">
        <v>0.12499829845959155</v>
      </c>
      <c r="BB5" s="1">
        <v>0.34682569572917715</v>
      </c>
      <c r="BC5" s="1">
        <v>0.25309179152625227</v>
      </c>
      <c r="BD5" s="1">
        <v>0.40729616783094358</v>
      </c>
      <c r="BE5" s="1">
        <v>6.9780229875663818E-2</v>
      </c>
      <c r="BF5" s="1">
        <v>0.34586966147951681</v>
      </c>
      <c r="BG5" s="1">
        <v>0.2869184378504499</v>
      </c>
      <c r="BH5" s="1">
        <v>0.16700104557561099</v>
      </c>
      <c r="BI5" s="1">
        <v>0.14051487036203927</v>
      </c>
      <c r="BJ5" s="1">
        <v>0.11588228742768643</v>
      </c>
      <c r="BK5" s="1">
        <v>0.30347262825680305</v>
      </c>
      <c r="BL5" s="1">
        <v>0.28514762245654451</v>
      </c>
      <c r="BM5" s="1">
        <v>0.26141414698359294</v>
      </c>
      <c r="BN5" s="1">
        <v>0.23254604936756876</v>
      </c>
      <c r="BO5" s="1">
        <v>0.38466274863745314</v>
      </c>
      <c r="BP5" s="1">
        <v>0.32491621446369107</v>
      </c>
      <c r="BQ5" s="1">
        <v>0.18774122505034968</v>
      </c>
      <c r="BR5" s="1">
        <v>0.45465442702525466</v>
      </c>
      <c r="BS5" s="1">
        <v>0.24165919483479828</v>
      </c>
      <c r="BT5" s="1">
        <v>0.16998737413082651</v>
      </c>
      <c r="BU5" s="1">
        <v>0.40412967968292796</v>
      </c>
      <c r="BV5" s="1">
        <v>0.31649109545854326</v>
      </c>
      <c r="BW5" s="1">
        <v>0.28884139023662614</v>
      </c>
      <c r="BX5" s="1">
        <v>0.35501377631303727</v>
      </c>
      <c r="BY5" s="1">
        <v>0.33197218722698713</v>
      </c>
      <c r="BZ5" s="1">
        <v>0.31173492189677932</v>
      </c>
      <c r="CA5" s="1">
        <v>0.33763627580610989</v>
      </c>
      <c r="CB5" s="1">
        <v>0.45509777431401321</v>
      </c>
      <c r="CC5" s="1">
        <v>0.32206559769152088</v>
      </c>
      <c r="CD5" s="1">
        <v>0.32745467008432444</v>
      </c>
      <c r="CE5" s="1">
        <v>0.46317958373564633</v>
      </c>
      <c r="CF5" s="1">
        <v>0.26952838747350766</v>
      </c>
      <c r="CG5" s="1">
        <v>0.25170207660909638</v>
      </c>
      <c r="CH5" s="1">
        <v>0.34940273054081533</v>
      </c>
      <c r="CI5" s="1">
        <v>0.47984476439233231</v>
      </c>
      <c r="CJ5" s="1">
        <v>0.28506799857012838</v>
      </c>
      <c r="CK5" s="1">
        <v>0.23634590126490204</v>
      </c>
      <c r="CL5" s="1">
        <v>0.31551746828021682</v>
      </c>
      <c r="CM5" s="1">
        <v>0.13997937447038597</v>
      </c>
      <c r="CN5" s="1">
        <v>0.15244468778237058</v>
      </c>
      <c r="CO5" s="1">
        <v>0.3873083245823043</v>
      </c>
      <c r="CP5" s="1">
        <v>0.30079847006037724</v>
      </c>
      <c r="CQ5" s="1">
        <v>0.16575571054837357</v>
      </c>
      <c r="CR5" s="1">
        <v>0.14487372477305119</v>
      </c>
      <c r="CS5" s="1">
        <v>0.14412667579751395</v>
      </c>
      <c r="CT5" s="1">
        <v>0.20627761360371955</v>
      </c>
      <c r="CU5" s="1">
        <v>0.18563351884017801</v>
      </c>
      <c r="CV5" s="1">
        <v>0.31833835366102592</v>
      </c>
      <c r="CW5" s="1">
        <v>0.27342137792044213</v>
      </c>
      <c r="CX5" s="1">
        <v>0.36258029820669962</v>
      </c>
      <c r="CY5" s="1">
        <v>0.10436824902828171</v>
      </c>
      <c r="CZ5" s="1">
        <v>0.19900369785300823</v>
      </c>
      <c r="DA5" s="1">
        <v>0.15338832380231482</v>
      </c>
      <c r="DB5" s="1">
        <v>0.1109488440496175</v>
      </c>
      <c r="DC5" s="1">
        <v>0.18759758172424876</v>
      </c>
      <c r="DD5" s="1">
        <v>3.0491367707003807E-3</v>
      </c>
      <c r="DE5" s="1">
        <v>0.2563065110076756</v>
      </c>
      <c r="DF5" s="1">
        <v>0.26168737364811456</v>
      </c>
      <c r="DG5" s="1">
        <v>0.26901900024309916</v>
      </c>
      <c r="DH5" s="1">
        <v>0.28067737496111067</v>
      </c>
      <c r="DI5" s="1">
        <v>0.28320365215032933</v>
      </c>
      <c r="DJ5" s="1">
        <v>0.40147230783506488</v>
      </c>
      <c r="DK5" s="1">
        <v>0.29736470503534607</v>
      </c>
      <c r="DL5" s="1">
        <v>0.25144144191768192</v>
      </c>
      <c r="DM5" s="1">
        <v>0.284049524401641</v>
      </c>
      <c r="DN5" s="1">
        <v>0.20991047853956335</v>
      </c>
      <c r="DO5" s="1">
        <v>0.1565716557281058</v>
      </c>
      <c r="DP5" s="1">
        <v>0.30636962864525819</v>
      </c>
      <c r="DQ5" s="1">
        <v>0.29580126529811523</v>
      </c>
      <c r="DR5" s="1">
        <v>0.26486299648497874</v>
      </c>
      <c r="DS5" s="1">
        <v>0.29983656243145251</v>
      </c>
      <c r="DT5" s="1">
        <v>0.28071998314201257</v>
      </c>
      <c r="DU5" s="1">
        <v>0.29501395958832627</v>
      </c>
      <c r="DV5" s="1">
        <v>0.28788501454866816</v>
      </c>
      <c r="DW5" s="1">
        <v>0.19540847159774438</v>
      </c>
      <c r="DX5" s="1">
        <v>0.17577173357882703</v>
      </c>
      <c r="DY5" s="1">
        <v>0.15542970051515678</v>
      </c>
    </row>
    <row r="6" spans="1:129" ht="15">
      <c r="A6" s="7" t="s">
        <v>17</v>
      </c>
      <c r="B6" s="1" t="str">
        <v/>
      </c>
      <c r="C6" s="1" t="str">
        <v/>
      </c>
      <c r="D6" s="1">
        <v>0.99999999999999978</v>
      </c>
      <c r="E6" s="1">
        <v>0.13293253969829477</v>
      </c>
      <c r="F6" s="1">
        <v>0.34835150763652439</v>
      </c>
      <c r="G6" s="1">
        <v>0.39817144978575053</v>
      </c>
      <c r="H6" s="1">
        <v>0.24598742717765448</v>
      </c>
      <c r="I6" s="1">
        <v>0.16607797138923461</v>
      </c>
      <c r="J6" s="1">
        <v>0.42514530350017243</v>
      </c>
      <c r="K6" s="1">
        <v>8.7056906977724044E-2</v>
      </c>
      <c r="L6" s="1">
        <v>0.1638858754386702</v>
      </c>
      <c r="M6" s="1">
        <v>0.20799043417762447</v>
      </c>
      <c r="N6" s="1">
        <v>0.14018744975978356</v>
      </c>
      <c r="O6" s="1">
        <v>0.10721898218768429</v>
      </c>
      <c r="P6" s="1">
        <v>0.13733509331619537</v>
      </c>
      <c r="Q6" s="1">
        <v>0.3001993168596071</v>
      </c>
      <c r="R6" s="1">
        <v>-2.7626000346888443E-2</v>
      </c>
      <c r="S6" s="1">
        <v>0.14118371013164099</v>
      </c>
      <c r="T6" s="1">
        <v>0.36901814455225951</v>
      </c>
      <c r="U6" s="1">
        <v>0.15625043174928341</v>
      </c>
      <c r="V6" s="1">
        <v>5.2433862420791594E-2</v>
      </c>
      <c r="W6" s="1">
        <v>0.1342988876265078</v>
      </c>
      <c r="X6" s="1">
        <v>-1.6771223945683197E-2</v>
      </c>
      <c r="Y6" s="1">
        <v>0.25067781269361583</v>
      </c>
      <c r="Z6" s="1">
        <v>0.23177492929054475</v>
      </c>
      <c r="AA6" s="1">
        <v>6.0865684833476458E-2</v>
      </c>
      <c r="AB6" s="1">
        <v>0.14298661969438931</v>
      </c>
      <c r="AC6" s="1">
        <v>2.7624292176876578E-2</v>
      </c>
      <c r="AD6" s="1">
        <v>0.2982970307679495</v>
      </c>
      <c r="AE6" s="1">
        <v>0.11636463928268651</v>
      </c>
      <c r="AF6" s="1">
        <v>7.0453064156324505E-2</v>
      </c>
      <c r="AG6" s="1">
        <v>0.30209755697926799</v>
      </c>
      <c r="AH6" s="1">
        <v>0.16919814310918876</v>
      </c>
      <c r="AI6" s="1">
        <v>0.14462574792091051</v>
      </c>
      <c r="AJ6" s="1">
        <v>0.20503233655622152</v>
      </c>
      <c r="AK6" s="1">
        <v>0.25427811446589677</v>
      </c>
      <c r="AL6" s="1">
        <v>0.17664308897184341</v>
      </c>
      <c r="AM6" s="1">
        <v>5.31597265151E-3</v>
      </c>
      <c r="AN6" s="1">
        <v>0.31852136622258204</v>
      </c>
      <c r="AO6" s="1">
        <v>0.14432794794703951</v>
      </c>
      <c r="AP6" s="1">
        <v>1.8591616722803097E-2</v>
      </c>
      <c r="AQ6" s="1">
        <v>4.23550677953295E-2</v>
      </c>
      <c r="AR6" s="1">
        <v>0.24671013309798354</v>
      </c>
      <c r="AS6" s="1">
        <v>0.11917314653350321</v>
      </c>
      <c r="AT6" s="1">
        <v>9.6642447230454495E-2</v>
      </c>
      <c r="AU6" s="1">
        <v>-3.2473158486662441E-2</v>
      </c>
      <c r="AV6" s="1">
        <v>3.8520682485654913E-2</v>
      </c>
      <c r="AW6" s="1">
        <v>0.11281699902822548</v>
      </c>
      <c r="AX6" s="1">
        <v>7.5389683271243194E-2</v>
      </c>
      <c r="AY6" s="1">
        <v>0.15094023001586801</v>
      </c>
      <c r="AZ6" s="1">
        <v>4.0291976759489253E-3</v>
      </c>
      <c r="BA6" s="1">
        <v>2.4228477533494996E-2</v>
      </c>
      <c r="BB6" s="1">
        <v>0.10133373407428395</v>
      </c>
      <c r="BC6" s="1">
        <v>0.12895993438123207</v>
      </c>
      <c r="BD6" s="1">
        <v>0.10789905645622634</v>
      </c>
      <c r="BE6" s="1">
        <v>-1.8879839443280276E-2</v>
      </c>
      <c r="BF6" s="1">
        <v>0.11876950400233639</v>
      </c>
      <c r="BG6" s="1">
        <v>9.8290774588384894E-2</v>
      </c>
      <c r="BH6" s="1">
        <v>0.22853338911149057</v>
      </c>
      <c r="BI6" s="1">
        <v>0.10844750618907995</v>
      </c>
      <c r="BJ6" s="1">
        <v>-5.9163716783338233E-2</v>
      </c>
      <c r="BK6" s="1">
        <v>-4.9162962799218404E-2</v>
      </c>
      <c r="BL6" s="1">
        <v>1.1391127203060618E-2</v>
      </c>
      <c r="BM6" s="1">
        <v>5.9383618340678693E-2</v>
      </c>
      <c r="BN6" s="1">
        <v>0.19643959833485897</v>
      </c>
      <c r="BO6" s="1">
        <v>-3.8888213426735985E-2</v>
      </c>
      <c r="BP6" s="1">
        <v>9.2098359101967689E-2</v>
      </c>
      <c r="BQ6" s="1">
        <v>-9.8607998495951477E-2</v>
      </c>
      <c r="BR6" s="1">
        <v>0.13409903316065289</v>
      </c>
      <c r="BS6" s="1">
        <v>-0.12196305865699873</v>
      </c>
      <c r="BT6" s="1">
        <v>1.6757006438387043E-2</v>
      </c>
      <c r="BU6" s="1">
        <v>7.3545085033538864E-3</v>
      </c>
      <c r="BV6" s="1">
        <v>-3.5336944812824581E-2</v>
      </c>
      <c r="BW6" s="1">
        <v>-0.139956608271426</v>
      </c>
      <c r="BX6" s="1">
        <v>0.12845385892617692</v>
      </c>
      <c r="BY6" s="1">
        <v>7.2198017143150287E-3</v>
      </c>
      <c r="BZ6" s="1">
        <v>5.907891496822857E-2</v>
      </c>
      <c r="CA6" s="1">
        <v>-5.1213866930822124E-2</v>
      </c>
      <c r="CB6" s="1">
        <v>0.15012342128189868</v>
      </c>
      <c r="CC6" s="1">
        <v>9.2048795767503189E-2</v>
      </c>
      <c r="CD6" s="1">
        <v>6.0206032401977798E-2</v>
      </c>
      <c r="CE6" s="1">
        <v>0.15179064101609685</v>
      </c>
      <c r="CF6" s="1">
        <v>8.1950190168535355E-3</v>
      </c>
      <c r="CG6" s="1">
        <v>-6.3254865911533842E-2</v>
      </c>
      <c r="CH6" s="1">
        <v>0.11961826858900111</v>
      </c>
      <c r="CI6" s="1">
        <v>0.17038703231401719</v>
      </c>
      <c r="CJ6" s="1">
        <v>5.8894943853911329E-2</v>
      </c>
      <c r="CK6" s="1">
        <v>1.4648157245174976E-2</v>
      </c>
      <c r="CL6" s="1">
        <v>0.11253896329981614</v>
      </c>
      <c r="CM6" s="1">
        <v>0.31226477032790523</v>
      </c>
      <c r="CN6" s="1">
        <v>4.8980278332491391E-2</v>
      </c>
      <c r="CO6" s="1">
        <v>9.7620954704333546E-2</v>
      </c>
      <c r="CP6" s="1">
        <v>-5.6498108288810436E-3</v>
      </c>
      <c r="CQ6" s="1">
        <v>0.19515516130567209</v>
      </c>
      <c r="CR6" s="1">
        <v>7.6831358769896441E-2</v>
      </c>
      <c r="CS6" s="1">
        <v>0.19489559712637977</v>
      </c>
      <c r="CT6" s="1">
        <v>-2.1776730028932661E-3</v>
      </c>
      <c r="CU6" s="1">
        <v>-1.625456981508815E-2</v>
      </c>
      <c r="CV6" s="1">
        <v>6.1349175649004883E-2</v>
      </c>
      <c r="CW6" s="1">
        <v>-8.6889537838647848E-2</v>
      </c>
      <c r="CX6" s="1">
        <v>0.13681919203374737</v>
      </c>
      <c r="CY6" s="1">
        <v>0.20767322138266939</v>
      </c>
      <c r="CZ6" s="1">
        <v>8.5513066659753625E-2</v>
      </c>
      <c r="DA6" s="1">
        <v>-0.14034977141008498</v>
      </c>
      <c r="DB6" s="1">
        <v>3.1246762204077339E-2</v>
      </c>
      <c r="DC6" s="1">
        <v>4.5729699281503835E-3</v>
      </c>
      <c r="DD6" s="1">
        <v>0.10256397041702502</v>
      </c>
      <c r="DE6" s="1">
        <v>-0.12115370747866218</v>
      </c>
      <c r="DF6" s="1">
        <v>7.4187488433543974E-2</v>
      </c>
      <c r="DG6" s="1">
        <v>-6.9081479097071005E-2</v>
      </c>
      <c r="DH6" s="1">
        <v>6.0474276892199814E-2</v>
      </c>
      <c r="DI6" s="1">
        <v>0.23952550128066397</v>
      </c>
      <c r="DJ6" s="1">
        <v>0.18401109244506192</v>
      </c>
      <c r="DK6" s="1">
        <v>0.19216235283919747</v>
      </c>
      <c r="DL6" s="1">
        <v>0.11344825629253306</v>
      </c>
      <c r="DM6" s="1">
        <v>8.5590058713624378E-2</v>
      </c>
      <c r="DN6" s="1">
        <v>0.10909036218809703</v>
      </c>
      <c r="DO6" s="1">
        <v>0.21700760369797939</v>
      </c>
      <c r="DP6" s="1">
        <v>0.17711542983114775</v>
      </c>
      <c r="DQ6" s="1">
        <v>0.13055052214761945</v>
      </c>
      <c r="DR6" s="1">
        <v>9.3273963131323662E-2</v>
      </c>
      <c r="DS6" s="1">
        <v>0.1473935118597256</v>
      </c>
      <c r="DT6" s="1">
        <v>9.9404210160759301E-2</v>
      </c>
      <c r="DU6" s="1">
        <v>0.12910416764991273</v>
      </c>
      <c r="DV6" s="1">
        <v>8.5591651713616032E-2</v>
      </c>
      <c r="DW6" s="1">
        <v>0.15865208414627405</v>
      </c>
      <c r="DX6" s="1">
        <v>-8.0808488746089063E-2</v>
      </c>
      <c r="DY6" s="1">
        <v>-2.7419461816214793E-2</v>
      </c>
    </row>
    <row r="7" spans="1:129" ht="15">
      <c r="A7" s="7" t="s">
        <v>18</v>
      </c>
      <c r="B7" s="1" t="str">
        <v/>
      </c>
      <c r="C7" s="1" t="str">
        <v/>
      </c>
      <c r="D7" s="1" t="str">
        <v/>
      </c>
      <c r="E7" s="1">
        <v>1.0000000000000002</v>
      </c>
      <c r="F7" s="1">
        <v>8.965160509403497E-2</v>
      </c>
      <c r="G7" s="1">
        <v>0.27488741130163691</v>
      </c>
      <c r="H7" s="1">
        <v>0.47072085338526598</v>
      </c>
      <c r="I7" s="1">
        <v>0.11463637995029191</v>
      </c>
      <c r="J7" s="1">
        <v>0.3743439350574278</v>
      </c>
      <c r="K7" s="1">
        <v>8.4835113691476075E-2</v>
      </c>
      <c r="L7" s="1">
        <v>-6.6911199914527569E-2</v>
      </c>
      <c r="M7" s="1">
        <v>0.43900877310698455</v>
      </c>
      <c r="N7" s="1">
        <v>0.20644897125702899</v>
      </c>
      <c r="O7" s="1">
        <v>0.36513642820189512</v>
      </c>
      <c r="P7" s="1">
        <v>0.34129922766210385</v>
      </c>
      <c r="Q7" s="1">
        <v>0.4422706200326863</v>
      </c>
      <c r="R7" s="1">
        <v>0.25508446922691541</v>
      </c>
      <c r="S7" s="1">
        <v>0.12162822399338535</v>
      </c>
      <c r="T7" s="1">
        <v>0.21541874947839484</v>
      </c>
      <c r="U7" s="1">
        <v>0.35563613490780477</v>
      </c>
      <c r="V7" s="1">
        <v>0.24501026469219525</v>
      </c>
      <c r="W7" s="1">
        <v>3.5038904555230774E-2</v>
      </c>
      <c r="X7" s="1">
        <v>0.1942285521530589</v>
      </c>
      <c r="Y7" s="1">
        <v>0.17331920215806015</v>
      </c>
      <c r="Z7" s="1">
        <v>0.12184230300303341</v>
      </c>
      <c r="AA7" s="1">
        <v>0.39627517282242269</v>
      </c>
      <c r="AB7" s="1">
        <v>0.34452218116859473</v>
      </c>
      <c r="AC7" s="1">
        <v>0.22523006049866237</v>
      </c>
      <c r="AD7" s="1">
        <v>0.3285675820643843</v>
      </c>
      <c r="AE7" s="1">
        <v>0.3195913094529495</v>
      </c>
      <c r="AF7" s="1">
        <v>0.27452786414913638</v>
      </c>
      <c r="AG7" s="1">
        <v>0.27505715620840304</v>
      </c>
      <c r="AH7" s="1">
        <v>0.20207898980097205</v>
      </c>
      <c r="AI7" s="1">
        <v>0.17262261508879306</v>
      </c>
      <c r="AJ7" s="1">
        <v>5.6682282396655053E-3</v>
      </c>
      <c r="AK7" s="1">
        <v>-8.5441120330858406E-2</v>
      </c>
      <c r="AL7" s="1">
        <v>0.42677940881912579</v>
      </c>
      <c r="AM7" s="1">
        <v>0.26342601675702382</v>
      </c>
      <c r="AN7" s="1">
        <v>0.17192388579005896</v>
      </c>
      <c r="AO7" s="1">
        <v>0.25891426688325797</v>
      </c>
      <c r="AP7" s="1">
        <v>0.37933225509371582</v>
      </c>
      <c r="AQ7" s="1">
        <v>0.31077820212952345</v>
      </c>
      <c r="AR7" s="1">
        <v>0.336471320804347</v>
      </c>
      <c r="AS7" s="1">
        <v>0.27524370902807666</v>
      </c>
      <c r="AT7" s="1">
        <v>0.27908124040865223</v>
      </c>
      <c r="AU7" s="1">
        <v>0.33377451410237602</v>
      </c>
      <c r="AV7" s="1">
        <v>0.40910277846964088</v>
      </c>
      <c r="AW7" s="1">
        <v>0.13972042276168181</v>
      </c>
      <c r="AX7" s="1">
        <v>2.9747946321740097E-2</v>
      </c>
      <c r="AY7" s="1">
        <v>0.1070487282971187</v>
      </c>
      <c r="AZ7" s="1">
        <v>0.20776755338864772</v>
      </c>
      <c r="BA7" s="1">
        <v>0.12336542219222398</v>
      </c>
      <c r="BB7" s="1">
        <v>0.40187107428863794</v>
      </c>
      <c r="BC7" s="1">
        <v>0.27294056224341118</v>
      </c>
      <c r="BD7" s="1">
        <v>0.34160586220309613</v>
      </c>
      <c r="BE7" s="1">
        <v>0.28155683670443821</v>
      </c>
      <c r="BF7" s="1">
        <v>0.28248017808166503</v>
      </c>
      <c r="BG7" s="1">
        <v>0.26617145069618287</v>
      </c>
      <c r="BH7" s="1">
        <v>0.29043794843658749</v>
      </c>
      <c r="BI7" s="1">
        <v>0.27394020919137696</v>
      </c>
      <c r="BJ7" s="1">
        <v>0.19359859737914251</v>
      </c>
      <c r="BK7" s="1">
        <v>1.4170282996151065E-2</v>
      </c>
      <c r="BL7" s="1">
        <v>0.18132721504745916</v>
      </c>
      <c r="BM7" s="1">
        <v>0.24968708056389483</v>
      </c>
      <c r="BN7" s="1">
        <v>0.29517774299037142</v>
      </c>
      <c r="BO7" s="1">
        <v>0.29639199221750578</v>
      </c>
      <c r="BP7" s="1">
        <v>0.42649170063960429</v>
      </c>
      <c r="BQ7" s="1">
        <v>-7.9468743922855422E-3</v>
      </c>
      <c r="BR7" s="1">
        <v>0.37568335114726475</v>
      </c>
      <c r="BS7" s="1">
        <v>0.29848651286211653</v>
      </c>
      <c r="BT7" s="1">
        <v>0.37852294203134479</v>
      </c>
      <c r="BU7" s="1">
        <v>0.18937335424562582</v>
      </c>
      <c r="BV7" s="1">
        <v>0.30060939328314656</v>
      </c>
      <c r="BW7" s="1">
        <v>0.20752720185426635</v>
      </c>
      <c r="BX7" s="1">
        <v>0.19073378811108696</v>
      </c>
      <c r="BY7" s="1">
        <v>0.35856613420056621</v>
      </c>
      <c r="BZ7" s="1">
        <v>-0.11983775561868505</v>
      </c>
      <c r="CA7" s="1">
        <v>0.12462685643889689</v>
      </c>
      <c r="CB7" s="1">
        <v>0.14354736234131069</v>
      </c>
      <c r="CC7" s="1">
        <v>2.6272892304634456E-2</v>
      </c>
      <c r="CD7" s="1">
        <v>8.2738321706970763E-3</v>
      </c>
      <c r="CE7" s="1">
        <v>0.1376287547032469</v>
      </c>
      <c r="CF7" s="1">
        <v>0.17047810966719767</v>
      </c>
      <c r="CG7" s="1">
        <v>0.34696376580858257</v>
      </c>
      <c r="CH7" s="1">
        <v>7.8153940195318725E-2</v>
      </c>
      <c r="CI7" s="1">
        <v>0.40806597498220404</v>
      </c>
      <c r="CJ7" s="1">
        <v>0.14164232569700116</v>
      </c>
      <c r="CK7" s="1">
        <v>5.7737132153811994E-2</v>
      </c>
      <c r="CL7" s="1">
        <v>0.31716766053579643</v>
      </c>
      <c r="CM7" s="1">
        <v>-9.806009710185469E-2</v>
      </c>
      <c r="CN7" s="1">
        <v>4.2311170779051548E-2</v>
      </c>
      <c r="CO7" s="1">
        <v>0.2234698551531677</v>
      </c>
      <c r="CP7" s="1">
        <v>-4.9826216251910783E-2</v>
      </c>
      <c r="CQ7" s="1">
        <v>-1.9351176122775884E-2</v>
      </c>
      <c r="CR7" s="1">
        <v>-5.5508700847813605E-2</v>
      </c>
      <c r="CS7" s="1">
        <v>0.15810426197076541</v>
      </c>
      <c r="CT7" s="1">
        <v>0.33795240867305609</v>
      </c>
      <c r="CU7" s="1">
        <v>0.11145225260585602</v>
      </c>
      <c r="CV7" s="1">
        <v>0.20145392592771572</v>
      </c>
      <c r="CW7" s="1">
        <v>0.25545472549869469</v>
      </c>
      <c r="CX7" s="1">
        <v>0.17825561771851406</v>
      </c>
      <c r="CY7" s="1">
        <v>0.18871912046859438</v>
      </c>
      <c r="CZ7" s="1">
        <v>0.17431569397385011</v>
      </c>
      <c r="DA7" s="1">
        <v>0.18187169243430801</v>
      </c>
      <c r="DB7" s="1">
        <v>0.15637109707575106</v>
      </c>
      <c r="DC7" s="1">
        <v>0.3055316298476714</v>
      </c>
      <c r="DD7" s="1">
        <v>1.2511926950608246E-2</v>
      </c>
      <c r="DE7" s="1">
        <v>0.33922827966169095</v>
      </c>
      <c r="DF7" s="1">
        <v>0.17865731451498482</v>
      </c>
      <c r="DG7" s="1">
        <v>0.16929826806796264</v>
      </c>
      <c r="DH7" s="1">
        <v>0.2981385001921803</v>
      </c>
      <c r="DI7" s="1">
        <v>0.27881841198958879</v>
      </c>
      <c r="DJ7" s="1">
        <v>0.36438192412416837</v>
      </c>
      <c r="DK7" s="1">
        <v>0.3289312272507337</v>
      </c>
      <c r="DL7" s="1">
        <v>0.34983236476699053</v>
      </c>
      <c r="DM7" s="1">
        <v>0.33685613431232986</v>
      </c>
      <c r="DN7" s="1">
        <v>0.21541899778574389</v>
      </c>
      <c r="DO7" s="1">
        <v>0.33328968629719896</v>
      </c>
      <c r="DP7" s="1">
        <v>0.25850800180131517</v>
      </c>
      <c r="DQ7" s="1">
        <v>0.26676034257809839</v>
      </c>
      <c r="DR7" s="1">
        <v>0.32655156974172206</v>
      </c>
      <c r="DS7" s="1">
        <v>0.27719428860154405</v>
      </c>
      <c r="DT7" s="1">
        <v>0.18868339624381397</v>
      </c>
      <c r="DU7" s="1">
        <v>0.36592947212739979</v>
      </c>
      <c r="DV7" s="1">
        <v>0.29133029027517393</v>
      </c>
      <c r="DW7" s="1">
        <v>0.19239935711257683</v>
      </c>
      <c r="DX7" s="1">
        <v>0.14586337473965347</v>
      </c>
      <c r="DY7" s="1">
        <v>0.31845371139211232</v>
      </c>
    </row>
    <row r="8" spans="1:129" ht="15">
      <c r="A8" s="7" t="s">
        <v>19</v>
      </c>
      <c r="B8" s="1" t="str">
        <v/>
      </c>
      <c r="C8" s="1" t="str">
        <v/>
      </c>
      <c r="D8" s="1" t="str">
        <v/>
      </c>
      <c r="E8" s="1" t="str">
        <v/>
      </c>
      <c r="F8" s="1">
        <v>0.99999999999999978</v>
      </c>
      <c r="G8" s="1">
        <v>0.58691981332537757</v>
      </c>
      <c r="H8" s="1">
        <v>0.15593170605168941</v>
      </c>
      <c r="I8" s="1">
        <v>0.41299015912288051</v>
      </c>
      <c r="J8" s="1">
        <v>0.31881704532489891</v>
      </c>
      <c r="K8" s="1">
        <v>0.15204505028794435</v>
      </c>
      <c r="L8" s="1">
        <v>0.12713604376351542</v>
      </c>
      <c r="M8" s="1">
        <v>0.32824458638327603</v>
      </c>
      <c r="N8" s="1">
        <v>0.22635414896622172</v>
      </c>
      <c r="O8" s="1">
        <v>0.28355124130140136</v>
      </c>
      <c r="P8" s="1">
        <v>0.31244203286244365</v>
      </c>
      <c r="Q8" s="1">
        <v>0.46322620587886454</v>
      </c>
      <c r="R8" s="1">
        <v>0.32763301643058967</v>
      </c>
      <c r="S8" s="1">
        <v>0.13454811941092681</v>
      </c>
      <c r="T8" s="1">
        <v>0.45303060140049567</v>
      </c>
      <c r="U8" s="1">
        <v>0.44024028792053027</v>
      </c>
      <c r="V8" s="1">
        <v>0.29193728356772858</v>
      </c>
      <c r="W8" s="1">
        <v>0.24126576394253763</v>
      </c>
      <c r="X8" s="1">
        <v>0.3366717925784446</v>
      </c>
      <c r="Y8" s="1">
        <v>0.18318293461731339</v>
      </c>
      <c r="Z8" s="1">
        <v>0.32609166089939406</v>
      </c>
      <c r="AA8" s="1">
        <v>0.38053967962072405</v>
      </c>
      <c r="AB8" s="1">
        <v>0.17868026060316103</v>
      </c>
      <c r="AC8" s="1">
        <v>0.27915720061802829</v>
      </c>
      <c r="AD8" s="1">
        <v>0.19407917519129897</v>
      </c>
      <c r="AE8" s="1">
        <v>0.15710563161433341</v>
      </c>
      <c r="AF8" s="1">
        <v>0.18267949104078962</v>
      </c>
      <c r="AG8" s="1">
        <v>0.34022633693317683</v>
      </c>
      <c r="AH8" s="1">
        <v>0.1211370223699864</v>
      </c>
      <c r="AI8" s="1">
        <v>0.31012531743616273</v>
      </c>
      <c r="AJ8" s="1">
        <v>0.12625344635211461</v>
      </c>
      <c r="AK8" s="1">
        <v>0.28157429019781999</v>
      </c>
      <c r="AL8" s="1">
        <v>0.18315488366823854</v>
      </c>
      <c r="AM8" s="1">
        <v>5.1301516189632752E-2</v>
      </c>
      <c r="AN8" s="1">
        <v>6.9966226540834911E-2</v>
      </c>
      <c r="AO8" s="1">
        <v>0.11022306405178098</v>
      </c>
      <c r="AP8" s="1">
        <v>0.13878101591693223</v>
      </c>
      <c r="AQ8" s="1">
        <v>0.14872271227045353</v>
      </c>
      <c r="AR8" s="1">
        <v>0.34783653453646463</v>
      </c>
      <c r="AS8" s="1">
        <v>-0.10102243755867091</v>
      </c>
      <c r="AT8" s="1">
        <v>0.13591004403120452</v>
      </c>
      <c r="AU8" s="1">
        <v>-2.6420164106189942E-2</v>
      </c>
      <c r="AV8" s="1">
        <v>0.1059201449372637</v>
      </c>
      <c r="AW8" s="1">
        <v>0.18031888235782328</v>
      </c>
      <c r="AX8" s="1">
        <v>4.2144098873670204E-2</v>
      </c>
      <c r="AY8" s="1">
        <v>0.19166631850451907</v>
      </c>
      <c r="AZ8" s="1">
        <v>0.21288997713004962</v>
      </c>
      <c r="BA8" s="1">
        <v>9.7470610456784873E-2</v>
      </c>
      <c r="BB8" s="1">
        <v>0.27136855699210061</v>
      </c>
      <c r="BC8" s="1">
        <v>0.16941212207097203</v>
      </c>
      <c r="BD8" s="1">
        <v>0.19243274256830595</v>
      </c>
      <c r="BE8" s="1">
        <v>-3.7619328766311587E-3</v>
      </c>
      <c r="BF8" s="1">
        <v>0.16681758816519857</v>
      </c>
      <c r="BG8" s="1">
        <v>0.13080760928941992</v>
      </c>
      <c r="BH8" s="1">
        <v>0.1319961387336353</v>
      </c>
      <c r="BI8" s="1">
        <v>1.8587601772582726E-2</v>
      </c>
      <c r="BJ8" s="1">
        <v>9.9780066188567079E-2</v>
      </c>
      <c r="BK8" s="1">
        <v>0.31053483304220486</v>
      </c>
      <c r="BL8" s="1">
        <v>0.29488937353411165</v>
      </c>
      <c r="BM8" s="1">
        <v>0.18803870483527052</v>
      </c>
      <c r="BN8" s="1">
        <v>0.23165047309389941</v>
      </c>
      <c r="BO8" s="1">
        <v>0.25747656673458436</v>
      </c>
      <c r="BP8" s="1">
        <v>0.17210351849516622</v>
      </c>
      <c r="BQ8" s="1">
        <v>0.12384886915191949</v>
      </c>
      <c r="BR8" s="1">
        <v>0.30326609747498207</v>
      </c>
      <c r="BS8" s="1">
        <v>0.21120551275977759</v>
      </c>
      <c r="BT8" s="1">
        <v>0.13400508695382984</v>
      </c>
      <c r="BU8" s="1">
        <v>0.27422192751159941</v>
      </c>
      <c r="BV8" s="1">
        <v>0.18293042607078014</v>
      </c>
      <c r="BW8" s="1">
        <v>-5.4121594545239342E-2</v>
      </c>
      <c r="BX8" s="1">
        <v>0.36215185425948004</v>
      </c>
      <c r="BY8" s="1">
        <v>0.30502326170674982</v>
      </c>
      <c r="BZ8" s="1">
        <v>0.4852363041316981</v>
      </c>
      <c r="CA8" s="1">
        <v>0.34462352599874518</v>
      </c>
      <c r="CB8" s="1">
        <v>0.43234011841915987</v>
      </c>
      <c r="CC8" s="1">
        <v>0.25086186174502051</v>
      </c>
      <c r="CD8" s="1">
        <v>0.44629364937897509</v>
      </c>
      <c r="CE8" s="1">
        <v>0.34411763057487987</v>
      </c>
      <c r="CF8" s="1">
        <v>0.25127912344251191</v>
      </c>
      <c r="CG8" s="1">
        <v>0.25236421402539383</v>
      </c>
      <c r="CH8" s="1">
        <v>0.34130981432049406</v>
      </c>
      <c r="CI8" s="1">
        <v>0.33103688270261195</v>
      </c>
      <c r="CJ8" s="1">
        <v>0.29876235012287838</v>
      </c>
      <c r="CK8" s="1">
        <v>4.8982261816817758E-2</v>
      </c>
      <c r="CL8" s="1">
        <v>0.26595108388343464</v>
      </c>
      <c r="CM8" s="1">
        <v>0.31421176899765807</v>
      </c>
      <c r="CN8" s="1">
        <v>0.21644506127742957</v>
      </c>
      <c r="CO8" s="1">
        <v>0.57106337464388823</v>
      </c>
      <c r="CP8" s="1">
        <v>0.36636055905468523</v>
      </c>
      <c r="CQ8" s="1">
        <v>0.28035741163286959</v>
      </c>
      <c r="CR8" s="1">
        <v>0.28548750846876952</v>
      </c>
      <c r="CS8" s="1">
        <v>0.16374529262197299</v>
      </c>
      <c r="CT8" s="1">
        <v>0.17182853287031863</v>
      </c>
      <c r="CU8" s="1">
        <v>-2.0268260827722581E-2</v>
      </c>
      <c r="CV8" s="1">
        <v>0.40706066006179642</v>
      </c>
      <c r="CW8" s="1">
        <v>0.22960765357632748</v>
      </c>
      <c r="CX8" s="1">
        <v>0.32221883801638063</v>
      </c>
      <c r="CY8" s="1">
        <v>0.10684374170680221</v>
      </c>
      <c r="CZ8" s="1">
        <v>0.12692898287186388</v>
      </c>
      <c r="DA8" s="1">
        <v>-4.4707919918008147E-2</v>
      </c>
      <c r="DB8" s="1">
        <v>7.6283085894221211E-2</v>
      </c>
      <c r="DC8" s="1">
        <v>6.0949409103049294E-2</v>
      </c>
      <c r="DD8" s="1">
        <v>-7.4534352211307123E-2</v>
      </c>
      <c r="DE8" s="1">
        <v>5.7533172267071525E-2</v>
      </c>
      <c r="DF8" s="1">
        <v>0.17296101455569418</v>
      </c>
      <c r="DG8" s="1">
        <v>8.9515256554375793E-3</v>
      </c>
      <c r="DH8" s="1">
        <v>0.11312271441576009</v>
      </c>
      <c r="DI8" s="1">
        <v>0.23426188887863408</v>
      </c>
      <c r="DJ8" s="1">
        <v>0.31659985501278104</v>
      </c>
      <c r="DK8" s="1">
        <v>0.21229765368007447</v>
      </c>
      <c r="DL8" s="1">
        <v>0.19483062039259746</v>
      </c>
      <c r="DM8" s="1">
        <v>0.19164069536761177</v>
      </c>
      <c r="DN8" s="1">
        <v>0.15664484250842109</v>
      </c>
      <c r="DO8" s="1">
        <v>0.1015274581747211</v>
      </c>
      <c r="DP8" s="1">
        <v>0.18626718123549296</v>
      </c>
      <c r="DQ8" s="1">
        <v>0.16187120299879945</v>
      </c>
      <c r="DR8" s="1">
        <v>0.20708751761092167</v>
      </c>
      <c r="DS8" s="1">
        <v>0.24314775316110687</v>
      </c>
      <c r="DT8" s="1">
        <v>0.20657496037728523</v>
      </c>
      <c r="DU8" s="1">
        <v>0.18423499306010233</v>
      </c>
      <c r="DV8" s="1">
        <v>0.11218971161818733</v>
      </c>
      <c r="DW8" s="1">
        <v>0.2225641537038423</v>
      </c>
      <c r="DX8" s="1">
        <v>0.13890800614927332</v>
      </c>
      <c r="DY8" s="1">
        <v>4.0524394417138933E-2</v>
      </c>
    </row>
    <row r="9" spans="1:129" ht="15">
      <c r="A9" s="7" t="s">
        <v>20</v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>
        <v>1.0000000000000002</v>
      </c>
      <c r="H9" s="1">
        <v>0.4436897531398532</v>
      </c>
      <c r="I9" s="1">
        <v>0.45777856175672316</v>
      </c>
      <c r="J9" s="1">
        <v>0.37507799293371241</v>
      </c>
      <c r="K9" s="1">
        <v>0.13404766079634878</v>
      </c>
      <c r="L9" s="1">
        <v>0.21330949135661625</v>
      </c>
      <c r="M9" s="1">
        <v>0.27444734402542931</v>
      </c>
      <c r="N9" s="1">
        <v>0.25132122421448838</v>
      </c>
      <c r="O9" s="1">
        <v>0.21879908116966124</v>
      </c>
      <c r="P9" s="1">
        <v>0.46142781602952043</v>
      </c>
      <c r="Q9" s="1">
        <v>0.48027192797132751</v>
      </c>
      <c r="R9" s="1">
        <v>0.346755410347238</v>
      </c>
      <c r="S9" s="1">
        <v>0.19368258052697146</v>
      </c>
      <c r="T9" s="1">
        <v>0.59928990470912724</v>
      </c>
      <c r="U9" s="1">
        <v>0.36226456174980876</v>
      </c>
      <c r="V9" s="1">
        <v>0.22095800777719146</v>
      </c>
      <c r="W9" s="1">
        <v>0.22493983148149094</v>
      </c>
      <c r="X9" s="1">
        <v>0.22338742790269286</v>
      </c>
      <c r="Y9" s="1">
        <v>0.26269826801167673</v>
      </c>
      <c r="Z9" s="1">
        <v>0.41038912899146912</v>
      </c>
      <c r="AA9" s="1">
        <v>0.32082325114929239</v>
      </c>
      <c r="AB9" s="1">
        <v>0.22292685908632151</v>
      </c>
      <c r="AC9" s="1">
        <v>0.36836332762516677</v>
      </c>
      <c r="AD9" s="1">
        <v>0.33362329621681391</v>
      </c>
      <c r="AE9" s="1">
        <v>0.22281269530823924</v>
      </c>
      <c r="AF9" s="1">
        <v>0.32482337883386941</v>
      </c>
      <c r="AG9" s="1">
        <v>0.33497542018532306</v>
      </c>
      <c r="AH9" s="1">
        <v>0.15151572721245943</v>
      </c>
      <c r="AI9" s="1">
        <v>0.29168926754764191</v>
      </c>
      <c r="AJ9" s="1">
        <v>0.2704030894280236</v>
      </c>
      <c r="AK9" s="1">
        <v>0.28621776443578389</v>
      </c>
      <c r="AL9" s="1">
        <v>0.3422575483865562</v>
      </c>
      <c r="AM9" s="1">
        <v>0.14551580536581826</v>
      </c>
      <c r="AN9" s="1">
        <v>0.21013657767052799</v>
      </c>
      <c r="AO9" s="1">
        <v>0.3213058488117978</v>
      </c>
      <c r="AP9" s="1">
        <v>0.27153299256382651</v>
      </c>
      <c r="AQ9" s="1">
        <v>0.25016339426126277</v>
      </c>
      <c r="AR9" s="1">
        <v>0.46570793343601685</v>
      </c>
      <c r="AS9" s="1">
        <v>0.14244263002259663</v>
      </c>
      <c r="AT9" s="1">
        <v>0.21460003759823534</v>
      </c>
      <c r="AU9" s="1">
        <v>0.17594479834686708</v>
      </c>
      <c r="AV9" s="1">
        <v>0.16023814766013048</v>
      </c>
      <c r="AW9" s="1">
        <v>0.10516652757826919</v>
      </c>
      <c r="AX9" s="1">
        <v>0.25072073758545316</v>
      </c>
      <c r="AY9" s="1">
        <v>0.26997070099455173</v>
      </c>
      <c r="AZ9" s="1">
        <v>0.194316134444281</v>
      </c>
      <c r="BA9" s="1">
        <v>4.1794285199236315E-2</v>
      </c>
      <c r="BB9" s="1">
        <v>0.17114751176906337</v>
      </c>
      <c r="BC9" s="1">
        <v>0.28807565452196937</v>
      </c>
      <c r="BD9" s="1">
        <v>0.37760510440220968</v>
      </c>
      <c r="BE9" s="1">
        <v>8.5130381135544164E-2</v>
      </c>
      <c r="BF9" s="1">
        <v>0.31041338211969688</v>
      </c>
      <c r="BG9" s="1">
        <v>0.30723601215770241</v>
      </c>
      <c r="BH9" s="1">
        <v>0.36195988868156848</v>
      </c>
      <c r="BI9" s="1">
        <v>5.3638860239855382E-2</v>
      </c>
      <c r="BJ9" s="1">
        <v>0.13289563381919847</v>
      </c>
      <c r="BK9" s="1">
        <v>0.16862223491911571</v>
      </c>
      <c r="BL9" s="1">
        <v>0.14599486375585488</v>
      </c>
      <c r="BM9" s="1">
        <v>0.16864115586596629</v>
      </c>
      <c r="BN9" s="1">
        <v>0.31116268835237504</v>
      </c>
      <c r="BO9" s="1">
        <v>0.39588442995034234</v>
      </c>
      <c r="BP9" s="1">
        <v>0.35442983094700642</v>
      </c>
      <c r="BQ9" s="1">
        <v>-5.1504909479005295E-2</v>
      </c>
      <c r="BR9" s="1">
        <v>0.23791237645947025</v>
      </c>
      <c r="BS9" s="1">
        <v>0.17902291805742895</v>
      </c>
      <c r="BT9" s="1">
        <v>8.5487532501442878E-2</v>
      </c>
      <c r="BU9" s="1">
        <v>0.13913263753226507</v>
      </c>
      <c r="BV9" s="1">
        <v>0.19983275116025778</v>
      </c>
      <c r="BW9" s="1">
        <v>-9.8993578691822834E-2</v>
      </c>
      <c r="BX9" s="1">
        <v>0.29152393171083452</v>
      </c>
      <c r="BY9" s="1">
        <v>0.21453024212407606</v>
      </c>
      <c r="BZ9" s="1">
        <v>0.31713322262725574</v>
      </c>
      <c r="CA9" s="1">
        <v>0.13740657826886801</v>
      </c>
      <c r="CB9" s="1">
        <v>0.34480967121552825</v>
      </c>
      <c r="CC9" s="1">
        <v>0.15541418576814359</v>
      </c>
      <c r="CD9" s="1">
        <v>0.31022192452635644</v>
      </c>
      <c r="CE9" s="1">
        <v>0.27675818895290405</v>
      </c>
      <c r="CF9" s="1">
        <v>0.20236649870020845</v>
      </c>
      <c r="CG9" s="1">
        <v>0.15723921513048192</v>
      </c>
      <c r="CH9" s="1">
        <v>0.24413963487577475</v>
      </c>
      <c r="CI9" s="1">
        <v>0.37869748906900602</v>
      </c>
      <c r="CJ9" s="1">
        <v>0.18416105282239328</v>
      </c>
      <c r="CK9" s="1">
        <v>0.19273113349429186</v>
      </c>
      <c r="CL9" s="1">
        <v>0.18579542012467484</v>
      </c>
      <c r="CM9" s="1">
        <v>0.16615103880847715</v>
      </c>
      <c r="CN9" s="1">
        <v>0.36899053878370913</v>
      </c>
      <c r="CO9" s="1">
        <v>0.38902311495289049</v>
      </c>
      <c r="CP9" s="1">
        <v>0.31837440845510795</v>
      </c>
      <c r="CQ9" s="1">
        <v>0.33715603486060808</v>
      </c>
      <c r="CR9" s="1">
        <v>0.25171595426622662</v>
      </c>
      <c r="CS9" s="1">
        <v>0.29924284057009565</v>
      </c>
      <c r="CT9" s="1">
        <v>0.14585918874735995</v>
      </c>
      <c r="CU9" s="1">
        <v>5.1601526077282425E-2</v>
      </c>
      <c r="CV9" s="1">
        <v>0.34289378022254119</v>
      </c>
      <c r="CW9" s="1">
        <v>0.30886596430027285</v>
      </c>
      <c r="CX9" s="1">
        <v>0.22816505805362866</v>
      </c>
      <c r="CY9" s="1">
        <v>4.2125323256826608E-2</v>
      </c>
      <c r="CZ9" s="1">
        <v>1.2824556822629113E-2</v>
      </c>
      <c r="DA9" s="1">
        <v>-2.8971318536655708E-3</v>
      </c>
      <c r="DB9" s="1">
        <v>8.0952266600317097E-2</v>
      </c>
      <c r="DC9" s="1">
        <v>0.29019359816959978</v>
      </c>
      <c r="DD9" s="1">
        <v>-9.6383992572317292E-2</v>
      </c>
      <c r="DE9" s="1">
        <v>0.22575058492699954</v>
      </c>
      <c r="DF9" s="1">
        <v>0.24918668008098077</v>
      </c>
      <c r="DG9" s="1">
        <v>-2.3975325714866533E-2</v>
      </c>
      <c r="DH9" s="1">
        <v>0.32752613620388821</v>
      </c>
      <c r="DI9" s="1">
        <v>0.2664291686531059</v>
      </c>
      <c r="DJ9" s="1">
        <v>0.33923010103025558</v>
      </c>
      <c r="DK9" s="1">
        <v>0.18744599022693703</v>
      </c>
      <c r="DL9" s="1">
        <v>0.20711856781115759</v>
      </c>
      <c r="DM9" s="1">
        <v>0.20161730211685075</v>
      </c>
      <c r="DN9" s="1">
        <v>0.2684860414755485</v>
      </c>
      <c r="DO9" s="1">
        <v>0.15877745063584561</v>
      </c>
      <c r="DP9" s="1">
        <v>0.18555542963116411</v>
      </c>
      <c r="DQ9" s="1">
        <v>0.23170496249817751</v>
      </c>
      <c r="DR9" s="1">
        <v>0.16747722779310303</v>
      </c>
      <c r="DS9" s="1">
        <v>0.11327517134297188</v>
      </c>
      <c r="DT9" s="1">
        <v>0.21591473835901415</v>
      </c>
      <c r="DU9" s="1">
        <v>0.20929213435787117</v>
      </c>
      <c r="DV9" s="1">
        <v>0.15886489718068042</v>
      </c>
      <c r="DW9" s="1">
        <v>0.24482463884656838</v>
      </c>
      <c r="DX9" s="1">
        <v>0.12990446479673956</v>
      </c>
      <c r="DY9" s="1">
        <v>0.16240199225581806</v>
      </c>
    </row>
    <row r="10" spans="1:129" ht="15">
      <c r="A10" s="7" t="s">
        <v>21</v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>
        <v>1</v>
      </c>
      <c r="I10" s="1">
        <v>0.16996107349377951</v>
      </c>
      <c r="J10" s="1">
        <v>0.23803612180487496</v>
      </c>
      <c r="K10" s="1">
        <v>0.24406990722265526</v>
      </c>
      <c r="L10" s="1">
        <v>-4.4797780180505883E-2</v>
      </c>
      <c r="M10" s="1">
        <v>0.32069829414092299</v>
      </c>
      <c r="N10" s="1">
        <v>0.26614238912465549</v>
      </c>
      <c r="O10" s="1">
        <v>0.29989801113325087</v>
      </c>
      <c r="P10" s="1">
        <v>0.2157703905505238</v>
      </c>
      <c r="Q10" s="1">
        <v>0.27658439327479833</v>
      </c>
      <c r="R10" s="1">
        <v>0.18254655971322997</v>
      </c>
      <c r="S10" s="1">
        <v>0.21063067020729814</v>
      </c>
      <c r="T10" s="1">
        <v>0.34902528841172892</v>
      </c>
      <c r="U10" s="1">
        <v>0.35219212945095713</v>
      </c>
      <c r="V10" s="1">
        <v>0.21260626852291717</v>
      </c>
      <c r="W10" s="1">
        <v>0.21267935281203071</v>
      </c>
      <c r="X10" s="1">
        <v>0.29180181321339715</v>
      </c>
      <c r="Y10" s="1">
        <v>0.21760052570782171</v>
      </c>
      <c r="Z10" s="1">
        <v>0.14755685146127581</v>
      </c>
      <c r="AA10" s="1">
        <v>0.19994545303874803</v>
      </c>
      <c r="AB10" s="1">
        <v>0.27249141074989985</v>
      </c>
      <c r="AC10" s="1">
        <v>0.11094500134651404</v>
      </c>
      <c r="AD10" s="1">
        <v>0.27394963129811867</v>
      </c>
      <c r="AE10" s="1">
        <v>0.20324247446259486</v>
      </c>
      <c r="AF10" s="1">
        <v>0.13004312622805048</v>
      </c>
      <c r="AG10" s="1">
        <v>0.24611406290025614</v>
      </c>
      <c r="AH10" s="1">
        <v>0.17571199645843777</v>
      </c>
      <c r="AI10" s="1">
        <v>0.27905091275483912</v>
      </c>
      <c r="AJ10" s="1">
        <v>3.8015419684477469E-2</v>
      </c>
      <c r="AK10" s="1">
        <v>6.2554128770494904E-2</v>
      </c>
      <c r="AL10" s="1">
        <v>0.28924194489845101</v>
      </c>
      <c r="AM10" s="1">
        <v>0.20405300231462503</v>
      </c>
      <c r="AN10" s="1">
        <v>0.16396663683524468</v>
      </c>
      <c r="AO10" s="1">
        <v>0.16439832893675235</v>
      </c>
      <c r="AP10" s="1">
        <v>0.30049376417991919</v>
      </c>
      <c r="AQ10" s="1">
        <v>0.39776086708504238</v>
      </c>
      <c r="AR10" s="1">
        <v>0.48560976916378951</v>
      </c>
      <c r="AS10" s="1">
        <v>0.22547436341584978</v>
      </c>
      <c r="AT10" s="1">
        <v>0.21859647713499197</v>
      </c>
      <c r="AU10" s="1">
        <v>0.37834179758104786</v>
      </c>
      <c r="AV10" s="1">
        <v>0.33562813806184388</v>
      </c>
      <c r="AW10" s="1">
        <v>0.15372906297899191</v>
      </c>
      <c r="AX10" s="1">
        <v>0.1724122195600134</v>
      </c>
      <c r="AY10" s="1">
        <v>0.26595341497766251</v>
      </c>
      <c r="AZ10" s="1">
        <v>0.222412696846676</v>
      </c>
      <c r="BA10" s="1">
        <v>-3.4363829672988032E-2</v>
      </c>
      <c r="BB10" s="1">
        <v>0.38058062975540147</v>
      </c>
      <c r="BC10" s="1">
        <v>0.28636620012113695</v>
      </c>
      <c r="BD10" s="1">
        <v>0.43276736776975805</v>
      </c>
      <c r="BE10" s="1">
        <v>0.13369056311066557</v>
      </c>
      <c r="BF10" s="1">
        <v>0.30313852802238039</v>
      </c>
      <c r="BG10" s="1">
        <v>0.16437575964149145</v>
      </c>
      <c r="BH10" s="1">
        <v>0.23979371107356873</v>
      </c>
      <c r="BI10" s="1">
        <v>0.13721331720198798</v>
      </c>
      <c r="BJ10" s="1">
        <v>5.3951065065881744E-2</v>
      </c>
      <c r="BK10" s="1">
        <v>1.2371544142653294E-2</v>
      </c>
      <c r="BL10" s="1">
        <v>0.14556484605707476</v>
      </c>
      <c r="BM10" s="1">
        <v>0.13711399405878902</v>
      </c>
      <c r="BN10" s="1">
        <v>0.30891076065455597</v>
      </c>
      <c r="BO10" s="1">
        <v>0.31327951712818769</v>
      </c>
      <c r="BP10" s="1">
        <v>0.23886009753609377</v>
      </c>
      <c r="BQ10" s="1">
        <v>-1.5913756841315397E-2</v>
      </c>
      <c r="BR10" s="1">
        <v>0.25369275064902419</v>
      </c>
      <c r="BS10" s="1">
        <v>0.16809454535352247</v>
      </c>
      <c r="BT10" s="1">
        <v>0.25128886624609947</v>
      </c>
      <c r="BU10" s="1">
        <v>0.14669274679640568</v>
      </c>
      <c r="BV10" s="1">
        <v>0.12299347244394573</v>
      </c>
      <c r="BW10" s="1">
        <v>2.7203767927212366E-2</v>
      </c>
      <c r="BX10" s="1">
        <v>5.4306750459106677E-2</v>
      </c>
      <c r="BY10" s="1">
        <v>0.22452577942840271</v>
      </c>
      <c r="BZ10" s="1">
        <v>0.20970631450927815</v>
      </c>
      <c r="CA10" s="1">
        <v>0.16093131180731352</v>
      </c>
      <c r="CB10" s="1">
        <v>0.35948113054185166</v>
      </c>
      <c r="CC10" s="1">
        <v>0.21088282395586311</v>
      </c>
      <c r="CD10" s="1">
        <v>0.15797937676103405</v>
      </c>
      <c r="CE10" s="1">
        <v>4.8570068317409863E-2</v>
      </c>
      <c r="CF10" s="1">
        <v>0.27197087141552068</v>
      </c>
      <c r="CG10" s="1">
        <v>0.25274706012335546</v>
      </c>
      <c r="CH10" s="1">
        <v>0.2403955179025177</v>
      </c>
      <c r="CI10" s="1">
        <v>0.37235667625840341</v>
      </c>
      <c r="CJ10" s="1">
        <v>0.40517878065690566</v>
      </c>
      <c r="CK10" s="1">
        <v>9.8559213306438603E-2</v>
      </c>
      <c r="CL10" s="1">
        <v>0.32371055264369453</v>
      </c>
      <c r="CM10" s="1">
        <v>-0.10391215989766175</v>
      </c>
      <c r="CN10" s="1">
        <v>0.355843430976584</v>
      </c>
      <c r="CO10" s="1">
        <v>0.19310314156688926</v>
      </c>
      <c r="CP10" s="1">
        <v>0.19698051811380618</v>
      </c>
      <c r="CQ10" s="1">
        <v>0.26322623972816106</v>
      </c>
      <c r="CR10" s="1">
        <v>0.13058522124449959</v>
      </c>
      <c r="CS10" s="1">
        <v>0.18859422864325912</v>
      </c>
      <c r="CT10" s="1">
        <v>0.2608485300275345</v>
      </c>
      <c r="CU10" s="1">
        <v>0.19695624582717236</v>
      </c>
      <c r="CV10" s="1">
        <v>0.11741728111747607</v>
      </c>
      <c r="CW10" s="1">
        <v>0.19395953152671341</v>
      </c>
      <c r="CX10" s="1">
        <v>0.41246957237977705</v>
      </c>
      <c r="CY10" s="1">
        <v>1.8778464273527119E-2</v>
      </c>
      <c r="CZ10" s="1">
        <v>8.7428271966636675E-2</v>
      </c>
      <c r="DA10" s="1">
        <v>1.6342994645091449E-2</v>
      </c>
      <c r="DB10" s="1">
        <v>6.4996795807713434E-2</v>
      </c>
      <c r="DC10" s="1">
        <v>0.18044518548475297</v>
      </c>
      <c r="DD10" s="1">
        <v>8.9064664072444538E-2</v>
      </c>
      <c r="DE10" s="1">
        <v>0.38414786226172626</v>
      </c>
      <c r="DF10" s="1">
        <v>0.13024138443616581</v>
      </c>
      <c r="DG10" s="1">
        <v>5.7871314587978461E-3</v>
      </c>
      <c r="DH10" s="1">
        <v>0.33742741858624592</v>
      </c>
      <c r="DI10" s="1">
        <v>0.17506071674480472</v>
      </c>
      <c r="DJ10" s="1">
        <v>0.25188643782448189</v>
      </c>
      <c r="DK10" s="1">
        <v>0.18111234688549258</v>
      </c>
      <c r="DL10" s="1">
        <v>0.13357350091812351</v>
      </c>
      <c r="DM10" s="1">
        <v>0.15524641138573808</v>
      </c>
      <c r="DN10" s="1">
        <v>0.22738382257167561</v>
      </c>
      <c r="DO10" s="1">
        <v>0.15264465586525786</v>
      </c>
      <c r="DP10" s="1">
        <v>0.15363317956650957</v>
      </c>
      <c r="DQ10" s="1">
        <v>0.20974891007835866</v>
      </c>
      <c r="DR10" s="1">
        <v>0.17622697107548957</v>
      </c>
      <c r="DS10" s="1">
        <v>0.10891394952372166</v>
      </c>
      <c r="DT10" s="1">
        <v>0.12680617720353773</v>
      </c>
      <c r="DU10" s="1">
        <v>0.27057662066067684</v>
      </c>
      <c r="DV10" s="1">
        <v>0.19567288720442488</v>
      </c>
      <c r="DW10" s="1">
        <v>0.12517731706720497</v>
      </c>
      <c r="DX10" s="1">
        <v>0.13064873331097421</v>
      </c>
      <c r="DY10" s="1">
        <v>0.1801656469832866</v>
      </c>
    </row>
    <row r="11" spans="1:129" ht="15">
      <c r="A11" s="7" t="s">
        <v>22</v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>
        <v>1</v>
      </c>
      <c r="J11" s="1">
        <v>0.47000696094581679</v>
      </c>
      <c r="K11" s="1">
        <v>0.45426131914117535</v>
      </c>
      <c r="L11" s="1">
        <v>0.11139747255287222</v>
      </c>
      <c r="M11" s="1">
        <v>0.60337327846235911</v>
      </c>
      <c r="N11" s="1">
        <v>0.51266574499095152</v>
      </c>
      <c r="O11" s="1">
        <v>0.60430461251881284</v>
      </c>
      <c r="P11" s="1">
        <v>0.37886177649438002</v>
      </c>
      <c r="Q11" s="1">
        <v>0.30261273266388661</v>
      </c>
      <c r="R11" s="1">
        <v>0.37264051037836404</v>
      </c>
      <c r="S11" s="1">
        <v>0.22045034314249348</v>
      </c>
      <c r="T11" s="1">
        <v>0.60886186016819899</v>
      </c>
      <c r="U11" s="1">
        <v>0.3551528303965007</v>
      </c>
      <c r="V11" s="1">
        <v>0.34530439107112221</v>
      </c>
      <c r="W11" s="1">
        <v>0.60814607192838332</v>
      </c>
      <c r="X11" s="1">
        <v>0.372790818636207</v>
      </c>
      <c r="Y11" s="1">
        <v>0.32700099683444589</v>
      </c>
      <c r="Z11" s="1">
        <v>0.67521159584067292</v>
      </c>
      <c r="AA11" s="1">
        <v>0.53324788558325942</v>
      </c>
      <c r="AB11" s="1">
        <v>0.23476670115512149</v>
      </c>
      <c r="AC11" s="1">
        <v>0.39635571341941833</v>
      </c>
      <c r="AD11" s="1">
        <v>0.51773774875241096</v>
      </c>
      <c r="AE11" s="1">
        <v>0.33333134531217251</v>
      </c>
      <c r="AF11" s="1">
        <v>0.3798724507559082</v>
      </c>
      <c r="AG11" s="1">
        <v>0.54170281531991604</v>
      </c>
      <c r="AH11" s="1">
        <v>8.9239404971734493E-2</v>
      </c>
      <c r="AI11" s="1">
        <v>0.26063269353192248</v>
      </c>
      <c r="AJ11" s="1">
        <v>0.20602076616861645</v>
      </c>
      <c r="AK11" s="1">
        <v>0.29136295857520195</v>
      </c>
      <c r="AL11" s="1">
        <v>0.3232541938221643</v>
      </c>
      <c r="AM11" s="1">
        <v>0.34005402560607867</v>
      </c>
      <c r="AN11" s="1">
        <v>6.8735688628505541E-3</v>
      </c>
      <c r="AO11" s="1">
        <v>0.26847682899981784</v>
      </c>
      <c r="AP11" s="1">
        <v>0.3087655714582685</v>
      </c>
      <c r="AQ11" s="1">
        <v>0.33340177855638692</v>
      </c>
      <c r="AR11" s="1">
        <v>0.41584570107049634</v>
      </c>
      <c r="AS11" s="1">
        <v>0.15878013080588663</v>
      </c>
      <c r="AT11" s="1">
        <v>0.31924989009606197</v>
      </c>
      <c r="AU11" s="1">
        <v>0.26146892862581861</v>
      </c>
      <c r="AV11" s="1">
        <v>0.304825687220247</v>
      </c>
      <c r="AW11" s="1">
        <v>0.47070765434861767</v>
      </c>
      <c r="AX11" s="1">
        <v>0.33789690630484343</v>
      </c>
      <c r="AY11" s="1">
        <v>0.3494723420245045</v>
      </c>
      <c r="AZ11" s="1">
        <v>0.36908802372917116</v>
      </c>
      <c r="BA11" s="1">
        <v>0.46436733060513091</v>
      </c>
      <c r="BB11" s="1">
        <v>0.37056136966719772</v>
      </c>
      <c r="BC11" s="1">
        <v>0.42650320188711288</v>
      </c>
      <c r="BD11" s="1">
        <v>0.45075153095214948</v>
      </c>
      <c r="BE11" s="1">
        <v>5.0546148943550098E-2</v>
      </c>
      <c r="BF11" s="1">
        <v>0.36241501615895755</v>
      </c>
      <c r="BG11" s="1">
        <v>0.55429502087835236</v>
      </c>
      <c r="BH11" s="1">
        <v>0.39153821841590886</v>
      </c>
      <c r="BI11" s="1">
        <v>0.15331770245078138</v>
      </c>
      <c r="BJ11" s="1">
        <v>0.31347762209940622</v>
      </c>
      <c r="BK11" s="1">
        <v>0.3699824318315712</v>
      </c>
      <c r="BL11" s="1">
        <v>0.20967564557063681</v>
      </c>
      <c r="BM11" s="1">
        <v>0.19545035370731431</v>
      </c>
      <c r="BN11" s="1">
        <v>0.22181400015859026</v>
      </c>
      <c r="BO11" s="1">
        <v>0.47851275406668248</v>
      </c>
      <c r="BP11" s="1">
        <v>0.48267869666551766</v>
      </c>
      <c r="BQ11" s="1">
        <v>0.28528847654004469</v>
      </c>
      <c r="BR11" s="1">
        <v>0.32136368951962102</v>
      </c>
      <c r="BS11" s="1">
        <v>0.16012737085680298</v>
      </c>
      <c r="BT11" s="1">
        <v>0.112376346140293</v>
      </c>
      <c r="BU11" s="1">
        <v>0.34875440487508524</v>
      </c>
      <c r="BV11" s="1">
        <v>0.26985344602303291</v>
      </c>
      <c r="BW11" s="1">
        <v>7.6733503771159159E-2</v>
      </c>
      <c r="BX11" s="1">
        <v>0.24053515942726361</v>
      </c>
      <c r="BY11" s="1">
        <v>0.30940481314788226</v>
      </c>
      <c r="BZ11" s="1">
        <v>0.26926898395846988</v>
      </c>
      <c r="CA11" s="1">
        <v>0.23944000295550524</v>
      </c>
      <c r="CB11" s="1">
        <v>0.40337011475442852</v>
      </c>
      <c r="CC11" s="1">
        <v>0.30905614214608412</v>
      </c>
      <c r="CD11" s="1">
        <v>0.37865660803989337</v>
      </c>
      <c r="CE11" s="1">
        <v>0.34499170282623026</v>
      </c>
      <c r="CF11" s="1">
        <v>0.32315226269854597</v>
      </c>
      <c r="CG11" s="1">
        <v>0.19053560625951649</v>
      </c>
      <c r="CH11" s="1">
        <v>0.40465302864177394</v>
      </c>
      <c r="CI11" s="1">
        <v>0.53941586364331617</v>
      </c>
      <c r="CJ11" s="1">
        <v>0.30153794463254652</v>
      </c>
      <c r="CK11" s="1">
        <v>0.24196588534320548</v>
      </c>
      <c r="CL11" s="1">
        <v>0.16759533325478795</v>
      </c>
      <c r="CM11" s="1">
        <v>-1.5519180714571222E-2</v>
      </c>
      <c r="CN11" s="1">
        <v>0.26854132149429971</v>
      </c>
      <c r="CO11" s="1">
        <v>0.29145557118769116</v>
      </c>
      <c r="CP11" s="1">
        <v>0.23775772266659637</v>
      </c>
      <c r="CQ11" s="1">
        <v>0.24752689336614969</v>
      </c>
      <c r="CR11" s="1">
        <v>0.26002186756997298</v>
      </c>
      <c r="CS11" s="1">
        <v>0.29984417553141501</v>
      </c>
      <c r="CT11" s="1">
        <v>7.7496625364290569E-2</v>
      </c>
      <c r="CU11" s="1">
        <v>0.2090571404727207</v>
      </c>
      <c r="CV11" s="1">
        <v>0.40980432762382896</v>
      </c>
      <c r="CW11" s="1">
        <v>0.36549447419193859</v>
      </c>
      <c r="CX11" s="1">
        <v>0.29397443336426421</v>
      </c>
      <c r="CY11" s="1">
        <v>8.8033941111280448E-2</v>
      </c>
      <c r="CZ11" s="1">
        <v>0.40422867362843928</v>
      </c>
      <c r="DA11" s="1">
        <v>0.2869780402915767</v>
      </c>
      <c r="DB11" s="1">
        <v>0.11513807490982216</v>
      </c>
      <c r="DC11" s="1">
        <v>0.14074428132471375</v>
      </c>
      <c r="DD11" s="1">
        <v>-0.16449244227659299</v>
      </c>
      <c r="DE11" s="1">
        <v>0.3073026646686432</v>
      </c>
      <c r="DF11" s="1">
        <v>0.12632349681121821</v>
      </c>
      <c r="DG11" s="1">
        <v>0.3835711758307026</v>
      </c>
      <c r="DH11" s="1">
        <v>0.26669455295360112</v>
      </c>
      <c r="DI11" s="1">
        <v>0.2774076283226749</v>
      </c>
      <c r="DJ11" s="1">
        <v>0.23372336507878921</v>
      </c>
      <c r="DK11" s="1">
        <v>0.12208325488812816</v>
      </c>
      <c r="DL11" s="1">
        <v>0.22646994899623815</v>
      </c>
      <c r="DM11" s="1">
        <v>0.22361126984352026</v>
      </c>
      <c r="DN11" s="1">
        <v>0.25642226161912068</v>
      </c>
      <c r="DO11" s="1">
        <v>0.1471704974986503</v>
      </c>
      <c r="DP11" s="1">
        <v>0.28142376726177959</v>
      </c>
      <c r="DQ11" s="1">
        <v>0.23330876962947511</v>
      </c>
      <c r="DR11" s="1">
        <v>0.27610762008300854</v>
      </c>
      <c r="DS11" s="1">
        <v>0.27759196530009922</v>
      </c>
      <c r="DT11" s="1">
        <v>0.27053622776380593</v>
      </c>
      <c r="DU11" s="1">
        <v>0.15046022539161746</v>
      </c>
      <c r="DV11" s="1">
        <v>0.28279058456694356</v>
      </c>
      <c r="DW11" s="1">
        <v>0.24613442509162045</v>
      </c>
      <c r="DX11" s="1">
        <v>0.28937489160527768</v>
      </c>
      <c r="DY11" s="1">
        <v>0.24042317846158023</v>
      </c>
    </row>
    <row r="12" spans="1:129" ht="15">
      <c r="A12" s="7" t="s">
        <v>23</v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>
        <v>1</v>
      </c>
      <c r="K12" s="1">
        <v>0.33783064627941134</v>
      </c>
      <c r="L12" s="1">
        <v>0.40635405132686137</v>
      </c>
      <c r="M12" s="1">
        <v>0.47992086014475505</v>
      </c>
      <c r="N12" s="1">
        <v>0.42736930427570402</v>
      </c>
      <c r="O12" s="1">
        <v>0.44049391942016758</v>
      </c>
      <c r="P12" s="1">
        <v>0.23189089707223351</v>
      </c>
      <c r="Q12" s="1">
        <v>0.27443087870671667</v>
      </c>
      <c r="R12" s="1">
        <v>0.22214515973970764</v>
      </c>
      <c r="S12" s="1">
        <v>0.16460820497834022</v>
      </c>
      <c r="T12" s="1">
        <v>0.49921381324726782</v>
      </c>
      <c r="U12" s="1">
        <v>0.35809104379396184</v>
      </c>
      <c r="V12" s="1">
        <v>0.23695267063173522</v>
      </c>
      <c r="W12" s="1">
        <v>0.3597142865621426</v>
      </c>
      <c r="X12" s="1">
        <v>0.24493736642558961</v>
      </c>
      <c r="Y12" s="1">
        <v>0.16804948458018301</v>
      </c>
      <c r="Z12" s="1">
        <v>0.45368331688519004</v>
      </c>
      <c r="AA12" s="1">
        <v>0.50216471495124204</v>
      </c>
      <c r="AB12" s="1">
        <v>0.30259329735640866</v>
      </c>
      <c r="AC12" s="1">
        <v>0.29568208423939285</v>
      </c>
      <c r="AD12" s="1">
        <v>0.47647338322357358</v>
      </c>
      <c r="AE12" s="1">
        <v>0.42727346872354527</v>
      </c>
      <c r="AF12" s="1">
        <v>0.31346435722723559</v>
      </c>
      <c r="AG12" s="1">
        <v>0.4333230408297804</v>
      </c>
      <c r="AH12" s="1">
        <v>0.40245710991843059</v>
      </c>
      <c r="AI12" s="1">
        <v>0.39215986498171329</v>
      </c>
      <c r="AJ12" s="1">
        <v>0.22125792264761512</v>
      </c>
      <c r="AK12" s="1">
        <v>0.19741395284730121</v>
      </c>
      <c r="AL12" s="1">
        <v>0.40656476941566771</v>
      </c>
      <c r="AM12" s="1">
        <v>0.22584115048818998</v>
      </c>
      <c r="AN12" s="1">
        <v>0.18206019473699941</v>
      </c>
      <c r="AO12" s="1">
        <v>0.3386855034742321</v>
      </c>
      <c r="AP12" s="1">
        <v>0.26326444711160946</v>
      </c>
      <c r="AQ12" s="1">
        <v>0.26957976613572537</v>
      </c>
      <c r="AR12" s="1">
        <v>0.30353480304186164</v>
      </c>
      <c r="AS12" s="1">
        <v>0.25584602627306752</v>
      </c>
      <c r="AT12" s="1">
        <v>0.34747344970342964</v>
      </c>
      <c r="AU12" s="1">
        <v>0.12450793356063107</v>
      </c>
      <c r="AV12" s="1">
        <v>0.29248310864059357</v>
      </c>
      <c r="AW12" s="1">
        <v>0.27218742698357595</v>
      </c>
      <c r="AX12" s="1">
        <v>0.36138934301564157</v>
      </c>
      <c r="AY12" s="1">
        <v>0.33100256968958891</v>
      </c>
      <c r="AZ12" s="1">
        <v>0.20922252503140287</v>
      </c>
      <c r="BA12" s="1">
        <v>0.31666709731104858</v>
      </c>
      <c r="BB12" s="1">
        <v>0.33600491989315701</v>
      </c>
      <c r="BC12" s="1">
        <v>0.42755181015528188</v>
      </c>
      <c r="BD12" s="1">
        <v>0.31716731177207597</v>
      </c>
      <c r="BE12" s="1">
        <v>0.18418170080256391</v>
      </c>
      <c r="BF12" s="1">
        <v>0.2430863881539447</v>
      </c>
      <c r="BG12" s="1">
        <v>0.39039309769078862</v>
      </c>
      <c r="BH12" s="1">
        <v>0.2889804016856109</v>
      </c>
      <c r="BI12" s="1">
        <v>0.27097832505696828</v>
      </c>
      <c r="BJ12" s="1">
        <v>0.14236475509729554</v>
      </c>
      <c r="BK12" s="1">
        <v>8.8045627280971955E-3</v>
      </c>
      <c r="BL12" s="1">
        <v>0.15004808125638938</v>
      </c>
      <c r="BM12" s="1">
        <v>0.1132362545944542</v>
      </c>
      <c r="BN12" s="1">
        <v>0.31315728263657994</v>
      </c>
      <c r="BO12" s="1">
        <v>0.18215080564548147</v>
      </c>
      <c r="BP12" s="1">
        <v>0.31332936926828048</v>
      </c>
      <c r="BQ12" s="1">
        <v>-0.11740041484307266</v>
      </c>
      <c r="BR12" s="1">
        <v>0.30538492580007659</v>
      </c>
      <c r="BS12" s="1">
        <v>0.15488136298096161</v>
      </c>
      <c r="BT12" s="1">
        <v>0.1457281237581764</v>
      </c>
      <c r="BU12" s="1">
        <v>0.22097297698920357</v>
      </c>
      <c r="BV12" s="1">
        <v>0.20281731469321104</v>
      </c>
      <c r="BW12" s="1">
        <v>2.1582592771793502E-2</v>
      </c>
      <c r="BX12" s="1">
        <v>0.26181131379739886</v>
      </c>
      <c r="BY12" s="1">
        <v>0.30173120510703261</v>
      </c>
      <c r="BZ12" s="1">
        <v>2.0021376644597497E-2</v>
      </c>
      <c r="CA12" s="1">
        <v>-1.6032197380882136E-2</v>
      </c>
      <c r="CB12" s="1">
        <v>0.13371681871741134</v>
      </c>
      <c r="CC12" s="1">
        <v>0.15248323189992113</v>
      </c>
      <c r="CD12" s="1">
        <v>0.11559305234225369</v>
      </c>
      <c r="CE12" s="1">
        <v>0.29239492638903763</v>
      </c>
      <c r="CF12" s="1">
        <v>0.15820874200404689</v>
      </c>
      <c r="CG12" s="1">
        <v>0.39088996864742803</v>
      </c>
      <c r="CH12" s="1">
        <v>0.10959759379655917</v>
      </c>
      <c r="CI12" s="1">
        <v>0.41515525034394923</v>
      </c>
      <c r="CJ12" s="1">
        <v>0.12764371793679308</v>
      </c>
      <c r="CK12" s="1">
        <v>0.1538430980228179</v>
      </c>
      <c r="CL12" s="1">
        <v>0.17305324710276346</v>
      </c>
      <c r="CM12" s="1">
        <v>0.1387010042007305</v>
      </c>
      <c r="CN12" s="1">
        <v>0.10791961865109315</v>
      </c>
      <c r="CO12" s="1">
        <v>0.21315226465820886</v>
      </c>
      <c r="CP12" s="1">
        <v>2.7595297354496114E-2</v>
      </c>
      <c r="CQ12" s="1">
        <v>0.26712348880346465</v>
      </c>
      <c r="CR12" s="1">
        <v>3.7991853006812133E-2</v>
      </c>
      <c r="CS12" s="1">
        <v>0.10726224593135895</v>
      </c>
      <c r="CT12" s="1">
        <v>7.3666672303055084E-2</v>
      </c>
      <c r="CU12" s="1">
        <v>0.12240396864486498</v>
      </c>
      <c r="CV12" s="1">
        <v>0.17755868835984112</v>
      </c>
      <c r="CW12" s="1">
        <v>8.4700349979505068E-2</v>
      </c>
      <c r="CX12" s="1">
        <v>0.26057997264249327</v>
      </c>
      <c r="CY12" s="1">
        <v>0.20778561736862108</v>
      </c>
      <c r="CZ12" s="1">
        <v>0.28810458774879721</v>
      </c>
      <c r="DA12" s="1">
        <v>8.2195525731791841E-2</v>
      </c>
      <c r="DB12" s="1">
        <v>8.0667060040597108E-2</v>
      </c>
      <c r="DC12" s="1">
        <v>0.27183293184202301</v>
      </c>
      <c r="DD12" s="1">
        <v>6.4432894543312538E-2</v>
      </c>
      <c r="DE12" s="1">
        <v>0.27344119235444531</v>
      </c>
      <c r="DF12" s="1">
        <v>0.10463578325680001</v>
      </c>
      <c r="DG12" s="1">
        <v>0.28977565870249689</v>
      </c>
      <c r="DH12" s="1">
        <v>0.23380553965948894</v>
      </c>
      <c r="DI12" s="1">
        <v>0.36812405706951001</v>
      </c>
      <c r="DJ12" s="1">
        <v>0.30277717018283529</v>
      </c>
      <c r="DK12" s="1">
        <v>0.26344958503995081</v>
      </c>
      <c r="DL12" s="1">
        <v>0.24107551382668962</v>
      </c>
      <c r="DM12" s="1">
        <v>0.2939361374573814</v>
      </c>
      <c r="DN12" s="1">
        <v>0.20181429159312886</v>
      </c>
      <c r="DO12" s="1">
        <v>0.22670003476367057</v>
      </c>
      <c r="DP12" s="1">
        <v>0.28756649689857144</v>
      </c>
      <c r="DQ12" s="1">
        <v>0.29490436932655051</v>
      </c>
      <c r="DR12" s="1">
        <v>0.28486118546546868</v>
      </c>
      <c r="DS12" s="1">
        <v>0.33621275445922305</v>
      </c>
      <c r="DT12" s="1">
        <v>0.24218779898980342</v>
      </c>
      <c r="DU12" s="1">
        <v>0.26991810328024279</v>
      </c>
      <c r="DV12" s="1">
        <v>0.21157204802581658</v>
      </c>
      <c r="DW12" s="1">
        <v>7.1722964827876615E-2</v>
      </c>
      <c r="DX12" s="1">
        <v>0.19885887554234682</v>
      </c>
      <c r="DY12" s="1">
        <v>0.22338598867061588</v>
      </c>
    </row>
    <row r="13" spans="1:129" ht="15">
      <c r="A13" s="7" t="s">
        <v>24</v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>
        <v>0.99999999999999989</v>
      </c>
      <c r="L13" s="1">
        <v>0.10765839285504958</v>
      </c>
      <c r="M13" s="1">
        <v>0.37036666980844168</v>
      </c>
      <c r="N13" s="1">
        <v>0.55224897721051758</v>
      </c>
      <c r="O13" s="1">
        <v>0.48194889869613655</v>
      </c>
      <c r="P13" s="1">
        <v>0.28990916280166051</v>
      </c>
      <c r="Q13" s="1">
        <v>6.2527135089563243E-2</v>
      </c>
      <c r="R13" s="1">
        <v>0.28122660433233548</v>
      </c>
      <c r="S13" s="1">
        <v>4.1422340178024541E-2</v>
      </c>
      <c r="T13" s="1">
        <v>0.29499244719438683</v>
      </c>
      <c r="U13" s="1">
        <v>0.48165784782226989</v>
      </c>
      <c r="V13" s="1">
        <v>0.59573625217468362</v>
      </c>
      <c r="W13" s="1">
        <v>0.46259226364803435</v>
      </c>
      <c r="X13" s="1">
        <v>0.40253020069923756</v>
      </c>
      <c r="Y13" s="1">
        <v>0.32037643400836696</v>
      </c>
      <c r="Z13" s="1">
        <v>0.50567535279392128</v>
      </c>
      <c r="AA13" s="1">
        <v>0.51886253394107928</v>
      </c>
      <c r="AB13" s="1">
        <v>0.36194920579369594</v>
      </c>
      <c r="AC13" s="1">
        <v>0.30026248083796947</v>
      </c>
      <c r="AD13" s="1">
        <v>0.43497089304597197</v>
      </c>
      <c r="AE13" s="1">
        <v>0.44943035176849283</v>
      </c>
      <c r="AF13" s="1">
        <v>0.3744377362595504</v>
      </c>
      <c r="AG13" s="1">
        <v>0.5297696045619128</v>
      </c>
      <c r="AH13" s="1">
        <v>0.26094960619194324</v>
      </c>
      <c r="AI13" s="1">
        <v>0.47120010236377624</v>
      </c>
      <c r="AJ13" s="1">
        <v>0.11058336604094403</v>
      </c>
      <c r="AK13" s="1">
        <v>7.3334674285748164E-2</v>
      </c>
      <c r="AL13" s="1">
        <v>0.18798031699280668</v>
      </c>
      <c r="AM13" s="1">
        <v>0.35935367505791754</v>
      </c>
      <c r="AN13" s="1">
        <v>-0.10340953678660621</v>
      </c>
      <c r="AO13" s="1">
        <v>0.193713536309226</v>
      </c>
      <c r="AP13" s="1">
        <v>0.27154861587882628</v>
      </c>
      <c r="AQ13" s="1">
        <v>0.26087651234911174</v>
      </c>
      <c r="AR13" s="1">
        <v>0.55402677981584159</v>
      </c>
      <c r="AS13" s="1">
        <v>0.34132152079182759</v>
      </c>
      <c r="AT13" s="1">
        <v>0.30213108212138451</v>
      </c>
      <c r="AU13" s="1">
        <v>0.31308682594926013</v>
      </c>
      <c r="AV13" s="1">
        <v>0.33601697299387451</v>
      </c>
      <c r="AW13" s="1">
        <v>0.38559591172679736</v>
      </c>
      <c r="AX13" s="1">
        <v>0.34409711683620953</v>
      </c>
      <c r="AY13" s="1">
        <v>0.39227144769920508</v>
      </c>
      <c r="AZ13" s="1">
        <v>0.28284878057971924</v>
      </c>
      <c r="BA13" s="1">
        <v>0.40999927936897657</v>
      </c>
      <c r="BB13" s="1">
        <v>0.37293966352871849</v>
      </c>
      <c r="BC13" s="1">
        <v>0.38154888852208541</v>
      </c>
      <c r="BD13" s="1">
        <v>0.40705239371590218</v>
      </c>
      <c r="BE13" s="1">
        <v>0.32972104999010887</v>
      </c>
      <c r="BF13" s="1">
        <v>0.38517690282890699</v>
      </c>
      <c r="BG13" s="1">
        <v>0.59155344045962455</v>
      </c>
      <c r="BH13" s="1">
        <v>0.33595619894501344</v>
      </c>
      <c r="BI13" s="1">
        <v>0.18912024804408889</v>
      </c>
      <c r="BJ13" s="1">
        <v>0.14946924051084767</v>
      </c>
      <c r="BK13" s="1">
        <v>0.1660981748436616</v>
      </c>
      <c r="BL13" s="1">
        <v>0.31672055777889163</v>
      </c>
      <c r="BM13" s="1">
        <v>0.27479377620139955</v>
      </c>
      <c r="BN13" s="1">
        <v>0.33934097022707865</v>
      </c>
      <c r="BO13" s="1">
        <v>0.39542689497718753</v>
      </c>
      <c r="BP13" s="1">
        <v>0.33424601719687208</v>
      </c>
      <c r="BQ13" s="1">
        <v>0.32478862486517163</v>
      </c>
      <c r="BR13" s="1">
        <v>0.26164496179387553</v>
      </c>
      <c r="BS13" s="1">
        <v>0.47742824289647839</v>
      </c>
      <c r="BT13" s="1">
        <v>0.23574345948796177</v>
      </c>
      <c r="BU13" s="1">
        <v>0.32597491694674224</v>
      </c>
      <c r="BV13" s="1">
        <v>0.25460202403848403</v>
      </c>
      <c r="BW13" s="1">
        <v>0.12581111429234398</v>
      </c>
      <c r="BX13" s="1">
        <v>0.1901880896116028</v>
      </c>
      <c r="BY13" s="1">
        <v>0.25665980110471381</v>
      </c>
      <c r="BZ13" s="1">
        <v>9.8477403452260914E-2</v>
      </c>
      <c r="CA13" s="1">
        <v>0.37384728557865377</v>
      </c>
      <c r="CB13" s="1">
        <v>0.32312210686170523</v>
      </c>
      <c r="CC13" s="1">
        <v>0.30552915471974817</v>
      </c>
      <c r="CD13" s="1">
        <v>0.37017807229341815</v>
      </c>
      <c r="CE13" s="1">
        <v>0.33431758915206183</v>
      </c>
      <c r="CF13" s="1">
        <v>0.44543470872190893</v>
      </c>
      <c r="CG13" s="1">
        <v>0.33256604809640311</v>
      </c>
      <c r="CH13" s="1">
        <v>0.40424759496653867</v>
      </c>
      <c r="CI13" s="1">
        <v>0.54712404938181203</v>
      </c>
      <c r="CJ13" s="1">
        <v>0.41015368052750273</v>
      </c>
      <c r="CK13" s="1">
        <v>0.30487699923056283</v>
      </c>
      <c r="CL13" s="1">
        <v>0.25982689913594359</v>
      </c>
      <c r="CM13" s="1">
        <v>-0.17341381372201339</v>
      </c>
      <c r="CN13" s="1">
        <v>0.2339558477082099</v>
      </c>
      <c r="CO13" s="1">
        <v>0.13101062980765626</v>
      </c>
      <c r="CP13" s="1">
        <v>0.23882930989265608</v>
      </c>
      <c r="CQ13" s="1">
        <v>3.5232283802665743E-2</v>
      </c>
      <c r="CR13" s="1">
        <v>5.1447928434605952E-2</v>
      </c>
      <c r="CS13" s="1">
        <v>0.21077153406236684</v>
      </c>
      <c r="CT13" s="1">
        <v>0.20880797539979798</v>
      </c>
      <c r="CU13" s="1">
        <v>9.1811466943104755E-2</v>
      </c>
      <c r="CV13" s="1">
        <v>0.30895029500131754</v>
      </c>
      <c r="CW13" s="1">
        <v>0.30015114353708489</v>
      </c>
      <c r="CX13" s="1">
        <v>0.23583874432199525</v>
      </c>
      <c r="CY13" s="1">
        <v>0.22724873062524331</v>
      </c>
      <c r="CZ13" s="1">
        <v>0.28258249135288482</v>
      </c>
      <c r="DA13" s="1">
        <v>8.1458542853566615E-2</v>
      </c>
      <c r="DB13" s="1">
        <v>0.12201359010995942</v>
      </c>
      <c r="DC13" s="1">
        <v>0.135373239896701</v>
      </c>
      <c r="DD13" s="1">
        <v>-9.00239503821334E-2</v>
      </c>
      <c r="DE13" s="1">
        <v>0.31182472882647455</v>
      </c>
      <c r="DF13" s="1">
        <v>0.11363768061187096</v>
      </c>
      <c r="DG13" s="1">
        <v>0.17472264301218235</v>
      </c>
      <c r="DH13" s="1">
        <v>0.22476991201457758</v>
      </c>
      <c r="DI13" s="1">
        <v>0.26956978101280993</v>
      </c>
      <c r="DJ13" s="1">
        <v>0.2237742177423874</v>
      </c>
      <c r="DK13" s="1">
        <v>0.19888743624158653</v>
      </c>
      <c r="DL13" s="1">
        <v>0.30669102050117614</v>
      </c>
      <c r="DM13" s="1">
        <v>0.29421189694679961</v>
      </c>
      <c r="DN13" s="1">
        <v>0.37392652273113713</v>
      </c>
      <c r="DO13" s="1">
        <v>0.23839544329736803</v>
      </c>
      <c r="DP13" s="1">
        <v>0.28949951064182189</v>
      </c>
      <c r="DQ13" s="1">
        <v>0.31686305184985097</v>
      </c>
      <c r="DR13" s="1">
        <v>0.34618943489183446</v>
      </c>
      <c r="DS13" s="1">
        <v>0.24061791213243461</v>
      </c>
      <c r="DT13" s="1">
        <v>0.30323862813397079</v>
      </c>
      <c r="DU13" s="1">
        <v>0.37319921299930625</v>
      </c>
      <c r="DV13" s="1">
        <v>0.31524660289479189</v>
      </c>
      <c r="DW13" s="1">
        <v>9.7003092209851871E-2</v>
      </c>
      <c r="DX13" s="1">
        <v>0.48522634525353348</v>
      </c>
      <c r="DY13" s="1">
        <v>0.28956559276351057</v>
      </c>
    </row>
    <row r="14" spans="1:129" ht="15">
      <c r="A14" s="7" t="s">
        <v>25</v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>
        <v>1.0000000000000002</v>
      </c>
      <c r="M14" s="1">
        <v>0.12097518452039516</v>
      </c>
      <c r="N14" s="1">
        <v>0.20878535590335923</v>
      </c>
      <c r="O14" s="1">
        <v>-9.5569387601705941E-2</v>
      </c>
      <c r="P14" s="1">
        <v>0.20238470056053851</v>
      </c>
      <c r="Q14" s="1">
        <v>0.19096572654271404</v>
      </c>
      <c r="R14" s="1">
        <v>0.16226088952198384</v>
      </c>
      <c r="S14" s="1">
        <v>0.33193623692896573</v>
      </c>
      <c r="T14" s="1">
        <v>0.15786990905035597</v>
      </c>
      <c r="U14" s="1">
        <v>0.27917645885426096</v>
      </c>
      <c r="V14" s="1">
        <v>9.8525118991788188E-2</v>
      </c>
      <c r="W14" s="1">
        <v>0.19392540591925347</v>
      </c>
      <c r="X14" s="1">
        <v>0.1744018283094082</v>
      </c>
      <c r="Y14" s="1">
        <v>6.292334322924785E-2</v>
      </c>
      <c r="Z14" s="1">
        <v>0.24228645004604019</v>
      </c>
      <c r="AA14" s="1">
        <v>0.27090727349638916</v>
      </c>
      <c r="AB14" s="1">
        <v>0.13396319858717171</v>
      </c>
      <c r="AC14" s="1">
        <v>0.16621549236595895</v>
      </c>
      <c r="AD14" s="1">
        <v>0.23068524106222354</v>
      </c>
      <c r="AE14" s="1">
        <v>0.40889679432168663</v>
      </c>
      <c r="AF14" s="1">
        <v>0.20851205602612724</v>
      </c>
      <c r="AG14" s="1">
        <v>0.31950343236906337</v>
      </c>
      <c r="AH14" s="1">
        <v>0.5138590847616904</v>
      </c>
      <c r="AI14" s="1">
        <v>0.35417531932719193</v>
      </c>
      <c r="AJ14" s="1">
        <v>0.24026381907931341</v>
      </c>
      <c r="AK14" s="1">
        <v>-5.8168499649303658E-2</v>
      </c>
      <c r="AL14" s="1">
        <v>0.16187478274105957</v>
      </c>
      <c r="AM14" s="1">
        <v>0.1139415498763639</v>
      </c>
      <c r="AN14" s="1">
        <v>-4.6484177373897421E-2</v>
      </c>
      <c r="AO14" s="1">
        <v>0.18537099290643053</v>
      </c>
      <c r="AP14" s="1">
        <v>-4.7908651962118488E-4</v>
      </c>
      <c r="AQ14" s="1">
        <v>9.0106964554854882E-2</v>
      </c>
      <c r="AR14" s="1">
        <v>0.27521585732621351</v>
      </c>
      <c r="AS14" s="1">
        <v>8.0418517519557503E-2</v>
      </c>
      <c r="AT14" s="1">
        <v>0.15049589897150081</v>
      </c>
      <c r="AU14" s="1">
        <v>2.6996778319579549E-2</v>
      </c>
      <c r="AV14" s="1">
        <v>1.6146984187228826E-2</v>
      </c>
      <c r="AW14" s="1">
        <v>3.6519323803597431E-2</v>
      </c>
      <c r="AX14" s="1">
        <v>0.13719293595429721</v>
      </c>
      <c r="AY14" s="1">
        <v>0.30030958582877187</v>
      </c>
      <c r="AZ14" s="1">
        <v>0.27493939131932416</v>
      </c>
      <c r="BA14" s="1">
        <v>0.38488407548197234</v>
      </c>
      <c r="BB14" s="1">
        <v>0.13595497015727384</v>
      </c>
      <c r="BC14" s="1">
        <v>0.28701514686588464</v>
      </c>
      <c r="BD14" s="1">
        <v>0.13531573691226534</v>
      </c>
      <c r="BE14" s="1">
        <v>0.10770151877367784</v>
      </c>
      <c r="BF14" s="1">
        <v>0.16601086990067213</v>
      </c>
      <c r="BG14" s="1">
        <v>0.25550772348078626</v>
      </c>
      <c r="BH14" s="1">
        <v>0.14957619392333002</v>
      </c>
      <c r="BI14" s="1">
        <v>0.2057535449765624</v>
      </c>
      <c r="BJ14" s="1">
        <v>-7.8799875480061163E-2</v>
      </c>
      <c r="BK14" s="1">
        <v>8.4450262790092805E-3</v>
      </c>
      <c r="BL14" s="1">
        <v>0.13825185663774528</v>
      </c>
      <c r="BM14" s="1">
        <v>0.18656262350375927</v>
      </c>
      <c r="BN14" s="1">
        <v>0.24588058642959604</v>
      </c>
      <c r="BO14" s="1">
        <v>6.0890800359212377E-2</v>
      </c>
      <c r="BP14" s="1">
        <v>4.73869082571165E-2</v>
      </c>
      <c r="BQ14" s="1">
        <v>-2.4416512079926806E-2</v>
      </c>
      <c r="BR14" s="1">
        <v>0.13300155263128524</v>
      </c>
      <c r="BS14" s="1">
        <v>1.501331444136903E-2</v>
      </c>
      <c r="BT14" s="1">
        <v>9.9957547143923353E-2</v>
      </c>
      <c r="BU14" s="1">
        <v>0.21294631311018086</v>
      </c>
      <c r="BV14" s="1">
        <v>0.29153841527799462</v>
      </c>
      <c r="BW14" s="1">
        <v>-3.5043929704471392E-2</v>
      </c>
      <c r="BX14" s="1">
        <v>0.29916184536948875</v>
      </c>
      <c r="BY14" s="1">
        <v>0.23669407640373066</v>
      </c>
      <c r="BZ14" s="1">
        <v>0.1259591551347696</v>
      </c>
      <c r="CA14" s="1">
        <v>-3.6302996354329903E-2</v>
      </c>
      <c r="CB14" s="1">
        <v>7.392979266878244E-2</v>
      </c>
      <c r="CC14" s="1">
        <v>4.8676050397796142E-2</v>
      </c>
      <c r="CD14" s="1">
        <v>1.7377904581974246E-2</v>
      </c>
      <c r="CE14" s="1">
        <v>7.6272878354205409E-3</v>
      </c>
      <c r="CF14" s="1">
        <v>-7.4760496849861774E-2</v>
      </c>
      <c r="CG14" s="1">
        <v>0.24400480063250915</v>
      </c>
      <c r="CH14" s="1">
        <v>-1.9481226294368187E-2</v>
      </c>
      <c r="CI14" s="1">
        <v>0.2247498615723825</v>
      </c>
      <c r="CJ14" s="1">
        <v>2.4188775705100089E-2</v>
      </c>
      <c r="CK14" s="1">
        <v>4.3374078335848214E-2</v>
      </c>
      <c r="CL14" s="1">
        <v>0.1053727600499542</v>
      </c>
      <c r="CM14" s="1">
        <v>0.17091499782187103</v>
      </c>
      <c r="CN14" s="1">
        <v>0.17914614229597087</v>
      </c>
      <c r="CO14" s="1">
        <v>-1.0675086888113331E-4</v>
      </c>
      <c r="CP14" s="1">
        <v>0.11580863063301233</v>
      </c>
      <c r="CQ14" s="1">
        <v>0.26312516031462235</v>
      </c>
      <c r="CR14" s="1">
        <v>-4.2641070597179753E-2</v>
      </c>
      <c r="CS14" s="1">
        <v>-7.9828462800680275E-2</v>
      </c>
      <c r="CT14" s="1">
        <v>2.0599831355433147E-2</v>
      </c>
      <c r="CU14" s="1">
        <v>5.0840275019672976E-2</v>
      </c>
      <c r="CV14" s="1">
        <v>6.6528494301610688E-2</v>
      </c>
      <c r="CW14" s="1">
        <v>4.9199934022026555E-2</v>
      </c>
      <c r="CX14" s="1">
        <v>-1.1962942176759054E-2</v>
      </c>
      <c r="CY14" s="1">
        <v>0.26005837466307991</v>
      </c>
      <c r="CZ14" s="1">
        <v>0.28652828249552353</v>
      </c>
      <c r="DA14" s="1">
        <v>-9.0906803587776624E-3</v>
      </c>
      <c r="DB14" s="1">
        <v>0.15243099417675562</v>
      </c>
      <c r="DC14" s="1">
        <v>0.17044757772899327</v>
      </c>
      <c r="DD14" s="1">
        <v>0.14172272226543342</v>
      </c>
      <c r="DE14" s="1">
        <v>0.17314901856031314</v>
      </c>
      <c r="DF14" s="1">
        <v>0.25048054853076646</v>
      </c>
      <c r="DG14" s="1">
        <v>6.9866106119037569E-2</v>
      </c>
      <c r="DH14" s="1">
        <v>0.11727751456628818</v>
      </c>
      <c r="DI14" s="1">
        <v>3.6095309530168075E-2</v>
      </c>
      <c r="DJ14" s="1">
        <v>-2.4943396628970545E-2</v>
      </c>
      <c r="DK14" s="1">
        <v>9.9978647871000234E-2</v>
      </c>
      <c r="DL14" s="1">
        <v>2.3719759424587365E-2</v>
      </c>
      <c r="DM14" s="1">
        <v>4.5660373601190456E-2</v>
      </c>
      <c r="DN14" s="1">
        <v>0.10263528574213138</v>
      </c>
      <c r="DO14" s="1">
        <v>7.479704822630738E-2</v>
      </c>
      <c r="DP14" s="1">
        <v>0.11249134093024657</v>
      </c>
      <c r="DQ14" s="1">
        <v>9.4037445845463544E-2</v>
      </c>
      <c r="DR14" s="1">
        <v>9.6505698640504775E-2</v>
      </c>
      <c r="DS14" s="1">
        <v>8.513182092077784E-2</v>
      </c>
      <c r="DT14" s="1">
        <v>6.3869445040565201E-2</v>
      </c>
      <c r="DU14" s="1">
        <v>0.11515015799043848</v>
      </c>
      <c r="DV14" s="1">
        <v>0.15590769509133792</v>
      </c>
      <c r="DW14" s="1">
        <v>0.12536951273423499</v>
      </c>
      <c r="DX14" s="1">
        <v>9.148284660270492E-2</v>
      </c>
      <c r="DY14" s="1">
        <v>-1.6347419855506716E-2</v>
      </c>
    </row>
    <row r="15" spans="1:129" ht="15">
      <c r="A15" s="7" t="s">
        <v>26</v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>
        <v>1</v>
      </c>
      <c r="N15" s="1">
        <v>0.59009745391317336</v>
      </c>
      <c r="O15" s="1">
        <v>0.76920490023206245</v>
      </c>
      <c r="P15" s="1">
        <v>0.3776956110069486</v>
      </c>
      <c r="Q15" s="1">
        <v>0.42022913495439873</v>
      </c>
      <c r="R15" s="1">
        <v>0.4109525357107276</v>
      </c>
      <c r="S15" s="1">
        <v>0.36821416287976588</v>
      </c>
      <c r="T15" s="1">
        <v>0.51893365415564396</v>
      </c>
      <c r="U15" s="1">
        <v>0.46918181390432051</v>
      </c>
      <c r="V15" s="1">
        <v>0.60374044462165388</v>
      </c>
      <c r="W15" s="1">
        <v>0.52086775194315293</v>
      </c>
      <c r="X15" s="1">
        <v>0.44057763901648761</v>
      </c>
      <c r="Y15" s="1">
        <v>0.53020273790137962</v>
      </c>
      <c r="Z15" s="1">
        <v>0.51254835428639933</v>
      </c>
      <c r="AA15" s="1">
        <v>0.70830187630778818</v>
      </c>
      <c r="AB15" s="1">
        <v>0.19443530553563793</v>
      </c>
      <c r="AC15" s="1">
        <v>0.4349960023804551</v>
      </c>
      <c r="AD15" s="1">
        <v>0.53504230627568394</v>
      </c>
      <c r="AE15" s="1">
        <v>0.55450624534711757</v>
      </c>
      <c r="AF15" s="1">
        <v>0.51149889595336262</v>
      </c>
      <c r="AG15" s="1">
        <v>0.61799588710701858</v>
      </c>
      <c r="AH15" s="1">
        <v>0.45706093446809248</v>
      </c>
      <c r="AI15" s="1">
        <v>0.37570422352135485</v>
      </c>
      <c r="AJ15" s="1">
        <v>9.1580639076846465E-2</v>
      </c>
      <c r="AK15" s="1">
        <v>0.32883224972908059</v>
      </c>
      <c r="AL15" s="1">
        <v>0.38285924644545344</v>
      </c>
      <c r="AM15" s="1">
        <v>0.51430093846957503</v>
      </c>
      <c r="AN15" s="1">
        <v>0.23154796072089703</v>
      </c>
      <c r="AO15" s="1">
        <v>0.55582968365252305</v>
      </c>
      <c r="AP15" s="1">
        <v>0.48967872539347701</v>
      </c>
      <c r="AQ15" s="1">
        <v>0.32342293731745014</v>
      </c>
      <c r="AR15" s="1">
        <v>0.39718237705506426</v>
      </c>
      <c r="AS15" s="1">
        <v>0.35991756988383472</v>
      </c>
      <c r="AT15" s="1">
        <v>0.51112467018933572</v>
      </c>
      <c r="AU15" s="1">
        <v>0.48795684763634045</v>
      </c>
      <c r="AV15" s="1">
        <v>0.56364081642603459</v>
      </c>
      <c r="AW15" s="1">
        <v>0.58620101455511975</v>
      </c>
      <c r="AX15" s="1">
        <v>0.43478433759042634</v>
      </c>
      <c r="AY15" s="1">
        <v>0.39514157833684876</v>
      </c>
      <c r="AZ15" s="1">
        <v>0.44173385227670525</v>
      </c>
      <c r="BA15" s="1">
        <v>0.45035296235423417</v>
      </c>
      <c r="BB15" s="1">
        <v>0.64631396937488073</v>
      </c>
      <c r="BC15" s="1">
        <v>0.60092530585500559</v>
      </c>
      <c r="BD15" s="1">
        <v>0.55864115834098771</v>
      </c>
      <c r="BE15" s="1">
        <v>0.39000851797852149</v>
      </c>
      <c r="BF15" s="1">
        <v>0.55685895580445621</v>
      </c>
      <c r="BG15" s="1">
        <v>0.47440397771885573</v>
      </c>
      <c r="BH15" s="1">
        <v>0.49409750137067932</v>
      </c>
      <c r="BI15" s="1">
        <v>0.29574421805786438</v>
      </c>
      <c r="BJ15" s="1">
        <v>0.35540626279516874</v>
      </c>
      <c r="BK15" s="1">
        <v>0.34285842522971838</v>
      </c>
      <c r="BL15" s="1">
        <v>0.38796820286933914</v>
      </c>
      <c r="BM15" s="1">
        <v>0.35202870590267349</v>
      </c>
      <c r="BN15" s="1">
        <v>0.5029811673833039</v>
      </c>
      <c r="BO15" s="1">
        <v>0.47049113985200025</v>
      </c>
      <c r="BP15" s="1">
        <v>0.62556312623224275</v>
      </c>
      <c r="BQ15" s="1">
        <v>0.40442740074712141</v>
      </c>
      <c r="BR15" s="1">
        <v>0.54000158510257301</v>
      </c>
      <c r="BS15" s="1">
        <v>0.45997468735588032</v>
      </c>
      <c r="BT15" s="1">
        <v>0.42520931127923445</v>
      </c>
      <c r="BU15" s="1">
        <v>0.46795430284249467</v>
      </c>
      <c r="BV15" s="1">
        <v>0.27470107055743931</v>
      </c>
      <c r="BW15" s="1">
        <v>0.32951778060456555</v>
      </c>
      <c r="BX15" s="1">
        <v>0.24756065995573315</v>
      </c>
      <c r="BY15" s="1">
        <v>0.31490566950334187</v>
      </c>
      <c r="BZ15" s="1">
        <v>0.29665384029389441</v>
      </c>
      <c r="CA15" s="1">
        <v>0.40191025628884747</v>
      </c>
      <c r="CB15" s="1">
        <v>0.4325952404456756</v>
      </c>
      <c r="CC15" s="1">
        <v>0.46085338988513608</v>
      </c>
      <c r="CD15" s="1">
        <v>0.34673606321362632</v>
      </c>
      <c r="CE15" s="1">
        <v>0.43166605483008652</v>
      </c>
      <c r="CF15" s="1">
        <v>0.53813523893168602</v>
      </c>
      <c r="CG15" s="1">
        <v>0.58638769757166576</v>
      </c>
      <c r="CH15" s="1">
        <v>0.51983084035679972</v>
      </c>
      <c r="CI15" s="1">
        <v>0.70359527168060776</v>
      </c>
      <c r="CJ15" s="1">
        <v>0.49084368574374898</v>
      </c>
      <c r="CK15" s="1">
        <v>0.29347245592605825</v>
      </c>
      <c r="CL15" s="1">
        <v>0.39809753748116355</v>
      </c>
      <c r="CM15" s="1">
        <v>6.5157565547738897E-2</v>
      </c>
      <c r="CN15" s="1">
        <v>0.30955330720917745</v>
      </c>
      <c r="CO15" s="1">
        <v>0.279073063537707</v>
      </c>
      <c r="CP15" s="1">
        <v>0.16539088423375406</v>
      </c>
      <c r="CQ15" s="1">
        <v>0.15489676403219438</v>
      </c>
      <c r="CR15" s="1">
        <v>0.32557653315208457</v>
      </c>
      <c r="CS15" s="1">
        <v>0.45417937696044669</v>
      </c>
      <c r="CT15" s="1">
        <v>0.35090870301625132</v>
      </c>
      <c r="CU15" s="1">
        <v>0.40352087141196802</v>
      </c>
      <c r="CV15" s="1">
        <v>0.49019348870103452</v>
      </c>
      <c r="CW15" s="1">
        <v>0.4711897109168191</v>
      </c>
      <c r="CX15" s="1">
        <v>0.3868714450306418</v>
      </c>
      <c r="CY15" s="1">
        <v>0.2426663722845451</v>
      </c>
      <c r="CZ15" s="1">
        <v>0.44926958837236958</v>
      </c>
      <c r="DA15" s="1">
        <v>0.29534661037706633</v>
      </c>
      <c r="DB15" s="1">
        <v>0.41861840301886999</v>
      </c>
      <c r="DC15" s="1">
        <v>0.24765899312898781</v>
      </c>
      <c r="DD15" s="1">
        <v>-5.6112518921760876E-2</v>
      </c>
      <c r="DE15" s="1">
        <v>0.47532673423297817</v>
      </c>
      <c r="DF15" s="1">
        <v>0.25948527623933559</v>
      </c>
      <c r="DG15" s="1">
        <v>0.41812108999304443</v>
      </c>
      <c r="DH15" s="1">
        <v>0.46992973369139657</v>
      </c>
      <c r="DI15" s="1">
        <v>0.3960558843330807</v>
      </c>
      <c r="DJ15" s="1">
        <v>0.37976885555139667</v>
      </c>
      <c r="DK15" s="1">
        <v>0.31147591170150191</v>
      </c>
      <c r="DL15" s="1">
        <v>0.37837769362841372</v>
      </c>
      <c r="DM15" s="1">
        <v>0.41363632125088906</v>
      </c>
      <c r="DN15" s="1">
        <v>0.28332724066684939</v>
      </c>
      <c r="DO15" s="1">
        <v>0.28199986364231261</v>
      </c>
      <c r="DP15" s="1">
        <v>0.38783532271229193</v>
      </c>
      <c r="DQ15" s="1">
        <v>0.33996635415132903</v>
      </c>
      <c r="DR15" s="1">
        <v>0.48080442599352274</v>
      </c>
      <c r="DS15" s="1">
        <v>0.40649013243127202</v>
      </c>
      <c r="DT15" s="1">
        <v>0.34118138861003544</v>
      </c>
      <c r="DU15" s="1">
        <v>0.36527775355676173</v>
      </c>
      <c r="DV15" s="1">
        <v>0.34948016894423367</v>
      </c>
      <c r="DW15" s="1">
        <v>0.28079208671247724</v>
      </c>
      <c r="DX15" s="1">
        <v>0.44049148793306664</v>
      </c>
      <c r="DY15" s="1">
        <v>0.47771229729668208</v>
      </c>
    </row>
    <row r="16" spans="1:129" ht="15">
      <c r="A16" s="7" t="s">
        <v>27</v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>
        <v>1</v>
      </c>
      <c r="O16" s="1">
        <v>0.52846370840946011</v>
      </c>
      <c r="P16" s="1">
        <v>0.44924176958577894</v>
      </c>
      <c r="Q16" s="1">
        <v>0.11663827996108089</v>
      </c>
      <c r="R16" s="1">
        <v>0.54475687454036659</v>
      </c>
      <c r="S16" s="1">
        <v>9.1287488849774043E-2</v>
      </c>
      <c r="T16" s="1">
        <v>0.50513658969833974</v>
      </c>
      <c r="U16" s="1">
        <v>0.64874472117014403</v>
      </c>
      <c r="V16" s="1">
        <v>0.67711440826855473</v>
      </c>
      <c r="W16" s="1">
        <v>0.56160776094354814</v>
      </c>
      <c r="X16" s="1">
        <v>0.53259066076616846</v>
      </c>
      <c r="Y16" s="1">
        <v>0.39971377714457423</v>
      </c>
      <c r="Z16" s="1">
        <v>0.47608567909133392</v>
      </c>
      <c r="AA16" s="1">
        <v>0.5865599292531829</v>
      </c>
      <c r="AB16" s="1">
        <v>0.15370442392742617</v>
      </c>
      <c r="AC16" s="1">
        <v>0.39346468563135933</v>
      </c>
      <c r="AD16" s="1">
        <v>0.57373709971636155</v>
      </c>
      <c r="AE16" s="1">
        <v>0.51349781765817537</v>
      </c>
      <c r="AF16" s="1">
        <v>0.55818456547755002</v>
      </c>
      <c r="AG16" s="1">
        <v>0.55199979747790595</v>
      </c>
      <c r="AH16" s="1">
        <v>0.33424977241501802</v>
      </c>
      <c r="AI16" s="1">
        <v>0.61199075767677624</v>
      </c>
      <c r="AJ16" s="1">
        <v>0.19089668297002069</v>
      </c>
      <c r="AK16" s="1">
        <v>4.4239316911822292E-2</v>
      </c>
      <c r="AL16" s="1">
        <v>0.33232040216598191</v>
      </c>
      <c r="AM16" s="1">
        <v>0.35941559908515686</v>
      </c>
      <c r="AN16" s="1">
        <v>0.19798106962693107</v>
      </c>
      <c r="AO16" s="1">
        <v>0.42895503183160694</v>
      </c>
      <c r="AP16" s="1">
        <v>0.45694237807411431</v>
      </c>
      <c r="AQ16" s="1">
        <v>0.29405288006974395</v>
      </c>
      <c r="AR16" s="1">
        <v>0.32695414803509593</v>
      </c>
      <c r="AS16" s="1">
        <v>0.43198603539788322</v>
      </c>
      <c r="AT16" s="1">
        <v>0.51722739234925375</v>
      </c>
      <c r="AU16" s="1">
        <v>0.45595564764730828</v>
      </c>
      <c r="AV16" s="1">
        <v>0.54853875272842789</v>
      </c>
      <c r="AW16" s="1">
        <v>0.50814315366854446</v>
      </c>
      <c r="AX16" s="1">
        <v>0.41571213100267468</v>
      </c>
      <c r="AY16" s="1">
        <v>0.44010425685828064</v>
      </c>
      <c r="AZ16" s="1">
        <v>0.44743253086013474</v>
      </c>
      <c r="BA16" s="1">
        <v>0.50626481919033217</v>
      </c>
      <c r="BB16" s="1">
        <v>0.54148252764491578</v>
      </c>
      <c r="BC16" s="1">
        <v>0.51188796596445152</v>
      </c>
      <c r="BD16" s="1">
        <v>0.63962767132127429</v>
      </c>
      <c r="BE16" s="1">
        <v>0.34141406368367472</v>
      </c>
      <c r="BF16" s="1">
        <v>0.57642313958243518</v>
      </c>
      <c r="BG16" s="1">
        <v>0.47923534424403852</v>
      </c>
      <c r="BH16" s="1">
        <v>0.40327370414211533</v>
      </c>
      <c r="BI16" s="1">
        <v>0.4053026592093627</v>
      </c>
      <c r="BJ16" s="1">
        <v>0.42245240944396312</v>
      </c>
      <c r="BK16" s="1">
        <v>0.54781004541850231</v>
      </c>
      <c r="BL16" s="1">
        <v>0.60155722534320477</v>
      </c>
      <c r="BM16" s="1">
        <v>0.62121221641916013</v>
      </c>
      <c r="BN16" s="1">
        <v>0.30206909973375634</v>
      </c>
      <c r="BO16" s="1">
        <v>0.48416917686810845</v>
      </c>
      <c r="BP16" s="1">
        <v>0.4828809646154642</v>
      </c>
      <c r="BQ16" s="1">
        <v>0.45520176421758929</v>
      </c>
      <c r="BR16" s="1">
        <v>0.58087809015954683</v>
      </c>
      <c r="BS16" s="1">
        <v>0.53686507079038781</v>
      </c>
      <c r="BT16" s="1">
        <v>0.59891133787246709</v>
      </c>
      <c r="BU16" s="1">
        <v>0.67878195599116753</v>
      </c>
      <c r="BV16" s="1">
        <v>0.13578535090397312</v>
      </c>
      <c r="BW16" s="1">
        <v>0.36487602051243073</v>
      </c>
      <c r="BX16" s="1">
        <v>0.36718140282549055</v>
      </c>
      <c r="BY16" s="1">
        <v>0.39602464286337713</v>
      </c>
      <c r="BZ16" s="1">
        <v>0.2743884069956295</v>
      </c>
      <c r="CA16" s="1">
        <v>0.56382591480527589</v>
      </c>
      <c r="CB16" s="1">
        <v>0.45873586384968001</v>
      </c>
      <c r="CC16" s="1">
        <v>0.45041021855389723</v>
      </c>
      <c r="CD16" s="1">
        <v>0.28470884315719219</v>
      </c>
      <c r="CE16" s="1">
        <v>0.52423266074888075</v>
      </c>
      <c r="CF16" s="1">
        <v>0.592565852864265</v>
      </c>
      <c r="CG16" s="1">
        <v>0.57090993487953079</v>
      </c>
      <c r="CH16" s="1">
        <v>0.48493716114856994</v>
      </c>
      <c r="CI16" s="1">
        <v>0.77090518348482862</v>
      </c>
      <c r="CJ16" s="1">
        <v>0.34281192826511053</v>
      </c>
      <c r="CK16" s="1">
        <v>0.28498408014740789</v>
      </c>
      <c r="CL16" s="1">
        <v>0.59933920777309402</v>
      </c>
      <c r="CM16" s="1">
        <v>-9.4312439583421018E-2</v>
      </c>
      <c r="CN16" s="1">
        <v>0.27840708543080483</v>
      </c>
      <c r="CO16" s="1">
        <v>0.2605108693231446</v>
      </c>
      <c r="CP16" s="1">
        <v>0.21280286459766531</v>
      </c>
      <c r="CQ16" s="1">
        <v>-3.9915319006294525E-2</v>
      </c>
      <c r="CR16" s="1">
        <v>0.1679640981729211</v>
      </c>
      <c r="CS16" s="1">
        <v>0.23956302058842752</v>
      </c>
      <c r="CT16" s="1">
        <v>0.50749148528654586</v>
      </c>
      <c r="CU16" s="1">
        <v>0.34625639010899351</v>
      </c>
      <c r="CV16" s="1">
        <v>0.42006003512911383</v>
      </c>
      <c r="CW16" s="1">
        <v>0.40943335824635924</v>
      </c>
      <c r="CX16" s="1">
        <v>0.30533865358581447</v>
      </c>
      <c r="CY16" s="1">
        <v>0.304334465472758</v>
      </c>
      <c r="CZ16" s="1">
        <v>0.46363936202972528</v>
      </c>
      <c r="DA16" s="1">
        <v>0.2809646076087241</v>
      </c>
      <c r="DB16" s="1">
        <v>0.29174701405426806</v>
      </c>
      <c r="DC16" s="1">
        <v>0.29307067651999752</v>
      </c>
      <c r="DD16" s="1">
        <v>0.13560006110778514</v>
      </c>
      <c r="DE16" s="1">
        <v>0.39040605333341288</v>
      </c>
      <c r="DF16" s="1">
        <v>0.21008019456584767</v>
      </c>
      <c r="DG16" s="1">
        <v>0.39103351457436841</v>
      </c>
      <c r="DH16" s="1">
        <v>0.51828440208516269</v>
      </c>
      <c r="DI16" s="1">
        <v>0.58658421023108664</v>
      </c>
      <c r="DJ16" s="1">
        <v>0.54129785906855465</v>
      </c>
      <c r="DK16" s="1">
        <v>0.52990485988167968</v>
      </c>
      <c r="DL16" s="1">
        <v>0.51293440836554194</v>
      </c>
      <c r="DM16" s="1">
        <v>0.58847488008697579</v>
      </c>
      <c r="DN16" s="1">
        <v>0.53283316185100316</v>
      </c>
      <c r="DO16" s="1">
        <v>0.50848352377617234</v>
      </c>
      <c r="DP16" s="1">
        <v>0.65085319617556348</v>
      </c>
      <c r="DQ16" s="1">
        <v>0.64112561925647238</v>
      </c>
      <c r="DR16" s="1">
        <v>0.61962545540355152</v>
      </c>
      <c r="DS16" s="1">
        <v>0.51020940550387206</v>
      </c>
      <c r="DT16" s="1">
        <v>0.5849505140722423</v>
      </c>
      <c r="DU16" s="1">
        <v>0.61942386103308589</v>
      </c>
      <c r="DV16" s="1">
        <v>0.67379838185854968</v>
      </c>
      <c r="DW16" s="1">
        <v>0.29964856496905851</v>
      </c>
      <c r="DX16" s="1">
        <v>0.39045699555202884</v>
      </c>
      <c r="DY16" s="1">
        <v>0.58570775561178778</v>
      </c>
    </row>
    <row r="17" spans="1:129" ht="15">
      <c r="A17" s="7" t="s">
        <v>28</v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>
        <v>1</v>
      </c>
      <c r="P17" s="1">
        <v>0.38177434037794533</v>
      </c>
      <c r="Q17" s="1">
        <v>0.24714339283434034</v>
      </c>
      <c r="R17" s="1">
        <v>0.38806272525482355</v>
      </c>
      <c r="S17" s="1">
        <v>0.30260791590527614</v>
      </c>
      <c r="T17" s="1">
        <v>0.51081793678232612</v>
      </c>
      <c r="U17" s="1">
        <v>0.44124033939359009</v>
      </c>
      <c r="V17" s="1">
        <v>0.51870815796513403</v>
      </c>
      <c r="W17" s="1">
        <v>0.61045857425649241</v>
      </c>
      <c r="X17" s="1">
        <v>0.33694154335023968</v>
      </c>
      <c r="Y17" s="1">
        <v>0.38054834898552753</v>
      </c>
      <c r="Z17" s="1">
        <v>0.51779602512720324</v>
      </c>
      <c r="AA17" s="1">
        <v>0.63125983665511665</v>
      </c>
      <c r="AB17" s="1">
        <v>0.19039956616814896</v>
      </c>
      <c r="AC17" s="1">
        <v>0.38677265947593109</v>
      </c>
      <c r="AD17" s="1">
        <v>0.48455326337493676</v>
      </c>
      <c r="AE17" s="1">
        <v>0.47441046065697029</v>
      </c>
      <c r="AF17" s="1">
        <v>0.48579327446222026</v>
      </c>
      <c r="AG17" s="1">
        <v>0.44259248712852006</v>
      </c>
      <c r="AH17" s="1">
        <v>0.21219197138964191</v>
      </c>
      <c r="AI17" s="1">
        <v>0.36332019149271655</v>
      </c>
      <c r="AJ17" s="1">
        <v>9.5688448021563843E-2</v>
      </c>
      <c r="AK17" s="1">
        <v>0.26644262999755663</v>
      </c>
      <c r="AL17" s="1">
        <v>0.28423861323817085</v>
      </c>
      <c r="AM17" s="1">
        <v>0.39472334510671253</v>
      </c>
      <c r="AN17" s="1">
        <v>7.8552327648514095E-2</v>
      </c>
      <c r="AO17" s="1">
        <v>0.36462686457210663</v>
      </c>
      <c r="AP17" s="1">
        <v>0.38545865187386708</v>
      </c>
      <c r="AQ17" s="1">
        <v>0.2933835676361663</v>
      </c>
      <c r="AR17" s="1">
        <v>0.45019193073439723</v>
      </c>
      <c r="AS17" s="1">
        <v>0.25153218944216293</v>
      </c>
      <c r="AT17" s="1">
        <v>0.43237761410925446</v>
      </c>
      <c r="AU17" s="1">
        <v>0.4120467129197411</v>
      </c>
      <c r="AV17" s="1">
        <v>0.45696615410751484</v>
      </c>
      <c r="AW17" s="1">
        <v>0.57166640832595139</v>
      </c>
      <c r="AX17" s="1">
        <v>0.37247049102404506</v>
      </c>
      <c r="AY17" s="1">
        <v>0.35843789028598538</v>
      </c>
      <c r="AZ17" s="1">
        <v>0.30306127455130788</v>
      </c>
      <c r="BA17" s="1">
        <v>0.36306925052543015</v>
      </c>
      <c r="BB17" s="1">
        <v>0.44882056749914162</v>
      </c>
      <c r="BC17" s="1">
        <v>0.41719351091589085</v>
      </c>
      <c r="BD17" s="1">
        <v>0.50277185341146091</v>
      </c>
      <c r="BE17" s="1">
        <v>0.39325734257032258</v>
      </c>
      <c r="BF17" s="1">
        <v>0.50196359083833719</v>
      </c>
      <c r="BG17" s="1">
        <v>0.49900599536051354</v>
      </c>
      <c r="BH17" s="1">
        <v>0.38451461756646282</v>
      </c>
      <c r="BI17" s="1">
        <v>0.27206168113998874</v>
      </c>
      <c r="BJ17" s="1">
        <v>0.31604699857805718</v>
      </c>
      <c r="BK17" s="1">
        <v>0.31269341411440021</v>
      </c>
      <c r="BL17" s="1">
        <v>0.27727631432252647</v>
      </c>
      <c r="BM17" s="1">
        <v>0.2170132487708992</v>
      </c>
      <c r="BN17" s="1">
        <v>0.40632355396768771</v>
      </c>
      <c r="BO17" s="1">
        <v>0.40166086530157935</v>
      </c>
      <c r="BP17" s="1">
        <v>0.55951417619954902</v>
      </c>
      <c r="BQ17" s="1">
        <v>0.34142407822841353</v>
      </c>
      <c r="BR17" s="1">
        <v>0.52270546007663987</v>
      </c>
      <c r="BS17" s="1">
        <v>0.33860528325614747</v>
      </c>
      <c r="BT17" s="1">
        <v>0.23089697495632167</v>
      </c>
      <c r="BU17" s="1">
        <v>0.30601453140783924</v>
      </c>
      <c r="BV17" s="1">
        <v>0.39791257850995282</v>
      </c>
      <c r="BW17" s="1">
        <v>0.36029216129277275</v>
      </c>
      <c r="BX17" s="1">
        <v>0.19202826544594881</v>
      </c>
      <c r="BY17" s="1">
        <v>0.19841530963214177</v>
      </c>
      <c r="BZ17" s="1">
        <v>0.26128462576874717</v>
      </c>
      <c r="CA17" s="1">
        <v>0.33453854468890493</v>
      </c>
      <c r="CB17" s="1">
        <v>0.42029013985142089</v>
      </c>
      <c r="CC17" s="1">
        <v>0.49033750866971904</v>
      </c>
      <c r="CD17" s="1">
        <v>0.39554234480544481</v>
      </c>
      <c r="CE17" s="1">
        <v>0.41968469101705214</v>
      </c>
      <c r="CF17" s="1">
        <v>0.5586504271643572</v>
      </c>
      <c r="CG17" s="1">
        <v>0.39022509776011588</v>
      </c>
      <c r="CH17" s="1">
        <v>0.53017228575594455</v>
      </c>
      <c r="CI17" s="1">
        <v>0.59888580778156275</v>
      </c>
      <c r="CJ17" s="1">
        <v>0.49459834571115985</v>
      </c>
      <c r="CK17" s="1">
        <v>0.33187910423316563</v>
      </c>
      <c r="CL17" s="1">
        <v>0.22864465861233124</v>
      </c>
      <c r="CM17" s="1">
        <v>-6.419767803843586E-2</v>
      </c>
      <c r="CN17" s="1">
        <v>0.18855018245143601</v>
      </c>
      <c r="CO17" s="1">
        <v>0.27197736016366442</v>
      </c>
      <c r="CP17" s="1">
        <v>0.19772319934003832</v>
      </c>
      <c r="CQ17" s="1">
        <v>0.22898373550697518</v>
      </c>
      <c r="CR17" s="1">
        <v>0.25161103663360185</v>
      </c>
      <c r="CS17" s="1">
        <v>0.44200642558284092</v>
      </c>
      <c r="CT17" s="1">
        <v>0.20873636503385204</v>
      </c>
      <c r="CU17" s="1">
        <v>0.22692982987817709</v>
      </c>
      <c r="CV17" s="1">
        <v>0.45860812461068717</v>
      </c>
      <c r="CW17" s="1">
        <v>0.42772237612645458</v>
      </c>
      <c r="CX17" s="1">
        <v>0.43921114266787359</v>
      </c>
      <c r="CY17" s="1">
        <v>0.10555202796783913</v>
      </c>
      <c r="CZ17" s="1">
        <v>0.39243774852621816</v>
      </c>
      <c r="DA17" s="1">
        <v>0.26384850390715653</v>
      </c>
      <c r="DB17" s="1">
        <v>0.20236223915476081</v>
      </c>
      <c r="DC17" s="1">
        <v>0.10914840912062448</v>
      </c>
      <c r="DD17" s="1">
        <v>-0.18702477328123751</v>
      </c>
      <c r="DE17" s="1">
        <v>0.42044134057623678</v>
      </c>
      <c r="DF17" s="1">
        <v>0.21935994798462727</v>
      </c>
      <c r="DG17" s="1">
        <v>0.31342237759249442</v>
      </c>
      <c r="DH17" s="1">
        <v>0.35953124894900867</v>
      </c>
      <c r="DI17" s="1">
        <v>0.32922817668946747</v>
      </c>
      <c r="DJ17" s="1">
        <v>0.31474649157474488</v>
      </c>
      <c r="DK17" s="1">
        <v>0.15787050376469852</v>
      </c>
      <c r="DL17" s="1">
        <v>0.28048432536181606</v>
      </c>
      <c r="DM17" s="1">
        <v>0.30565122161758967</v>
      </c>
      <c r="DN17" s="1">
        <v>0.21433614704490106</v>
      </c>
      <c r="DO17" s="1">
        <v>0.15698949590776867</v>
      </c>
      <c r="DP17" s="1">
        <v>0.26293903559018744</v>
      </c>
      <c r="DQ17" s="1">
        <v>0.23641568326748108</v>
      </c>
      <c r="DR17" s="1">
        <v>0.34166654454216006</v>
      </c>
      <c r="DS17" s="1">
        <v>0.27863479786290518</v>
      </c>
      <c r="DT17" s="1">
        <v>0.25188442947007955</v>
      </c>
      <c r="DU17" s="1">
        <v>0.25310805095871769</v>
      </c>
      <c r="DV17" s="1">
        <v>0.2205588431715696</v>
      </c>
      <c r="DW17" s="1">
        <v>0.24767616448502286</v>
      </c>
      <c r="DX17" s="1">
        <v>0.48641307098016523</v>
      </c>
      <c r="DY17" s="1">
        <v>0.31072362708329976</v>
      </c>
    </row>
    <row r="18" spans="1:129" ht="15">
      <c r="A18" s="7" t="s">
        <v>29</v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>
        <v>1</v>
      </c>
      <c r="Q18" s="1">
        <v>0.55694398212844143</v>
      </c>
      <c r="R18" s="1">
        <v>0.84166325367059891</v>
      </c>
      <c r="S18" s="1">
        <v>0.15742608313847278</v>
      </c>
      <c r="T18" s="1">
        <v>0.31573613536674178</v>
      </c>
      <c r="U18" s="1">
        <v>0.48867830925239758</v>
      </c>
      <c r="V18" s="1">
        <v>0.46513316646336145</v>
      </c>
      <c r="W18" s="1">
        <v>0.3411187361168313</v>
      </c>
      <c r="X18" s="1">
        <v>0.26397801603212928</v>
      </c>
      <c r="Y18" s="1">
        <v>0.321832293172919</v>
      </c>
      <c r="Z18" s="1">
        <v>0.51291723168810743</v>
      </c>
      <c r="AA18" s="1">
        <v>0.49202224050523424</v>
      </c>
      <c r="AB18" s="1">
        <v>7.866001400127294E-2</v>
      </c>
      <c r="AC18" s="1">
        <v>0.28490669322119233</v>
      </c>
      <c r="AD18" s="1">
        <v>0.34094207255645942</v>
      </c>
      <c r="AE18" s="1">
        <v>0.38766727392388656</v>
      </c>
      <c r="AF18" s="1">
        <v>0.40201967424568946</v>
      </c>
      <c r="AG18" s="1">
        <v>0.38836048101312781</v>
      </c>
      <c r="AH18" s="1">
        <v>0.25125238362130003</v>
      </c>
      <c r="AI18" s="1">
        <v>0.44747927376678576</v>
      </c>
      <c r="AJ18" s="1">
        <v>0.14944534819377928</v>
      </c>
      <c r="AK18" s="1">
        <v>0.13233727177550172</v>
      </c>
      <c r="AL18" s="1">
        <v>0.3686606015993934</v>
      </c>
      <c r="AM18" s="1">
        <v>0.18625933898022773</v>
      </c>
      <c r="AN18" s="1">
        <v>0.1367656167396786</v>
      </c>
      <c r="AO18" s="1">
        <v>0.27061891727292336</v>
      </c>
      <c r="AP18" s="1">
        <v>0.19732448057028082</v>
      </c>
      <c r="AQ18" s="1">
        <v>0.11832692896994587</v>
      </c>
      <c r="AR18" s="1">
        <v>0.39938881214791566</v>
      </c>
      <c r="AS18" s="1">
        <v>0.16382475403770913</v>
      </c>
      <c r="AT18" s="1">
        <v>0.18119850406016913</v>
      </c>
      <c r="AU18" s="1">
        <v>0.24940975657172845</v>
      </c>
      <c r="AV18" s="1">
        <v>0.23048788006015139</v>
      </c>
      <c r="AW18" s="1">
        <v>0.24047301141252853</v>
      </c>
      <c r="AX18" s="1">
        <v>0.15096357881836481</v>
      </c>
      <c r="AY18" s="1">
        <v>0.28447609842060784</v>
      </c>
      <c r="AZ18" s="1">
        <v>0.26507959622855021</v>
      </c>
      <c r="BA18" s="1">
        <v>0.1937110491358148</v>
      </c>
      <c r="BB18" s="1">
        <v>0.33694570505241284</v>
      </c>
      <c r="BC18" s="1">
        <v>0.24668762065119845</v>
      </c>
      <c r="BD18" s="1">
        <v>0.38636746444498726</v>
      </c>
      <c r="BE18" s="1">
        <v>0.26469516591974945</v>
      </c>
      <c r="BF18" s="1">
        <v>0.30327388863175442</v>
      </c>
      <c r="BG18" s="1">
        <v>0.46340243621984889</v>
      </c>
      <c r="BH18" s="1">
        <v>0.14854170718488779</v>
      </c>
      <c r="BI18" s="1">
        <v>3.5812278640524831E-2</v>
      </c>
      <c r="BJ18" s="1">
        <v>0.28052825903532924</v>
      </c>
      <c r="BK18" s="1">
        <v>0.31230804756357827</v>
      </c>
      <c r="BL18" s="1">
        <v>0.34631180432021275</v>
      </c>
      <c r="BM18" s="1">
        <v>0.31590296635349463</v>
      </c>
      <c r="BN18" s="1">
        <v>0.25116136801808392</v>
      </c>
      <c r="BO18" s="1">
        <v>0.35322796486838648</v>
      </c>
      <c r="BP18" s="1">
        <v>0.56179237440823548</v>
      </c>
      <c r="BQ18" s="1">
        <v>9.0442297802139748E-2</v>
      </c>
      <c r="BR18" s="1">
        <v>0.40698394358798734</v>
      </c>
      <c r="BS18" s="1">
        <v>0.34886587534131369</v>
      </c>
      <c r="BT18" s="1">
        <v>0.34507004691553267</v>
      </c>
      <c r="BU18" s="1">
        <v>0.37193796576877675</v>
      </c>
      <c r="BV18" s="1">
        <v>0.36119551012907669</v>
      </c>
      <c r="BW18" s="1">
        <v>0.17636328732750076</v>
      </c>
      <c r="BX18" s="1">
        <v>0.37202237629951307</v>
      </c>
      <c r="BY18" s="1">
        <v>0.29968822083977098</v>
      </c>
      <c r="BZ18" s="1">
        <v>0.2019582164363341</v>
      </c>
      <c r="CA18" s="1">
        <v>0.42272035406135283</v>
      </c>
      <c r="CB18" s="1">
        <v>0.3763759166882833</v>
      </c>
      <c r="CC18" s="1">
        <v>0.26151374510973285</v>
      </c>
      <c r="CD18" s="1">
        <v>0.23346747733357626</v>
      </c>
      <c r="CE18" s="1">
        <v>0.42163763533816179</v>
      </c>
      <c r="CF18" s="1">
        <v>0.31640325801618474</v>
      </c>
      <c r="CG18" s="1">
        <v>0.25678359420986446</v>
      </c>
      <c r="CH18" s="1">
        <v>0.39172226213512396</v>
      </c>
      <c r="CI18" s="1">
        <v>0.55290397951695391</v>
      </c>
      <c r="CJ18" s="1">
        <v>0.14142005491436463</v>
      </c>
      <c r="CK18" s="1">
        <v>0.51597735212551632</v>
      </c>
      <c r="CL18" s="1">
        <v>0.32740386565679314</v>
      </c>
      <c r="CM18" s="1">
        <v>0.15085659141583496</v>
      </c>
      <c r="CN18" s="1">
        <v>0.27224739225324524</v>
      </c>
      <c r="CO18" s="1">
        <v>0.29610486421006549</v>
      </c>
      <c r="CP18" s="1">
        <v>5.3261412753560264E-2</v>
      </c>
      <c r="CQ18" s="1">
        <v>5.3696658295298051E-2</v>
      </c>
      <c r="CR18" s="1">
        <v>0.22385295802007746</v>
      </c>
      <c r="CS18" s="1">
        <v>0.25011267515761465</v>
      </c>
      <c r="CT18" s="1">
        <v>0.24885166882079038</v>
      </c>
      <c r="CU18" s="1">
        <v>0.36368011876666673</v>
      </c>
      <c r="CV18" s="1">
        <v>0.40324882923159677</v>
      </c>
      <c r="CW18" s="1">
        <v>0.43492911030046016</v>
      </c>
      <c r="CX18" s="1">
        <v>0.20515400490118815</v>
      </c>
      <c r="CY18" s="1">
        <v>0.26074118683126546</v>
      </c>
      <c r="CZ18" s="1">
        <v>0.18153851134099477</v>
      </c>
      <c r="DA18" s="1">
        <v>0.11760478391145777</v>
      </c>
      <c r="DB18" s="1">
        <v>0.21581671445036266</v>
      </c>
      <c r="DC18" s="1">
        <v>0.3246058458999353</v>
      </c>
      <c r="DD18" s="1">
        <v>3.7872107371422666E-2</v>
      </c>
      <c r="DE18" s="1">
        <v>0.30171390657476682</v>
      </c>
      <c r="DF18" s="1">
        <v>0.39331749776735686</v>
      </c>
      <c r="DG18" s="1">
        <v>-2.7043380632021881E-4</v>
      </c>
      <c r="DH18" s="1">
        <v>0.36771510029159959</v>
      </c>
      <c r="DI18" s="1">
        <v>0.29920367929327801</v>
      </c>
      <c r="DJ18" s="1">
        <v>0.39127428889882526</v>
      </c>
      <c r="DK18" s="1">
        <v>0.29950316461607274</v>
      </c>
      <c r="DL18" s="1">
        <v>0.2777171933571716</v>
      </c>
      <c r="DM18" s="1">
        <v>0.35844208650557657</v>
      </c>
      <c r="DN18" s="1">
        <v>0.35505120531131495</v>
      </c>
      <c r="DO18" s="1">
        <v>0.24151891770296685</v>
      </c>
      <c r="DP18" s="1">
        <v>0.30559800389734137</v>
      </c>
      <c r="DQ18" s="1">
        <v>0.29569846879243661</v>
      </c>
      <c r="DR18" s="1">
        <v>0.34988533994287446</v>
      </c>
      <c r="DS18" s="1">
        <v>0.2363261337562462</v>
      </c>
      <c r="DT18" s="1">
        <v>0.23589389374296235</v>
      </c>
      <c r="DU18" s="1">
        <v>0.36745872085551468</v>
      </c>
      <c r="DV18" s="1">
        <v>0.25685713254037534</v>
      </c>
      <c r="DW18" s="1">
        <v>0.2363553692619571</v>
      </c>
      <c r="DX18" s="1">
        <v>0.37549158355792189</v>
      </c>
      <c r="DY18" s="1">
        <v>0.27900064161886784</v>
      </c>
    </row>
    <row r="19" spans="1:129" ht="15">
      <c r="A19" s="7" t="s">
        <v>30</v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>
        <v>1</v>
      </c>
      <c r="R19" s="1">
        <v>0.4284810623458285</v>
      </c>
      <c r="S19" s="1">
        <v>0.13664047224940867</v>
      </c>
      <c r="T19" s="1">
        <v>0.2647198498791854</v>
      </c>
      <c r="U19" s="1">
        <v>0.39277935325904445</v>
      </c>
      <c r="V19" s="1">
        <v>0.24197580749740535</v>
      </c>
      <c r="W19" s="1">
        <v>0.20222314519610304</v>
      </c>
      <c r="X19" s="1">
        <v>0.13635935651394226</v>
      </c>
      <c r="Y19" s="1">
        <v>0.31022008056478689</v>
      </c>
      <c r="Z19" s="1">
        <v>0.41863752413829425</v>
      </c>
      <c r="AA19" s="1">
        <v>0.32562192132684714</v>
      </c>
      <c r="AB19" s="1">
        <v>0.11084244715494995</v>
      </c>
      <c r="AC19" s="1">
        <v>0.28656340842811262</v>
      </c>
      <c r="AD19" s="1">
        <v>0.22700794917598646</v>
      </c>
      <c r="AE19" s="1">
        <v>0.10023915713045242</v>
      </c>
      <c r="AF19" s="1">
        <v>0.22391529691824916</v>
      </c>
      <c r="AG19" s="1">
        <v>0.33097704339484019</v>
      </c>
      <c r="AH19" s="1">
        <v>0.28371952129831679</v>
      </c>
      <c r="AI19" s="1">
        <v>0.21230623936007284</v>
      </c>
      <c r="AJ19" s="1">
        <v>0.21968094184672779</v>
      </c>
      <c r="AK19" s="1">
        <v>0.33589057411020945</v>
      </c>
      <c r="AL19" s="1">
        <v>0.39461265268859336</v>
      </c>
      <c r="AM19" s="1">
        <v>8.2556487468054454E-2</v>
      </c>
      <c r="AN19" s="1">
        <v>6.2051574415777279E-2</v>
      </c>
      <c r="AO19" s="1">
        <v>0.14757796648400759</v>
      </c>
      <c r="AP19" s="1">
        <v>0.2133081696251764</v>
      </c>
      <c r="AQ19" s="1">
        <v>0.21839005699988837</v>
      </c>
      <c r="AR19" s="1">
        <v>0.42760033259971947</v>
      </c>
      <c r="AS19" s="1">
        <v>2.2953974102127541E-2</v>
      </c>
      <c r="AT19" s="1">
        <v>0.12163131230365684</v>
      </c>
      <c r="AU19" s="1">
        <v>0.19709448479952896</v>
      </c>
      <c r="AV19" s="1">
        <v>0.15430181363884224</v>
      </c>
      <c r="AW19" s="1">
        <v>9.6890395293406706E-2</v>
      </c>
      <c r="AX19" s="1">
        <v>-9.8952792064671793E-2</v>
      </c>
      <c r="AY19" s="1">
        <v>0.10400753951572686</v>
      </c>
      <c r="AZ19" s="1">
        <v>0.1764914463866499</v>
      </c>
      <c r="BA19" s="1">
        <v>-2.9952358525164986E-2</v>
      </c>
      <c r="BB19" s="1">
        <v>0.31685474132386154</v>
      </c>
      <c r="BC19" s="1">
        <v>0.21262588791371156</v>
      </c>
      <c r="BD19" s="1">
        <v>0.23560711875948456</v>
      </c>
      <c r="BE19" s="1">
        <v>0.20581860945463309</v>
      </c>
      <c r="BF19" s="1">
        <v>0.27568919090527028</v>
      </c>
      <c r="BG19" s="1">
        <v>0.21530417406113164</v>
      </c>
      <c r="BH19" s="1">
        <v>0.18208756162646769</v>
      </c>
      <c r="BI19" s="1">
        <v>-3.5403285726517228E-2</v>
      </c>
      <c r="BJ19" s="1">
        <v>0.23220232048210304</v>
      </c>
      <c r="BK19" s="1">
        <v>0.1759375867052255</v>
      </c>
      <c r="BL19" s="1">
        <v>0.14058503042199774</v>
      </c>
      <c r="BM19" s="1">
        <v>0.18174341068394473</v>
      </c>
      <c r="BN19" s="1">
        <v>0.28793865240626804</v>
      </c>
      <c r="BO19" s="1">
        <v>0.39467636188567057</v>
      </c>
      <c r="BP19" s="1">
        <v>0.4605985652629222</v>
      </c>
      <c r="BQ19" s="1">
        <v>6.3034185521448821E-2</v>
      </c>
      <c r="BR19" s="1">
        <v>0.22559048205346283</v>
      </c>
      <c r="BS19" s="1">
        <v>0.23085111296783989</v>
      </c>
      <c r="BT19" s="1">
        <v>0.27603928339388295</v>
      </c>
      <c r="BU19" s="1">
        <v>0.26501172579554494</v>
      </c>
      <c r="BV19" s="1">
        <v>0.24533163953701895</v>
      </c>
      <c r="BW19" s="1">
        <v>0.10648181814934111</v>
      </c>
      <c r="BX19" s="1">
        <v>0.36007149379680548</v>
      </c>
      <c r="BY19" s="1">
        <v>0.30775047263242389</v>
      </c>
      <c r="BZ19" s="1">
        <v>0.19830308763900473</v>
      </c>
      <c r="CA19" s="1">
        <v>0.21942464268755443</v>
      </c>
      <c r="CB19" s="1">
        <v>0.32745792261139739</v>
      </c>
      <c r="CC19" s="1">
        <v>8.485683218906756E-2</v>
      </c>
      <c r="CD19" s="1">
        <v>0.25565037458524531</v>
      </c>
      <c r="CE19" s="1">
        <v>0.27689443596367042</v>
      </c>
      <c r="CF19" s="1">
        <v>0.28494783920164662</v>
      </c>
      <c r="CG19" s="1">
        <v>0.16459867098208469</v>
      </c>
      <c r="CH19" s="1">
        <v>0.31415334847923881</v>
      </c>
      <c r="CI19" s="1">
        <v>0.43828039628886223</v>
      </c>
      <c r="CJ19" s="1">
        <v>0.28321218056067238</v>
      </c>
      <c r="CK19" s="1">
        <v>0.33614413584132258</v>
      </c>
      <c r="CL19" s="1">
        <v>0.30389363576135164</v>
      </c>
      <c r="CM19" s="1">
        <v>0.36136246508966724</v>
      </c>
      <c r="CN19" s="1">
        <v>0.33433599390395863</v>
      </c>
      <c r="CO19" s="1">
        <v>0.33428315742316317</v>
      </c>
      <c r="CP19" s="1">
        <v>8.5216305175167109E-2</v>
      </c>
      <c r="CQ19" s="1">
        <v>0.16419894274743019</v>
      </c>
      <c r="CR19" s="1">
        <v>0.39207688870755719</v>
      </c>
      <c r="CS19" s="1">
        <v>0.37489429796222157</v>
      </c>
      <c r="CT19" s="1">
        <v>0.20706809512881677</v>
      </c>
      <c r="CU19" s="1">
        <v>0.34697467270945193</v>
      </c>
      <c r="CV19" s="1">
        <v>0.43540647067152422</v>
      </c>
      <c r="CW19" s="1">
        <v>0.30907707571022808</v>
      </c>
      <c r="CX19" s="1">
        <v>0.28631983526075999</v>
      </c>
      <c r="CY19" s="1">
        <v>0.17376437074593604</v>
      </c>
      <c r="CZ19" s="1">
        <v>0.11913416051838963</v>
      </c>
      <c r="DA19" s="1">
        <v>0.14608336922878526</v>
      </c>
      <c r="DB19" s="1">
        <v>0.37675191676597591</v>
      </c>
      <c r="DC19" s="1">
        <v>0.40416852669912379</v>
      </c>
      <c r="DD19" s="1">
        <v>3.9409445066705746E-2</v>
      </c>
      <c r="DE19" s="1">
        <v>0.26997713703422299</v>
      </c>
      <c r="DF19" s="1">
        <v>0.40930446748136146</v>
      </c>
      <c r="DG19" s="1">
        <v>6.0648319259292531E-2</v>
      </c>
      <c r="DH19" s="1">
        <v>0.25281410748030436</v>
      </c>
      <c r="DI19" s="1">
        <v>0.3285950679350842</v>
      </c>
      <c r="DJ19" s="1">
        <v>0.39271744887419857</v>
      </c>
      <c r="DK19" s="1">
        <v>0.31153814123213369</v>
      </c>
      <c r="DL19" s="1">
        <v>0.26494255551067308</v>
      </c>
      <c r="DM19" s="1">
        <v>0.33951605419321645</v>
      </c>
      <c r="DN19" s="1">
        <v>0.33440635492328263</v>
      </c>
      <c r="DO19" s="1">
        <v>0.23069558754528194</v>
      </c>
      <c r="DP19" s="1">
        <v>0.25958183474046803</v>
      </c>
      <c r="DQ19" s="1">
        <v>0.2126862361403056</v>
      </c>
      <c r="DR19" s="1">
        <v>0.34077082840101086</v>
      </c>
      <c r="DS19" s="1">
        <v>0.28973816636573546</v>
      </c>
      <c r="DT19" s="1">
        <v>0.26261668244671033</v>
      </c>
      <c r="DU19" s="1">
        <v>0.285194886096508</v>
      </c>
      <c r="DV19" s="1">
        <v>0.18203294805641326</v>
      </c>
      <c r="DW19" s="1">
        <v>0.13530710169603627</v>
      </c>
      <c r="DX19" s="1">
        <v>0.12549666531343456</v>
      </c>
      <c r="DY19" s="1">
        <v>0.23307690305300474</v>
      </c>
    </row>
    <row r="20" spans="1:129" ht="15">
      <c r="A20" s="7" t="s">
        <v>31</v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1.0000000000000002</v>
      </c>
      <c r="S20" s="1">
        <v>0.15170334929448773</v>
      </c>
      <c r="T20" s="1">
        <v>0.29586969892813036</v>
      </c>
      <c r="U20" s="1">
        <v>0.4623874902513353</v>
      </c>
      <c r="V20" s="1">
        <v>0.49517745705352145</v>
      </c>
      <c r="W20" s="1">
        <v>0.40231612765525526</v>
      </c>
      <c r="X20" s="1">
        <v>0.29427956236114594</v>
      </c>
      <c r="Y20" s="1">
        <v>0.25056990079508856</v>
      </c>
      <c r="Z20" s="1">
        <v>0.49794464649654863</v>
      </c>
      <c r="AA20" s="1">
        <v>0.48717880918422174</v>
      </c>
      <c r="AB20" s="1">
        <v>3.6011555691793887E-2</v>
      </c>
      <c r="AC20" s="1">
        <v>0.33962950035164863</v>
      </c>
      <c r="AD20" s="1">
        <v>0.20354482258785098</v>
      </c>
      <c r="AE20" s="1">
        <v>0.30902936300310535</v>
      </c>
      <c r="AF20" s="1">
        <v>0.39858586524970868</v>
      </c>
      <c r="AG20" s="1">
        <v>0.32127554079961645</v>
      </c>
      <c r="AH20" s="1">
        <v>0.23117835940956924</v>
      </c>
      <c r="AI20" s="1">
        <v>0.42950848966775274</v>
      </c>
      <c r="AJ20" s="1">
        <v>5.1201066487964748E-2</v>
      </c>
      <c r="AK20" s="1">
        <v>3.9750454727692029E-2</v>
      </c>
      <c r="AL20" s="1">
        <v>0.44919871567363678</v>
      </c>
      <c r="AM20" s="1">
        <v>0.10233452371550639</v>
      </c>
      <c r="AN20" s="1">
        <v>9.3759708189398369E-2</v>
      </c>
      <c r="AO20" s="1">
        <v>0.24988937160944574</v>
      </c>
      <c r="AP20" s="1">
        <v>0.25970869894242249</v>
      </c>
      <c r="AQ20" s="1">
        <v>4.6257386055480368E-2</v>
      </c>
      <c r="AR20" s="1">
        <v>0.28866295546123677</v>
      </c>
      <c r="AS20" s="1">
        <v>0.1792309004853862</v>
      </c>
      <c r="AT20" s="1">
        <v>0.28691786770070238</v>
      </c>
      <c r="AU20" s="1">
        <v>0.27246055394668711</v>
      </c>
      <c r="AV20" s="1">
        <v>0.30532431954501427</v>
      </c>
      <c r="AW20" s="1">
        <v>0.34783905579718322</v>
      </c>
      <c r="AX20" s="1">
        <v>0.18065083869115159</v>
      </c>
      <c r="AY20" s="1">
        <v>0.19376356514951126</v>
      </c>
      <c r="AZ20" s="1">
        <v>0.29461444174521267</v>
      </c>
      <c r="BA20" s="1">
        <v>0.21721102762887168</v>
      </c>
      <c r="BB20" s="1">
        <v>0.41516059875728839</v>
      </c>
      <c r="BC20" s="1">
        <v>0.27223824789238543</v>
      </c>
      <c r="BD20" s="1">
        <v>0.44896727318133162</v>
      </c>
      <c r="BE20" s="1">
        <v>0.25399411213350975</v>
      </c>
      <c r="BF20" s="1">
        <v>0.4018273196167782</v>
      </c>
      <c r="BG20" s="1">
        <v>0.35529882651944272</v>
      </c>
      <c r="BH20" s="1">
        <v>0.22275191029988012</v>
      </c>
      <c r="BI20" s="1">
        <v>0.16772352405171015</v>
      </c>
      <c r="BJ20" s="1">
        <v>0.39573950162113553</v>
      </c>
      <c r="BK20" s="1">
        <v>0.38774426118283761</v>
      </c>
      <c r="BL20" s="1">
        <v>0.43531962195559465</v>
      </c>
      <c r="BM20" s="1">
        <v>0.4361550797456224</v>
      </c>
      <c r="BN20" s="1">
        <v>0.24485791290115169</v>
      </c>
      <c r="BO20" s="1">
        <v>0.40510053232342996</v>
      </c>
      <c r="BP20" s="1">
        <v>0.49316601951642264</v>
      </c>
      <c r="BQ20" s="1">
        <v>0.10307343530328705</v>
      </c>
      <c r="BR20" s="1">
        <v>0.41183588584652742</v>
      </c>
      <c r="BS20" s="1">
        <v>0.4063696784318952</v>
      </c>
      <c r="BT20" s="1">
        <v>0.4804492401576107</v>
      </c>
      <c r="BU20" s="1">
        <v>0.46081498273869087</v>
      </c>
      <c r="BV20" s="1">
        <v>0.31847731543912161</v>
      </c>
      <c r="BW20" s="1">
        <v>0.2663349230606723</v>
      </c>
      <c r="BX20" s="1">
        <v>0.33844234872307738</v>
      </c>
      <c r="BY20" s="1">
        <v>0.38445534004630577</v>
      </c>
      <c r="BZ20" s="1">
        <v>0.23890551191894968</v>
      </c>
      <c r="CA20" s="1">
        <v>0.4389084179510504</v>
      </c>
      <c r="CB20" s="1">
        <v>0.39891355118665017</v>
      </c>
      <c r="CC20" s="1">
        <v>0.4198519759086744</v>
      </c>
      <c r="CD20" s="1">
        <v>0.18725966417253873</v>
      </c>
      <c r="CE20" s="1">
        <v>0.44725888313984874</v>
      </c>
      <c r="CF20" s="1">
        <v>0.40217582318593553</v>
      </c>
      <c r="CG20" s="1">
        <v>0.33901271129944305</v>
      </c>
      <c r="CH20" s="1">
        <v>0.40907864764603635</v>
      </c>
      <c r="CI20" s="1">
        <v>0.57074298678065694</v>
      </c>
      <c r="CJ20" s="1">
        <v>0.21322662793037991</v>
      </c>
      <c r="CK20" s="1">
        <v>0.45271965811821963</v>
      </c>
      <c r="CL20" s="1">
        <v>0.37093148184466512</v>
      </c>
      <c r="CM20" s="1">
        <v>4.6449676318862307E-2</v>
      </c>
      <c r="CN20" s="1">
        <v>0.22864579238442273</v>
      </c>
      <c r="CO20" s="1">
        <v>0.31823702046873287</v>
      </c>
      <c r="CP20" s="1">
        <v>0.11532069948039729</v>
      </c>
      <c r="CQ20" s="1">
        <v>8.5933765356467434E-2</v>
      </c>
      <c r="CR20" s="1">
        <v>0.30985200326739776</v>
      </c>
      <c r="CS20" s="1">
        <v>0.12557091316992328</v>
      </c>
      <c r="CT20" s="1">
        <v>0.3588833395121529</v>
      </c>
      <c r="CU20" s="1">
        <v>0.41976639912525476</v>
      </c>
      <c r="CV20" s="1">
        <v>0.29284504021386248</v>
      </c>
      <c r="CW20" s="1">
        <v>0.38525284188872438</v>
      </c>
      <c r="CX20" s="1">
        <v>0.34069470454320788</v>
      </c>
      <c r="CY20" s="1">
        <v>0.28677595099975617</v>
      </c>
      <c r="CZ20" s="1">
        <v>0.22412561126519928</v>
      </c>
      <c r="DA20" s="1">
        <v>0.23793838835560255</v>
      </c>
      <c r="DB20" s="1">
        <v>0.27232705471337748</v>
      </c>
      <c r="DC20" s="1">
        <v>0.26210923833423883</v>
      </c>
      <c r="DD20" s="1">
        <v>0.1228382088775113</v>
      </c>
      <c r="DE20" s="1">
        <v>0.30982101384787725</v>
      </c>
      <c r="DF20" s="1">
        <v>0.34737722257245379</v>
      </c>
      <c r="DG20" s="1">
        <v>0.18930528318163337</v>
      </c>
      <c r="DH20" s="1">
        <v>0.40174601984357294</v>
      </c>
      <c r="DI20" s="1">
        <v>0.40843144484758476</v>
      </c>
      <c r="DJ20" s="1">
        <v>0.49408083240989425</v>
      </c>
      <c r="DK20" s="1">
        <v>0.42403042495534604</v>
      </c>
      <c r="DL20" s="1">
        <v>0.37532136839751085</v>
      </c>
      <c r="DM20" s="1">
        <v>0.50034423012605067</v>
      </c>
      <c r="DN20" s="1">
        <v>0.45128345797822428</v>
      </c>
      <c r="DO20" s="1">
        <v>0.3414882267666623</v>
      </c>
      <c r="DP20" s="1">
        <v>0.417349493068088</v>
      </c>
      <c r="DQ20" s="1">
        <v>0.46180110790933931</v>
      </c>
      <c r="DR20" s="1">
        <v>0.47759494933347629</v>
      </c>
      <c r="DS20" s="1">
        <v>0.3742398252907802</v>
      </c>
      <c r="DT20" s="1">
        <v>0.40646453432913093</v>
      </c>
      <c r="DU20" s="1">
        <v>0.48092079548768718</v>
      </c>
      <c r="DV20" s="1">
        <v>0.39504005310178292</v>
      </c>
      <c r="DW20" s="1">
        <v>0.23401560623065748</v>
      </c>
      <c r="DX20" s="1">
        <v>0.36541756120182339</v>
      </c>
      <c r="DY20" s="1">
        <v>0.34980291044551809</v>
      </c>
    </row>
    <row r="21" spans="1:129" ht="15">
      <c r="A21" s="7" t="s">
        <v>32</v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 t="str">
        <v/>
      </c>
      <c r="S21" s="1">
        <v>1</v>
      </c>
      <c r="T21" s="1">
        <v>0.14851790620368521</v>
      </c>
      <c r="U21" s="1">
        <v>-4.6384909973023102E-2</v>
      </c>
      <c r="V21" s="1">
        <v>-8.3110135614118646E-2</v>
      </c>
      <c r="W21" s="1">
        <v>0.17981517173382941</v>
      </c>
      <c r="X21" s="1">
        <v>-9.7872332655080246E-3</v>
      </c>
      <c r="Y21" s="1">
        <v>0.12003572629621515</v>
      </c>
      <c r="Z21" s="1">
        <v>9.877584577705463E-2</v>
      </c>
      <c r="AA21" s="1">
        <v>0.24968432023502157</v>
      </c>
      <c r="AB21" s="1">
        <v>0.1388270600873463</v>
      </c>
      <c r="AC21" s="1">
        <v>0.14745102982792918</v>
      </c>
      <c r="AD21" s="1">
        <v>8.1379048481667451E-2</v>
      </c>
      <c r="AE21" s="1">
        <v>0.1882406613367569</v>
      </c>
      <c r="AF21" s="1">
        <v>7.868959414311924E-2</v>
      </c>
      <c r="AG21" s="1">
        <v>0.19388436232711576</v>
      </c>
      <c r="AH21" s="1">
        <v>0.22774327381561238</v>
      </c>
      <c r="AI21" s="1">
        <v>0.10496689783052524</v>
      </c>
      <c r="AJ21" s="1">
        <v>-0.12763428584124278</v>
      </c>
      <c r="AK21" s="1">
        <v>8.9569389980811723E-2</v>
      </c>
      <c r="AL21" s="1">
        <v>0.11683234253925494</v>
      </c>
      <c r="AM21" s="1">
        <v>0.36213673622456177</v>
      </c>
      <c r="AN21" s="1">
        <v>-0.12769124348456903</v>
      </c>
      <c r="AO21" s="1">
        <v>4.410669182937519E-2</v>
      </c>
      <c r="AP21" s="1">
        <v>1.1055749781712814E-2</v>
      </c>
      <c r="AQ21" s="1">
        <v>-4.7263954969584451E-2</v>
      </c>
      <c r="AR21" s="1">
        <v>0.27719991900414337</v>
      </c>
      <c r="AS21" s="1">
        <v>6.948429142769684E-3</v>
      </c>
      <c r="AT21" s="1">
        <v>0.16524457654882405</v>
      </c>
      <c r="AU21" s="1">
        <v>-1.4418903947559361E-2</v>
      </c>
      <c r="AV21" s="1">
        <v>0.10484206772375569</v>
      </c>
      <c r="AW21" s="1">
        <v>0.27194772266629463</v>
      </c>
      <c r="AX21" s="1">
        <v>0.11082071247448863</v>
      </c>
      <c r="AY21" s="1">
        <v>7.9433229043045159E-2</v>
      </c>
      <c r="AZ21" s="1">
        <v>0.14058015188779532</v>
      </c>
      <c r="BA21" s="1">
        <v>0.15582333860273112</v>
      </c>
      <c r="BB21" s="1">
        <v>0.15494190458075213</v>
      </c>
      <c r="BC21" s="1">
        <v>0.36200185498807197</v>
      </c>
      <c r="BD21" s="1">
        <v>8.6922815289086811E-2</v>
      </c>
      <c r="BE21" s="1">
        <v>-5.061096584087886E-2</v>
      </c>
      <c r="BF21" s="1">
        <v>0.10430439739358847</v>
      </c>
      <c r="BG21" s="1">
        <v>0.14625355991817038</v>
      </c>
      <c r="BH21" s="1">
        <v>0.33151450902910917</v>
      </c>
      <c r="BI21" s="1">
        <v>0.21106446452641903</v>
      </c>
      <c r="BJ21" s="1">
        <v>-0.15910587018980946</v>
      </c>
      <c r="BK21" s="1">
        <v>-0.25117258679117582</v>
      </c>
      <c r="BL21" s="1">
        <v>-0.1698214951791463</v>
      </c>
      <c r="BM21" s="1">
        <v>-9.6926371809167078E-2</v>
      </c>
      <c r="BN21" s="1">
        <v>0.11061882945974527</v>
      </c>
      <c r="BO21" s="1">
        <v>7.8138336915985346E-2</v>
      </c>
      <c r="BP21" s="1">
        <v>0.17995339669628549</v>
      </c>
      <c r="BQ21" s="1">
        <v>1.9890409051749533E-2</v>
      </c>
      <c r="BR21" s="1">
        <v>0.17199658856578584</v>
      </c>
      <c r="BS21" s="1">
        <v>-0.10611035121002745</v>
      </c>
      <c r="BT21" s="1">
        <v>-0.12558918614169487</v>
      </c>
      <c r="BU21" s="1">
        <v>-0.14104076502105756</v>
      </c>
      <c r="BV21" s="1">
        <v>0.41995764893880783</v>
      </c>
      <c r="BW21" s="1">
        <v>-8.7716176571919519E-2</v>
      </c>
      <c r="BX21" s="1">
        <v>5.9735092149078038E-2</v>
      </c>
      <c r="BY21" s="1">
        <v>7.2847540469932234E-2</v>
      </c>
      <c r="BZ21" s="1">
        <v>7.4972588551093053E-2</v>
      </c>
      <c r="CA21" s="1">
        <v>-0.17359511633299632</v>
      </c>
      <c r="CB21" s="1">
        <v>4.7212264272598642E-2</v>
      </c>
      <c r="CC21" s="1">
        <v>0.19363262570568221</v>
      </c>
      <c r="CD21" s="1">
        <v>3.7273477478990867E-2</v>
      </c>
      <c r="CE21" s="1">
        <v>-0.10282870113397082</v>
      </c>
      <c r="CF21" s="1">
        <v>-1.1287414509877339E-2</v>
      </c>
      <c r="CG21" s="1">
        <v>-2.296127406027559E-2</v>
      </c>
      <c r="CH21" s="1">
        <v>-9.2961967025113491E-3</v>
      </c>
      <c r="CI21" s="1">
        <v>7.6652313235333738E-2</v>
      </c>
      <c r="CJ21" s="1">
        <v>0.15044033571591645</v>
      </c>
      <c r="CK21" s="1">
        <v>6.9422028782136463E-2</v>
      </c>
      <c r="CL21" s="1">
        <v>-0.2114645270305128</v>
      </c>
      <c r="CM21" s="1">
        <v>-1.9701542619288321E-2</v>
      </c>
      <c r="CN21" s="1">
        <v>0.10370599156813817</v>
      </c>
      <c r="CO21" s="1">
        <v>1.9691685178058995E-2</v>
      </c>
      <c r="CP21" s="1">
        <v>0.11172171595301583</v>
      </c>
      <c r="CQ21" s="1">
        <v>0.39662016502467473</v>
      </c>
      <c r="CR21" s="1">
        <v>8.7829066435493888E-2</v>
      </c>
      <c r="CS21" s="1">
        <v>0.15084653265175726</v>
      </c>
      <c r="CT21" s="1">
        <v>-0.2291820439992906</v>
      </c>
      <c r="CU21" s="1">
        <v>-9.1531517304347887E-2</v>
      </c>
      <c r="CV21" s="1">
        <v>0.13007881304421703</v>
      </c>
      <c r="CW21" s="1">
        <v>7.9343876414096862E-2</v>
      </c>
      <c r="CX21" s="1">
        <v>8.0645379936499728E-2</v>
      </c>
      <c r="CY21" s="1">
        <v>-9.230989865192589E-2</v>
      </c>
      <c r="CZ21" s="1">
        <v>0.21224281720475791</v>
      </c>
      <c r="DA21" s="1">
        <v>2.6350141870147545E-2</v>
      </c>
      <c r="DB21" s="1">
        <v>0.25098789296059043</v>
      </c>
      <c r="DC21" s="1">
        <v>-6.0275103338614099E-2</v>
      </c>
      <c r="DD21" s="1">
        <v>-0.22858962015869405</v>
      </c>
      <c r="DE21" s="1">
        <v>0.2596960102104941</v>
      </c>
      <c r="DF21" s="1">
        <v>-3.9735580099226654E-2</v>
      </c>
      <c r="DG21" s="1">
        <v>0.2962464162936192</v>
      </c>
      <c r="DH21" s="1">
        <v>0.10430419470669967</v>
      </c>
      <c r="DI21" s="1">
        <v>-8.5543613642494104E-2</v>
      </c>
      <c r="DJ21" s="1">
        <v>-6.3685453566225458E-2</v>
      </c>
      <c r="DK21" s="1">
        <v>-9.4248970482992314E-2</v>
      </c>
      <c r="DL21" s="1">
        <v>-7.7914893583537093E-2</v>
      </c>
      <c r="DM21" s="1">
        <v>-3.1498418615913272E-2</v>
      </c>
      <c r="DN21" s="1">
        <v>7.4337540701474129E-3</v>
      </c>
      <c r="DO21" s="1">
        <v>-0.12767534884663959</v>
      </c>
      <c r="DP21" s="1">
        <v>-8.3915080070451536E-2</v>
      </c>
      <c r="DQ21" s="1">
        <v>-9.3433372804758136E-2</v>
      </c>
      <c r="DR21" s="1">
        <v>-9.3177276831559862E-3</v>
      </c>
      <c r="DS21" s="1">
        <v>-1.3864468251737242E-2</v>
      </c>
      <c r="DT21" s="1">
        <v>-9.4467677855846421E-2</v>
      </c>
      <c r="DU21" s="1">
        <v>-6.0386879510951454E-3</v>
      </c>
      <c r="DV21" s="1">
        <v>-1.1885174349090982E-2</v>
      </c>
      <c r="DW21" s="1">
        <v>5.2296409439015624E-2</v>
      </c>
      <c r="DX21" s="1">
        <v>0.15057040819706902</v>
      </c>
      <c r="DY21" s="1">
        <v>-0.10197113500152891</v>
      </c>
    </row>
    <row r="22" spans="1:129" ht="15">
      <c r="A22" s="7" t="s">
        <v>33</v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 t="str">
        <v/>
      </c>
      <c r="S22" s="1" t="str">
        <v/>
      </c>
      <c r="T22" s="1">
        <v>1</v>
      </c>
      <c r="U22" s="1">
        <v>0.56954122763951853</v>
      </c>
      <c r="V22" s="1">
        <v>0.39782903659947721</v>
      </c>
      <c r="W22" s="1">
        <v>0.59845538642351681</v>
      </c>
      <c r="X22" s="1">
        <v>0.30905628294472043</v>
      </c>
      <c r="Y22" s="1">
        <v>0.41507830587028616</v>
      </c>
      <c r="Z22" s="1">
        <v>0.5181476265698588</v>
      </c>
      <c r="AA22" s="1">
        <v>0.44589109452528253</v>
      </c>
      <c r="AB22" s="1">
        <v>0.19624083895913727</v>
      </c>
      <c r="AC22" s="1">
        <v>0.43683985437337264</v>
      </c>
      <c r="AD22" s="1">
        <v>0.51267200454814643</v>
      </c>
      <c r="AE22" s="1">
        <v>0.37605903702526455</v>
      </c>
      <c r="AF22" s="1">
        <v>0.40847363924334756</v>
      </c>
      <c r="AG22" s="1">
        <v>0.521284978516524</v>
      </c>
      <c r="AH22" s="1">
        <v>0.26518774624489333</v>
      </c>
      <c r="AI22" s="1">
        <v>0.43543435542622139</v>
      </c>
      <c r="AJ22" s="1">
        <v>0.27556348494394084</v>
      </c>
      <c r="AK22" s="1">
        <v>0.35833437340600954</v>
      </c>
      <c r="AL22" s="1">
        <v>0.42489128149893879</v>
      </c>
      <c r="AM22" s="1">
        <v>0.29541774132556758</v>
      </c>
      <c r="AN22" s="1">
        <v>0.30737092696568896</v>
      </c>
      <c r="AO22" s="1">
        <v>0.4805316188576097</v>
      </c>
      <c r="AP22" s="1">
        <v>0.39377110386248748</v>
      </c>
      <c r="AQ22" s="1">
        <v>0.38207941428960324</v>
      </c>
      <c r="AR22" s="1">
        <v>0.46653388237502685</v>
      </c>
      <c r="AS22" s="1">
        <v>0.20778841104116005</v>
      </c>
      <c r="AT22" s="1">
        <v>0.30611488456699293</v>
      </c>
      <c r="AU22" s="1">
        <v>0.25539057280849797</v>
      </c>
      <c r="AV22" s="1">
        <v>0.36716926258984017</v>
      </c>
      <c r="AW22" s="1">
        <v>0.26592884114904297</v>
      </c>
      <c r="AX22" s="1">
        <v>0.38161517566050818</v>
      </c>
      <c r="AY22" s="1">
        <v>0.39290275378429446</v>
      </c>
      <c r="AZ22" s="1">
        <v>0.42969688433467967</v>
      </c>
      <c r="BA22" s="1">
        <v>0.39008111670034118</v>
      </c>
      <c r="BB22" s="1">
        <v>0.3591205157987073</v>
      </c>
      <c r="BC22" s="1">
        <v>0.42576751202691554</v>
      </c>
      <c r="BD22" s="1">
        <v>0.40316381009574459</v>
      </c>
      <c r="BE22" s="1">
        <v>0.13800769729330931</v>
      </c>
      <c r="BF22" s="1">
        <v>0.45235871470109973</v>
      </c>
      <c r="BG22" s="1">
        <v>0.48298188023226946</v>
      </c>
      <c r="BH22" s="1">
        <v>0.40465614869694616</v>
      </c>
      <c r="BI22" s="1">
        <v>0.24168494113391739</v>
      </c>
      <c r="BJ22" s="1">
        <v>0.26084336899947969</v>
      </c>
      <c r="BK22" s="1">
        <v>0.31615898327665615</v>
      </c>
      <c r="BL22" s="1">
        <v>0.35090559242859726</v>
      </c>
      <c r="BM22" s="1">
        <v>0.21971822956627646</v>
      </c>
      <c r="BN22" s="1">
        <v>0.35648856044784616</v>
      </c>
      <c r="BO22" s="1">
        <v>0.45235589593280384</v>
      </c>
      <c r="BP22" s="1">
        <v>0.45669242270168448</v>
      </c>
      <c r="BQ22" s="1">
        <v>0.23053701821469208</v>
      </c>
      <c r="BR22" s="1">
        <v>0.35211307246140966</v>
      </c>
      <c r="BS22" s="1">
        <v>0.20893938702473699</v>
      </c>
      <c r="BT22" s="1">
        <v>0.14494010782395478</v>
      </c>
      <c r="BU22" s="1">
        <v>0.41348843171550609</v>
      </c>
      <c r="BV22" s="1">
        <v>0.12691212322476569</v>
      </c>
      <c r="BW22" s="1">
        <v>0.18014061698850625</v>
      </c>
      <c r="BX22" s="1">
        <v>0.34124526951436374</v>
      </c>
      <c r="BY22" s="1">
        <v>0.2102842703457726</v>
      </c>
      <c r="BZ22" s="1">
        <v>0.35323728173156416</v>
      </c>
      <c r="CA22" s="1">
        <v>0.20146489146368915</v>
      </c>
      <c r="CB22" s="1">
        <v>0.31886508673826441</v>
      </c>
      <c r="CC22" s="1">
        <v>0.32459489619216753</v>
      </c>
      <c r="CD22" s="1">
        <v>0.30127204019486969</v>
      </c>
      <c r="CE22" s="1">
        <v>0.29994296712334739</v>
      </c>
      <c r="CF22" s="1">
        <v>0.31631191435044342</v>
      </c>
      <c r="CG22" s="1">
        <v>0.36381418031058887</v>
      </c>
      <c r="CH22" s="1">
        <v>0.32486604238376915</v>
      </c>
      <c r="CI22" s="1">
        <v>0.55338101230612546</v>
      </c>
      <c r="CJ22" s="1">
        <v>0.37210328539924065</v>
      </c>
      <c r="CK22" s="1">
        <v>0.19844305569302575</v>
      </c>
      <c r="CL22" s="1">
        <v>0.24680187154489092</v>
      </c>
      <c r="CM22" s="1">
        <v>0.18673730985381154</v>
      </c>
      <c r="CN22" s="1">
        <v>0.31988151279599736</v>
      </c>
      <c r="CO22" s="1">
        <v>0.37653533537926476</v>
      </c>
      <c r="CP22" s="1">
        <v>0.35155950569227323</v>
      </c>
      <c r="CQ22" s="1">
        <v>0.36481048108602504</v>
      </c>
      <c r="CR22" s="1">
        <v>0.14420776005059899</v>
      </c>
      <c r="CS22" s="1">
        <v>0.16697513503593758</v>
      </c>
      <c r="CT22" s="1">
        <v>0.13086987972669248</v>
      </c>
      <c r="CU22" s="1">
        <v>0.1539391079308999</v>
      </c>
      <c r="CV22" s="1">
        <v>0.38895198724667507</v>
      </c>
      <c r="CW22" s="1">
        <v>0.36562759524839539</v>
      </c>
      <c r="CX22" s="1">
        <v>0.38551163239531433</v>
      </c>
      <c r="CY22" s="1">
        <v>6.9119435998666587E-2</v>
      </c>
      <c r="CZ22" s="1">
        <v>0.20842599736593109</v>
      </c>
      <c r="DA22" s="1">
        <v>0.14938999916127355</v>
      </c>
      <c r="DB22" s="1">
        <v>-1.4865512623585597E-2</v>
      </c>
      <c r="DC22" s="1">
        <v>0.29136042407173962</v>
      </c>
      <c r="DD22" s="1">
        <v>-8.9986205622695256E-2</v>
      </c>
      <c r="DE22" s="1">
        <v>0.51022301230412426</v>
      </c>
      <c r="DF22" s="1">
        <v>0.23497135388497734</v>
      </c>
      <c r="DG22" s="1">
        <v>0.24185482942378189</v>
      </c>
      <c r="DH22" s="1">
        <v>0.30132593644000938</v>
      </c>
      <c r="DI22" s="1">
        <v>0.29384739306199098</v>
      </c>
      <c r="DJ22" s="1">
        <v>0.31322413234300406</v>
      </c>
      <c r="DK22" s="1">
        <v>0.17356025421950652</v>
      </c>
      <c r="DL22" s="1">
        <v>0.20669304860166746</v>
      </c>
      <c r="DM22" s="1">
        <v>0.2004315925596408</v>
      </c>
      <c r="DN22" s="1">
        <v>0.13193285646559008</v>
      </c>
      <c r="DO22" s="1">
        <v>0.12302371352462121</v>
      </c>
      <c r="DP22" s="1">
        <v>0.25199359645750569</v>
      </c>
      <c r="DQ22" s="1">
        <v>0.23235695724449829</v>
      </c>
      <c r="DR22" s="1">
        <v>0.24521689081574949</v>
      </c>
      <c r="DS22" s="1">
        <v>0.23836386096848741</v>
      </c>
      <c r="DT22" s="1">
        <v>0.23823647172593815</v>
      </c>
      <c r="DU22" s="1">
        <v>0.20222647876338185</v>
      </c>
      <c r="DV22" s="1">
        <v>0.21273540357559947</v>
      </c>
      <c r="DW22" s="1">
        <v>0.25686121153857661</v>
      </c>
      <c r="DX22" s="1">
        <v>0.25107824305057264</v>
      </c>
      <c r="DY22" s="1">
        <v>0.2453780279156797</v>
      </c>
    </row>
    <row r="23" spans="1:129" ht="15">
      <c r="A23" s="7" t="s">
        <v>34</v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 t="str">
        <v/>
      </c>
      <c r="S23" s="1" t="str">
        <v/>
      </c>
      <c r="T23" s="1" t="str">
        <v/>
      </c>
      <c r="U23" s="1">
        <v>1</v>
      </c>
      <c r="V23" s="1">
        <v>0.6818432259086884</v>
      </c>
      <c r="W23" s="1">
        <v>0.41226706397298002</v>
      </c>
      <c r="X23" s="1">
        <v>0.49532982778401463</v>
      </c>
      <c r="Y23" s="1">
        <v>0.3942267319534799</v>
      </c>
      <c r="Z23" s="1">
        <v>0.46179021535284959</v>
      </c>
      <c r="AA23" s="1">
        <v>0.58263843331501186</v>
      </c>
      <c r="AB23" s="1">
        <v>0.29984263360694885</v>
      </c>
      <c r="AC23" s="1">
        <v>0.47778350232342781</v>
      </c>
      <c r="AD23" s="1">
        <v>0.49468766638135647</v>
      </c>
      <c r="AE23" s="1">
        <v>0.479056953013071</v>
      </c>
      <c r="AF23" s="1">
        <v>0.4552403160188544</v>
      </c>
      <c r="AG23" s="1">
        <v>0.52185700930107148</v>
      </c>
      <c r="AH23" s="1">
        <v>0.34549101770792967</v>
      </c>
      <c r="AI23" s="1">
        <v>0.53787771092252312</v>
      </c>
      <c r="AJ23" s="1">
        <v>0.20235386121429355</v>
      </c>
      <c r="AK23" s="1">
        <v>7.5798408635814454E-2</v>
      </c>
      <c r="AL23" s="1">
        <v>0.27247567475818857</v>
      </c>
      <c r="AM23" s="1">
        <v>0.19536566936936345</v>
      </c>
      <c r="AN23" s="1">
        <v>0.16830494382781033</v>
      </c>
      <c r="AO23" s="1">
        <v>0.35090617832233817</v>
      </c>
      <c r="AP23" s="1">
        <v>0.36160320036278698</v>
      </c>
      <c r="AQ23" s="1">
        <v>0.29634451145083057</v>
      </c>
      <c r="AR23" s="1">
        <v>0.48836444004196145</v>
      </c>
      <c r="AS23" s="1">
        <v>0.22333715873233392</v>
      </c>
      <c r="AT23" s="1">
        <v>0.26458970336932053</v>
      </c>
      <c r="AU23" s="1">
        <v>0.34854917582548339</v>
      </c>
      <c r="AV23" s="1">
        <v>0.39957209750173744</v>
      </c>
      <c r="AW23" s="1">
        <v>0.17640424996693868</v>
      </c>
      <c r="AX23" s="1">
        <v>0.14007399659309405</v>
      </c>
      <c r="AY23" s="1">
        <v>0.37725327316761953</v>
      </c>
      <c r="AZ23" s="1">
        <v>0.50935283380223517</v>
      </c>
      <c r="BA23" s="1">
        <v>0.3720997290971097</v>
      </c>
      <c r="BB23" s="1">
        <v>0.51137997615101138</v>
      </c>
      <c r="BC23" s="1">
        <v>0.39296813835969879</v>
      </c>
      <c r="BD23" s="1">
        <v>0.44031591467422571</v>
      </c>
      <c r="BE23" s="1">
        <v>0.34941624784323622</v>
      </c>
      <c r="BF23" s="1">
        <v>0.50848382322495689</v>
      </c>
      <c r="BG23" s="1">
        <v>0.44668677917357719</v>
      </c>
      <c r="BH23" s="1">
        <v>0.10891239840135358</v>
      </c>
      <c r="BI23" s="1">
        <v>0.17677928392550132</v>
      </c>
      <c r="BJ23" s="1">
        <v>0.29134484907914915</v>
      </c>
      <c r="BK23" s="1">
        <v>0.52937802367096154</v>
      </c>
      <c r="BL23" s="1">
        <v>0.59668587366867032</v>
      </c>
      <c r="BM23" s="1">
        <v>0.52194610917775386</v>
      </c>
      <c r="BN23" s="1">
        <v>0.45285340355543341</v>
      </c>
      <c r="BO23" s="1">
        <v>0.49019407768055123</v>
      </c>
      <c r="BP23" s="1">
        <v>0.52102743848503319</v>
      </c>
      <c r="BQ23" s="1">
        <v>0.39344547886328768</v>
      </c>
      <c r="BR23" s="1">
        <v>0.47887254276032565</v>
      </c>
      <c r="BS23" s="1">
        <v>0.53385769326907939</v>
      </c>
      <c r="BT23" s="1">
        <v>0.52365240687427184</v>
      </c>
      <c r="BU23" s="1">
        <v>0.64313083267486215</v>
      </c>
      <c r="BV23" s="1">
        <v>0.22455949806022302</v>
      </c>
      <c r="BW23" s="1">
        <v>0.26366768202021379</v>
      </c>
      <c r="BX23" s="1">
        <v>0.27400329710881183</v>
      </c>
      <c r="BY23" s="1">
        <v>0.36899727831506868</v>
      </c>
      <c r="BZ23" s="1">
        <v>0.34374605378775619</v>
      </c>
      <c r="CA23" s="1">
        <v>0.59099066116154253</v>
      </c>
      <c r="CB23" s="1">
        <v>0.51687451191766931</v>
      </c>
      <c r="CC23" s="1">
        <v>0.28730312886328219</v>
      </c>
      <c r="CD23" s="1">
        <v>0.3607533112055567</v>
      </c>
      <c r="CE23" s="1">
        <v>0.39630036218121395</v>
      </c>
      <c r="CF23" s="1">
        <v>0.48173922740270947</v>
      </c>
      <c r="CG23" s="1">
        <v>0.58679088914621302</v>
      </c>
      <c r="CH23" s="1">
        <v>0.454102475231006</v>
      </c>
      <c r="CI23" s="1">
        <v>0.68445407341144482</v>
      </c>
      <c r="CJ23" s="1">
        <v>0.44497831956393413</v>
      </c>
      <c r="CK23" s="1">
        <v>0.18387989883349859</v>
      </c>
      <c r="CL23" s="1">
        <v>0.58974369542593319</v>
      </c>
      <c r="CM23" s="1">
        <v>0.12899011101496966</v>
      </c>
      <c r="CN23" s="1">
        <v>0.35455836183020889</v>
      </c>
      <c r="CO23" s="1">
        <v>0.35237464463059259</v>
      </c>
      <c r="CP23" s="1">
        <v>0.27728862886796862</v>
      </c>
      <c r="CQ23" s="1">
        <v>4.0134883152241861E-2</v>
      </c>
      <c r="CR23" s="1">
        <v>0.16428904373512349</v>
      </c>
      <c r="CS23" s="1">
        <v>0.27153955729905249</v>
      </c>
      <c r="CT23" s="1">
        <v>0.5133155203072951</v>
      </c>
      <c r="CU23" s="1">
        <v>0.29478667340364251</v>
      </c>
      <c r="CV23" s="1">
        <v>0.44582096260033321</v>
      </c>
      <c r="CW23" s="1">
        <v>0.40570887295632613</v>
      </c>
      <c r="CX23" s="1">
        <v>0.38480769647465729</v>
      </c>
      <c r="CY23" s="1">
        <v>0.33906546351369177</v>
      </c>
      <c r="CZ23" s="1">
        <v>0.30556460078916581</v>
      </c>
      <c r="DA23" s="1">
        <v>0.18579792707815188</v>
      </c>
      <c r="DB23" s="1">
        <v>0.17350495475276864</v>
      </c>
      <c r="DC23" s="1">
        <v>0.32440410289838073</v>
      </c>
      <c r="DD23" s="1">
        <v>4.8336765771805235E-2</v>
      </c>
      <c r="DE23" s="1">
        <v>0.48104968929077707</v>
      </c>
      <c r="DF23" s="1">
        <v>0.31580574290565228</v>
      </c>
      <c r="DG23" s="1">
        <v>-4.0814159831553946E-2</v>
      </c>
      <c r="DH23" s="1">
        <v>0.31989453330353551</v>
      </c>
      <c r="DI23" s="1">
        <v>0.37842364628199826</v>
      </c>
      <c r="DJ23" s="1">
        <v>0.41978902373191468</v>
      </c>
      <c r="DK23" s="1">
        <v>0.36714144994874365</v>
      </c>
      <c r="DL23" s="1">
        <v>0.35696710755136951</v>
      </c>
      <c r="DM23" s="1">
        <v>0.3698406490628649</v>
      </c>
      <c r="DN23" s="1">
        <v>0.28142234780940056</v>
      </c>
      <c r="DO23" s="1">
        <v>0.32284949945206193</v>
      </c>
      <c r="DP23" s="1">
        <v>0.41205041892219846</v>
      </c>
      <c r="DQ23" s="1">
        <v>0.38680907084314858</v>
      </c>
      <c r="DR23" s="1">
        <v>0.3970676815372205</v>
      </c>
      <c r="DS23" s="1">
        <v>0.32435783422968345</v>
      </c>
      <c r="DT23" s="1">
        <v>0.32262299584193793</v>
      </c>
      <c r="DU23" s="1">
        <v>0.44576995648545903</v>
      </c>
      <c r="DV23" s="1">
        <v>0.41045836392689472</v>
      </c>
      <c r="DW23" s="1">
        <v>0.29627279187873651</v>
      </c>
      <c r="DX23" s="1">
        <v>0.30993538534947468</v>
      </c>
      <c r="DY23" s="1">
        <v>0.34516888121307632</v>
      </c>
    </row>
    <row r="24" spans="1:129" ht="15">
      <c r="A24" s="7" t="s">
        <v>35</v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 t="str">
        <v/>
      </c>
      <c r="S24" s="1" t="str">
        <v/>
      </c>
      <c r="T24" s="1" t="str">
        <v/>
      </c>
      <c r="U24" s="1" t="str">
        <v/>
      </c>
      <c r="V24" s="1">
        <v>1</v>
      </c>
      <c r="W24" s="1">
        <v>0.50559942993090756</v>
      </c>
      <c r="X24" s="1">
        <v>0.64261352033245456</v>
      </c>
      <c r="Y24" s="1">
        <v>0.51999156918256095</v>
      </c>
      <c r="Z24" s="1">
        <v>0.50437577291638291</v>
      </c>
      <c r="AA24" s="1">
        <v>0.62646351514961685</v>
      </c>
      <c r="AB24" s="1">
        <v>0.11003022429232978</v>
      </c>
      <c r="AC24" s="1">
        <v>0.51777832291187209</v>
      </c>
      <c r="AD24" s="1">
        <v>0.44997981877471011</v>
      </c>
      <c r="AE24" s="1">
        <v>0.5127912232183629</v>
      </c>
      <c r="AF24" s="1">
        <v>0.502502408135308</v>
      </c>
      <c r="AG24" s="1">
        <v>0.54538117057981628</v>
      </c>
      <c r="AH24" s="1">
        <v>0.35055040407166571</v>
      </c>
      <c r="AI24" s="1">
        <v>0.60072177938076321</v>
      </c>
      <c r="AJ24" s="1">
        <v>0.112499153020619</v>
      </c>
      <c r="AK24" s="1">
        <v>0.14281432433066396</v>
      </c>
      <c r="AL24" s="1">
        <v>0.33502328728140213</v>
      </c>
      <c r="AM24" s="1">
        <v>0.38359448404213758</v>
      </c>
      <c r="AN24" s="1">
        <v>0.31873010569839638</v>
      </c>
      <c r="AO24" s="1">
        <v>0.51667525641910506</v>
      </c>
      <c r="AP24" s="1">
        <v>0.48465416761807883</v>
      </c>
      <c r="AQ24" s="1">
        <v>0.18220394731032913</v>
      </c>
      <c r="AR24" s="1">
        <v>0.43636013861539974</v>
      </c>
      <c r="AS24" s="1">
        <v>0.47148199948812652</v>
      </c>
      <c r="AT24" s="1">
        <v>0.47935257491032068</v>
      </c>
      <c r="AU24" s="1">
        <v>0.49065256922604034</v>
      </c>
      <c r="AV24" s="1">
        <v>0.48659274938249653</v>
      </c>
      <c r="AW24" s="1">
        <v>0.48226130715450133</v>
      </c>
      <c r="AX24" s="1">
        <v>0.31862163302035179</v>
      </c>
      <c r="AY24" s="1">
        <v>0.34773084318765873</v>
      </c>
      <c r="AZ24" s="1">
        <v>0.39626098362706219</v>
      </c>
      <c r="BA24" s="1">
        <v>0.43429465022510694</v>
      </c>
      <c r="BB24" s="1">
        <v>0.52100884562397831</v>
      </c>
      <c r="BC24" s="1">
        <v>0.5905483576420838</v>
      </c>
      <c r="BD24" s="1">
        <v>0.55340203214232042</v>
      </c>
      <c r="BE24" s="1">
        <v>0.38614309302196376</v>
      </c>
      <c r="BF24" s="1">
        <v>0.59937551599428618</v>
      </c>
      <c r="BG24" s="1">
        <v>0.48238945025350927</v>
      </c>
      <c r="BH24" s="1">
        <v>0.34949304722132513</v>
      </c>
      <c r="BI24" s="1">
        <v>0.30210286479337645</v>
      </c>
      <c r="BJ24" s="1">
        <v>0.38726673550470475</v>
      </c>
      <c r="BK24" s="1">
        <v>0.54114503202514908</v>
      </c>
      <c r="BL24" s="1">
        <v>0.6474540992701262</v>
      </c>
      <c r="BM24" s="1">
        <v>0.57365263836322411</v>
      </c>
      <c r="BN24" s="1">
        <v>0.49349363363889248</v>
      </c>
      <c r="BO24" s="1">
        <v>0.50962376113207208</v>
      </c>
      <c r="BP24" s="1">
        <v>0.58880124206553719</v>
      </c>
      <c r="BQ24" s="1">
        <v>0.51217419652632468</v>
      </c>
      <c r="BR24" s="1">
        <v>0.40018026791788236</v>
      </c>
      <c r="BS24" s="1">
        <v>0.685944944297462</v>
      </c>
      <c r="BT24" s="1">
        <v>0.55823038154353466</v>
      </c>
      <c r="BU24" s="1">
        <v>0.62545843891286867</v>
      </c>
      <c r="BV24" s="1">
        <v>0.19031892288421767</v>
      </c>
      <c r="BW24" s="1">
        <v>0.35020105351257658</v>
      </c>
      <c r="BX24" s="1">
        <v>0.32152305476185056</v>
      </c>
      <c r="BY24" s="1">
        <v>0.37860974147393639</v>
      </c>
      <c r="BZ24" s="1">
        <v>0.28508078798816167</v>
      </c>
      <c r="CA24" s="1">
        <v>0.60162610549266782</v>
      </c>
      <c r="CB24" s="1">
        <v>0.47746714137641472</v>
      </c>
      <c r="CC24" s="1">
        <v>0.38828288542564415</v>
      </c>
      <c r="CD24" s="1">
        <v>0.36509335273343924</v>
      </c>
      <c r="CE24" s="1">
        <v>0.60059905129485491</v>
      </c>
      <c r="CF24" s="1">
        <v>0.59450535961222173</v>
      </c>
      <c r="CG24" s="1">
        <v>0.71606458900944614</v>
      </c>
      <c r="CH24" s="1">
        <v>0.60999381651645601</v>
      </c>
      <c r="CI24" s="1">
        <v>0.73082741407505425</v>
      </c>
      <c r="CJ24" s="1">
        <v>0.44219770308432726</v>
      </c>
      <c r="CK24" s="1">
        <v>0.25345190627566394</v>
      </c>
      <c r="CL24" s="1">
        <v>0.62671711370644101</v>
      </c>
      <c r="CM24" s="1">
        <v>2.5563888010013348E-2</v>
      </c>
      <c r="CN24" s="1">
        <v>0.2737326572032584</v>
      </c>
      <c r="CO24" s="1">
        <v>0.22641690525934208</v>
      </c>
      <c r="CP24" s="1">
        <v>0.18734746826317353</v>
      </c>
      <c r="CQ24" s="1">
        <v>-6.010718173920658E-2</v>
      </c>
      <c r="CR24" s="1">
        <v>0.26163183615938113</v>
      </c>
      <c r="CS24" s="1">
        <v>0.30919679986012494</v>
      </c>
      <c r="CT24" s="1">
        <v>0.60740346081395302</v>
      </c>
      <c r="CU24" s="1">
        <v>0.43994228794882567</v>
      </c>
      <c r="CV24" s="1">
        <v>0.40984219121979459</v>
      </c>
      <c r="CW24" s="1">
        <v>0.44608133529983018</v>
      </c>
      <c r="CX24" s="1">
        <v>0.31467028869445135</v>
      </c>
      <c r="CY24" s="1">
        <v>0.33109316722890564</v>
      </c>
      <c r="CZ24" s="1">
        <v>0.33503177908022325</v>
      </c>
      <c r="DA24" s="1">
        <v>0.15940468523748319</v>
      </c>
      <c r="DB24" s="1">
        <v>0.20279571554122566</v>
      </c>
      <c r="DC24" s="1">
        <v>0.3073577553009188</v>
      </c>
      <c r="DD24" s="1">
        <v>6.4979256402138239E-2</v>
      </c>
      <c r="DE24" s="1">
        <v>0.42987036368530113</v>
      </c>
      <c r="DF24" s="1">
        <v>0.2568786167603726</v>
      </c>
      <c r="DG24" s="1">
        <v>0.18877686088143161</v>
      </c>
      <c r="DH24" s="1">
        <v>0.47281379939321028</v>
      </c>
      <c r="DI24" s="1">
        <v>0.5250466434447385</v>
      </c>
      <c r="DJ24" s="1">
        <v>0.55581076511129468</v>
      </c>
      <c r="DK24" s="1">
        <v>0.45978578509332807</v>
      </c>
      <c r="DL24" s="1">
        <v>0.48493145044334268</v>
      </c>
      <c r="DM24" s="1">
        <v>0.5208757237533741</v>
      </c>
      <c r="DN24" s="1">
        <v>0.5377194553379756</v>
      </c>
      <c r="DO24" s="1">
        <v>0.42647203463147715</v>
      </c>
      <c r="DP24" s="1">
        <v>0.5071845636405613</v>
      </c>
      <c r="DQ24" s="1">
        <v>0.52000829076356647</v>
      </c>
      <c r="DR24" s="1">
        <v>0.54447691418588318</v>
      </c>
      <c r="DS24" s="1">
        <v>0.37273123275029696</v>
      </c>
      <c r="DT24" s="1">
        <v>0.49571915995828253</v>
      </c>
      <c r="DU24" s="1">
        <v>0.51347956155704455</v>
      </c>
      <c r="DV24" s="1">
        <v>0.49194382639723949</v>
      </c>
      <c r="DW24" s="1">
        <v>0.20039057063246313</v>
      </c>
      <c r="DX24" s="1">
        <v>0.56511806136570297</v>
      </c>
      <c r="DY24" s="1">
        <v>0.5228386626986854</v>
      </c>
    </row>
    <row r="25" spans="1:129" ht="15">
      <c r="A25" s="7" t="s">
        <v>36</v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 t="str">
        <v/>
      </c>
      <c r="S25" s="1" t="str">
        <v/>
      </c>
      <c r="T25" s="1" t="str">
        <v/>
      </c>
      <c r="U25" s="1" t="str">
        <v/>
      </c>
      <c r="V25" s="1" t="str">
        <v/>
      </c>
      <c r="W25" s="1">
        <v>1.0000000000000002</v>
      </c>
      <c r="X25" s="1">
        <v>0.36890880929790587</v>
      </c>
      <c r="Y25" s="1">
        <v>0.32768991202609271</v>
      </c>
      <c r="Z25" s="1">
        <v>0.53724942766120587</v>
      </c>
      <c r="AA25" s="1">
        <v>0.44828630126334312</v>
      </c>
      <c r="AB25" s="1">
        <v>9.8795857163794951E-2</v>
      </c>
      <c r="AC25" s="1">
        <v>0.41915930615649644</v>
      </c>
      <c r="AD25" s="1">
        <v>0.54164603266412892</v>
      </c>
      <c r="AE25" s="1">
        <v>0.42578254238932722</v>
      </c>
      <c r="AF25" s="1">
        <v>0.35741693079271442</v>
      </c>
      <c r="AG25" s="1">
        <v>0.5112625138386081</v>
      </c>
      <c r="AH25" s="1">
        <v>0.35066357946499432</v>
      </c>
      <c r="AI25" s="1">
        <v>0.42596202425179946</v>
      </c>
      <c r="AJ25" s="1">
        <v>0.17289835043016896</v>
      </c>
      <c r="AK25" s="1">
        <v>0.31676891738121332</v>
      </c>
      <c r="AL25" s="1">
        <v>0.35075076791635279</v>
      </c>
      <c r="AM25" s="1">
        <v>0.40809120340187671</v>
      </c>
      <c r="AN25" s="1">
        <v>0.14755913323595565</v>
      </c>
      <c r="AO25" s="1">
        <v>0.32108013428283161</v>
      </c>
      <c r="AP25" s="1">
        <v>0.32772108254353921</v>
      </c>
      <c r="AQ25" s="1">
        <v>0.28571229729251851</v>
      </c>
      <c r="AR25" s="1">
        <v>0.4185498601287464</v>
      </c>
      <c r="AS25" s="1">
        <v>0.30485924950499255</v>
      </c>
      <c r="AT25" s="1">
        <v>0.40782935319744157</v>
      </c>
      <c r="AU25" s="1">
        <v>0.34708107787089565</v>
      </c>
      <c r="AV25" s="1">
        <v>0.40698871960169941</v>
      </c>
      <c r="AW25" s="1">
        <v>0.42663950680866475</v>
      </c>
      <c r="AX25" s="1">
        <v>0.38036025609899332</v>
      </c>
      <c r="AY25" s="1">
        <v>0.47174939560318863</v>
      </c>
      <c r="AZ25" s="1">
        <v>0.3914691781412134</v>
      </c>
      <c r="BA25" s="1">
        <v>0.50088669629636073</v>
      </c>
      <c r="BB25" s="1">
        <v>0.36276063311784923</v>
      </c>
      <c r="BC25" s="1">
        <v>0.37138855611922039</v>
      </c>
      <c r="BD25" s="1">
        <v>0.36000866851077323</v>
      </c>
      <c r="BE25" s="1">
        <v>0.19496832644244094</v>
      </c>
      <c r="BF25" s="1">
        <v>0.41184850199014383</v>
      </c>
      <c r="BG25" s="1">
        <v>0.51868383862453027</v>
      </c>
      <c r="BH25" s="1">
        <v>0.4222046878371542</v>
      </c>
      <c r="BI25" s="1">
        <v>0.34820875245311261</v>
      </c>
      <c r="BJ25" s="1">
        <v>0.24596842299228705</v>
      </c>
      <c r="BK25" s="1">
        <v>0.3935655012606688</v>
      </c>
      <c r="BL25" s="1">
        <v>0.32425179266969673</v>
      </c>
      <c r="BM25" s="1">
        <v>0.3121689757290852</v>
      </c>
      <c r="BN25" s="1">
        <v>0.20350027209149293</v>
      </c>
      <c r="BO25" s="1">
        <v>0.40332104197412644</v>
      </c>
      <c r="BP25" s="1">
        <v>0.41309333033376983</v>
      </c>
      <c r="BQ25" s="1">
        <v>0.32446441238825274</v>
      </c>
      <c r="BR25" s="1">
        <v>0.37740690150418166</v>
      </c>
      <c r="BS25" s="1">
        <v>0.28989065993306651</v>
      </c>
      <c r="BT25" s="1">
        <v>0.25027248525256707</v>
      </c>
      <c r="BU25" s="1">
        <v>0.4255983127450616</v>
      </c>
      <c r="BV25" s="1">
        <v>0.17608850601915266</v>
      </c>
      <c r="BW25" s="1">
        <v>0.1952433868975457</v>
      </c>
      <c r="BX25" s="1">
        <v>0.37380480441557484</v>
      </c>
      <c r="BY25" s="1">
        <v>8.9829772948104777E-2</v>
      </c>
      <c r="BZ25" s="1">
        <v>0.21319839953125039</v>
      </c>
      <c r="CA25" s="1">
        <v>0.29417201040048357</v>
      </c>
      <c r="CB25" s="1">
        <v>0.37387130824128084</v>
      </c>
      <c r="CC25" s="1">
        <v>0.46383773257806438</v>
      </c>
      <c r="CD25" s="1">
        <v>0.28727130316166233</v>
      </c>
      <c r="CE25" s="1">
        <v>0.33180473636718288</v>
      </c>
      <c r="CF25" s="1">
        <v>0.42260654619468541</v>
      </c>
      <c r="CG25" s="1">
        <v>0.39562313658135301</v>
      </c>
      <c r="CH25" s="1">
        <v>0.39452396704306986</v>
      </c>
      <c r="CI25" s="1">
        <v>0.61007629453818379</v>
      </c>
      <c r="CJ25" s="1">
        <v>0.42399900203218471</v>
      </c>
      <c r="CK25" s="1">
        <v>0.30246364510313889</v>
      </c>
      <c r="CL25" s="1">
        <v>0.33754621556491843</v>
      </c>
      <c r="CM25" s="1">
        <v>-7.9479767180278452E-2</v>
      </c>
      <c r="CN25" s="1">
        <v>0.30360087939355984</v>
      </c>
      <c r="CO25" s="1">
        <v>0.30185260355969629</v>
      </c>
      <c r="CP25" s="1">
        <v>0.17817820477760035</v>
      </c>
      <c r="CQ25" s="1">
        <v>0.27157084470229587</v>
      </c>
      <c r="CR25" s="1">
        <v>0.26688983365688512</v>
      </c>
      <c r="CS25" s="1">
        <v>0.1741412397290166</v>
      </c>
      <c r="CT25" s="1">
        <v>0.23108242333491</v>
      </c>
      <c r="CU25" s="1">
        <v>0.32181418199216311</v>
      </c>
      <c r="CV25" s="1">
        <v>0.30165516508638057</v>
      </c>
      <c r="CW25" s="1">
        <v>0.30528611459637756</v>
      </c>
      <c r="CX25" s="1">
        <v>0.39211114415521836</v>
      </c>
      <c r="CY25" s="1">
        <v>0.26089121734437293</v>
      </c>
      <c r="CZ25" s="1">
        <v>0.50599017050453088</v>
      </c>
      <c r="DA25" s="1">
        <v>0.25090436587402387</v>
      </c>
      <c r="DB25" s="1">
        <v>8.6357635009246786E-2</v>
      </c>
      <c r="DC25" s="1">
        <v>8.6625399863987054E-2</v>
      </c>
      <c r="DD25" s="1">
        <v>-0.10444673631792313</v>
      </c>
      <c r="DE25" s="1">
        <v>0.45004560008890332</v>
      </c>
      <c r="DF25" s="1">
        <v>0.26841053967272011</v>
      </c>
      <c r="DG25" s="1">
        <v>0.38633778905920152</v>
      </c>
      <c r="DH25" s="1">
        <v>0.29845537523890142</v>
      </c>
      <c r="DI25" s="1">
        <v>0.39574786238588922</v>
      </c>
      <c r="DJ25" s="1">
        <v>0.35982266686825354</v>
      </c>
      <c r="DK25" s="1">
        <v>0.24684664785719843</v>
      </c>
      <c r="DL25" s="1">
        <v>0.24675381153332393</v>
      </c>
      <c r="DM25" s="1">
        <v>0.30583071884440832</v>
      </c>
      <c r="DN25" s="1">
        <v>0.33531621315478094</v>
      </c>
      <c r="DO25" s="1">
        <v>0.18036989700818207</v>
      </c>
      <c r="DP25" s="1">
        <v>0.33297571646654722</v>
      </c>
      <c r="DQ25" s="1">
        <v>0.33657812125184527</v>
      </c>
      <c r="DR25" s="1">
        <v>0.37003486717019746</v>
      </c>
      <c r="DS25" s="1">
        <v>0.40188613528028844</v>
      </c>
      <c r="DT25" s="1">
        <v>0.31995594444724257</v>
      </c>
      <c r="DU25" s="1">
        <v>0.28460839004716659</v>
      </c>
      <c r="DV25" s="1">
        <v>0.31322974537938514</v>
      </c>
      <c r="DW25" s="1">
        <v>0.35918045456344916</v>
      </c>
      <c r="DX25" s="1">
        <v>0.5181278620662032</v>
      </c>
      <c r="DY25" s="1">
        <v>0.3217527431795465</v>
      </c>
    </row>
    <row r="26" spans="1:129" ht="15">
      <c r="A26" s="7" t="s">
        <v>37</v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 t="str">
        <v/>
      </c>
      <c r="S26" s="1" t="str">
        <v/>
      </c>
      <c r="T26" s="1" t="str">
        <v/>
      </c>
      <c r="U26" s="1" t="str">
        <v/>
      </c>
      <c r="V26" s="1" t="str">
        <v/>
      </c>
      <c r="W26" s="1" t="str">
        <v/>
      </c>
      <c r="X26" s="1">
        <v>1</v>
      </c>
      <c r="Y26" s="1">
        <v>0.32788498418228518</v>
      </c>
      <c r="Z26" s="1">
        <v>0.36400726068296141</v>
      </c>
      <c r="AA26" s="1">
        <v>0.55214019552713722</v>
      </c>
      <c r="AB26" s="1">
        <v>0.23006982336959111</v>
      </c>
      <c r="AC26" s="1">
        <v>0.2741214120227935</v>
      </c>
      <c r="AD26" s="1">
        <v>0.39550923612683347</v>
      </c>
      <c r="AE26" s="1">
        <v>0.44521424003460908</v>
      </c>
      <c r="AF26" s="1">
        <v>0.23729320440754673</v>
      </c>
      <c r="AG26" s="1">
        <v>0.42084594372409173</v>
      </c>
      <c r="AH26" s="1">
        <v>0.21003327611645015</v>
      </c>
      <c r="AI26" s="1">
        <v>0.43599783235283923</v>
      </c>
      <c r="AJ26" s="1">
        <v>0.16111489102233598</v>
      </c>
      <c r="AK26" s="1">
        <v>-1.746379738405783E-2</v>
      </c>
      <c r="AL26" s="1">
        <v>0.1638424655517228</v>
      </c>
      <c r="AM26" s="1">
        <v>0.433495714113871</v>
      </c>
      <c r="AN26" s="1">
        <v>4.5752293783750141E-2</v>
      </c>
      <c r="AO26" s="1">
        <v>0.27636070601361373</v>
      </c>
      <c r="AP26" s="1">
        <v>0.28917281775872544</v>
      </c>
      <c r="AQ26" s="1">
        <v>0.38636247347332836</v>
      </c>
      <c r="AR26" s="1">
        <v>0.2357235241556167</v>
      </c>
      <c r="AS26" s="1">
        <v>0.28134633170517354</v>
      </c>
      <c r="AT26" s="1">
        <v>0.23894763901831695</v>
      </c>
      <c r="AU26" s="1">
        <v>0.31657623635032128</v>
      </c>
      <c r="AV26" s="1">
        <v>0.23807944877857573</v>
      </c>
      <c r="AW26" s="1">
        <v>0.29716654945592375</v>
      </c>
      <c r="AX26" s="1">
        <v>0.26702227105059861</v>
      </c>
      <c r="AY26" s="1">
        <v>0.37584104284783465</v>
      </c>
      <c r="AZ26" s="1">
        <v>0.33112488884952174</v>
      </c>
      <c r="BA26" s="1">
        <v>0.30559853005097892</v>
      </c>
      <c r="BB26" s="1">
        <v>0.42392514459289776</v>
      </c>
      <c r="BC26" s="1">
        <v>0.35664951014465418</v>
      </c>
      <c r="BD26" s="1">
        <v>0.45456864166901961</v>
      </c>
      <c r="BE26" s="1">
        <v>5.9594124453318457E-2</v>
      </c>
      <c r="BF26" s="1">
        <v>0.31056057890430144</v>
      </c>
      <c r="BG26" s="1">
        <v>0.35194447830462283</v>
      </c>
      <c r="BH26" s="1">
        <v>0.27087889797343279</v>
      </c>
      <c r="BI26" s="1">
        <v>0.27078592003195867</v>
      </c>
      <c r="BJ26" s="1">
        <v>0.18033174409879338</v>
      </c>
      <c r="BK26" s="1">
        <v>0.50094330407184684</v>
      </c>
      <c r="BL26" s="1">
        <v>0.52282415526134796</v>
      </c>
      <c r="BM26" s="1">
        <v>0.43315823006703458</v>
      </c>
      <c r="BN26" s="1">
        <v>0.36659151117155631</v>
      </c>
      <c r="BO26" s="1">
        <v>0.48418202817820272</v>
      </c>
      <c r="BP26" s="1">
        <v>0.34145905980521291</v>
      </c>
      <c r="BQ26" s="1">
        <v>0.42278433493421713</v>
      </c>
      <c r="BR26" s="1">
        <v>0.24655637376492479</v>
      </c>
      <c r="BS26" s="1">
        <v>0.39955346050210822</v>
      </c>
      <c r="BT26" s="1">
        <v>0.32892367157902591</v>
      </c>
      <c r="BU26" s="1">
        <v>0.61706036927973684</v>
      </c>
      <c r="BV26" s="1">
        <v>0.30504442853750247</v>
      </c>
      <c r="BW26" s="1">
        <v>0.32585507740408542</v>
      </c>
      <c r="BX26" s="1">
        <v>0.27769375367913851</v>
      </c>
      <c r="BY26" s="1">
        <v>0.50675572671927349</v>
      </c>
      <c r="BZ26" s="1">
        <v>0.35786699564550778</v>
      </c>
      <c r="CA26" s="1">
        <v>0.53474604516335011</v>
      </c>
      <c r="CB26" s="1">
        <v>0.53212971765095984</v>
      </c>
      <c r="CC26" s="1">
        <v>0.32842551584162855</v>
      </c>
      <c r="CD26" s="1">
        <v>0.32434729256613631</v>
      </c>
      <c r="CE26" s="1">
        <v>0.3256849082103247</v>
      </c>
      <c r="CF26" s="1">
        <v>0.38570985210245762</v>
      </c>
      <c r="CG26" s="1">
        <v>0.66941251190769135</v>
      </c>
      <c r="CH26" s="1">
        <v>0.548804149507927</v>
      </c>
      <c r="CI26" s="1">
        <v>0.53481158356172265</v>
      </c>
      <c r="CJ26" s="1">
        <v>0.33987577956321663</v>
      </c>
      <c r="CK26" s="1">
        <v>8.474277153150353E-2</v>
      </c>
      <c r="CL26" s="1">
        <v>0.4624859518494156</v>
      </c>
      <c r="CM26" s="1">
        <v>0.1165739842575806</v>
      </c>
      <c r="CN26" s="1">
        <v>0.31506336518746741</v>
      </c>
      <c r="CO26" s="1">
        <v>0.43562178584883554</v>
      </c>
      <c r="CP26" s="1">
        <v>0.36342551642583815</v>
      </c>
      <c r="CQ26" s="1">
        <v>0.13715967940738402</v>
      </c>
      <c r="CR26" s="1">
        <v>0.3141268017336028</v>
      </c>
      <c r="CS26" s="1">
        <v>6.2442106583191215E-2</v>
      </c>
      <c r="CT26" s="1">
        <v>0.43706452922615296</v>
      </c>
      <c r="CU26" s="1">
        <v>0.19003812392816818</v>
      </c>
      <c r="CV26" s="1">
        <v>0.30471225752589609</v>
      </c>
      <c r="CW26" s="1">
        <v>0.37701314725794949</v>
      </c>
      <c r="CX26" s="1">
        <v>0.12500157753435917</v>
      </c>
      <c r="CY26" s="1">
        <v>0.2419170638846847</v>
      </c>
      <c r="CZ26" s="1">
        <v>0.2454468517092106</v>
      </c>
      <c r="DA26" s="1">
        <v>0.13004098720666771</v>
      </c>
      <c r="DB26" s="1">
        <v>9.3117119883950036E-2</v>
      </c>
      <c r="DC26" s="1">
        <v>2.3076901495041702E-2</v>
      </c>
      <c r="DD26" s="1">
        <v>0.21826361168520342</v>
      </c>
      <c r="DE26" s="1">
        <v>0.26962418888828121</v>
      </c>
      <c r="DF26" s="1">
        <v>5.2341670519797705E-2</v>
      </c>
      <c r="DG26" s="1">
        <v>0.24170821161763811</v>
      </c>
      <c r="DH26" s="1">
        <v>0.36952170228521064</v>
      </c>
      <c r="DI26" s="1">
        <v>0.25592387140991846</v>
      </c>
      <c r="DJ26" s="1">
        <v>0.26269962049967571</v>
      </c>
      <c r="DK26" s="1">
        <v>0.16419436992143877</v>
      </c>
      <c r="DL26" s="1">
        <v>0.29529187184975714</v>
      </c>
      <c r="DM26" s="1">
        <v>0.27889100624042318</v>
      </c>
      <c r="DN26" s="1">
        <v>0.37806701803625392</v>
      </c>
      <c r="DO26" s="1">
        <v>0.20528348092481616</v>
      </c>
      <c r="DP26" s="1">
        <v>0.27063507604158654</v>
      </c>
      <c r="DQ26" s="1">
        <v>0.34265532361462381</v>
      </c>
      <c r="DR26" s="1">
        <v>0.31931716915059211</v>
      </c>
      <c r="DS26" s="1">
        <v>0.2080452094289468</v>
      </c>
      <c r="DT26" s="1">
        <v>0.34240325770860952</v>
      </c>
      <c r="DU26" s="1">
        <v>0.31599334720909478</v>
      </c>
      <c r="DV26" s="1">
        <v>0.4041315192797319</v>
      </c>
      <c r="DW26" s="1">
        <v>0.25060756550208935</v>
      </c>
      <c r="DX26" s="1">
        <v>0.24116304344939052</v>
      </c>
      <c r="DY26" s="1">
        <v>0.3192055585368575</v>
      </c>
    </row>
    <row r="27" spans="1:129" ht="15">
      <c r="A27" s="7" t="s">
        <v>38</v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 t="str">
        <v/>
      </c>
      <c r="S27" s="1" t="str">
        <v/>
      </c>
      <c r="T27" s="1" t="str">
        <v/>
      </c>
      <c r="U27" s="1" t="str">
        <v/>
      </c>
      <c r="V27" s="1" t="str">
        <v/>
      </c>
      <c r="W27" s="1" t="str">
        <v/>
      </c>
      <c r="X27" s="1" t="str">
        <v/>
      </c>
      <c r="Y27" s="1">
        <v>0.99999999999999989</v>
      </c>
      <c r="Z27" s="1">
        <v>0.42504897632427779</v>
      </c>
      <c r="AA27" s="1">
        <v>0.39577711206358501</v>
      </c>
      <c r="AB27" s="1">
        <v>0.12594188616141819</v>
      </c>
      <c r="AC27" s="1">
        <v>0.38052736007720206</v>
      </c>
      <c r="AD27" s="1">
        <v>0.4806445554234291</v>
      </c>
      <c r="AE27" s="1">
        <v>0.40701478517544709</v>
      </c>
      <c r="AF27" s="1">
        <v>0.39487150815623379</v>
      </c>
      <c r="AG27" s="1">
        <v>0.49960750622646533</v>
      </c>
      <c r="AH27" s="1">
        <v>0.44725363634316195</v>
      </c>
      <c r="AI27" s="1">
        <v>0.43033120904841599</v>
      </c>
      <c r="AJ27" s="1">
        <v>0.34034685748694027</v>
      </c>
      <c r="AK27" s="1">
        <v>0.37163545591328867</v>
      </c>
      <c r="AL27" s="1">
        <v>0.42657069165471961</v>
      </c>
      <c r="AM27" s="1">
        <v>0.41016459248794285</v>
      </c>
      <c r="AN27" s="1">
        <v>0.4259748466203912</v>
      </c>
      <c r="AO27" s="1">
        <v>0.53183443942850728</v>
      </c>
      <c r="AP27" s="1">
        <v>0.56256270517202334</v>
      </c>
      <c r="AQ27" s="1">
        <v>0.35402039686073922</v>
      </c>
      <c r="AR27" s="1">
        <v>0.32758224848961842</v>
      </c>
      <c r="AS27" s="1">
        <v>0.46070983042486424</v>
      </c>
      <c r="AT27" s="1">
        <v>0.56347488189764949</v>
      </c>
      <c r="AU27" s="1">
        <v>0.51430479197414924</v>
      </c>
      <c r="AV27" s="1">
        <v>0.53142219194679452</v>
      </c>
      <c r="AW27" s="1">
        <v>0.39479172884792357</v>
      </c>
      <c r="AX27" s="1">
        <v>0.37336450145540823</v>
      </c>
      <c r="AY27" s="1">
        <v>0.45607693454102899</v>
      </c>
      <c r="AZ27" s="1">
        <v>0.3440778824553084</v>
      </c>
      <c r="BA27" s="1">
        <v>0.34268359337880794</v>
      </c>
      <c r="BB27" s="1">
        <v>0.41457749911329761</v>
      </c>
      <c r="BC27" s="1">
        <v>0.45492791196624266</v>
      </c>
      <c r="BD27" s="1">
        <v>0.5028004492700352</v>
      </c>
      <c r="BE27" s="1">
        <v>0.28859724008195486</v>
      </c>
      <c r="BF27" s="1">
        <v>0.58323976307150982</v>
      </c>
      <c r="BG27" s="1">
        <v>0.46848867689782925</v>
      </c>
      <c r="BH27" s="1">
        <v>0.36390581401224298</v>
      </c>
      <c r="BI27" s="1">
        <v>0.23423737126592964</v>
      </c>
      <c r="BJ27" s="1">
        <v>0.35913528973473879</v>
      </c>
      <c r="BK27" s="1">
        <v>0.30612085314245746</v>
      </c>
      <c r="BL27" s="1">
        <v>0.37765418509613702</v>
      </c>
      <c r="BM27" s="1">
        <v>0.31901516813302211</v>
      </c>
      <c r="BN27" s="1">
        <v>0.52346857725433538</v>
      </c>
      <c r="BO27" s="1">
        <v>0.4318763242513215</v>
      </c>
      <c r="BP27" s="1">
        <v>0.51325480484591157</v>
      </c>
      <c r="BQ27" s="1">
        <v>0.19670556572084852</v>
      </c>
      <c r="BR27" s="1">
        <v>0.25737197613918966</v>
      </c>
      <c r="BS27" s="1">
        <v>0.48376172552092639</v>
      </c>
      <c r="BT27" s="1">
        <v>0.34642558031618226</v>
      </c>
      <c r="BU27" s="1">
        <v>0.41456873594613497</v>
      </c>
      <c r="BV27" s="1">
        <v>0.10337758538674779</v>
      </c>
      <c r="BW27" s="1">
        <v>0.28733125578460261</v>
      </c>
      <c r="BX27" s="1">
        <v>0.17253620287704374</v>
      </c>
      <c r="BY27" s="1">
        <v>0.24106088086303265</v>
      </c>
      <c r="BZ27" s="1">
        <v>0.36014530816747381</v>
      </c>
      <c r="CA27" s="1">
        <v>0.42532627094882053</v>
      </c>
      <c r="CB27" s="1">
        <v>0.43429086259569477</v>
      </c>
      <c r="CC27" s="1">
        <v>0.38957766639080083</v>
      </c>
      <c r="CD27" s="1">
        <v>0.29176074763863036</v>
      </c>
      <c r="CE27" s="1">
        <v>0.35798184887468398</v>
      </c>
      <c r="CF27" s="1">
        <v>0.56451510249867543</v>
      </c>
      <c r="CG27" s="1">
        <v>0.35406262609683664</v>
      </c>
      <c r="CH27" s="1">
        <v>0.48948715833423501</v>
      </c>
      <c r="CI27" s="1">
        <v>0.62560817243288569</v>
      </c>
      <c r="CJ27" s="1">
        <v>0.54114093885185099</v>
      </c>
      <c r="CK27" s="1">
        <v>0.49207876379205273</v>
      </c>
      <c r="CL27" s="1">
        <v>0.35244371974430133</v>
      </c>
      <c r="CM27" s="1">
        <v>0.18433359875183222</v>
      </c>
      <c r="CN27" s="1">
        <v>0.60921056261674322</v>
      </c>
      <c r="CO27" s="1">
        <v>0.1612808687064356</v>
      </c>
      <c r="CP27" s="1">
        <v>0.2610301608052556</v>
      </c>
      <c r="CQ27" s="1">
        <v>0.24981205843929127</v>
      </c>
      <c r="CR27" s="1">
        <v>0.38693387819280378</v>
      </c>
      <c r="CS27" s="1">
        <v>0.35825146174566508</v>
      </c>
      <c r="CT27" s="1">
        <v>0.35478619782923265</v>
      </c>
      <c r="CU27" s="1">
        <v>0.24818292030532241</v>
      </c>
      <c r="CV27" s="1">
        <v>0.38208947355298345</v>
      </c>
      <c r="CW27" s="1">
        <v>0.43981000340522886</v>
      </c>
      <c r="CX27" s="1">
        <v>0.17992483099048068</v>
      </c>
      <c r="CY27" s="1">
        <v>0.2530562947651312</v>
      </c>
      <c r="CZ27" s="1">
        <v>0.19478525870657762</v>
      </c>
      <c r="DA27" s="1">
        <v>0.31107129396983829</v>
      </c>
      <c r="DB27" s="1">
        <v>0.44876041935207944</v>
      </c>
      <c r="DC27" s="1">
        <v>0.2827979650906548</v>
      </c>
      <c r="DD27" s="1">
        <v>-4.9997383971029799E-3</v>
      </c>
      <c r="DE27" s="1">
        <v>0.4533575181388918</v>
      </c>
      <c r="DF27" s="1">
        <v>0.37016844083057754</v>
      </c>
      <c r="DG27" s="1">
        <v>0.26719518232760758</v>
      </c>
      <c r="DH27" s="1">
        <v>0.56853746208449085</v>
      </c>
      <c r="DI27" s="1">
        <v>0.41451341081790655</v>
      </c>
      <c r="DJ27" s="1">
        <v>0.39845712374684766</v>
      </c>
      <c r="DK27" s="1">
        <v>0.36730095336810742</v>
      </c>
      <c r="DL27" s="1">
        <v>0.46457429698349356</v>
      </c>
      <c r="DM27" s="1">
        <v>0.45652367328328414</v>
      </c>
      <c r="DN27" s="1">
        <v>0.41036735203455676</v>
      </c>
      <c r="DO27" s="1">
        <v>0.35063644024646279</v>
      </c>
      <c r="DP27" s="1">
        <v>0.44175074727629937</v>
      </c>
      <c r="DQ27" s="1">
        <v>0.35934359802677829</v>
      </c>
      <c r="DR27" s="1">
        <v>0.50533577610010105</v>
      </c>
      <c r="DS27" s="1">
        <v>0.29735326390927136</v>
      </c>
      <c r="DT27" s="1">
        <v>0.45655301925861153</v>
      </c>
      <c r="DU27" s="1">
        <v>0.51846529791014073</v>
      </c>
      <c r="DV27" s="1">
        <v>0.36863525323583451</v>
      </c>
      <c r="DW27" s="1">
        <v>0.29635664329725503</v>
      </c>
      <c r="DX27" s="1">
        <v>0.28117911812104301</v>
      </c>
      <c r="DY27" s="1">
        <v>0.52951288992871581</v>
      </c>
    </row>
    <row r="28" spans="1:129" ht="15">
      <c r="A28" s="7" t="s">
        <v>39</v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 t="str">
        <v/>
      </c>
      <c r="S28" s="1" t="str">
        <v/>
      </c>
      <c r="T28" s="1" t="str">
        <v/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1.0000000000000002</v>
      </c>
      <c r="AA28" s="1">
        <v>0.59193468839445817</v>
      </c>
      <c r="AB28" s="1">
        <v>0.26802480231160547</v>
      </c>
      <c r="AC28" s="1">
        <v>0.56832233985140501</v>
      </c>
      <c r="AD28" s="1">
        <v>0.41214123393418278</v>
      </c>
      <c r="AE28" s="1">
        <v>0.29540312978043948</v>
      </c>
      <c r="AF28" s="1">
        <v>0.35051589709145736</v>
      </c>
      <c r="AG28" s="1">
        <v>0.45117265496340442</v>
      </c>
      <c r="AH28" s="1">
        <v>0.24328485743937622</v>
      </c>
      <c r="AI28" s="1">
        <v>0.47148204311378461</v>
      </c>
      <c r="AJ28" s="1">
        <v>0.21346250878057885</v>
      </c>
      <c r="AK28" s="1">
        <v>0.34338475907730587</v>
      </c>
      <c r="AL28" s="1">
        <v>0.35293296235783528</v>
      </c>
      <c r="AM28" s="1">
        <v>0.14156782469433565</v>
      </c>
      <c r="AN28" s="1">
        <v>2.9481676546833512E-3</v>
      </c>
      <c r="AO28" s="1">
        <v>0.24377360757042224</v>
      </c>
      <c r="AP28" s="1">
        <v>0.21875805432997567</v>
      </c>
      <c r="AQ28" s="1">
        <v>0.20764744257364476</v>
      </c>
      <c r="AR28" s="1">
        <v>0.48613735651464079</v>
      </c>
      <c r="AS28" s="1">
        <v>0.20945125315864802</v>
      </c>
      <c r="AT28" s="1">
        <v>0.20756535809305929</v>
      </c>
      <c r="AU28" s="1">
        <v>0.21995533704557041</v>
      </c>
      <c r="AV28" s="1">
        <v>0.18654599583682044</v>
      </c>
      <c r="AW28" s="1">
        <v>0.26193113951776048</v>
      </c>
      <c r="AX28" s="1">
        <v>0.25801018771338746</v>
      </c>
      <c r="AY28" s="1">
        <v>0.25348609852301812</v>
      </c>
      <c r="AZ28" s="1">
        <v>0.20684185974795199</v>
      </c>
      <c r="BA28" s="1">
        <v>0.33575607241164718</v>
      </c>
      <c r="BB28" s="1">
        <v>0.34925297994594645</v>
      </c>
      <c r="BC28" s="1">
        <v>0.38168899240101134</v>
      </c>
      <c r="BD28" s="1">
        <v>0.41279404426448507</v>
      </c>
      <c r="BE28" s="1">
        <v>0.17798459988618176</v>
      </c>
      <c r="BF28" s="1">
        <v>0.49412798950708631</v>
      </c>
      <c r="BG28" s="1">
        <v>0.6107893011063561</v>
      </c>
      <c r="BH28" s="1">
        <v>0.22735667580422861</v>
      </c>
      <c r="BI28" s="1">
        <v>0.13662863202592096</v>
      </c>
      <c r="BJ28" s="1">
        <v>0.15002611319929629</v>
      </c>
      <c r="BK28" s="1">
        <v>0.32739492085057159</v>
      </c>
      <c r="BL28" s="1">
        <v>0.18207903436867964</v>
      </c>
      <c r="BM28" s="1">
        <v>0.23857855680023304</v>
      </c>
      <c r="BN28" s="1">
        <v>0.29472334760378666</v>
      </c>
      <c r="BO28" s="1">
        <v>0.44738192696901929</v>
      </c>
      <c r="BP28" s="1">
        <v>0.42148309490908908</v>
      </c>
      <c r="BQ28" s="1">
        <v>0.18604327114779448</v>
      </c>
      <c r="BR28" s="1">
        <v>0.26323237604532185</v>
      </c>
      <c r="BS28" s="1">
        <v>0.19161398219825759</v>
      </c>
      <c r="BT28" s="1">
        <v>0.13275702769844414</v>
      </c>
      <c r="BU28" s="1">
        <v>0.4086125187745922</v>
      </c>
      <c r="BV28" s="1">
        <v>0.20772492481257859</v>
      </c>
      <c r="BW28" s="1">
        <v>0.14168921405059176</v>
      </c>
      <c r="BX28" s="1">
        <v>0.22175767297628973</v>
      </c>
      <c r="BY28" s="1">
        <v>0.25076509503226441</v>
      </c>
      <c r="BZ28" s="1">
        <v>0.26433409556684773</v>
      </c>
      <c r="CA28" s="1">
        <v>0.3285604766026905</v>
      </c>
      <c r="CB28" s="1">
        <v>0.43217528251264353</v>
      </c>
      <c r="CC28" s="1">
        <v>0.25027889699117062</v>
      </c>
      <c r="CD28" s="1">
        <v>0.39089006678247273</v>
      </c>
      <c r="CE28" s="1">
        <v>0.48070589480695664</v>
      </c>
      <c r="CF28" s="1">
        <v>0.41011204961025255</v>
      </c>
      <c r="CG28" s="1">
        <v>0.21262185178932075</v>
      </c>
      <c r="CH28" s="1">
        <v>0.47758401120531452</v>
      </c>
      <c r="CI28" s="1">
        <v>0.53225966120120416</v>
      </c>
      <c r="CJ28" s="1">
        <v>0.33648468086124717</v>
      </c>
      <c r="CK28" s="1">
        <v>0.34042664005299683</v>
      </c>
      <c r="CL28" s="1">
        <v>0.17557498427902818</v>
      </c>
      <c r="CM28" s="1">
        <v>0.22117324372360381</v>
      </c>
      <c r="CN28" s="1">
        <v>0.33130202597931746</v>
      </c>
      <c r="CO28" s="1">
        <v>0.22914536864798657</v>
      </c>
      <c r="CP28" s="1">
        <v>0.32525408262218242</v>
      </c>
      <c r="CQ28" s="1">
        <v>0.28836597548451259</v>
      </c>
      <c r="CR28" s="1">
        <v>0.32473764907616004</v>
      </c>
      <c r="CS28" s="1">
        <v>0.34889631838609331</v>
      </c>
      <c r="CT28" s="1">
        <v>0.14842942563095157</v>
      </c>
      <c r="CU28" s="1">
        <v>0.26842845056782755</v>
      </c>
      <c r="CV28" s="1">
        <v>0.37654941970920824</v>
      </c>
      <c r="CW28" s="1">
        <v>0.18711780787124657</v>
      </c>
      <c r="CX28" s="1">
        <v>9.8477929756541085E-2</v>
      </c>
      <c r="CY28" s="1">
        <v>0.29236945106535644</v>
      </c>
      <c r="CZ28" s="1">
        <v>0.2932897382378033</v>
      </c>
      <c r="DA28" s="1">
        <v>0.21916504074256704</v>
      </c>
      <c r="DB28" s="1">
        <v>7.2504871490227801E-2</v>
      </c>
      <c r="DC28" s="1">
        <v>0.21722924556388282</v>
      </c>
      <c r="DD28" s="1">
        <v>-0.10639319121340797</v>
      </c>
      <c r="DE28" s="1">
        <v>0.28435894636117859</v>
      </c>
      <c r="DF28" s="1">
        <v>0.29874666457210608</v>
      </c>
      <c r="DG28" s="1">
        <v>0.31084494282626229</v>
      </c>
      <c r="DH28" s="1">
        <v>0.2974457764353487</v>
      </c>
      <c r="DI28" s="1">
        <v>0.34123367179046521</v>
      </c>
      <c r="DJ28" s="1">
        <v>0.29416380773447093</v>
      </c>
      <c r="DK28" s="1">
        <v>0.17928827316450516</v>
      </c>
      <c r="DL28" s="1">
        <v>0.26393869781585483</v>
      </c>
      <c r="DM28" s="1">
        <v>0.30534572893378575</v>
      </c>
      <c r="DN28" s="1">
        <v>0.30803042905037409</v>
      </c>
      <c r="DO28" s="1">
        <v>0.26598720796563141</v>
      </c>
      <c r="DP28" s="1">
        <v>0.27929328916205043</v>
      </c>
      <c r="DQ28" s="1">
        <v>0.28718200420188328</v>
      </c>
      <c r="DR28" s="1">
        <v>0.2798224799889627</v>
      </c>
      <c r="DS28" s="1">
        <v>0.23488533091405145</v>
      </c>
      <c r="DT28" s="1">
        <v>0.34709482390728119</v>
      </c>
      <c r="DU28" s="1">
        <v>0.2244517320728395</v>
      </c>
      <c r="DV28" s="1">
        <v>0.29833250480519752</v>
      </c>
      <c r="DW28" s="1">
        <v>0.15024749602367618</v>
      </c>
      <c r="DX28" s="1">
        <v>0.36044056375849437</v>
      </c>
      <c r="DY28" s="1">
        <v>0.21368325347469364</v>
      </c>
    </row>
    <row r="29" spans="1:129" ht="15">
      <c r="A29" s="7" t="s">
        <v>40</v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 t="str">
        <v/>
      </c>
      <c r="S29" s="1" t="str">
        <v/>
      </c>
      <c r="T29" s="1" t="str">
        <v/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 t="str">
        <v/>
      </c>
      <c r="AA29" s="1">
        <v>1.0000000000000002</v>
      </c>
      <c r="AB29" s="1">
        <v>0.2014601333805742</v>
      </c>
      <c r="AC29" s="1">
        <v>0.50962310431575941</v>
      </c>
      <c r="AD29" s="1">
        <v>0.47454537435938132</v>
      </c>
      <c r="AE29" s="1">
        <v>0.62309226552750019</v>
      </c>
      <c r="AF29" s="1">
        <v>0.57963267160315246</v>
      </c>
      <c r="AG29" s="1">
        <v>0.57438713341673764</v>
      </c>
      <c r="AH29" s="1">
        <v>0.48749617829572534</v>
      </c>
      <c r="AI29" s="1">
        <v>0.47937046171676295</v>
      </c>
      <c r="AJ29" s="1">
        <v>0.12788620694045272</v>
      </c>
      <c r="AK29" s="1">
        <v>0.15965796581033845</v>
      </c>
      <c r="AL29" s="1">
        <v>0.32650446061742527</v>
      </c>
      <c r="AM29" s="1">
        <v>0.55768188890389692</v>
      </c>
      <c r="AN29" s="1">
        <v>5.4762155698344292E-2</v>
      </c>
      <c r="AO29" s="1">
        <v>0.3942552791954691</v>
      </c>
      <c r="AP29" s="1">
        <v>0.28075873876651192</v>
      </c>
      <c r="AQ29" s="1">
        <v>0.25520855310071089</v>
      </c>
      <c r="AR29" s="1">
        <v>0.48174198059624701</v>
      </c>
      <c r="AS29" s="1">
        <v>0.29849140495093501</v>
      </c>
      <c r="AT29" s="1">
        <v>0.29806719960023631</v>
      </c>
      <c r="AU29" s="1">
        <v>0.20473896318523604</v>
      </c>
      <c r="AV29" s="1">
        <v>0.28938139689385656</v>
      </c>
      <c r="AW29" s="1">
        <v>0.44899414303808116</v>
      </c>
      <c r="AX29" s="1">
        <v>0.40044493608509307</v>
      </c>
      <c r="AY29" s="1">
        <v>0.54601411588716764</v>
      </c>
      <c r="AZ29" s="1">
        <v>0.45100473697311844</v>
      </c>
      <c r="BA29" s="1">
        <v>0.45029827647137344</v>
      </c>
      <c r="BB29" s="1">
        <v>0.54817965485553533</v>
      </c>
      <c r="BC29" s="1">
        <v>0.51196379636486411</v>
      </c>
      <c r="BD29" s="1">
        <v>0.47576265329362488</v>
      </c>
      <c r="BE29" s="1">
        <v>0.45895738351504889</v>
      </c>
      <c r="BF29" s="1">
        <v>0.46754842835404642</v>
      </c>
      <c r="BG29" s="1">
        <v>0.58267439545725819</v>
      </c>
      <c r="BH29" s="1">
        <v>0.25176457268820457</v>
      </c>
      <c r="BI29" s="1">
        <v>0.21630232233987362</v>
      </c>
      <c r="BJ29" s="1">
        <v>0.21513662542448497</v>
      </c>
      <c r="BK29" s="1">
        <v>0.28280247323893054</v>
      </c>
      <c r="BL29" s="1">
        <v>0.33501612711139539</v>
      </c>
      <c r="BM29" s="1">
        <v>0.32523574722801674</v>
      </c>
      <c r="BN29" s="1">
        <v>0.48392177238199019</v>
      </c>
      <c r="BO29" s="1">
        <v>0.40916694733336778</v>
      </c>
      <c r="BP29" s="1">
        <v>0.54131723680512622</v>
      </c>
      <c r="BQ29" s="1">
        <v>0.31576265265618547</v>
      </c>
      <c r="BR29" s="1">
        <v>0.35615724189511111</v>
      </c>
      <c r="BS29" s="1">
        <v>0.45878831544384541</v>
      </c>
      <c r="BT29" s="1">
        <v>0.29381851657538738</v>
      </c>
      <c r="BU29" s="1">
        <v>0.41427932316587374</v>
      </c>
      <c r="BV29" s="1">
        <v>0.43595286420396218</v>
      </c>
      <c r="BW29" s="1">
        <v>0.30668666771251762</v>
      </c>
      <c r="BX29" s="1">
        <v>0.24729209512734526</v>
      </c>
      <c r="BY29" s="1">
        <v>0.40165128410521111</v>
      </c>
      <c r="BZ29" s="1">
        <v>0.18648108439035677</v>
      </c>
      <c r="CA29" s="1">
        <v>0.36501245991409403</v>
      </c>
      <c r="CB29" s="1">
        <v>0.29672603168480799</v>
      </c>
      <c r="CC29" s="1">
        <v>0.41585600910859483</v>
      </c>
      <c r="CD29" s="1">
        <v>0.3347586708826783</v>
      </c>
      <c r="CE29" s="1">
        <v>0.32617878267911704</v>
      </c>
      <c r="CF29" s="1">
        <v>0.45231098707267847</v>
      </c>
      <c r="CG29" s="1">
        <v>0.56342957821498374</v>
      </c>
      <c r="CH29" s="1">
        <v>0.43779017510853513</v>
      </c>
      <c r="CI29" s="1">
        <v>0.64438244912530829</v>
      </c>
      <c r="CJ29" s="1">
        <v>0.27167595615336088</v>
      </c>
      <c r="CK29" s="1">
        <v>0.2613319835715836</v>
      </c>
      <c r="CL29" s="1">
        <v>0.33646138222742855</v>
      </c>
      <c r="CM29" s="1">
        <v>8.7028668663212239E-2</v>
      </c>
      <c r="CN29" s="1">
        <v>0.23229351117217745</v>
      </c>
      <c r="CO29" s="1">
        <v>0.36029034677305227</v>
      </c>
      <c r="CP29" s="1">
        <v>0.14200553510673017</v>
      </c>
      <c r="CQ29" s="1">
        <v>7.5010029394278782E-2</v>
      </c>
      <c r="CR29" s="1">
        <v>0.11240517190847825</v>
      </c>
      <c r="CS29" s="1">
        <v>0.12776100028116874</v>
      </c>
      <c r="CT29" s="1">
        <v>0.24660686886989094</v>
      </c>
      <c r="CU29" s="1">
        <v>0.17244725656657575</v>
      </c>
      <c r="CV29" s="1">
        <v>0.56389765107329004</v>
      </c>
      <c r="CW29" s="1">
        <v>0.41092208338213621</v>
      </c>
      <c r="CX29" s="1">
        <v>0.2703255546769423</v>
      </c>
      <c r="CY29" s="1">
        <v>0.42655009769870172</v>
      </c>
      <c r="CZ29" s="1">
        <v>0.38696695570806394</v>
      </c>
      <c r="DA29" s="1">
        <v>0.30580804418468271</v>
      </c>
      <c r="DB29" s="1">
        <v>0.2097344908449322</v>
      </c>
      <c r="DC29" s="1">
        <v>0.24029411175817367</v>
      </c>
      <c r="DD29" s="1">
        <v>-2.8291088230483485E-2</v>
      </c>
      <c r="DE29" s="1">
        <v>0.44801076618682772</v>
      </c>
      <c r="DF29" s="1">
        <v>0.30141257417962669</v>
      </c>
      <c r="DG29" s="1">
        <v>0.30494253373412339</v>
      </c>
      <c r="DH29" s="1">
        <v>0.39253846421495103</v>
      </c>
      <c r="DI29" s="1">
        <v>0.31464303896896023</v>
      </c>
      <c r="DJ29" s="1">
        <v>0.22849276433901974</v>
      </c>
      <c r="DK29" s="1">
        <v>0.22817553725069706</v>
      </c>
      <c r="DL29" s="1">
        <v>0.27526427650374169</v>
      </c>
      <c r="DM29" s="1">
        <v>0.30385322382368479</v>
      </c>
      <c r="DN29" s="1">
        <v>0.2629536678316608</v>
      </c>
      <c r="DO29" s="1">
        <v>0.19210406178582515</v>
      </c>
      <c r="DP29" s="1">
        <v>0.29350962386623319</v>
      </c>
      <c r="DQ29" s="1">
        <v>0.25477590214083407</v>
      </c>
      <c r="DR29" s="1">
        <v>0.38928115462762519</v>
      </c>
      <c r="DS29" s="1">
        <v>0.32073428527494835</v>
      </c>
      <c r="DT29" s="1">
        <v>0.28946536932396533</v>
      </c>
      <c r="DU29" s="1">
        <v>0.37895975160330025</v>
      </c>
      <c r="DV29" s="1">
        <v>0.28282761013372987</v>
      </c>
      <c r="DW29" s="1">
        <v>0.31119617966499841</v>
      </c>
      <c r="DX29" s="1">
        <v>0.53136234984519592</v>
      </c>
      <c r="DY29" s="1">
        <v>0.31577446325590958</v>
      </c>
    </row>
    <row r="30" spans="1:129" ht="15">
      <c r="A30" s="7" t="s">
        <v>41</v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 t="str">
        <v/>
      </c>
      <c r="S30" s="1" t="str">
        <v/>
      </c>
      <c r="T30" s="1" t="str">
        <v/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 t="str">
        <v/>
      </c>
      <c r="AA30" s="1" t="str">
        <v/>
      </c>
      <c r="AB30" s="1">
        <v>1</v>
      </c>
      <c r="AC30" s="1">
        <v>4.6823465092643034E-2</v>
      </c>
      <c r="AD30" s="1">
        <v>0.32146373832022229</v>
      </c>
      <c r="AE30" s="1">
        <v>0.32695351351129337</v>
      </c>
      <c r="AF30" s="1">
        <v>6.7493395228327799E-2</v>
      </c>
      <c r="AG30" s="1">
        <v>0.33027779528738593</v>
      </c>
      <c r="AH30" s="1">
        <v>0.14627095396536621</v>
      </c>
      <c r="AI30" s="1">
        <v>6.6543701458089868E-2</v>
      </c>
      <c r="AJ30" s="1">
        <v>-3.1263315329734163E-3</v>
      </c>
      <c r="AK30" s="1">
        <v>-0.16349620317279567</v>
      </c>
      <c r="AL30" s="1">
        <v>0.21251367880383129</v>
      </c>
      <c r="AM30" s="1">
        <v>0.19199592559296344</v>
      </c>
      <c r="AN30" s="1">
        <v>-7.8778731165568147E-2</v>
      </c>
      <c r="AO30" s="1">
        <v>0.12874515287367472</v>
      </c>
      <c r="AP30" s="1">
        <v>0.13031203411653772</v>
      </c>
      <c r="AQ30" s="1">
        <v>0.28209652512468564</v>
      </c>
      <c r="AR30" s="1">
        <v>0.242230341730378</v>
      </c>
      <c r="AS30" s="1">
        <v>0.15663462347228779</v>
      </c>
      <c r="AT30" s="1">
        <v>0.1472901439231151</v>
      </c>
      <c r="AU30" s="1">
        <v>0.18711959170325915</v>
      </c>
      <c r="AV30" s="1">
        <v>0.18810740208045593</v>
      </c>
      <c r="AW30" s="1">
        <v>0.12375945527618586</v>
      </c>
      <c r="AX30" s="1">
        <v>0.12196686363082281</v>
      </c>
      <c r="AY30" s="1">
        <v>0.14834541042433344</v>
      </c>
      <c r="AZ30" s="1">
        <v>7.1562381620966148E-2</v>
      </c>
      <c r="BA30" s="1">
        <v>0.15564541179762795</v>
      </c>
      <c r="BB30" s="1">
        <v>0.35284184403820912</v>
      </c>
      <c r="BC30" s="1">
        <v>0.24189361723977901</v>
      </c>
      <c r="BD30" s="1">
        <v>0.1978651916067696</v>
      </c>
      <c r="BE30" s="1">
        <v>1.0648377552798651E-2</v>
      </c>
      <c r="BF30" s="1">
        <v>0.12356057327612131</v>
      </c>
      <c r="BG30" s="1">
        <v>0.19006326638938259</v>
      </c>
      <c r="BH30" s="1">
        <v>0.22483425104736687</v>
      </c>
      <c r="BI30" s="1">
        <v>0.11674602010697741</v>
      </c>
      <c r="BJ30" s="1">
        <v>-2.8831006692069436E-2</v>
      </c>
      <c r="BK30" s="1">
        <v>-1.6906067688751983E-2</v>
      </c>
      <c r="BL30" s="1">
        <v>4.5759316542614489E-2</v>
      </c>
      <c r="BM30" s="1">
        <v>4.8514949949870934E-2</v>
      </c>
      <c r="BN30" s="1">
        <v>0.17383125242803935</v>
      </c>
      <c r="BO30" s="1">
        <v>0.11931151771027372</v>
      </c>
      <c r="BP30" s="1">
        <v>4.9123960977315188E-2</v>
      </c>
      <c r="BQ30" s="1">
        <v>8.9973558951181726E-3</v>
      </c>
      <c r="BR30" s="1">
        <v>0.16416266070320909</v>
      </c>
      <c r="BS30" s="1">
        <v>2.1859120265314357E-2</v>
      </c>
      <c r="BT30" s="1">
        <v>8.1954087942850182E-2</v>
      </c>
      <c r="BU30" s="1">
        <v>0.18984422510508445</v>
      </c>
      <c r="BV30" s="1">
        <v>4.3582305048930389E-2</v>
      </c>
      <c r="BW30" s="1">
        <v>-9.7154818578405036E-2</v>
      </c>
      <c r="BX30" s="1">
        <v>7.1195025510775542E-2</v>
      </c>
      <c r="BY30" s="1">
        <v>0.10855822524437193</v>
      </c>
      <c r="BZ30" s="1">
        <v>8.5434247782329845E-2</v>
      </c>
      <c r="CA30" s="1">
        <v>0.17999196911583454</v>
      </c>
      <c r="CB30" s="1">
        <v>0.22618166172852899</v>
      </c>
      <c r="CC30" s="1">
        <v>-2.2441857022617966E-2</v>
      </c>
      <c r="CD30" s="1">
        <v>0.16504706851508308</v>
      </c>
      <c r="CE30" s="1">
        <v>7.7254896052372526E-2</v>
      </c>
      <c r="CF30" s="1">
        <v>0.10043830779169194</v>
      </c>
      <c r="CG30" s="1">
        <v>0.14164369990261463</v>
      </c>
      <c r="CH30" s="1">
        <v>-6.4190580344755041E-2</v>
      </c>
      <c r="CI30" s="1">
        <v>0.19144801436970871</v>
      </c>
      <c r="CJ30" s="1">
        <v>0.13096186747636884</v>
      </c>
      <c r="CK30" s="1">
        <v>-6.1844523279803165E-2</v>
      </c>
      <c r="CL30" s="1">
        <v>3.7787662620104433E-2</v>
      </c>
      <c r="CM30" s="1">
        <v>-5.3888475378407075E-2</v>
      </c>
      <c r="CN30" s="1">
        <v>0.10552332802065743</v>
      </c>
      <c r="CO30" s="1">
        <v>0.21478123056789394</v>
      </c>
      <c r="CP30" s="1">
        <v>0.15986328820653603</v>
      </c>
      <c r="CQ30" s="1">
        <v>0.21435493586647403</v>
      </c>
      <c r="CR30" s="1">
        <v>-0.13702656846759778</v>
      </c>
      <c r="CS30" s="1">
        <v>7.3843035606309185E-2</v>
      </c>
      <c r="CT30" s="1">
        <v>7.1566201499125418E-2</v>
      </c>
      <c r="CU30" s="1">
        <v>-0.1801054592017205</v>
      </c>
      <c r="CV30" s="1">
        <v>4.326235507082421E-2</v>
      </c>
      <c r="CW30" s="1">
        <v>4.0302426848627976E-2</v>
      </c>
      <c r="CX30" s="1">
        <v>1.1228316067582903E-2</v>
      </c>
      <c r="CY30" s="1">
        <v>0.23072895720638675</v>
      </c>
      <c r="CZ30" s="1">
        <v>8.7919741646614064E-2</v>
      </c>
      <c r="DA30" s="1">
        <v>-7.1705713744375357E-2</v>
      </c>
      <c r="DB30" s="1">
        <v>6.1606635068904965E-2</v>
      </c>
      <c r="DC30" s="1">
        <v>-1.943026928829306E-2</v>
      </c>
      <c r="DD30" s="1">
        <v>-8.139171016824133E-2</v>
      </c>
      <c r="DE30" s="1">
        <v>0.18951370122796787</v>
      </c>
      <c r="DF30" s="1">
        <v>2.3211785765350643E-2</v>
      </c>
      <c r="DG30" s="1">
        <v>0.13140978672634318</v>
      </c>
      <c r="DH30" s="1">
        <v>0.13894161612243797</v>
      </c>
      <c r="DI30" s="1">
        <v>7.9609285064088917E-2</v>
      </c>
      <c r="DJ30" s="1">
        <v>8.2355089399466619E-2</v>
      </c>
      <c r="DK30" s="1">
        <v>6.1742342967680268E-2</v>
      </c>
      <c r="DL30" s="1">
        <v>8.765340274486047E-2</v>
      </c>
      <c r="DM30" s="1">
        <v>8.324747939616485E-2</v>
      </c>
      <c r="DN30" s="1">
        <v>4.6286354856223545E-2</v>
      </c>
      <c r="DO30" s="1">
        <v>0.24445182637163476</v>
      </c>
      <c r="DP30" s="1">
        <v>9.3417248722221791E-2</v>
      </c>
      <c r="DQ30" s="1">
        <v>0.10561023738168675</v>
      </c>
      <c r="DR30" s="1">
        <v>7.9045423655534353E-2</v>
      </c>
      <c r="DS30" s="1">
        <v>0.10083655472934938</v>
      </c>
      <c r="DT30" s="1">
        <v>7.2614455628415148E-2</v>
      </c>
      <c r="DU30" s="1">
        <v>0.10898668771731333</v>
      </c>
      <c r="DV30" s="1">
        <v>0.17382153911214918</v>
      </c>
      <c r="DW30" s="1">
        <v>6.5041632156667736E-2</v>
      </c>
      <c r="DX30" s="1">
        <v>8.2411915881556122E-2</v>
      </c>
      <c r="DY30" s="1">
        <v>2.2353837115438431E-2</v>
      </c>
    </row>
    <row r="31" spans="1:129" ht="15">
      <c r="A31" s="7" t="s">
        <v>42</v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 t="str">
        <v/>
      </c>
      <c r="S31" s="1" t="str">
        <v/>
      </c>
      <c r="T31" s="1" t="str">
        <v/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 t="str">
        <v/>
      </c>
      <c r="AA31" s="1" t="str">
        <v/>
      </c>
      <c r="AB31" s="1" t="str">
        <v/>
      </c>
      <c r="AC31" s="1">
        <v>1</v>
      </c>
      <c r="AD31" s="1">
        <v>0.39280497503285439</v>
      </c>
      <c r="AE31" s="1">
        <v>0.37235093599791513</v>
      </c>
      <c r="AF31" s="1">
        <v>0.41391257525341241</v>
      </c>
      <c r="AG31" s="1">
        <v>0.48167591550612193</v>
      </c>
      <c r="AH31" s="1">
        <v>0.27398121788880764</v>
      </c>
      <c r="AI31" s="1">
        <v>0.5280661548923925</v>
      </c>
      <c r="AJ31" s="1">
        <v>0.10313083412374671</v>
      </c>
      <c r="AK31" s="1">
        <v>0.37192279206969281</v>
      </c>
      <c r="AL31" s="1">
        <v>0.22724808024949819</v>
      </c>
      <c r="AM31" s="1">
        <v>0.25454512916348659</v>
      </c>
      <c r="AN31" s="1">
        <v>0.18779355815330534</v>
      </c>
      <c r="AO31" s="1">
        <v>0.32898180075728356</v>
      </c>
      <c r="AP31" s="1">
        <v>0.43816928218252471</v>
      </c>
      <c r="AQ31" s="1">
        <v>2.3784208588868459E-2</v>
      </c>
      <c r="AR31" s="1">
        <v>0.41237852285037468</v>
      </c>
      <c r="AS31" s="1">
        <v>0.2363456001508884</v>
      </c>
      <c r="AT31" s="1">
        <v>0.34287691124038339</v>
      </c>
      <c r="AU31" s="1">
        <v>0.23633788905830574</v>
      </c>
      <c r="AV31" s="1">
        <v>0.30055614722971946</v>
      </c>
      <c r="AW31" s="1">
        <v>0.15144684578797113</v>
      </c>
      <c r="AX31" s="1">
        <v>0.1318834270765647</v>
      </c>
      <c r="AY31" s="1">
        <v>0.18353926789557107</v>
      </c>
      <c r="AZ31" s="1">
        <v>0.37793952687388638</v>
      </c>
      <c r="BA31" s="1">
        <v>0.37812344247906637</v>
      </c>
      <c r="BB31" s="1">
        <v>0.2493715591356678</v>
      </c>
      <c r="BC31" s="1">
        <v>0.3863271174272716</v>
      </c>
      <c r="BD31" s="1">
        <v>0.35841740225391766</v>
      </c>
      <c r="BE31" s="1">
        <v>0.29625139155257008</v>
      </c>
      <c r="BF31" s="1">
        <v>0.65169881104460403</v>
      </c>
      <c r="BG31" s="1">
        <v>0.56583147965364211</v>
      </c>
      <c r="BH31" s="1">
        <v>0.3241182164393826</v>
      </c>
      <c r="BI31" s="1">
        <v>0.22411489574469168</v>
      </c>
      <c r="BJ31" s="1">
        <v>0.11920157817559712</v>
      </c>
      <c r="BK31" s="1">
        <v>0.42069490740389287</v>
      </c>
      <c r="BL31" s="1">
        <v>0.26777319219834222</v>
      </c>
      <c r="BM31" s="1">
        <v>0.32789115450301948</v>
      </c>
      <c r="BN31" s="1">
        <v>0.29084125527170235</v>
      </c>
      <c r="BO31" s="1">
        <v>0.55325167848183476</v>
      </c>
      <c r="BP31" s="1">
        <v>0.40984611317741515</v>
      </c>
      <c r="BQ31" s="1">
        <v>0.22876340566196759</v>
      </c>
      <c r="BR31" s="1">
        <v>0.2812248234717375</v>
      </c>
      <c r="BS31" s="1">
        <v>0.29673015962977561</v>
      </c>
      <c r="BT31" s="1">
        <v>0.24346100980185223</v>
      </c>
      <c r="BU31" s="1">
        <v>0.38270541773339872</v>
      </c>
      <c r="BV31" s="1">
        <v>0.16518185488385495</v>
      </c>
      <c r="BW31" s="1">
        <v>9.7168155558634631E-2</v>
      </c>
      <c r="BX31" s="1">
        <v>0.18053174609930386</v>
      </c>
      <c r="BY31" s="1">
        <v>0.2141309724874485</v>
      </c>
      <c r="BZ31" s="1">
        <v>0.16626322317771916</v>
      </c>
      <c r="CA31" s="1">
        <v>0.25308778043467511</v>
      </c>
      <c r="CB31" s="1">
        <v>0.30612484193259826</v>
      </c>
      <c r="CC31" s="1">
        <v>9.0279103995621848E-2</v>
      </c>
      <c r="CD31" s="1">
        <v>0.32364451141941036</v>
      </c>
      <c r="CE31" s="1">
        <v>0.26768334641636848</v>
      </c>
      <c r="CF31" s="1">
        <v>0.43810627859503243</v>
      </c>
      <c r="CG31" s="1">
        <v>0.39697947783042076</v>
      </c>
      <c r="CH31" s="1">
        <v>0.4278913432180077</v>
      </c>
      <c r="CI31" s="1">
        <v>0.45000824894629876</v>
      </c>
      <c r="CJ31" s="1">
        <v>0.48167894699965097</v>
      </c>
      <c r="CK31" s="1">
        <v>0.15887057490716902</v>
      </c>
      <c r="CL31" s="1">
        <v>0.2144704099453435</v>
      </c>
      <c r="CM31" s="1">
        <v>0.12919841022638948</v>
      </c>
      <c r="CN31" s="1">
        <v>0.3661645633931665</v>
      </c>
      <c r="CO31" s="1">
        <v>0.19083409662832657</v>
      </c>
      <c r="CP31" s="1">
        <v>0.26601831744018428</v>
      </c>
      <c r="CQ31" s="1">
        <v>0.20713821373693</v>
      </c>
      <c r="CR31" s="1">
        <v>0.27432602239723292</v>
      </c>
      <c r="CS31" s="1">
        <v>0.29421954337349887</v>
      </c>
      <c r="CT31" s="1">
        <v>0.26118996108845199</v>
      </c>
      <c r="CU31" s="1">
        <v>0.26794844826705794</v>
      </c>
      <c r="CV31" s="1">
        <v>0.32236059153083479</v>
      </c>
      <c r="CW31" s="1">
        <v>0.16676258401526586</v>
      </c>
      <c r="CX31" s="1">
        <v>0.20509095589978402</v>
      </c>
      <c r="CY31" s="1">
        <v>0.1899738208971862</v>
      </c>
      <c r="CZ31" s="1">
        <v>0.29929210226813102</v>
      </c>
      <c r="DA31" s="1">
        <v>0.31433834450271986</v>
      </c>
      <c r="DB31" s="1">
        <v>0.18543815741888392</v>
      </c>
      <c r="DC31" s="1">
        <v>0.24513141335252722</v>
      </c>
      <c r="DD31" s="1">
        <v>-0.13182184256528034</v>
      </c>
      <c r="DE31" s="1">
        <v>0.43446558196877749</v>
      </c>
      <c r="DF31" s="1">
        <v>0.26228949603128221</v>
      </c>
      <c r="DG31" s="1">
        <v>0.1559182929036407</v>
      </c>
      <c r="DH31" s="1">
        <v>0.15418436533387755</v>
      </c>
      <c r="DI31" s="1">
        <v>0.38986800696954876</v>
      </c>
      <c r="DJ31" s="1">
        <v>0.39317258834457408</v>
      </c>
      <c r="DK31" s="1">
        <v>0.28807202286320849</v>
      </c>
      <c r="DL31" s="1">
        <v>0.32154986595080259</v>
      </c>
      <c r="DM31" s="1">
        <v>0.389276059345671</v>
      </c>
      <c r="DN31" s="1">
        <v>0.31388722021948084</v>
      </c>
      <c r="DO31" s="1">
        <v>0.25353014075909419</v>
      </c>
      <c r="DP31" s="1">
        <v>0.30949209693492219</v>
      </c>
      <c r="DQ31" s="1">
        <v>0.28343070301193218</v>
      </c>
      <c r="DR31" s="1">
        <v>0.29730643530045536</v>
      </c>
      <c r="DS31" s="1">
        <v>0.32092735695522678</v>
      </c>
      <c r="DT31" s="1">
        <v>0.29814217779075514</v>
      </c>
      <c r="DU31" s="1">
        <v>0.21000543275280042</v>
      </c>
      <c r="DV31" s="1">
        <v>0.29793577705905688</v>
      </c>
      <c r="DW31" s="1">
        <v>0.11593515759708097</v>
      </c>
      <c r="DX31" s="1">
        <v>0.44400831512924754</v>
      </c>
      <c r="DY31" s="1">
        <v>0.24046146580798167</v>
      </c>
    </row>
    <row r="32" spans="1:129" ht="15">
      <c r="A32" s="7" t="s">
        <v>43</v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 t="str">
        <v/>
      </c>
      <c r="S32" s="1" t="str">
        <v/>
      </c>
      <c r="T32" s="1" t="str">
        <v/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 t="str">
        <v/>
      </c>
      <c r="AA32" s="1" t="str">
        <v/>
      </c>
      <c r="AB32" s="1" t="str">
        <v/>
      </c>
      <c r="AC32" s="1" t="str">
        <v/>
      </c>
      <c r="AD32" s="1">
        <v>1.0000000000000002</v>
      </c>
      <c r="AE32" s="1">
        <v>0.79859288749256463</v>
      </c>
      <c r="AF32" s="1">
        <v>0.48946789436909582</v>
      </c>
      <c r="AG32" s="1">
        <v>0.7024273344679951</v>
      </c>
      <c r="AH32" s="1">
        <v>0.46587133445601736</v>
      </c>
      <c r="AI32" s="1">
        <v>0.52674090272508145</v>
      </c>
      <c r="AJ32" s="1">
        <v>0.43363557514732642</v>
      </c>
      <c r="AK32" s="1">
        <v>0.23998467062240975</v>
      </c>
      <c r="AL32" s="1">
        <v>0.34384391191590857</v>
      </c>
      <c r="AM32" s="1">
        <v>0.57455224532685645</v>
      </c>
      <c r="AN32" s="1">
        <v>0.39956308037084748</v>
      </c>
      <c r="AO32" s="1">
        <v>0.48858608509812335</v>
      </c>
      <c r="AP32" s="1">
        <v>0.5635682144274089</v>
      </c>
      <c r="AQ32" s="1">
        <v>0.54293033768413723</v>
      </c>
      <c r="AR32" s="1">
        <v>0.43534436844635105</v>
      </c>
      <c r="AS32" s="1">
        <v>0.37051897130404621</v>
      </c>
      <c r="AT32" s="1">
        <v>0.4814316265226608</v>
      </c>
      <c r="AU32" s="1">
        <v>0.49767236720262509</v>
      </c>
      <c r="AV32" s="1">
        <v>0.52610871671238146</v>
      </c>
      <c r="AW32" s="1">
        <v>0.30933206236257194</v>
      </c>
      <c r="AX32" s="1">
        <v>0.48173640233658443</v>
      </c>
      <c r="AY32" s="1">
        <v>0.65590293248946197</v>
      </c>
      <c r="AZ32" s="1">
        <v>0.62680940939015684</v>
      </c>
      <c r="BA32" s="1">
        <v>0.58826378275993907</v>
      </c>
      <c r="BB32" s="1">
        <v>0.53170467838944235</v>
      </c>
      <c r="BC32" s="1">
        <v>0.42720844252223111</v>
      </c>
      <c r="BD32" s="1">
        <v>0.53792140559030499</v>
      </c>
      <c r="BE32" s="1">
        <v>0.44679666868526768</v>
      </c>
      <c r="BF32" s="1">
        <v>0.4988228435881224</v>
      </c>
      <c r="BG32" s="1">
        <v>0.75705280841499489</v>
      </c>
      <c r="BH32" s="1">
        <v>0.46654558265932028</v>
      </c>
      <c r="BI32" s="1">
        <v>0.30670106344399178</v>
      </c>
      <c r="BJ32" s="1">
        <v>0.25877907901109509</v>
      </c>
      <c r="BK32" s="1">
        <v>0.38226848631106186</v>
      </c>
      <c r="BL32" s="1">
        <v>0.31559237671404067</v>
      </c>
      <c r="BM32" s="1">
        <v>0.33653255277022726</v>
      </c>
      <c r="BN32" s="1">
        <v>0.39511615801831529</v>
      </c>
      <c r="BO32" s="1">
        <v>0.48649375305678322</v>
      </c>
      <c r="BP32" s="1">
        <v>0.41872996448575067</v>
      </c>
      <c r="BQ32" s="1">
        <v>0.29588963234265298</v>
      </c>
      <c r="BR32" s="1">
        <v>0.43936439894180757</v>
      </c>
      <c r="BS32" s="1">
        <v>0.36196159244947812</v>
      </c>
      <c r="BT32" s="1">
        <v>0.35362042491508994</v>
      </c>
      <c r="BU32" s="1">
        <v>0.42288170218078025</v>
      </c>
      <c r="BV32" s="1">
        <v>0.15031735136567928</v>
      </c>
      <c r="BW32" s="1">
        <v>0.12682255296961278</v>
      </c>
      <c r="BX32" s="1">
        <v>0.40285077811395797</v>
      </c>
      <c r="BY32" s="1">
        <v>0.26135727380859158</v>
      </c>
      <c r="BZ32" s="1">
        <v>0.18840023728261918</v>
      </c>
      <c r="CA32" s="1">
        <v>0.3406024264130848</v>
      </c>
      <c r="CB32" s="1">
        <v>0.40303933006481785</v>
      </c>
      <c r="CC32" s="1">
        <v>0.31533034626613998</v>
      </c>
      <c r="CD32" s="1">
        <v>0.23389378342610859</v>
      </c>
      <c r="CE32" s="1">
        <v>0.21270020023688094</v>
      </c>
      <c r="CF32" s="1">
        <v>0.44188648432221433</v>
      </c>
      <c r="CG32" s="1">
        <v>0.42767377644034243</v>
      </c>
      <c r="CH32" s="1">
        <v>0.46230985112761946</v>
      </c>
      <c r="CI32" s="1">
        <v>0.7234580742183172</v>
      </c>
      <c r="CJ32" s="1">
        <v>0.3083320580877284</v>
      </c>
      <c r="CK32" s="1">
        <v>0.26931775659305995</v>
      </c>
      <c r="CL32" s="1">
        <v>0.4443381847299358</v>
      </c>
      <c r="CM32" s="1">
        <v>-3.1175926963393837E-2</v>
      </c>
      <c r="CN32" s="1">
        <v>0.43429605526776083</v>
      </c>
      <c r="CO32" s="1">
        <v>0.32107594773628573</v>
      </c>
      <c r="CP32" s="1">
        <v>0.10836307465439861</v>
      </c>
      <c r="CQ32" s="1">
        <v>0.13800181431319894</v>
      </c>
      <c r="CR32" s="1">
        <v>0.23657913085046378</v>
      </c>
      <c r="CS32" s="1">
        <v>0.2082843192653544</v>
      </c>
      <c r="CT32" s="1">
        <v>0.34549044107698523</v>
      </c>
      <c r="CU32" s="1">
        <v>0.22062374035319182</v>
      </c>
      <c r="CV32" s="1">
        <v>0.37792689471561947</v>
      </c>
      <c r="CW32" s="1">
        <v>0.4001709935435761</v>
      </c>
      <c r="CX32" s="1">
        <v>0.20207492895639712</v>
      </c>
      <c r="CY32" s="1">
        <v>0.22948720595856015</v>
      </c>
      <c r="CZ32" s="1">
        <v>0.55957928365571563</v>
      </c>
      <c r="DA32" s="1">
        <v>0.12189082565580828</v>
      </c>
      <c r="DB32" s="1">
        <v>0.21972108664489867</v>
      </c>
      <c r="DC32" s="1">
        <v>0.23999858563464821</v>
      </c>
      <c r="DD32" s="1">
        <v>0.13394358241678281</v>
      </c>
      <c r="DE32" s="1">
        <v>0.46573594116823325</v>
      </c>
      <c r="DF32" s="1">
        <v>0.20257853049442084</v>
      </c>
      <c r="DG32" s="1">
        <v>0.16326629831294964</v>
      </c>
      <c r="DH32" s="1">
        <v>0.44308730876567626</v>
      </c>
      <c r="DI32" s="1">
        <v>0.43154888658875934</v>
      </c>
      <c r="DJ32" s="1">
        <v>0.35324492166390759</v>
      </c>
      <c r="DK32" s="1">
        <v>0.32542070044369137</v>
      </c>
      <c r="DL32" s="1">
        <v>0.42154291323934401</v>
      </c>
      <c r="DM32" s="1">
        <v>0.36571323692463165</v>
      </c>
      <c r="DN32" s="1">
        <v>0.36631122781793479</v>
      </c>
      <c r="DO32" s="1">
        <v>0.37134550521516851</v>
      </c>
      <c r="DP32" s="1">
        <v>0.42677292269341233</v>
      </c>
      <c r="DQ32" s="1">
        <v>0.38568511213773249</v>
      </c>
      <c r="DR32" s="1">
        <v>0.39784083944658666</v>
      </c>
      <c r="DS32" s="1">
        <v>0.15763623524180287</v>
      </c>
      <c r="DT32" s="1">
        <v>0.31330316201787678</v>
      </c>
      <c r="DU32" s="1">
        <v>0.37395500946811122</v>
      </c>
      <c r="DV32" s="1">
        <v>0.40700798497213153</v>
      </c>
      <c r="DW32" s="1">
        <v>0.41098107866161704</v>
      </c>
      <c r="DX32" s="1">
        <v>0.42564285129674173</v>
      </c>
      <c r="DY32" s="1">
        <v>0.37887623024147582</v>
      </c>
    </row>
    <row r="33" spans="1:129" ht="15">
      <c r="A33" s="7" t="s">
        <v>44</v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 t="str">
        <v/>
      </c>
      <c r="S33" s="1" t="str">
        <v/>
      </c>
      <c r="T33" s="1" t="str">
        <v/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 t="str">
        <v/>
      </c>
      <c r="AA33" s="1" t="str">
        <v/>
      </c>
      <c r="AB33" s="1" t="str">
        <v/>
      </c>
      <c r="AC33" s="1" t="str">
        <v/>
      </c>
      <c r="AD33" s="1" t="str">
        <v/>
      </c>
      <c r="AE33" s="1">
        <v>1</v>
      </c>
      <c r="AF33" s="1">
        <v>0.52851660473459139</v>
      </c>
      <c r="AG33" s="1">
        <v>0.67944448857503192</v>
      </c>
      <c r="AH33" s="1">
        <v>0.57986528982655605</v>
      </c>
      <c r="AI33" s="1">
        <v>0.5954096569759465</v>
      </c>
      <c r="AJ33" s="1">
        <v>0.29848367669414638</v>
      </c>
      <c r="AK33" s="1">
        <v>8.2405945208241044E-2</v>
      </c>
      <c r="AL33" s="1">
        <v>0.28472237153724167</v>
      </c>
      <c r="AM33" s="1">
        <v>0.61148814733290602</v>
      </c>
      <c r="AN33" s="1">
        <v>0.3083511420839542</v>
      </c>
      <c r="AO33" s="1">
        <v>0.53361034392364892</v>
      </c>
      <c r="AP33" s="1">
        <v>0.51925858176003858</v>
      </c>
      <c r="AQ33" s="1">
        <v>0.39011310302234825</v>
      </c>
      <c r="AR33" s="1">
        <v>0.40282229099340244</v>
      </c>
      <c r="AS33" s="1">
        <v>0.4203662621610349</v>
      </c>
      <c r="AT33" s="1">
        <v>0.50509401564355549</v>
      </c>
      <c r="AU33" s="1">
        <v>0.48530519119425464</v>
      </c>
      <c r="AV33" s="1">
        <v>0.50886240505626368</v>
      </c>
      <c r="AW33" s="1">
        <v>0.36412935726326479</v>
      </c>
      <c r="AX33" s="1">
        <v>0.53402593594430481</v>
      </c>
      <c r="AY33" s="1">
        <v>0.66599433441869549</v>
      </c>
      <c r="AZ33" s="1">
        <v>0.67016911224391074</v>
      </c>
      <c r="BA33" s="1">
        <v>0.68243825147025539</v>
      </c>
      <c r="BB33" s="1">
        <v>0.52219991805240706</v>
      </c>
      <c r="BC33" s="1">
        <v>0.45897756765081943</v>
      </c>
      <c r="BD33" s="1">
        <v>0.56176193161704968</v>
      </c>
      <c r="BE33" s="1">
        <v>0.53930669392707242</v>
      </c>
      <c r="BF33" s="1">
        <v>0.48764222293340054</v>
      </c>
      <c r="BG33" s="1">
        <v>0.69307926587875579</v>
      </c>
      <c r="BH33" s="1">
        <v>0.46962927477845245</v>
      </c>
      <c r="BI33" s="1">
        <v>0.3531531739806742</v>
      </c>
      <c r="BJ33" s="1">
        <v>0.24048745139556826</v>
      </c>
      <c r="BK33" s="1">
        <v>0.32378497677231644</v>
      </c>
      <c r="BL33" s="1">
        <v>0.37880460832484442</v>
      </c>
      <c r="BM33" s="1">
        <v>0.33848862871510077</v>
      </c>
      <c r="BN33" s="1">
        <v>0.53421601316248413</v>
      </c>
      <c r="BO33" s="1">
        <v>0.36166670552457758</v>
      </c>
      <c r="BP33" s="1">
        <v>0.38796214738794732</v>
      </c>
      <c r="BQ33" s="1">
        <v>0.26693094138941686</v>
      </c>
      <c r="BR33" s="1">
        <v>0.48963995295991519</v>
      </c>
      <c r="BS33" s="1">
        <v>0.41988273277075794</v>
      </c>
      <c r="BT33" s="1">
        <v>0.40866546219159089</v>
      </c>
      <c r="BU33" s="1">
        <v>0.40234707636760092</v>
      </c>
      <c r="BV33" s="1">
        <v>0.35667058330040891</v>
      </c>
      <c r="BW33" s="1">
        <v>0.17934092722610775</v>
      </c>
      <c r="BX33" s="1">
        <v>0.28873809243574261</v>
      </c>
      <c r="BY33" s="1">
        <v>0.27207927558234629</v>
      </c>
      <c r="BZ33" s="1">
        <v>0.15246431600280094</v>
      </c>
      <c r="CA33" s="1">
        <v>0.34679631974776354</v>
      </c>
      <c r="CB33" s="1">
        <v>0.28940451669209816</v>
      </c>
      <c r="CC33" s="1">
        <v>0.34993328689897268</v>
      </c>
      <c r="CD33" s="1">
        <v>0.25180171105826188</v>
      </c>
      <c r="CE33" s="1">
        <v>0.17541736241888117</v>
      </c>
      <c r="CF33" s="1">
        <v>0.43131977634547419</v>
      </c>
      <c r="CG33" s="1">
        <v>0.58632846368303104</v>
      </c>
      <c r="CH33" s="1">
        <v>0.4013575381465454</v>
      </c>
      <c r="CI33" s="1">
        <v>0.66778345223182345</v>
      </c>
      <c r="CJ33" s="1">
        <v>0.30265223616718512</v>
      </c>
      <c r="CK33" s="1">
        <v>0.19628855791412722</v>
      </c>
      <c r="CL33" s="1">
        <v>0.38224077156094449</v>
      </c>
      <c r="CM33" s="1">
        <v>-4.3346613205689992E-2</v>
      </c>
      <c r="CN33" s="1">
        <v>0.32995567776218382</v>
      </c>
      <c r="CO33" s="1">
        <v>0.25280252879612075</v>
      </c>
      <c r="CP33" s="1">
        <v>0.10003221660618963</v>
      </c>
      <c r="CQ33" s="1">
        <v>9.8221598402563032E-2</v>
      </c>
      <c r="CR33" s="1">
        <v>4.5063560404663049E-2</v>
      </c>
      <c r="CS33" s="1">
        <v>0.10469280922225598</v>
      </c>
      <c r="CT33" s="1">
        <v>0.3279625951964501</v>
      </c>
      <c r="CU33" s="1">
        <v>0.17165322640534703</v>
      </c>
      <c r="CV33" s="1">
        <v>0.33483079422428935</v>
      </c>
      <c r="CW33" s="1">
        <v>0.47139426887874775</v>
      </c>
      <c r="CX33" s="1">
        <v>0.21722663463672082</v>
      </c>
      <c r="CY33" s="1">
        <v>0.30189002553753252</v>
      </c>
      <c r="CZ33" s="1">
        <v>0.55586893232138646</v>
      </c>
      <c r="DA33" s="1">
        <v>9.0169279365940561E-2</v>
      </c>
      <c r="DB33" s="1">
        <v>0.27866947426306338</v>
      </c>
      <c r="DC33" s="1">
        <v>0.17485670164712058</v>
      </c>
      <c r="DD33" s="1">
        <v>0.17431256558841476</v>
      </c>
      <c r="DE33" s="1">
        <v>0.46748243402660411</v>
      </c>
      <c r="DF33" s="1">
        <v>0.27304197983165296</v>
      </c>
      <c r="DG33" s="1">
        <v>0.10915450177076796</v>
      </c>
      <c r="DH33" s="1">
        <v>0.40667511415310015</v>
      </c>
      <c r="DI33" s="1">
        <v>0.27860924991916175</v>
      </c>
      <c r="DJ33" s="1">
        <v>0.20733070442369458</v>
      </c>
      <c r="DK33" s="1">
        <v>0.27858955691472675</v>
      </c>
      <c r="DL33" s="1">
        <v>0.3467485171401769</v>
      </c>
      <c r="DM33" s="1">
        <v>0.31370499081344821</v>
      </c>
      <c r="DN33" s="1">
        <v>0.27418377437440294</v>
      </c>
      <c r="DO33" s="1">
        <v>0.28695311411219609</v>
      </c>
      <c r="DP33" s="1">
        <v>0.33193097878777067</v>
      </c>
      <c r="DQ33" s="1">
        <v>0.30223774026706318</v>
      </c>
      <c r="DR33" s="1">
        <v>0.37844292723862311</v>
      </c>
      <c r="DS33" s="1">
        <v>0.13721844698159513</v>
      </c>
      <c r="DT33" s="1">
        <v>0.23625650752513322</v>
      </c>
      <c r="DU33" s="1">
        <v>0.37047803428455733</v>
      </c>
      <c r="DV33" s="1">
        <v>0.33195095797668545</v>
      </c>
      <c r="DW33" s="1">
        <v>0.34371357754528625</v>
      </c>
      <c r="DX33" s="1">
        <v>0.57169232369521716</v>
      </c>
      <c r="DY33" s="1">
        <v>0.34100959097216221</v>
      </c>
    </row>
    <row r="34" spans="1:129" ht="15">
      <c r="A34" s="7" t="s">
        <v>45</v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 t="str">
        <v/>
      </c>
      <c r="S34" s="1" t="str">
        <v/>
      </c>
      <c r="T34" s="1" t="str">
        <v/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 t="str">
        <v/>
      </c>
      <c r="AA34" s="1" t="str">
        <v/>
      </c>
      <c r="AB34" s="1" t="str">
        <v/>
      </c>
      <c r="AC34" s="1" t="str">
        <v/>
      </c>
      <c r="AD34" s="1" t="str">
        <v/>
      </c>
      <c r="AE34" s="1" t="str">
        <v/>
      </c>
      <c r="AF34" s="1">
        <v>1.0000000000000002</v>
      </c>
      <c r="AG34" s="1">
        <v>0.50188564013989834</v>
      </c>
      <c r="AH34" s="1">
        <v>0.45452339377894124</v>
      </c>
      <c r="AI34" s="1">
        <v>0.44101754434908147</v>
      </c>
      <c r="AJ34" s="1">
        <v>0.19732809392620754</v>
      </c>
      <c r="AK34" s="1">
        <v>0.22981412054414241</v>
      </c>
      <c r="AL34" s="1">
        <v>0.37674497978131188</v>
      </c>
      <c r="AM34" s="1">
        <v>0.3647427952266703</v>
      </c>
      <c r="AN34" s="1">
        <v>0.22931061492447413</v>
      </c>
      <c r="AO34" s="1">
        <v>0.47559991107891303</v>
      </c>
      <c r="AP34" s="1">
        <v>0.39017185676087474</v>
      </c>
      <c r="AQ34" s="1">
        <v>0.26034119431819797</v>
      </c>
      <c r="AR34" s="1">
        <v>0.34748684383558764</v>
      </c>
      <c r="AS34" s="1">
        <v>0.26607630506259555</v>
      </c>
      <c r="AT34" s="1">
        <v>0.42598171268926427</v>
      </c>
      <c r="AU34" s="1">
        <v>0.40241531494385274</v>
      </c>
      <c r="AV34" s="1">
        <v>0.39337680938513842</v>
      </c>
      <c r="AW34" s="1">
        <v>0.32972903334946041</v>
      </c>
      <c r="AX34" s="1">
        <v>0.36617514679393287</v>
      </c>
      <c r="AY34" s="1">
        <v>0.39976587342413222</v>
      </c>
      <c r="AZ34" s="1">
        <v>0.26885184626250108</v>
      </c>
      <c r="BA34" s="1">
        <v>0.37341736796842623</v>
      </c>
      <c r="BB34" s="1">
        <v>0.44705558925566369</v>
      </c>
      <c r="BC34" s="1">
        <v>0.379968594749654</v>
      </c>
      <c r="BD34" s="1">
        <v>0.53512786838358539</v>
      </c>
      <c r="BE34" s="1">
        <v>0.43212692662604885</v>
      </c>
      <c r="BF34" s="1">
        <v>0.57738303099027111</v>
      </c>
      <c r="BG34" s="1">
        <v>0.43094846584317442</v>
      </c>
      <c r="BH34" s="1">
        <v>0.32055415961868805</v>
      </c>
      <c r="BI34" s="1">
        <v>0.10817193528131858</v>
      </c>
      <c r="BJ34" s="1">
        <v>0.24486322610994957</v>
      </c>
      <c r="BK34" s="1">
        <v>0.33183917488520498</v>
      </c>
      <c r="BL34" s="1">
        <v>0.42035915609015267</v>
      </c>
      <c r="BM34" s="1">
        <v>0.34239185472731481</v>
      </c>
      <c r="BN34" s="1">
        <v>0.45574177970844043</v>
      </c>
      <c r="BO34" s="1">
        <v>0.33076040370667603</v>
      </c>
      <c r="BP34" s="1">
        <v>0.59451144418953961</v>
      </c>
      <c r="BQ34" s="1">
        <v>0.20567311812219977</v>
      </c>
      <c r="BR34" s="1">
        <v>0.50843972650417679</v>
      </c>
      <c r="BS34" s="1">
        <v>0.43652553121894594</v>
      </c>
      <c r="BT34" s="1">
        <v>0.33871080914933283</v>
      </c>
      <c r="BU34" s="1">
        <v>0.38548061195692462</v>
      </c>
      <c r="BV34" s="1">
        <v>0.23844641260547328</v>
      </c>
      <c r="BW34" s="1">
        <v>0.25734587606449333</v>
      </c>
      <c r="BX34" s="1">
        <v>0.23990025171438892</v>
      </c>
      <c r="BY34" s="1">
        <v>0.26086332165250858</v>
      </c>
      <c r="BZ34" s="1">
        <v>0.23187300757553345</v>
      </c>
      <c r="CA34" s="1">
        <v>0.35381168226013338</v>
      </c>
      <c r="CB34" s="1">
        <v>0.31330826621674301</v>
      </c>
      <c r="CC34" s="1">
        <v>0.48402484323686445</v>
      </c>
      <c r="CD34" s="1">
        <v>0.18195284083466634</v>
      </c>
      <c r="CE34" s="1">
        <v>0.29588887602477326</v>
      </c>
      <c r="CF34" s="1">
        <v>0.35044155104994557</v>
      </c>
      <c r="CG34" s="1">
        <v>0.43407206444729313</v>
      </c>
      <c r="CH34" s="1">
        <v>0.37177126312965575</v>
      </c>
      <c r="CI34" s="1">
        <v>0.58193263256939476</v>
      </c>
      <c r="CJ34" s="1">
        <v>0.27385283594282489</v>
      </c>
      <c r="CK34" s="1">
        <v>0.32709683476577989</v>
      </c>
      <c r="CL34" s="1">
        <v>0.24453210338822304</v>
      </c>
      <c r="CM34" s="1">
        <v>-0.13889527845584249</v>
      </c>
      <c r="CN34" s="1">
        <v>0.24715652297990834</v>
      </c>
      <c r="CO34" s="1">
        <v>2.8026687965019607E-2</v>
      </c>
      <c r="CP34" s="1">
        <v>2.6248139046994641E-2</v>
      </c>
      <c r="CQ34" s="1">
        <v>-7.2152821051091345E-2</v>
      </c>
      <c r="CR34" s="1">
        <v>4.1377067457840878E-3</v>
      </c>
      <c r="CS34" s="1">
        <v>0.19790497168171065</v>
      </c>
      <c r="CT34" s="1">
        <v>0.13129707889453535</v>
      </c>
      <c r="CU34" s="1">
        <v>0.22006104690345923</v>
      </c>
      <c r="CV34" s="1">
        <v>0.42161184906126203</v>
      </c>
      <c r="CW34" s="1">
        <v>0.46505397069438037</v>
      </c>
      <c r="CX34" s="1">
        <v>0.30321002422569199</v>
      </c>
      <c r="CY34" s="1">
        <v>0.38154258903624583</v>
      </c>
      <c r="CZ34" s="1">
        <v>0.23687086955370779</v>
      </c>
      <c r="DA34" s="1">
        <v>0.23711214923216897</v>
      </c>
      <c r="DB34" s="1">
        <v>0.2453174985032443</v>
      </c>
      <c r="DC34" s="1">
        <v>0.31906472646510681</v>
      </c>
      <c r="DD34" s="1">
        <v>2.9560474387502981E-2</v>
      </c>
      <c r="DE34" s="1">
        <v>0.4267562274306051</v>
      </c>
      <c r="DF34" s="1">
        <v>0.36600946719852634</v>
      </c>
      <c r="DG34" s="1">
        <v>0.15491642466093211</v>
      </c>
      <c r="DH34" s="1">
        <v>0.45894342636665109</v>
      </c>
      <c r="DI34" s="1">
        <v>0.37573741575214337</v>
      </c>
      <c r="DJ34" s="1">
        <v>0.26341448746820678</v>
      </c>
      <c r="DK34" s="1">
        <v>0.25735595191007349</v>
      </c>
      <c r="DL34" s="1">
        <v>0.27881825070330157</v>
      </c>
      <c r="DM34" s="1">
        <v>0.31090170524295968</v>
      </c>
      <c r="DN34" s="1">
        <v>0.26806851262316644</v>
      </c>
      <c r="DO34" s="1">
        <v>0.20380308324819063</v>
      </c>
      <c r="DP34" s="1">
        <v>0.33792098404604931</v>
      </c>
      <c r="DQ34" s="1">
        <v>0.22851161732941497</v>
      </c>
      <c r="DR34" s="1">
        <v>0.36476832352385236</v>
      </c>
      <c r="DS34" s="1">
        <v>0.27132600392718881</v>
      </c>
      <c r="DT34" s="1">
        <v>0.20700814755576583</v>
      </c>
      <c r="DU34" s="1">
        <v>0.32860090986564977</v>
      </c>
      <c r="DV34" s="1">
        <v>0.25525115786332231</v>
      </c>
      <c r="DW34" s="1">
        <v>0.13944683872823996</v>
      </c>
      <c r="DX34" s="1">
        <v>0.47342392434607322</v>
      </c>
      <c r="DY34" s="1">
        <v>0.41718317666200183</v>
      </c>
    </row>
    <row r="35" spans="1:129" ht="15">
      <c r="A35" s="7" t="s">
        <v>46</v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 t="str">
        <v/>
      </c>
      <c r="S35" s="1" t="str">
        <v/>
      </c>
      <c r="T35" s="1" t="str">
        <v/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 t="str">
        <v/>
      </c>
      <c r="AA35" s="1" t="str">
        <v/>
      </c>
      <c r="AB35" s="1" t="str">
        <v/>
      </c>
      <c r="AC35" s="1" t="str">
        <v/>
      </c>
      <c r="AD35" s="1" t="str">
        <v/>
      </c>
      <c r="AE35" s="1" t="str">
        <v/>
      </c>
      <c r="AF35" s="1" t="str">
        <v/>
      </c>
      <c r="AG35" s="1">
        <v>1.0000000000000002</v>
      </c>
      <c r="AH35" s="1">
        <v>0.5130299173422862</v>
      </c>
      <c r="AI35" s="1">
        <v>0.57809269471844749</v>
      </c>
      <c r="AJ35" s="1">
        <v>0.26571581094094765</v>
      </c>
      <c r="AK35" s="1">
        <v>0.28189707030117744</v>
      </c>
      <c r="AL35" s="1">
        <v>0.37964932875993429</v>
      </c>
      <c r="AM35" s="1">
        <v>0.46700998697425627</v>
      </c>
      <c r="AN35" s="1">
        <v>0.24836025097209991</v>
      </c>
      <c r="AO35" s="1">
        <v>0.51914006916745303</v>
      </c>
      <c r="AP35" s="1">
        <v>0.50578220365759619</v>
      </c>
      <c r="AQ35" s="1">
        <v>0.43062067042323326</v>
      </c>
      <c r="AR35" s="1">
        <v>0.45042689640914879</v>
      </c>
      <c r="AS35" s="1">
        <v>0.30991240929684899</v>
      </c>
      <c r="AT35" s="1">
        <v>0.49839693022118137</v>
      </c>
      <c r="AU35" s="1">
        <v>0.43971509868952419</v>
      </c>
      <c r="AV35" s="1">
        <v>0.49663620118176094</v>
      </c>
      <c r="AW35" s="1">
        <v>0.35265699218891372</v>
      </c>
      <c r="AX35" s="1">
        <v>0.37667003125834669</v>
      </c>
      <c r="AY35" s="1">
        <v>0.61262068358644528</v>
      </c>
      <c r="AZ35" s="1">
        <v>0.55101887084025969</v>
      </c>
      <c r="BA35" s="1">
        <v>0.59427408040300922</v>
      </c>
      <c r="BB35" s="1">
        <v>0.66522868549074277</v>
      </c>
      <c r="BC35" s="1">
        <v>0.5870268814788131</v>
      </c>
      <c r="BD35" s="1">
        <v>0.50760109880851967</v>
      </c>
      <c r="BE35" s="1">
        <v>0.32649071904986898</v>
      </c>
      <c r="BF35" s="1">
        <v>0.48431966822240918</v>
      </c>
      <c r="BG35" s="1">
        <v>0.60598586537472765</v>
      </c>
      <c r="BH35" s="1">
        <v>0.56053357973398477</v>
      </c>
      <c r="BI35" s="1">
        <v>0.30609929465315178</v>
      </c>
      <c r="BJ35" s="1">
        <v>0.25893092406717994</v>
      </c>
      <c r="BK35" s="1">
        <v>0.40480818540305408</v>
      </c>
      <c r="BL35" s="1">
        <v>0.43555506963868384</v>
      </c>
      <c r="BM35" s="1">
        <v>0.42093628321591026</v>
      </c>
      <c r="BN35" s="1">
        <v>0.44548052058652488</v>
      </c>
      <c r="BO35" s="1">
        <v>0.51602640538575928</v>
      </c>
      <c r="BP35" s="1">
        <v>0.49202622948449704</v>
      </c>
      <c r="BQ35" s="1">
        <v>0.40470281725101087</v>
      </c>
      <c r="BR35" s="1">
        <v>0.49074819945290582</v>
      </c>
      <c r="BS35" s="1">
        <v>0.38148781160541517</v>
      </c>
      <c r="BT35" s="1">
        <v>0.33532579231906318</v>
      </c>
      <c r="BU35" s="1">
        <v>0.53367614474489111</v>
      </c>
      <c r="BV35" s="1">
        <v>0.19935538634955782</v>
      </c>
      <c r="BW35" s="1">
        <v>9.9022083686765031E-2</v>
      </c>
      <c r="BX35" s="1">
        <v>0.43155715349496587</v>
      </c>
      <c r="BY35" s="1">
        <v>0.31261520734396936</v>
      </c>
      <c r="BZ35" s="1">
        <v>0.35010953858072824</v>
      </c>
      <c r="CA35" s="1">
        <v>0.36263257907071128</v>
      </c>
      <c r="CB35" s="1">
        <v>0.4561968483556047</v>
      </c>
      <c r="CC35" s="1">
        <v>0.27925115296283742</v>
      </c>
      <c r="CD35" s="1">
        <v>0.42311511935676327</v>
      </c>
      <c r="CE35" s="1">
        <v>0.24635508776574613</v>
      </c>
      <c r="CF35" s="1">
        <v>0.45652874144103289</v>
      </c>
      <c r="CG35" s="1">
        <v>0.52586077037460255</v>
      </c>
      <c r="CH35" s="1">
        <v>0.41564906188960926</v>
      </c>
      <c r="CI35" s="1">
        <v>0.71337132505505707</v>
      </c>
      <c r="CJ35" s="1">
        <v>0.49238933504376142</v>
      </c>
      <c r="CK35" s="1">
        <v>0.19263792228645585</v>
      </c>
      <c r="CL35" s="1">
        <v>0.4333298236586704</v>
      </c>
      <c r="CM35" s="1">
        <v>0.11291846536015648</v>
      </c>
      <c r="CN35" s="1">
        <v>0.34714710746849692</v>
      </c>
      <c r="CO35" s="1">
        <v>0.39608042505672969</v>
      </c>
      <c r="CP35" s="1">
        <v>0.21990891375873525</v>
      </c>
      <c r="CQ35" s="1">
        <v>0.24760402264289691</v>
      </c>
      <c r="CR35" s="1">
        <v>0.24067545190947648</v>
      </c>
      <c r="CS35" s="1">
        <v>0.18237010756026589</v>
      </c>
      <c r="CT35" s="1">
        <v>0.27194508173251286</v>
      </c>
      <c r="CU35" s="1">
        <v>0.39092367451247761</v>
      </c>
      <c r="CV35" s="1">
        <v>0.38215447601175384</v>
      </c>
      <c r="CW35" s="1">
        <v>0.37125400744466941</v>
      </c>
      <c r="CX35" s="1">
        <v>0.3344625775096059</v>
      </c>
      <c r="CY35" s="1">
        <v>0.33815125508724359</v>
      </c>
      <c r="CZ35" s="1">
        <v>0.53275100429385358</v>
      </c>
      <c r="DA35" s="1">
        <v>0.12156865370583048</v>
      </c>
      <c r="DB35" s="1">
        <v>0.32512239036919371</v>
      </c>
      <c r="DC35" s="1">
        <v>0.23644406252353956</v>
      </c>
      <c r="DD35" s="1">
        <v>0.10719227584478452</v>
      </c>
      <c r="DE35" s="1">
        <v>0.4424254560269863</v>
      </c>
      <c r="DF35" s="1">
        <v>0.36425274224241055</v>
      </c>
      <c r="DG35" s="1">
        <v>0.27710622560995163</v>
      </c>
      <c r="DH35" s="1">
        <v>0.40518257666808355</v>
      </c>
      <c r="DI35" s="1">
        <v>0.32354581822513101</v>
      </c>
      <c r="DJ35" s="1">
        <v>0.29548808462582388</v>
      </c>
      <c r="DK35" s="1">
        <v>0.25152761012995151</v>
      </c>
      <c r="DL35" s="1">
        <v>0.36305342176425054</v>
      </c>
      <c r="DM35" s="1">
        <v>0.2962707881948709</v>
      </c>
      <c r="DN35" s="1">
        <v>0.32912496143127201</v>
      </c>
      <c r="DO35" s="1">
        <v>0.28024395500763466</v>
      </c>
      <c r="DP35" s="1">
        <v>0.41699260573423164</v>
      </c>
      <c r="DQ35" s="1">
        <v>0.3154479475529593</v>
      </c>
      <c r="DR35" s="1">
        <v>0.38038211825558221</v>
      </c>
      <c r="DS35" s="1">
        <v>0.3165971560973006</v>
      </c>
      <c r="DT35" s="1">
        <v>0.29187146886600079</v>
      </c>
      <c r="DU35" s="1">
        <v>0.34120977873048569</v>
      </c>
      <c r="DV35" s="1">
        <v>0.37735438441664987</v>
      </c>
      <c r="DW35" s="1">
        <v>0.29094420809413807</v>
      </c>
      <c r="DX35" s="1">
        <v>0.44296678835722392</v>
      </c>
      <c r="DY35" s="1">
        <v>0.34394479240382064</v>
      </c>
    </row>
    <row r="36" spans="1:129" ht="15">
      <c r="A36" s="7" t="s">
        <v>47</v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 t="str">
        <v/>
      </c>
      <c r="S36" s="1" t="str">
        <v/>
      </c>
      <c r="T36" s="1" t="str">
        <v/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 t="str">
        <v/>
      </c>
      <c r="AA36" s="1" t="str">
        <v/>
      </c>
      <c r="AB36" s="1" t="str">
        <v/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1</v>
      </c>
      <c r="AI36" s="1">
        <v>0.45242394325430041</v>
      </c>
      <c r="AJ36" s="1">
        <v>0.2720000706832037</v>
      </c>
      <c r="AK36" s="1">
        <v>0.25462701121109904</v>
      </c>
      <c r="AL36" s="1">
        <v>0.40915306577139016</v>
      </c>
      <c r="AM36" s="1">
        <v>0.40940176616079371</v>
      </c>
      <c r="AN36" s="1">
        <v>0.31339630602590729</v>
      </c>
      <c r="AO36" s="1">
        <v>0.46172990099099304</v>
      </c>
      <c r="AP36" s="1">
        <v>0.28524324435825171</v>
      </c>
      <c r="AQ36" s="1">
        <v>0.30750730746625732</v>
      </c>
      <c r="AR36" s="1">
        <v>0.31238992638378965</v>
      </c>
      <c r="AS36" s="1">
        <v>0.30014169495401383</v>
      </c>
      <c r="AT36" s="1">
        <v>0.3674815891474103</v>
      </c>
      <c r="AU36" s="1">
        <v>0.29576843217486209</v>
      </c>
      <c r="AV36" s="1">
        <v>0.33032688086384537</v>
      </c>
      <c r="AW36" s="1">
        <v>0.2256958395806612</v>
      </c>
      <c r="AX36" s="1">
        <v>0.4808815921722302</v>
      </c>
      <c r="AY36" s="1">
        <v>0.54964441907299222</v>
      </c>
      <c r="AZ36" s="1">
        <v>0.36354252856670227</v>
      </c>
      <c r="BA36" s="1">
        <v>0.43716522345565673</v>
      </c>
      <c r="BB36" s="1">
        <v>0.57433368527432316</v>
      </c>
      <c r="BC36" s="1">
        <v>0.49106470820902814</v>
      </c>
      <c r="BD36" s="1">
        <v>0.33149948457355849</v>
      </c>
      <c r="BE36" s="1">
        <v>0.39300067479156409</v>
      </c>
      <c r="BF36" s="1">
        <v>0.36702432465626339</v>
      </c>
      <c r="BG36" s="1">
        <v>0.35856824795732645</v>
      </c>
      <c r="BH36" s="1">
        <v>0.30746807246022717</v>
      </c>
      <c r="BI36" s="1">
        <v>0.22105349351809694</v>
      </c>
      <c r="BJ36" s="1">
        <v>8.7512935040065479E-2</v>
      </c>
      <c r="BK36" s="1">
        <v>4.1759648149480993E-2</v>
      </c>
      <c r="BL36" s="1">
        <v>0.25419586732403743</v>
      </c>
      <c r="BM36" s="1">
        <v>0.23842804218619615</v>
      </c>
      <c r="BN36" s="1">
        <v>0.43879706861392298</v>
      </c>
      <c r="BO36" s="1">
        <v>0.24382811390787271</v>
      </c>
      <c r="BP36" s="1">
        <v>0.27219283069283284</v>
      </c>
      <c r="BQ36" s="1">
        <v>6.9576807934966109E-2</v>
      </c>
      <c r="BR36" s="1">
        <v>0.28317823918547586</v>
      </c>
      <c r="BS36" s="1">
        <v>0.32666047500462719</v>
      </c>
      <c r="BT36" s="1">
        <v>0.2843820782922028</v>
      </c>
      <c r="BU36" s="1">
        <v>0.3242094383402071</v>
      </c>
      <c r="BV36" s="1">
        <v>0.19068859319136472</v>
      </c>
      <c r="BW36" s="1">
        <v>0.16136255304354946</v>
      </c>
      <c r="BX36" s="1">
        <v>0.35296430945154267</v>
      </c>
      <c r="BY36" s="1">
        <v>0.23482312759926163</v>
      </c>
      <c r="BZ36" s="1">
        <v>6.2955556030370105E-2</v>
      </c>
      <c r="CA36" s="1">
        <v>0.12964640284912618</v>
      </c>
      <c r="CB36" s="1">
        <v>0.10341845909454341</v>
      </c>
      <c r="CC36" s="1">
        <v>0.28212846316973417</v>
      </c>
      <c r="CD36" s="1">
        <v>0.10140447612593576</v>
      </c>
      <c r="CE36" s="1">
        <v>0.15547909283855629</v>
      </c>
      <c r="CF36" s="1">
        <v>0.21483180216583314</v>
      </c>
      <c r="CG36" s="1">
        <v>0.4866912351203983</v>
      </c>
      <c r="CH36" s="1">
        <v>0.17381649995715998</v>
      </c>
      <c r="CI36" s="1">
        <v>0.51022545021643229</v>
      </c>
      <c r="CJ36" s="1">
        <v>0.24245183603553921</v>
      </c>
      <c r="CK36" s="1">
        <v>0.18315087277378869</v>
      </c>
      <c r="CL36" s="1">
        <v>0.30650689221133143</v>
      </c>
      <c r="CM36" s="1">
        <v>0.14890332792052291</v>
      </c>
      <c r="CN36" s="1">
        <v>0.37742037782368199</v>
      </c>
      <c r="CO36" s="1">
        <v>0.22851402049533301</v>
      </c>
      <c r="CP36" s="1">
        <v>7.9236247909577409E-2</v>
      </c>
      <c r="CQ36" s="1">
        <v>0.16764025827551213</v>
      </c>
      <c r="CR36" s="1">
        <v>2.0732071900915392E-2</v>
      </c>
      <c r="CS36" s="1">
        <v>-5.9845788409202627E-2</v>
      </c>
      <c r="CT36" s="1">
        <v>0.14416739746109361</v>
      </c>
      <c r="CU36" s="1">
        <v>0.19663107384686698</v>
      </c>
      <c r="CV36" s="1">
        <v>0.16909439500583812</v>
      </c>
      <c r="CW36" s="1">
        <v>0.19165880719320505</v>
      </c>
      <c r="CX36" s="1">
        <v>0.22673957285790688</v>
      </c>
      <c r="CY36" s="1">
        <v>0.38559170144548488</v>
      </c>
      <c r="CZ36" s="1">
        <v>0.35971013123506718</v>
      </c>
      <c r="DA36" s="1">
        <v>0.11741067427050375</v>
      </c>
      <c r="DB36" s="1">
        <v>0.43669907045354905</v>
      </c>
      <c r="DC36" s="1">
        <v>0.23916521235912663</v>
      </c>
      <c r="DD36" s="1">
        <v>0.11763236639032433</v>
      </c>
      <c r="DE36" s="1">
        <v>0.49463347433644178</v>
      </c>
      <c r="DF36" s="1">
        <v>0.37778999235382321</v>
      </c>
      <c r="DG36" s="1">
        <v>0.27307100513060273</v>
      </c>
      <c r="DH36" s="1">
        <v>0.38458919917788459</v>
      </c>
      <c r="DI36" s="1">
        <v>0.30528889364536671</v>
      </c>
      <c r="DJ36" s="1">
        <v>0.17264296549123692</v>
      </c>
      <c r="DK36" s="1">
        <v>0.28339631459641412</v>
      </c>
      <c r="DL36" s="1">
        <v>0.26810438174728896</v>
      </c>
      <c r="DM36" s="1">
        <v>0.28274378584864013</v>
      </c>
      <c r="DN36" s="1">
        <v>0.23693365451189516</v>
      </c>
      <c r="DO36" s="1">
        <v>0.16519391731693495</v>
      </c>
      <c r="DP36" s="1">
        <v>0.27776894465670687</v>
      </c>
      <c r="DQ36" s="1">
        <v>0.21974363460465055</v>
      </c>
      <c r="DR36" s="1">
        <v>0.35698093781846441</v>
      </c>
      <c r="DS36" s="1">
        <v>0.29295315973282654</v>
      </c>
      <c r="DT36" s="1">
        <v>0.14353740407677942</v>
      </c>
      <c r="DU36" s="1">
        <v>0.34176546877800767</v>
      </c>
      <c r="DV36" s="1">
        <v>0.17586862160533576</v>
      </c>
      <c r="DW36" s="1">
        <v>9.1485039354361225E-2</v>
      </c>
      <c r="DX36" s="1">
        <v>0.30484330293459028</v>
      </c>
      <c r="DY36" s="1">
        <v>0.29509208400603471</v>
      </c>
    </row>
    <row r="37" spans="1:129" ht="15">
      <c r="A37" s="7" t="s">
        <v>48</v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 t="str">
        <v/>
      </c>
      <c r="S37" s="1" t="str">
        <v/>
      </c>
      <c r="T37" s="1" t="str">
        <v/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 t="str">
        <v/>
      </c>
      <c r="AA37" s="1" t="str">
        <v/>
      </c>
      <c r="AB37" s="1" t="str">
        <v/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 t="str">
        <v/>
      </c>
      <c r="AI37" s="1">
        <v>1.0000000000000002</v>
      </c>
      <c r="AJ37" s="1">
        <v>0.30174735647854484</v>
      </c>
      <c r="AK37" s="1">
        <v>0.26731068055292834</v>
      </c>
      <c r="AL37" s="1">
        <v>0.22201531083561701</v>
      </c>
      <c r="AM37" s="1">
        <v>0.25796693936740533</v>
      </c>
      <c r="AN37" s="1">
        <v>0.19337733898385809</v>
      </c>
      <c r="AO37" s="1">
        <v>0.40995366450385812</v>
      </c>
      <c r="AP37" s="1">
        <v>0.44295685306971694</v>
      </c>
      <c r="AQ37" s="1">
        <v>0.31761396873799608</v>
      </c>
      <c r="AR37" s="1">
        <v>0.47397627916515023</v>
      </c>
      <c r="AS37" s="1">
        <v>0.38285923514411019</v>
      </c>
      <c r="AT37" s="1">
        <v>0.45263687055799157</v>
      </c>
      <c r="AU37" s="1">
        <v>0.37715127803911391</v>
      </c>
      <c r="AV37" s="1">
        <v>0.45078550624388875</v>
      </c>
      <c r="AW37" s="1">
        <v>0.30286659782491637</v>
      </c>
      <c r="AX37" s="1">
        <v>0.28828419326392596</v>
      </c>
      <c r="AY37" s="1">
        <v>0.38264891075499669</v>
      </c>
      <c r="AZ37" s="1">
        <v>0.4931741507990845</v>
      </c>
      <c r="BA37" s="1">
        <v>0.5541316772777416</v>
      </c>
      <c r="BB37" s="1">
        <v>0.4052676723686281</v>
      </c>
      <c r="BC37" s="1">
        <v>0.45192350399460973</v>
      </c>
      <c r="BD37" s="1">
        <v>0.57164906317545938</v>
      </c>
      <c r="BE37" s="1">
        <v>0.28376000886128333</v>
      </c>
      <c r="BF37" s="1">
        <v>0.59548115653613254</v>
      </c>
      <c r="BG37" s="1">
        <v>0.60588287350788783</v>
      </c>
      <c r="BH37" s="1">
        <v>0.33178351757239971</v>
      </c>
      <c r="BI37" s="1">
        <v>0.36401224952319949</v>
      </c>
      <c r="BJ37" s="1">
        <v>0.19147445977449151</v>
      </c>
      <c r="BK37" s="1">
        <v>0.34890357797869642</v>
      </c>
      <c r="BL37" s="1">
        <v>0.43170669502530978</v>
      </c>
      <c r="BM37" s="1">
        <v>0.40504070416049065</v>
      </c>
      <c r="BN37" s="1">
        <v>0.37351940768404757</v>
      </c>
      <c r="BO37" s="1">
        <v>0.47952254842480219</v>
      </c>
      <c r="BP37" s="1">
        <v>0.39039272437550521</v>
      </c>
      <c r="BQ37" s="1">
        <v>0.3237338728125545</v>
      </c>
      <c r="BR37" s="1">
        <v>0.48276536540469073</v>
      </c>
      <c r="BS37" s="1">
        <v>0.38303215393038503</v>
      </c>
      <c r="BT37" s="1">
        <v>0.4028607298867089</v>
      </c>
      <c r="BU37" s="1">
        <v>0.48862894052333816</v>
      </c>
      <c r="BV37" s="1">
        <v>0.25665838726423845</v>
      </c>
      <c r="BW37" s="1">
        <v>0.13745474423404652</v>
      </c>
      <c r="BX37" s="1">
        <v>0.44413232815953069</v>
      </c>
      <c r="BY37" s="1">
        <v>0.32928451721458546</v>
      </c>
      <c r="BZ37" s="1">
        <v>0.36218338374806003</v>
      </c>
      <c r="CA37" s="1">
        <v>0.41535516907648284</v>
      </c>
      <c r="CB37" s="1">
        <v>0.46881788232757299</v>
      </c>
      <c r="CC37" s="1">
        <v>0.30214313808391308</v>
      </c>
      <c r="CD37" s="1">
        <v>0.40676638624751749</v>
      </c>
      <c r="CE37" s="1">
        <v>0.42967763650437052</v>
      </c>
      <c r="CF37" s="1">
        <v>0.53705012511619721</v>
      </c>
      <c r="CG37" s="1">
        <v>0.50652046499439929</v>
      </c>
      <c r="CH37" s="1">
        <v>0.50822688749885769</v>
      </c>
      <c r="CI37" s="1">
        <v>0.64732726847918476</v>
      </c>
      <c r="CJ37" s="1">
        <v>0.54897580830897119</v>
      </c>
      <c r="CK37" s="1">
        <v>0.26391955272867929</v>
      </c>
      <c r="CL37" s="1">
        <v>0.41579589009088319</v>
      </c>
      <c r="CM37" s="1">
        <v>7.9671461616867251E-2</v>
      </c>
      <c r="CN37" s="1">
        <v>0.40685385548789921</v>
      </c>
      <c r="CO37" s="1">
        <v>0.29031032751354091</v>
      </c>
      <c r="CP37" s="1">
        <v>0.35818799351625824</v>
      </c>
      <c r="CQ37" s="1">
        <v>0.22789450316658896</v>
      </c>
      <c r="CR37" s="1">
        <v>0.16911805483121847</v>
      </c>
      <c r="CS37" s="1">
        <v>0.1403740619012358</v>
      </c>
      <c r="CT37" s="1">
        <v>0.3568039150739476</v>
      </c>
      <c r="CU37" s="1">
        <v>0.33241916368331836</v>
      </c>
      <c r="CV37" s="1">
        <v>0.33307421243524593</v>
      </c>
      <c r="CW37" s="1">
        <v>0.3319871784213933</v>
      </c>
      <c r="CX37" s="1">
        <v>0.21036269638276769</v>
      </c>
      <c r="CY37" s="1">
        <v>0.19658739836205683</v>
      </c>
      <c r="CZ37" s="1">
        <v>0.40349703008231907</v>
      </c>
      <c r="DA37" s="1">
        <v>6.1398368648433302E-2</v>
      </c>
      <c r="DB37" s="1">
        <v>0.15437541427709398</v>
      </c>
      <c r="DC37" s="1">
        <v>0.3191304348547499</v>
      </c>
      <c r="DD37" s="1">
        <v>0.20867460774807153</v>
      </c>
      <c r="DE37" s="1">
        <v>0.44605083791043398</v>
      </c>
      <c r="DF37" s="1">
        <v>0.31266366684486813</v>
      </c>
      <c r="DG37" s="1">
        <v>0.19175958038740615</v>
      </c>
      <c r="DH37" s="1">
        <v>0.37198538147521359</v>
      </c>
      <c r="DI37" s="1">
        <v>0.38370104053301413</v>
      </c>
      <c r="DJ37" s="1">
        <v>0.37529156265862362</v>
      </c>
      <c r="DK37" s="1">
        <v>0.3432852778148649</v>
      </c>
      <c r="DL37" s="1">
        <v>0.34178959346031446</v>
      </c>
      <c r="DM37" s="1">
        <v>0.40662738825025585</v>
      </c>
      <c r="DN37" s="1">
        <v>0.43405963866835073</v>
      </c>
      <c r="DO37" s="1">
        <v>0.29807552633223527</v>
      </c>
      <c r="DP37" s="1">
        <v>0.40303452081607832</v>
      </c>
      <c r="DQ37" s="1">
        <v>0.4205749423472353</v>
      </c>
      <c r="DR37" s="1">
        <v>0.37915374075181801</v>
      </c>
      <c r="DS37" s="1">
        <v>0.19712693106093224</v>
      </c>
      <c r="DT37" s="1">
        <v>0.34086442307712372</v>
      </c>
      <c r="DU37" s="1">
        <v>0.43834697967855402</v>
      </c>
      <c r="DV37" s="1">
        <v>0.391333220182568</v>
      </c>
      <c r="DW37" s="1">
        <v>0.11989456780836211</v>
      </c>
      <c r="DX37" s="1">
        <v>0.49869804990972511</v>
      </c>
      <c r="DY37" s="1">
        <v>0.39278375138728805</v>
      </c>
    </row>
    <row r="38" spans="1:129" ht="15">
      <c r="A38" s="7" t="s">
        <v>49</v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 t="str">
        <v/>
      </c>
      <c r="S38" s="1" t="str">
        <v/>
      </c>
      <c r="T38" s="1" t="str">
        <v/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 t="str">
        <v/>
      </c>
      <c r="AA38" s="1" t="str">
        <v/>
      </c>
      <c r="AB38" s="1" t="str">
        <v/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 t="str">
        <v/>
      </c>
      <c r="AI38" s="1" t="str">
        <v/>
      </c>
      <c r="AJ38" s="1">
        <v>1</v>
      </c>
      <c r="AK38" s="1">
        <v>0.25722973077020472</v>
      </c>
      <c r="AL38" s="1">
        <v>0.16586094559600195</v>
      </c>
      <c r="AM38" s="1">
        <v>7.5388622357574112E-2</v>
      </c>
      <c r="AN38" s="1">
        <v>0.25541841102639229</v>
      </c>
      <c r="AO38" s="1">
        <v>4.3227301746444284E-2</v>
      </c>
      <c r="AP38" s="1">
        <v>0.23815825823858888</v>
      </c>
      <c r="AQ38" s="1">
        <v>0.25915327188871778</v>
      </c>
      <c r="AR38" s="1">
        <v>0.15286301360604929</v>
      </c>
      <c r="AS38" s="1">
        <v>9.1504768234712194E-2</v>
      </c>
      <c r="AT38" s="1">
        <v>7.200474855124038E-2</v>
      </c>
      <c r="AU38" s="1">
        <v>0.1407127443020493</v>
      </c>
      <c r="AV38" s="1">
        <v>9.3164787962925669E-2</v>
      </c>
      <c r="AW38" s="1">
        <v>5.2284451317748816E-2</v>
      </c>
      <c r="AX38" s="1">
        <v>0.14922399800987005</v>
      </c>
      <c r="AY38" s="1">
        <v>0.31437629842730563</v>
      </c>
      <c r="AZ38" s="1">
        <v>0.21193351216297307</v>
      </c>
      <c r="BA38" s="1">
        <v>0.22940822045555051</v>
      </c>
      <c r="BB38" s="1">
        <v>0.12204458142818324</v>
      </c>
      <c r="BC38" s="1">
        <v>0.13874403077221681</v>
      </c>
      <c r="BD38" s="1">
        <v>0.20165515558767338</v>
      </c>
      <c r="BE38" s="1">
        <v>3.6742428357138694E-2</v>
      </c>
      <c r="BF38" s="1">
        <v>0.37891289388103833</v>
      </c>
      <c r="BG38" s="1">
        <v>0.26470432516508341</v>
      </c>
      <c r="BH38" s="1">
        <v>0.27170411396979272</v>
      </c>
      <c r="BI38" s="1">
        <v>8.3549954219377623E-2</v>
      </c>
      <c r="BJ38" s="1">
        <v>0.19511277385735001</v>
      </c>
      <c r="BK38" s="1">
        <v>0.13710980021495051</v>
      </c>
      <c r="BL38" s="1">
        <v>7.214185612545547E-2</v>
      </c>
      <c r="BM38" s="1">
        <v>5.0001455872126427E-2</v>
      </c>
      <c r="BN38" s="1">
        <v>0.33887673213933156</v>
      </c>
      <c r="BO38" s="1">
        <v>0.41170736935539531</v>
      </c>
      <c r="BP38" s="1">
        <v>0.23343167656454852</v>
      </c>
      <c r="BQ38" s="1">
        <v>4.229481587752728E-2</v>
      </c>
      <c r="BR38" s="1">
        <v>0.24992861457313584</v>
      </c>
      <c r="BS38" s="1">
        <v>2.0662782736416307E-2</v>
      </c>
      <c r="BT38" s="1">
        <v>-3.5353262381524753E-2</v>
      </c>
      <c r="BU38" s="1">
        <v>0.13712240606360784</v>
      </c>
      <c r="BV38" s="1">
        <v>3.3158888359449981E-2</v>
      </c>
      <c r="BW38" s="1">
        <v>0.16475212599735961</v>
      </c>
      <c r="BX38" s="1">
        <v>0.36815956592460686</v>
      </c>
      <c r="BY38" s="1">
        <v>0.11069048604946395</v>
      </c>
      <c r="BZ38" s="1">
        <v>0.19185778365415496</v>
      </c>
      <c r="CA38" s="1">
        <v>0.10433465236404008</v>
      </c>
      <c r="CB38" s="1">
        <v>0.2505429905806591</v>
      </c>
      <c r="CC38" s="1">
        <v>0.12654474968833213</v>
      </c>
      <c r="CD38" s="1">
        <v>0.16310077644496757</v>
      </c>
      <c r="CE38" s="1">
        <v>0.21268862244811232</v>
      </c>
      <c r="CF38" s="1">
        <v>0.29029466814997701</v>
      </c>
      <c r="CG38" s="1">
        <v>0.12505757836993034</v>
      </c>
      <c r="CH38" s="1">
        <v>0.36549604144517317</v>
      </c>
      <c r="CI38" s="1">
        <v>0.33660567404013514</v>
      </c>
      <c r="CJ38" s="1">
        <v>0.19175224144117672</v>
      </c>
      <c r="CK38" s="1">
        <v>8.6759866454919163E-2</v>
      </c>
      <c r="CL38" s="1">
        <v>0.11024788866489039</v>
      </c>
      <c r="CM38" s="1">
        <v>0.27377446507988018</v>
      </c>
      <c r="CN38" s="1">
        <v>0.37395167670050689</v>
      </c>
      <c r="CO38" s="1">
        <v>0.18133558286259316</v>
      </c>
      <c r="CP38" s="1">
        <v>0.18266676526155151</v>
      </c>
      <c r="CQ38" s="1">
        <v>0.23432357901592604</v>
      </c>
      <c r="CR38" s="1">
        <v>0.25689655434218722</v>
      </c>
      <c r="CS38" s="1">
        <v>-3.3691172262499433E-3</v>
      </c>
      <c r="CT38" s="1">
        <v>3.0674613872340245E-2</v>
      </c>
      <c r="CU38" s="1">
        <v>2.498667628595708E-2</v>
      </c>
      <c r="CV38" s="1">
        <v>0.34799911886117202</v>
      </c>
      <c r="CW38" s="1">
        <v>0.27996216473665497</v>
      </c>
      <c r="CX38" s="1">
        <v>6.4843142249651139E-3</v>
      </c>
      <c r="CY38" s="1">
        <v>0.11840753179554511</v>
      </c>
      <c r="CZ38" s="1">
        <v>0.23760225509315511</v>
      </c>
      <c r="DA38" s="1">
        <v>0.23826994965261225</v>
      </c>
      <c r="DB38" s="1">
        <v>0.18320317245929169</v>
      </c>
      <c r="DC38" s="1">
        <v>0.26708900715266015</v>
      </c>
      <c r="DD38" s="1">
        <v>2.0887284897791396E-2</v>
      </c>
      <c r="DE38" s="1">
        <v>0.33400443736311003</v>
      </c>
      <c r="DF38" s="1">
        <v>0.32005102029177024</v>
      </c>
      <c r="DG38" s="1">
        <v>9.9844500588186252E-2</v>
      </c>
      <c r="DH38" s="1">
        <v>0.17469090051523112</v>
      </c>
      <c r="DI38" s="1">
        <v>0.14365638180752791</v>
      </c>
      <c r="DJ38" s="1">
        <v>0.14130320189636583</v>
      </c>
      <c r="DK38" s="1">
        <v>0.10898575399614822</v>
      </c>
      <c r="DL38" s="1">
        <v>0.10790833918877034</v>
      </c>
      <c r="DM38" s="1">
        <v>0.1152297015429843</v>
      </c>
      <c r="DN38" s="1">
        <v>0.19319570991906707</v>
      </c>
      <c r="DO38" s="1">
        <v>4.7509847251797556E-2</v>
      </c>
      <c r="DP38" s="1">
        <v>0.17049782102964389</v>
      </c>
      <c r="DQ38" s="1">
        <v>0.13487441141956288</v>
      </c>
      <c r="DR38" s="1">
        <v>0.15874357140296139</v>
      </c>
      <c r="DS38" s="1">
        <v>9.7881716384071907E-2</v>
      </c>
      <c r="DT38" s="1">
        <v>0.18200590583207446</v>
      </c>
      <c r="DU38" s="1">
        <v>0.15377793014128696</v>
      </c>
      <c r="DV38" s="1">
        <v>6.9500119627871906E-2</v>
      </c>
      <c r="DW38" s="1">
        <v>0.15652692097905282</v>
      </c>
      <c r="DX38" s="1">
        <v>6.1916899230416211E-2</v>
      </c>
      <c r="DY38" s="1">
        <v>0.12669224565840939</v>
      </c>
    </row>
    <row r="39" spans="1:129" ht="15">
      <c r="A39" s="7" t="s">
        <v>50</v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 t="str">
        <v/>
      </c>
      <c r="S39" s="1" t="str">
        <v/>
      </c>
      <c r="T39" s="1" t="str">
        <v/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 t="str">
        <v/>
      </c>
      <c r="AA39" s="1" t="str">
        <v/>
      </c>
      <c r="AB39" s="1" t="str">
        <v/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 t="str">
        <v/>
      </c>
      <c r="AI39" s="1" t="str">
        <v/>
      </c>
      <c r="AJ39" s="1" t="str">
        <v/>
      </c>
      <c r="AK39" s="1">
        <v>1</v>
      </c>
      <c r="AL39" s="1">
        <v>-3.9335847151553988E-3</v>
      </c>
      <c r="AM39" s="1">
        <v>9.4373769932961718E-2</v>
      </c>
      <c r="AN39" s="1">
        <v>0.20987022757246979</v>
      </c>
      <c r="AO39" s="1">
        <v>0.15343295148866409</v>
      </c>
      <c r="AP39" s="1">
        <v>0.12600942193033055</v>
      </c>
      <c r="AQ39" s="1">
        <v>-3.1601875067134015E-2</v>
      </c>
      <c r="AR39" s="1">
        <v>0.1477275188397876</v>
      </c>
      <c r="AS39" s="1">
        <v>-4.4212589616539087E-2</v>
      </c>
      <c r="AT39" s="1">
        <v>2.6276075314547974E-2</v>
      </c>
      <c r="AU39" s="1">
        <v>1.0210848320296501E-2</v>
      </c>
      <c r="AV39" s="1">
        <v>7.9245099916005063E-3</v>
      </c>
      <c r="AW39" s="1">
        <v>1.1009769930176291E-2</v>
      </c>
      <c r="AX39" s="1">
        <v>0.14023708633749923</v>
      </c>
      <c r="AY39" s="1">
        <v>0.10745442423300795</v>
      </c>
      <c r="AZ39" s="1">
        <v>0.11814070167471259</v>
      </c>
      <c r="BA39" s="1">
        <v>7.0115394053249638E-2</v>
      </c>
      <c r="BB39" s="1">
        <v>6.2500472663986922E-2</v>
      </c>
      <c r="BC39" s="1">
        <v>6.8993096749909388E-2</v>
      </c>
      <c r="BD39" s="1">
        <v>7.5791076931502645E-3</v>
      </c>
      <c r="BE39" s="1">
        <v>-0.11074771777669914</v>
      </c>
      <c r="BF39" s="1">
        <v>0.23717434609253013</v>
      </c>
      <c r="BG39" s="1">
        <v>0.29494296830130617</v>
      </c>
      <c r="BH39" s="1">
        <v>0.12809608597854871</v>
      </c>
      <c r="BI39" s="1">
        <v>-0.19381287202256037</v>
      </c>
      <c r="BJ39" s="1">
        <v>-0.14858950201046797</v>
      </c>
      <c r="BK39" s="1">
        <v>7.199243039815062E-2</v>
      </c>
      <c r="BL39" s="1">
        <v>1.8206575951417892E-2</v>
      </c>
      <c r="BM39" s="1">
        <v>-0.18826292871738751</v>
      </c>
      <c r="BN39" s="1">
        <v>9.6344962388508482E-2</v>
      </c>
      <c r="BO39" s="1">
        <v>0.13398021544912567</v>
      </c>
      <c r="BP39" s="1">
        <v>0.23201711392831478</v>
      </c>
      <c r="BQ39" s="1">
        <v>0.11022359949443816</v>
      </c>
      <c r="BR39" s="1">
        <v>0.17253635674701234</v>
      </c>
      <c r="BS39" s="1">
        <v>4.4569055712039229E-2</v>
      </c>
      <c r="BT39" s="1">
        <v>-0.23039131338188898</v>
      </c>
      <c r="BU39" s="1">
        <v>1.2255757695761882E-3</v>
      </c>
      <c r="BV39" s="1">
        <v>-0.10145308580051139</v>
      </c>
      <c r="BW39" s="1">
        <v>-0.12948263915598512</v>
      </c>
      <c r="BX39" s="1">
        <v>6.4765534330132365E-2</v>
      </c>
      <c r="BY39" s="1">
        <v>-0.21848818398835904</v>
      </c>
      <c r="BZ39" s="1">
        <v>0.1996105046782016</v>
      </c>
      <c r="CA39" s="1">
        <v>-1.764100441556685E-2</v>
      </c>
      <c r="CB39" s="1">
        <v>0.1137892351901736</v>
      </c>
      <c r="CC39" s="1">
        <v>9.7980998777970799E-2</v>
      </c>
      <c r="CD39" s="1">
        <v>0.18884184708467627</v>
      </c>
      <c r="CE39" s="1">
        <v>9.8765710238551463E-2</v>
      </c>
      <c r="CF39" s="1">
        <v>0.19013683097659162</v>
      </c>
      <c r="CG39" s="1">
        <v>7.9240842548061352E-2</v>
      </c>
      <c r="CH39" s="1">
        <v>0.29178189052338188</v>
      </c>
      <c r="CI39" s="1">
        <v>0.11822413018708987</v>
      </c>
      <c r="CJ39" s="1">
        <v>0.35222622233452089</v>
      </c>
      <c r="CK39" s="1">
        <v>0.21197210850062176</v>
      </c>
      <c r="CL39" s="1">
        <v>-0.17265624923637668</v>
      </c>
      <c r="CM39" s="1">
        <v>0.40999541989863414</v>
      </c>
      <c r="CN39" s="1">
        <v>0.2874451225576683</v>
      </c>
      <c r="CO39" s="1">
        <v>0.21274995946827921</v>
      </c>
      <c r="CP39" s="1">
        <v>0.11230359385133029</v>
      </c>
      <c r="CQ39" s="1">
        <v>0.1884063420831944</v>
      </c>
      <c r="CR39" s="1">
        <v>0.42880275951236285</v>
      </c>
      <c r="CS39" s="1">
        <v>0.31434131707589513</v>
      </c>
      <c r="CT39" s="1">
        <v>-0.23817282478427795</v>
      </c>
      <c r="CU39" s="1">
        <v>0.21371879220468429</v>
      </c>
      <c r="CV39" s="1">
        <v>0.32613371977928413</v>
      </c>
      <c r="CW39" s="1">
        <v>0.11859367598015123</v>
      </c>
      <c r="CX39" s="1">
        <v>6.3973053284646184E-2</v>
      </c>
      <c r="CY39" s="1">
        <v>-0.13840474595762312</v>
      </c>
      <c r="CZ39" s="1">
        <v>-1.2144866366075781E-2</v>
      </c>
      <c r="DA39" s="1">
        <v>5.7154921513799202E-2</v>
      </c>
      <c r="DB39" s="1">
        <v>0.13423026118662396</v>
      </c>
      <c r="DC39" s="1">
        <v>4.3363114507616395E-2</v>
      </c>
      <c r="DD39" s="1">
        <v>-0.20593523393196583</v>
      </c>
      <c r="DE39" s="1">
        <v>0.22247155989690118</v>
      </c>
      <c r="DF39" s="1">
        <v>0.15338110741619071</v>
      </c>
      <c r="DG39" s="1">
        <v>0.10718341589959304</v>
      </c>
      <c r="DH39" s="1">
        <v>8.7415622086725042E-2</v>
      </c>
      <c r="DI39" s="1">
        <v>1.8677315850029221E-2</v>
      </c>
      <c r="DJ39" s="1">
        <v>5.7027824494766798E-3</v>
      </c>
      <c r="DK39" s="1">
        <v>-0.10829235632889807</v>
      </c>
      <c r="DL39" s="1">
        <v>-8.4126418270337608E-2</v>
      </c>
      <c r="DM39" s="1">
        <v>-6.3113884326663858E-2</v>
      </c>
      <c r="DN39" s="1">
        <v>-0.1016211165175864</v>
      </c>
      <c r="DO39" s="1">
        <v>-0.30716268891914045</v>
      </c>
      <c r="DP39" s="1">
        <v>-0.11275135355252996</v>
      </c>
      <c r="DQ39" s="1">
        <v>-0.15325138052277909</v>
      </c>
      <c r="DR39" s="1">
        <v>-8.4670140479597214E-2</v>
      </c>
      <c r="DS39" s="1">
        <v>2.294383397346399E-2</v>
      </c>
      <c r="DT39" s="1">
        <v>-0.13534939076926655</v>
      </c>
      <c r="DU39" s="1">
        <v>-0.17053080191915912</v>
      </c>
      <c r="DV39" s="1">
        <v>-0.24285920495990856</v>
      </c>
      <c r="DW39" s="1">
        <v>2.2762277298358474E-2</v>
      </c>
      <c r="DX39" s="1">
        <v>0.15711550484176992</v>
      </c>
      <c r="DY39" s="1">
        <v>-3.5191598104116046E-3</v>
      </c>
    </row>
    <row r="40" spans="1:129" ht="15">
      <c r="A40" s="7" t="s">
        <v>51</v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 t="str">
        <v/>
      </c>
      <c r="S40" s="1" t="str">
        <v/>
      </c>
      <c r="T40" s="1" t="str">
        <v/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 t="str">
        <v/>
      </c>
      <c r="AA40" s="1" t="str">
        <v/>
      </c>
      <c r="AB40" s="1" t="str">
        <v/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 t="str">
        <v/>
      </c>
      <c r="AI40" s="1" t="str">
        <v/>
      </c>
      <c r="AJ40" s="1" t="str">
        <v/>
      </c>
      <c r="AK40" s="1" t="str">
        <v/>
      </c>
      <c r="AL40" s="1">
        <v>0.99999999999999989</v>
      </c>
      <c r="AM40" s="1">
        <v>0.26615457465423142</v>
      </c>
      <c r="AN40" s="1">
        <v>0.34291792790338532</v>
      </c>
      <c r="AO40" s="1">
        <v>0.45058931630109172</v>
      </c>
      <c r="AP40" s="1">
        <v>0.51606021138192315</v>
      </c>
      <c r="AQ40" s="1">
        <v>0.45352601193097314</v>
      </c>
      <c r="AR40" s="1">
        <v>0.33927949452224732</v>
      </c>
      <c r="AS40" s="1">
        <v>0.37257063608342061</v>
      </c>
      <c r="AT40" s="1">
        <v>0.54996109313028696</v>
      </c>
      <c r="AU40" s="1">
        <v>0.42987057895985187</v>
      </c>
      <c r="AV40" s="1">
        <v>0.49147631201780173</v>
      </c>
      <c r="AW40" s="1">
        <v>0.32967430162469674</v>
      </c>
      <c r="AX40" s="1">
        <v>0.30704289953654718</v>
      </c>
      <c r="AY40" s="1">
        <v>0.35173361139970521</v>
      </c>
      <c r="AZ40" s="1">
        <v>0.18452452113277873</v>
      </c>
      <c r="BA40" s="1">
        <v>0.20538229350633283</v>
      </c>
      <c r="BB40" s="1">
        <v>0.4944759179917374</v>
      </c>
      <c r="BC40" s="1">
        <v>0.57426787476211683</v>
      </c>
      <c r="BD40" s="1">
        <v>0.43423953090877165</v>
      </c>
      <c r="BE40" s="1">
        <v>0.22736342700425063</v>
      </c>
      <c r="BF40" s="1">
        <v>0.43184358938504142</v>
      </c>
      <c r="BG40" s="1">
        <v>0.33579122860642496</v>
      </c>
      <c r="BH40" s="1">
        <v>0.43879710865272764</v>
      </c>
      <c r="BI40" s="1">
        <v>0.40828411339566678</v>
      </c>
      <c r="BJ40" s="1">
        <v>0.46905417159664486</v>
      </c>
      <c r="BK40" s="1">
        <v>0.13266433563509417</v>
      </c>
      <c r="BL40" s="1">
        <v>0.2959806152290676</v>
      </c>
      <c r="BM40" s="1">
        <v>0.34542497585487891</v>
      </c>
      <c r="BN40" s="1">
        <v>0.44190509482881524</v>
      </c>
      <c r="BO40" s="1">
        <v>0.43699757020495322</v>
      </c>
      <c r="BP40" s="1">
        <v>0.43119429277047633</v>
      </c>
      <c r="BQ40" s="1">
        <v>-0.10184758623488407</v>
      </c>
      <c r="BR40" s="1">
        <v>0.22253419763315913</v>
      </c>
      <c r="BS40" s="1">
        <v>0.31504152410811115</v>
      </c>
      <c r="BT40" s="1">
        <v>0.31412341582777314</v>
      </c>
      <c r="BU40" s="1">
        <v>0.394343552427044</v>
      </c>
      <c r="BV40" s="1">
        <v>0.24346454509221621</v>
      </c>
      <c r="BW40" s="1">
        <v>0.2287965660142503</v>
      </c>
      <c r="BX40" s="1">
        <v>0.36034726617272317</v>
      </c>
      <c r="BY40" s="1">
        <v>0.52601546064277893</v>
      </c>
      <c r="BZ40" s="1">
        <v>6.6670368165631225E-2</v>
      </c>
      <c r="CA40" s="1">
        <v>8.9953404682399624E-2</v>
      </c>
      <c r="CB40" s="1">
        <v>0.17194674874048169</v>
      </c>
      <c r="CC40" s="1">
        <v>0.18733250923974931</v>
      </c>
      <c r="CD40" s="1">
        <v>1.1396195130389759E-2</v>
      </c>
      <c r="CE40" s="1">
        <v>0.24081099173286535</v>
      </c>
      <c r="CF40" s="1">
        <v>0.23763054333695147</v>
      </c>
      <c r="CG40" s="1">
        <v>0.30635158670515572</v>
      </c>
      <c r="CH40" s="1">
        <v>8.9842086500832155E-2</v>
      </c>
      <c r="CI40" s="1">
        <v>0.5613223762654499</v>
      </c>
      <c r="CJ40" s="1">
        <v>0.14593087896684281</v>
      </c>
      <c r="CK40" s="1">
        <v>0.36585024886512363</v>
      </c>
      <c r="CL40" s="1">
        <v>0.39180753674285018</v>
      </c>
      <c r="CM40" s="1">
        <v>-2.9166210182517111E-2</v>
      </c>
      <c r="CN40" s="1">
        <v>0.29344720319832734</v>
      </c>
      <c r="CO40" s="1">
        <v>0.12805106847003314</v>
      </c>
      <c r="CP40" s="1">
        <v>9.0522641623936844E-3</v>
      </c>
      <c r="CQ40" s="1">
        <v>0.18472368024215727</v>
      </c>
      <c r="CR40" s="1">
        <v>0.11618833158727652</v>
      </c>
      <c r="CS40" s="1">
        <v>8.9078671745076124E-2</v>
      </c>
      <c r="CT40" s="1">
        <v>0.33738208443582635</v>
      </c>
      <c r="CU40" s="1">
        <v>0.19939348999919379</v>
      </c>
      <c r="CV40" s="1">
        <v>0.14289963692470764</v>
      </c>
      <c r="CW40" s="1">
        <v>0.24697238344854194</v>
      </c>
      <c r="CX40" s="1">
        <v>0.2855943499017915</v>
      </c>
      <c r="CY40" s="1">
        <v>0.28480833287034824</v>
      </c>
      <c r="CZ40" s="1">
        <v>0.29996099813370203</v>
      </c>
      <c r="DA40" s="1">
        <v>0.26028889730421845</v>
      </c>
      <c r="DB40" s="1">
        <v>0.34679564990580541</v>
      </c>
      <c r="DC40" s="1">
        <v>0.38314771038968265</v>
      </c>
      <c r="DD40" s="1">
        <v>0.24180570691979716</v>
      </c>
      <c r="DE40" s="1">
        <v>0.40719809702992088</v>
      </c>
      <c r="DF40" s="1">
        <v>0.36854945517925342</v>
      </c>
      <c r="DG40" s="1">
        <v>0.43067955733980856</v>
      </c>
      <c r="DH40" s="1">
        <v>0.51093754901199973</v>
      </c>
      <c r="DI40" s="1">
        <v>0.55653057956214658</v>
      </c>
      <c r="DJ40" s="1">
        <v>0.5758202603871182</v>
      </c>
      <c r="DK40" s="1">
        <v>0.51733640686547389</v>
      </c>
      <c r="DL40" s="1">
        <v>0.51687326094711716</v>
      </c>
      <c r="DM40" s="1">
        <v>0.53539053550105176</v>
      </c>
      <c r="DN40" s="1">
        <v>0.52931145960461756</v>
      </c>
      <c r="DO40" s="1">
        <v>0.4870241005910797</v>
      </c>
      <c r="DP40" s="1">
        <v>0.53805438810229012</v>
      </c>
      <c r="DQ40" s="1">
        <v>0.47756051635005642</v>
      </c>
      <c r="DR40" s="1">
        <v>0.53511862441625979</v>
      </c>
      <c r="DS40" s="1">
        <v>0.48899633998233399</v>
      </c>
      <c r="DT40" s="1">
        <v>0.50962001471570262</v>
      </c>
      <c r="DU40" s="1">
        <v>0.53220008363806948</v>
      </c>
      <c r="DV40" s="1">
        <v>0.46208816362555166</v>
      </c>
      <c r="DW40" s="1">
        <v>0.239647459977334</v>
      </c>
      <c r="DX40" s="1">
        <v>0.20081446098382127</v>
      </c>
      <c r="DY40" s="1">
        <v>0.51053470799684975</v>
      </c>
    </row>
    <row r="41" spans="1:129" ht="15">
      <c r="A41" s="7" t="s">
        <v>52</v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 t="str">
        <v/>
      </c>
      <c r="S41" s="1" t="str">
        <v/>
      </c>
      <c r="T41" s="1" t="str">
        <v/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 t="str">
        <v/>
      </c>
      <c r="AA41" s="1" t="str">
        <v/>
      </c>
      <c r="AB41" s="1" t="str">
        <v/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 t="str">
        <v/>
      </c>
      <c r="AI41" s="1" t="str">
        <v/>
      </c>
      <c r="AJ41" s="1" t="str">
        <v/>
      </c>
      <c r="AK41" s="1" t="str">
        <v/>
      </c>
      <c r="AL41" s="1" t="str">
        <v/>
      </c>
      <c r="AM41" s="1">
        <v>1</v>
      </c>
      <c r="AN41" s="1">
        <v>0.26528743404331168</v>
      </c>
      <c r="AO41" s="1">
        <v>0.42010025110469695</v>
      </c>
      <c r="AP41" s="1">
        <v>0.41754656196438417</v>
      </c>
      <c r="AQ41" s="1">
        <v>0.38679590775140338</v>
      </c>
      <c r="AR41" s="1">
        <v>0.37689933395010949</v>
      </c>
      <c r="AS41" s="1">
        <v>0.45194065793190008</v>
      </c>
      <c r="AT41" s="1">
        <v>0.41448824619315028</v>
      </c>
      <c r="AU41" s="1">
        <v>0.31266654563415341</v>
      </c>
      <c r="AV41" s="1">
        <v>0.38314221000833376</v>
      </c>
      <c r="AW41" s="1">
        <v>0.34567143223608304</v>
      </c>
      <c r="AX41" s="1">
        <v>0.54443235839441784</v>
      </c>
      <c r="AY41" s="1">
        <v>0.59799816598960842</v>
      </c>
      <c r="AZ41" s="1">
        <v>0.47779029058352629</v>
      </c>
      <c r="BA41" s="1">
        <v>0.40528781594210345</v>
      </c>
      <c r="BB41" s="1">
        <v>0.37561366985072581</v>
      </c>
      <c r="BC41" s="1">
        <v>0.44174165021679834</v>
      </c>
      <c r="BD41" s="1">
        <v>0.34828688207936231</v>
      </c>
      <c r="BE41" s="1">
        <v>0.31112310353766004</v>
      </c>
      <c r="BF41" s="1">
        <v>0.34864048907278683</v>
      </c>
      <c r="BG41" s="1">
        <v>0.53391067140972437</v>
      </c>
      <c r="BH41" s="1">
        <v>0.41607444031740159</v>
      </c>
      <c r="BI41" s="1">
        <v>0.1890869397811758</v>
      </c>
      <c r="BJ41" s="1">
        <v>0.20580238987883059</v>
      </c>
      <c r="BK41" s="1">
        <v>4.8699803181842964E-2</v>
      </c>
      <c r="BL41" s="1">
        <v>7.7871222813931801E-2</v>
      </c>
      <c r="BM41" s="1">
        <v>0.1444153825008733</v>
      </c>
      <c r="BN41" s="1">
        <v>0.37593024026385724</v>
      </c>
      <c r="BO41" s="1">
        <v>0.32086960549130433</v>
      </c>
      <c r="BP41" s="1">
        <v>0.38553615864288171</v>
      </c>
      <c r="BQ41" s="1">
        <v>0.19043351152827026</v>
      </c>
      <c r="BR41" s="1">
        <v>0.11668816945563271</v>
      </c>
      <c r="BS41" s="1">
        <v>0.33194238651613533</v>
      </c>
      <c r="BT41" s="1">
        <v>0.19619401247188292</v>
      </c>
      <c r="BU41" s="1">
        <v>0.14621029549083639</v>
      </c>
      <c r="BV41" s="1">
        <v>0.3366450093545984</v>
      </c>
      <c r="BW41" s="1">
        <v>0.15357214627726731</v>
      </c>
      <c r="BX41" s="1">
        <v>0.2265303775643692</v>
      </c>
      <c r="BY41" s="1">
        <v>0.19825368159438359</v>
      </c>
      <c r="BZ41" s="1">
        <v>-1.4843505952352587E-2</v>
      </c>
      <c r="CA41" s="1">
        <v>0.10852921978708005</v>
      </c>
      <c r="CB41" s="1">
        <v>5.5111445498951826E-2</v>
      </c>
      <c r="CC41" s="1">
        <v>0.31641828293074431</v>
      </c>
      <c r="CD41" s="1">
        <v>0.13324307086906079</v>
      </c>
      <c r="CE41" s="1">
        <v>7.2827642966419234E-2</v>
      </c>
      <c r="CF41" s="1">
        <v>0.28057060906976777</v>
      </c>
      <c r="CG41" s="1">
        <v>0.40269634171725932</v>
      </c>
      <c r="CH41" s="1">
        <v>0.24277607453347125</v>
      </c>
      <c r="CI41" s="1">
        <v>0.49094541563222133</v>
      </c>
      <c r="CJ41" s="1">
        <v>0.17053121252086229</v>
      </c>
      <c r="CK41" s="1">
        <v>0.26744375710529861</v>
      </c>
      <c r="CL41" s="1">
        <v>0.26123518926064049</v>
      </c>
      <c r="CM41" s="1">
        <v>-0.15341857771056402</v>
      </c>
      <c r="CN41" s="1">
        <v>0.32803557351264195</v>
      </c>
      <c r="CO41" s="1">
        <v>0.12715814884829083</v>
      </c>
      <c r="CP41" s="1">
        <v>-8.9347613528388159E-2</v>
      </c>
      <c r="CQ41" s="1">
        <v>-1.3170338948592545E-2</v>
      </c>
      <c r="CR41" s="1">
        <v>9.8967997983005554E-2</v>
      </c>
      <c r="CS41" s="1">
        <v>-4.1612598368766605E-3</v>
      </c>
      <c r="CT41" s="1">
        <v>0.13771448179354298</v>
      </c>
      <c r="CU41" s="1">
        <v>2.3663317920581271E-2</v>
      </c>
      <c r="CV41" s="1">
        <v>0.38394086973002722</v>
      </c>
      <c r="CW41" s="1">
        <v>0.46164631921118071</v>
      </c>
      <c r="CX41" s="1">
        <v>0.15224442427433379</v>
      </c>
      <c r="CY41" s="1">
        <v>0.11148484664315327</v>
      </c>
      <c r="CZ41" s="1">
        <v>0.37631718246435913</v>
      </c>
      <c r="DA41" s="1">
        <v>0.24287515782883687</v>
      </c>
      <c r="DB41" s="1">
        <v>0.20536521272630223</v>
      </c>
      <c r="DC41" s="1">
        <v>0.12315375748815838</v>
      </c>
      <c r="DD41" s="1">
        <v>-2.4496580837052588E-3</v>
      </c>
      <c r="DE41" s="1">
        <v>0.487270191763505</v>
      </c>
      <c r="DF41" s="1">
        <v>0.12843158889322651</v>
      </c>
      <c r="DG41" s="1">
        <v>0.32852808965143798</v>
      </c>
      <c r="DH41" s="1">
        <v>0.41081874260943951</v>
      </c>
      <c r="DI41" s="1">
        <v>0.25351587269191994</v>
      </c>
      <c r="DJ41" s="1">
        <v>0.14076569875014142</v>
      </c>
      <c r="DK41" s="1">
        <v>0.19621999484157576</v>
      </c>
      <c r="DL41" s="1">
        <v>0.26231312821802638</v>
      </c>
      <c r="DM41" s="1">
        <v>0.26420546689376884</v>
      </c>
      <c r="DN41" s="1">
        <v>0.30877869473252068</v>
      </c>
      <c r="DO41" s="1">
        <v>0.12718377495158503</v>
      </c>
      <c r="DP41" s="1">
        <v>0.25581528730162517</v>
      </c>
      <c r="DQ41" s="1">
        <v>0.17587553849020926</v>
      </c>
      <c r="DR41" s="1">
        <v>0.36640150759782958</v>
      </c>
      <c r="DS41" s="1">
        <v>0.1737109730733965</v>
      </c>
      <c r="DT41" s="1">
        <v>0.24400187495837636</v>
      </c>
      <c r="DU41" s="1">
        <v>0.32056943883765243</v>
      </c>
      <c r="DV41" s="1">
        <v>0.21584532715933041</v>
      </c>
      <c r="DW41" s="1">
        <v>0.26423215848517823</v>
      </c>
      <c r="DX41" s="1">
        <v>0.49296986500903572</v>
      </c>
      <c r="DY41" s="1">
        <v>0.32581572578827789</v>
      </c>
    </row>
    <row r="42" spans="1:129" ht="15">
      <c r="A42" s="7" t="s">
        <v>53</v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 t="str">
        <v/>
      </c>
      <c r="S42" s="1" t="str">
        <v/>
      </c>
      <c r="T42" s="1" t="str">
        <v/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 t="str">
        <v/>
      </c>
      <c r="AA42" s="1" t="str">
        <v/>
      </c>
      <c r="AB42" s="1" t="str">
        <v/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 t="str">
        <v/>
      </c>
      <c r="AI42" s="1" t="str">
        <v/>
      </c>
      <c r="AJ42" s="1" t="str">
        <v/>
      </c>
      <c r="AK42" s="1" t="str">
        <v/>
      </c>
      <c r="AL42" s="1" t="str">
        <v/>
      </c>
      <c r="AM42" s="1" t="str">
        <v/>
      </c>
      <c r="AN42" s="1">
        <v>1</v>
      </c>
      <c r="AO42" s="1">
        <v>0.44191873647911822</v>
      </c>
      <c r="AP42" s="1">
        <v>0.44278547745548669</v>
      </c>
      <c r="AQ42" s="1">
        <v>8.6299736572336451E-3</v>
      </c>
      <c r="AR42" s="1">
        <v>-9.807693364378077E-2</v>
      </c>
      <c r="AS42" s="1">
        <v>0.45344743824569506</v>
      </c>
      <c r="AT42" s="1">
        <v>0.43666384886915921</v>
      </c>
      <c r="AU42" s="1">
        <v>0.33360512256254166</v>
      </c>
      <c r="AV42" s="1">
        <v>0.446982198080006</v>
      </c>
      <c r="AW42" s="1">
        <v>0.10337498022469878</v>
      </c>
      <c r="AX42" s="1">
        <v>0.39158007362370262</v>
      </c>
      <c r="AY42" s="1">
        <v>0.22069687636263996</v>
      </c>
      <c r="AZ42" s="1">
        <v>0.24551995576405972</v>
      </c>
      <c r="BA42" s="1">
        <v>0.1821434469738355</v>
      </c>
      <c r="BB42" s="1">
        <v>0.26719514719410892</v>
      </c>
      <c r="BC42" s="1">
        <v>0.35691097020846185</v>
      </c>
      <c r="BD42" s="1">
        <v>0.26918426919526223</v>
      </c>
      <c r="BE42" s="1">
        <v>0.21120665624293758</v>
      </c>
      <c r="BF42" s="1">
        <v>0.35101732702799859</v>
      </c>
      <c r="BG42" s="1">
        <v>0.12262119475382929</v>
      </c>
      <c r="BH42" s="1">
        <v>0.26802691854412214</v>
      </c>
      <c r="BI42" s="1">
        <v>0.14135025655041106</v>
      </c>
      <c r="BJ42" s="1">
        <v>0.35828397254516564</v>
      </c>
      <c r="BK42" s="1">
        <v>0.13907800516602467</v>
      </c>
      <c r="BL42" s="1">
        <v>0.19862074013630271</v>
      </c>
      <c r="BM42" s="1">
        <v>0.23437852617563729</v>
      </c>
      <c r="BN42" s="1">
        <v>0.26568444354598669</v>
      </c>
      <c r="BO42" s="1">
        <v>0.18580720364234887</v>
      </c>
      <c r="BP42" s="1">
        <v>0.22727966646907918</v>
      </c>
      <c r="BQ42" s="1">
        <v>-5.4521640708562427E-2</v>
      </c>
      <c r="BR42" s="1">
        <v>0.18877010442958103</v>
      </c>
      <c r="BS42" s="1">
        <v>0.25627153021145188</v>
      </c>
      <c r="BT42" s="1">
        <v>0.30530924686565336</v>
      </c>
      <c r="BU42" s="1">
        <v>9.7775780254918995E-2</v>
      </c>
      <c r="BV42" s="1">
        <v>-0.12887109696494484</v>
      </c>
      <c r="BW42" s="1">
        <v>7.8869553988328442E-2</v>
      </c>
      <c r="BX42" s="1">
        <v>0.19360970246164369</v>
      </c>
      <c r="BY42" s="1">
        <v>0.10463409660799165</v>
      </c>
      <c r="BZ42" s="1">
        <v>-6.3164135156677809E-3</v>
      </c>
      <c r="CA42" s="1">
        <v>5.1154749795051795E-2</v>
      </c>
      <c r="CB42" s="1">
        <v>1.4336444377590086E-2</v>
      </c>
      <c r="CC42" s="1">
        <v>0.144665496577916</v>
      </c>
      <c r="CD42" s="1">
        <v>-1.9611985713798769E-2</v>
      </c>
      <c r="CE42" s="1">
        <v>0.11782771621950293</v>
      </c>
      <c r="CF42" s="1">
        <v>0.15993256943458589</v>
      </c>
      <c r="CG42" s="1">
        <v>0.26407794136016649</v>
      </c>
      <c r="CH42" s="1">
        <v>0.1322714850772386</v>
      </c>
      <c r="CI42" s="1">
        <v>0.32781631421289426</v>
      </c>
      <c r="CJ42" s="1">
        <v>3.6772265409086798E-3</v>
      </c>
      <c r="CK42" s="1">
        <v>0.15466850402447233</v>
      </c>
      <c r="CL42" s="1">
        <v>0.37899144168082688</v>
      </c>
      <c r="CM42" s="1">
        <v>8.7746836083043261E-2</v>
      </c>
      <c r="CN42" s="1">
        <v>0.16678099585941036</v>
      </c>
      <c r="CO42" s="1">
        <v>7.5593808424376199E-2</v>
      </c>
      <c r="CP42" s="1">
        <v>-0.24381156343152474</v>
      </c>
      <c r="CQ42" s="1">
        <v>-3.9187074556645357E-2</v>
      </c>
      <c r="CR42" s="1">
        <v>0.19813514629695059</v>
      </c>
      <c r="CS42" s="1">
        <v>8.3664316273878089E-2</v>
      </c>
      <c r="CT42" s="1">
        <v>0.25769189795411906</v>
      </c>
      <c r="CU42" s="1">
        <v>0.17683492262069492</v>
      </c>
      <c r="CV42" s="1">
        <v>3.5194414075764756E-2</v>
      </c>
      <c r="CW42" s="1">
        <v>0.11722115464695747</v>
      </c>
      <c r="CX42" s="1">
        <v>0.14421201269557896</v>
      </c>
      <c r="CY42" s="1">
        <v>8.2967147371237351E-2</v>
      </c>
      <c r="CZ42" s="1">
        <v>0.16437773899548622</v>
      </c>
      <c r="DA42" s="1">
        <v>0.11761812073174903</v>
      </c>
      <c r="DB42" s="1">
        <v>0.18042002719155362</v>
      </c>
      <c r="DC42" s="1">
        <v>0.21536762230174389</v>
      </c>
      <c r="DD42" s="1">
        <v>9.0711892187255866E-2</v>
      </c>
      <c r="DE42" s="1">
        <v>0.3412879228670882</v>
      </c>
      <c r="DF42" s="1">
        <v>0.16623632110419326</v>
      </c>
      <c r="DG42" s="1">
        <v>-2.3009039534773408E-2</v>
      </c>
      <c r="DH42" s="1">
        <v>0.46081769648022813</v>
      </c>
      <c r="DI42" s="1">
        <v>0.44784671616577243</v>
      </c>
      <c r="DJ42" s="1">
        <v>0.41227947687982169</v>
      </c>
      <c r="DK42" s="1">
        <v>0.4542698569340507</v>
      </c>
      <c r="DL42" s="1">
        <v>0.33545011135742753</v>
      </c>
      <c r="DM42" s="1">
        <v>0.34568167635129882</v>
      </c>
      <c r="DN42" s="1">
        <v>0.29204276655592759</v>
      </c>
      <c r="DO42" s="1">
        <v>0.30708536172401873</v>
      </c>
      <c r="DP42" s="1">
        <v>0.34337027864547054</v>
      </c>
      <c r="DQ42" s="1">
        <v>0.29595409312572979</v>
      </c>
      <c r="DR42" s="1">
        <v>0.34552712751973158</v>
      </c>
      <c r="DS42" s="1">
        <v>0.20185958509464019</v>
      </c>
      <c r="DT42" s="1">
        <v>0.19437445655771238</v>
      </c>
      <c r="DU42" s="1">
        <v>0.29918170079362549</v>
      </c>
      <c r="DV42" s="1">
        <v>0.18628695808944287</v>
      </c>
      <c r="DW42" s="1">
        <v>0.18585506828648823</v>
      </c>
      <c r="DX42" s="1">
        <v>0.13443238465042445</v>
      </c>
      <c r="DY42" s="1">
        <v>0.3200527970822783</v>
      </c>
    </row>
    <row r="43" spans="1:129" ht="15">
      <c r="A43" s="7" t="s">
        <v>54</v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 t="str">
        <v/>
      </c>
      <c r="S43" s="1" t="str">
        <v/>
      </c>
      <c r="T43" s="1" t="str">
        <v/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 t="str">
        <v/>
      </c>
      <c r="AA43" s="1" t="str">
        <v/>
      </c>
      <c r="AB43" s="1" t="str">
        <v/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 t="str">
        <v/>
      </c>
      <c r="AI43" s="1" t="str">
        <v/>
      </c>
      <c r="AJ43" s="1" t="str">
        <v/>
      </c>
      <c r="AK43" s="1" t="str">
        <v/>
      </c>
      <c r="AL43" s="1" t="str">
        <v/>
      </c>
      <c r="AM43" s="1" t="str">
        <v/>
      </c>
      <c r="AN43" s="1" t="str">
        <v/>
      </c>
      <c r="AO43" s="1">
        <v>1</v>
      </c>
      <c r="AP43" s="1">
        <v>0.58873701131124967</v>
      </c>
      <c r="AQ43" s="1">
        <v>0.46415408612489928</v>
      </c>
      <c r="AR43" s="1">
        <v>0.24811265355975973</v>
      </c>
      <c r="AS43" s="1">
        <v>0.48769487110245757</v>
      </c>
      <c r="AT43" s="1">
        <v>0.64203161645862572</v>
      </c>
      <c r="AU43" s="1">
        <v>0.60493648682071066</v>
      </c>
      <c r="AV43" s="1">
        <v>0.64711753477813783</v>
      </c>
      <c r="AW43" s="1">
        <v>0.34925193088970125</v>
      </c>
      <c r="AX43" s="1">
        <v>0.6208965627382057</v>
      </c>
      <c r="AY43" s="1">
        <v>0.50287625581900897</v>
      </c>
      <c r="AZ43" s="1">
        <v>0.48651117834506924</v>
      </c>
      <c r="BA43" s="1">
        <v>0.41691951635155816</v>
      </c>
      <c r="BB43" s="1">
        <v>0.49393771707188383</v>
      </c>
      <c r="BC43" s="1">
        <v>0.55011112094345571</v>
      </c>
      <c r="BD43" s="1">
        <v>0.55868844748096558</v>
      </c>
      <c r="BE43" s="1">
        <v>0.36408038028469647</v>
      </c>
      <c r="BF43" s="1">
        <v>0.45442358475561129</v>
      </c>
      <c r="BG43" s="1">
        <v>0.39084987448828457</v>
      </c>
      <c r="BH43" s="1">
        <v>0.42131543019944567</v>
      </c>
      <c r="BI43" s="1">
        <v>0.28464628996719926</v>
      </c>
      <c r="BJ43" s="1">
        <v>0.4741574769698329</v>
      </c>
      <c r="BK43" s="1">
        <v>0.32051276248409294</v>
      </c>
      <c r="BL43" s="1">
        <v>0.47694120923817435</v>
      </c>
      <c r="BM43" s="1">
        <v>0.41936427917938768</v>
      </c>
      <c r="BN43" s="1">
        <v>0.47636187978744343</v>
      </c>
      <c r="BO43" s="1">
        <v>0.39142751436228213</v>
      </c>
      <c r="BP43" s="1">
        <v>0.4853366994602028</v>
      </c>
      <c r="BQ43" s="1">
        <v>0.11593869538156303</v>
      </c>
      <c r="BR43" s="1">
        <v>0.31730048669193034</v>
      </c>
      <c r="BS43" s="1">
        <v>0.49445218626342197</v>
      </c>
      <c r="BT43" s="1">
        <v>0.47423299733275026</v>
      </c>
      <c r="BU43" s="1">
        <v>0.47036750710785002</v>
      </c>
      <c r="BV43" s="1">
        <v>4.7961409171482484E-2</v>
      </c>
      <c r="BW43" s="1">
        <v>0.30363033061253036</v>
      </c>
      <c r="BX43" s="1">
        <v>0.22461200913527604</v>
      </c>
      <c r="BY43" s="1">
        <v>0.25116095488896167</v>
      </c>
      <c r="BZ43" s="1">
        <v>0.27601198131222671</v>
      </c>
      <c r="CA43" s="1">
        <v>0.30857286744729495</v>
      </c>
      <c r="CB43" s="1">
        <v>0.25317697621975993</v>
      </c>
      <c r="CC43" s="1">
        <v>0.26797868413524095</v>
      </c>
      <c r="CD43" s="1">
        <v>0.25885109360193231</v>
      </c>
      <c r="CE43" s="1">
        <v>0.45032234195024362</v>
      </c>
      <c r="CF43" s="1">
        <v>0.44318751903083192</v>
      </c>
      <c r="CG43" s="1">
        <v>0.49354804178818695</v>
      </c>
      <c r="CH43" s="1">
        <v>0.25933106567607694</v>
      </c>
      <c r="CI43" s="1">
        <v>0.60983840870466455</v>
      </c>
      <c r="CJ43" s="1">
        <v>0.28790846979137014</v>
      </c>
      <c r="CK43" s="1">
        <v>0.37604656472801895</v>
      </c>
      <c r="CL43" s="1">
        <v>0.45028741185025017</v>
      </c>
      <c r="CM43" s="1">
        <v>-7.2087521078329581E-2</v>
      </c>
      <c r="CN43" s="1">
        <v>0.34310446721990301</v>
      </c>
      <c r="CO43" s="1">
        <v>0.1584721499615534</v>
      </c>
      <c r="CP43" s="1">
        <v>0.14996645326881652</v>
      </c>
      <c r="CQ43" s="1">
        <v>9.2152315716079111E-2</v>
      </c>
      <c r="CR43" s="1">
        <v>9.9040735594425944E-2</v>
      </c>
      <c r="CS43" s="1">
        <v>0.27302814118036833</v>
      </c>
      <c r="CT43" s="1">
        <v>0.47748685859876572</v>
      </c>
      <c r="CU43" s="1">
        <v>0.33776844793350058</v>
      </c>
      <c r="CV43" s="1">
        <v>0.22350895471685886</v>
      </c>
      <c r="CW43" s="1">
        <v>0.33315012024425472</v>
      </c>
      <c r="CX43" s="1">
        <v>0.26654676521650367</v>
      </c>
      <c r="CY43" s="1">
        <v>0.17418349902855179</v>
      </c>
      <c r="CZ43" s="1">
        <v>0.29977493562253543</v>
      </c>
      <c r="DA43" s="1">
        <v>4.9657992744414826E-2</v>
      </c>
      <c r="DB43" s="1">
        <v>0.23221135745948482</v>
      </c>
      <c r="DC43" s="1">
        <v>0.39354291777835643</v>
      </c>
      <c r="DD43" s="1">
        <v>0.24048374667804848</v>
      </c>
      <c r="DE43" s="1">
        <v>0.38214284981219815</v>
      </c>
      <c r="DF43" s="1">
        <v>0.1525914596520673</v>
      </c>
      <c r="DG43" s="1">
        <v>0.24510813069382892</v>
      </c>
      <c r="DH43" s="1">
        <v>0.52107985970963666</v>
      </c>
      <c r="DI43" s="1">
        <v>0.46568777888406854</v>
      </c>
      <c r="DJ43" s="1">
        <v>0.42695927080708129</v>
      </c>
      <c r="DK43" s="1">
        <v>0.39739949380114975</v>
      </c>
      <c r="DL43" s="1">
        <v>0.47349777474704902</v>
      </c>
      <c r="DM43" s="1">
        <v>0.45529714893580636</v>
      </c>
      <c r="DN43" s="1">
        <v>0.37547372133421603</v>
      </c>
      <c r="DO43" s="1">
        <v>0.4415750221135622</v>
      </c>
      <c r="DP43" s="1">
        <v>0.49002250912874634</v>
      </c>
      <c r="DQ43" s="1">
        <v>0.45088194013512645</v>
      </c>
      <c r="DR43" s="1">
        <v>0.50016150642354729</v>
      </c>
      <c r="DS43" s="1">
        <v>0.33053134686153346</v>
      </c>
      <c r="DT43" s="1">
        <v>0.42674156513121803</v>
      </c>
      <c r="DU43" s="1">
        <v>0.42320758039449219</v>
      </c>
      <c r="DV43" s="1">
        <v>0.41968656840691626</v>
      </c>
      <c r="DW43" s="1">
        <v>0.33969153810627173</v>
      </c>
      <c r="DX43" s="1">
        <v>0.3924565253244785</v>
      </c>
      <c r="DY43" s="1">
        <v>0.59453615916005531</v>
      </c>
    </row>
    <row r="44" spans="1:129" ht="15">
      <c r="A44" s="7" t="s">
        <v>55</v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 t="str">
        <v/>
      </c>
      <c r="S44" s="1" t="str">
        <v/>
      </c>
      <c r="T44" s="1" t="str">
        <v/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 t="str">
        <v/>
      </c>
      <c r="AA44" s="1" t="str">
        <v/>
      </c>
      <c r="AB44" s="1" t="str">
        <v/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 t="str">
        <v/>
      </c>
      <c r="AI44" s="1" t="str">
        <v/>
      </c>
      <c r="AJ44" s="1" t="str">
        <v/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>
        <v>0.99999999999999989</v>
      </c>
      <c r="AQ44" s="1">
        <v>0.46775216472495201</v>
      </c>
      <c r="AR44" s="1">
        <v>0.27473697385933388</v>
      </c>
      <c r="AS44" s="1">
        <v>0.61448490223189212</v>
      </c>
      <c r="AT44" s="1">
        <v>0.84066752837983572</v>
      </c>
      <c r="AU44" s="1">
        <v>0.7857932285072099</v>
      </c>
      <c r="AV44" s="1">
        <v>0.83541957531630606</v>
      </c>
      <c r="AW44" s="1">
        <v>0.39416757122403917</v>
      </c>
      <c r="AX44" s="1">
        <v>0.47639150766688443</v>
      </c>
      <c r="AY44" s="1">
        <v>0.39960834758157815</v>
      </c>
      <c r="AZ44" s="1">
        <v>0.48522369735912246</v>
      </c>
      <c r="BA44" s="1">
        <v>0.41906321024121068</v>
      </c>
      <c r="BB44" s="1">
        <v>0.46349293037066719</v>
      </c>
      <c r="BC44" s="1">
        <v>0.49445523302463795</v>
      </c>
      <c r="BD44" s="1">
        <v>0.66551588371869985</v>
      </c>
      <c r="BE44" s="1">
        <v>0.43240019166566224</v>
      </c>
      <c r="BF44" s="1">
        <v>0.63348192965510997</v>
      </c>
      <c r="BG44" s="1">
        <v>0.44821054714084407</v>
      </c>
      <c r="BH44" s="1">
        <v>0.63414541655653134</v>
      </c>
      <c r="BI44" s="1">
        <v>0.43946943242516701</v>
      </c>
      <c r="BJ44" s="1">
        <v>0.59598859484204136</v>
      </c>
      <c r="BK44" s="1">
        <v>0.3700720371037482</v>
      </c>
      <c r="BL44" s="1">
        <v>0.47933595748796121</v>
      </c>
      <c r="BM44" s="1">
        <v>0.47218393906466427</v>
      </c>
      <c r="BN44" s="1">
        <v>0.47921251205591542</v>
      </c>
      <c r="BO44" s="1">
        <v>0.55924992983797284</v>
      </c>
      <c r="BP44" s="1">
        <v>0.51909349805914307</v>
      </c>
      <c r="BQ44" s="1">
        <v>9.0311842023753933E-2</v>
      </c>
      <c r="BR44" s="1">
        <v>0.41273205695177473</v>
      </c>
      <c r="BS44" s="1">
        <v>0.50083908032164814</v>
      </c>
      <c r="BT44" s="1">
        <v>0.57012984127010424</v>
      </c>
      <c r="BU44" s="1">
        <v>0.41003138561597885</v>
      </c>
      <c r="BV44" s="1">
        <v>8.2169823985845838E-2</v>
      </c>
      <c r="BW44" s="1">
        <v>0.27573935230122293</v>
      </c>
      <c r="BX44" s="1">
        <v>0.34785036540367087</v>
      </c>
      <c r="BY44" s="1">
        <v>0.43173164757949967</v>
      </c>
      <c r="BZ44" s="1">
        <v>0.3471850973477999</v>
      </c>
      <c r="CA44" s="1">
        <v>0.33848686337723566</v>
      </c>
      <c r="CB44" s="1">
        <v>0.34570514585533024</v>
      </c>
      <c r="CC44" s="1">
        <v>0.26836052803259414</v>
      </c>
      <c r="CD44" s="1">
        <v>0.19906205318866838</v>
      </c>
      <c r="CE44" s="1">
        <v>0.37104592178715767</v>
      </c>
      <c r="CF44" s="1">
        <v>0.65214022512732639</v>
      </c>
      <c r="CG44" s="1">
        <v>0.51698800446089899</v>
      </c>
      <c r="CH44" s="1">
        <v>0.42351119447330349</v>
      </c>
      <c r="CI44" s="1">
        <v>0.69822959865967593</v>
      </c>
      <c r="CJ44" s="1">
        <v>0.48755860226181552</v>
      </c>
      <c r="CK44" s="1">
        <v>0.34761480227385333</v>
      </c>
      <c r="CL44" s="1">
        <v>0.55021343795616739</v>
      </c>
      <c r="CM44" s="1">
        <v>-0.1341407678869794</v>
      </c>
      <c r="CN44" s="1">
        <v>0.56040981366013776</v>
      </c>
      <c r="CO44" s="1">
        <v>0.15745245958883239</v>
      </c>
      <c r="CP44" s="1">
        <v>0.20187049899096263</v>
      </c>
      <c r="CQ44" s="1">
        <v>0.14215509241141025</v>
      </c>
      <c r="CR44" s="1">
        <v>0.30802547013387349</v>
      </c>
      <c r="CS44" s="1">
        <v>0.32321306295157481</v>
      </c>
      <c r="CT44" s="1">
        <v>0.57814002309129409</v>
      </c>
      <c r="CU44" s="1">
        <v>0.38341487305168198</v>
      </c>
      <c r="CV44" s="1">
        <v>0.40333244682833397</v>
      </c>
      <c r="CW44" s="1">
        <v>0.50456446473195404</v>
      </c>
      <c r="CX44" s="1">
        <v>0.28895506723716269</v>
      </c>
      <c r="CY44" s="1">
        <v>0.10283515395507144</v>
      </c>
      <c r="CZ44" s="1">
        <v>0.44173167083509729</v>
      </c>
      <c r="DA44" s="1">
        <v>0.36704379756447841</v>
      </c>
      <c r="DB44" s="1">
        <v>0.46382429784950246</v>
      </c>
      <c r="DC44" s="1">
        <v>0.53169120155314564</v>
      </c>
      <c r="DD44" s="1">
        <v>0.1948771902335053</v>
      </c>
      <c r="DE44" s="1">
        <v>0.52859455166207647</v>
      </c>
      <c r="DF44" s="1">
        <v>0.38068467022674018</v>
      </c>
      <c r="DG44" s="1">
        <v>0.26995225580147758</v>
      </c>
      <c r="DH44" s="1">
        <v>0.59723934762468855</v>
      </c>
      <c r="DI44" s="1">
        <v>0.57180775458352506</v>
      </c>
      <c r="DJ44" s="1">
        <v>0.58626029270488567</v>
      </c>
      <c r="DK44" s="1">
        <v>0.55106659309822603</v>
      </c>
      <c r="DL44" s="1">
        <v>0.62443021185953806</v>
      </c>
      <c r="DM44" s="1">
        <v>0.61904365334164657</v>
      </c>
      <c r="DN44" s="1">
        <v>0.55653525649115843</v>
      </c>
      <c r="DO44" s="1">
        <v>0.53290372750382253</v>
      </c>
      <c r="DP44" s="1">
        <v>0.65195183110853439</v>
      </c>
      <c r="DQ44" s="1">
        <v>0.569723582560138</v>
      </c>
      <c r="DR44" s="1">
        <v>0.64792941968986306</v>
      </c>
      <c r="DS44" s="1">
        <v>0.39697396366925869</v>
      </c>
      <c r="DT44" s="1">
        <v>0.60052950865491439</v>
      </c>
      <c r="DU44" s="1">
        <v>0.58646727274521926</v>
      </c>
      <c r="DV44" s="1">
        <v>0.51785312208098411</v>
      </c>
      <c r="DW44" s="1">
        <v>0.23249089985626228</v>
      </c>
      <c r="DX44" s="1">
        <v>0.36781134698406087</v>
      </c>
      <c r="DY44" s="1">
        <v>0.67516996297306353</v>
      </c>
    </row>
    <row r="45" spans="1:129" ht="15">
      <c r="A45" s="7" t="s">
        <v>56</v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 t="str">
        <v/>
      </c>
      <c r="S45" s="1" t="str">
        <v/>
      </c>
      <c r="T45" s="1" t="str">
        <v/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 t="str">
        <v/>
      </c>
      <c r="AA45" s="1" t="str">
        <v/>
      </c>
      <c r="AB45" s="1" t="str">
        <v/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 t="str">
        <v/>
      </c>
      <c r="AI45" s="1" t="str">
        <v/>
      </c>
      <c r="AJ45" s="1" t="str">
        <v/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>
        <v>1</v>
      </c>
      <c r="AR45" s="1">
        <v>0.38920870673246299</v>
      </c>
      <c r="AS45" s="1">
        <v>0.2488328225895593</v>
      </c>
      <c r="AT45" s="1">
        <v>0.3852271513964885</v>
      </c>
      <c r="AU45" s="1">
        <v>0.43778319873626775</v>
      </c>
      <c r="AV45" s="1">
        <v>0.42205616696175818</v>
      </c>
      <c r="AW45" s="1">
        <v>0.22651510949110082</v>
      </c>
      <c r="AX45" s="1">
        <v>0.34361455792425072</v>
      </c>
      <c r="AY45" s="1">
        <v>0.53421838662564858</v>
      </c>
      <c r="AZ45" s="1">
        <v>0.29648709254496847</v>
      </c>
      <c r="BA45" s="1">
        <v>0.22505852987356886</v>
      </c>
      <c r="BB45" s="1">
        <v>0.46108627213420622</v>
      </c>
      <c r="BC45" s="1">
        <v>0.29239861890158886</v>
      </c>
      <c r="BD45" s="1">
        <v>0.45439742155909324</v>
      </c>
      <c r="BE45" s="1">
        <v>0.23489176342573106</v>
      </c>
      <c r="BF45" s="1">
        <v>0.22738120790049579</v>
      </c>
      <c r="BG45" s="1">
        <v>0.39318505164030804</v>
      </c>
      <c r="BH45" s="1">
        <v>0.21107386521537044</v>
      </c>
      <c r="BI45" s="1">
        <v>0.15178791313036413</v>
      </c>
      <c r="BJ45" s="1">
        <v>0.28676678737979389</v>
      </c>
      <c r="BK45" s="1">
        <v>0.24027536905693767</v>
      </c>
      <c r="BL45" s="1">
        <v>0.33285102802477462</v>
      </c>
      <c r="BM45" s="1">
        <v>0.2250023122173094</v>
      </c>
      <c r="BN45" s="1">
        <v>0.38762882783610891</v>
      </c>
      <c r="BO45" s="1">
        <v>0.4354312060291356</v>
      </c>
      <c r="BP45" s="1">
        <v>0.25985932420804425</v>
      </c>
      <c r="BQ45" s="1">
        <v>0.12349622436729021</v>
      </c>
      <c r="BR45" s="1">
        <v>0.21501347189321085</v>
      </c>
      <c r="BS45" s="1">
        <v>0.21253856578027125</v>
      </c>
      <c r="BT45" s="1">
        <v>0.20899049422510604</v>
      </c>
      <c r="BU45" s="1">
        <v>0.39779729655450352</v>
      </c>
      <c r="BV45" s="1">
        <v>0.10793753782011307</v>
      </c>
      <c r="BW45" s="1">
        <v>0.213752965337907</v>
      </c>
      <c r="BX45" s="1">
        <v>0.32932172620251021</v>
      </c>
      <c r="BY45" s="1">
        <v>0.33786166183918909</v>
      </c>
      <c r="BZ45" s="1">
        <v>0.27951591935056247</v>
      </c>
      <c r="CA45" s="1">
        <v>0.2893063844906984</v>
      </c>
      <c r="CB45" s="1">
        <v>0.39741389207427802</v>
      </c>
      <c r="CC45" s="1">
        <v>0.17944042750189895</v>
      </c>
      <c r="CD45" s="1">
        <v>0.29605243496658595</v>
      </c>
      <c r="CE45" s="1">
        <v>0.19328719423666596</v>
      </c>
      <c r="CF45" s="1">
        <v>0.31251372712208858</v>
      </c>
      <c r="CG45" s="1">
        <v>0.32413072818116251</v>
      </c>
      <c r="CH45" s="1">
        <v>0.26277893448708289</v>
      </c>
      <c r="CI45" s="1">
        <v>0.52359601959351165</v>
      </c>
      <c r="CJ45" s="1">
        <v>0.38471788745530561</v>
      </c>
      <c r="CK45" s="1">
        <v>0.22362200339322891</v>
      </c>
      <c r="CL45" s="1">
        <v>0.38568021433708327</v>
      </c>
      <c r="CM45" s="1">
        <v>-9.3465428589143543E-2</v>
      </c>
      <c r="CN45" s="1">
        <v>0.47036760632121116</v>
      </c>
      <c r="CO45" s="1">
        <v>0.294944194842236</v>
      </c>
      <c r="CP45" s="1">
        <v>0.29679904034685906</v>
      </c>
      <c r="CQ45" s="1">
        <v>0.25445852869334357</v>
      </c>
      <c r="CR45" s="1">
        <v>9.9133049472486856E-2</v>
      </c>
      <c r="CS45" s="1">
        <v>-1.601224155358149E-2</v>
      </c>
      <c r="CT45" s="1">
        <v>0.30253462574179513</v>
      </c>
      <c r="CU45" s="1">
        <v>0.13369651758098527</v>
      </c>
      <c r="CV45" s="1">
        <v>0.29046719151792161</v>
      </c>
      <c r="CW45" s="1">
        <v>0.37052709264832967</v>
      </c>
      <c r="CX45" s="1">
        <v>0.22161737746658433</v>
      </c>
      <c r="CY45" s="1">
        <v>0.12008197331156165</v>
      </c>
      <c r="CZ45" s="1">
        <v>0.25937084074862848</v>
      </c>
      <c r="DA45" s="1">
        <v>0.11259073276858533</v>
      </c>
      <c r="DB45" s="1">
        <v>7.1816176235246998E-2</v>
      </c>
      <c r="DC45" s="1">
        <v>0.19091611112475787</v>
      </c>
      <c r="DD45" s="1">
        <v>0.3357587611731751</v>
      </c>
      <c r="DE45" s="1">
        <v>0.30045020514945592</v>
      </c>
      <c r="DF45" s="1">
        <v>0.1630281487888571</v>
      </c>
      <c r="DG45" s="1">
        <v>0.24009653036094325</v>
      </c>
      <c r="DH45" s="1">
        <v>0.33533177132413106</v>
      </c>
      <c r="DI45" s="1">
        <v>0.26154164618414738</v>
      </c>
      <c r="DJ45" s="1">
        <v>0.20801194910821391</v>
      </c>
      <c r="DK45" s="1">
        <v>0.13941369268907677</v>
      </c>
      <c r="DL45" s="1">
        <v>0.33207611936975828</v>
      </c>
      <c r="DM45" s="1">
        <v>0.23155548938483547</v>
      </c>
      <c r="DN45" s="1">
        <v>0.27034894036645851</v>
      </c>
      <c r="DO45" s="1">
        <v>0.23108817281392291</v>
      </c>
      <c r="DP45" s="1">
        <v>0.31606374923018749</v>
      </c>
      <c r="DQ45" s="1">
        <v>0.26150695798738033</v>
      </c>
      <c r="DR45" s="1">
        <v>0.27779717408833815</v>
      </c>
      <c r="DS45" s="1">
        <v>0.13639747383708956</v>
      </c>
      <c r="DT45" s="1">
        <v>0.3318627433784026</v>
      </c>
      <c r="DU45" s="1">
        <v>0.29660332203100992</v>
      </c>
      <c r="DV45" s="1">
        <v>0.28923434644511697</v>
      </c>
      <c r="DW45" s="1">
        <v>0.23884148560299462</v>
      </c>
      <c r="DX45" s="1">
        <v>0.10748323420314058</v>
      </c>
      <c r="DY45" s="1">
        <v>0.42396462357974884</v>
      </c>
    </row>
    <row r="46" spans="1:129" ht="15">
      <c r="A46" s="7" t="s">
        <v>57</v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 t="str">
        <v/>
      </c>
      <c r="S46" s="1" t="str">
        <v/>
      </c>
      <c r="T46" s="1" t="str">
        <v/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 t="str">
        <v/>
      </c>
      <c r="AA46" s="1" t="str">
        <v/>
      </c>
      <c r="AB46" s="1" t="str">
        <v/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 t="str">
        <v/>
      </c>
      <c r="AI46" s="1" t="str">
        <v/>
      </c>
      <c r="AJ46" s="1" t="str">
        <v/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>
        <v>1.0000000000000002</v>
      </c>
      <c r="AS46" s="1">
        <v>0.16218954785685039</v>
      </c>
      <c r="AT46" s="1">
        <v>0.22419991208458345</v>
      </c>
      <c r="AU46" s="1">
        <v>0.24157075189962127</v>
      </c>
      <c r="AV46" s="1">
        <v>0.24195570687829912</v>
      </c>
      <c r="AW46" s="1">
        <v>0.31621072819677792</v>
      </c>
      <c r="AX46" s="1">
        <v>0.15095947368062845</v>
      </c>
      <c r="AY46" s="1">
        <v>0.3965765181081024</v>
      </c>
      <c r="AZ46" s="1">
        <v>0.38701302342787114</v>
      </c>
      <c r="BA46" s="1">
        <v>0.25840974431037811</v>
      </c>
      <c r="BB46" s="1">
        <v>0.29812378164615455</v>
      </c>
      <c r="BC46" s="1">
        <v>0.36916335160072355</v>
      </c>
      <c r="BD46" s="1">
        <v>0.38604946417279101</v>
      </c>
      <c r="BE46" s="1">
        <v>0.3053312368505427</v>
      </c>
      <c r="BF46" s="1">
        <v>0.48274918193176974</v>
      </c>
      <c r="BG46" s="1">
        <v>0.55974514045807555</v>
      </c>
      <c r="BH46" s="1">
        <v>0.29649199169229457</v>
      </c>
      <c r="BI46" s="1">
        <v>0.11054867877671512</v>
      </c>
      <c r="BJ46" s="1">
        <v>8.0966652454211502E-2</v>
      </c>
      <c r="BK46" s="1">
        <v>7.1388768611225145E-2</v>
      </c>
      <c r="BL46" s="1">
        <v>0.16446774780179119</v>
      </c>
      <c r="BM46" s="1">
        <v>0.14810863755314302</v>
      </c>
      <c r="BN46" s="1">
        <v>0.44166593158178014</v>
      </c>
      <c r="BO46" s="1">
        <v>0.41453635369985659</v>
      </c>
      <c r="BP46" s="1">
        <v>0.32800652219549403</v>
      </c>
      <c r="BQ46" s="1">
        <v>0.17946079678119276</v>
      </c>
      <c r="BR46" s="1">
        <v>0.22924857567027088</v>
      </c>
      <c r="BS46" s="1">
        <v>0.28599805241905202</v>
      </c>
      <c r="BT46" s="1">
        <v>0.18930523497302851</v>
      </c>
      <c r="BU46" s="1">
        <v>0.17034458790813556</v>
      </c>
      <c r="BV46" s="1">
        <v>0.33763999815707274</v>
      </c>
      <c r="BW46" s="1">
        <v>8.4274262792437812E-2</v>
      </c>
      <c r="BX46" s="1">
        <v>0.33947268526343116</v>
      </c>
      <c r="BY46" s="1">
        <v>0.28921940766596199</v>
      </c>
      <c r="BZ46" s="1">
        <v>0.21748962548174366</v>
      </c>
      <c r="CA46" s="1">
        <v>0.2225197082461777</v>
      </c>
      <c r="CB46" s="1">
        <v>0.31447284367294637</v>
      </c>
      <c r="CC46" s="1">
        <v>0.21891843728333157</v>
      </c>
      <c r="CD46" s="1">
        <v>0.27510998879642418</v>
      </c>
      <c r="CE46" s="1">
        <v>0.22030219289879968</v>
      </c>
      <c r="CF46" s="1">
        <v>0.30948023368250582</v>
      </c>
      <c r="CG46" s="1">
        <v>0.19465054960146019</v>
      </c>
      <c r="CH46" s="1">
        <v>0.39631261055220252</v>
      </c>
      <c r="CI46" s="1">
        <v>0.5335490024047661</v>
      </c>
      <c r="CJ46" s="1">
        <v>0.4139032243588302</v>
      </c>
      <c r="CK46" s="1">
        <v>0.23842895115342158</v>
      </c>
      <c r="CL46" s="1">
        <v>0.2231185967896151</v>
      </c>
      <c r="CM46" s="1">
        <v>-3.5737178766268203E-2</v>
      </c>
      <c r="CN46" s="1">
        <v>0.3617480959798085</v>
      </c>
      <c r="CO46" s="1">
        <v>0.14648534073538094</v>
      </c>
      <c r="CP46" s="1">
        <v>0.29557504786652883</v>
      </c>
      <c r="CQ46" s="1">
        <v>0.2383966696198454</v>
      </c>
      <c r="CR46" s="1">
        <v>6.0363661706285099E-2</v>
      </c>
      <c r="CS46" s="1">
        <v>0.15897556942302327</v>
      </c>
      <c r="CT46" s="1">
        <v>0.19510782274812083</v>
      </c>
      <c r="CU46" s="1">
        <v>0.1233697312416239</v>
      </c>
      <c r="CV46" s="1">
        <v>0.39943492503668776</v>
      </c>
      <c r="CW46" s="1">
        <v>0.34965363057126164</v>
      </c>
      <c r="CX46" s="1">
        <v>0.39927224708248477</v>
      </c>
      <c r="CY46" s="1">
        <v>0.15190073052608186</v>
      </c>
      <c r="CZ46" s="1">
        <v>0.23246791463887362</v>
      </c>
      <c r="DA46" s="1">
        <v>0.10713195006984551</v>
      </c>
      <c r="DB46" s="1">
        <v>7.7790788577660502E-2</v>
      </c>
      <c r="DC46" s="1">
        <v>0.30715683841778085</v>
      </c>
      <c r="DD46" s="1">
        <v>-9.6090756454292367E-2</v>
      </c>
      <c r="DE46" s="1">
        <v>0.4078563634874578</v>
      </c>
      <c r="DF46" s="1">
        <v>0.33030262042321384</v>
      </c>
      <c r="DG46" s="1">
        <v>9.4441049095936827E-2</v>
      </c>
      <c r="DH46" s="1">
        <v>0.22720797864339171</v>
      </c>
      <c r="DI46" s="1">
        <v>0.22907672610823995</v>
      </c>
      <c r="DJ46" s="1">
        <v>0.27044192359718772</v>
      </c>
      <c r="DK46" s="1">
        <v>0.20988968762756446</v>
      </c>
      <c r="DL46" s="1">
        <v>0.25323155510822964</v>
      </c>
      <c r="DM46" s="1">
        <v>0.24173077675317395</v>
      </c>
      <c r="DN46" s="1">
        <v>0.3258761154064112</v>
      </c>
      <c r="DO46" s="1">
        <v>0.16729865417790488</v>
      </c>
      <c r="DP46" s="1">
        <v>0.2210954081531375</v>
      </c>
      <c r="DQ46" s="1">
        <v>0.17624088498552024</v>
      </c>
      <c r="DR46" s="1">
        <v>0.28836244896903523</v>
      </c>
      <c r="DS46" s="1">
        <v>0.17741726844627498</v>
      </c>
      <c r="DT46" s="1">
        <v>0.26830556104173886</v>
      </c>
      <c r="DU46" s="1">
        <v>0.30877613648892044</v>
      </c>
      <c r="DV46" s="1">
        <v>0.22280520552476388</v>
      </c>
      <c r="DW46" s="1">
        <v>0.14949117548459151</v>
      </c>
      <c r="DX46" s="1">
        <v>0.42821479389125688</v>
      </c>
      <c r="DY46" s="1">
        <v>0.15056870004816261</v>
      </c>
    </row>
    <row r="47" spans="1:129" ht="15">
      <c r="A47" s="7" t="s">
        <v>58</v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 t="str">
        <v/>
      </c>
      <c r="S47" s="1" t="str">
        <v/>
      </c>
      <c r="T47" s="1" t="str">
        <v/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 t="str">
        <v/>
      </c>
      <c r="AA47" s="1" t="str">
        <v/>
      </c>
      <c r="AB47" s="1" t="str">
        <v/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 t="str">
        <v/>
      </c>
      <c r="AI47" s="1" t="str">
        <v/>
      </c>
      <c r="AJ47" s="1" t="str">
        <v/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>
        <v>1</v>
      </c>
      <c r="AT47" s="1">
        <v>0.70121192424164924</v>
      </c>
      <c r="AU47" s="1">
        <v>0.63883844036438608</v>
      </c>
      <c r="AV47" s="1">
        <v>0.67366801524914377</v>
      </c>
      <c r="AW47" s="1">
        <v>0.49738907981023728</v>
      </c>
      <c r="AX47" s="1">
        <v>0.55840337419551989</v>
      </c>
      <c r="AY47" s="1">
        <v>0.3530369817859238</v>
      </c>
      <c r="AZ47" s="1">
        <v>0.19578716184477668</v>
      </c>
      <c r="BA47" s="1">
        <v>0.34932471654953962</v>
      </c>
      <c r="BB47" s="1">
        <v>0.36952060160421951</v>
      </c>
      <c r="BC47" s="1">
        <v>0.50992383792691021</v>
      </c>
      <c r="BD47" s="1">
        <v>0.56785232100733862</v>
      </c>
      <c r="BE47" s="1">
        <v>0.35642102836352374</v>
      </c>
      <c r="BF47" s="1">
        <v>0.4579627043028473</v>
      </c>
      <c r="BG47" s="1">
        <v>0.31843273989161086</v>
      </c>
      <c r="BH47" s="1">
        <v>0.4309471205470643</v>
      </c>
      <c r="BI47" s="1">
        <v>0.35362898766312484</v>
      </c>
      <c r="BJ47" s="1">
        <v>0.49481053156756682</v>
      </c>
      <c r="BK47" s="1">
        <v>2.9362281237756197E-2</v>
      </c>
      <c r="BL47" s="1">
        <v>0.37671702410797725</v>
      </c>
      <c r="BM47" s="1">
        <v>0.31200811158021824</v>
      </c>
      <c r="BN47" s="1">
        <v>0.20371487520224679</v>
      </c>
      <c r="BO47" s="1">
        <v>0.24894992962060139</v>
      </c>
      <c r="BP47" s="1">
        <v>0.45683305342579827</v>
      </c>
      <c r="BQ47" s="1">
        <v>0.13473005728472653</v>
      </c>
      <c r="BR47" s="1">
        <v>0.1807572926945884</v>
      </c>
      <c r="BS47" s="1">
        <v>0.42381383462637723</v>
      </c>
      <c r="BT47" s="1">
        <v>0.48008485203578211</v>
      </c>
      <c r="BU47" s="1">
        <v>0.17751703644967617</v>
      </c>
      <c r="BV47" s="1">
        <v>6.0954171386799712E-2</v>
      </c>
      <c r="BW47" s="1">
        <v>0.12357284422179239</v>
      </c>
      <c r="BX47" s="1">
        <v>0.15354804083328974</v>
      </c>
      <c r="BY47" s="1">
        <v>0.20056615733374941</v>
      </c>
      <c r="BZ47" s="1">
        <v>4.1264437124786023E-2</v>
      </c>
      <c r="CA47" s="1">
        <v>0.19592478586494527</v>
      </c>
      <c r="CB47" s="1">
        <v>0.11920073151654501</v>
      </c>
      <c r="CC47" s="1">
        <v>0.35842865173672073</v>
      </c>
      <c r="CD47" s="1">
        <v>7.5815259653934861E-2</v>
      </c>
      <c r="CE47" s="1">
        <v>0.29447533574623908</v>
      </c>
      <c r="CF47" s="1">
        <v>0.43714331557315866</v>
      </c>
      <c r="CG47" s="1">
        <v>0.43560150288974392</v>
      </c>
      <c r="CH47" s="1">
        <v>0.20471543393532951</v>
      </c>
      <c r="CI47" s="1">
        <v>0.52423367866254456</v>
      </c>
      <c r="CJ47" s="1">
        <v>0.25303046079197755</v>
      </c>
      <c r="CK47" s="1">
        <v>0.28708529247744508</v>
      </c>
      <c r="CL47" s="1">
        <v>0.37166574402984348</v>
      </c>
      <c r="CM47" s="1">
        <v>-0.23297216357311745</v>
      </c>
      <c r="CN47" s="1">
        <v>0.30979813824183489</v>
      </c>
      <c r="CO47" s="1">
        <v>-4.71889106358271E-2</v>
      </c>
      <c r="CP47" s="1">
        <v>-9.6828631137252069E-2</v>
      </c>
      <c r="CQ47" s="1">
        <v>-1.4465989053457478E-2</v>
      </c>
      <c r="CR47" s="1">
        <v>7.9298453469818467E-2</v>
      </c>
      <c r="CS47" s="1">
        <v>0.20849670939734111</v>
      </c>
      <c r="CT47" s="1">
        <v>0.44762605466658201</v>
      </c>
      <c r="CU47" s="1">
        <v>0.2925704815266732</v>
      </c>
      <c r="CV47" s="1">
        <v>0.23087546407855444</v>
      </c>
      <c r="CW47" s="1">
        <v>0.38670579623601536</v>
      </c>
      <c r="CX47" s="1">
        <v>0.16419534978372974</v>
      </c>
      <c r="CY47" s="1">
        <v>0.29547433545018092</v>
      </c>
      <c r="CZ47" s="1">
        <v>0.24400649529989579</v>
      </c>
      <c r="DA47" s="1">
        <v>0.30817687047808817</v>
      </c>
      <c r="DB47" s="1">
        <v>0.27431599033841164</v>
      </c>
      <c r="DC47" s="1">
        <v>0.32987422287627077</v>
      </c>
      <c r="DD47" s="1">
        <v>9.3396222937192644E-2</v>
      </c>
      <c r="DE47" s="1">
        <v>0.40816853492869559</v>
      </c>
      <c r="DF47" s="1">
        <v>0.33197946890662156</v>
      </c>
      <c r="DG47" s="1">
        <v>0.27397733402407365</v>
      </c>
      <c r="DH47" s="1">
        <v>0.63599851617433811</v>
      </c>
      <c r="DI47" s="1">
        <v>0.50106014655942299</v>
      </c>
      <c r="DJ47" s="1">
        <v>0.39925871879915398</v>
      </c>
      <c r="DK47" s="1">
        <v>0.42587078524395289</v>
      </c>
      <c r="DL47" s="1">
        <v>0.42977527596737691</v>
      </c>
      <c r="DM47" s="1">
        <v>0.48330552098394941</v>
      </c>
      <c r="DN47" s="1">
        <v>0.54014244863392991</v>
      </c>
      <c r="DO47" s="1">
        <v>0.49729737626825055</v>
      </c>
      <c r="DP47" s="1">
        <v>0.47827652547843824</v>
      </c>
      <c r="DQ47" s="1">
        <v>0.46861536350197724</v>
      </c>
      <c r="DR47" s="1">
        <v>0.5479389147715672</v>
      </c>
      <c r="DS47" s="1">
        <v>0.41128454327998765</v>
      </c>
      <c r="DT47" s="1">
        <v>0.47467906318855235</v>
      </c>
      <c r="DU47" s="1">
        <v>0.6034518516854781</v>
      </c>
      <c r="DV47" s="1">
        <v>0.41109639972635448</v>
      </c>
      <c r="DW47" s="1">
        <v>0.2074703860787879</v>
      </c>
      <c r="DX47" s="1">
        <v>0.38281133732069605</v>
      </c>
      <c r="DY47" s="1">
        <v>0.65872104920718944</v>
      </c>
    </row>
    <row r="48" spans="1:129" ht="15">
      <c r="A48" s="7" t="s">
        <v>59</v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 t="str">
        <v/>
      </c>
      <c r="S48" s="1" t="str">
        <v/>
      </c>
      <c r="T48" s="1" t="str">
        <v/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 t="str">
        <v/>
      </c>
      <c r="AA48" s="1" t="str">
        <v/>
      </c>
      <c r="AB48" s="1" t="str">
        <v/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 t="str">
        <v/>
      </c>
      <c r="AI48" s="1" t="str">
        <v/>
      </c>
      <c r="AJ48" s="1" t="str">
        <v/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>
        <v>0.99999999999999989</v>
      </c>
      <c r="AU48" s="1">
        <v>0.7563469622840312</v>
      </c>
      <c r="AV48" s="1">
        <v>0.8634540313601371</v>
      </c>
      <c r="AW48" s="1">
        <v>0.57073625504447534</v>
      </c>
      <c r="AX48" s="1">
        <v>0.52311070216870481</v>
      </c>
      <c r="AY48" s="1">
        <v>0.39311418563253342</v>
      </c>
      <c r="AZ48" s="1">
        <v>0.38662489181852916</v>
      </c>
      <c r="BA48" s="1">
        <v>0.47244583037488752</v>
      </c>
      <c r="BB48" s="1">
        <v>0.48393856553242542</v>
      </c>
      <c r="BC48" s="1">
        <v>0.6112254629868934</v>
      </c>
      <c r="BD48" s="1">
        <v>0.64473587851305014</v>
      </c>
      <c r="BE48" s="1">
        <v>0.40609105399800438</v>
      </c>
      <c r="BF48" s="1">
        <v>0.58508047469518409</v>
      </c>
      <c r="BG48" s="1">
        <v>0.38100630465032592</v>
      </c>
      <c r="BH48" s="1">
        <v>0.62909048787753719</v>
      </c>
      <c r="BI48" s="1">
        <v>0.53307499003156178</v>
      </c>
      <c r="BJ48" s="1">
        <v>0.59692879763676121</v>
      </c>
      <c r="BK48" s="1">
        <v>0.27177557229682114</v>
      </c>
      <c r="BL48" s="1">
        <v>0.48823644205211963</v>
      </c>
      <c r="BM48" s="1">
        <v>0.47123895963031048</v>
      </c>
      <c r="BN48" s="1">
        <v>0.40816072593659181</v>
      </c>
      <c r="BO48" s="1">
        <v>0.37360133065830642</v>
      </c>
      <c r="BP48" s="1">
        <v>0.4673158761489864</v>
      </c>
      <c r="BQ48" s="1">
        <v>7.1041795710752823E-2</v>
      </c>
      <c r="BR48" s="1">
        <v>0.35173210976765557</v>
      </c>
      <c r="BS48" s="1">
        <v>0.49311315776043191</v>
      </c>
      <c r="BT48" s="1">
        <v>0.58463428595658262</v>
      </c>
      <c r="BU48" s="1">
        <v>0.38834572603249501</v>
      </c>
      <c r="BV48" s="1">
        <v>0.20505893588214194</v>
      </c>
      <c r="BW48" s="1">
        <v>0.18571407456155198</v>
      </c>
      <c r="BX48" s="1">
        <v>0.30050351849893442</v>
      </c>
      <c r="BY48" s="1">
        <v>0.40299177113715118</v>
      </c>
      <c r="BZ48" s="1">
        <v>0.26333183164515139</v>
      </c>
      <c r="CA48" s="1">
        <v>0.27230242705376922</v>
      </c>
      <c r="CB48" s="1">
        <v>0.29474617365071643</v>
      </c>
      <c r="CC48" s="1">
        <v>0.38031232978470825</v>
      </c>
      <c r="CD48" s="1">
        <v>0.2042623880215676</v>
      </c>
      <c r="CE48" s="1">
        <v>0.40879516752904116</v>
      </c>
      <c r="CF48" s="1">
        <v>0.57914979665016408</v>
      </c>
      <c r="CG48" s="1">
        <v>0.48566297927110336</v>
      </c>
      <c r="CH48" s="1">
        <v>0.29627300944375129</v>
      </c>
      <c r="CI48" s="1">
        <v>0.66990172392670255</v>
      </c>
      <c r="CJ48" s="1">
        <v>0.45042478986929296</v>
      </c>
      <c r="CK48" s="1">
        <v>0.36640672600487251</v>
      </c>
      <c r="CL48" s="1">
        <v>0.52101627156631714</v>
      </c>
      <c r="CM48" s="1">
        <v>-0.26342357190358834</v>
      </c>
      <c r="CN48" s="1">
        <v>0.40851695306891633</v>
      </c>
      <c r="CO48" s="1">
        <v>6.9291217692934712E-2</v>
      </c>
      <c r="CP48" s="1">
        <v>8.1638239449032604E-2</v>
      </c>
      <c r="CQ48" s="1">
        <v>0.15574174608928754</v>
      </c>
      <c r="CR48" s="1">
        <v>0.20491692568250586</v>
      </c>
      <c r="CS48" s="1">
        <v>0.32210532710968615</v>
      </c>
      <c r="CT48" s="1">
        <v>0.54580193058018045</v>
      </c>
      <c r="CU48" s="1">
        <v>0.32255899426338014</v>
      </c>
      <c r="CV48" s="1">
        <v>0.26360996799631664</v>
      </c>
      <c r="CW48" s="1">
        <v>0.39338799181379208</v>
      </c>
      <c r="CX48" s="1">
        <v>0.33347222571067964</v>
      </c>
      <c r="CY48" s="1">
        <v>0.18396759778321659</v>
      </c>
      <c r="CZ48" s="1">
        <v>0.45435773243292221</v>
      </c>
      <c r="DA48" s="1">
        <v>0.29106946617814466</v>
      </c>
      <c r="DB48" s="1">
        <v>0.45594300137487082</v>
      </c>
      <c r="DC48" s="1">
        <v>0.365778128502041</v>
      </c>
      <c r="DD48" s="1">
        <v>0.16851388410544058</v>
      </c>
      <c r="DE48" s="1">
        <v>0.4246139269057061</v>
      </c>
      <c r="DF48" s="1">
        <v>0.35834515838594017</v>
      </c>
      <c r="DG48" s="1">
        <v>0.37715169481200927</v>
      </c>
      <c r="DH48" s="1">
        <v>0.65125283234842302</v>
      </c>
      <c r="DI48" s="1">
        <v>0.62698156525126281</v>
      </c>
      <c r="DJ48" s="1">
        <v>0.59119063123847515</v>
      </c>
      <c r="DK48" s="1">
        <v>0.58589793502403142</v>
      </c>
      <c r="DL48" s="1">
        <v>0.61671788849567422</v>
      </c>
      <c r="DM48" s="1">
        <v>0.64469776119187239</v>
      </c>
      <c r="DN48" s="1">
        <v>0.62752581340226588</v>
      </c>
      <c r="DO48" s="1">
        <v>0.5999726180194197</v>
      </c>
      <c r="DP48" s="1">
        <v>0.67864954492367269</v>
      </c>
      <c r="DQ48" s="1">
        <v>0.60393719384281186</v>
      </c>
      <c r="DR48" s="1">
        <v>0.69179242162441734</v>
      </c>
      <c r="DS48" s="1">
        <v>0.47794315363229134</v>
      </c>
      <c r="DT48" s="1">
        <v>0.62050892408127001</v>
      </c>
      <c r="DU48" s="1">
        <v>0.66643573219665198</v>
      </c>
      <c r="DV48" s="1">
        <v>0.57612910492280145</v>
      </c>
      <c r="DW48" s="1">
        <v>0.23146480575244718</v>
      </c>
      <c r="DX48" s="1">
        <v>0.37523678937035509</v>
      </c>
      <c r="DY48" s="1">
        <v>0.72092252618320241</v>
      </c>
    </row>
    <row r="49" spans="1:129" ht="15">
      <c r="A49" s="7" t="s">
        <v>60</v>
      </c>
      <c r="B49" s="3" t="str">
        <v/>
      </c>
      <c r="C49" s="3" t="str">
        <v/>
      </c>
      <c r="D49" s="3" t="str">
        <v/>
      </c>
      <c r="E49" s="3" t="str">
        <v/>
      </c>
      <c r="F49" s="3" t="str">
        <v/>
      </c>
      <c r="G49" s="3" t="str">
        <v/>
      </c>
      <c r="H49" s="3" t="str">
        <v/>
      </c>
      <c r="I49" s="3" t="str">
        <v/>
      </c>
      <c r="J49" s="3" t="str">
        <v/>
      </c>
      <c r="K49" s="3" t="str">
        <v/>
      </c>
      <c r="L49" s="3" t="str">
        <v/>
      </c>
      <c r="M49" s="3" t="str">
        <v/>
      </c>
      <c r="N49" s="3" t="str">
        <v/>
      </c>
      <c r="O49" s="3" t="str">
        <v/>
      </c>
      <c r="P49" s="3" t="str">
        <v/>
      </c>
      <c r="Q49" s="3" t="str">
        <v/>
      </c>
      <c r="R49" s="3" t="str">
        <v/>
      </c>
      <c r="S49" s="3" t="str">
        <v/>
      </c>
      <c r="T49" s="3" t="str">
        <v/>
      </c>
      <c r="U49" s="3" t="str">
        <v/>
      </c>
      <c r="V49" s="3" t="str">
        <v/>
      </c>
      <c r="W49" s="3" t="str">
        <v/>
      </c>
      <c r="X49" s="3" t="str">
        <v/>
      </c>
      <c r="Y49" s="3" t="str">
        <v/>
      </c>
      <c r="Z49" s="3" t="str">
        <v/>
      </c>
      <c r="AA49" s="3" t="str">
        <v/>
      </c>
      <c r="AB49" s="3" t="str">
        <v/>
      </c>
      <c r="AC49" s="3" t="str">
        <v/>
      </c>
      <c r="AD49" s="3" t="str">
        <v/>
      </c>
      <c r="AE49" s="3" t="str">
        <v/>
      </c>
      <c r="AF49" s="3" t="str">
        <v/>
      </c>
      <c r="AG49" s="3" t="str">
        <v/>
      </c>
      <c r="AH49" s="3" t="str">
        <v/>
      </c>
      <c r="AI49" s="3" t="str">
        <v/>
      </c>
      <c r="AJ49" s="3" t="str">
        <v/>
      </c>
      <c r="AK49" s="3" t="str">
        <v/>
      </c>
      <c r="AL49" s="3" t="str">
        <v/>
      </c>
      <c r="AM49" s="3" t="str">
        <v/>
      </c>
      <c r="AN49" s="3" t="str">
        <v/>
      </c>
      <c r="AO49" s="3" t="str">
        <v/>
      </c>
      <c r="AP49" s="3" t="str">
        <v/>
      </c>
      <c r="AQ49" s="3" t="str">
        <v/>
      </c>
      <c r="AR49" s="1" t="str">
        <v/>
      </c>
      <c r="AS49" s="1" t="str">
        <v/>
      </c>
      <c r="AT49" s="1" t="str">
        <v/>
      </c>
      <c r="AU49" s="1">
        <v>1</v>
      </c>
      <c r="AV49" s="1">
        <v>0.83235556557853718</v>
      </c>
      <c r="AW49" s="1">
        <v>0.41326465166990323</v>
      </c>
      <c r="AX49" s="1">
        <v>0.52232137637587472</v>
      </c>
      <c r="AY49" s="1">
        <v>0.40612648671480189</v>
      </c>
      <c r="AZ49" s="1">
        <v>0.43033176584002314</v>
      </c>
      <c r="BA49" s="1">
        <v>0.44208431044533908</v>
      </c>
      <c r="BB49" s="1">
        <v>0.58611369122663914</v>
      </c>
      <c r="BC49" s="1">
        <v>0.47139517575533751</v>
      </c>
      <c r="BD49" s="1">
        <v>0.71322178406852843</v>
      </c>
      <c r="BE49" s="1">
        <v>0.43890962952142432</v>
      </c>
      <c r="BF49" s="1">
        <v>0.54432001023635579</v>
      </c>
      <c r="BG49" s="1">
        <v>0.37537269690466118</v>
      </c>
      <c r="BH49" s="1">
        <v>0.61758190337289209</v>
      </c>
      <c r="BI49" s="1">
        <v>0.4495507004344847</v>
      </c>
      <c r="BJ49" s="1">
        <v>0.61143381837685251</v>
      </c>
      <c r="BK49" s="1">
        <v>0.34892055928064469</v>
      </c>
      <c r="BL49" s="1">
        <v>0.46043378935419887</v>
      </c>
      <c r="BM49" s="1">
        <v>0.51245989015291227</v>
      </c>
      <c r="BN49" s="1">
        <v>0.41204532526253629</v>
      </c>
      <c r="BO49" s="1">
        <v>0.4680259664385662</v>
      </c>
      <c r="BP49" s="1">
        <v>0.51931334822890152</v>
      </c>
      <c r="BQ49" s="1">
        <v>0.15658641134719464</v>
      </c>
      <c r="BR49" s="1">
        <v>0.45274413762713156</v>
      </c>
      <c r="BS49" s="1">
        <v>0.5306372049055661</v>
      </c>
      <c r="BT49" s="1">
        <v>0.67161679212068193</v>
      </c>
      <c r="BU49" s="1">
        <v>0.44762727938219316</v>
      </c>
      <c r="BV49" s="1">
        <v>0.1279276945558587</v>
      </c>
      <c r="BW49" s="1">
        <v>0.39899959591504708</v>
      </c>
      <c r="BX49" s="1">
        <v>0.24489292995881309</v>
      </c>
      <c r="BY49" s="1">
        <v>0.36697871901034246</v>
      </c>
      <c r="BZ49" s="1">
        <v>0.34463099879729214</v>
      </c>
      <c r="CA49" s="1">
        <v>0.40456483987855607</v>
      </c>
      <c r="CB49" s="1">
        <v>0.40379582104802925</v>
      </c>
      <c r="CC49" s="1">
        <v>0.42607661029287647</v>
      </c>
      <c r="CD49" s="1">
        <v>0.16702873960987952</v>
      </c>
      <c r="CE49" s="1">
        <v>0.34047309568723239</v>
      </c>
      <c r="CF49" s="1">
        <v>0.61460614841237093</v>
      </c>
      <c r="CG49" s="1">
        <v>0.5094284506965433</v>
      </c>
      <c r="CH49" s="1">
        <v>0.40186392201810867</v>
      </c>
      <c r="CI49" s="1">
        <v>0.73184252503368163</v>
      </c>
      <c r="CJ49" s="1">
        <v>0.45262939695547866</v>
      </c>
      <c r="CK49" s="1">
        <v>0.41777639923711168</v>
      </c>
      <c r="CL49" s="1">
        <v>0.56560521909790973</v>
      </c>
      <c r="CM49" s="1">
        <v>-0.19288410952021437</v>
      </c>
      <c r="CN49" s="1">
        <v>0.49529559274397272</v>
      </c>
      <c r="CO49" s="1">
        <v>5.6797209321192567E-2</v>
      </c>
      <c r="CP49" s="1">
        <v>0.16770655666446024</v>
      </c>
      <c r="CQ49" s="1">
        <v>3.4526082830841506E-2</v>
      </c>
      <c r="CR49" s="1">
        <v>0.23024873748545846</v>
      </c>
      <c r="CS49" s="1">
        <v>0.45782090850670626</v>
      </c>
      <c r="CT49" s="1">
        <v>0.65264542983301232</v>
      </c>
      <c r="CU49" s="1">
        <v>0.45853112649381067</v>
      </c>
      <c r="CV49" s="1">
        <v>0.27077565540210297</v>
      </c>
      <c r="CW49" s="1">
        <v>0.54302101612434917</v>
      </c>
      <c r="CX49" s="1">
        <v>0.36775003867305045</v>
      </c>
      <c r="CY49" s="1">
        <v>0.21889652454967859</v>
      </c>
      <c r="CZ49" s="1">
        <v>0.42714100675360828</v>
      </c>
      <c r="DA49" s="1">
        <v>0.20284156135944378</v>
      </c>
      <c r="DB49" s="1">
        <v>0.48532825353280734</v>
      </c>
      <c r="DC49" s="1">
        <v>0.44722992337765527</v>
      </c>
      <c r="DD49" s="1">
        <v>0.20604093826287478</v>
      </c>
      <c r="DE49" s="1">
        <v>0.49215876374609924</v>
      </c>
      <c r="DF49" s="1">
        <v>0.44338329759486406</v>
      </c>
      <c r="DG49" s="1">
        <v>0.29303135288699977</v>
      </c>
      <c r="DH49" s="1">
        <v>0.71006938891530502</v>
      </c>
      <c r="DI49" s="1">
        <v>0.5440832942436673</v>
      </c>
      <c r="DJ49" s="1">
        <v>0.52745845092296006</v>
      </c>
      <c r="DK49" s="1">
        <v>0.48710060795350979</v>
      </c>
      <c r="DL49" s="1">
        <v>0.60152151624739481</v>
      </c>
      <c r="DM49" s="1">
        <v>0.56920283638103886</v>
      </c>
      <c r="DN49" s="1">
        <v>0.58684120032883524</v>
      </c>
      <c r="DO49" s="1">
        <v>0.60385077512325469</v>
      </c>
      <c r="DP49" s="1">
        <v>0.62280716155436022</v>
      </c>
      <c r="DQ49" s="1">
        <v>0.55847700958812352</v>
      </c>
      <c r="DR49" s="1">
        <v>0.6653631784791979</v>
      </c>
      <c r="DS49" s="1">
        <v>0.38572146446007616</v>
      </c>
      <c r="DT49" s="1">
        <v>0.53984163961668752</v>
      </c>
      <c r="DU49" s="1">
        <v>0.60409898364032943</v>
      </c>
      <c r="DV49" s="1">
        <v>0.61129910043217073</v>
      </c>
      <c r="DW49" s="1">
        <v>0.33705194068809413</v>
      </c>
      <c r="DX49" s="1">
        <v>0.33601239857884885</v>
      </c>
      <c r="DY49" s="1">
        <v>0.74471170350771199</v>
      </c>
    </row>
    <row r="50" spans="1:129" ht="15">
      <c r="A50" s="7" t="s">
        <v>61</v>
      </c>
      <c r="B50" s="3" t="str">
        <v/>
      </c>
      <c r="C50" s="3" t="str">
        <v/>
      </c>
      <c r="D50" s="3" t="str">
        <v/>
      </c>
      <c r="E50" s="3" t="str">
        <v/>
      </c>
      <c r="F50" s="3" t="str">
        <v/>
      </c>
      <c r="G50" s="3" t="str">
        <v/>
      </c>
      <c r="H50" s="3" t="str">
        <v/>
      </c>
      <c r="I50" s="3" t="str">
        <v/>
      </c>
      <c r="J50" s="3" t="str">
        <v/>
      </c>
      <c r="K50" s="3" t="str">
        <v/>
      </c>
      <c r="L50" s="3" t="str">
        <v/>
      </c>
      <c r="M50" s="3" t="str">
        <v/>
      </c>
      <c r="N50" s="3" t="str">
        <v/>
      </c>
      <c r="O50" s="3" t="str">
        <v/>
      </c>
      <c r="P50" s="3" t="str">
        <v/>
      </c>
      <c r="Q50" s="3" t="str">
        <v/>
      </c>
      <c r="R50" s="3" t="str">
        <v/>
      </c>
      <c r="S50" s="3" t="str">
        <v/>
      </c>
      <c r="T50" s="3" t="str">
        <v/>
      </c>
      <c r="U50" s="3" t="str">
        <v/>
      </c>
      <c r="V50" s="3" t="str">
        <v/>
      </c>
      <c r="W50" s="3" t="str">
        <v/>
      </c>
      <c r="X50" s="3" t="str">
        <v/>
      </c>
      <c r="Y50" s="3" t="str">
        <v/>
      </c>
      <c r="Z50" s="3" t="str">
        <v/>
      </c>
      <c r="AA50" s="3" t="str">
        <v/>
      </c>
      <c r="AB50" s="3" t="str">
        <v/>
      </c>
      <c r="AC50" s="3" t="str">
        <v/>
      </c>
      <c r="AD50" s="3" t="str">
        <v/>
      </c>
      <c r="AE50" s="3" t="str">
        <v/>
      </c>
      <c r="AF50" s="3" t="str">
        <v/>
      </c>
      <c r="AG50" s="3" t="str">
        <v/>
      </c>
      <c r="AH50" s="3" t="str">
        <v/>
      </c>
      <c r="AI50" s="3" t="str">
        <v/>
      </c>
      <c r="AJ50" s="3" t="str">
        <v/>
      </c>
      <c r="AK50" s="3" t="str">
        <v/>
      </c>
      <c r="AL50" s="3" t="str">
        <v/>
      </c>
      <c r="AM50" s="3" t="str">
        <v/>
      </c>
      <c r="AN50" s="3" t="str">
        <v/>
      </c>
      <c r="AO50" s="3" t="str">
        <v/>
      </c>
      <c r="AP50" s="3" t="str">
        <v/>
      </c>
      <c r="AQ50" s="3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>
        <v>1</v>
      </c>
      <c r="AW50" s="1">
        <v>0.47335716008510365</v>
      </c>
      <c r="AX50" s="1">
        <v>0.53050648600818739</v>
      </c>
      <c r="AY50" s="1">
        <v>0.36972179206665873</v>
      </c>
      <c r="AZ50" s="1">
        <v>0.47856416089538584</v>
      </c>
      <c r="BA50" s="1">
        <v>0.46857424026629563</v>
      </c>
      <c r="BB50" s="1">
        <v>0.56442583373096411</v>
      </c>
      <c r="BC50" s="1">
        <v>0.55956542753016869</v>
      </c>
      <c r="BD50" s="1">
        <v>0.66725857437125613</v>
      </c>
      <c r="BE50" s="1">
        <v>0.41019492445682032</v>
      </c>
      <c r="BF50" s="1">
        <v>0.56731207267574413</v>
      </c>
      <c r="BG50" s="1">
        <v>0.3840431843480821</v>
      </c>
      <c r="BH50" s="1">
        <v>0.58475939306997826</v>
      </c>
      <c r="BI50" s="1">
        <v>0.49398087744804736</v>
      </c>
      <c r="BJ50" s="1">
        <v>0.60298871085823613</v>
      </c>
      <c r="BK50" s="1">
        <v>0.28873804645146939</v>
      </c>
      <c r="BL50" s="1">
        <v>0.49640938640523502</v>
      </c>
      <c r="BM50" s="1">
        <v>0.45086485682738825</v>
      </c>
      <c r="BN50" s="1">
        <v>0.3780482374214984</v>
      </c>
      <c r="BO50" s="1">
        <v>0.47177104941736925</v>
      </c>
      <c r="BP50" s="1">
        <v>0.55646762279127049</v>
      </c>
      <c r="BQ50" s="1">
        <v>0.13169603505162647</v>
      </c>
      <c r="BR50" s="1">
        <v>0.51395352399238603</v>
      </c>
      <c r="BS50" s="1">
        <v>0.62367644809697598</v>
      </c>
      <c r="BT50" s="1">
        <v>0.70329878927690859</v>
      </c>
      <c r="BU50" s="1">
        <v>0.43008872544951238</v>
      </c>
      <c r="BV50" s="1">
        <v>0.11031531808833933</v>
      </c>
      <c r="BW50" s="1">
        <v>0.2502993762731513</v>
      </c>
      <c r="BX50" s="1">
        <v>0.29721297640888428</v>
      </c>
      <c r="BY50" s="1">
        <v>0.39826233446362458</v>
      </c>
      <c r="BZ50" s="1">
        <v>0.26750924706834384</v>
      </c>
      <c r="CA50" s="1">
        <v>0.40066826603050909</v>
      </c>
      <c r="CB50" s="1">
        <v>0.33439976632519325</v>
      </c>
      <c r="CC50" s="1">
        <v>0.398683775821152</v>
      </c>
      <c r="CD50" s="1">
        <v>0.22785903126318621</v>
      </c>
      <c r="CE50" s="1">
        <v>0.41394564325007438</v>
      </c>
      <c r="CF50" s="1">
        <v>0.63143709101036682</v>
      </c>
      <c r="CG50" s="1">
        <v>0.51658102872699019</v>
      </c>
      <c r="CH50" s="1">
        <v>0.29602531541879135</v>
      </c>
      <c r="CI50" s="1">
        <v>0.7348317094703859</v>
      </c>
      <c r="CJ50" s="1">
        <v>0.46358613201361615</v>
      </c>
      <c r="CK50" s="1">
        <v>0.39847227480208225</v>
      </c>
      <c r="CL50" s="1">
        <v>0.59092153464162733</v>
      </c>
      <c r="CM50" s="1">
        <v>-0.32418164502564384</v>
      </c>
      <c r="CN50" s="1">
        <v>0.42979793863645105</v>
      </c>
      <c r="CO50" s="1">
        <v>0.11911483144384112</v>
      </c>
      <c r="CP50" s="1">
        <v>0.10569760799180654</v>
      </c>
      <c r="CQ50" s="1">
        <v>6.1596417320345612E-2</v>
      </c>
      <c r="CR50" s="1">
        <v>0.16433705593493472</v>
      </c>
      <c r="CS50" s="1">
        <v>0.34129601265257586</v>
      </c>
      <c r="CT50" s="1">
        <v>0.6071037683181566</v>
      </c>
      <c r="CU50" s="1">
        <v>0.406342546525989</v>
      </c>
      <c r="CV50" s="1">
        <v>0.31597061322983516</v>
      </c>
      <c r="CW50" s="1">
        <v>0.42863845914130139</v>
      </c>
      <c r="CX50" s="1">
        <v>0.41022120317912381</v>
      </c>
      <c r="CY50" s="1">
        <v>0.17601065926326764</v>
      </c>
      <c r="CZ50" s="1">
        <v>0.47686699475353894</v>
      </c>
      <c r="DA50" s="1">
        <v>0.28154359219226149</v>
      </c>
      <c r="DB50" s="1">
        <v>0.46712040952662348</v>
      </c>
      <c r="DC50" s="1">
        <v>0.497161385437558</v>
      </c>
      <c r="DD50" s="1">
        <v>0.11972084213273154</v>
      </c>
      <c r="DE50" s="1">
        <v>0.56168847633161145</v>
      </c>
      <c r="DF50" s="1">
        <v>0.30792443878977421</v>
      </c>
      <c r="DG50" s="1">
        <v>0.35619602569812608</v>
      </c>
      <c r="DH50" s="1">
        <v>0.62338210507107028</v>
      </c>
      <c r="DI50" s="1">
        <v>0.59491365642337801</v>
      </c>
      <c r="DJ50" s="1">
        <v>0.61542047385481402</v>
      </c>
      <c r="DK50" s="1">
        <v>0.60085423129364546</v>
      </c>
      <c r="DL50" s="1">
        <v>0.64651929469121228</v>
      </c>
      <c r="DM50" s="1">
        <v>0.65657323578225935</v>
      </c>
      <c r="DN50" s="1">
        <v>0.58093211474848572</v>
      </c>
      <c r="DO50" s="1">
        <v>0.6111355988250412</v>
      </c>
      <c r="DP50" s="1">
        <v>0.69161586053545154</v>
      </c>
      <c r="DQ50" s="1">
        <v>0.61600784814548393</v>
      </c>
      <c r="DR50" s="1">
        <v>0.7106705503079922</v>
      </c>
      <c r="DS50" s="1">
        <v>0.5117884689388259</v>
      </c>
      <c r="DT50" s="1">
        <v>0.5758960823658692</v>
      </c>
      <c r="DU50" s="1">
        <v>0.69840256920323607</v>
      </c>
      <c r="DV50" s="1">
        <v>0.61072920348052306</v>
      </c>
      <c r="DW50" s="1">
        <v>0.303298889964283</v>
      </c>
      <c r="DX50" s="1">
        <v>0.3730440710049624</v>
      </c>
      <c r="DY50" s="1">
        <v>0.77312545281653022</v>
      </c>
    </row>
    <row r="51" spans="1:129" ht="15">
      <c r="A51" s="7" t="s">
        <v>62</v>
      </c>
      <c r="B51" s="3" t="str">
        <v/>
      </c>
      <c r="C51" s="3" t="str">
        <v/>
      </c>
      <c r="D51" s="3" t="str">
        <v/>
      </c>
      <c r="E51" s="3" t="str">
        <v/>
      </c>
      <c r="F51" s="3" t="str">
        <v/>
      </c>
      <c r="G51" s="3" t="str">
        <v/>
      </c>
      <c r="H51" s="3" t="str">
        <v/>
      </c>
      <c r="I51" s="3" t="str">
        <v/>
      </c>
      <c r="J51" s="3" t="str">
        <v/>
      </c>
      <c r="K51" s="3" t="str">
        <v/>
      </c>
      <c r="L51" s="3" t="str">
        <v/>
      </c>
      <c r="M51" s="3" t="str">
        <v/>
      </c>
      <c r="N51" s="3" t="str">
        <v/>
      </c>
      <c r="O51" s="3" t="str">
        <v/>
      </c>
      <c r="P51" s="3" t="str">
        <v/>
      </c>
      <c r="Q51" s="3" t="str">
        <v/>
      </c>
      <c r="R51" s="3" t="str">
        <v/>
      </c>
      <c r="S51" s="3" t="str">
        <v/>
      </c>
      <c r="T51" s="3" t="str">
        <v/>
      </c>
      <c r="U51" s="3" t="str">
        <v/>
      </c>
      <c r="V51" s="3" t="str">
        <v/>
      </c>
      <c r="W51" s="3" t="str">
        <v/>
      </c>
      <c r="X51" s="3" t="str">
        <v/>
      </c>
      <c r="Y51" s="3" t="str">
        <v/>
      </c>
      <c r="Z51" s="3" t="str">
        <v/>
      </c>
      <c r="AA51" s="3" t="str">
        <v/>
      </c>
      <c r="AB51" s="3" t="str">
        <v/>
      </c>
      <c r="AC51" s="3" t="str">
        <v/>
      </c>
      <c r="AD51" s="3" t="str">
        <v/>
      </c>
      <c r="AE51" s="3" t="str">
        <v/>
      </c>
      <c r="AF51" s="3" t="str">
        <v/>
      </c>
      <c r="AG51" s="3" t="str">
        <v/>
      </c>
      <c r="AH51" s="3" t="str">
        <v/>
      </c>
      <c r="AI51" s="3" t="str">
        <v/>
      </c>
      <c r="AJ51" s="3" t="str">
        <v/>
      </c>
      <c r="AK51" s="3" t="str">
        <v/>
      </c>
      <c r="AL51" s="3" t="str">
        <v/>
      </c>
      <c r="AM51" s="3" t="str">
        <v/>
      </c>
      <c r="AN51" s="3" t="str">
        <v/>
      </c>
      <c r="AO51" s="3" t="str">
        <v/>
      </c>
      <c r="AP51" s="3" t="str">
        <v/>
      </c>
      <c r="AQ51" s="3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>
        <v>1</v>
      </c>
      <c r="AX51" s="1">
        <v>0.36101947028106901</v>
      </c>
      <c r="AY51" s="1">
        <v>0.28273874424929968</v>
      </c>
      <c r="AZ51" s="1">
        <v>0.15838015622557375</v>
      </c>
      <c r="BA51" s="1">
        <v>0.38472709201172706</v>
      </c>
      <c r="BB51" s="1">
        <v>0.44537717344403982</v>
      </c>
      <c r="BC51" s="1">
        <v>0.56161885854564075</v>
      </c>
      <c r="BD51" s="1">
        <v>0.54376347698434535</v>
      </c>
      <c r="BE51" s="1">
        <v>0.27473240262033288</v>
      </c>
      <c r="BF51" s="1">
        <v>0.35005737187132541</v>
      </c>
      <c r="BG51" s="1">
        <v>0.28594901254981198</v>
      </c>
      <c r="BH51" s="1">
        <v>0.45494940184610433</v>
      </c>
      <c r="BI51" s="1">
        <v>0.34225597929251067</v>
      </c>
      <c r="BJ51" s="1">
        <v>0.42015841747393101</v>
      </c>
      <c r="BK51" s="1">
        <v>0.15592446957709163</v>
      </c>
      <c r="BL51" s="1">
        <v>0.40971301737020316</v>
      </c>
      <c r="BM51" s="1">
        <v>0.17341736590503171</v>
      </c>
      <c r="BN51" s="1">
        <v>0.29098205305688535</v>
      </c>
      <c r="BO51" s="1">
        <v>0.17061721976336178</v>
      </c>
      <c r="BP51" s="1">
        <v>0.41160570752133485</v>
      </c>
      <c r="BQ51" s="1">
        <v>0.36267527245966108</v>
      </c>
      <c r="BR51" s="1">
        <v>0.22536843471525811</v>
      </c>
      <c r="BS51" s="1">
        <v>0.31000513813345043</v>
      </c>
      <c r="BT51" s="1">
        <v>0.31179674623684711</v>
      </c>
      <c r="BU51" s="1">
        <v>0.28527655690229986</v>
      </c>
      <c r="BV51" s="1">
        <v>0.12945647486667416</v>
      </c>
      <c r="BW51" s="1">
        <v>0.19931213474705084</v>
      </c>
      <c r="BX51" s="1">
        <v>0.23349964947522708</v>
      </c>
      <c r="BY51" s="1">
        <v>0.28181366359676457</v>
      </c>
      <c r="BZ51" s="1">
        <v>0.26885361597078339</v>
      </c>
      <c r="CA51" s="1">
        <v>0.21012533941375316</v>
      </c>
      <c r="CB51" s="1">
        <v>0.26179325880269999</v>
      </c>
      <c r="CC51" s="1">
        <v>0.44750818653846053</v>
      </c>
      <c r="CD51" s="1">
        <v>0.12774520998203237</v>
      </c>
      <c r="CE51" s="1">
        <v>0.32492815992263735</v>
      </c>
      <c r="CF51" s="1">
        <v>0.45509525599203821</v>
      </c>
      <c r="CG51" s="1">
        <v>0.38802601304242124</v>
      </c>
      <c r="CH51" s="1">
        <v>0.40330484143692619</v>
      </c>
      <c r="CI51" s="1">
        <v>0.49868141155916074</v>
      </c>
      <c r="CJ51" s="1">
        <v>0.33445651668881454</v>
      </c>
      <c r="CK51" s="1">
        <v>0.25531563685790826</v>
      </c>
      <c r="CL51" s="1">
        <v>0.25167633854895538</v>
      </c>
      <c r="CM51" s="1">
        <v>-5.8420042557969488E-2</v>
      </c>
      <c r="CN51" s="1">
        <v>0.19611277615054529</v>
      </c>
      <c r="CO51" s="1">
        <v>0.12267171102222471</v>
      </c>
      <c r="CP51" s="1">
        <v>5.9392713239945556E-2</v>
      </c>
      <c r="CQ51" s="1">
        <v>0.15528547956401789</v>
      </c>
      <c r="CR51" s="1">
        <v>0.16257574564300845</v>
      </c>
      <c r="CS51" s="1">
        <v>0.11194608806677196</v>
      </c>
      <c r="CT51" s="1">
        <v>0.27921084586609396</v>
      </c>
      <c r="CU51" s="1">
        <v>0.28989991117965291</v>
      </c>
      <c r="CV51" s="1">
        <v>0.37842171785557449</v>
      </c>
      <c r="CW51" s="1">
        <v>0.36850097849887192</v>
      </c>
      <c r="CX51" s="1">
        <v>0.38061911704444756</v>
      </c>
      <c r="CY51" s="1">
        <v>0.19243751557092287</v>
      </c>
      <c r="CZ51" s="1">
        <v>0.27242095672643751</v>
      </c>
      <c r="DA51" s="1">
        <v>0.26267356403803926</v>
      </c>
      <c r="DB51" s="1">
        <v>0.3587945154479632</v>
      </c>
      <c r="DC51" s="1">
        <v>0.18960367576311846</v>
      </c>
      <c r="DD51" s="1">
        <v>-2.4643423610970605E-2</v>
      </c>
      <c r="DE51" s="1">
        <v>0.32513330028145254</v>
      </c>
      <c r="DF51" s="1">
        <v>0.21827146942419501</v>
      </c>
      <c r="DG51" s="1">
        <v>0.39147976786722316</v>
      </c>
      <c r="DH51" s="1">
        <v>0.4385548404754136</v>
      </c>
      <c r="DI51" s="1">
        <v>0.4141646280580194</v>
      </c>
      <c r="DJ51" s="1">
        <v>0.38003052611171467</v>
      </c>
      <c r="DK51" s="1">
        <v>0.30838872942272344</v>
      </c>
      <c r="DL51" s="1">
        <v>0.26160642151153668</v>
      </c>
      <c r="DM51" s="1">
        <v>0.35359731059898869</v>
      </c>
      <c r="DN51" s="1">
        <v>0.41095984659318274</v>
      </c>
      <c r="DO51" s="1">
        <v>0.3101939205348449</v>
      </c>
      <c r="DP51" s="1">
        <v>0.38127746355839059</v>
      </c>
      <c r="DQ51" s="1">
        <v>0.30478749404381017</v>
      </c>
      <c r="DR51" s="1">
        <v>0.44038148355079182</v>
      </c>
      <c r="DS51" s="1">
        <v>0.34445601327984271</v>
      </c>
      <c r="DT51" s="1">
        <v>0.37472573263387932</v>
      </c>
      <c r="DU51" s="1">
        <v>0.39149470058270142</v>
      </c>
      <c r="DV51" s="1">
        <v>0.31785363045275827</v>
      </c>
      <c r="DW51" s="1">
        <v>0.13344930367827107</v>
      </c>
      <c r="DX51" s="1">
        <v>0.34046726644358</v>
      </c>
      <c r="DY51" s="1">
        <v>0.43308378345524445</v>
      </c>
    </row>
    <row r="52" spans="1:129" ht="15">
      <c r="A52" s="7" t="s">
        <v>63</v>
      </c>
      <c r="B52" s="3" t="str">
        <v/>
      </c>
      <c r="C52" s="3" t="str">
        <v/>
      </c>
      <c r="D52" s="3" t="str">
        <v/>
      </c>
      <c r="E52" s="3" t="str">
        <v/>
      </c>
      <c r="F52" s="3" t="str">
        <v/>
      </c>
      <c r="G52" s="3" t="str">
        <v/>
      </c>
      <c r="H52" s="3" t="str">
        <v/>
      </c>
      <c r="I52" s="3" t="str">
        <v/>
      </c>
      <c r="J52" s="3" t="str">
        <v/>
      </c>
      <c r="K52" s="3" t="str">
        <v/>
      </c>
      <c r="L52" s="3" t="str">
        <v/>
      </c>
      <c r="M52" s="3" t="str">
        <v/>
      </c>
      <c r="N52" s="3" t="str">
        <v/>
      </c>
      <c r="O52" s="3" t="str">
        <v/>
      </c>
      <c r="P52" s="3" t="str">
        <v/>
      </c>
      <c r="Q52" s="3" t="str">
        <v/>
      </c>
      <c r="R52" s="3" t="str">
        <v/>
      </c>
      <c r="S52" s="3" t="str">
        <v/>
      </c>
      <c r="T52" s="3" t="str">
        <v/>
      </c>
      <c r="U52" s="3" t="str">
        <v/>
      </c>
      <c r="V52" s="3" t="str">
        <v/>
      </c>
      <c r="W52" s="3" t="str">
        <v/>
      </c>
      <c r="X52" s="3" t="str">
        <v/>
      </c>
      <c r="Y52" s="3" t="str">
        <v/>
      </c>
      <c r="Z52" s="3" t="str">
        <v/>
      </c>
      <c r="AA52" s="3" t="str">
        <v/>
      </c>
      <c r="AB52" s="3" t="str">
        <v/>
      </c>
      <c r="AC52" s="3" t="str">
        <v/>
      </c>
      <c r="AD52" s="3" t="str">
        <v/>
      </c>
      <c r="AE52" s="3" t="str">
        <v/>
      </c>
      <c r="AF52" s="3" t="str">
        <v/>
      </c>
      <c r="AG52" s="3" t="str">
        <v/>
      </c>
      <c r="AH52" s="3" t="str">
        <v/>
      </c>
      <c r="AI52" s="3" t="str">
        <v/>
      </c>
      <c r="AJ52" s="3" t="str">
        <v/>
      </c>
      <c r="AK52" s="3" t="str">
        <v/>
      </c>
      <c r="AL52" s="3" t="str">
        <v/>
      </c>
      <c r="AM52" s="3" t="str">
        <v/>
      </c>
      <c r="AN52" s="3" t="str">
        <v/>
      </c>
      <c r="AO52" s="3" t="str">
        <v/>
      </c>
      <c r="AP52" s="3" t="str">
        <v/>
      </c>
      <c r="AQ52" s="3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>
        <v>0.99999999999999978</v>
      </c>
      <c r="AY52" s="1">
        <v>0.66689889524421586</v>
      </c>
      <c r="AZ52" s="1">
        <v>0.32257176619985484</v>
      </c>
      <c r="BA52" s="1">
        <v>0.45731830575088428</v>
      </c>
      <c r="BB52" s="1">
        <v>0.39610224723963749</v>
      </c>
      <c r="BC52" s="1">
        <v>0.41630164331464459</v>
      </c>
      <c r="BD52" s="1">
        <v>0.45831537159255858</v>
      </c>
      <c r="BE52" s="1">
        <v>0.38144810181777383</v>
      </c>
      <c r="BF52" s="1">
        <v>0.32374411643547213</v>
      </c>
      <c r="BG52" s="1">
        <v>0.38084639547912591</v>
      </c>
      <c r="BH52" s="1">
        <v>0.48302806356237016</v>
      </c>
      <c r="BI52" s="1">
        <v>0.27102712823202046</v>
      </c>
      <c r="BJ52" s="1">
        <v>0.39774174523290684</v>
      </c>
      <c r="BK52" s="1">
        <v>4.1457610730362908E-2</v>
      </c>
      <c r="BL52" s="1">
        <v>0.19279578157225036</v>
      </c>
      <c r="BM52" s="1">
        <v>0.17244188998302556</v>
      </c>
      <c r="BN52" s="1">
        <v>0.36871999690389151</v>
      </c>
      <c r="BO52" s="1">
        <v>0.21713345672809384</v>
      </c>
      <c r="BP52" s="1">
        <v>0.31319570406636721</v>
      </c>
      <c r="BQ52" s="1">
        <v>1.6005840424195988E-2</v>
      </c>
      <c r="BR52" s="1">
        <v>0.22933937165695789</v>
      </c>
      <c r="BS52" s="1">
        <v>0.37008025206318357</v>
      </c>
      <c r="BT52" s="1">
        <v>0.25917064287454217</v>
      </c>
      <c r="BU52" s="1">
        <v>0.14911662720668342</v>
      </c>
      <c r="BV52" s="1">
        <v>7.1957040710501532E-2</v>
      </c>
      <c r="BW52" s="1">
        <v>0.25568337168419797</v>
      </c>
      <c r="BX52" s="1">
        <v>0.15595308895284071</v>
      </c>
      <c r="BY52" s="1">
        <v>0.22686721032016882</v>
      </c>
      <c r="BZ52" s="1">
        <v>0.19401772016882909</v>
      </c>
      <c r="CA52" s="1">
        <v>0.12307832240726123</v>
      </c>
      <c r="CB52" s="1">
        <v>5.690096273069431E-2</v>
      </c>
      <c r="CC52" s="1">
        <v>0.50345150924589299</v>
      </c>
      <c r="CD52" s="1">
        <v>5.9327131585714746E-2</v>
      </c>
      <c r="CE52" s="1">
        <v>0.21779527395397566</v>
      </c>
      <c r="CF52" s="1">
        <v>0.35763915132944435</v>
      </c>
      <c r="CG52" s="1">
        <v>0.35883690645214428</v>
      </c>
      <c r="CH52" s="1">
        <v>0.23048521729053342</v>
      </c>
      <c r="CI52" s="1">
        <v>0.51567146469021252</v>
      </c>
      <c r="CJ52" s="1">
        <v>7.3990220118379996E-2</v>
      </c>
      <c r="CK52" s="1">
        <v>0.41090331795686835</v>
      </c>
      <c r="CL52" s="1">
        <v>0.24711072673069218</v>
      </c>
      <c r="CM52" s="1">
        <v>-0.10522156552848877</v>
      </c>
      <c r="CN52" s="1">
        <v>0.39277006337776688</v>
      </c>
      <c r="CO52" s="1">
        <v>0.16206446072160502</v>
      </c>
      <c r="CP52" s="1">
        <v>9.0814021881601967E-2</v>
      </c>
      <c r="CQ52" s="1">
        <v>0.1258301129463365</v>
      </c>
      <c r="CR52" s="1">
        <v>0.12639400040282106</v>
      </c>
      <c r="CS52" s="1">
        <v>9.1467746311696962E-2</v>
      </c>
      <c r="CT52" s="1">
        <v>0.18832469592128182</v>
      </c>
      <c r="CU52" s="1">
        <v>0.15331852674366267</v>
      </c>
      <c r="CV52" s="1">
        <v>0.16992143526772152</v>
      </c>
      <c r="CW52" s="1">
        <v>0.26954104017778091</v>
      </c>
      <c r="CX52" s="1">
        <v>0.1436009685693872</v>
      </c>
      <c r="CY52" s="1">
        <v>9.5464763850234155E-2</v>
      </c>
      <c r="CZ52" s="1">
        <v>0.34399383331148115</v>
      </c>
      <c r="DA52" s="1">
        <v>4.6495017157828347E-2</v>
      </c>
      <c r="DB52" s="1">
        <v>0.18611922950670332</v>
      </c>
      <c r="DC52" s="1">
        <v>0.22184654547930041</v>
      </c>
      <c r="DD52" s="1">
        <v>8.3936419727081463E-2</v>
      </c>
      <c r="DE52" s="1">
        <v>0.36550306977457098</v>
      </c>
      <c r="DF52" s="1">
        <v>0.16707542688880772</v>
      </c>
      <c r="DG52" s="1">
        <v>0.37551420564336474</v>
      </c>
      <c r="DH52" s="1">
        <v>0.55420937926141456</v>
      </c>
      <c r="DI52" s="1">
        <v>0.34560231301388666</v>
      </c>
      <c r="DJ52" s="1">
        <v>0.17028174227329088</v>
      </c>
      <c r="DK52" s="1">
        <v>0.22666137827395491</v>
      </c>
      <c r="DL52" s="1">
        <v>0.34173751360326887</v>
      </c>
      <c r="DM52" s="1">
        <v>0.30938071950305684</v>
      </c>
      <c r="DN52" s="1">
        <v>0.27541600527063509</v>
      </c>
      <c r="DO52" s="1">
        <v>0.23736194464012467</v>
      </c>
      <c r="DP52" s="1">
        <v>0.34675834518105847</v>
      </c>
      <c r="DQ52" s="1">
        <v>0.34040126271859272</v>
      </c>
      <c r="DR52" s="1">
        <v>0.42732999978411917</v>
      </c>
      <c r="DS52" s="1">
        <v>0.19827049208351341</v>
      </c>
      <c r="DT52" s="1">
        <v>0.2989788547537951</v>
      </c>
      <c r="DU52" s="1">
        <v>0.36292919729014572</v>
      </c>
      <c r="DV52" s="1">
        <v>0.26978505183041712</v>
      </c>
      <c r="DW52" s="1">
        <v>0.33805198114103913</v>
      </c>
      <c r="DX52" s="1">
        <v>0.36773339244647163</v>
      </c>
      <c r="DY52" s="1">
        <v>0.43395673033644971</v>
      </c>
    </row>
    <row r="53" spans="1:129" ht="15">
      <c r="A53" s="7" t="s">
        <v>64</v>
      </c>
      <c r="B53" s="3" t="str">
        <v/>
      </c>
      <c r="C53" s="3" t="str">
        <v/>
      </c>
      <c r="D53" s="3" t="str">
        <v/>
      </c>
      <c r="E53" s="3" t="str">
        <v/>
      </c>
      <c r="F53" s="3" t="str">
        <v/>
      </c>
      <c r="G53" s="3" t="str">
        <v/>
      </c>
      <c r="H53" s="3" t="str">
        <v/>
      </c>
      <c r="I53" s="3" t="str">
        <v/>
      </c>
      <c r="J53" s="3" t="str">
        <v/>
      </c>
      <c r="K53" s="3" t="str">
        <v/>
      </c>
      <c r="L53" s="3" t="str">
        <v/>
      </c>
      <c r="M53" s="3" t="str">
        <v/>
      </c>
      <c r="N53" s="3" t="str">
        <v/>
      </c>
      <c r="O53" s="3" t="str">
        <v/>
      </c>
      <c r="P53" s="3" t="str">
        <v/>
      </c>
      <c r="Q53" s="3" t="str">
        <v/>
      </c>
      <c r="R53" s="3" t="str">
        <v/>
      </c>
      <c r="S53" s="3" t="str">
        <v/>
      </c>
      <c r="T53" s="3" t="str">
        <v/>
      </c>
      <c r="U53" s="3" t="str">
        <v/>
      </c>
      <c r="V53" s="3" t="str">
        <v/>
      </c>
      <c r="W53" s="3" t="str">
        <v/>
      </c>
      <c r="X53" s="3" t="str">
        <v/>
      </c>
      <c r="Y53" s="3" t="str">
        <v/>
      </c>
      <c r="Z53" s="3" t="str">
        <v/>
      </c>
      <c r="AA53" s="3" t="str">
        <v/>
      </c>
      <c r="AB53" s="3" t="str">
        <v/>
      </c>
      <c r="AC53" s="3" t="str">
        <v/>
      </c>
      <c r="AD53" s="3" t="str">
        <v/>
      </c>
      <c r="AE53" s="3" t="str">
        <v/>
      </c>
      <c r="AF53" s="3" t="str">
        <v/>
      </c>
      <c r="AG53" s="3" t="str">
        <v/>
      </c>
      <c r="AH53" s="3" t="str">
        <v/>
      </c>
      <c r="AI53" s="3" t="str">
        <v/>
      </c>
      <c r="AJ53" s="3" t="str">
        <v/>
      </c>
      <c r="AK53" s="3" t="str">
        <v/>
      </c>
      <c r="AL53" s="3" t="str">
        <v/>
      </c>
      <c r="AM53" s="3" t="str">
        <v/>
      </c>
      <c r="AN53" s="3" t="str">
        <v/>
      </c>
      <c r="AO53" s="3" t="str">
        <v/>
      </c>
      <c r="AP53" s="3" t="str">
        <v/>
      </c>
      <c r="AQ53" s="3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>
        <v>1</v>
      </c>
      <c r="AZ53" s="1">
        <v>0.52424197206056733</v>
      </c>
      <c r="BA53" s="1">
        <v>0.45209248036658817</v>
      </c>
      <c r="BB53" s="1">
        <v>0.47501434545778687</v>
      </c>
      <c r="BC53" s="1">
        <v>0.28732079182098319</v>
      </c>
      <c r="BD53" s="1">
        <v>0.42864634463361417</v>
      </c>
      <c r="BE53" s="1">
        <v>0.44589030031918092</v>
      </c>
      <c r="BF53" s="1">
        <v>0.32802079497183195</v>
      </c>
      <c r="BG53" s="1">
        <v>0.55759531356481684</v>
      </c>
      <c r="BH53" s="1">
        <v>0.34801130181911666</v>
      </c>
      <c r="BI53" s="1">
        <v>0.23049709123989262</v>
      </c>
      <c r="BJ53" s="1">
        <v>0.26312283768969563</v>
      </c>
      <c r="BK53" s="1">
        <v>0.27772721855414334</v>
      </c>
      <c r="BL53" s="1">
        <v>0.25901867471245926</v>
      </c>
      <c r="BM53" s="1">
        <v>0.28326508781840282</v>
      </c>
      <c r="BN53" s="1">
        <v>0.37668703233324802</v>
      </c>
      <c r="BO53" s="1">
        <v>0.34709215135976845</v>
      </c>
      <c r="BP53" s="1">
        <v>0.28206314733242283</v>
      </c>
      <c r="BQ53" s="1">
        <v>0.14652513208714929</v>
      </c>
      <c r="BR53" s="1">
        <v>0.23831328330032944</v>
      </c>
      <c r="BS53" s="1">
        <v>0.36891692522256653</v>
      </c>
      <c r="BT53" s="1">
        <v>0.25477318053915415</v>
      </c>
      <c r="BU53" s="1">
        <v>0.36740130384160291</v>
      </c>
      <c r="BV53" s="1">
        <v>0.18853933250095878</v>
      </c>
      <c r="BW53" s="1">
        <v>0.19526727337464214</v>
      </c>
      <c r="BX53" s="1">
        <v>0.29194747054475462</v>
      </c>
      <c r="BY53" s="1">
        <v>0.24205579128745064</v>
      </c>
      <c r="BZ53" s="1">
        <v>0.35347924747225529</v>
      </c>
      <c r="CA53" s="1">
        <v>0.26333064949591567</v>
      </c>
      <c r="CB53" s="1">
        <v>0.29459630668788162</v>
      </c>
      <c r="CC53" s="1">
        <v>0.42759316429234062</v>
      </c>
      <c r="CD53" s="1">
        <v>0.28086059591716384</v>
      </c>
      <c r="CE53" s="1">
        <v>0.14920801571773576</v>
      </c>
      <c r="CF53" s="1">
        <v>0.41192546161707883</v>
      </c>
      <c r="CG53" s="1">
        <v>0.37557754789960057</v>
      </c>
      <c r="CH53" s="1">
        <v>0.3327052171176525</v>
      </c>
      <c r="CI53" s="1">
        <v>0.62343425808952946</v>
      </c>
      <c r="CJ53" s="1">
        <v>0.26968589577334001</v>
      </c>
      <c r="CK53" s="1">
        <v>0.4094494065131638</v>
      </c>
      <c r="CL53" s="1">
        <v>0.4328961518711314</v>
      </c>
      <c r="CM53" s="1">
        <v>1.7402922731890286E-2</v>
      </c>
      <c r="CN53" s="1">
        <v>0.51667690098138819</v>
      </c>
      <c r="CO53" s="1">
        <v>0.3374841073688139</v>
      </c>
      <c r="CP53" s="1">
        <v>0.18509116950679702</v>
      </c>
      <c r="CQ53" s="1">
        <v>0.22510986013287979</v>
      </c>
      <c r="CR53" s="1">
        <v>0.14527892994648864</v>
      </c>
      <c r="CS53" s="1">
        <v>2.4139319224693156E-2</v>
      </c>
      <c r="CT53" s="1">
        <v>0.29305761977310357</v>
      </c>
      <c r="CU53" s="1">
        <v>0.16793331191974553</v>
      </c>
      <c r="CV53" s="1">
        <v>0.33181639230792348</v>
      </c>
      <c r="CW53" s="1">
        <v>0.34802678151348476</v>
      </c>
      <c r="CX53" s="1">
        <v>0.25621517226119955</v>
      </c>
      <c r="CY53" s="1">
        <v>0.25200586920576257</v>
      </c>
      <c r="CZ53" s="1">
        <v>0.52932557705735439</v>
      </c>
      <c r="DA53" s="1">
        <v>0.12939250072221908</v>
      </c>
      <c r="DB53" s="1">
        <v>0.19642304500125768</v>
      </c>
      <c r="DC53" s="1">
        <v>0.17853414593648312</v>
      </c>
      <c r="DD53" s="1">
        <v>0.20061189636809651</v>
      </c>
      <c r="DE53" s="1">
        <v>0.33737754200312514</v>
      </c>
      <c r="DF53" s="1">
        <v>0.38272971694322699</v>
      </c>
      <c r="DG53" s="1">
        <v>0.18035197023043351</v>
      </c>
      <c r="DH53" s="1">
        <v>0.50293782709366164</v>
      </c>
      <c r="DI53" s="1">
        <v>0.26204199108056053</v>
      </c>
      <c r="DJ53" s="1">
        <v>0.15503684819791988</v>
      </c>
      <c r="DK53" s="1">
        <v>0.21799418292420678</v>
      </c>
      <c r="DL53" s="1">
        <v>0.27897710023823341</v>
      </c>
      <c r="DM53" s="1">
        <v>0.21368594420816864</v>
      </c>
      <c r="DN53" s="1">
        <v>0.24066303919818147</v>
      </c>
      <c r="DO53" s="1">
        <v>0.21624507696149628</v>
      </c>
      <c r="DP53" s="1">
        <v>0.33378031285618348</v>
      </c>
      <c r="DQ53" s="1">
        <v>0.27313886841789287</v>
      </c>
      <c r="DR53" s="1">
        <v>0.36481342217144169</v>
      </c>
      <c r="DS53" s="1">
        <v>0.20798859583511653</v>
      </c>
      <c r="DT53" s="1">
        <v>0.29056176032646974</v>
      </c>
      <c r="DU53" s="1">
        <v>0.39524163247887983</v>
      </c>
      <c r="DV53" s="1">
        <v>0.294414873273181</v>
      </c>
      <c r="DW53" s="1">
        <v>0.52729983878606701</v>
      </c>
      <c r="DX53" s="1">
        <v>0.47413383290773103</v>
      </c>
      <c r="DY53" s="1">
        <v>0.31572306374486037</v>
      </c>
    </row>
    <row r="54" spans="1:129" ht="15">
      <c r="A54" s="7" t="s">
        <v>65</v>
      </c>
      <c r="B54" s="3" t="str">
        <v/>
      </c>
      <c r="C54" s="3" t="str">
        <v/>
      </c>
      <c r="D54" s="3" t="str">
        <v/>
      </c>
      <c r="E54" s="3" t="str">
        <v/>
      </c>
      <c r="F54" s="3" t="str">
        <v/>
      </c>
      <c r="G54" s="3" t="str">
        <v/>
      </c>
      <c r="H54" s="3" t="str">
        <v/>
      </c>
      <c r="I54" s="3" t="str">
        <v/>
      </c>
      <c r="J54" s="3" t="str">
        <v/>
      </c>
      <c r="K54" s="3" t="str">
        <v/>
      </c>
      <c r="L54" s="3" t="str">
        <v/>
      </c>
      <c r="M54" s="3" t="str">
        <v/>
      </c>
      <c r="N54" s="3" t="str">
        <v/>
      </c>
      <c r="O54" s="3" t="str">
        <v/>
      </c>
      <c r="P54" s="3" t="str">
        <v/>
      </c>
      <c r="Q54" s="3" t="str">
        <v/>
      </c>
      <c r="R54" s="3" t="str">
        <v/>
      </c>
      <c r="S54" s="3" t="str">
        <v/>
      </c>
      <c r="T54" s="3" t="str">
        <v/>
      </c>
      <c r="U54" s="3" t="str">
        <v/>
      </c>
      <c r="V54" s="3" t="str">
        <v/>
      </c>
      <c r="W54" s="3" t="str">
        <v/>
      </c>
      <c r="X54" s="3" t="str">
        <v/>
      </c>
      <c r="Y54" s="3" t="str">
        <v/>
      </c>
      <c r="Z54" s="3" t="str">
        <v/>
      </c>
      <c r="AA54" s="3" t="str">
        <v/>
      </c>
      <c r="AB54" s="3" t="str">
        <v/>
      </c>
      <c r="AC54" s="3" t="str">
        <v/>
      </c>
      <c r="AD54" s="3" t="str">
        <v/>
      </c>
      <c r="AE54" s="3" t="str">
        <v/>
      </c>
      <c r="AF54" s="3" t="str">
        <v/>
      </c>
      <c r="AG54" s="3" t="str">
        <v/>
      </c>
      <c r="AH54" s="3" t="str">
        <v/>
      </c>
      <c r="AI54" s="3" t="str">
        <v/>
      </c>
      <c r="AJ54" s="3" t="str">
        <v/>
      </c>
      <c r="AK54" s="3" t="str">
        <v/>
      </c>
      <c r="AL54" s="3" t="str">
        <v/>
      </c>
      <c r="AM54" s="3" t="str">
        <v/>
      </c>
      <c r="AN54" s="3" t="str">
        <v/>
      </c>
      <c r="AO54" s="3" t="str">
        <v/>
      </c>
      <c r="AP54" s="3" t="str">
        <v/>
      </c>
      <c r="AQ54" s="3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>
        <v>1</v>
      </c>
      <c r="BA54" s="1">
        <v>0.6405149589544078</v>
      </c>
      <c r="BB54" s="1">
        <v>0.49053416742356187</v>
      </c>
      <c r="BC54" s="1">
        <v>0.3387015201452106</v>
      </c>
      <c r="BD54" s="1">
        <v>0.47792822844811067</v>
      </c>
      <c r="BE54" s="1">
        <v>0.33845833849795187</v>
      </c>
      <c r="BF54" s="1">
        <v>0.4327568745451511</v>
      </c>
      <c r="BG54" s="1">
        <v>0.60720768206395526</v>
      </c>
      <c r="BH54" s="1">
        <v>0.35807976318320467</v>
      </c>
      <c r="BI54" s="1">
        <v>0.35494230989662934</v>
      </c>
      <c r="BJ54" s="1">
        <v>0.37217840618556169</v>
      </c>
      <c r="BK54" s="1">
        <v>0.39156915664774211</v>
      </c>
      <c r="BL54" s="1">
        <v>0.25246585953057121</v>
      </c>
      <c r="BM54" s="1">
        <v>0.43537546661923504</v>
      </c>
      <c r="BN54" s="1">
        <v>0.37944347492806624</v>
      </c>
      <c r="BO54" s="1">
        <v>0.51565042316910426</v>
      </c>
      <c r="BP54" s="1">
        <v>0.31069619775785484</v>
      </c>
      <c r="BQ54" s="1">
        <v>0.3311450919004072</v>
      </c>
      <c r="BR54" s="1">
        <v>0.35843680597739142</v>
      </c>
      <c r="BS54" s="1">
        <v>0.41779528867456517</v>
      </c>
      <c r="BT54" s="1">
        <v>0.48414967660466868</v>
      </c>
      <c r="BU54" s="1">
        <v>0.40482878906679926</v>
      </c>
      <c r="BV54" s="1">
        <v>0.2720425810098292</v>
      </c>
      <c r="BW54" s="1">
        <v>0.21231749454767629</v>
      </c>
      <c r="BX54" s="1">
        <v>0.30267607403689106</v>
      </c>
      <c r="BY54" s="1">
        <v>0.24938127742741212</v>
      </c>
      <c r="BZ54" s="1">
        <v>0.16776557868236619</v>
      </c>
      <c r="CA54" s="1">
        <v>0.24579144943042897</v>
      </c>
      <c r="CB54" s="1">
        <v>0.22857450619367081</v>
      </c>
      <c r="CC54" s="1">
        <v>0.19537869213862485</v>
      </c>
      <c r="CD54" s="1">
        <v>0.24066399847750194</v>
      </c>
      <c r="CE54" s="1">
        <v>0.12621003430449004</v>
      </c>
      <c r="CF54" s="1">
        <v>0.40585288936607977</v>
      </c>
      <c r="CG54" s="1">
        <v>0.36759992105643396</v>
      </c>
      <c r="CH54" s="1">
        <v>0.33200362863854732</v>
      </c>
      <c r="CI54" s="1">
        <v>0.6227700218526423</v>
      </c>
      <c r="CJ54" s="1">
        <v>0.31311648103902567</v>
      </c>
      <c r="CK54" s="1">
        <v>0.13141960456708818</v>
      </c>
      <c r="CL54" s="1">
        <v>0.48629946013305192</v>
      </c>
      <c r="CM54" s="1">
        <v>-7.7741292030193684E-2</v>
      </c>
      <c r="CN54" s="1">
        <v>0.32109031507239166</v>
      </c>
      <c r="CO54" s="1">
        <v>0.27827541313552512</v>
      </c>
      <c r="CP54" s="1">
        <v>0.16614899520242732</v>
      </c>
      <c r="CQ54" s="1">
        <v>3.1285098962524314E-2</v>
      </c>
      <c r="CR54" s="1">
        <v>0.15623058325483419</v>
      </c>
      <c r="CS54" s="1">
        <v>0.14405919141830659</v>
      </c>
      <c r="CT54" s="1">
        <v>0.43508682505616014</v>
      </c>
      <c r="CU54" s="1">
        <v>0.18599875880807587</v>
      </c>
      <c r="CV54" s="1">
        <v>0.28911430664107979</v>
      </c>
      <c r="CW54" s="1">
        <v>0.44306630775768879</v>
      </c>
      <c r="CX54" s="1">
        <v>0.30720538524962759</v>
      </c>
      <c r="CY54" s="1">
        <v>5.1418408440959268E-3</v>
      </c>
      <c r="CZ54" s="1">
        <v>0.55581245759139919</v>
      </c>
      <c r="DA54" s="1">
        <v>0.20542047808724345</v>
      </c>
      <c r="DB54" s="1">
        <v>0.22214176973363076</v>
      </c>
      <c r="DC54" s="1">
        <v>0.32085433006772934</v>
      </c>
      <c r="DD54" s="1">
        <v>0.19324043795866841</v>
      </c>
      <c r="DE54" s="1">
        <v>0.48606821844472614</v>
      </c>
      <c r="DF54" s="1">
        <v>0.16523491524042255</v>
      </c>
      <c r="DG54" s="1">
        <v>0.13593739524448481</v>
      </c>
      <c r="DH54" s="1">
        <v>0.32377073395497619</v>
      </c>
      <c r="DI54" s="1">
        <v>0.22534175666662684</v>
      </c>
      <c r="DJ54" s="1">
        <v>0.24237166653954212</v>
      </c>
      <c r="DK54" s="1">
        <v>0.33904033844725578</v>
      </c>
      <c r="DL54" s="1">
        <v>0.36981212521639961</v>
      </c>
      <c r="DM54" s="1">
        <v>0.33775991958364343</v>
      </c>
      <c r="DN54" s="1">
        <v>0.28922139824716953</v>
      </c>
      <c r="DO54" s="1">
        <v>0.30216852715201764</v>
      </c>
      <c r="DP54" s="1">
        <v>0.37625566738652583</v>
      </c>
      <c r="DQ54" s="1">
        <v>0.36330735625489546</v>
      </c>
      <c r="DR54" s="1">
        <v>0.40872751246303785</v>
      </c>
      <c r="DS54" s="1">
        <v>0.1692352864840303</v>
      </c>
      <c r="DT54" s="1">
        <v>0.28597778517370609</v>
      </c>
      <c r="DU54" s="1">
        <v>0.38004138266638426</v>
      </c>
      <c r="DV54" s="1">
        <v>0.40911603490463466</v>
      </c>
      <c r="DW54" s="1">
        <v>0.48925726612568743</v>
      </c>
      <c r="DX54" s="1">
        <v>0.40318548213699029</v>
      </c>
      <c r="DY54" s="1">
        <v>0.28870077806718569</v>
      </c>
    </row>
    <row r="55" spans="1:129" ht="15">
      <c r="A55" s="7" t="s">
        <v>66</v>
      </c>
      <c r="B55" s="3" t="str">
        <v/>
      </c>
      <c r="C55" s="3" t="str">
        <v/>
      </c>
      <c r="D55" s="3" t="str">
        <v/>
      </c>
      <c r="E55" s="3" t="str">
        <v/>
      </c>
      <c r="F55" s="3" t="str">
        <v/>
      </c>
      <c r="G55" s="3" t="str">
        <v/>
      </c>
      <c r="H55" s="3" t="str">
        <v/>
      </c>
      <c r="I55" s="3" t="str">
        <v/>
      </c>
      <c r="J55" s="3" t="str">
        <v/>
      </c>
      <c r="K55" s="3" t="str">
        <v/>
      </c>
      <c r="L55" s="3" t="str">
        <v/>
      </c>
      <c r="M55" s="3" t="str">
        <v/>
      </c>
      <c r="N55" s="3" t="str">
        <v/>
      </c>
      <c r="O55" s="3" t="str">
        <v/>
      </c>
      <c r="P55" s="3" t="str">
        <v/>
      </c>
      <c r="Q55" s="3" t="str">
        <v/>
      </c>
      <c r="R55" s="3" t="str">
        <v/>
      </c>
      <c r="S55" s="3" t="str">
        <v/>
      </c>
      <c r="T55" s="3" t="str">
        <v/>
      </c>
      <c r="U55" s="3" t="str">
        <v/>
      </c>
      <c r="V55" s="3" t="str">
        <v/>
      </c>
      <c r="W55" s="3" t="str">
        <v/>
      </c>
      <c r="X55" s="3" t="str">
        <v/>
      </c>
      <c r="Y55" s="3" t="str">
        <v/>
      </c>
      <c r="Z55" s="3" t="str">
        <v/>
      </c>
      <c r="AA55" s="3" t="str">
        <v/>
      </c>
      <c r="AB55" s="3" t="str">
        <v/>
      </c>
      <c r="AC55" s="3" t="str">
        <v/>
      </c>
      <c r="AD55" s="3" t="str">
        <v/>
      </c>
      <c r="AE55" s="3" t="str">
        <v/>
      </c>
      <c r="AF55" s="3" t="str">
        <v/>
      </c>
      <c r="AG55" s="3" t="str">
        <v/>
      </c>
      <c r="AH55" s="3" t="str">
        <v/>
      </c>
      <c r="AI55" s="3" t="str">
        <v/>
      </c>
      <c r="AJ55" s="3" t="str">
        <v/>
      </c>
      <c r="AK55" s="3" t="str">
        <v/>
      </c>
      <c r="AL55" s="3" t="str">
        <v/>
      </c>
      <c r="AM55" s="3" t="str">
        <v/>
      </c>
      <c r="AN55" s="3" t="str">
        <v/>
      </c>
      <c r="AO55" s="3" t="str">
        <v/>
      </c>
      <c r="AP55" s="3" t="str">
        <v/>
      </c>
      <c r="AQ55" s="3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>
        <v>1.0000000000000002</v>
      </c>
      <c r="BB55" s="1">
        <v>0.4235723049608609</v>
      </c>
      <c r="BC55" s="1">
        <v>0.4871229667392391</v>
      </c>
      <c r="BD55" s="1">
        <v>0.48808130464539384</v>
      </c>
      <c r="BE55" s="1">
        <v>0.33913810904044828</v>
      </c>
      <c r="BF55" s="1">
        <v>0.44325367890276629</v>
      </c>
      <c r="BG55" s="1">
        <v>0.61522023006029203</v>
      </c>
      <c r="BH55" s="1">
        <v>0.5072152264420392</v>
      </c>
      <c r="BI55" s="1">
        <v>0.5601615301157058</v>
      </c>
      <c r="BJ55" s="1">
        <v>0.28069184444429623</v>
      </c>
      <c r="BK55" s="1">
        <v>0.30266731154028798</v>
      </c>
      <c r="BL55" s="1">
        <v>0.33927257282046791</v>
      </c>
      <c r="BM55" s="1">
        <v>0.42218291385898188</v>
      </c>
      <c r="BN55" s="1">
        <v>0.35439667255871132</v>
      </c>
      <c r="BO55" s="1">
        <v>0.31424012745849073</v>
      </c>
      <c r="BP55" s="1">
        <v>0.32963797299120112</v>
      </c>
      <c r="BQ55" s="1">
        <v>0.41850452476574213</v>
      </c>
      <c r="BR55" s="1">
        <v>0.41370490381835529</v>
      </c>
      <c r="BS55" s="1">
        <v>0.29893187956163914</v>
      </c>
      <c r="BT55" s="1">
        <v>0.36097037639359275</v>
      </c>
      <c r="BU55" s="1">
        <v>0.45574938832572154</v>
      </c>
      <c r="BV55" s="1">
        <v>0.3364096652095297</v>
      </c>
      <c r="BW55" s="1">
        <v>0.26616835112374054</v>
      </c>
      <c r="BX55" s="1">
        <v>0.20247557571870964</v>
      </c>
      <c r="BY55" s="1">
        <v>0.21833949252355381</v>
      </c>
      <c r="BZ55" s="1">
        <v>8.9798884381431188E-2</v>
      </c>
      <c r="CA55" s="1">
        <v>0.21542851043094724</v>
      </c>
      <c r="CB55" s="1">
        <v>0.16201156762251992</v>
      </c>
      <c r="CC55" s="1">
        <v>0.25670670248954452</v>
      </c>
      <c r="CD55" s="1">
        <v>0.14703480924643283</v>
      </c>
      <c r="CE55" s="1">
        <v>0.18320787146236089</v>
      </c>
      <c r="CF55" s="1">
        <v>0.31995890020840373</v>
      </c>
      <c r="CG55" s="1">
        <v>0.43189698253216013</v>
      </c>
      <c r="CH55" s="1">
        <v>0.2883359739526935</v>
      </c>
      <c r="CI55" s="1">
        <v>0.59162586424193209</v>
      </c>
      <c r="CJ55" s="1">
        <v>0.26779448131495354</v>
      </c>
      <c r="CK55" s="1">
        <v>5.113392424971562E-2</v>
      </c>
      <c r="CL55" s="1">
        <v>0.33147333747263286</v>
      </c>
      <c r="CM55" s="1">
        <v>-9.9019204596668922E-2</v>
      </c>
      <c r="CN55" s="1">
        <v>0.13768312989038281</v>
      </c>
      <c r="CO55" s="1">
        <v>0.12643360655242181</v>
      </c>
      <c r="CP55" s="1">
        <v>0.14278589540185047</v>
      </c>
      <c r="CQ55" s="1">
        <v>-5.3572616983179871E-3</v>
      </c>
      <c r="CR55" s="1">
        <v>-1.5757701426298478E-2</v>
      </c>
      <c r="CS55" s="1">
        <v>0.10371346950535003</v>
      </c>
      <c r="CT55" s="1">
        <v>0.26999069715290697</v>
      </c>
      <c r="CU55" s="1">
        <v>0.1206296770652171</v>
      </c>
      <c r="CV55" s="1">
        <v>0.10806214234401523</v>
      </c>
      <c r="CW55" s="1">
        <v>0.32755173581877628</v>
      </c>
      <c r="CX55" s="1">
        <v>7.4006115797155714E-2</v>
      </c>
      <c r="CY55" s="1">
        <v>0.19907536500976583</v>
      </c>
      <c r="CZ55" s="1">
        <v>0.64325124693857261</v>
      </c>
      <c r="DA55" s="1">
        <v>8.5448219925313526E-2</v>
      </c>
      <c r="DB55" s="1">
        <v>0.16719718512181733</v>
      </c>
      <c r="DC55" s="1">
        <v>0.11106620053073137</v>
      </c>
      <c r="DD55" s="1">
        <v>5.5469782856793501E-3</v>
      </c>
      <c r="DE55" s="1">
        <v>0.36889662570743909</v>
      </c>
      <c r="DF55" s="1">
        <v>0.16171794474745166</v>
      </c>
      <c r="DG55" s="1">
        <v>0.3439249233441492</v>
      </c>
      <c r="DH55" s="1">
        <v>0.20419223853316884</v>
      </c>
      <c r="DI55" s="1">
        <v>0.21983464367221625</v>
      </c>
      <c r="DJ55" s="1">
        <v>0.16308937078039626</v>
      </c>
      <c r="DK55" s="1">
        <v>0.27545346075397076</v>
      </c>
      <c r="DL55" s="1">
        <v>0.33580706913807568</v>
      </c>
      <c r="DM55" s="1">
        <v>0.2837093503850836</v>
      </c>
      <c r="DN55" s="1">
        <v>0.23846218251705864</v>
      </c>
      <c r="DO55" s="1">
        <v>0.30606997438373823</v>
      </c>
      <c r="DP55" s="1">
        <v>0.37376351617027842</v>
      </c>
      <c r="DQ55" s="1">
        <v>0.33248990486000291</v>
      </c>
      <c r="DR55" s="1">
        <v>0.39496162874912577</v>
      </c>
      <c r="DS55" s="1">
        <v>0.22443194248780293</v>
      </c>
      <c r="DT55" s="1">
        <v>0.26403117582673119</v>
      </c>
      <c r="DU55" s="1">
        <v>0.30297255211920066</v>
      </c>
      <c r="DV55" s="1">
        <v>0.42719346114794338</v>
      </c>
      <c r="DW55" s="1">
        <v>0.33795183858778199</v>
      </c>
      <c r="DX55" s="1">
        <v>0.4416773212228054</v>
      </c>
      <c r="DY55" s="1">
        <v>0.29790015689431432</v>
      </c>
    </row>
    <row r="56" spans="1:129" ht="15">
      <c r="A56" s="7" t="s">
        <v>67</v>
      </c>
      <c r="B56" s="3" t="str">
        <v/>
      </c>
      <c r="C56" s="3" t="str">
        <v/>
      </c>
      <c r="D56" s="3" t="str">
        <v/>
      </c>
      <c r="E56" s="3" t="str">
        <v/>
      </c>
      <c r="F56" s="3" t="str">
        <v/>
      </c>
      <c r="G56" s="3" t="str">
        <v/>
      </c>
      <c r="H56" s="3" t="str">
        <v/>
      </c>
      <c r="I56" s="3" t="str">
        <v/>
      </c>
      <c r="J56" s="3" t="str">
        <v/>
      </c>
      <c r="K56" s="3" t="str">
        <v/>
      </c>
      <c r="L56" s="3" t="str">
        <v/>
      </c>
      <c r="M56" s="3" t="str">
        <v/>
      </c>
      <c r="N56" s="3" t="str">
        <v/>
      </c>
      <c r="O56" s="3" t="str">
        <v/>
      </c>
      <c r="P56" s="3" t="str">
        <v/>
      </c>
      <c r="Q56" s="3" t="str">
        <v/>
      </c>
      <c r="R56" s="3" t="str">
        <v/>
      </c>
      <c r="S56" s="3" t="str">
        <v/>
      </c>
      <c r="T56" s="3" t="str">
        <v/>
      </c>
      <c r="U56" s="3" t="str">
        <v/>
      </c>
      <c r="V56" s="3" t="str">
        <v/>
      </c>
      <c r="W56" s="3" t="str">
        <v/>
      </c>
      <c r="X56" s="3" t="str">
        <v/>
      </c>
      <c r="Y56" s="3" t="str">
        <v/>
      </c>
      <c r="Z56" s="3" t="str">
        <v/>
      </c>
      <c r="AA56" s="3" t="str">
        <v/>
      </c>
      <c r="AB56" s="3" t="str">
        <v/>
      </c>
      <c r="AC56" s="3" t="str">
        <v/>
      </c>
      <c r="AD56" s="3" t="str">
        <v/>
      </c>
      <c r="AE56" s="3" t="str">
        <v/>
      </c>
      <c r="AF56" s="3" t="str">
        <v/>
      </c>
      <c r="AG56" s="3" t="str">
        <v/>
      </c>
      <c r="AH56" s="3" t="str">
        <v/>
      </c>
      <c r="AI56" s="3" t="str">
        <v/>
      </c>
      <c r="AJ56" s="3" t="str">
        <v/>
      </c>
      <c r="AK56" s="3" t="str">
        <v/>
      </c>
      <c r="AL56" s="3" t="str">
        <v/>
      </c>
      <c r="AM56" s="3" t="str">
        <v/>
      </c>
      <c r="AN56" s="3" t="str">
        <v/>
      </c>
      <c r="AO56" s="3" t="str">
        <v/>
      </c>
      <c r="AP56" s="3" t="str">
        <v/>
      </c>
      <c r="AQ56" s="3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>
        <v>0.99999999999999978</v>
      </c>
      <c r="BC56" s="1">
        <v>0.59944279005657553</v>
      </c>
      <c r="BD56" s="1">
        <v>0.61991338354988779</v>
      </c>
      <c r="BE56" s="1">
        <v>0.35598664344580128</v>
      </c>
      <c r="BF56" s="1">
        <v>0.42211152295627352</v>
      </c>
      <c r="BG56" s="1">
        <v>0.35007356079775559</v>
      </c>
      <c r="BH56" s="1">
        <v>0.36637253645551304</v>
      </c>
      <c r="BI56" s="1">
        <v>0.29883777953927898</v>
      </c>
      <c r="BJ56" s="1">
        <v>0.41837452707337919</v>
      </c>
      <c r="BK56" s="1">
        <v>0.28607699254774549</v>
      </c>
      <c r="BL56" s="1">
        <v>0.43385641023787508</v>
      </c>
      <c r="BM56" s="1">
        <v>0.44626384380377265</v>
      </c>
      <c r="BN56" s="1">
        <v>0.44019641588568398</v>
      </c>
      <c r="BO56" s="1">
        <v>0.48142226433983115</v>
      </c>
      <c r="BP56" s="1">
        <v>0.48992462859113606</v>
      </c>
      <c r="BQ56" s="1">
        <v>0.29954969659291947</v>
      </c>
      <c r="BR56" s="1">
        <v>0.48314633103406174</v>
      </c>
      <c r="BS56" s="1">
        <v>0.42778572474109816</v>
      </c>
      <c r="BT56" s="1">
        <v>0.51423208686402777</v>
      </c>
      <c r="BU56" s="1">
        <v>0.53969512729533686</v>
      </c>
      <c r="BV56" s="1">
        <v>0.15219834731635182</v>
      </c>
      <c r="BW56" s="1">
        <v>0.32684123000779108</v>
      </c>
      <c r="BX56" s="1">
        <v>0.43534224715098074</v>
      </c>
      <c r="BY56" s="1">
        <v>0.44090212394070294</v>
      </c>
      <c r="BZ56" s="1">
        <v>0.31823363889321049</v>
      </c>
      <c r="CA56" s="1">
        <v>0.37092062480046079</v>
      </c>
      <c r="CB56" s="1">
        <v>0.41108485650519921</v>
      </c>
      <c r="CC56" s="1">
        <v>0.42207588442780175</v>
      </c>
      <c r="CD56" s="1">
        <v>0.2119191655127127</v>
      </c>
      <c r="CE56" s="1">
        <v>0.25184220555478948</v>
      </c>
      <c r="CF56" s="1">
        <v>0.42992662234314788</v>
      </c>
      <c r="CG56" s="1">
        <v>0.62329802651274613</v>
      </c>
      <c r="CH56" s="1">
        <v>0.33033793843728876</v>
      </c>
      <c r="CI56" s="1">
        <v>0.73597282614909165</v>
      </c>
      <c r="CJ56" s="1">
        <v>0.41130930394309895</v>
      </c>
      <c r="CK56" s="1">
        <v>0.18514271482565678</v>
      </c>
      <c r="CL56" s="1">
        <v>0.53365814735745098</v>
      </c>
      <c r="CM56" s="1">
        <v>0.11017630788497011</v>
      </c>
      <c r="CN56" s="1">
        <v>0.32647744358491909</v>
      </c>
      <c r="CO56" s="1">
        <v>0.35784610016198337</v>
      </c>
      <c r="CP56" s="1">
        <v>0.10224320264011083</v>
      </c>
      <c r="CQ56" s="1">
        <v>9.8965671188728357E-2</v>
      </c>
      <c r="CR56" s="1">
        <v>0.2104962822306268</v>
      </c>
      <c r="CS56" s="1">
        <v>0.12495760399769026</v>
      </c>
      <c r="CT56" s="1">
        <v>0.42502321122195558</v>
      </c>
      <c r="CU56" s="1">
        <v>0.36469840559616029</v>
      </c>
      <c r="CV56" s="1">
        <v>0.36335233802512756</v>
      </c>
      <c r="CW56" s="1">
        <v>0.44631877892540373</v>
      </c>
      <c r="CX56" s="1">
        <v>0.46980268955247306</v>
      </c>
      <c r="CY56" s="1">
        <v>0.41491878719928438</v>
      </c>
      <c r="CZ56" s="1">
        <v>0.46950105933931169</v>
      </c>
      <c r="DA56" s="1">
        <v>0.26109903749209867</v>
      </c>
      <c r="DB56" s="1">
        <v>0.44961487369310577</v>
      </c>
      <c r="DC56" s="1">
        <v>0.33295896810383868</v>
      </c>
      <c r="DD56" s="1">
        <v>0.26362325251972496</v>
      </c>
      <c r="DE56" s="1">
        <v>0.59083554878570954</v>
      </c>
      <c r="DF56" s="1">
        <v>0.40640749062596304</v>
      </c>
      <c r="DG56" s="1">
        <v>0.4244217176980114</v>
      </c>
      <c r="DH56" s="1">
        <v>0.64089013205734413</v>
      </c>
      <c r="DI56" s="1">
        <v>0.47965845058744266</v>
      </c>
      <c r="DJ56" s="1">
        <v>0.45795873112390689</v>
      </c>
      <c r="DK56" s="1">
        <v>0.40752671693899639</v>
      </c>
      <c r="DL56" s="1">
        <v>0.47615650285235828</v>
      </c>
      <c r="DM56" s="1">
        <v>0.45761933542450772</v>
      </c>
      <c r="DN56" s="1">
        <v>0.45167077769053193</v>
      </c>
      <c r="DO56" s="1">
        <v>0.44098596510910426</v>
      </c>
      <c r="DP56" s="1">
        <v>0.52031240056351102</v>
      </c>
      <c r="DQ56" s="1">
        <v>0.39866747093904115</v>
      </c>
      <c r="DR56" s="1">
        <v>0.55699698765383976</v>
      </c>
      <c r="DS56" s="1">
        <v>0.44746336944671306</v>
      </c>
      <c r="DT56" s="1">
        <v>0.32795327656455042</v>
      </c>
      <c r="DU56" s="1">
        <v>0.53226009866981872</v>
      </c>
      <c r="DV56" s="1">
        <v>0.4937582170371359</v>
      </c>
      <c r="DW56" s="1">
        <v>0.237794246555046</v>
      </c>
      <c r="DX56" s="1">
        <v>0.29400813961371092</v>
      </c>
      <c r="DY56" s="1">
        <v>0.53214496522123123</v>
      </c>
    </row>
    <row r="57" spans="1:129" ht="15">
      <c r="A57" s="7" t="s">
        <v>68</v>
      </c>
      <c r="B57" s="3" t="str">
        <v/>
      </c>
      <c r="C57" s="3" t="str">
        <v/>
      </c>
      <c r="D57" s="3" t="str">
        <v/>
      </c>
      <c r="E57" s="3" t="str">
        <v/>
      </c>
      <c r="F57" s="3" t="str">
        <v/>
      </c>
      <c r="G57" s="3" t="str">
        <v/>
      </c>
      <c r="H57" s="3" t="str">
        <v/>
      </c>
      <c r="I57" s="3" t="str">
        <v/>
      </c>
      <c r="J57" s="3" t="str">
        <v/>
      </c>
      <c r="K57" s="3" t="str">
        <v/>
      </c>
      <c r="L57" s="3" t="str">
        <v/>
      </c>
      <c r="M57" s="3" t="str">
        <v/>
      </c>
      <c r="N57" s="3" t="str">
        <v/>
      </c>
      <c r="O57" s="3" t="str">
        <v/>
      </c>
      <c r="P57" s="3" t="str">
        <v/>
      </c>
      <c r="Q57" s="3" t="str">
        <v/>
      </c>
      <c r="R57" s="3" t="str">
        <v/>
      </c>
      <c r="S57" s="3" t="str">
        <v/>
      </c>
      <c r="T57" s="3" t="str">
        <v/>
      </c>
      <c r="U57" s="3" t="str">
        <v/>
      </c>
      <c r="V57" s="3" t="str">
        <v/>
      </c>
      <c r="W57" s="3" t="str">
        <v/>
      </c>
      <c r="X57" s="3" t="str">
        <v/>
      </c>
      <c r="Y57" s="3" t="str">
        <v/>
      </c>
      <c r="Z57" s="3" t="str">
        <v/>
      </c>
      <c r="AA57" s="3" t="str">
        <v/>
      </c>
      <c r="AB57" s="3" t="str">
        <v/>
      </c>
      <c r="AC57" s="3" t="str">
        <v/>
      </c>
      <c r="AD57" s="3" t="str">
        <v/>
      </c>
      <c r="AE57" s="3" t="str">
        <v/>
      </c>
      <c r="AF57" s="3" t="str">
        <v/>
      </c>
      <c r="AG57" s="3" t="str">
        <v/>
      </c>
      <c r="AH57" s="3" t="str">
        <v/>
      </c>
      <c r="AI57" s="3" t="str">
        <v/>
      </c>
      <c r="AJ57" s="3" t="str">
        <v/>
      </c>
      <c r="AK57" s="3" t="str">
        <v/>
      </c>
      <c r="AL57" s="3" t="str">
        <v/>
      </c>
      <c r="AM57" s="3" t="str">
        <v/>
      </c>
      <c r="AN57" s="3" t="str">
        <v/>
      </c>
      <c r="AO57" s="3" t="str">
        <v/>
      </c>
      <c r="AP57" s="3" t="str">
        <v/>
      </c>
      <c r="AQ57" s="3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>
        <v>0.99999999999999989</v>
      </c>
      <c r="BD57" s="1">
        <v>0.49811665467011945</v>
      </c>
      <c r="BE57" s="1">
        <v>0.23143966067162192</v>
      </c>
      <c r="BF57" s="1">
        <v>0.4711814212613899</v>
      </c>
      <c r="BG57" s="1">
        <v>0.35789249531184103</v>
      </c>
      <c r="BH57" s="1">
        <v>0.53002655695037926</v>
      </c>
      <c r="BI57" s="1">
        <v>0.38535029380984404</v>
      </c>
      <c r="BJ57" s="1">
        <v>0.41470866639029752</v>
      </c>
      <c r="BK57" s="1">
        <v>7.8962534960976757E-2</v>
      </c>
      <c r="BL57" s="1">
        <v>0.34877032744478642</v>
      </c>
      <c r="BM57" s="1">
        <v>0.31065870175021926</v>
      </c>
      <c r="BN57" s="1">
        <v>0.50825703024433477</v>
      </c>
      <c r="BO57" s="1">
        <v>0.39761632403759395</v>
      </c>
      <c r="BP57" s="1">
        <v>0.55094410955901485</v>
      </c>
      <c r="BQ57" s="1">
        <v>0.31842115404506854</v>
      </c>
      <c r="BR57" s="1">
        <v>0.3009041514819808</v>
      </c>
      <c r="BS57" s="1">
        <v>0.41435240532584722</v>
      </c>
      <c r="BT57" s="1">
        <v>0.33673970822081395</v>
      </c>
      <c r="BU57" s="1">
        <v>0.37879208407553872</v>
      </c>
      <c r="BV57" s="1">
        <v>0.26323983343280477</v>
      </c>
      <c r="BW57" s="1">
        <v>9.9923486100788661E-2</v>
      </c>
      <c r="BX57" s="1">
        <v>0.2233591307452642</v>
      </c>
      <c r="BY57" s="1">
        <v>0.39821346846526878</v>
      </c>
      <c r="BZ57" s="1">
        <v>9.0429506495457834E-2</v>
      </c>
      <c r="CA57" s="1">
        <v>0.15969456547813241</v>
      </c>
      <c r="CB57" s="1">
        <v>0.18900703064572635</v>
      </c>
      <c r="CC57" s="1">
        <v>0.19942800338677411</v>
      </c>
      <c r="CD57" s="1">
        <v>0.15153520815627802</v>
      </c>
      <c r="CE57" s="1">
        <v>0.323291308723892</v>
      </c>
      <c r="CF57" s="1">
        <v>0.37773122269321235</v>
      </c>
      <c r="CG57" s="1">
        <v>0.54209849571129809</v>
      </c>
      <c r="CH57" s="1">
        <v>0.26179720459161954</v>
      </c>
      <c r="CI57" s="1">
        <v>0.59428272516552172</v>
      </c>
      <c r="CJ57" s="1">
        <v>0.24637899228091392</v>
      </c>
      <c r="CK57" s="1">
        <v>9.3408325659728383E-2</v>
      </c>
      <c r="CL57" s="1">
        <v>0.39169789832033586</v>
      </c>
      <c r="CM57" s="1">
        <v>-6.6637698920982924E-2</v>
      </c>
      <c r="CN57" s="1">
        <v>0.21564686586391749</v>
      </c>
      <c r="CO57" s="1">
        <v>7.3837594104781343E-2</v>
      </c>
      <c r="CP57" s="1">
        <v>2.3873281287645962E-2</v>
      </c>
      <c r="CQ57" s="1">
        <v>8.5399925613653338E-2</v>
      </c>
      <c r="CR57" s="1">
        <v>0.12695416262106174</v>
      </c>
      <c r="CS57" s="1">
        <v>0.20289396535466953</v>
      </c>
      <c r="CT57" s="1">
        <v>0.33748857878419031</v>
      </c>
      <c r="CU57" s="1">
        <v>0.32828615979308134</v>
      </c>
      <c r="CV57" s="1">
        <v>0.2100665818412569</v>
      </c>
      <c r="CW57" s="1">
        <v>0.23480815545805986</v>
      </c>
      <c r="CX57" s="1">
        <v>0.24300017949453553</v>
      </c>
      <c r="CY57" s="1">
        <v>0.26899234113339798</v>
      </c>
      <c r="CZ57" s="1">
        <v>0.36392938385116408</v>
      </c>
      <c r="DA57" s="1">
        <v>0.10420640012501285</v>
      </c>
      <c r="DB57" s="1">
        <v>0.38150439507413947</v>
      </c>
      <c r="DC57" s="1">
        <v>0.34544997315485021</v>
      </c>
      <c r="DD57" s="1">
        <v>-2.8174118665770381E-2</v>
      </c>
      <c r="DE57" s="1">
        <v>0.5463481906146832</v>
      </c>
      <c r="DF57" s="1">
        <v>0.16541853356022909</v>
      </c>
      <c r="DG57" s="1">
        <v>0.39684201471564284</v>
      </c>
      <c r="DH57" s="1">
        <v>0.48015939992970075</v>
      </c>
      <c r="DI57" s="1">
        <v>0.45343302647834366</v>
      </c>
      <c r="DJ57" s="1">
        <v>0.4191195442763761</v>
      </c>
      <c r="DK57" s="1">
        <v>0.34670978464122021</v>
      </c>
      <c r="DL57" s="1">
        <v>0.39385666257932689</v>
      </c>
      <c r="DM57" s="1">
        <v>0.41623187568283593</v>
      </c>
      <c r="DN57" s="1">
        <v>0.49256685120342525</v>
      </c>
      <c r="DO57" s="1">
        <v>0.34324680632507149</v>
      </c>
      <c r="DP57" s="1">
        <v>0.44273460054071245</v>
      </c>
      <c r="DQ57" s="1">
        <v>0.40954541215689078</v>
      </c>
      <c r="DR57" s="1">
        <v>0.46870704410987202</v>
      </c>
      <c r="DS57" s="1">
        <v>0.32602062499134965</v>
      </c>
      <c r="DT57" s="1">
        <v>0.4086503408510333</v>
      </c>
      <c r="DU57" s="1">
        <v>0.42579151444148022</v>
      </c>
      <c r="DV57" s="1">
        <v>0.40131044935076798</v>
      </c>
      <c r="DW57" s="1">
        <v>4.3905729520390693E-2</v>
      </c>
      <c r="DX57" s="1">
        <v>0.4042017607374192</v>
      </c>
      <c r="DY57" s="1">
        <v>0.48637475388559331</v>
      </c>
    </row>
    <row r="58" spans="1:129" ht="15">
      <c r="A58" s="7" t="s">
        <v>69</v>
      </c>
      <c r="B58" s="3" t="str">
        <v/>
      </c>
      <c r="C58" s="3" t="str">
        <v/>
      </c>
      <c r="D58" s="3" t="str">
        <v/>
      </c>
      <c r="E58" s="3" t="str">
        <v/>
      </c>
      <c r="F58" s="3" t="str">
        <v/>
      </c>
      <c r="G58" s="3" t="str">
        <v/>
      </c>
      <c r="H58" s="3" t="str">
        <v/>
      </c>
      <c r="I58" s="3" t="str">
        <v/>
      </c>
      <c r="J58" s="3" t="str">
        <v/>
      </c>
      <c r="K58" s="3" t="str">
        <v/>
      </c>
      <c r="L58" s="3" t="str">
        <v/>
      </c>
      <c r="M58" s="3" t="str">
        <v/>
      </c>
      <c r="N58" s="3" t="str">
        <v/>
      </c>
      <c r="O58" s="3" t="str">
        <v/>
      </c>
      <c r="P58" s="3" t="str">
        <v/>
      </c>
      <c r="Q58" s="3" t="str">
        <v/>
      </c>
      <c r="R58" s="3" t="str">
        <v/>
      </c>
      <c r="S58" s="3" t="str">
        <v/>
      </c>
      <c r="T58" s="3" t="str">
        <v/>
      </c>
      <c r="U58" s="3" t="str">
        <v/>
      </c>
      <c r="V58" s="3" t="str">
        <v/>
      </c>
      <c r="W58" s="3" t="str">
        <v/>
      </c>
      <c r="X58" s="3" t="str">
        <v/>
      </c>
      <c r="Y58" s="3" t="str">
        <v/>
      </c>
      <c r="Z58" s="3" t="str">
        <v/>
      </c>
      <c r="AA58" s="3" t="str">
        <v/>
      </c>
      <c r="AB58" s="3" t="str">
        <v/>
      </c>
      <c r="AC58" s="3" t="str">
        <v/>
      </c>
      <c r="AD58" s="3" t="str">
        <v/>
      </c>
      <c r="AE58" s="3" t="str">
        <v/>
      </c>
      <c r="AF58" s="3" t="str">
        <v/>
      </c>
      <c r="AG58" s="3" t="str">
        <v/>
      </c>
      <c r="AH58" s="3" t="str">
        <v/>
      </c>
      <c r="AI58" s="3" t="str">
        <v/>
      </c>
      <c r="AJ58" s="3" t="str">
        <v/>
      </c>
      <c r="AK58" s="3" t="str">
        <v/>
      </c>
      <c r="AL58" s="3" t="str">
        <v/>
      </c>
      <c r="AM58" s="3" t="str">
        <v/>
      </c>
      <c r="AN58" s="3" t="str">
        <v/>
      </c>
      <c r="AO58" s="3" t="str">
        <v/>
      </c>
      <c r="AP58" s="3" t="str">
        <v/>
      </c>
      <c r="AQ58" s="3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>
        <v>1</v>
      </c>
      <c r="BE58" s="1">
        <v>0.4869414288050557</v>
      </c>
      <c r="BF58" s="1">
        <v>0.64360337860609618</v>
      </c>
      <c r="BG58" s="1">
        <v>0.48361884876667866</v>
      </c>
      <c r="BH58" s="1">
        <v>0.50069039949789707</v>
      </c>
      <c r="BI58" s="1">
        <v>0.4375603387323535</v>
      </c>
      <c r="BJ58" s="1">
        <v>0.44602133064209032</v>
      </c>
      <c r="BK58" s="1">
        <v>0.41051611895542928</v>
      </c>
      <c r="BL58" s="1">
        <v>0.43713524280843225</v>
      </c>
      <c r="BM58" s="1">
        <v>0.58902191760544953</v>
      </c>
      <c r="BN58" s="1">
        <v>0.47918711082663817</v>
      </c>
      <c r="BO58" s="1">
        <v>0.54392520153510082</v>
      </c>
      <c r="BP58" s="1">
        <v>0.54175188565027466</v>
      </c>
      <c r="BQ58" s="1">
        <v>0.23468650272918934</v>
      </c>
      <c r="BR58" s="1">
        <v>0.55590518318856419</v>
      </c>
      <c r="BS58" s="1">
        <v>0.4823285219121457</v>
      </c>
      <c r="BT58" s="1">
        <v>0.62591777801963266</v>
      </c>
      <c r="BU58" s="1">
        <v>0.51966239694649585</v>
      </c>
      <c r="BV58" s="1">
        <v>0.2773495950818079</v>
      </c>
      <c r="BW58" s="1">
        <v>0.37760096168349677</v>
      </c>
      <c r="BX58" s="1">
        <v>0.33252673975163588</v>
      </c>
      <c r="BY58" s="1">
        <v>0.4727856501789332</v>
      </c>
      <c r="BZ58" s="1">
        <v>0.39800269246336833</v>
      </c>
      <c r="CA58" s="1">
        <v>0.44804771569152574</v>
      </c>
      <c r="CB58" s="1">
        <v>0.56290338801580841</v>
      </c>
      <c r="CC58" s="1">
        <v>0.468164711586737</v>
      </c>
      <c r="CD58" s="1">
        <v>0.39541303838504555</v>
      </c>
      <c r="CE58" s="1">
        <v>0.46179561225609989</v>
      </c>
      <c r="CF58" s="1">
        <v>0.6578404095302598</v>
      </c>
      <c r="CG58" s="1">
        <v>0.51007632880551157</v>
      </c>
      <c r="CH58" s="1">
        <v>0.52944585813571421</v>
      </c>
      <c r="CI58" s="1">
        <v>0.77177695320367301</v>
      </c>
      <c r="CJ58" s="1">
        <v>0.51693499998876735</v>
      </c>
      <c r="CK58" s="1">
        <v>0.3219315555833282</v>
      </c>
      <c r="CL58" s="1">
        <v>0.58996606079338876</v>
      </c>
      <c r="CM58" s="1">
        <v>-9.7012742537451527E-2</v>
      </c>
      <c r="CN58" s="1">
        <v>0.43230272827251875</v>
      </c>
      <c r="CO58" s="1">
        <v>0.28656978918773934</v>
      </c>
      <c r="CP58" s="1">
        <v>0.31610944748015385</v>
      </c>
      <c r="CQ58" s="1">
        <v>0.13005388007014718</v>
      </c>
      <c r="CR58" s="1">
        <v>0.27763979512122172</v>
      </c>
      <c r="CS58" s="1">
        <v>0.31004583071610164</v>
      </c>
      <c r="CT58" s="1">
        <v>0.55435370593025768</v>
      </c>
      <c r="CU58" s="1">
        <v>0.36408462924996882</v>
      </c>
      <c r="CV58" s="1">
        <v>0.35657012144625955</v>
      </c>
      <c r="CW58" s="1">
        <v>0.57007286841188054</v>
      </c>
      <c r="CX58" s="1">
        <v>0.43482765523003897</v>
      </c>
      <c r="CY58" s="1">
        <v>0.2603609597497602</v>
      </c>
      <c r="CZ58" s="1">
        <v>0.46019734226463443</v>
      </c>
      <c r="DA58" s="1">
        <v>0.30567172689357036</v>
      </c>
      <c r="DB58" s="1">
        <v>0.45495556767939771</v>
      </c>
      <c r="DC58" s="1">
        <v>0.44930590022843775</v>
      </c>
      <c r="DD58" s="1">
        <v>0.22174166033705622</v>
      </c>
      <c r="DE58" s="1">
        <v>0.43112750016450724</v>
      </c>
      <c r="DF58" s="1">
        <v>0.33916913103648072</v>
      </c>
      <c r="DG58" s="1">
        <v>0.30655814363149331</v>
      </c>
      <c r="DH58" s="1">
        <v>0.66681389621243281</v>
      </c>
      <c r="DI58" s="1">
        <v>0.55146309360858792</v>
      </c>
      <c r="DJ58" s="1">
        <v>0.54235751669236121</v>
      </c>
      <c r="DK58" s="1">
        <v>0.5502461141348779</v>
      </c>
      <c r="DL58" s="1">
        <v>0.5916496463860702</v>
      </c>
      <c r="DM58" s="1">
        <v>0.60561689736943991</v>
      </c>
      <c r="DN58" s="1">
        <v>0.62888010094861979</v>
      </c>
      <c r="DO58" s="1">
        <v>0.5818068961055477</v>
      </c>
      <c r="DP58" s="1">
        <v>0.6687354515692534</v>
      </c>
      <c r="DQ58" s="1">
        <v>0.58362271655947151</v>
      </c>
      <c r="DR58" s="1">
        <v>0.6407331042596115</v>
      </c>
      <c r="DS58" s="1">
        <v>0.39539254275166658</v>
      </c>
      <c r="DT58" s="1">
        <v>0.56538691881201575</v>
      </c>
      <c r="DU58" s="1">
        <v>0.63155733740604714</v>
      </c>
      <c r="DV58" s="1">
        <v>0.650213874289297</v>
      </c>
      <c r="DW58" s="1">
        <v>0.28140925746164441</v>
      </c>
      <c r="DX58" s="1">
        <v>0.42160080128102562</v>
      </c>
      <c r="DY58" s="1">
        <v>0.59144919360783665</v>
      </c>
    </row>
    <row r="59" spans="1:129" ht="15">
      <c r="A59" s="7" t="s">
        <v>70</v>
      </c>
      <c r="B59" s="3" t="str">
        <v/>
      </c>
      <c r="C59" s="3" t="str">
        <v/>
      </c>
      <c r="D59" s="3" t="str">
        <v/>
      </c>
      <c r="E59" s="3" t="str">
        <v/>
      </c>
      <c r="F59" s="3" t="str">
        <v/>
      </c>
      <c r="G59" s="3" t="str">
        <v/>
      </c>
      <c r="H59" s="3" t="str">
        <v/>
      </c>
      <c r="I59" s="3" t="str">
        <v/>
      </c>
      <c r="J59" s="3" t="str">
        <v/>
      </c>
      <c r="K59" s="3" t="str">
        <v/>
      </c>
      <c r="L59" s="3" t="str">
        <v/>
      </c>
      <c r="M59" s="3" t="str">
        <v/>
      </c>
      <c r="N59" s="3" t="str">
        <v/>
      </c>
      <c r="O59" s="3" t="str">
        <v/>
      </c>
      <c r="P59" s="3" t="str">
        <v/>
      </c>
      <c r="Q59" s="3" t="str">
        <v/>
      </c>
      <c r="R59" s="3" t="str">
        <v/>
      </c>
      <c r="S59" s="3" t="str">
        <v/>
      </c>
      <c r="T59" s="3" t="str">
        <v/>
      </c>
      <c r="U59" s="3" t="str">
        <v/>
      </c>
      <c r="V59" s="3" t="str">
        <v/>
      </c>
      <c r="W59" s="3" t="str">
        <v/>
      </c>
      <c r="X59" s="3" t="str">
        <v/>
      </c>
      <c r="Y59" s="3" t="str">
        <v/>
      </c>
      <c r="Z59" s="3" t="str">
        <v/>
      </c>
      <c r="AA59" s="3" t="str">
        <v/>
      </c>
      <c r="AB59" s="3" t="str">
        <v/>
      </c>
      <c r="AC59" s="3" t="str">
        <v/>
      </c>
      <c r="AD59" s="3" t="str">
        <v/>
      </c>
      <c r="AE59" s="3" t="str">
        <v/>
      </c>
      <c r="AF59" s="3" t="str">
        <v/>
      </c>
      <c r="AG59" s="3" t="str">
        <v/>
      </c>
      <c r="AH59" s="3" t="str">
        <v/>
      </c>
      <c r="AI59" s="3" t="str">
        <v/>
      </c>
      <c r="AJ59" s="3" t="str">
        <v/>
      </c>
      <c r="AK59" s="3" t="str">
        <v/>
      </c>
      <c r="AL59" s="3" t="str">
        <v/>
      </c>
      <c r="AM59" s="3" t="str">
        <v/>
      </c>
      <c r="AN59" s="3" t="str">
        <v/>
      </c>
      <c r="AO59" s="3" t="str">
        <v/>
      </c>
      <c r="AP59" s="3" t="str">
        <v/>
      </c>
      <c r="AQ59" s="3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>
        <v>0.99999999999999989</v>
      </c>
      <c r="BF59" s="1">
        <v>0.42367486431210644</v>
      </c>
      <c r="BG59" s="1">
        <v>0.39885118644912515</v>
      </c>
      <c r="BH59" s="1">
        <v>0.21503348180627421</v>
      </c>
      <c r="BI59" s="1">
        <v>0.24667194586734431</v>
      </c>
      <c r="BJ59" s="1">
        <v>0.36132797996823668</v>
      </c>
      <c r="BK59" s="1">
        <v>0.22906097390377589</v>
      </c>
      <c r="BL59" s="1">
        <v>0.28135835201956533</v>
      </c>
      <c r="BM59" s="1">
        <v>0.37045638034253175</v>
      </c>
      <c r="BN59" s="1">
        <v>0.36477693902604297</v>
      </c>
      <c r="BO59" s="1">
        <v>0.22490644355574088</v>
      </c>
      <c r="BP59" s="1">
        <v>0.26714541828895016</v>
      </c>
      <c r="BQ59" s="1">
        <v>0.18799907328720561</v>
      </c>
      <c r="BR59" s="1">
        <v>0.25351390319815836</v>
      </c>
      <c r="BS59" s="1">
        <v>0.52115328286805307</v>
      </c>
      <c r="BT59" s="1">
        <v>0.51861648781956571</v>
      </c>
      <c r="BU59" s="1">
        <v>0.25528964912538082</v>
      </c>
      <c r="BV59" s="1">
        <v>0.18431265203961458</v>
      </c>
      <c r="BW59" s="1">
        <v>0.40401514804299499</v>
      </c>
      <c r="BX59" s="1">
        <v>0.18709114550672756</v>
      </c>
      <c r="BY59" s="1">
        <v>0.24540082570760799</v>
      </c>
      <c r="BZ59" s="1">
        <v>6.7991602578074836E-2</v>
      </c>
      <c r="CA59" s="1">
        <v>0.33885913568137382</v>
      </c>
      <c r="CB59" s="1">
        <v>0.14864040434130782</v>
      </c>
      <c r="CC59" s="1">
        <v>0.38580790730934517</v>
      </c>
      <c r="CD59" s="1">
        <v>0.15572092500098153</v>
      </c>
      <c r="CE59" s="1">
        <v>0.13598556920720492</v>
      </c>
      <c r="CF59" s="1">
        <v>0.49478822603850364</v>
      </c>
      <c r="CG59" s="1">
        <v>0.39374022850143953</v>
      </c>
      <c r="CH59" s="1">
        <v>0.33337320950243149</v>
      </c>
      <c r="CI59" s="1">
        <v>0.56120762435452609</v>
      </c>
      <c r="CJ59" s="1">
        <v>0.22443341981576695</v>
      </c>
      <c r="CK59" s="1">
        <v>0.35403725582719409</v>
      </c>
      <c r="CL59" s="1">
        <v>0.44383420013684111</v>
      </c>
      <c r="CM59" s="1">
        <v>-0.11260654105381722</v>
      </c>
      <c r="CN59" s="1">
        <v>0.17595205565997532</v>
      </c>
      <c r="CO59" s="1">
        <v>8.97649858581301E-2</v>
      </c>
      <c r="CP59" s="1">
        <v>1.3595996239440944E-2</v>
      </c>
      <c r="CQ59" s="1">
        <v>-8.5109614184650628E-2</v>
      </c>
      <c r="CR59" s="1">
        <v>6.4350458789859344E-2</v>
      </c>
      <c r="CS59" s="1">
        <v>0.2308750859010904</v>
      </c>
      <c r="CT59" s="1">
        <v>0.44364680407798091</v>
      </c>
      <c r="CU59" s="1">
        <v>0.1971737650698904</v>
      </c>
      <c r="CV59" s="1">
        <v>0.28450039245327063</v>
      </c>
      <c r="CW59" s="1">
        <v>0.37904630806700013</v>
      </c>
      <c r="CX59" s="1">
        <v>0.27853341227616923</v>
      </c>
      <c r="CY59" s="1">
        <v>0.33879919057738589</v>
      </c>
      <c r="CZ59" s="1">
        <v>0.3050991561348867</v>
      </c>
      <c r="DA59" s="1">
        <v>0.10335554896902381</v>
      </c>
      <c r="DB59" s="1">
        <v>0.34253968347377234</v>
      </c>
      <c r="DC59" s="1">
        <v>0.34676024754250556</v>
      </c>
      <c r="DD59" s="1">
        <v>0.11449087681943826</v>
      </c>
      <c r="DE59" s="1">
        <v>0.27709848990437747</v>
      </c>
      <c r="DF59" s="1">
        <v>0.33964261635301124</v>
      </c>
      <c r="DG59" s="1">
        <v>-2.5635495928953159E-2</v>
      </c>
      <c r="DH59" s="1">
        <v>0.35135275525717452</v>
      </c>
      <c r="DI59" s="1">
        <v>0.40699430679203386</v>
      </c>
      <c r="DJ59" s="1">
        <v>0.31929474744167946</v>
      </c>
      <c r="DK59" s="1">
        <v>0.40131145330338597</v>
      </c>
      <c r="DL59" s="1">
        <v>0.48865729886229781</v>
      </c>
      <c r="DM59" s="1">
        <v>0.45565456046339614</v>
      </c>
      <c r="DN59" s="1">
        <v>0.3289797466932981</v>
      </c>
      <c r="DO59" s="1">
        <v>0.4568533039021217</v>
      </c>
      <c r="DP59" s="1">
        <v>0.41302904398961093</v>
      </c>
      <c r="DQ59" s="1">
        <v>0.39642080951877379</v>
      </c>
      <c r="DR59" s="1">
        <v>0.50458300023691538</v>
      </c>
      <c r="DS59" s="1">
        <v>0.1316863461933451</v>
      </c>
      <c r="DT59" s="1">
        <v>0.38305142020191985</v>
      </c>
      <c r="DU59" s="1">
        <v>0.48172253006184274</v>
      </c>
      <c r="DV59" s="1">
        <v>0.36002277703288882</v>
      </c>
      <c r="DW59" s="1">
        <v>0.27643846347411</v>
      </c>
      <c r="DX59" s="1">
        <v>0.44225512760464142</v>
      </c>
      <c r="DY59" s="1">
        <v>0.42059469008766459</v>
      </c>
    </row>
    <row r="60" spans="1:129" ht="15">
      <c r="A60" s="7" t="s">
        <v>71</v>
      </c>
      <c r="B60" s="3" t="str">
        <v/>
      </c>
      <c r="C60" s="3" t="str">
        <v/>
      </c>
      <c r="D60" s="3" t="str">
        <v/>
      </c>
      <c r="E60" s="3" t="str">
        <v/>
      </c>
      <c r="F60" s="3" t="str">
        <v/>
      </c>
      <c r="G60" s="3" t="str">
        <v/>
      </c>
      <c r="H60" s="3" t="str">
        <v/>
      </c>
      <c r="I60" s="3" t="str">
        <v/>
      </c>
      <c r="J60" s="3" t="str">
        <v/>
      </c>
      <c r="K60" s="3" t="str">
        <v/>
      </c>
      <c r="L60" s="3" t="str">
        <v/>
      </c>
      <c r="M60" s="3" t="str">
        <v/>
      </c>
      <c r="N60" s="3" t="str">
        <v/>
      </c>
      <c r="O60" s="3" t="str">
        <v/>
      </c>
      <c r="P60" s="3" t="str">
        <v/>
      </c>
      <c r="Q60" s="3" t="str">
        <v/>
      </c>
      <c r="R60" s="3" t="str">
        <v/>
      </c>
      <c r="S60" s="3" t="str">
        <v/>
      </c>
      <c r="T60" s="3" t="str">
        <v/>
      </c>
      <c r="U60" s="3" t="str">
        <v/>
      </c>
      <c r="V60" s="3" t="str">
        <v/>
      </c>
      <c r="W60" s="3" t="str">
        <v/>
      </c>
      <c r="X60" s="3" t="str">
        <v/>
      </c>
      <c r="Y60" s="3" t="str">
        <v/>
      </c>
      <c r="Z60" s="3" t="str">
        <v/>
      </c>
      <c r="AA60" s="3" t="str">
        <v/>
      </c>
      <c r="AB60" s="3" t="str">
        <v/>
      </c>
      <c r="AC60" s="3" t="str">
        <v/>
      </c>
      <c r="AD60" s="3" t="str">
        <v/>
      </c>
      <c r="AE60" s="3" t="str">
        <v/>
      </c>
      <c r="AF60" s="3" t="str">
        <v/>
      </c>
      <c r="AG60" s="3" t="str">
        <v/>
      </c>
      <c r="AH60" s="3" t="str">
        <v/>
      </c>
      <c r="AI60" s="3" t="str">
        <v/>
      </c>
      <c r="AJ60" s="3" t="str">
        <v/>
      </c>
      <c r="AK60" s="3" t="str">
        <v/>
      </c>
      <c r="AL60" s="3" t="str">
        <v/>
      </c>
      <c r="AM60" s="3" t="str">
        <v/>
      </c>
      <c r="AN60" s="3" t="str">
        <v/>
      </c>
      <c r="AO60" s="3" t="str">
        <v/>
      </c>
      <c r="AP60" s="3" t="str">
        <v/>
      </c>
      <c r="AQ60" s="3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>
        <v>1.0000000000000002</v>
      </c>
      <c r="BG60" s="1">
        <v>0.55331156287620753</v>
      </c>
      <c r="BH60" s="1">
        <v>0.51213399758050782</v>
      </c>
      <c r="BI60" s="1">
        <v>0.41348832599644225</v>
      </c>
      <c r="BJ60" s="1">
        <v>0.35709009430549343</v>
      </c>
      <c r="BK60" s="1">
        <v>0.37908334330712873</v>
      </c>
      <c r="BL60" s="1">
        <v>0.40182227942419935</v>
      </c>
      <c r="BM60" s="1">
        <v>0.47894772194205804</v>
      </c>
      <c r="BN60" s="1">
        <v>0.53437195890877831</v>
      </c>
      <c r="BO60" s="1">
        <v>0.65488468195525307</v>
      </c>
      <c r="BP60" s="1">
        <v>0.53133061417720917</v>
      </c>
      <c r="BQ60" s="1">
        <v>0.24175754913334119</v>
      </c>
      <c r="BR60" s="1">
        <v>0.44830915936814902</v>
      </c>
      <c r="BS60" s="1">
        <v>0.39961864483656701</v>
      </c>
      <c r="BT60" s="1">
        <v>0.48651348695914304</v>
      </c>
      <c r="BU60" s="1">
        <v>0.45730839824055158</v>
      </c>
      <c r="BV60" s="1">
        <v>0.25879371278541624</v>
      </c>
      <c r="BW60" s="1">
        <v>0.36338841729546284</v>
      </c>
      <c r="BX60" s="1">
        <v>0.32387157024298696</v>
      </c>
      <c r="BY60" s="1">
        <v>0.42179313495840515</v>
      </c>
      <c r="BZ60" s="1">
        <v>0.33614724244866195</v>
      </c>
      <c r="CA60" s="1">
        <v>0.38615548333246758</v>
      </c>
      <c r="CB60" s="1">
        <v>0.43905382513585561</v>
      </c>
      <c r="CC60" s="1">
        <v>0.3927717766303776</v>
      </c>
      <c r="CD60" s="1">
        <v>0.31060946215720575</v>
      </c>
      <c r="CE60" s="1">
        <v>0.41655469985972204</v>
      </c>
      <c r="CF60" s="1">
        <v>0.67572877667538511</v>
      </c>
      <c r="CG60" s="1">
        <v>0.42858458389732257</v>
      </c>
      <c r="CH60" s="1">
        <v>0.55664457573427328</v>
      </c>
      <c r="CI60" s="1">
        <v>0.70537721049473701</v>
      </c>
      <c r="CJ60" s="1">
        <v>0.60295874851880282</v>
      </c>
      <c r="CK60" s="1">
        <v>0.34363836469926867</v>
      </c>
      <c r="CL60" s="1">
        <v>0.41671190339166869</v>
      </c>
      <c r="CM60" s="1">
        <v>-5.8538694600919178E-2</v>
      </c>
      <c r="CN60" s="1">
        <v>0.47690630442219495</v>
      </c>
      <c r="CO60" s="1">
        <v>9.8488163438352663E-2</v>
      </c>
      <c r="CP60" s="1">
        <v>0.26893782061826327</v>
      </c>
      <c r="CQ60" s="1">
        <v>0.14930033762770722</v>
      </c>
      <c r="CR60" s="1">
        <v>0.29496080666804425</v>
      </c>
      <c r="CS60" s="1">
        <v>0.38861052171520105</v>
      </c>
      <c r="CT60" s="1">
        <v>0.44182496402861876</v>
      </c>
      <c r="CU60" s="1">
        <v>0.2936288870855272</v>
      </c>
      <c r="CV60" s="1">
        <v>0.4431921300559194</v>
      </c>
      <c r="CW60" s="1">
        <v>0.42222382520109625</v>
      </c>
      <c r="CX60" s="1">
        <v>0.31336896712288137</v>
      </c>
      <c r="CY60" s="1">
        <v>0.26681580986004522</v>
      </c>
      <c r="CZ60" s="1">
        <v>0.46036092294793457</v>
      </c>
      <c r="DA60" s="1">
        <v>0.48227547154107364</v>
      </c>
      <c r="DB60" s="1">
        <v>0.4070955629425711</v>
      </c>
      <c r="DC60" s="1">
        <v>0.3713188611662353</v>
      </c>
      <c r="DD60" s="1">
        <v>0.12285022077221942</v>
      </c>
      <c r="DE60" s="1">
        <v>0.56652967781691432</v>
      </c>
      <c r="DF60" s="1">
        <v>0.45636274598753379</v>
      </c>
      <c r="DG60" s="1">
        <v>0.28579293925711008</v>
      </c>
      <c r="DH60" s="1">
        <v>0.49465609677746691</v>
      </c>
      <c r="DI60" s="1">
        <v>0.55527879626253795</v>
      </c>
      <c r="DJ60" s="1">
        <v>0.53986142591298747</v>
      </c>
      <c r="DK60" s="1">
        <v>0.53177343137612609</v>
      </c>
      <c r="DL60" s="1">
        <v>0.52472156874373588</v>
      </c>
      <c r="DM60" s="1">
        <v>0.58809062876161766</v>
      </c>
      <c r="DN60" s="1">
        <v>0.55595288082744387</v>
      </c>
      <c r="DO60" s="1">
        <v>0.49313768254547918</v>
      </c>
      <c r="DP60" s="1">
        <v>0.57172905592175116</v>
      </c>
      <c r="DQ60" s="1">
        <v>0.52227416779194713</v>
      </c>
      <c r="DR60" s="1">
        <v>0.57762507438240884</v>
      </c>
      <c r="DS60" s="1">
        <v>0.44827688748418992</v>
      </c>
      <c r="DT60" s="1">
        <v>0.53122335184319125</v>
      </c>
      <c r="DU60" s="1">
        <v>0.53033167896280164</v>
      </c>
      <c r="DV60" s="1">
        <v>0.51682386711469464</v>
      </c>
      <c r="DW60" s="1">
        <v>0.17686447631967636</v>
      </c>
      <c r="DX60" s="1">
        <v>0.41536344787734392</v>
      </c>
      <c r="DY60" s="1">
        <v>0.5054507066424635</v>
      </c>
    </row>
    <row r="61" spans="1:129" ht="15">
      <c r="A61" s="7" t="s">
        <v>72</v>
      </c>
      <c r="B61" s="3" t="str">
        <v/>
      </c>
      <c r="C61" s="3" t="str">
        <v/>
      </c>
      <c r="D61" s="3" t="str">
        <v/>
      </c>
      <c r="E61" s="3" t="str">
        <v/>
      </c>
      <c r="F61" s="3" t="str">
        <v/>
      </c>
      <c r="G61" s="3" t="str">
        <v/>
      </c>
      <c r="H61" s="3" t="str">
        <v/>
      </c>
      <c r="I61" s="3" t="str">
        <v/>
      </c>
      <c r="J61" s="3" t="str">
        <v/>
      </c>
      <c r="K61" s="3" t="str">
        <v/>
      </c>
      <c r="L61" s="3" t="str">
        <v/>
      </c>
      <c r="M61" s="3" t="str">
        <v/>
      </c>
      <c r="N61" s="3" t="str">
        <v/>
      </c>
      <c r="O61" s="3" t="str">
        <v/>
      </c>
      <c r="P61" s="3" t="str">
        <v/>
      </c>
      <c r="Q61" s="3" t="str">
        <v/>
      </c>
      <c r="R61" s="3" t="str">
        <v/>
      </c>
      <c r="S61" s="3" t="str">
        <v/>
      </c>
      <c r="T61" s="3" t="str">
        <v/>
      </c>
      <c r="U61" s="3" t="str">
        <v/>
      </c>
      <c r="V61" s="3" t="str">
        <v/>
      </c>
      <c r="W61" s="3" t="str">
        <v/>
      </c>
      <c r="X61" s="3" t="str">
        <v/>
      </c>
      <c r="Y61" s="3" t="str">
        <v/>
      </c>
      <c r="Z61" s="3" t="str">
        <v/>
      </c>
      <c r="AA61" s="3" t="str">
        <v/>
      </c>
      <c r="AB61" s="3" t="str">
        <v/>
      </c>
      <c r="AC61" s="3" t="str">
        <v/>
      </c>
      <c r="AD61" s="3" t="str">
        <v/>
      </c>
      <c r="AE61" s="3" t="str">
        <v/>
      </c>
      <c r="AF61" s="3" t="str">
        <v/>
      </c>
      <c r="AG61" s="3" t="str">
        <v/>
      </c>
      <c r="AH61" s="3" t="str">
        <v/>
      </c>
      <c r="AI61" s="3" t="str">
        <v/>
      </c>
      <c r="AJ61" s="3" t="str">
        <v/>
      </c>
      <c r="AK61" s="3" t="str">
        <v/>
      </c>
      <c r="AL61" s="3" t="str">
        <v/>
      </c>
      <c r="AM61" s="3" t="str">
        <v/>
      </c>
      <c r="AN61" s="3" t="str">
        <v/>
      </c>
      <c r="AO61" s="3" t="str">
        <v/>
      </c>
      <c r="AP61" s="3" t="str">
        <v/>
      </c>
      <c r="AQ61" s="3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>
        <v>1</v>
      </c>
      <c r="BH61" s="1">
        <v>0.41323068801391288</v>
      </c>
      <c r="BI61" s="1">
        <v>0.34666212796801299</v>
      </c>
      <c r="BJ61" s="1">
        <v>0.10163177615959743</v>
      </c>
      <c r="BK61" s="1">
        <v>0.27646157464095839</v>
      </c>
      <c r="BL61" s="1">
        <v>0.22133982744476344</v>
      </c>
      <c r="BM61" s="1">
        <v>0.26464904619940094</v>
      </c>
      <c r="BN61" s="1">
        <v>0.34625894652481332</v>
      </c>
      <c r="BO61" s="1">
        <v>0.49649217883468655</v>
      </c>
      <c r="BP61" s="1">
        <v>0.4319361143465697</v>
      </c>
      <c r="BQ61" s="1">
        <v>0.28247163109522949</v>
      </c>
      <c r="BR61" s="1">
        <v>0.26606166959011607</v>
      </c>
      <c r="BS61" s="1">
        <v>0.3582178265562545</v>
      </c>
      <c r="BT61" s="1">
        <v>0.21607372655911991</v>
      </c>
      <c r="BU61" s="1">
        <v>0.36587572553048164</v>
      </c>
      <c r="BV61" s="1">
        <v>0.39639277390230293</v>
      </c>
      <c r="BW61" s="1">
        <v>8.5040730804182355E-2</v>
      </c>
      <c r="BX61" s="1">
        <v>0.30001661328566759</v>
      </c>
      <c r="BY61" s="1">
        <v>0.28715740388150979</v>
      </c>
      <c r="BZ61" s="1">
        <v>0.10128226445077609</v>
      </c>
      <c r="CA61" s="1">
        <v>0.19797373840726953</v>
      </c>
      <c r="CB61" s="1">
        <v>0.28447207725037771</v>
      </c>
      <c r="CC61" s="1">
        <v>0.20283235495262947</v>
      </c>
      <c r="CD61" s="1">
        <v>0.28319193745958171</v>
      </c>
      <c r="CE61" s="1">
        <v>0.20719237991121373</v>
      </c>
      <c r="CF61" s="1">
        <v>0.41469769158397923</v>
      </c>
      <c r="CG61" s="1">
        <v>0.30768530678570977</v>
      </c>
      <c r="CH61" s="1">
        <v>0.45118157158043154</v>
      </c>
      <c r="CI61" s="1">
        <v>0.6225220172875171</v>
      </c>
      <c r="CJ61" s="1">
        <v>0.38208469379016408</v>
      </c>
      <c r="CK61" s="1">
        <v>0.41567338698443418</v>
      </c>
      <c r="CL61" s="1">
        <v>0.28424867698851392</v>
      </c>
      <c r="CM61" s="1">
        <v>-2.0147271175467687E-2</v>
      </c>
      <c r="CN61" s="1">
        <v>0.42507455160909141</v>
      </c>
      <c r="CO61" s="1">
        <v>0.24946017304141674</v>
      </c>
      <c r="CP61" s="1">
        <v>0.20460673491571851</v>
      </c>
      <c r="CQ61" s="1">
        <v>0.15009580049113444</v>
      </c>
      <c r="CR61" s="1">
        <v>0.20207890217159283</v>
      </c>
      <c r="CS61" s="1">
        <v>0.24730547798581709</v>
      </c>
      <c r="CT61" s="1">
        <v>0.24426889309877536</v>
      </c>
      <c r="CU61" s="1">
        <v>0.16422856569073138</v>
      </c>
      <c r="CV61" s="1">
        <v>0.39850125673749248</v>
      </c>
      <c r="CW61" s="1">
        <v>0.38160205474279812</v>
      </c>
      <c r="CX61" s="1">
        <v>0.13792146882058937</v>
      </c>
      <c r="CY61" s="1">
        <v>0.11359889973566999</v>
      </c>
      <c r="CZ61" s="1">
        <v>0.47771842787685131</v>
      </c>
      <c r="DA61" s="1">
        <v>0.21578990177925961</v>
      </c>
      <c r="DB61" s="1">
        <v>0.14213848711412855</v>
      </c>
      <c r="DC61" s="1">
        <v>0.22259595992794826</v>
      </c>
      <c r="DD61" s="1">
        <v>2.9159774864837302E-2</v>
      </c>
      <c r="DE61" s="1">
        <v>0.42584362601752085</v>
      </c>
      <c r="DF61" s="1">
        <v>0.25165509238960881</v>
      </c>
      <c r="DG61" s="1">
        <v>0.19259443095307849</v>
      </c>
      <c r="DH61" s="1">
        <v>0.31330343045581854</v>
      </c>
      <c r="DI61" s="1">
        <v>0.2778373991228324</v>
      </c>
      <c r="DJ61" s="1">
        <v>0.23128793898912298</v>
      </c>
      <c r="DK61" s="1">
        <v>0.21619167762749486</v>
      </c>
      <c r="DL61" s="1">
        <v>0.34529291821652286</v>
      </c>
      <c r="DM61" s="1">
        <v>0.29730603150307383</v>
      </c>
      <c r="DN61" s="1">
        <v>0.33198383698112577</v>
      </c>
      <c r="DO61" s="1">
        <v>0.25624901543201889</v>
      </c>
      <c r="DP61" s="1">
        <v>0.29842874337836167</v>
      </c>
      <c r="DQ61" s="1">
        <v>0.29874103476931119</v>
      </c>
      <c r="DR61" s="1">
        <v>0.28275695807125895</v>
      </c>
      <c r="DS61" s="1">
        <v>0.112656947941251</v>
      </c>
      <c r="DT61" s="1">
        <v>0.27183646261075628</v>
      </c>
      <c r="DU61" s="1">
        <v>0.29088947860401332</v>
      </c>
      <c r="DV61" s="1">
        <v>0.33119978089430763</v>
      </c>
      <c r="DW61" s="1">
        <v>0.33879236638313243</v>
      </c>
      <c r="DX61" s="1">
        <v>0.48802343482357557</v>
      </c>
      <c r="DY61" s="1">
        <v>0.27035739997935615</v>
      </c>
    </row>
    <row r="62" spans="1:129" ht="15">
      <c r="A62" s="7" t="s">
        <v>73</v>
      </c>
      <c r="B62" s="3" t="str">
        <v/>
      </c>
      <c r="C62" s="3" t="str">
        <v/>
      </c>
      <c r="D62" s="3" t="str">
        <v/>
      </c>
      <c r="E62" s="3" t="str">
        <v/>
      </c>
      <c r="F62" s="3" t="str">
        <v/>
      </c>
      <c r="G62" s="3" t="str">
        <v/>
      </c>
      <c r="H62" s="3" t="str">
        <v/>
      </c>
      <c r="I62" s="3" t="str">
        <v/>
      </c>
      <c r="J62" s="3" t="str">
        <v/>
      </c>
      <c r="K62" s="3" t="str">
        <v/>
      </c>
      <c r="L62" s="3" t="str">
        <v/>
      </c>
      <c r="M62" s="3" t="str">
        <v/>
      </c>
      <c r="N62" s="3" t="str">
        <v/>
      </c>
      <c r="O62" s="3" t="str">
        <v/>
      </c>
      <c r="P62" s="3" t="str">
        <v/>
      </c>
      <c r="Q62" s="3" t="str">
        <v/>
      </c>
      <c r="R62" s="3" t="str">
        <v/>
      </c>
      <c r="S62" s="3" t="str">
        <v/>
      </c>
      <c r="T62" s="3" t="str">
        <v/>
      </c>
      <c r="U62" s="3" t="str">
        <v/>
      </c>
      <c r="V62" s="3" t="str">
        <v/>
      </c>
      <c r="W62" s="3" t="str">
        <v/>
      </c>
      <c r="X62" s="3" t="str">
        <v/>
      </c>
      <c r="Y62" s="3" t="str">
        <v/>
      </c>
      <c r="Z62" s="3" t="str">
        <v/>
      </c>
      <c r="AA62" s="3" t="str">
        <v/>
      </c>
      <c r="AB62" s="3" t="str">
        <v/>
      </c>
      <c r="AC62" s="3" t="str">
        <v/>
      </c>
      <c r="AD62" s="3" t="str">
        <v/>
      </c>
      <c r="AE62" s="3" t="str">
        <v/>
      </c>
      <c r="AF62" s="3" t="str">
        <v/>
      </c>
      <c r="AG62" s="3" t="str">
        <v/>
      </c>
      <c r="AH62" s="3" t="str">
        <v/>
      </c>
      <c r="AI62" s="3" t="str">
        <v/>
      </c>
      <c r="AJ62" s="3" t="str">
        <v/>
      </c>
      <c r="AK62" s="3" t="str">
        <v/>
      </c>
      <c r="AL62" s="3" t="str">
        <v/>
      </c>
      <c r="AM62" s="3" t="str">
        <v/>
      </c>
      <c r="AN62" s="3" t="str">
        <v/>
      </c>
      <c r="AO62" s="3" t="str">
        <v/>
      </c>
      <c r="AP62" s="3" t="str">
        <v/>
      </c>
      <c r="AQ62" s="3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>
        <v>1.0000000000000002</v>
      </c>
      <c r="BI62" s="1">
        <v>0.60150796948505292</v>
      </c>
      <c r="BJ62" s="1">
        <v>0.3673018212316454</v>
      </c>
      <c r="BK62" s="1">
        <v>0.1737373324699199</v>
      </c>
      <c r="BL62" s="1">
        <v>0.21591811239973319</v>
      </c>
      <c r="BM62" s="1">
        <v>0.36894365964640796</v>
      </c>
      <c r="BN62" s="1">
        <v>0.37490466940180511</v>
      </c>
      <c r="BO62" s="1">
        <v>0.47562589981757819</v>
      </c>
      <c r="BP62" s="1">
        <v>0.37176181599705221</v>
      </c>
      <c r="BQ62" s="1">
        <v>0.14967552211884047</v>
      </c>
      <c r="BR62" s="1">
        <v>0.39439314227414179</v>
      </c>
      <c r="BS62" s="1">
        <v>0.30234648286607474</v>
      </c>
      <c r="BT62" s="1">
        <v>0.35413604894214018</v>
      </c>
      <c r="BU62" s="1">
        <v>0.27851438974344039</v>
      </c>
      <c r="BV62" s="1">
        <v>0.24977543723346676</v>
      </c>
      <c r="BW62" s="1">
        <v>0.22619855225449143</v>
      </c>
      <c r="BX62" s="1">
        <v>0.36084401662608662</v>
      </c>
      <c r="BY62" s="1">
        <v>0.34216291677458321</v>
      </c>
      <c r="BZ62" s="1">
        <v>0.18587059862435534</v>
      </c>
      <c r="CA62" s="1">
        <v>6.3289718522896471E-2</v>
      </c>
      <c r="CB62" s="1">
        <v>0.22231391449400881</v>
      </c>
      <c r="CC62" s="1">
        <v>0.30738386901785592</v>
      </c>
      <c r="CD62" s="1">
        <v>0.15677138852776215</v>
      </c>
      <c r="CE62" s="1">
        <v>0.26293739613131828</v>
      </c>
      <c r="CF62" s="1">
        <v>0.4404293621345623</v>
      </c>
      <c r="CG62" s="1">
        <v>0.3522216694123172</v>
      </c>
      <c r="CH62" s="1">
        <v>0.31699577820492697</v>
      </c>
      <c r="CI62" s="1">
        <v>0.57366254044859832</v>
      </c>
      <c r="CJ62" s="1">
        <v>0.31289309537043153</v>
      </c>
      <c r="CK62" s="1">
        <v>0.19913065657421669</v>
      </c>
      <c r="CL62" s="1">
        <v>0.30963574643337383</v>
      </c>
      <c r="CM62" s="1">
        <v>-8.71543500076747E-2</v>
      </c>
      <c r="CN62" s="1">
        <v>0.30550861447817013</v>
      </c>
      <c r="CO62" s="1">
        <v>0.1875272359019351</v>
      </c>
      <c r="CP62" s="1">
        <v>0.25186427562320629</v>
      </c>
      <c r="CQ62" s="1">
        <v>0.23484814007128124</v>
      </c>
      <c r="CR62" s="1">
        <v>0.20289014413375603</v>
      </c>
      <c r="CS62" s="1">
        <v>0.27522720397416867</v>
      </c>
      <c r="CT62" s="1">
        <v>0.3323450238849982</v>
      </c>
      <c r="CU62" s="1">
        <v>0.21468567615064121</v>
      </c>
      <c r="CV62" s="1">
        <v>0.20914217471123409</v>
      </c>
      <c r="CW62" s="1">
        <v>0.32493216641666034</v>
      </c>
      <c r="CX62" s="1">
        <v>0.23956600243528892</v>
      </c>
      <c r="CY62" s="1">
        <v>8.4743562200048667E-2</v>
      </c>
      <c r="CZ62" s="1">
        <v>0.49176784250816763</v>
      </c>
      <c r="DA62" s="1">
        <v>0.13559853069499764</v>
      </c>
      <c r="DB62" s="1">
        <v>0.45795485903703748</v>
      </c>
      <c r="DC62" s="1">
        <v>0.26488018804996943</v>
      </c>
      <c r="DD62" s="1">
        <v>2.4394423955858238E-2</v>
      </c>
      <c r="DE62" s="1">
        <v>0.3775322159987009</v>
      </c>
      <c r="DF62" s="1">
        <v>0.27140051426148476</v>
      </c>
      <c r="DG62" s="1">
        <v>0.47122804999727363</v>
      </c>
      <c r="DH62" s="1">
        <v>0.45362427803900357</v>
      </c>
      <c r="DI62" s="1">
        <v>0.44203198367784519</v>
      </c>
      <c r="DJ62" s="1">
        <v>0.43368924551243854</v>
      </c>
      <c r="DK62" s="1">
        <v>0.40086695843631948</v>
      </c>
      <c r="DL62" s="1">
        <v>0.48236510704098146</v>
      </c>
      <c r="DM62" s="1">
        <v>0.447469716070729</v>
      </c>
      <c r="DN62" s="1">
        <v>0.50507247272298683</v>
      </c>
      <c r="DO62" s="1">
        <v>0.43679676163046621</v>
      </c>
      <c r="DP62" s="1">
        <v>0.47611065054129265</v>
      </c>
      <c r="DQ62" s="1">
        <v>0.49216322830731241</v>
      </c>
      <c r="DR62" s="1">
        <v>0.51615731506713436</v>
      </c>
      <c r="DS62" s="1">
        <v>0.34291617432007693</v>
      </c>
      <c r="DT62" s="1">
        <v>0.48042704600472208</v>
      </c>
      <c r="DU62" s="1">
        <v>0.40600080415796569</v>
      </c>
      <c r="DV62" s="1">
        <v>0.48788118410278541</v>
      </c>
      <c r="DW62" s="1">
        <v>0.24657422602672091</v>
      </c>
      <c r="DX62" s="1">
        <v>0.31659422918335661</v>
      </c>
      <c r="DY62" s="1">
        <v>0.42672866046963892</v>
      </c>
    </row>
    <row r="63" spans="1:129" ht="15">
      <c r="A63" s="7" t="s">
        <v>74</v>
      </c>
      <c r="B63" s="3" t="str">
        <v/>
      </c>
      <c r="C63" s="3" t="str">
        <v/>
      </c>
      <c r="D63" s="3" t="str">
        <v/>
      </c>
      <c r="E63" s="3" t="str">
        <v/>
      </c>
      <c r="F63" s="3" t="str">
        <v/>
      </c>
      <c r="G63" s="3" t="str">
        <v/>
      </c>
      <c r="H63" s="3" t="str">
        <v/>
      </c>
      <c r="I63" s="3" t="str">
        <v/>
      </c>
      <c r="J63" s="3" t="str">
        <v/>
      </c>
      <c r="K63" s="3" t="str">
        <v/>
      </c>
      <c r="L63" s="3" t="str">
        <v/>
      </c>
      <c r="M63" s="3" t="str">
        <v/>
      </c>
      <c r="N63" s="3" t="str">
        <v/>
      </c>
      <c r="O63" s="3" t="str">
        <v/>
      </c>
      <c r="P63" s="3" t="str">
        <v/>
      </c>
      <c r="Q63" s="3" t="str">
        <v/>
      </c>
      <c r="R63" s="3" t="str">
        <v/>
      </c>
      <c r="S63" s="3" t="str">
        <v/>
      </c>
      <c r="T63" s="3" t="str">
        <v/>
      </c>
      <c r="U63" s="3" t="str">
        <v/>
      </c>
      <c r="V63" s="3" t="str">
        <v/>
      </c>
      <c r="W63" s="3" t="str">
        <v/>
      </c>
      <c r="X63" s="3" t="str">
        <v/>
      </c>
      <c r="Y63" s="3" t="str">
        <v/>
      </c>
      <c r="Z63" s="3" t="str">
        <v/>
      </c>
      <c r="AA63" s="3" t="str">
        <v/>
      </c>
      <c r="AB63" s="3" t="str">
        <v/>
      </c>
      <c r="AC63" s="3" t="str">
        <v/>
      </c>
      <c r="AD63" s="3" t="str">
        <v/>
      </c>
      <c r="AE63" s="3" t="str">
        <v/>
      </c>
      <c r="AF63" s="3" t="str">
        <v/>
      </c>
      <c r="AG63" s="3" t="str">
        <v/>
      </c>
      <c r="AH63" s="3" t="str">
        <v/>
      </c>
      <c r="AI63" s="3" t="str">
        <v/>
      </c>
      <c r="AJ63" s="3" t="str">
        <v/>
      </c>
      <c r="AK63" s="3" t="str">
        <v/>
      </c>
      <c r="AL63" s="3" t="str">
        <v/>
      </c>
      <c r="AM63" s="3" t="str">
        <v/>
      </c>
      <c r="AN63" s="3" t="str">
        <v/>
      </c>
      <c r="AO63" s="3" t="str">
        <v/>
      </c>
      <c r="AP63" s="3" t="str">
        <v/>
      </c>
      <c r="AQ63" s="3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>
        <v>1.0000000000000002</v>
      </c>
      <c r="BJ63" s="1">
        <v>0.26292473725478382</v>
      </c>
      <c r="BK63" s="1">
        <v>0.20848255322720374</v>
      </c>
      <c r="BL63" s="1">
        <v>0.2491344960886604</v>
      </c>
      <c r="BM63" s="1">
        <v>0.54666870550344004</v>
      </c>
      <c r="BN63" s="1">
        <v>0.29481062159808602</v>
      </c>
      <c r="BO63" s="1">
        <v>0.28299684505704698</v>
      </c>
      <c r="BP63" s="1">
        <v>0.23294659027996267</v>
      </c>
      <c r="BQ63" s="1">
        <v>0.21514746884261315</v>
      </c>
      <c r="BR63" s="1">
        <v>0.34972286982478534</v>
      </c>
      <c r="BS63" s="1">
        <v>0.23888972964380562</v>
      </c>
      <c r="BT63" s="1">
        <v>0.44061347088598901</v>
      </c>
      <c r="BU63" s="1">
        <v>0.34537795979501973</v>
      </c>
      <c r="BV63" s="1">
        <v>0.24381440647899488</v>
      </c>
      <c r="BW63" s="1">
        <v>0.37300780521300714</v>
      </c>
      <c r="BX63" s="1">
        <v>0.31950557041862443</v>
      </c>
      <c r="BY63" s="1">
        <v>0.42443101902260749</v>
      </c>
      <c r="BZ63" s="1">
        <v>6.8296010240016275E-2</v>
      </c>
      <c r="CA63" s="1">
        <v>4.4302757061126567E-2</v>
      </c>
      <c r="CB63" s="1">
        <v>0.14244558054816067</v>
      </c>
      <c r="CC63" s="1">
        <v>0.20954017086829982</v>
      </c>
      <c r="CD63" s="1">
        <v>-1.5034495758560017E-2</v>
      </c>
      <c r="CE63" s="1">
        <v>0.12033482695138747</v>
      </c>
      <c r="CF63" s="1">
        <v>0.34830808245965217</v>
      </c>
      <c r="CG63" s="1">
        <v>0.36103909615653662</v>
      </c>
      <c r="CH63" s="1">
        <v>9.5880942887168696E-2</v>
      </c>
      <c r="CI63" s="1">
        <v>0.46212389136037163</v>
      </c>
      <c r="CJ63" s="1">
        <v>0.22293658014492232</v>
      </c>
      <c r="CK63" s="1">
        <v>2.6739736362137657E-2</v>
      </c>
      <c r="CL63" s="1">
        <v>0.41193759595210028</v>
      </c>
      <c r="CM63" s="1">
        <v>-0.13027853903936717</v>
      </c>
      <c r="CN63" s="1">
        <v>9.4546691124273163E-2</v>
      </c>
      <c r="CO63" s="1">
        <v>0.18805025713596737</v>
      </c>
      <c r="CP63" s="1">
        <v>0.26119409090906859</v>
      </c>
      <c r="CQ63" s="1">
        <v>0.21960875514107561</v>
      </c>
      <c r="CR63" s="1">
        <v>3.6559681766145907E-2</v>
      </c>
      <c r="CS63" s="1">
        <v>0.23064196512231872</v>
      </c>
      <c r="CT63" s="1">
        <v>0.44949360074882827</v>
      </c>
      <c r="CU63" s="1">
        <v>5.2275881093241328E-2</v>
      </c>
      <c r="CV63" s="1">
        <v>4.7838839747056584E-2</v>
      </c>
      <c r="CW63" s="1">
        <v>0.22907940603100344</v>
      </c>
      <c r="CX63" s="1">
        <v>0.1501907810719193</v>
      </c>
      <c r="CY63" s="1">
        <v>0.1257756914151297</v>
      </c>
      <c r="CZ63" s="1">
        <v>0.57359941954200766</v>
      </c>
      <c r="DA63" s="1">
        <v>0.18075944476761821</v>
      </c>
      <c r="DB63" s="1">
        <v>0.25140413123353295</v>
      </c>
      <c r="DC63" s="1">
        <v>0.18771202045197882</v>
      </c>
      <c r="DD63" s="1">
        <v>0.22096853052327095</v>
      </c>
      <c r="DE63" s="1">
        <v>0.21942426863231321</v>
      </c>
      <c r="DF63" s="1">
        <v>0.10516774517371809</v>
      </c>
      <c r="DG63" s="1">
        <v>0.50798668271895042</v>
      </c>
      <c r="DH63" s="1">
        <v>0.29447706869958407</v>
      </c>
      <c r="DI63" s="1">
        <v>0.40889942397051077</v>
      </c>
      <c r="DJ63" s="1">
        <v>0.40945532100394055</v>
      </c>
      <c r="DK63" s="1">
        <v>0.4280969760826952</v>
      </c>
      <c r="DL63" s="1">
        <v>0.46169336343653056</v>
      </c>
      <c r="DM63" s="1">
        <v>0.43984535982819395</v>
      </c>
      <c r="DN63" s="1">
        <v>0.45303669397351948</v>
      </c>
      <c r="DO63" s="1">
        <v>0.55916773094824135</v>
      </c>
      <c r="DP63" s="1">
        <v>0.48527856070770825</v>
      </c>
      <c r="DQ63" s="1">
        <v>0.5464397093201262</v>
      </c>
      <c r="DR63" s="1">
        <v>0.44516714910250216</v>
      </c>
      <c r="DS63" s="1">
        <v>0.37056574704777773</v>
      </c>
      <c r="DT63" s="1">
        <v>0.44032478873774716</v>
      </c>
      <c r="DU63" s="1">
        <v>0.45025781342490756</v>
      </c>
      <c r="DV63" s="1">
        <v>0.59276873949215081</v>
      </c>
      <c r="DW63" s="1">
        <v>0.32999600543981822</v>
      </c>
      <c r="DX63" s="1">
        <v>0.10060893538062646</v>
      </c>
      <c r="DY63" s="1">
        <v>0.37647331182802118</v>
      </c>
    </row>
    <row r="64" spans="1:129" ht="15">
      <c r="A64" s="7" t="s">
        <v>75</v>
      </c>
      <c r="B64" s="3" t="str">
        <v/>
      </c>
      <c r="C64" s="3" t="str">
        <v/>
      </c>
      <c r="D64" s="3" t="str">
        <v/>
      </c>
      <c r="E64" s="3" t="str">
        <v/>
      </c>
      <c r="F64" s="3" t="str">
        <v/>
      </c>
      <c r="G64" s="3" t="str">
        <v/>
      </c>
      <c r="H64" s="3" t="str">
        <v/>
      </c>
      <c r="I64" s="3" t="str">
        <v/>
      </c>
      <c r="J64" s="3" t="str">
        <v/>
      </c>
      <c r="K64" s="3" t="str">
        <v/>
      </c>
      <c r="L64" s="3" t="str">
        <v/>
      </c>
      <c r="M64" s="3" t="str">
        <v/>
      </c>
      <c r="N64" s="3" t="str">
        <v/>
      </c>
      <c r="O64" s="3" t="str">
        <v/>
      </c>
      <c r="P64" s="3" t="str">
        <v/>
      </c>
      <c r="Q64" s="3" t="str">
        <v/>
      </c>
      <c r="R64" s="3" t="str">
        <v/>
      </c>
      <c r="S64" s="3" t="str">
        <v/>
      </c>
      <c r="T64" s="3" t="str">
        <v/>
      </c>
      <c r="U64" s="3" t="str">
        <v/>
      </c>
      <c r="V64" s="3" t="str">
        <v/>
      </c>
      <c r="W64" s="3" t="str">
        <v/>
      </c>
      <c r="X64" s="3" t="str">
        <v/>
      </c>
      <c r="Y64" s="3" t="str">
        <v/>
      </c>
      <c r="Z64" s="3" t="str">
        <v/>
      </c>
      <c r="AA64" s="3" t="str">
        <v/>
      </c>
      <c r="AB64" s="3" t="str">
        <v/>
      </c>
      <c r="AC64" s="3" t="str">
        <v/>
      </c>
      <c r="AD64" s="3" t="str">
        <v/>
      </c>
      <c r="AE64" s="3" t="str">
        <v/>
      </c>
      <c r="AF64" s="3" t="str">
        <v/>
      </c>
      <c r="AG64" s="3" t="str">
        <v/>
      </c>
      <c r="AH64" s="3" t="str">
        <v/>
      </c>
      <c r="AI64" s="3" t="str">
        <v/>
      </c>
      <c r="AJ64" s="3" t="str">
        <v/>
      </c>
      <c r="AK64" s="3" t="str">
        <v/>
      </c>
      <c r="AL64" s="3" t="str">
        <v/>
      </c>
      <c r="AM64" s="3" t="str">
        <v/>
      </c>
      <c r="AN64" s="3" t="str">
        <v/>
      </c>
      <c r="AO64" s="3" t="str">
        <v/>
      </c>
      <c r="AP64" s="3" t="str">
        <v/>
      </c>
      <c r="AQ64" s="3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  <c r="BJ64" s="1">
        <v>1</v>
      </c>
      <c r="BK64" s="1">
        <v>0.37873356260104141</v>
      </c>
      <c r="BL64" s="1">
        <v>0.37144088047439555</v>
      </c>
      <c r="BM64" s="1">
        <v>0.43240903827339378</v>
      </c>
      <c r="BN64" s="1">
        <v>0.33226371849246156</v>
      </c>
      <c r="BO64" s="1">
        <v>0.45760168808847518</v>
      </c>
      <c r="BP64" s="1">
        <v>0.40513006737552049</v>
      </c>
      <c r="BQ64" s="1">
        <v>0.14836642083220897</v>
      </c>
      <c r="BR64" s="1">
        <v>0.26315968090946179</v>
      </c>
      <c r="BS64" s="1">
        <v>0.45807563051241046</v>
      </c>
      <c r="BT64" s="1">
        <v>0.56635752897476177</v>
      </c>
      <c r="BU64" s="1">
        <v>0.37238225197452857</v>
      </c>
      <c r="BV64" s="1">
        <v>4.6549589645848349E-2</v>
      </c>
      <c r="BW64" s="1">
        <v>0.47627061583262353</v>
      </c>
      <c r="BX64" s="1">
        <v>0.32172931813623501</v>
      </c>
      <c r="BY64" s="1">
        <v>0.37676723203729973</v>
      </c>
      <c r="BZ64" s="1">
        <v>0.18942457480957875</v>
      </c>
      <c r="CA64" s="1">
        <v>0.34257189751213973</v>
      </c>
      <c r="CB64" s="1">
        <v>0.20405040186116533</v>
      </c>
      <c r="CC64" s="1">
        <v>0.31658177587183434</v>
      </c>
      <c r="CD64" s="1">
        <v>0.11981230825944872</v>
      </c>
      <c r="CE64" s="1">
        <v>0.38741446298973581</v>
      </c>
      <c r="CF64" s="1">
        <v>0.482105557919557</v>
      </c>
      <c r="CG64" s="1">
        <v>0.32653639616394303</v>
      </c>
      <c r="CH64" s="1">
        <v>0.28699414004486873</v>
      </c>
      <c r="CI64" s="1">
        <v>0.61541116044926203</v>
      </c>
      <c r="CJ64" s="1">
        <v>0.15098889160362877</v>
      </c>
      <c r="CK64" s="1">
        <v>0.37019318596769119</v>
      </c>
      <c r="CL64" s="1">
        <v>0.47447861837319932</v>
      </c>
      <c r="CM64" s="1">
        <v>-0.10407760334049387</v>
      </c>
      <c r="CN64" s="1">
        <v>0.23353522832825707</v>
      </c>
      <c r="CO64" s="1">
        <v>3.4156490554362984E-2</v>
      </c>
      <c r="CP64" s="1">
        <v>3.5625723946037488E-4</v>
      </c>
      <c r="CQ64" s="1">
        <v>-3.4391636300656558E-2</v>
      </c>
      <c r="CR64" s="1">
        <v>0.20378687871477696</v>
      </c>
      <c r="CS64" s="1">
        <v>0.22589392074596187</v>
      </c>
      <c r="CT64" s="1">
        <v>0.54881434221008374</v>
      </c>
      <c r="CU64" s="1">
        <v>0.31702809326589954</v>
      </c>
      <c r="CV64" s="1">
        <v>0.26154431830976982</v>
      </c>
      <c r="CW64" s="1">
        <v>0.47999934757706442</v>
      </c>
      <c r="CX64" s="1">
        <v>0.2666929233523907</v>
      </c>
      <c r="CY64" s="1">
        <v>0.13979088182663255</v>
      </c>
      <c r="CZ64" s="1">
        <v>0.29297048148276861</v>
      </c>
      <c r="DA64" s="1">
        <v>0.33081757788129107</v>
      </c>
      <c r="DB64" s="1">
        <v>0.36154370562885879</v>
      </c>
      <c r="DC64" s="1">
        <v>0.48704297034976379</v>
      </c>
      <c r="DD64" s="1">
        <v>0.19952515284222477</v>
      </c>
      <c r="DE64" s="1">
        <v>0.38201678517854226</v>
      </c>
      <c r="DF64" s="1">
        <v>0.34832247155816165</v>
      </c>
      <c r="DG64" s="1">
        <v>0.31958740376199468</v>
      </c>
      <c r="DH64" s="1">
        <v>0.55536811353717241</v>
      </c>
      <c r="DI64" s="1">
        <v>0.57937751802920978</v>
      </c>
      <c r="DJ64" s="1">
        <v>0.56247140601094536</v>
      </c>
      <c r="DK64" s="1">
        <v>0.51955832002746682</v>
      </c>
      <c r="DL64" s="1">
        <v>0.56997047710745274</v>
      </c>
      <c r="DM64" s="1">
        <v>0.6303036977651747</v>
      </c>
      <c r="DN64" s="1">
        <v>0.53941264105672959</v>
      </c>
      <c r="DO64" s="1">
        <v>0.55085870482838017</v>
      </c>
      <c r="DP64" s="1">
        <v>0.59597224535521776</v>
      </c>
      <c r="DQ64" s="1">
        <v>0.56563054659031686</v>
      </c>
      <c r="DR64" s="1">
        <v>0.69774382853193551</v>
      </c>
      <c r="DS64" s="1">
        <v>0.39323892836576946</v>
      </c>
      <c r="DT64" s="1">
        <v>0.5916576713007794</v>
      </c>
      <c r="DU64" s="1">
        <v>0.59628100348499491</v>
      </c>
      <c r="DV64" s="1">
        <v>0.50857813503046301</v>
      </c>
      <c r="DW64" s="1">
        <v>0.35147767287168658</v>
      </c>
      <c r="DX64" s="1">
        <v>0.24575132493608368</v>
      </c>
      <c r="DY64" s="1">
        <v>0.71272593868426926</v>
      </c>
    </row>
    <row r="65" spans="1:129" ht="15">
      <c r="A65" s="7" t="s">
        <v>76</v>
      </c>
      <c r="B65" s="3" t="str">
        <v/>
      </c>
      <c r="C65" s="3" t="str">
        <v/>
      </c>
      <c r="D65" s="3" t="str">
        <v/>
      </c>
      <c r="E65" s="3" t="str">
        <v/>
      </c>
      <c r="F65" s="3" t="str">
        <v/>
      </c>
      <c r="G65" s="3" t="str">
        <v/>
      </c>
      <c r="H65" s="3" t="str">
        <v/>
      </c>
      <c r="I65" s="3" t="str">
        <v/>
      </c>
      <c r="J65" s="3" t="str">
        <v/>
      </c>
      <c r="K65" s="3" t="str">
        <v/>
      </c>
      <c r="L65" s="3" t="str">
        <v/>
      </c>
      <c r="M65" s="3" t="str">
        <v/>
      </c>
      <c r="N65" s="3" t="str">
        <v/>
      </c>
      <c r="O65" s="3" t="str">
        <v/>
      </c>
      <c r="P65" s="3" t="str">
        <v/>
      </c>
      <c r="Q65" s="3" t="str">
        <v/>
      </c>
      <c r="R65" s="3" t="str">
        <v/>
      </c>
      <c r="S65" s="3" t="str">
        <v/>
      </c>
      <c r="T65" s="3" t="str">
        <v/>
      </c>
      <c r="U65" s="3" t="str">
        <v/>
      </c>
      <c r="V65" s="3" t="str">
        <v/>
      </c>
      <c r="W65" s="3" t="str">
        <v/>
      </c>
      <c r="X65" s="3" t="str">
        <v/>
      </c>
      <c r="Y65" s="3" t="str">
        <v/>
      </c>
      <c r="Z65" s="3" t="str">
        <v/>
      </c>
      <c r="AA65" s="3" t="str">
        <v/>
      </c>
      <c r="AB65" s="3" t="str">
        <v/>
      </c>
      <c r="AC65" s="3" t="str">
        <v/>
      </c>
      <c r="AD65" s="3" t="str">
        <v/>
      </c>
      <c r="AE65" s="3" t="str">
        <v/>
      </c>
      <c r="AF65" s="3" t="str">
        <v/>
      </c>
      <c r="AG65" s="3" t="str">
        <v/>
      </c>
      <c r="AH65" s="3" t="str">
        <v/>
      </c>
      <c r="AI65" s="3" t="str">
        <v/>
      </c>
      <c r="AJ65" s="3" t="str">
        <v/>
      </c>
      <c r="AK65" s="3" t="str">
        <v/>
      </c>
      <c r="AL65" s="3" t="str">
        <v/>
      </c>
      <c r="AM65" s="3" t="str">
        <v/>
      </c>
      <c r="AN65" s="3" t="str">
        <v/>
      </c>
      <c r="AO65" s="3" t="str">
        <v/>
      </c>
      <c r="AP65" s="3" t="str">
        <v/>
      </c>
      <c r="AQ65" s="3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  <c r="BJ65" s="1" t="str">
        <v/>
      </c>
      <c r="BK65" s="1">
        <v>1</v>
      </c>
      <c r="BL65" s="1">
        <v>0.59154830414647996</v>
      </c>
      <c r="BM65" s="1">
        <v>0.62874331039038012</v>
      </c>
      <c r="BN65" s="1">
        <v>0.19846158447998943</v>
      </c>
      <c r="BO65" s="1">
        <v>0.55421421219333844</v>
      </c>
      <c r="BP65" s="1">
        <v>0.23830997780539251</v>
      </c>
      <c r="BQ65" s="1">
        <v>0.3970686172670333</v>
      </c>
      <c r="BR65" s="1">
        <v>0.39210494395753487</v>
      </c>
      <c r="BS65" s="1">
        <v>0.34566358306194034</v>
      </c>
      <c r="BT65" s="1">
        <v>0.47230285493700747</v>
      </c>
      <c r="BU65" s="1">
        <v>0.76862144676470834</v>
      </c>
      <c r="BV65" s="1">
        <v>2.4805502187925602E-2</v>
      </c>
      <c r="BW65" s="1">
        <v>0.37297029788185954</v>
      </c>
      <c r="BX65" s="1">
        <v>0.26924733659796291</v>
      </c>
      <c r="BY65" s="1">
        <v>0.27109312100806482</v>
      </c>
      <c r="BZ65" s="1">
        <v>0.46320512606317588</v>
      </c>
      <c r="CA65" s="1">
        <v>0.69338523838191701</v>
      </c>
      <c r="CB65" s="1">
        <v>0.61663274303186022</v>
      </c>
      <c r="CC65" s="1">
        <v>0.2237668663528086</v>
      </c>
      <c r="CD65" s="1">
        <v>0.51856928588843054</v>
      </c>
      <c r="CE65" s="1">
        <v>0.43966171246309937</v>
      </c>
      <c r="CF65" s="1">
        <v>0.4842815554989765</v>
      </c>
      <c r="CG65" s="1">
        <v>0.43482317683052152</v>
      </c>
      <c r="CH65" s="1">
        <v>0.49965381034659356</v>
      </c>
      <c r="CI65" s="1">
        <v>0.52846030037172098</v>
      </c>
      <c r="CJ65" s="1">
        <v>0.41011606601712758</v>
      </c>
      <c r="CK65" s="1">
        <v>0.15144815124290195</v>
      </c>
      <c r="CL65" s="1">
        <v>0.55085381228482466</v>
      </c>
      <c r="CM65" s="1">
        <v>0.10792174624555641</v>
      </c>
      <c r="CN65" s="1">
        <v>0.24965299574038988</v>
      </c>
      <c r="CO65" s="1">
        <v>0.3531094315404058</v>
      </c>
      <c r="CP65" s="1">
        <v>0.40438559920491918</v>
      </c>
      <c r="CQ65" s="1">
        <v>9.3759522440357915E-2</v>
      </c>
      <c r="CR65" s="1">
        <v>0.29137676127766887</v>
      </c>
      <c r="CS65" s="1">
        <v>0.25611441382036088</v>
      </c>
      <c r="CT65" s="1">
        <v>0.53580920391082265</v>
      </c>
      <c r="CU65" s="1">
        <v>0.346030858517059</v>
      </c>
      <c r="CV65" s="1">
        <v>0.31018531851903652</v>
      </c>
      <c r="CW65" s="1">
        <v>0.37497144705416829</v>
      </c>
      <c r="CX65" s="1">
        <v>0.25239574944022541</v>
      </c>
      <c r="CY65" s="1">
        <v>0.15013162740748756</v>
      </c>
      <c r="CZ65" s="1">
        <v>0.40539967034020652</v>
      </c>
      <c r="DA65" s="1">
        <v>0.15814765248920246</v>
      </c>
      <c r="DB65" s="1">
        <v>0.16381092072827019</v>
      </c>
      <c r="DC65" s="1">
        <v>6.1432453470598787E-2</v>
      </c>
      <c r="DD65" s="1">
        <v>0.21820704543458733</v>
      </c>
      <c r="DE65" s="1">
        <v>0.10173874217938721</v>
      </c>
      <c r="DF65" s="1">
        <v>0.16682364179874967</v>
      </c>
      <c r="DG65" s="1">
        <v>7.5497901707130971E-2</v>
      </c>
      <c r="DH65" s="1">
        <v>0.21485873139901959</v>
      </c>
      <c r="DI65" s="1">
        <v>0.38800096247326388</v>
      </c>
      <c r="DJ65" s="1">
        <v>0.42896340568194663</v>
      </c>
      <c r="DK65" s="1">
        <v>0.33902195449567396</v>
      </c>
      <c r="DL65" s="1">
        <v>0.3744827573060398</v>
      </c>
      <c r="DM65" s="1">
        <v>0.37613204737172379</v>
      </c>
      <c r="DN65" s="1">
        <v>0.30307357892968734</v>
      </c>
      <c r="DO65" s="1">
        <v>0.37735670490807061</v>
      </c>
      <c r="DP65" s="1">
        <v>0.43015671225856017</v>
      </c>
      <c r="DQ65" s="1">
        <v>0.4124135630092125</v>
      </c>
      <c r="DR65" s="1">
        <v>0.33950757576538781</v>
      </c>
      <c r="DS65" s="1">
        <v>0.25065230006520117</v>
      </c>
      <c r="DT65" s="1">
        <v>0.40574504489896668</v>
      </c>
      <c r="DU65" s="1">
        <v>0.25083704368746956</v>
      </c>
      <c r="DV65" s="1">
        <v>0.50179080324040137</v>
      </c>
      <c r="DW65" s="1">
        <v>0.34805882455086629</v>
      </c>
      <c r="DX65" s="1">
        <v>0.19305235810583815</v>
      </c>
      <c r="DY65" s="1">
        <v>0.36223932695569561</v>
      </c>
    </row>
    <row r="66" spans="1:129" ht="15">
      <c r="A66" s="7" t="s">
        <v>77</v>
      </c>
      <c r="B66" s="3" t="str">
        <v/>
      </c>
      <c r="C66" s="3" t="str">
        <v/>
      </c>
      <c r="D66" s="3" t="str">
        <v/>
      </c>
      <c r="E66" s="3" t="str">
        <v/>
      </c>
      <c r="F66" s="3" t="str">
        <v/>
      </c>
      <c r="G66" s="3" t="str">
        <v/>
      </c>
      <c r="H66" s="3" t="str">
        <v/>
      </c>
      <c r="I66" s="3" t="str">
        <v/>
      </c>
      <c r="J66" s="3" t="str">
        <v/>
      </c>
      <c r="K66" s="3" t="str">
        <v/>
      </c>
      <c r="L66" s="3" t="str">
        <v/>
      </c>
      <c r="M66" s="3" t="str">
        <v/>
      </c>
      <c r="N66" s="3" t="str">
        <v/>
      </c>
      <c r="O66" s="3" t="str">
        <v/>
      </c>
      <c r="P66" s="3" t="str">
        <v/>
      </c>
      <c r="Q66" s="3" t="str">
        <v/>
      </c>
      <c r="R66" s="3" t="str">
        <v/>
      </c>
      <c r="S66" s="3" t="str">
        <v/>
      </c>
      <c r="T66" s="3" t="str">
        <v/>
      </c>
      <c r="U66" s="3" t="str">
        <v/>
      </c>
      <c r="V66" s="3" t="str">
        <v/>
      </c>
      <c r="W66" s="3" t="str">
        <v/>
      </c>
      <c r="X66" s="3" t="str">
        <v/>
      </c>
      <c r="Y66" s="3" t="str">
        <v/>
      </c>
      <c r="Z66" s="3" t="str">
        <v/>
      </c>
      <c r="AA66" s="3" t="str">
        <v/>
      </c>
      <c r="AB66" s="3" t="str">
        <v/>
      </c>
      <c r="AC66" s="3" t="str">
        <v/>
      </c>
      <c r="AD66" s="3" t="str">
        <v/>
      </c>
      <c r="AE66" s="3" t="str">
        <v/>
      </c>
      <c r="AF66" s="3" t="str">
        <v/>
      </c>
      <c r="AG66" s="3" t="str">
        <v/>
      </c>
      <c r="AH66" s="3" t="str">
        <v/>
      </c>
      <c r="AI66" s="3" t="str">
        <v/>
      </c>
      <c r="AJ66" s="3" t="str">
        <v/>
      </c>
      <c r="AK66" s="3" t="str">
        <v/>
      </c>
      <c r="AL66" s="3" t="str">
        <v/>
      </c>
      <c r="AM66" s="3" t="str">
        <v/>
      </c>
      <c r="AN66" s="3" t="str">
        <v/>
      </c>
      <c r="AO66" s="3" t="str">
        <v/>
      </c>
      <c r="AP66" s="3" t="str">
        <v/>
      </c>
      <c r="AQ66" s="3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  <c r="BJ66" s="1" t="str">
        <v/>
      </c>
      <c r="BK66" s="1" t="str">
        <v/>
      </c>
      <c r="BL66" s="1">
        <v>1.0000000000000002</v>
      </c>
      <c r="BM66" s="1">
        <v>0.51818103360874324</v>
      </c>
      <c r="BN66" s="1">
        <v>0.24740174036063972</v>
      </c>
      <c r="BO66" s="1">
        <v>0.32769564009208674</v>
      </c>
      <c r="BP66" s="1">
        <v>0.42272051700661734</v>
      </c>
      <c r="BQ66" s="1">
        <v>0.4199783475105292</v>
      </c>
      <c r="BR66" s="1">
        <v>0.38111570850244186</v>
      </c>
      <c r="BS66" s="1">
        <v>0.54993613697281296</v>
      </c>
      <c r="BT66" s="1">
        <v>0.55522212557259354</v>
      </c>
      <c r="BU66" s="1">
        <v>0.70771636191303111</v>
      </c>
      <c r="BV66" s="1">
        <v>3.5589990558217884E-2</v>
      </c>
      <c r="BW66" s="1">
        <v>0.32283005466247022</v>
      </c>
      <c r="BX66" s="1">
        <v>0.25023548979835469</v>
      </c>
      <c r="BY66" s="1">
        <v>0.39205373828429524</v>
      </c>
      <c r="BZ66" s="1">
        <v>0.389294631855996</v>
      </c>
      <c r="CA66" s="1">
        <v>0.63239573910140101</v>
      </c>
      <c r="CB66" s="1">
        <v>0.42408723520908886</v>
      </c>
      <c r="CC66" s="1">
        <v>0.35996680135461406</v>
      </c>
      <c r="CD66" s="1">
        <v>0.22565609977249118</v>
      </c>
      <c r="CE66" s="1">
        <v>0.4128197757737983</v>
      </c>
      <c r="CF66" s="1">
        <v>0.45438218328420765</v>
      </c>
      <c r="CG66" s="1">
        <v>0.67716751148599053</v>
      </c>
      <c r="CH66" s="1">
        <v>0.42605487840269435</v>
      </c>
      <c r="CI66" s="1">
        <v>0.57095841321787799</v>
      </c>
      <c r="CJ66" s="1">
        <v>0.42256209945402184</v>
      </c>
      <c r="CK66" s="1">
        <v>0.15534220739538004</v>
      </c>
      <c r="CL66" s="1">
        <v>0.50094212306955199</v>
      </c>
      <c r="CM66" s="1">
        <v>-1.8350324398670396E-2</v>
      </c>
      <c r="CN66" s="1">
        <v>0.20828777999072823</v>
      </c>
      <c r="CO66" s="1">
        <v>0.25219007886796901</v>
      </c>
      <c r="CP66" s="1">
        <v>0.23886120369755537</v>
      </c>
      <c r="CQ66" s="1">
        <v>-8.7747566731346677E-3</v>
      </c>
      <c r="CR66" s="1">
        <v>0.13970070245092545</v>
      </c>
      <c r="CS66" s="1">
        <v>0.15695636886672984</v>
      </c>
      <c r="CT66" s="1">
        <v>0.53558397424933202</v>
      </c>
      <c r="CU66" s="1">
        <v>0.39901274677624149</v>
      </c>
      <c r="CV66" s="1">
        <v>0.34485356902412889</v>
      </c>
      <c r="CW66" s="1">
        <v>0.42847055520389848</v>
      </c>
      <c r="CX66" s="1">
        <v>0.30905647828194333</v>
      </c>
      <c r="CY66" s="1">
        <v>0.28918248097994464</v>
      </c>
      <c r="CZ66" s="1">
        <v>0.16817289846914732</v>
      </c>
      <c r="DA66" s="1">
        <v>0.13208134975622518</v>
      </c>
      <c r="DB66" s="1">
        <v>0.18043313744508224</v>
      </c>
      <c r="DC66" s="1">
        <v>0.15957586275509844</v>
      </c>
      <c r="DD66" s="1">
        <v>0.24573123496229285</v>
      </c>
      <c r="DE66" s="1">
        <v>0.26729042871445391</v>
      </c>
      <c r="DF66" s="1">
        <v>0.18023064348330495</v>
      </c>
      <c r="DG66" s="1">
        <v>7.5112334718193577E-2</v>
      </c>
      <c r="DH66" s="1">
        <v>0.33381547815909796</v>
      </c>
      <c r="DI66" s="1">
        <v>0.39541762735632008</v>
      </c>
      <c r="DJ66" s="1">
        <v>0.45357009243252105</v>
      </c>
      <c r="DK66" s="1">
        <v>0.36587550098836369</v>
      </c>
      <c r="DL66" s="1">
        <v>0.4200449512397656</v>
      </c>
      <c r="DM66" s="1">
        <v>0.405868886286057</v>
      </c>
      <c r="DN66" s="1">
        <v>0.36944698635609452</v>
      </c>
      <c r="DO66" s="1">
        <v>0.36833018587693156</v>
      </c>
      <c r="DP66" s="1">
        <v>0.42572625952355975</v>
      </c>
      <c r="DQ66" s="1">
        <v>0.45353990676802675</v>
      </c>
      <c r="DR66" s="1">
        <v>0.45132523706607902</v>
      </c>
      <c r="DS66" s="1">
        <v>0.41159334970751787</v>
      </c>
      <c r="DT66" s="1">
        <v>0.43856311924843416</v>
      </c>
      <c r="DU66" s="1">
        <v>0.44791420155187867</v>
      </c>
      <c r="DV66" s="1">
        <v>0.43307797869330289</v>
      </c>
      <c r="DW66" s="1">
        <v>0.16241287880251237</v>
      </c>
      <c r="DX66" s="1">
        <v>0.18791723468294574</v>
      </c>
      <c r="DY66" s="1">
        <v>0.52199403722250226</v>
      </c>
    </row>
    <row r="67" spans="1:129" ht="15">
      <c r="A67" s="7" t="s">
        <v>78</v>
      </c>
      <c r="B67" s="3" t="str">
        <v/>
      </c>
      <c r="C67" s="3" t="str">
        <v/>
      </c>
      <c r="D67" s="3" t="str">
        <v/>
      </c>
      <c r="E67" s="3" t="str">
        <v/>
      </c>
      <c r="F67" s="3" t="str">
        <v/>
      </c>
      <c r="G67" s="3" t="str">
        <v/>
      </c>
      <c r="H67" s="3" t="str">
        <v/>
      </c>
      <c r="I67" s="3" t="str">
        <v/>
      </c>
      <c r="J67" s="3" t="str">
        <v/>
      </c>
      <c r="K67" s="3" t="str">
        <v/>
      </c>
      <c r="L67" s="3" t="str">
        <v/>
      </c>
      <c r="M67" s="3" t="str">
        <v/>
      </c>
      <c r="N67" s="3" t="str">
        <v/>
      </c>
      <c r="O67" s="3" t="str">
        <v/>
      </c>
      <c r="P67" s="3" t="str">
        <v/>
      </c>
      <c r="Q67" s="3" t="str">
        <v/>
      </c>
      <c r="R67" s="3" t="str">
        <v/>
      </c>
      <c r="S67" s="3" t="str">
        <v/>
      </c>
      <c r="T67" s="3" t="str">
        <v/>
      </c>
      <c r="U67" s="3" t="str">
        <v/>
      </c>
      <c r="V67" s="3" t="str">
        <v/>
      </c>
      <c r="W67" s="3" t="str">
        <v/>
      </c>
      <c r="X67" s="3" t="str">
        <v/>
      </c>
      <c r="Y67" s="3" t="str">
        <v/>
      </c>
      <c r="Z67" s="3" t="str">
        <v/>
      </c>
      <c r="AA67" s="3" t="str">
        <v/>
      </c>
      <c r="AB67" s="3" t="str">
        <v/>
      </c>
      <c r="AC67" s="3" t="str">
        <v/>
      </c>
      <c r="AD67" s="3" t="str">
        <v/>
      </c>
      <c r="AE67" s="3" t="str">
        <v/>
      </c>
      <c r="AF67" s="3" t="str">
        <v/>
      </c>
      <c r="AG67" s="3" t="str">
        <v/>
      </c>
      <c r="AH67" s="3" t="str">
        <v/>
      </c>
      <c r="AI67" s="3" t="str">
        <v/>
      </c>
      <c r="AJ67" s="3" t="str">
        <v/>
      </c>
      <c r="AK67" s="3" t="str">
        <v/>
      </c>
      <c r="AL67" s="3" t="str">
        <v/>
      </c>
      <c r="AM67" s="3" t="str">
        <v/>
      </c>
      <c r="AN67" s="3" t="str">
        <v/>
      </c>
      <c r="AO67" s="3" t="str">
        <v/>
      </c>
      <c r="AP67" s="3" t="str">
        <v/>
      </c>
      <c r="AQ67" s="3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  <c r="BJ67" s="1" t="str">
        <v/>
      </c>
      <c r="BK67" s="1" t="str">
        <v/>
      </c>
      <c r="BL67" s="1" t="str">
        <v/>
      </c>
      <c r="BM67" s="1">
        <v>1.0000000000000002</v>
      </c>
      <c r="BN67" s="1">
        <v>0.39985963302630545</v>
      </c>
      <c r="BO67" s="1">
        <v>0.50434447102015789</v>
      </c>
      <c r="BP67" s="1">
        <v>0.31876117744144106</v>
      </c>
      <c r="BQ67" s="1">
        <v>0.27434707884861387</v>
      </c>
      <c r="BR67" s="1">
        <v>0.53325022621771212</v>
      </c>
      <c r="BS67" s="1">
        <v>0.47574268702900802</v>
      </c>
      <c r="BT67" s="1">
        <v>0.7438590802067333</v>
      </c>
      <c r="BU67" s="1">
        <v>0.64539770070440994</v>
      </c>
      <c r="BV67" s="1">
        <v>0.18687829519919613</v>
      </c>
      <c r="BW67" s="1">
        <v>0.51765935867529378</v>
      </c>
      <c r="BX67" s="1">
        <v>0.36957879866120469</v>
      </c>
      <c r="BY67" s="1">
        <v>0.4952133140630795</v>
      </c>
      <c r="BZ67" s="1">
        <v>0.26118567122229713</v>
      </c>
      <c r="CA67" s="1">
        <v>0.54219746436209137</v>
      </c>
      <c r="CB67" s="1">
        <v>0.50634901219667894</v>
      </c>
      <c r="CC67" s="1">
        <v>0.28332387222527033</v>
      </c>
      <c r="CD67" s="1">
        <v>0.2782870537431546</v>
      </c>
      <c r="CE67" s="1">
        <v>0.40318028822255614</v>
      </c>
      <c r="CF67" s="1">
        <v>0.50041059058547221</v>
      </c>
      <c r="CG67" s="1">
        <v>0.49595801394199723</v>
      </c>
      <c r="CH67" s="1">
        <v>0.34038242770023563</v>
      </c>
      <c r="CI67" s="1">
        <v>0.66129607076284891</v>
      </c>
      <c r="CJ67" s="1">
        <v>0.28394126934009745</v>
      </c>
      <c r="CK67" s="1">
        <v>0.16214839739464029</v>
      </c>
      <c r="CL67" s="1">
        <v>0.78537623432741754</v>
      </c>
      <c r="CM67" s="1">
        <v>-6.0445705261030859E-2</v>
      </c>
      <c r="CN67" s="1">
        <v>0.21851330874202046</v>
      </c>
      <c r="CO67" s="1">
        <v>0.33797772041104135</v>
      </c>
      <c r="CP67" s="1">
        <v>0.30204782362842425</v>
      </c>
      <c r="CQ67" s="1">
        <v>-6.9565050716041313E-2</v>
      </c>
      <c r="CR67" s="1">
        <v>0.21170819114097519</v>
      </c>
      <c r="CS67" s="1">
        <v>0.28901507180541097</v>
      </c>
      <c r="CT67" s="1">
        <v>0.75399014612220172</v>
      </c>
      <c r="CU67" s="1">
        <v>0.32995641879218024</v>
      </c>
      <c r="CV67" s="1">
        <v>0.14937947538017804</v>
      </c>
      <c r="CW67" s="1">
        <v>0.3806844769299027</v>
      </c>
      <c r="CX67" s="1">
        <v>0.23303997345999256</v>
      </c>
      <c r="CY67" s="1">
        <v>0.37864074139032355</v>
      </c>
      <c r="CZ67" s="1">
        <v>0.53598593374821402</v>
      </c>
      <c r="DA67" s="1">
        <v>0.20896376085653992</v>
      </c>
      <c r="DB67" s="1">
        <v>0.33361751137981827</v>
      </c>
      <c r="DC67" s="1">
        <v>0.17384480278954456</v>
      </c>
      <c r="DD67" s="1">
        <v>0.30466527571235313</v>
      </c>
      <c r="DE67" s="1">
        <v>8.4003171819195824E-2</v>
      </c>
      <c r="DF67" s="1">
        <v>0.2185548085389083</v>
      </c>
      <c r="DG67" s="1">
        <v>0.18967230872214108</v>
      </c>
      <c r="DH67" s="1">
        <v>0.43320744284886231</v>
      </c>
      <c r="DI67" s="1">
        <v>0.60648133612573052</v>
      </c>
      <c r="DJ67" s="1">
        <v>0.58720634423761442</v>
      </c>
      <c r="DK67" s="1">
        <v>0.65551135069022948</v>
      </c>
      <c r="DL67" s="1">
        <v>0.64923612287190691</v>
      </c>
      <c r="DM67" s="1">
        <v>0.62053097728450946</v>
      </c>
      <c r="DN67" s="1">
        <v>0.5794558554614776</v>
      </c>
      <c r="DO67" s="1">
        <v>0.67083004035572102</v>
      </c>
      <c r="DP67" s="1">
        <v>0.70841010914406077</v>
      </c>
      <c r="DQ67" s="1">
        <v>0.70345634858039452</v>
      </c>
      <c r="DR67" s="1">
        <v>0.65828331789489958</v>
      </c>
      <c r="DS67" s="1">
        <v>0.52060130175579922</v>
      </c>
      <c r="DT67" s="1">
        <v>0.62420687793319996</v>
      </c>
      <c r="DU67" s="1">
        <v>0.61226789188731645</v>
      </c>
      <c r="DV67" s="1">
        <v>0.75716405015236643</v>
      </c>
      <c r="DW67" s="1">
        <v>0.39793351915958275</v>
      </c>
      <c r="DX67" s="1">
        <v>0.20637571137676083</v>
      </c>
      <c r="DY67" s="1">
        <v>0.51540346655249636</v>
      </c>
    </row>
    <row r="68" spans="1:129" ht="15">
      <c r="A68" s="7" t="s">
        <v>79</v>
      </c>
      <c r="B68" s="3" t="str">
        <v/>
      </c>
      <c r="C68" s="3" t="str">
        <v/>
      </c>
      <c r="D68" s="3" t="str">
        <v/>
      </c>
      <c r="E68" s="3" t="str">
        <v/>
      </c>
      <c r="F68" s="3" t="str">
        <v/>
      </c>
      <c r="G68" s="3" t="str">
        <v/>
      </c>
      <c r="H68" s="3" t="str">
        <v/>
      </c>
      <c r="I68" s="3" t="str">
        <v/>
      </c>
      <c r="J68" s="3" t="str">
        <v/>
      </c>
      <c r="K68" s="3" t="str">
        <v/>
      </c>
      <c r="L68" s="3" t="str">
        <v/>
      </c>
      <c r="M68" s="3" t="str">
        <v/>
      </c>
      <c r="N68" s="3" t="str">
        <v/>
      </c>
      <c r="O68" s="3" t="str">
        <v/>
      </c>
      <c r="P68" s="3" t="str">
        <v/>
      </c>
      <c r="Q68" s="3" t="str">
        <v/>
      </c>
      <c r="R68" s="3" t="str">
        <v/>
      </c>
      <c r="S68" s="3" t="str">
        <v/>
      </c>
      <c r="T68" s="3" t="str">
        <v/>
      </c>
      <c r="U68" s="3" t="str">
        <v/>
      </c>
      <c r="V68" s="3" t="str">
        <v/>
      </c>
      <c r="W68" s="3" t="str">
        <v/>
      </c>
      <c r="X68" s="3" t="str">
        <v/>
      </c>
      <c r="Y68" s="3" t="str">
        <v/>
      </c>
      <c r="Z68" s="3" t="str">
        <v/>
      </c>
      <c r="AA68" s="3" t="str">
        <v/>
      </c>
      <c r="AB68" s="3" t="str">
        <v/>
      </c>
      <c r="AC68" s="3" t="str">
        <v/>
      </c>
      <c r="AD68" s="3" t="str">
        <v/>
      </c>
      <c r="AE68" s="3" t="str">
        <v/>
      </c>
      <c r="AF68" s="3" t="str">
        <v/>
      </c>
      <c r="AG68" s="3" t="str">
        <v/>
      </c>
      <c r="AH68" s="3" t="str">
        <v/>
      </c>
      <c r="AI68" s="3" t="str">
        <v/>
      </c>
      <c r="AJ68" s="3" t="str">
        <v/>
      </c>
      <c r="AK68" s="3" t="str">
        <v/>
      </c>
      <c r="AL68" s="3" t="str">
        <v/>
      </c>
      <c r="AM68" s="3" t="str">
        <v/>
      </c>
      <c r="AN68" s="3" t="str">
        <v/>
      </c>
      <c r="AO68" s="3" t="str">
        <v/>
      </c>
      <c r="AP68" s="3" t="str">
        <v/>
      </c>
      <c r="AQ68" s="3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  <c r="BJ68" s="1" t="str">
        <v/>
      </c>
      <c r="BK68" s="1" t="str">
        <v/>
      </c>
      <c r="BL68" s="1" t="str">
        <v/>
      </c>
      <c r="BM68" s="1" t="str">
        <v/>
      </c>
      <c r="BN68" s="1">
        <v>1</v>
      </c>
      <c r="BO68" s="1">
        <v>0.42247259538153881</v>
      </c>
      <c r="BP68" s="1">
        <v>0.49224686551926061</v>
      </c>
      <c r="BQ68" s="1">
        <v>8.0027724485979682E-2</v>
      </c>
      <c r="BR68" s="1">
        <v>0.40726451622800119</v>
      </c>
      <c r="BS68" s="1">
        <v>0.3845401734054068</v>
      </c>
      <c r="BT68" s="1">
        <v>0.33967794459130096</v>
      </c>
      <c r="BU68" s="1">
        <v>0.34624259401471635</v>
      </c>
      <c r="BV68" s="1">
        <v>0.32128735504180805</v>
      </c>
      <c r="BW68" s="1">
        <v>0.35511739155551475</v>
      </c>
      <c r="BX68" s="1">
        <v>0.20252092064398836</v>
      </c>
      <c r="BY68" s="1">
        <v>0.41035851429282216</v>
      </c>
      <c r="BZ68" s="1">
        <v>0.2385803414320036</v>
      </c>
      <c r="CA68" s="1">
        <v>0.27660542625922463</v>
      </c>
      <c r="CB68" s="1">
        <v>0.28172459487426316</v>
      </c>
      <c r="CC68" s="1">
        <v>0.21364151627362327</v>
      </c>
      <c r="CD68" s="1">
        <v>0.11897806234879013</v>
      </c>
      <c r="CE68" s="1">
        <v>0.19931934832673956</v>
      </c>
      <c r="CF68" s="1">
        <v>0.43038980883956274</v>
      </c>
      <c r="CG68" s="1">
        <v>0.5171849580454706</v>
      </c>
      <c r="CH68" s="1">
        <v>0.35934694654978794</v>
      </c>
      <c r="CI68" s="1">
        <v>0.57489627300079538</v>
      </c>
      <c r="CJ68" s="1">
        <v>0.31957374300684882</v>
      </c>
      <c r="CK68" s="1">
        <v>0.23276741531838616</v>
      </c>
      <c r="CL68" s="1">
        <v>0.41661005202333407</v>
      </c>
      <c r="CM68" s="1">
        <v>0.15970336377853211</v>
      </c>
      <c r="CN68" s="1">
        <v>0.37746796147737005</v>
      </c>
      <c r="CO68" s="1">
        <v>0.1329235546765585</v>
      </c>
      <c r="CP68" s="1">
        <v>0.14597610261231933</v>
      </c>
      <c r="CQ68" s="1">
        <v>0.10768488505139064</v>
      </c>
      <c r="CR68" s="1">
        <v>0.20937157502288858</v>
      </c>
      <c r="CS68" s="1">
        <v>0.17074316927613983</v>
      </c>
      <c r="CT68" s="1">
        <v>0.31604928851287234</v>
      </c>
      <c r="CU68" s="1">
        <v>0.13865957272051363</v>
      </c>
      <c r="CV68" s="1">
        <v>0.30364121766856605</v>
      </c>
      <c r="CW68" s="1">
        <v>0.40520934317421275</v>
      </c>
      <c r="CX68" s="1">
        <v>0.22707763697919206</v>
      </c>
      <c r="CY68" s="1">
        <v>0.29157449038402844</v>
      </c>
      <c r="CZ68" s="1">
        <v>0.30595706400188061</v>
      </c>
      <c r="DA68" s="1">
        <v>0.14173677495349191</v>
      </c>
      <c r="DB68" s="1">
        <v>0.35929637401740322</v>
      </c>
      <c r="DC68" s="1">
        <v>0.24624265686297325</v>
      </c>
      <c r="DD68" s="1">
        <v>0.16688098949606595</v>
      </c>
      <c r="DE68" s="1">
        <v>0.37495704623332576</v>
      </c>
      <c r="DF68" s="1">
        <v>0.28920732289665729</v>
      </c>
      <c r="DG68" s="1">
        <v>8.3935778073623374E-2</v>
      </c>
      <c r="DH68" s="1">
        <v>0.33994616563169927</v>
      </c>
      <c r="DI68" s="1">
        <v>0.34836163818872456</v>
      </c>
      <c r="DJ68" s="1">
        <v>0.3308479419652946</v>
      </c>
      <c r="DK68" s="1">
        <v>0.33960839641531615</v>
      </c>
      <c r="DL68" s="1">
        <v>0.39455691484333671</v>
      </c>
      <c r="DM68" s="1">
        <v>0.36478788690258268</v>
      </c>
      <c r="DN68" s="1">
        <v>0.33072836593466798</v>
      </c>
      <c r="DO68" s="1">
        <v>0.24297093098957143</v>
      </c>
      <c r="DP68" s="1">
        <v>0.39308359795063685</v>
      </c>
      <c r="DQ68" s="1">
        <v>0.28434718059289094</v>
      </c>
      <c r="DR68" s="1">
        <v>0.43703964061037759</v>
      </c>
      <c r="DS68" s="1">
        <v>0.26588289165988965</v>
      </c>
      <c r="DT68" s="1">
        <v>0.32830471257947619</v>
      </c>
      <c r="DU68" s="1">
        <v>0.39737929873907518</v>
      </c>
      <c r="DV68" s="1">
        <v>0.28387307522218341</v>
      </c>
      <c r="DW68" s="1">
        <v>0.19446129798870179</v>
      </c>
      <c r="DX68" s="1">
        <v>0.26544412335027645</v>
      </c>
      <c r="DY68" s="1">
        <v>0.36516235621589144</v>
      </c>
    </row>
    <row r="69" spans="1:129" ht="15">
      <c r="A69" s="7" t="s">
        <v>80</v>
      </c>
      <c r="B69" s="3" t="str">
        <v/>
      </c>
      <c r="C69" s="3" t="str">
        <v/>
      </c>
      <c r="D69" s="3" t="str">
        <v/>
      </c>
      <c r="E69" s="3" t="str">
        <v/>
      </c>
      <c r="F69" s="3" t="str">
        <v/>
      </c>
      <c r="G69" s="3" t="str">
        <v/>
      </c>
      <c r="H69" s="3" t="str">
        <v/>
      </c>
      <c r="I69" s="3" t="str">
        <v/>
      </c>
      <c r="J69" s="3" t="str">
        <v/>
      </c>
      <c r="K69" s="3" t="str">
        <v/>
      </c>
      <c r="L69" s="3" t="str">
        <v/>
      </c>
      <c r="M69" s="3" t="str">
        <v/>
      </c>
      <c r="N69" s="3" t="str">
        <v/>
      </c>
      <c r="O69" s="3" t="str">
        <v/>
      </c>
      <c r="P69" s="3" t="str">
        <v/>
      </c>
      <c r="Q69" s="3" t="str">
        <v/>
      </c>
      <c r="R69" s="3" t="str">
        <v/>
      </c>
      <c r="S69" s="3" t="str">
        <v/>
      </c>
      <c r="T69" s="3" t="str">
        <v/>
      </c>
      <c r="U69" s="3" t="str">
        <v/>
      </c>
      <c r="V69" s="3" t="str">
        <v/>
      </c>
      <c r="W69" s="3" t="str">
        <v/>
      </c>
      <c r="X69" s="3" t="str">
        <v/>
      </c>
      <c r="Y69" s="3" t="str">
        <v/>
      </c>
      <c r="Z69" s="3" t="str">
        <v/>
      </c>
      <c r="AA69" s="3" t="str">
        <v/>
      </c>
      <c r="AB69" s="3" t="str">
        <v/>
      </c>
      <c r="AC69" s="3" t="str">
        <v/>
      </c>
      <c r="AD69" s="3" t="str">
        <v/>
      </c>
      <c r="AE69" s="3" t="str">
        <v/>
      </c>
      <c r="AF69" s="3" t="str">
        <v/>
      </c>
      <c r="AG69" s="3" t="str">
        <v/>
      </c>
      <c r="AH69" s="3" t="str">
        <v/>
      </c>
      <c r="AI69" s="3" t="str">
        <v/>
      </c>
      <c r="AJ69" s="3" t="str">
        <v/>
      </c>
      <c r="AK69" s="3" t="str">
        <v/>
      </c>
      <c r="AL69" s="3" t="str">
        <v/>
      </c>
      <c r="AM69" s="3" t="str">
        <v/>
      </c>
      <c r="AN69" s="3" t="str">
        <v/>
      </c>
      <c r="AO69" s="3" t="str">
        <v/>
      </c>
      <c r="AP69" s="3" t="str">
        <v/>
      </c>
      <c r="AQ69" s="3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  <c r="BJ69" s="1" t="str">
        <v/>
      </c>
      <c r="BK69" s="1" t="str">
        <v/>
      </c>
      <c r="BL69" s="1" t="str">
        <v/>
      </c>
      <c r="BM69" s="1" t="str">
        <v/>
      </c>
      <c r="BN69" s="1" t="str">
        <v/>
      </c>
      <c r="BO69" s="1">
        <v>1</v>
      </c>
      <c r="BP69" s="1">
        <v>0.47754531170770381</v>
      </c>
      <c r="BQ69" s="1">
        <v>0.2748208315919905</v>
      </c>
      <c r="BR69" s="1">
        <v>0.37244940775835167</v>
      </c>
      <c r="BS69" s="1">
        <v>0.39406543076287687</v>
      </c>
      <c r="BT69" s="1">
        <v>0.37369055995451961</v>
      </c>
      <c r="BU69" s="1">
        <v>0.54759991952141662</v>
      </c>
      <c r="BV69" s="1">
        <v>0.31111399591659744</v>
      </c>
      <c r="BW69" s="1">
        <v>0.38530117215583443</v>
      </c>
      <c r="BX69" s="1">
        <v>0.50730943539138695</v>
      </c>
      <c r="BY69" s="1">
        <v>0.50483392261566884</v>
      </c>
      <c r="BZ69" s="1">
        <v>0.36170467163174791</v>
      </c>
      <c r="CA69" s="1">
        <v>0.46535346627421309</v>
      </c>
      <c r="CB69" s="1">
        <v>0.56060295164355234</v>
      </c>
      <c r="CC69" s="1">
        <v>0.19337848703529803</v>
      </c>
      <c r="CD69" s="1">
        <v>0.48080438542629605</v>
      </c>
      <c r="CE69" s="1">
        <v>0.40387300606181376</v>
      </c>
      <c r="CF69" s="1">
        <v>0.52050309934226202</v>
      </c>
      <c r="CG69" s="1">
        <v>0.37415785546682462</v>
      </c>
      <c r="CH69" s="1">
        <v>0.50025128130330609</v>
      </c>
      <c r="CI69" s="1">
        <v>0.69402748209871246</v>
      </c>
      <c r="CJ69" s="1">
        <v>0.53434552322245421</v>
      </c>
      <c r="CK69" s="1">
        <v>0.3495767025872405</v>
      </c>
      <c r="CL69" s="1">
        <v>0.4718472097367114</v>
      </c>
      <c r="CM69" s="1">
        <v>2.5347128979062647E-3</v>
      </c>
      <c r="CN69" s="1">
        <v>0.51083370216492685</v>
      </c>
      <c r="CO69" s="1">
        <v>0.34010388317141932</v>
      </c>
      <c r="CP69" s="1">
        <v>0.42348076113781763</v>
      </c>
      <c r="CQ69" s="1">
        <v>0.27666927895599197</v>
      </c>
      <c r="CR69" s="1">
        <v>0.37682444986194324</v>
      </c>
      <c r="CS69" s="1">
        <v>0.28362552253669082</v>
      </c>
      <c r="CT69" s="1">
        <v>0.44754457673259773</v>
      </c>
      <c r="CU69" s="1">
        <v>0.2749942837327114</v>
      </c>
      <c r="CV69" s="1">
        <v>0.40235068593590112</v>
      </c>
      <c r="CW69" s="1">
        <v>0.43911959821092145</v>
      </c>
      <c r="CX69" s="1">
        <v>0.29605001390013835</v>
      </c>
      <c r="CY69" s="1">
        <v>9.6954151413750106E-2</v>
      </c>
      <c r="CZ69" s="1">
        <v>0.46412835614283676</v>
      </c>
      <c r="DA69" s="1">
        <v>0.40405725088017008</v>
      </c>
      <c r="DB69" s="1">
        <v>0.35062652757845414</v>
      </c>
      <c r="DC69" s="1">
        <v>0.38094759992008287</v>
      </c>
      <c r="DD69" s="1">
        <v>0.16312633415521416</v>
      </c>
      <c r="DE69" s="1">
        <v>0.56274587333287585</v>
      </c>
      <c r="DF69" s="1">
        <v>0.29834960648641812</v>
      </c>
      <c r="DG69" s="1">
        <v>0.31055275773457336</v>
      </c>
      <c r="DH69" s="1">
        <v>0.40484273431640971</v>
      </c>
      <c r="DI69" s="1">
        <v>0.46495431893238243</v>
      </c>
      <c r="DJ69" s="1">
        <v>0.53972595226310771</v>
      </c>
      <c r="DK69" s="1">
        <v>0.40828111687895513</v>
      </c>
      <c r="DL69" s="1">
        <v>0.51757090281401819</v>
      </c>
      <c r="DM69" s="1">
        <v>0.53253882184107115</v>
      </c>
      <c r="DN69" s="1">
        <v>0.56508794498234838</v>
      </c>
      <c r="DO69" s="1">
        <v>0.39780511490878817</v>
      </c>
      <c r="DP69" s="1">
        <v>0.49303287265216644</v>
      </c>
      <c r="DQ69" s="1">
        <v>0.49978901751934607</v>
      </c>
      <c r="DR69" s="1">
        <v>0.48412265563633011</v>
      </c>
      <c r="DS69" s="1">
        <v>0.36934617408704268</v>
      </c>
      <c r="DT69" s="1">
        <v>0.46646815034882994</v>
      </c>
      <c r="DU69" s="1">
        <v>0.43593911257714241</v>
      </c>
      <c r="DV69" s="1">
        <v>0.52837459402515796</v>
      </c>
      <c r="DW69" s="1">
        <v>0.2986558898474605</v>
      </c>
      <c r="DX69" s="1">
        <v>0.28070589742379987</v>
      </c>
      <c r="DY69" s="1">
        <v>0.48670518613364311</v>
      </c>
    </row>
    <row r="70" spans="1:129" ht="15">
      <c r="A70" s="7" t="s">
        <v>81</v>
      </c>
      <c r="B70" s="3" t="str">
        <v/>
      </c>
      <c r="C70" s="3" t="str">
        <v/>
      </c>
      <c r="D70" s="3" t="str">
        <v/>
      </c>
      <c r="E70" s="3" t="str">
        <v/>
      </c>
      <c r="F70" s="3" t="str">
        <v/>
      </c>
      <c r="G70" s="3" t="str">
        <v/>
      </c>
      <c r="H70" s="3" t="str">
        <v/>
      </c>
      <c r="I70" s="3" t="str">
        <v/>
      </c>
      <c r="J70" s="3" t="str">
        <v/>
      </c>
      <c r="K70" s="3" t="str">
        <v/>
      </c>
      <c r="L70" s="3" t="str">
        <v/>
      </c>
      <c r="M70" s="3" t="str">
        <v/>
      </c>
      <c r="N70" s="3" t="str">
        <v/>
      </c>
      <c r="O70" s="3" t="str">
        <v/>
      </c>
      <c r="P70" s="3" t="str">
        <v/>
      </c>
      <c r="Q70" s="3" t="str">
        <v/>
      </c>
      <c r="R70" s="3" t="str">
        <v/>
      </c>
      <c r="S70" s="3" t="str">
        <v/>
      </c>
      <c r="T70" s="3" t="str">
        <v/>
      </c>
      <c r="U70" s="3" t="str">
        <v/>
      </c>
      <c r="V70" s="3" t="str">
        <v/>
      </c>
      <c r="W70" s="3" t="str">
        <v/>
      </c>
      <c r="X70" s="3" t="str">
        <v/>
      </c>
      <c r="Y70" s="3" t="str">
        <v/>
      </c>
      <c r="Z70" s="3" t="str">
        <v/>
      </c>
      <c r="AA70" s="3" t="str">
        <v/>
      </c>
      <c r="AB70" s="3" t="str">
        <v/>
      </c>
      <c r="AC70" s="3" t="str">
        <v/>
      </c>
      <c r="AD70" s="3" t="str">
        <v/>
      </c>
      <c r="AE70" s="3" t="str">
        <v/>
      </c>
      <c r="AF70" s="3" t="str">
        <v/>
      </c>
      <c r="AG70" s="3" t="str">
        <v/>
      </c>
      <c r="AH70" s="3" t="str">
        <v/>
      </c>
      <c r="AI70" s="3" t="str">
        <v/>
      </c>
      <c r="AJ70" s="3" t="str">
        <v/>
      </c>
      <c r="AK70" s="3" t="str">
        <v/>
      </c>
      <c r="AL70" s="3" t="str">
        <v/>
      </c>
      <c r="AM70" s="3" t="str">
        <v/>
      </c>
      <c r="AN70" s="3" t="str">
        <v/>
      </c>
      <c r="AO70" s="3" t="str">
        <v/>
      </c>
      <c r="AP70" s="3" t="str">
        <v/>
      </c>
      <c r="AQ70" s="3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  <c r="BJ70" s="1" t="str">
        <v/>
      </c>
      <c r="BK70" s="1" t="str">
        <v/>
      </c>
      <c r="BL70" s="1" t="str">
        <v/>
      </c>
      <c r="BM70" s="1" t="str">
        <v/>
      </c>
      <c r="BN70" s="1" t="str">
        <v/>
      </c>
      <c r="BO70" s="1" t="str">
        <v/>
      </c>
      <c r="BP70" s="1">
        <v>1.0000000000000002</v>
      </c>
      <c r="BQ70" s="1">
        <v>0.29166150230032239</v>
      </c>
      <c r="BR70" s="1">
        <v>0.47908600595705225</v>
      </c>
      <c r="BS70" s="1">
        <v>0.47939406955607228</v>
      </c>
      <c r="BT70" s="1">
        <v>0.42088011761950561</v>
      </c>
      <c r="BU70" s="1">
        <v>0.38233639998328822</v>
      </c>
      <c r="BV70" s="1">
        <v>0.28807272138709067</v>
      </c>
      <c r="BW70" s="1">
        <v>0.19344214083500574</v>
      </c>
      <c r="BX70" s="1">
        <v>0.20304265834558327</v>
      </c>
      <c r="BY70" s="1">
        <v>0.28921928832157712</v>
      </c>
      <c r="BZ70" s="1">
        <v>0.20266235022535473</v>
      </c>
      <c r="CA70" s="1">
        <v>0.31173431188673667</v>
      </c>
      <c r="CB70" s="1">
        <v>0.3243828035599981</v>
      </c>
      <c r="CC70" s="1">
        <v>0.38857608682899064</v>
      </c>
      <c r="CD70" s="1">
        <v>0.18943135009519194</v>
      </c>
      <c r="CE70" s="1">
        <v>0.44237704152562063</v>
      </c>
      <c r="CF70" s="1">
        <v>0.51810906107336741</v>
      </c>
      <c r="CG70" s="1">
        <v>0.5103329520269444</v>
      </c>
      <c r="CH70" s="1">
        <v>0.38118510425556729</v>
      </c>
      <c r="CI70" s="1">
        <v>0.65063278308310502</v>
      </c>
      <c r="CJ70" s="1">
        <v>0.3629827864725953</v>
      </c>
      <c r="CK70" s="1">
        <v>0.34733724368161889</v>
      </c>
      <c r="CL70" s="1">
        <v>0.36661769209539258</v>
      </c>
      <c r="CM70" s="1">
        <v>-4.9179850395135907E-2</v>
      </c>
      <c r="CN70" s="1">
        <v>0.3128872411355651</v>
      </c>
      <c r="CO70" s="1">
        <v>9.0040235895308685E-2</v>
      </c>
      <c r="CP70" s="1">
        <v>-5.4527792902400778E-2</v>
      </c>
      <c r="CQ70" s="1">
        <v>-1.2017586222717964E-2</v>
      </c>
      <c r="CR70" s="1">
        <v>0.23070108970723274</v>
      </c>
      <c r="CS70" s="1">
        <v>0.41551223076284444</v>
      </c>
      <c r="CT70" s="1">
        <v>0.30087154258435594</v>
      </c>
      <c r="CU70" s="1">
        <v>0.47844185842917825</v>
      </c>
      <c r="CV70" s="1">
        <v>0.53744684826168887</v>
      </c>
      <c r="CW70" s="1">
        <v>0.58418213104745653</v>
      </c>
      <c r="CX70" s="1">
        <v>0.34360440547001686</v>
      </c>
      <c r="CY70" s="1">
        <v>0.24447015165362379</v>
      </c>
      <c r="CZ70" s="1">
        <v>0.25759349562981881</v>
      </c>
      <c r="DA70" s="1">
        <v>0.29452975989765162</v>
      </c>
      <c r="DB70" s="1">
        <v>0.30651931523732062</v>
      </c>
      <c r="DC70" s="1">
        <v>0.46010179929017681</v>
      </c>
      <c r="DD70" s="1">
        <v>1.7301314621085698E-2</v>
      </c>
      <c r="DE70" s="1">
        <v>0.54506772018568539</v>
      </c>
      <c r="DF70" s="1">
        <v>0.32013849942372985</v>
      </c>
      <c r="DG70" s="1">
        <v>0.20667526289314841</v>
      </c>
      <c r="DH70" s="1">
        <v>0.45797413260769965</v>
      </c>
      <c r="DI70" s="1">
        <v>0.35953904548138965</v>
      </c>
      <c r="DJ70" s="1">
        <v>0.40724988887682428</v>
      </c>
      <c r="DK70" s="1">
        <v>0.24813861018119202</v>
      </c>
      <c r="DL70" s="1">
        <v>0.32409680764276283</v>
      </c>
      <c r="DM70" s="1">
        <v>0.36898089023039826</v>
      </c>
      <c r="DN70" s="1">
        <v>0.40035217930834816</v>
      </c>
      <c r="DO70" s="1">
        <v>0.2488636943795576</v>
      </c>
      <c r="DP70" s="1">
        <v>0.40673193835792737</v>
      </c>
      <c r="DQ70" s="1">
        <v>0.31050225333271803</v>
      </c>
      <c r="DR70" s="1">
        <v>0.44800436471869443</v>
      </c>
      <c r="DS70" s="1">
        <v>0.41845318423217681</v>
      </c>
      <c r="DT70" s="1">
        <v>0.31716695676022888</v>
      </c>
      <c r="DU70" s="1">
        <v>0.44613220635659906</v>
      </c>
      <c r="DV70" s="1">
        <v>0.27673292603698846</v>
      </c>
      <c r="DW70" s="1">
        <v>0.12367431844446657</v>
      </c>
      <c r="DX70" s="1">
        <v>0.4250261854584364</v>
      </c>
      <c r="DY70" s="1">
        <v>0.54519548767773962</v>
      </c>
    </row>
    <row r="71" spans="1:129" ht="15">
      <c r="A71" s="7" t="s">
        <v>82</v>
      </c>
      <c r="B71" s="3" t="str">
        <v/>
      </c>
      <c r="C71" s="3" t="str">
        <v/>
      </c>
      <c r="D71" s="3" t="str">
        <v/>
      </c>
      <c r="E71" s="3" t="str">
        <v/>
      </c>
      <c r="F71" s="3" t="str">
        <v/>
      </c>
      <c r="G71" s="3" t="str">
        <v/>
      </c>
      <c r="H71" s="3" t="str">
        <v/>
      </c>
      <c r="I71" s="3" t="str">
        <v/>
      </c>
      <c r="J71" s="3" t="str">
        <v/>
      </c>
      <c r="K71" s="3" t="str">
        <v/>
      </c>
      <c r="L71" s="3" t="str">
        <v/>
      </c>
      <c r="M71" s="3" t="str">
        <v/>
      </c>
      <c r="N71" s="3" t="str">
        <v/>
      </c>
      <c r="O71" s="3" t="str">
        <v/>
      </c>
      <c r="P71" s="3" t="str">
        <v/>
      </c>
      <c r="Q71" s="3" t="str">
        <v/>
      </c>
      <c r="R71" s="3" t="str">
        <v/>
      </c>
      <c r="S71" s="3" t="str">
        <v/>
      </c>
      <c r="T71" s="3" t="str">
        <v/>
      </c>
      <c r="U71" s="3" t="str">
        <v/>
      </c>
      <c r="V71" s="3" t="str">
        <v/>
      </c>
      <c r="W71" s="3" t="str">
        <v/>
      </c>
      <c r="X71" s="3" t="str">
        <v/>
      </c>
      <c r="Y71" s="3" t="str">
        <v/>
      </c>
      <c r="Z71" s="3" t="str">
        <v/>
      </c>
      <c r="AA71" s="3" t="str">
        <v/>
      </c>
      <c r="AB71" s="3" t="str">
        <v/>
      </c>
      <c r="AC71" s="3" t="str">
        <v/>
      </c>
      <c r="AD71" s="3" t="str">
        <v/>
      </c>
      <c r="AE71" s="3" t="str">
        <v/>
      </c>
      <c r="AF71" s="3" t="str">
        <v/>
      </c>
      <c r="AG71" s="3" t="str">
        <v/>
      </c>
      <c r="AH71" s="3" t="str">
        <v/>
      </c>
      <c r="AI71" s="3" t="str">
        <v/>
      </c>
      <c r="AJ71" s="3" t="str">
        <v/>
      </c>
      <c r="AK71" s="3" t="str">
        <v/>
      </c>
      <c r="AL71" s="3" t="str">
        <v/>
      </c>
      <c r="AM71" s="3" t="str">
        <v/>
      </c>
      <c r="AN71" s="3" t="str">
        <v/>
      </c>
      <c r="AO71" s="3" t="str">
        <v/>
      </c>
      <c r="AP71" s="3" t="str">
        <v/>
      </c>
      <c r="AQ71" s="3" t="str">
        <v/>
      </c>
      <c r="AR71" s="3" t="str">
        <v/>
      </c>
      <c r="AS71" s="3" t="str">
        <v/>
      </c>
      <c r="AT71" s="3" t="str">
        <v/>
      </c>
      <c r="AU71" s="3" t="str">
        <v/>
      </c>
      <c r="AV71" s="3" t="str">
        <v/>
      </c>
      <c r="AW71" s="3" t="str">
        <v/>
      </c>
      <c r="AX71" s="3" t="str">
        <v/>
      </c>
      <c r="AY71" s="3" t="str">
        <v/>
      </c>
      <c r="AZ71" s="3" t="str">
        <v/>
      </c>
      <c r="BA71" s="3" t="str">
        <v/>
      </c>
      <c r="BB71" s="3" t="str">
        <v/>
      </c>
      <c r="BC71" s="3" t="str">
        <v/>
      </c>
      <c r="BD71" s="3" t="str">
        <v/>
      </c>
      <c r="BE71" s="3" t="str">
        <v/>
      </c>
      <c r="BF71" s="3" t="str">
        <v/>
      </c>
      <c r="BG71" s="3" t="str">
        <v/>
      </c>
      <c r="BH71" s="3" t="str">
        <v/>
      </c>
      <c r="BI71" s="3" t="str">
        <v/>
      </c>
      <c r="BJ71" s="3" t="str">
        <v/>
      </c>
      <c r="BK71" s="3" t="str">
        <v/>
      </c>
      <c r="BL71" s="3" t="str">
        <v/>
      </c>
      <c r="BM71" s="3" t="str">
        <v/>
      </c>
      <c r="BN71" s="3" t="str">
        <v/>
      </c>
      <c r="BO71" s="3" t="str">
        <v/>
      </c>
      <c r="BP71" s="1" t="str">
        <v/>
      </c>
      <c r="BQ71" s="1">
        <v>1.0000000000000002</v>
      </c>
      <c r="BR71" s="1">
        <v>0.30229747312146027</v>
      </c>
      <c r="BS71" s="1">
        <v>0.3621141572456284</v>
      </c>
      <c r="BT71" s="1">
        <v>0.21608623900972893</v>
      </c>
      <c r="BU71" s="1">
        <v>0.40702952060837894</v>
      </c>
      <c r="BV71" s="1">
        <v>2.8450279807599149E-2</v>
      </c>
      <c r="BW71" s="1">
        <v>0.17530601664066475</v>
      </c>
      <c r="BX71" s="1">
        <v>0.12010542738213975</v>
      </c>
      <c r="BY71" s="1">
        <v>-2.7808952889140366E-3</v>
      </c>
      <c r="BZ71" s="1">
        <v>0.15647339155307091</v>
      </c>
      <c r="CA71" s="1">
        <v>0.37141783158786806</v>
      </c>
      <c r="CB71" s="1">
        <v>0.25775703694225632</v>
      </c>
      <c r="CC71" s="1">
        <v>0.14758311666879217</v>
      </c>
      <c r="CD71" s="1">
        <v>0.22901373236017933</v>
      </c>
      <c r="CE71" s="1">
        <v>9.3755103994477534E-2</v>
      </c>
      <c r="CF71" s="1">
        <v>0.31496576984767866</v>
      </c>
      <c r="CG71" s="1">
        <v>0.34091926221552343</v>
      </c>
      <c r="CH71" s="1">
        <v>0.41360932593972416</v>
      </c>
      <c r="CI71" s="1">
        <v>0.34263475869362486</v>
      </c>
      <c r="CJ71" s="1">
        <v>0.31264506647063922</v>
      </c>
      <c r="CK71" s="1">
        <v>-0.15135715543523529</v>
      </c>
      <c r="CL71" s="1">
        <v>0.24801854984399468</v>
      </c>
      <c r="CM71" s="1">
        <v>-2.0230305257897509E-2</v>
      </c>
      <c r="CN71" s="1">
        <v>-3.2632490815352966E-2</v>
      </c>
      <c r="CO71" s="1">
        <v>0.19986180783668944</v>
      </c>
      <c r="CP71" s="1">
        <v>0.16486174506661311</v>
      </c>
      <c r="CQ71" s="1">
        <v>-0.1273148658277905</v>
      </c>
      <c r="CR71" s="1">
        <v>0.20549353343102442</v>
      </c>
      <c r="CS71" s="1">
        <v>0.2626332157565483</v>
      </c>
      <c r="CT71" s="1">
        <v>0.23361121692393791</v>
      </c>
      <c r="CU71" s="1">
        <v>0.22185068834821042</v>
      </c>
      <c r="CV71" s="1">
        <v>0.24953100236407649</v>
      </c>
      <c r="CW71" s="1">
        <v>0.29817793911353463</v>
      </c>
      <c r="CX71" s="1">
        <v>2.8381431171561739E-2</v>
      </c>
      <c r="CY71" s="1">
        <v>-2.2670078137680136E-3</v>
      </c>
      <c r="CZ71" s="1">
        <v>0.19157647591977217</v>
      </c>
      <c r="DA71" s="1">
        <v>8.5793641955087638E-2</v>
      </c>
      <c r="DB71" s="1">
        <v>7.8525030436252835E-2</v>
      </c>
      <c r="DC71" s="1">
        <v>-3.7551711729797266E-2</v>
      </c>
      <c r="DD71" s="1">
        <v>-5.5710066380829391E-2</v>
      </c>
      <c r="DE71" s="1">
        <v>0.1699730126677394</v>
      </c>
      <c r="DF71" s="1">
        <v>-3.6155694310509356E-2</v>
      </c>
      <c r="DG71" s="1">
        <v>0.10812181160668037</v>
      </c>
      <c r="DH71" s="1">
        <v>9.8660780165778353E-2</v>
      </c>
      <c r="DI71" s="1">
        <v>-5.0640392165380412E-3</v>
      </c>
      <c r="DJ71" s="1">
        <v>3.3537843421969693E-2</v>
      </c>
      <c r="DK71" s="1">
        <v>-4.9043325433758583E-2</v>
      </c>
      <c r="DL71" s="1">
        <v>9.1437363073140196E-2</v>
      </c>
      <c r="DM71" s="1">
        <v>5.4095105572638316E-2</v>
      </c>
      <c r="DN71" s="1">
        <v>6.4855553331673352E-2</v>
      </c>
      <c r="DO71" s="1">
        <v>2.2859783485140943E-2</v>
      </c>
      <c r="DP71" s="1">
        <v>4.159848989620988E-2</v>
      </c>
      <c r="DQ71" s="1">
        <v>0.1223337435229717</v>
      </c>
      <c r="DR71" s="1">
        <v>7.9524941215602829E-2</v>
      </c>
      <c r="DS71" s="1">
        <v>1.737786354021402E-2</v>
      </c>
      <c r="DT71" s="1">
        <v>7.8978681577195314E-2</v>
      </c>
      <c r="DU71" s="1">
        <v>6.649948222665443E-2</v>
      </c>
      <c r="DV71" s="1">
        <v>0.16343478265963982</v>
      </c>
      <c r="DW71" s="1">
        <v>0.16303988777535519</v>
      </c>
      <c r="DX71" s="1">
        <v>0.28033453461341001</v>
      </c>
      <c r="DY71" s="1">
        <v>0.15873656349231416</v>
      </c>
    </row>
    <row r="72" spans="1:129" ht="15">
      <c r="A72" s="7" t="s">
        <v>83</v>
      </c>
      <c r="B72" s="3" t="str">
        <v/>
      </c>
      <c r="C72" s="3" t="str">
        <v/>
      </c>
      <c r="D72" s="3" t="str">
        <v/>
      </c>
      <c r="E72" s="3" t="str">
        <v/>
      </c>
      <c r="F72" s="3" t="str">
        <v/>
      </c>
      <c r="G72" s="3" t="str">
        <v/>
      </c>
      <c r="H72" s="3" t="str">
        <v/>
      </c>
      <c r="I72" s="3" t="str">
        <v/>
      </c>
      <c r="J72" s="3" t="str">
        <v/>
      </c>
      <c r="K72" s="3" t="str">
        <v/>
      </c>
      <c r="L72" s="3" t="str">
        <v/>
      </c>
      <c r="M72" s="3" t="str">
        <v/>
      </c>
      <c r="N72" s="3" t="str">
        <v/>
      </c>
      <c r="O72" s="3" t="str">
        <v/>
      </c>
      <c r="P72" s="3" t="str">
        <v/>
      </c>
      <c r="Q72" s="3" t="str">
        <v/>
      </c>
      <c r="R72" s="3" t="str">
        <v/>
      </c>
      <c r="S72" s="3" t="str">
        <v/>
      </c>
      <c r="T72" s="3" t="str">
        <v/>
      </c>
      <c r="U72" s="3" t="str">
        <v/>
      </c>
      <c r="V72" s="3" t="str">
        <v/>
      </c>
      <c r="W72" s="3" t="str">
        <v/>
      </c>
      <c r="X72" s="3" t="str">
        <v/>
      </c>
      <c r="Y72" s="3" t="str">
        <v/>
      </c>
      <c r="Z72" s="3" t="str">
        <v/>
      </c>
      <c r="AA72" s="3" t="str">
        <v/>
      </c>
      <c r="AB72" s="3" t="str">
        <v/>
      </c>
      <c r="AC72" s="3" t="str">
        <v/>
      </c>
      <c r="AD72" s="3" t="str">
        <v/>
      </c>
      <c r="AE72" s="3" t="str">
        <v/>
      </c>
      <c r="AF72" s="3" t="str">
        <v/>
      </c>
      <c r="AG72" s="3" t="str">
        <v/>
      </c>
      <c r="AH72" s="3" t="str">
        <v/>
      </c>
      <c r="AI72" s="3" t="str">
        <v/>
      </c>
      <c r="AJ72" s="3" t="str">
        <v/>
      </c>
      <c r="AK72" s="3" t="str">
        <v/>
      </c>
      <c r="AL72" s="3" t="str">
        <v/>
      </c>
      <c r="AM72" s="3" t="str">
        <v/>
      </c>
      <c r="AN72" s="3" t="str">
        <v/>
      </c>
      <c r="AO72" s="3" t="str">
        <v/>
      </c>
      <c r="AP72" s="3" t="str">
        <v/>
      </c>
      <c r="AQ72" s="3" t="str">
        <v/>
      </c>
      <c r="AR72" s="3" t="str">
        <v/>
      </c>
      <c r="AS72" s="3" t="str">
        <v/>
      </c>
      <c r="AT72" s="3" t="str">
        <v/>
      </c>
      <c r="AU72" s="3" t="str">
        <v/>
      </c>
      <c r="AV72" s="3" t="str">
        <v/>
      </c>
      <c r="AW72" s="3" t="str">
        <v/>
      </c>
      <c r="AX72" s="3" t="str">
        <v/>
      </c>
      <c r="AY72" s="3" t="str">
        <v/>
      </c>
      <c r="AZ72" s="3" t="str">
        <v/>
      </c>
      <c r="BA72" s="3" t="str">
        <v/>
      </c>
      <c r="BB72" s="3" t="str">
        <v/>
      </c>
      <c r="BC72" s="3" t="str">
        <v/>
      </c>
      <c r="BD72" s="3" t="str">
        <v/>
      </c>
      <c r="BE72" s="3" t="str">
        <v/>
      </c>
      <c r="BF72" s="3" t="str">
        <v/>
      </c>
      <c r="BG72" s="3" t="str">
        <v/>
      </c>
      <c r="BH72" s="3" t="str">
        <v/>
      </c>
      <c r="BI72" s="3" t="str">
        <v/>
      </c>
      <c r="BJ72" s="3" t="str">
        <v/>
      </c>
      <c r="BK72" s="3" t="str">
        <v/>
      </c>
      <c r="BL72" s="3" t="str">
        <v/>
      </c>
      <c r="BM72" s="3" t="str">
        <v/>
      </c>
      <c r="BN72" s="3" t="str">
        <v/>
      </c>
      <c r="BO72" s="3" t="str">
        <v/>
      </c>
      <c r="BP72" s="1" t="str">
        <v/>
      </c>
      <c r="BQ72" s="1" t="str">
        <v/>
      </c>
      <c r="BR72" s="1">
        <v>1</v>
      </c>
      <c r="BS72" s="1">
        <v>0.4299341608545994</v>
      </c>
      <c r="BT72" s="1">
        <v>0.52351459350517182</v>
      </c>
      <c r="BU72" s="1">
        <v>0.41197161876917882</v>
      </c>
      <c r="BV72" s="1">
        <v>0.10485953151019087</v>
      </c>
      <c r="BW72" s="1">
        <v>0.30897945402967003</v>
      </c>
      <c r="BX72" s="1">
        <v>0.36850906709997477</v>
      </c>
      <c r="BY72" s="1">
        <v>0.22505693989623188</v>
      </c>
      <c r="BZ72" s="1">
        <v>0.26481657554558202</v>
      </c>
      <c r="CA72" s="1">
        <v>0.43971586600963936</v>
      </c>
      <c r="CB72" s="1">
        <v>0.44824315860129138</v>
      </c>
      <c r="CC72" s="1">
        <v>0.32670773060354807</v>
      </c>
      <c r="CD72" s="1">
        <v>0.30512363280023119</v>
      </c>
      <c r="CE72" s="1">
        <v>0.37754988759504388</v>
      </c>
      <c r="CF72" s="1">
        <v>0.50219998059005266</v>
      </c>
      <c r="CG72" s="1">
        <v>0.4876819931517461</v>
      </c>
      <c r="CH72" s="1">
        <v>0.32499983601035243</v>
      </c>
      <c r="CI72" s="1">
        <v>0.59612994398213792</v>
      </c>
      <c r="CJ72" s="1">
        <v>0.37414776026401242</v>
      </c>
      <c r="CK72" s="1">
        <v>9.0481110216609845E-2</v>
      </c>
      <c r="CL72" s="1">
        <v>0.42522930295010664</v>
      </c>
      <c r="CM72" s="1">
        <v>-3.6565992728092418E-2</v>
      </c>
      <c r="CN72" s="1">
        <v>0.15879562868886155</v>
      </c>
      <c r="CO72" s="1">
        <v>0.29603061693754301</v>
      </c>
      <c r="CP72" s="1">
        <v>0.23688357830224671</v>
      </c>
      <c r="CQ72" s="1">
        <v>2.8727749298320338E-2</v>
      </c>
      <c r="CR72" s="1">
        <v>0.15042202213703426</v>
      </c>
      <c r="CS72" s="1">
        <v>0.3703794822190461</v>
      </c>
      <c r="CT72" s="1">
        <v>0.35211801129421427</v>
      </c>
      <c r="CU72" s="1">
        <v>0.29555484623959299</v>
      </c>
      <c r="CV72" s="1">
        <v>0.35304951346290592</v>
      </c>
      <c r="CW72" s="1">
        <v>0.43103617978393111</v>
      </c>
      <c r="CX72" s="1">
        <v>0.25353317504012801</v>
      </c>
      <c r="CY72" s="1">
        <v>0.23422523744902912</v>
      </c>
      <c r="CZ72" s="1">
        <v>0.49556612483867557</v>
      </c>
      <c r="DA72" s="1">
        <v>0.19246537791768464</v>
      </c>
      <c r="DB72" s="1">
        <v>0.37367970476569051</v>
      </c>
      <c r="DC72" s="1">
        <v>0.23944400984791739</v>
      </c>
      <c r="DD72" s="1">
        <v>2.3582722109284707E-2</v>
      </c>
      <c r="DE72" s="1">
        <v>0.29060646715043936</v>
      </c>
      <c r="DF72" s="1">
        <v>0.21609487624325752</v>
      </c>
      <c r="DG72" s="1">
        <v>0.21772576749667688</v>
      </c>
      <c r="DH72" s="1">
        <v>0.35284588604836808</v>
      </c>
      <c r="DI72" s="1">
        <v>0.36670667223152181</v>
      </c>
      <c r="DJ72" s="1">
        <v>0.41582169441956329</v>
      </c>
      <c r="DK72" s="1">
        <v>0.39321649543086928</v>
      </c>
      <c r="DL72" s="1">
        <v>0.45055263418501906</v>
      </c>
      <c r="DM72" s="1">
        <v>0.43414485669489472</v>
      </c>
      <c r="DN72" s="1">
        <v>0.25727829983880618</v>
      </c>
      <c r="DO72" s="1">
        <v>0.30564148455953649</v>
      </c>
      <c r="DP72" s="1">
        <v>0.45006955566338774</v>
      </c>
      <c r="DQ72" s="1">
        <v>0.4209671322772644</v>
      </c>
      <c r="DR72" s="1">
        <v>0.45337004862813723</v>
      </c>
      <c r="DS72" s="1">
        <v>0.4386869254050913</v>
      </c>
      <c r="DT72" s="1">
        <v>0.29138012899930105</v>
      </c>
      <c r="DU72" s="1">
        <v>0.39011537089603804</v>
      </c>
      <c r="DV72" s="1">
        <v>0.40061264988307116</v>
      </c>
      <c r="DW72" s="1">
        <v>0.25774759438863942</v>
      </c>
      <c r="DX72" s="1">
        <v>0.35422755771704739</v>
      </c>
      <c r="DY72" s="1">
        <v>0.38905292213646375</v>
      </c>
    </row>
    <row r="73" spans="1:129" ht="15">
      <c r="A73" s="7" t="s">
        <v>84</v>
      </c>
      <c r="B73" s="3" t="str">
        <v/>
      </c>
      <c r="C73" s="3" t="str">
        <v/>
      </c>
      <c r="D73" s="3" t="str">
        <v/>
      </c>
      <c r="E73" s="3" t="str">
        <v/>
      </c>
      <c r="F73" s="3" t="str">
        <v/>
      </c>
      <c r="G73" s="3" t="str">
        <v/>
      </c>
      <c r="H73" s="3" t="str">
        <v/>
      </c>
      <c r="I73" s="3" t="str">
        <v/>
      </c>
      <c r="J73" s="3" t="str">
        <v/>
      </c>
      <c r="K73" s="3" t="str">
        <v/>
      </c>
      <c r="L73" s="3" t="str">
        <v/>
      </c>
      <c r="M73" s="3" t="str">
        <v/>
      </c>
      <c r="N73" s="3" t="str">
        <v/>
      </c>
      <c r="O73" s="3" t="str">
        <v/>
      </c>
      <c r="P73" s="3" t="str">
        <v/>
      </c>
      <c r="Q73" s="3" t="str">
        <v/>
      </c>
      <c r="R73" s="3" t="str">
        <v/>
      </c>
      <c r="S73" s="3" t="str">
        <v/>
      </c>
      <c r="T73" s="3" t="str">
        <v/>
      </c>
      <c r="U73" s="3" t="str">
        <v/>
      </c>
      <c r="V73" s="3" t="str">
        <v/>
      </c>
      <c r="W73" s="3" t="str">
        <v/>
      </c>
      <c r="X73" s="3" t="str">
        <v/>
      </c>
      <c r="Y73" s="3" t="str">
        <v/>
      </c>
      <c r="Z73" s="3" t="str">
        <v/>
      </c>
      <c r="AA73" s="3" t="str">
        <v/>
      </c>
      <c r="AB73" s="3" t="str">
        <v/>
      </c>
      <c r="AC73" s="3" t="str">
        <v/>
      </c>
      <c r="AD73" s="3" t="str">
        <v/>
      </c>
      <c r="AE73" s="3" t="str">
        <v/>
      </c>
      <c r="AF73" s="3" t="str">
        <v/>
      </c>
      <c r="AG73" s="3" t="str">
        <v/>
      </c>
      <c r="AH73" s="3" t="str">
        <v/>
      </c>
      <c r="AI73" s="3" t="str">
        <v/>
      </c>
      <c r="AJ73" s="3" t="str">
        <v/>
      </c>
      <c r="AK73" s="3" t="str">
        <v/>
      </c>
      <c r="AL73" s="3" t="str">
        <v/>
      </c>
      <c r="AM73" s="3" t="str">
        <v/>
      </c>
      <c r="AN73" s="3" t="str">
        <v/>
      </c>
      <c r="AO73" s="3" t="str">
        <v/>
      </c>
      <c r="AP73" s="3" t="str">
        <v/>
      </c>
      <c r="AQ73" s="3" t="str">
        <v/>
      </c>
      <c r="AR73" s="3" t="str">
        <v/>
      </c>
      <c r="AS73" s="3" t="str">
        <v/>
      </c>
      <c r="AT73" s="3" t="str">
        <v/>
      </c>
      <c r="AU73" s="3" t="str">
        <v/>
      </c>
      <c r="AV73" s="3" t="str">
        <v/>
      </c>
      <c r="AW73" s="3" t="str">
        <v/>
      </c>
      <c r="AX73" s="3" t="str">
        <v/>
      </c>
      <c r="AY73" s="3" t="str">
        <v/>
      </c>
      <c r="AZ73" s="3" t="str">
        <v/>
      </c>
      <c r="BA73" s="3" t="str">
        <v/>
      </c>
      <c r="BB73" s="3" t="str">
        <v/>
      </c>
      <c r="BC73" s="3" t="str">
        <v/>
      </c>
      <c r="BD73" s="3" t="str">
        <v/>
      </c>
      <c r="BE73" s="3" t="str">
        <v/>
      </c>
      <c r="BF73" s="3" t="str">
        <v/>
      </c>
      <c r="BG73" s="3" t="str">
        <v/>
      </c>
      <c r="BH73" s="3" t="str">
        <v/>
      </c>
      <c r="BI73" s="3" t="str">
        <v/>
      </c>
      <c r="BJ73" s="3" t="str">
        <v/>
      </c>
      <c r="BK73" s="3" t="str">
        <v/>
      </c>
      <c r="BL73" s="3" t="str">
        <v/>
      </c>
      <c r="BM73" s="3" t="str">
        <v/>
      </c>
      <c r="BN73" s="3" t="str">
        <v/>
      </c>
      <c r="BO73" s="3" t="str">
        <v/>
      </c>
      <c r="BP73" s="1" t="str">
        <v/>
      </c>
      <c r="BQ73" s="1" t="str">
        <v/>
      </c>
      <c r="BR73" s="1" t="str">
        <v/>
      </c>
      <c r="BS73" s="1">
        <v>0.99999999999999989</v>
      </c>
      <c r="BT73" s="1">
        <v>0.69967175700414397</v>
      </c>
      <c r="BU73" s="1">
        <v>0.49732825999182989</v>
      </c>
      <c r="BV73" s="1">
        <v>0.14957140106901207</v>
      </c>
      <c r="BW73" s="1">
        <v>0.28721629773979901</v>
      </c>
      <c r="BX73" s="1">
        <v>0.22311420587405192</v>
      </c>
      <c r="BY73" s="1">
        <v>0.36363147346239028</v>
      </c>
      <c r="BZ73" s="1">
        <v>0.15733051680498558</v>
      </c>
      <c r="CA73" s="1">
        <v>0.55985050494791944</v>
      </c>
      <c r="CB73" s="1">
        <v>0.29397878242336967</v>
      </c>
      <c r="CC73" s="1">
        <v>0.37090708716952497</v>
      </c>
      <c r="CD73" s="1">
        <v>0.22386815431911558</v>
      </c>
      <c r="CE73" s="1">
        <v>0.43149821593772431</v>
      </c>
      <c r="CF73" s="1">
        <v>0.58233331254552456</v>
      </c>
      <c r="CG73" s="1">
        <v>0.61846781457330025</v>
      </c>
      <c r="CH73" s="1">
        <v>0.3696664402978001</v>
      </c>
      <c r="CI73" s="1">
        <v>0.66250956256700255</v>
      </c>
      <c r="CJ73" s="1">
        <v>0.30440560427063373</v>
      </c>
      <c r="CK73" s="1">
        <v>0.42462165368791943</v>
      </c>
      <c r="CL73" s="1">
        <v>0.6224429094198326</v>
      </c>
      <c r="CM73" s="1">
        <v>-0.22403027145649673</v>
      </c>
      <c r="CN73" s="1">
        <v>0.30571314850125358</v>
      </c>
      <c r="CO73" s="1">
        <v>0.20832105749001167</v>
      </c>
      <c r="CP73" s="1">
        <v>0.11469194065502344</v>
      </c>
      <c r="CQ73" s="1">
        <v>-0.23519782252698621</v>
      </c>
      <c r="CR73" s="1">
        <v>0.25516063268471151</v>
      </c>
      <c r="CS73" s="1">
        <v>0.30888453148236927</v>
      </c>
      <c r="CT73" s="1">
        <v>0.64943629019362681</v>
      </c>
      <c r="CU73" s="1">
        <v>0.38746203717615973</v>
      </c>
      <c r="CV73" s="1">
        <v>0.29482831785908198</v>
      </c>
      <c r="CW73" s="1">
        <v>0.39421117517521848</v>
      </c>
      <c r="CX73" s="1">
        <v>0.25294755119994217</v>
      </c>
      <c r="CY73" s="1">
        <v>0.233854879547884</v>
      </c>
      <c r="CZ73" s="1">
        <v>0.25173251512305889</v>
      </c>
      <c r="DA73" s="1">
        <v>0.17935319778772968</v>
      </c>
      <c r="DB73" s="1">
        <v>0.43745391446574056</v>
      </c>
      <c r="DC73" s="1">
        <v>0.43964145489643286</v>
      </c>
      <c r="DD73" s="1">
        <v>-9.1621662842318943E-3</v>
      </c>
      <c r="DE73" s="1">
        <v>0.35882554295347124</v>
      </c>
      <c r="DF73" s="1">
        <v>0.17502569715686059</v>
      </c>
      <c r="DG73" s="1">
        <v>0.1174837325216771</v>
      </c>
      <c r="DH73" s="1">
        <v>0.50686407627216767</v>
      </c>
      <c r="DI73" s="1">
        <v>0.51869242832945017</v>
      </c>
      <c r="DJ73" s="1">
        <v>0.57964123645381516</v>
      </c>
      <c r="DK73" s="1">
        <v>0.57530407393085381</v>
      </c>
      <c r="DL73" s="1">
        <v>0.68694317158933516</v>
      </c>
      <c r="DM73" s="1">
        <v>0.66800658570360938</v>
      </c>
      <c r="DN73" s="1">
        <v>0.54360462687345279</v>
      </c>
      <c r="DO73" s="1">
        <v>0.47296077720807422</v>
      </c>
      <c r="DP73" s="1">
        <v>0.55144394950271358</v>
      </c>
      <c r="DQ73" s="1">
        <v>0.64322409690491911</v>
      </c>
      <c r="DR73" s="1">
        <v>0.67354789745886989</v>
      </c>
      <c r="DS73" s="1">
        <v>0.37834217967660577</v>
      </c>
      <c r="DT73" s="1">
        <v>0.57342472021875524</v>
      </c>
      <c r="DU73" s="1">
        <v>0.71448507041240361</v>
      </c>
      <c r="DV73" s="1">
        <v>0.5423760001905451</v>
      </c>
      <c r="DW73" s="1">
        <v>0.31217203797185739</v>
      </c>
      <c r="DX73" s="1">
        <v>0.47862724673108492</v>
      </c>
      <c r="DY73" s="1">
        <v>0.64985578262183052</v>
      </c>
    </row>
    <row r="74" spans="1:129" ht="15">
      <c r="A74" s="7" t="s">
        <v>85</v>
      </c>
      <c r="B74" s="3" t="str">
        <v/>
      </c>
      <c r="C74" s="3" t="str">
        <v/>
      </c>
      <c r="D74" s="3" t="str">
        <v/>
      </c>
      <c r="E74" s="3" t="str">
        <v/>
      </c>
      <c r="F74" s="3" t="str">
        <v/>
      </c>
      <c r="G74" s="3" t="str">
        <v/>
      </c>
      <c r="H74" s="3" t="str">
        <v/>
      </c>
      <c r="I74" s="3" t="str">
        <v/>
      </c>
      <c r="J74" s="3" t="str">
        <v/>
      </c>
      <c r="K74" s="3" t="str">
        <v/>
      </c>
      <c r="L74" s="3" t="str">
        <v/>
      </c>
      <c r="M74" s="3" t="str">
        <v/>
      </c>
      <c r="N74" s="3" t="str">
        <v/>
      </c>
      <c r="O74" s="3" t="str">
        <v/>
      </c>
      <c r="P74" s="3" t="str">
        <v/>
      </c>
      <c r="Q74" s="3" t="str">
        <v/>
      </c>
      <c r="R74" s="3" t="str">
        <v/>
      </c>
      <c r="S74" s="3" t="str">
        <v/>
      </c>
      <c r="T74" s="3" t="str">
        <v/>
      </c>
      <c r="U74" s="3" t="str">
        <v/>
      </c>
      <c r="V74" s="3" t="str">
        <v/>
      </c>
      <c r="W74" s="3" t="str">
        <v/>
      </c>
      <c r="X74" s="3" t="str">
        <v/>
      </c>
      <c r="Y74" s="3" t="str">
        <v/>
      </c>
      <c r="Z74" s="3" t="str">
        <v/>
      </c>
      <c r="AA74" s="3" t="str">
        <v/>
      </c>
      <c r="AB74" s="3" t="str">
        <v/>
      </c>
      <c r="AC74" s="3" t="str">
        <v/>
      </c>
      <c r="AD74" s="3" t="str">
        <v/>
      </c>
      <c r="AE74" s="3" t="str">
        <v/>
      </c>
      <c r="AF74" s="3" t="str">
        <v/>
      </c>
      <c r="AG74" s="3" t="str">
        <v/>
      </c>
      <c r="AH74" s="3" t="str">
        <v/>
      </c>
      <c r="AI74" s="3" t="str">
        <v/>
      </c>
      <c r="AJ74" s="3" t="str">
        <v/>
      </c>
      <c r="AK74" s="3" t="str">
        <v/>
      </c>
      <c r="AL74" s="3" t="str">
        <v/>
      </c>
      <c r="AM74" s="3" t="str">
        <v/>
      </c>
      <c r="AN74" s="3" t="str">
        <v/>
      </c>
      <c r="AO74" s="3" t="str">
        <v/>
      </c>
      <c r="AP74" s="3" t="str">
        <v/>
      </c>
      <c r="AQ74" s="3" t="str">
        <v/>
      </c>
      <c r="AR74" s="3" t="str">
        <v/>
      </c>
      <c r="AS74" s="3" t="str">
        <v/>
      </c>
      <c r="AT74" s="3" t="str">
        <v/>
      </c>
      <c r="AU74" s="3" t="str">
        <v/>
      </c>
      <c r="AV74" s="3" t="str">
        <v/>
      </c>
      <c r="AW74" s="3" t="str">
        <v/>
      </c>
      <c r="AX74" s="3" t="str">
        <v/>
      </c>
      <c r="AY74" s="3" t="str">
        <v/>
      </c>
      <c r="AZ74" s="3" t="str">
        <v/>
      </c>
      <c r="BA74" s="3" t="str">
        <v/>
      </c>
      <c r="BB74" s="3" t="str">
        <v/>
      </c>
      <c r="BC74" s="3" t="str">
        <v/>
      </c>
      <c r="BD74" s="3" t="str">
        <v/>
      </c>
      <c r="BE74" s="3" t="str">
        <v/>
      </c>
      <c r="BF74" s="3" t="str">
        <v/>
      </c>
      <c r="BG74" s="3" t="str">
        <v/>
      </c>
      <c r="BH74" s="3" t="str">
        <v/>
      </c>
      <c r="BI74" s="3" t="str">
        <v/>
      </c>
      <c r="BJ74" s="3" t="str">
        <v/>
      </c>
      <c r="BK74" s="3" t="str">
        <v/>
      </c>
      <c r="BL74" s="3" t="str">
        <v/>
      </c>
      <c r="BM74" s="3" t="str">
        <v/>
      </c>
      <c r="BN74" s="3" t="str">
        <v/>
      </c>
      <c r="BO74" s="3" t="str">
        <v/>
      </c>
      <c r="BP74" s="1" t="str">
        <v/>
      </c>
      <c r="BQ74" s="1" t="str">
        <v/>
      </c>
      <c r="BR74" s="1" t="str">
        <v/>
      </c>
      <c r="BS74" s="1" t="str">
        <v/>
      </c>
      <c r="BT74" s="1">
        <v>1</v>
      </c>
      <c r="BU74" s="1">
        <v>0.57860115306759197</v>
      </c>
      <c r="BV74" s="1">
        <v>7.8105462579364682E-2</v>
      </c>
      <c r="BW74" s="1">
        <v>0.38152553715103732</v>
      </c>
      <c r="BX74" s="1">
        <v>0.2912066537680098</v>
      </c>
      <c r="BY74" s="1">
        <v>0.47377029655143071</v>
      </c>
      <c r="BZ74" s="1">
        <v>0.17453594708681461</v>
      </c>
      <c r="CA74" s="1">
        <v>0.56304483564003038</v>
      </c>
      <c r="CB74" s="1">
        <v>0.35497449937501607</v>
      </c>
      <c r="CC74" s="1">
        <v>0.3759198892179087</v>
      </c>
      <c r="CD74" s="1">
        <v>0.1625438264272516</v>
      </c>
      <c r="CE74" s="1">
        <v>0.44227080378328615</v>
      </c>
      <c r="CF74" s="1">
        <v>0.60202794739971321</v>
      </c>
      <c r="CG74" s="1">
        <v>0.57248923764797255</v>
      </c>
      <c r="CH74" s="1">
        <v>0.30972899099678158</v>
      </c>
      <c r="CI74" s="1">
        <v>0.71024212305773859</v>
      </c>
      <c r="CJ74" s="1">
        <v>0.28790603634082973</v>
      </c>
      <c r="CK74" s="1">
        <v>0.26695644194906337</v>
      </c>
      <c r="CL74" s="1">
        <v>0.81650475603169403</v>
      </c>
      <c r="CM74" s="1">
        <v>-0.22239707743532908</v>
      </c>
      <c r="CN74" s="1">
        <v>0.25190463178614175</v>
      </c>
      <c r="CO74" s="1">
        <v>0.17351439472519653</v>
      </c>
      <c r="CP74" s="1">
        <v>7.4544727657959858E-2</v>
      </c>
      <c r="CQ74" s="1">
        <v>-0.22347300456382416</v>
      </c>
      <c r="CR74" s="1">
        <v>0.11188752429563616</v>
      </c>
      <c r="CS74" s="1">
        <v>0.27631590452086474</v>
      </c>
      <c r="CT74" s="1">
        <v>0.83425314256340632</v>
      </c>
      <c r="CU74" s="1">
        <v>0.48357637674027609</v>
      </c>
      <c r="CV74" s="1">
        <v>0.21612410374610269</v>
      </c>
      <c r="CW74" s="1">
        <v>0.41077309306143645</v>
      </c>
      <c r="CX74" s="1">
        <v>0.41883379710960295</v>
      </c>
      <c r="CY74" s="1">
        <v>0.39030155313735737</v>
      </c>
      <c r="CZ74" s="1">
        <v>0.44882849324182755</v>
      </c>
      <c r="DA74" s="1">
        <v>0.2234515322076788</v>
      </c>
      <c r="DB74" s="1">
        <v>0.47307537711668374</v>
      </c>
      <c r="DC74" s="1">
        <v>0.41493648812424472</v>
      </c>
      <c r="DD74" s="1">
        <v>0.31425574523743238</v>
      </c>
      <c r="DE74" s="1">
        <v>0.26659143796531587</v>
      </c>
      <c r="DF74" s="1">
        <v>0.26072059488175892</v>
      </c>
      <c r="DG74" s="1">
        <v>0.14383073832879278</v>
      </c>
      <c r="DH74" s="1">
        <v>0.523029582157443</v>
      </c>
      <c r="DI74" s="1">
        <v>0.68923799192404145</v>
      </c>
      <c r="DJ74" s="1">
        <v>0.67900589604782802</v>
      </c>
      <c r="DK74" s="1">
        <v>0.7820522562920329</v>
      </c>
      <c r="DL74" s="1">
        <v>0.74788381603229193</v>
      </c>
      <c r="DM74" s="1">
        <v>0.77877582954939895</v>
      </c>
      <c r="DN74" s="1">
        <v>0.66915015446007098</v>
      </c>
      <c r="DO74" s="1">
        <v>0.78141172116968138</v>
      </c>
      <c r="DP74" s="1">
        <v>0.77190791082213595</v>
      </c>
      <c r="DQ74" s="1">
        <v>0.79040541393188157</v>
      </c>
      <c r="DR74" s="1">
        <v>0.81799516343794632</v>
      </c>
      <c r="DS74" s="1">
        <v>0.5605604000815918</v>
      </c>
      <c r="DT74" s="1">
        <v>0.70154397654628353</v>
      </c>
      <c r="DU74" s="1">
        <v>0.80132553346306823</v>
      </c>
      <c r="DV74" s="1">
        <v>0.76895154588627657</v>
      </c>
      <c r="DW74" s="1">
        <v>0.27459994908108781</v>
      </c>
      <c r="DX74" s="1">
        <v>0.30590214338349109</v>
      </c>
      <c r="DY74" s="1">
        <v>0.71147518363777884</v>
      </c>
    </row>
    <row r="75" spans="1:129" ht="15">
      <c r="A75" s="7" t="s">
        <v>86</v>
      </c>
      <c r="B75" s="3" t="str">
        <v/>
      </c>
      <c r="C75" s="3" t="str">
        <v/>
      </c>
      <c r="D75" s="3" t="str">
        <v/>
      </c>
      <c r="E75" s="3" t="str">
        <v/>
      </c>
      <c r="F75" s="3" t="str">
        <v/>
      </c>
      <c r="G75" s="3" t="str">
        <v/>
      </c>
      <c r="H75" s="3" t="str">
        <v/>
      </c>
      <c r="I75" s="3" t="str">
        <v/>
      </c>
      <c r="J75" s="3" t="str">
        <v/>
      </c>
      <c r="K75" s="3" t="str">
        <v/>
      </c>
      <c r="L75" s="3" t="str">
        <v/>
      </c>
      <c r="M75" s="3" t="str">
        <v/>
      </c>
      <c r="N75" s="3" t="str">
        <v/>
      </c>
      <c r="O75" s="3" t="str">
        <v/>
      </c>
      <c r="P75" s="3" t="str">
        <v/>
      </c>
      <c r="Q75" s="3" t="str">
        <v/>
      </c>
      <c r="R75" s="3" t="str">
        <v/>
      </c>
      <c r="S75" s="3" t="str">
        <v/>
      </c>
      <c r="T75" s="3" t="str">
        <v/>
      </c>
      <c r="U75" s="3" t="str">
        <v/>
      </c>
      <c r="V75" s="3" t="str">
        <v/>
      </c>
      <c r="W75" s="3" t="str">
        <v/>
      </c>
      <c r="X75" s="3" t="str">
        <v/>
      </c>
      <c r="Y75" s="3" t="str">
        <v/>
      </c>
      <c r="Z75" s="3" t="str">
        <v/>
      </c>
      <c r="AA75" s="3" t="str">
        <v/>
      </c>
      <c r="AB75" s="3" t="str">
        <v/>
      </c>
      <c r="AC75" s="3" t="str">
        <v/>
      </c>
      <c r="AD75" s="3" t="str">
        <v/>
      </c>
      <c r="AE75" s="3" t="str">
        <v/>
      </c>
      <c r="AF75" s="3" t="str">
        <v/>
      </c>
      <c r="AG75" s="3" t="str">
        <v/>
      </c>
      <c r="AH75" s="3" t="str">
        <v/>
      </c>
      <c r="AI75" s="3" t="str">
        <v/>
      </c>
      <c r="AJ75" s="3" t="str">
        <v/>
      </c>
      <c r="AK75" s="3" t="str">
        <v/>
      </c>
      <c r="AL75" s="3" t="str">
        <v/>
      </c>
      <c r="AM75" s="3" t="str">
        <v/>
      </c>
      <c r="AN75" s="3" t="str">
        <v/>
      </c>
      <c r="AO75" s="3" t="str">
        <v/>
      </c>
      <c r="AP75" s="3" t="str">
        <v/>
      </c>
      <c r="AQ75" s="3" t="str">
        <v/>
      </c>
      <c r="AR75" s="3" t="str">
        <v/>
      </c>
      <c r="AS75" s="3" t="str">
        <v/>
      </c>
      <c r="AT75" s="3" t="str">
        <v/>
      </c>
      <c r="AU75" s="3" t="str">
        <v/>
      </c>
      <c r="AV75" s="3" t="str">
        <v/>
      </c>
      <c r="AW75" s="3" t="str">
        <v/>
      </c>
      <c r="AX75" s="3" t="str">
        <v/>
      </c>
      <c r="AY75" s="3" t="str">
        <v/>
      </c>
      <c r="AZ75" s="3" t="str">
        <v/>
      </c>
      <c r="BA75" s="3" t="str">
        <v/>
      </c>
      <c r="BB75" s="3" t="str">
        <v/>
      </c>
      <c r="BC75" s="3" t="str">
        <v/>
      </c>
      <c r="BD75" s="3" t="str">
        <v/>
      </c>
      <c r="BE75" s="3" t="str">
        <v/>
      </c>
      <c r="BF75" s="3" t="str">
        <v/>
      </c>
      <c r="BG75" s="3" t="str">
        <v/>
      </c>
      <c r="BH75" s="3" t="str">
        <v/>
      </c>
      <c r="BI75" s="3" t="str">
        <v/>
      </c>
      <c r="BJ75" s="3" t="str">
        <v/>
      </c>
      <c r="BK75" s="3" t="str">
        <v/>
      </c>
      <c r="BL75" s="3" t="str">
        <v/>
      </c>
      <c r="BM75" s="3" t="str">
        <v/>
      </c>
      <c r="BN75" s="3" t="str">
        <v/>
      </c>
      <c r="BO75" s="3" t="str">
        <v/>
      </c>
      <c r="BP75" s="1" t="str">
        <v/>
      </c>
      <c r="BQ75" s="1" t="str">
        <v/>
      </c>
      <c r="BR75" s="1" t="str">
        <v/>
      </c>
      <c r="BS75" s="1" t="str">
        <v/>
      </c>
      <c r="BT75" s="1" t="str">
        <v/>
      </c>
      <c r="BU75" s="1">
        <v>0.99999999999999978</v>
      </c>
      <c r="BV75" s="1">
        <v>0.143506078842108</v>
      </c>
      <c r="BW75" s="1">
        <v>0.37433490266604846</v>
      </c>
      <c r="BX75" s="1">
        <v>0.29618728230039115</v>
      </c>
      <c r="BY75" s="1">
        <v>0.46325100582109963</v>
      </c>
      <c r="BZ75" s="1">
        <v>0.430855954407943</v>
      </c>
      <c r="CA75" s="1">
        <v>0.67611317726281239</v>
      </c>
      <c r="CB75" s="1">
        <v>0.57885169609139919</v>
      </c>
      <c r="CC75" s="1">
        <v>0.22395754594421372</v>
      </c>
      <c r="CD75" s="1">
        <v>0.41945660704228005</v>
      </c>
      <c r="CE75" s="1">
        <v>0.51175784338193864</v>
      </c>
      <c r="CF75" s="1">
        <v>0.54744622862094905</v>
      </c>
      <c r="CG75" s="1">
        <v>0.65389860098388064</v>
      </c>
      <c r="CH75" s="1">
        <v>0.45261650417140586</v>
      </c>
      <c r="CI75" s="1">
        <v>0.67605036268598107</v>
      </c>
      <c r="CJ75" s="1">
        <v>0.46532593102362874</v>
      </c>
      <c r="CK75" s="1">
        <v>0.23715777743871497</v>
      </c>
      <c r="CL75" s="1">
        <v>0.65881861491203619</v>
      </c>
      <c r="CM75" s="1">
        <v>0.11657880482690333</v>
      </c>
      <c r="CN75" s="1">
        <v>0.3114323529255224</v>
      </c>
      <c r="CO75" s="1">
        <v>0.36165554968723113</v>
      </c>
      <c r="CP75" s="1">
        <v>0.37871394717521695</v>
      </c>
      <c r="CQ75" s="1">
        <v>4.8820920290713762E-2</v>
      </c>
      <c r="CR75" s="1">
        <v>0.23050157284737033</v>
      </c>
      <c r="CS75" s="1">
        <v>0.17747506330963156</v>
      </c>
      <c r="CT75" s="1">
        <v>0.6111851046433362</v>
      </c>
      <c r="CU75" s="1">
        <v>0.39368874808905552</v>
      </c>
      <c r="CV75" s="1">
        <v>0.24934687757967774</v>
      </c>
      <c r="CW75" s="1">
        <v>0.29924432246583166</v>
      </c>
      <c r="CX75" s="1">
        <v>0.19147198386746345</v>
      </c>
      <c r="CY75" s="1">
        <v>0.31741853629856914</v>
      </c>
      <c r="CZ75" s="1">
        <v>0.4360109798376065</v>
      </c>
      <c r="DA75" s="1">
        <v>0.11483925344765233</v>
      </c>
      <c r="DB75" s="1">
        <v>0.31474310595407129</v>
      </c>
      <c r="DC75" s="1">
        <v>0.20257930527278978</v>
      </c>
      <c r="DD75" s="1">
        <v>0.26726666004790389</v>
      </c>
      <c r="DE75" s="1">
        <v>0.26731862662871325</v>
      </c>
      <c r="DF75" s="1">
        <v>0.21117462200763998</v>
      </c>
      <c r="DG75" s="1">
        <v>0.24156610279756793</v>
      </c>
      <c r="DH75" s="1">
        <v>0.31855063564539526</v>
      </c>
      <c r="DI75" s="1">
        <v>0.45872765292163453</v>
      </c>
      <c r="DJ75" s="1">
        <v>0.53201101260213857</v>
      </c>
      <c r="DK75" s="1">
        <v>0.46953730908328101</v>
      </c>
      <c r="DL75" s="1">
        <v>0.47867997423747988</v>
      </c>
      <c r="DM75" s="1">
        <v>0.50876821431777308</v>
      </c>
      <c r="DN75" s="1">
        <v>0.41954414221670239</v>
      </c>
      <c r="DO75" s="1">
        <v>0.49332756471701844</v>
      </c>
      <c r="DP75" s="1">
        <v>0.56145546254064127</v>
      </c>
      <c r="DQ75" s="1">
        <v>0.54600356316085941</v>
      </c>
      <c r="DR75" s="1">
        <v>0.52393686184337973</v>
      </c>
      <c r="DS75" s="1">
        <v>0.4252094182606122</v>
      </c>
      <c r="DT75" s="1">
        <v>0.52130824174714119</v>
      </c>
      <c r="DU75" s="1">
        <v>0.47717723624801361</v>
      </c>
      <c r="DV75" s="1">
        <v>0.64393429014237047</v>
      </c>
      <c r="DW75" s="1">
        <v>0.26546163580620735</v>
      </c>
      <c r="DX75" s="1">
        <v>0.28488403995207234</v>
      </c>
      <c r="DY75" s="1">
        <v>0.5175131780690716</v>
      </c>
    </row>
    <row r="76" spans="1:129" ht="15">
      <c r="A76" s="7" t="s">
        <v>87</v>
      </c>
      <c r="B76" s="3" t="str">
        <v/>
      </c>
      <c r="C76" s="3" t="str">
        <v/>
      </c>
      <c r="D76" s="3" t="str">
        <v/>
      </c>
      <c r="E76" s="3" t="str">
        <v/>
      </c>
      <c r="F76" s="3" t="str">
        <v/>
      </c>
      <c r="G76" s="3" t="str">
        <v/>
      </c>
      <c r="H76" s="3" t="str">
        <v/>
      </c>
      <c r="I76" s="3" t="str">
        <v/>
      </c>
      <c r="J76" s="3" t="str">
        <v/>
      </c>
      <c r="K76" s="3" t="str">
        <v/>
      </c>
      <c r="L76" s="3" t="str">
        <v/>
      </c>
      <c r="M76" s="3" t="str">
        <v/>
      </c>
      <c r="N76" s="3" t="str">
        <v/>
      </c>
      <c r="O76" s="3" t="str">
        <v/>
      </c>
      <c r="P76" s="3" t="str">
        <v/>
      </c>
      <c r="Q76" s="3" t="str">
        <v/>
      </c>
      <c r="R76" s="3" t="str">
        <v/>
      </c>
      <c r="S76" s="3" t="str">
        <v/>
      </c>
      <c r="T76" s="3" t="str">
        <v/>
      </c>
      <c r="U76" s="3" t="str">
        <v/>
      </c>
      <c r="V76" s="3" t="str">
        <v/>
      </c>
      <c r="W76" s="3" t="str">
        <v/>
      </c>
      <c r="X76" s="3" t="str">
        <v/>
      </c>
      <c r="Y76" s="3" t="str">
        <v/>
      </c>
      <c r="Z76" s="3" t="str">
        <v/>
      </c>
      <c r="AA76" s="3" t="str">
        <v/>
      </c>
      <c r="AB76" s="3" t="str">
        <v/>
      </c>
      <c r="AC76" s="3" t="str">
        <v/>
      </c>
      <c r="AD76" s="3" t="str">
        <v/>
      </c>
      <c r="AE76" s="3" t="str">
        <v/>
      </c>
      <c r="AF76" s="3" t="str">
        <v/>
      </c>
      <c r="AG76" s="3" t="str">
        <v/>
      </c>
      <c r="AH76" s="3" t="str">
        <v/>
      </c>
      <c r="AI76" s="3" t="str">
        <v/>
      </c>
      <c r="AJ76" s="3" t="str">
        <v/>
      </c>
      <c r="AK76" s="3" t="str">
        <v/>
      </c>
      <c r="AL76" s="3" t="str">
        <v/>
      </c>
      <c r="AM76" s="3" t="str">
        <v/>
      </c>
      <c r="AN76" s="3" t="str">
        <v/>
      </c>
      <c r="AO76" s="3" t="str">
        <v/>
      </c>
      <c r="AP76" s="3" t="str">
        <v/>
      </c>
      <c r="AQ76" s="3" t="str">
        <v/>
      </c>
      <c r="AR76" s="3" t="str">
        <v/>
      </c>
      <c r="AS76" s="3" t="str">
        <v/>
      </c>
      <c r="AT76" s="3" t="str">
        <v/>
      </c>
      <c r="AU76" s="3" t="str">
        <v/>
      </c>
      <c r="AV76" s="3" t="str">
        <v/>
      </c>
      <c r="AW76" s="3" t="str">
        <v/>
      </c>
      <c r="AX76" s="3" t="str">
        <v/>
      </c>
      <c r="AY76" s="3" t="str">
        <v/>
      </c>
      <c r="AZ76" s="3" t="str">
        <v/>
      </c>
      <c r="BA76" s="3" t="str">
        <v/>
      </c>
      <c r="BB76" s="3" t="str">
        <v/>
      </c>
      <c r="BC76" s="3" t="str">
        <v/>
      </c>
      <c r="BD76" s="3" t="str">
        <v/>
      </c>
      <c r="BE76" s="3" t="str">
        <v/>
      </c>
      <c r="BF76" s="3" t="str">
        <v/>
      </c>
      <c r="BG76" s="3" t="str">
        <v/>
      </c>
      <c r="BH76" s="3" t="str">
        <v/>
      </c>
      <c r="BI76" s="3" t="str">
        <v/>
      </c>
      <c r="BJ76" s="3" t="str">
        <v/>
      </c>
      <c r="BK76" s="3" t="str">
        <v/>
      </c>
      <c r="BL76" s="3" t="str">
        <v/>
      </c>
      <c r="BM76" s="3" t="str">
        <v/>
      </c>
      <c r="BN76" s="3" t="str">
        <v/>
      </c>
      <c r="BO76" s="3" t="str">
        <v/>
      </c>
      <c r="BP76" s="1" t="str">
        <v/>
      </c>
      <c r="BQ76" s="1" t="str">
        <v/>
      </c>
      <c r="BR76" s="1" t="str">
        <v/>
      </c>
      <c r="BS76" s="1" t="str">
        <v/>
      </c>
      <c r="BT76" s="1" t="str">
        <v/>
      </c>
      <c r="BU76" s="1" t="str">
        <v/>
      </c>
      <c r="BV76" s="1">
        <v>1</v>
      </c>
      <c r="BW76" s="1">
        <v>0.17014157262707053</v>
      </c>
      <c r="BX76" s="1">
        <v>0.10001317239501402</v>
      </c>
      <c r="BY76" s="1">
        <v>0.42245866174987801</v>
      </c>
      <c r="BZ76" s="1">
        <v>1.7742165777588536E-2</v>
      </c>
      <c r="CA76" s="1">
        <v>0.10053060613597879</v>
      </c>
      <c r="CB76" s="1">
        <v>0.20076683214886262</v>
      </c>
      <c r="CC76" s="1">
        <v>0.21797186258429457</v>
      </c>
      <c r="CD76" s="1">
        <v>0.19985734565123642</v>
      </c>
      <c r="CE76" s="1">
        <v>9.8607528713001991E-2</v>
      </c>
      <c r="CF76" s="1">
        <v>6.8424954788381009E-2</v>
      </c>
      <c r="CG76" s="1">
        <v>0.16367457562634746</v>
      </c>
      <c r="CH76" s="1">
        <v>0.22394221934437142</v>
      </c>
      <c r="CI76" s="1">
        <v>0.30366792342356425</v>
      </c>
      <c r="CJ76" s="1">
        <v>0.18367372540257848</v>
      </c>
      <c r="CK76" s="1">
        <v>0.23242216231821344</v>
      </c>
      <c r="CL76" s="1">
        <v>0.13236426733985035</v>
      </c>
      <c r="CM76" s="1">
        <v>-9.6098116952983439E-2</v>
      </c>
      <c r="CN76" s="1">
        <v>8.8368073470271258E-2</v>
      </c>
      <c r="CO76" s="1">
        <v>0.17051225627984593</v>
      </c>
      <c r="CP76" s="1">
        <v>0.10647556755180022</v>
      </c>
      <c r="CQ76" s="1">
        <v>8.0575491107722053E-2</v>
      </c>
      <c r="CR76" s="1">
        <v>7.8930096032482397E-2</v>
      </c>
      <c r="CS76" s="1">
        <v>0.12561678843129936</v>
      </c>
      <c r="CT76" s="1">
        <v>6.4299048752033947E-2</v>
      </c>
      <c r="CU76" s="1">
        <v>-6.2462309249254472E-2</v>
      </c>
      <c r="CV76" s="1">
        <v>5.8666230309920159E-2</v>
      </c>
      <c r="CW76" s="1">
        <v>0.26338718765376629</v>
      </c>
      <c r="CX76" s="1">
        <v>0.17214121670234006</v>
      </c>
      <c r="CY76" s="1">
        <v>0.10254636580467787</v>
      </c>
      <c r="CZ76" s="1">
        <v>0.32330263089006395</v>
      </c>
      <c r="DA76" s="1">
        <v>0.10946774253861065</v>
      </c>
      <c r="DB76" s="1">
        <v>0.19368901877649497</v>
      </c>
      <c r="DC76" s="1">
        <v>-6.4865842340508517E-2</v>
      </c>
      <c r="DD76" s="1">
        <v>-7.3530453459072151E-2</v>
      </c>
      <c r="DE76" s="1">
        <v>0.19160403214905508</v>
      </c>
      <c r="DF76" s="1">
        <v>0.20505554429836845</v>
      </c>
      <c r="DG76" s="1">
        <v>8.7988654831653842E-2</v>
      </c>
      <c r="DH76" s="1">
        <v>0.14442546830947861</v>
      </c>
      <c r="DI76" s="1">
        <v>3.6161565291798869E-2</v>
      </c>
      <c r="DJ76" s="1">
        <v>4.9864662148159017E-2</v>
      </c>
      <c r="DK76" s="1">
        <v>8.7992925612059888E-2</v>
      </c>
      <c r="DL76" s="1">
        <v>0.17695938318515247</v>
      </c>
      <c r="DM76" s="1">
        <v>0.14783617954987427</v>
      </c>
      <c r="DN76" s="1">
        <v>0.24116832491457624</v>
      </c>
      <c r="DO76" s="1">
        <v>2.120346031017455E-2</v>
      </c>
      <c r="DP76" s="1">
        <v>9.6060059944449203E-2</v>
      </c>
      <c r="DQ76" s="1">
        <v>0.10237750981952068</v>
      </c>
      <c r="DR76" s="1">
        <v>0.16663435580264663</v>
      </c>
      <c r="DS76" s="1">
        <v>2.9394777218898979E-2</v>
      </c>
      <c r="DT76" s="1">
        <v>9.0276864683620103E-2</v>
      </c>
      <c r="DU76" s="1">
        <v>0.21544784148531373</v>
      </c>
      <c r="DV76" s="1">
        <v>0.20725848857785606</v>
      </c>
      <c r="DW76" s="1">
        <v>0.13587316632081733</v>
      </c>
      <c r="DX76" s="1">
        <v>0.2350907893018272</v>
      </c>
      <c r="DY76" s="1">
        <v>4.7736304806278988E-2</v>
      </c>
    </row>
    <row r="77" spans="1:129" ht="15">
      <c r="A77" s="7" t="s">
        <v>88</v>
      </c>
      <c r="B77" s="3" t="str">
        <v/>
      </c>
      <c r="C77" s="3" t="str">
        <v/>
      </c>
      <c r="D77" s="3" t="str">
        <v/>
      </c>
      <c r="E77" s="3" t="str">
        <v/>
      </c>
      <c r="F77" s="3" t="str">
        <v/>
      </c>
      <c r="G77" s="3" t="str">
        <v/>
      </c>
      <c r="H77" s="3" t="str">
        <v/>
      </c>
      <c r="I77" s="3" t="str">
        <v/>
      </c>
      <c r="J77" s="3" t="str">
        <v/>
      </c>
      <c r="K77" s="3" t="str">
        <v/>
      </c>
      <c r="L77" s="3" t="str">
        <v/>
      </c>
      <c r="M77" s="3" t="str">
        <v/>
      </c>
      <c r="N77" s="3" t="str">
        <v/>
      </c>
      <c r="O77" s="3" t="str">
        <v/>
      </c>
      <c r="P77" s="3" t="str">
        <v/>
      </c>
      <c r="Q77" s="3" t="str">
        <v/>
      </c>
      <c r="R77" s="3" t="str">
        <v/>
      </c>
      <c r="S77" s="3" t="str">
        <v/>
      </c>
      <c r="T77" s="3" t="str">
        <v/>
      </c>
      <c r="U77" s="3" t="str">
        <v/>
      </c>
      <c r="V77" s="3" t="str">
        <v/>
      </c>
      <c r="W77" s="3" t="str">
        <v/>
      </c>
      <c r="X77" s="3" t="str">
        <v/>
      </c>
      <c r="Y77" s="3" t="str">
        <v/>
      </c>
      <c r="Z77" s="3" t="str">
        <v/>
      </c>
      <c r="AA77" s="3" t="str">
        <v/>
      </c>
      <c r="AB77" s="3" t="str">
        <v/>
      </c>
      <c r="AC77" s="3" t="str">
        <v/>
      </c>
      <c r="AD77" s="3" t="str">
        <v/>
      </c>
      <c r="AE77" s="3" t="str">
        <v/>
      </c>
      <c r="AF77" s="3" t="str">
        <v/>
      </c>
      <c r="AG77" s="3" t="str">
        <v/>
      </c>
      <c r="AH77" s="3" t="str">
        <v/>
      </c>
      <c r="AI77" s="3" t="str">
        <v/>
      </c>
      <c r="AJ77" s="3" t="str">
        <v/>
      </c>
      <c r="AK77" s="3" t="str">
        <v/>
      </c>
      <c r="AL77" s="3" t="str">
        <v/>
      </c>
      <c r="AM77" s="3" t="str">
        <v/>
      </c>
      <c r="AN77" s="3" t="str">
        <v/>
      </c>
      <c r="AO77" s="3" t="str">
        <v/>
      </c>
      <c r="AP77" s="3" t="str">
        <v/>
      </c>
      <c r="AQ77" s="3" t="str">
        <v/>
      </c>
      <c r="AR77" s="3" t="str">
        <v/>
      </c>
      <c r="AS77" s="3" t="str">
        <v/>
      </c>
      <c r="AT77" s="3" t="str">
        <v/>
      </c>
      <c r="AU77" s="3" t="str">
        <v/>
      </c>
      <c r="AV77" s="3" t="str">
        <v/>
      </c>
      <c r="AW77" s="3" t="str">
        <v/>
      </c>
      <c r="AX77" s="3" t="str">
        <v/>
      </c>
      <c r="AY77" s="3" t="str">
        <v/>
      </c>
      <c r="AZ77" s="3" t="str">
        <v/>
      </c>
      <c r="BA77" s="3" t="str">
        <v/>
      </c>
      <c r="BB77" s="3" t="str">
        <v/>
      </c>
      <c r="BC77" s="3" t="str">
        <v/>
      </c>
      <c r="BD77" s="3" t="str">
        <v/>
      </c>
      <c r="BE77" s="3" t="str">
        <v/>
      </c>
      <c r="BF77" s="3" t="str">
        <v/>
      </c>
      <c r="BG77" s="3" t="str">
        <v/>
      </c>
      <c r="BH77" s="3" t="str">
        <v/>
      </c>
      <c r="BI77" s="3" t="str">
        <v/>
      </c>
      <c r="BJ77" s="3" t="str">
        <v/>
      </c>
      <c r="BK77" s="3" t="str">
        <v/>
      </c>
      <c r="BL77" s="3" t="str">
        <v/>
      </c>
      <c r="BM77" s="3" t="str">
        <v/>
      </c>
      <c r="BN77" s="3" t="str">
        <v/>
      </c>
      <c r="BO77" s="3" t="str">
        <v/>
      </c>
      <c r="BP77" s="1" t="str">
        <v/>
      </c>
      <c r="BQ77" s="1" t="str">
        <v/>
      </c>
      <c r="BR77" s="1" t="str">
        <v/>
      </c>
      <c r="BS77" s="1" t="str">
        <v/>
      </c>
      <c r="BT77" s="1" t="str">
        <v/>
      </c>
      <c r="BU77" s="1" t="str">
        <v/>
      </c>
      <c r="BV77" s="1" t="str">
        <v/>
      </c>
      <c r="BW77" s="1">
        <v>1</v>
      </c>
      <c r="BX77" s="1">
        <v>0.30909938582170088</v>
      </c>
      <c r="BY77" s="1">
        <v>0.41232747788460666</v>
      </c>
      <c r="BZ77" s="1">
        <v>0.22039450365459087</v>
      </c>
      <c r="CA77" s="1">
        <v>0.38362363347077721</v>
      </c>
      <c r="CB77" s="1">
        <v>0.26626342093556671</v>
      </c>
      <c r="CC77" s="1">
        <v>0.40527146340985964</v>
      </c>
      <c r="CD77" s="1">
        <v>2.4738460368092255E-2</v>
      </c>
      <c r="CE77" s="1">
        <v>0.21562415197999715</v>
      </c>
      <c r="CF77" s="1">
        <v>0.35218980870607663</v>
      </c>
      <c r="CG77" s="1">
        <v>0.34615705466982405</v>
      </c>
      <c r="CH77" s="1">
        <v>0.38438041779600807</v>
      </c>
      <c r="CI77" s="1">
        <v>0.49366033045399149</v>
      </c>
      <c r="CJ77" s="1">
        <v>0.18561417418231316</v>
      </c>
      <c r="CK77" s="1">
        <v>0.31190241050945394</v>
      </c>
      <c r="CL77" s="1">
        <v>0.32844565864336411</v>
      </c>
      <c r="CM77" s="1">
        <v>0.1625173899611686</v>
      </c>
      <c r="CN77" s="1">
        <v>0.15462223346762521</v>
      </c>
      <c r="CO77" s="1">
        <v>0.16205532293754119</v>
      </c>
      <c r="CP77" s="1">
        <v>0.29291226202331311</v>
      </c>
      <c r="CQ77" s="1">
        <v>2.8296714566724778E-3</v>
      </c>
      <c r="CR77" s="1">
        <v>0.17091943164594414</v>
      </c>
      <c r="CS77" s="1">
        <v>0.15449852140210452</v>
      </c>
      <c r="CT77" s="1">
        <v>0.38875085830740513</v>
      </c>
      <c r="CU77" s="1">
        <v>0.10263156791986448</v>
      </c>
      <c r="CV77" s="1">
        <v>0.22825260263683528</v>
      </c>
      <c r="CW77" s="1">
        <v>0.43561906699943548</v>
      </c>
      <c r="CX77" s="1">
        <v>0.19893250346059027</v>
      </c>
      <c r="CY77" s="1">
        <v>0.2551050956330857</v>
      </c>
      <c r="CZ77" s="1">
        <v>0.25471606034347222</v>
      </c>
      <c r="DA77" s="1">
        <v>0.34215725203533098</v>
      </c>
      <c r="DB77" s="1">
        <v>0.26659449065473645</v>
      </c>
      <c r="DC77" s="1">
        <v>0.25616644224012941</v>
      </c>
      <c r="DD77" s="1">
        <v>0.23695250807282095</v>
      </c>
      <c r="DE77" s="1">
        <v>0.3016602781924948</v>
      </c>
      <c r="DF77" s="1">
        <v>0.2596408283050804</v>
      </c>
      <c r="DG77" s="1">
        <v>0.42535208641572964</v>
      </c>
      <c r="DH77" s="1">
        <v>0.3630902805449705</v>
      </c>
      <c r="DI77" s="1">
        <v>0.39660542166842411</v>
      </c>
      <c r="DJ77" s="1">
        <v>0.35670060194674696</v>
      </c>
      <c r="DK77" s="1">
        <v>0.36143692779335934</v>
      </c>
      <c r="DL77" s="1">
        <v>0.47759200873372548</v>
      </c>
      <c r="DM77" s="1">
        <v>0.45675584770622546</v>
      </c>
      <c r="DN77" s="1">
        <v>0.33469150560797134</v>
      </c>
      <c r="DO77" s="1">
        <v>0.38116226879948978</v>
      </c>
      <c r="DP77" s="1">
        <v>0.42896459691882627</v>
      </c>
      <c r="DQ77" s="1">
        <v>0.38513069099328018</v>
      </c>
      <c r="DR77" s="1">
        <v>0.52798007660867052</v>
      </c>
      <c r="DS77" s="1">
        <v>0.31498117775206846</v>
      </c>
      <c r="DT77" s="1">
        <v>0.41693273619300297</v>
      </c>
      <c r="DU77" s="1">
        <v>0.37670396258012984</v>
      </c>
      <c r="DV77" s="1">
        <v>0.48796953935244153</v>
      </c>
      <c r="DW77" s="1">
        <v>0.34279105630104278</v>
      </c>
      <c r="DX77" s="1">
        <v>4.5370993483867014E-2</v>
      </c>
      <c r="DY77" s="1">
        <v>0.42499792213754367</v>
      </c>
    </row>
    <row r="78" spans="1:129" ht="15">
      <c r="A78" s="7" t="s">
        <v>89</v>
      </c>
      <c r="B78" s="3" t="str">
        <v/>
      </c>
      <c r="C78" s="3" t="str">
        <v/>
      </c>
      <c r="D78" s="3" t="str">
        <v/>
      </c>
      <c r="E78" s="3" t="str">
        <v/>
      </c>
      <c r="F78" s="3" t="str">
        <v/>
      </c>
      <c r="G78" s="3" t="str">
        <v/>
      </c>
      <c r="H78" s="3" t="str">
        <v/>
      </c>
      <c r="I78" s="3" t="str">
        <v/>
      </c>
      <c r="J78" s="3" t="str">
        <v/>
      </c>
      <c r="K78" s="3" t="str">
        <v/>
      </c>
      <c r="L78" s="3" t="str">
        <v/>
      </c>
      <c r="M78" s="3" t="str">
        <v/>
      </c>
      <c r="N78" s="3" t="str">
        <v/>
      </c>
      <c r="O78" s="3" t="str">
        <v/>
      </c>
      <c r="P78" s="3" t="str">
        <v/>
      </c>
      <c r="Q78" s="3" t="str">
        <v/>
      </c>
      <c r="R78" s="3" t="str">
        <v/>
      </c>
      <c r="S78" s="3" t="str">
        <v/>
      </c>
      <c r="T78" s="3" t="str">
        <v/>
      </c>
      <c r="U78" s="3" t="str">
        <v/>
      </c>
      <c r="V78" s="3" t="str">
        <v/>
      </c>
      <c r="W78" s="3" t="str">
        <v/>
      </c>
      <c r="X78" s="3" t="str">
        <v/>
      </c>
      <c r="Y78" s="3" t="str">
        <v/>
      </c>
      <c r="Z78" s="3" t="str">
        <v/>
      </c>
      <c r="AA78" s="3" t="str">
        <v/>
      </c>
      <c r="AB78" s="3" t="str">
        <v/>
      </c>
      <c r="AC78" s="3" t="str">
        <v/>
      </c>
      <c r="AD78" s="3" t="str">
        <v/>
      </c>
      <c r="AE78" s="3" t="str">
        <v/>
      </c>
      <c r="AF78" s="3" t="str">
        <v/>
      </c>
      <c r="AG78" s="3" t="str">
        <v/>
      </c>
      <c r="AH78" s="3" t="str">
        <v/>
      </c>
      <c r="AI78" s="3" t="str">
        <v/>
      </c>
      <c r="AJ78" s="3" t="str">
        <v/>
      </c>
      <c r="AK78" s="3" t="str">
        <v/>
      </c>
      <c r="AL78" s="3" t="str">
        <v/>
      </c>
      <c r="AM78" s="3" t="str">
        <v/>
      </c>
      <c r="AN78" s="3" t="str">
        <v/>
      </c>
      <c r="AO78" s="3" t="str">
        <v/>
      </c>
      <c r="AP78" s="3" t="str">
        <v/>
      </c>
      <c r="AQ78" s="3" t="str">
        <v/>
      </c>
      <c r="AR78" s="3" t="str">
        <v/>
      </c>
      <c r="AS78" s="3" t="str">
        <v/>
      </c>
      <c r="AT78" s="3" t="str">
        <v/>
      </c>
      <c r="AU78" s="3" t="str">
        <v/>
      </c>
      <c r="AV78" s="3" t="str">
        <v/>
      </c>
      <c r="AW78" s="3" t="str">
        <v/>
      </c>
      <c r="AX78" s="3" t="str">
        <v/>
      </c>
      <c r="AY78" s="3" t="str">
        <v/>
      </c>
      <c r="AZ78" s="3" t="str">
        <v/>
      </c>
      <c r="BA78" s="3" t="str">
        <v/>
      </c>
      <c r="BB78" s="3" t="str">
        <v/>
      </c>
      <c r="BC78" s="3" t="str">
        <v/>
      </c>
      <c r="BD78" s="3" t="str">
        <v/>
      </c>
      <c r="BE78" s="3" t="str">
        <v/>
      </c>
      <c r="BF78" s="3" t="str">
        <v/>
      </c>
      <c r="BG78" s="3" t="str">
        <v/>
      </c>
      <c r="BH78" s="3" t="str">
        <v/>
      </c>
      <c r="BI78" s="3" t="str">
        <v/>
      </c>
      <c r="BJ78" s="3" t="str">
        <v/>
      </c>
      <c r="BK78" s="3" t="str">
        <v/>
      </c>
      <c r="BL78" s="3" t="str">
        <v/>
      </c>
      <c r="BM78" s="3" t="str">
        <v/>
      </c>
      <c r="BN78" s="3" t="str">
        <v/>
      </c>
      <c r="BO78" s="3" t="str">
        <v/>
      </c>
      <c r="BP78" s="1" t="str">
        <v/>
      </c>
      <c r="BQ78" s="1" t="str">
        <v/>
      </c>
      <c r="BR78" s="1" t="str">
        <v/>
      </c>
      <c r="BS78" s="1" t="str">
        <v/>
      </c>
      <c r="BT78" s="1" t="str">
        <v/>
      </c>
      <c r="BU78" s="1" t="str">
        <v/>
      </c>
      <c r="BV78" s="1" t="str">
        <v/>
      </c>
      <c r="BW78" s="1" t="str">
        <v/>
      </c>
      <c r="BX78" s="1">
        <v>1.0000000000000002</v>
      </c>
      <c r="BY78" s="1">
        <v>0.50181805442708405</v>
      </c>
      <c r="BZ78" s="1">
        <v>0.33768745237042269</v>
      </c>
      <c r="CA78" s="1">
        <v>0.19387857523251248</v>
      </c>
      <c r="CB78" s="1">
        <v>0.30488487735595227</v>
      </c>
      <c r="CC78" s="1">
        <v>0.20206094895278781</v>
      </c>
      <c r="CD78" s="1">
        <v>0.16459623595919345</v>
      </c>
      <c r="CE78" s="1">
        <v>0.25956310466276294</v>
      </c>
      <c r="CF78" s="1">
        <v>0.21760037046734138</v>
      </c>
      <c r="CG78" s="1">
        <v>0.34671468746725415</v>
      </c>
      <c r="CH78" s="1">
        <v>0.21054568593381498</v>
      </c>
      <c r="CI78" s="1">
        <v>0.5320696727191675</v>
      </c>
      <c r="CJ78" s="1">
        <v>0.21975060410638156</v>
      </c>
      <c r="CK78" s="1">
        <v>0.28492427408414511</v>
      </c>
      <c r="CL78" s="1">
        <v>0.40089795619620788</v>
      </c>
      <c r="CM78" s="1">
        <v>0.19915561134389767</v>
      </c>
      <c r="CN78" s="1">
        <v>0.30369828514219399</v>
      </c>
      <c r="CO78" s="1">
        <v>0.42889039025877479</v>
      </c>
      <c r="CP78" s="1">
        <v>0.24402941493855876</v>
      </c>
      <c r="CQ78" s="1">
        <v>0.31671588490809066</v>
      </c>
      <c r="CR78" s="1">
        <v>0.18619368424564711</v>
      </c>
      <c r="CS78" s="1">
        <v>-6.5849156888084751E-2</v>
      </c>
      <c r="CT78" s="1">
        <v>0.25247030048151448</v>
      </c>
      <c r="CU78" s="1">
        <v>0.1821701560953938</v>
      </c>
      <c r="CV78" s="1">
        <v>0.46640871356808022</v>
      </c>
      <c r="CW78" s="1">
        <v>0.40038544017132999</v>
      </c>
      <c r="CX78" s="1">
        <v>0.29009902774486096</v>
      </c>
      <c r="CY78" s="1">
        <v>0.18399429958005706</v>
      </c>
      <c r="CZ78" s="1">
        <v>0.36856837691322358</v>
      </c>
      <c r="DA78" s="1">
        <v>0.3178775386192787</v>
      </c>
      <c r="DB78" s="1">
        <v>0.29608736428010762</v>
      </c>
      <c r="DC78" s="1">
        <v>0.49166879030664562</v>
      </c>
      <c r="DD78" s="1">
        <v>0.23195715853193724</v>
      </c>
      <c r="DE78" s="1">
        <v>0.43402092117958041</v>
      </c>
      <c r="DF78" s="1">
        <v>0.45943391968604791</v>
      </c>
      <c r="DG78" s="1">
        <v>0.38009124465924993</v>
      </c>
      <c r="DH78" s="1">
        <v>0.43008610398922992</v>
      </c>
      <c r="DI78" s="1">
        <v>0.49280295681900588</v>
      </c>
      <c r="DJ78" s="1">
        <v>0.50127081952729369</v>
      </c>
      <c r="DK78" s="1">
        <v>0.42058815775904557</v>
      </c>
      <c r="DL78" s="1">
        <v>0.42921669561377701</v>
      </c>
      <c r="DM78" s="1">
        <v>0.44706687713706222</v>
      </c>
      <c r="DN78" s="1">
        <v>0.4926219749958487</v>
      </c>
      <c r="DO78" s="1">
        <v>0.33295960582447903</v>
      </c>
      <c r="DP78" s="1">
        <v>0.46742794028730855</v>
      </c>
      <c r="DQ78" s="1">
        <v>0.40231006252273055</v>
      </c>
      <c r="DR78" s="1">
        <v>0.42796573414946737</v>
      </c>
      <c r="DS78" s="1">
        <v>0.35893328487876269</v>
      </c>
      <c r="DT78" s="1">
        <v>0.31433745437503463</v>
      </c>
      <c r="DU78" s="1">
        <v>0.3769640662875261</v>
      </c>
      <c r="DV78" s="1">
        <v>0.37230221021633936</v>
      </c>
      <c r="DW78" s="1">
        <v>0.21213460542488102</v>
      </c>
      <c r="DX78" s="1">
        <v>6.9134418411720897E-2</v>
      </c>
      <c r="DY78" s="1">
        <v>0.33306530312209148</v>
      </c>
    </row>
    <row r="79" spans="1:129" ht="15">
      <c r="A79" s="7" t="s">
        <v>90</v>
      </c>
      <c r="B79" s="3" t="str">
        <v/>
      </c>
      <c r="C79" s="3" t="str">
        <v/>
      </c>
      <c r="D79" s="3" t="str">
        <v/>
      </c>
      <c r="E79" s="3" t="str">
        <v/>
      </c>
      <c r="F79" s="3" t="str">
        <v/>
      </c>
      <c r="G79" s="3" t="str">
        <v/>
      </c>
      <c r="H79" s="3" t="str">
        <v/>
      </c>
      <c r="I79" s="3" t="str">
        <v/>
      </c>
      <c r="J79" s="3" t="str">
        <v/>
      </c>
      <c r="K79" s="3" t="str">
        <v/>
      </c>
      <c r="L79" s="3" t="str">
        <v/>
      </c>
      <c r="M79" s="3" t="str">
        <v/>
      </c>
      <c r="N79" s="3" t="str">
        <v/>
      </c>
      <c r="O79" s="3" t="str">
        <v/>
      </c>
      <c r="P79" s="3" t="str">
        <v/>
      </c>
      <c r="Q79" s="3" t="str">
        <v/>
      </c>
      <c r="R79" s="3" t="str">
        <v/>
      </c>
      <c r="S79" s="3" t="str">
        <v/>
      </c>
      <c r="T79" s="3" t="str">
        <v/>
      </c>
      <c r="U79" s="3" t="str">
        <v/>
      </c>
      <c r="V79" s="3" t="str">
        <v/>
      </c>
      <c r="W79" s="3" t="str">
        <v/>
      </c>
      <c r="X79" s="3" t="str">
        <v/>
      </c>
      <c r="Y79" s="3" t="str">
        <v/>
      </c>
      <c r="Z79" s="3" t="str">
        <v/>
      </c>
      <c r="AA79" s="3" t="str">
        <v/>
      </c>
      <c r="AB79" s="3" t="str">
        <v/>
      </c>
      <c r="AC79" s="3" t="str">
        <v/>
      </c>
      <c r="AD79" s="3" t="str">
        <v/>
      </c>
      <c r="AE79" s="3" t="str">
        <v/>
      </c>
      <c r="AF79" s="3" t="str">
        <v/>
      </c>
      <c r="AG79" s="3" t="str">
        <v/>
      </c>
      <c r="AH79" s="3" t="str">
        <v/>
      </c>
      <c r="AI79" s="3" t="str">
        <v/>
      </c>
      <c r="AJ79" s="3" t="str">
        <v/>
      </c>
      <c r="AK79" s="3" t="str">
        <v/>
      </c>
      <c r="AL79" s="3" t="str">
        <v/>
      </c>
      <c r="AM79" s="3" t="str">
        <v/>
      </c>
      <c r="AN79" s="3" t="str">
        <v/>
      </c>
      <c r="AO79" s="3" t="str">
        <v/>
      </c>
      <c r="AP79" s="3" t="str">
        <v/>
      </c>
      <c r="AQ79" s="3" t="str">
        <v/>
      </c>
      <c r="AR79" s="3" t="str">
        <v/>
      </c>
      <c r="AS79" s="3" t="str">
        <v/>
      </c>
      <c r="AT79" s="3" t="str">
        <v/>
      </c>
      <c r="AU79" s="3" t="str">
        <v/>
      </c>
      <c r="AV79" s="3" t="str">
        <v/>
      </c>
      <c r="AW79" s="3" t="str">
        <v/>
      </c>
      <c r="AX79" s="3" t="str">
        <v/>
      </c>
      <c r="AY79" s="3" t="str">
        <v/>
      </c>
      <c r="AZ79" s="3" t="str">
        <v/>
      </c>
      <c r="BA79" s="3" t="str">
        <v/>
      </c>
      <c r="BB79" s="3" t="str">
        <v/>
      </c>
      <c r="BC79" s="3" t="str">
        <v/>
      </c>
      <c r="BD79" s="3" t="str">
        <v/>
      </c>
      <c r="BE79" s="3" t="str">
        <v/>
      </c>
      <c r="BF79" s="3" t="str">
        <v/>
      </c>
      <c r="BG79" s="3" t="str">
        <v/>
      </c>
      <c r="BH79" s="3" t="str">
        <v/>
      </c>
      <c r="BI79" s="3" t="str">
        <v/>
      </c>
      <c r="BJ79" s="3" t="str">
        <v/>
      </c>
      <c r="BK79" s="3" t="str">
        <v/>
      </c>
      <c r="BL79" s="3" t="str">
        <v/>
      </c>
      <c r="BM79" s="3" t="str">
        <v/>
      </c>
      <c r="BN79" s="3" t="str">
        <v/>
      </c>
      <c r="BO79" s="3" t="str">
        <v/>
      </c>
      <c r="BP79" s="1" t="str">
        <v/>
      </c>
      <c r="BQ79" s="1" t="str">
        <v/>
      </c>
      <c r="BR79" s="1" t="str">
        <v/>
      </c>
      <c r="BS79" s="1" t="str">
        <v/>
      </c>
      <c r="BT79" s="1" t="str">
        <v/>
      </c>
      <c r="BU79" s="1" t="str">
        <v/>
      </c>
      <c r="BV79" s="1" t="str">
        <v/>
      </c>
      <c r="BW79" s="1" t="str">
        <v/>
      </c>
      <c r="BX79" s="1" t="str">
        <v/>
      </c>
      <c r="BY79" s="1">
        <v>1.0000000000000002</v>
      </c>
      <c r="BZ79" s="1">
        <v>0.3301184264584221</v>
      </c>
      <c r="CA79" s="1">
        <v>0.32317591026278081</v>
      </c>
      <c r="CB79" s="1">
        <v>0.3779664588718909</v>
      </c>
      <c r="CC79" s="1">
        <v>0.29224266868926152</v>
      </c>
      <c r="CD79" s="1">
        <v>9.5085775947014534E-2</v>
      </c>
      <c r="CE79" s="1">
        <v>0.22054776684695734</v>
      </c>
      <c r="CF79" s="1">
        <v>0.31362862384253143</v>
      </c>
      <c r="CG79" s="1">
        <v>0.43097651863554071</v>
      </c>
      <c r="CH79" s="1">
        <v>0.32463155848492298</v>
      </c>
      <c r="CI79" s="1">
        <v>0.56050433684354606</v>
      </c>
      <c r="CJ79" s="1">
        <v>0.19816806711928736</v>
      </c>
      <c r="CK79" s="1">
        <v>0.34628915435220747</v>
      </c>
      <c r="CL79" s="1">
        <v>0.5112301160658741</v>
      </c>
      <c r="CM79" s="1">
        <v>6.878310192859402E-2</v>
      </c>
      <c r="CN79" s="1">
        <v>0.35389503054551874</v>
      </c>
      <c r="CO79" s="1">
        <v>0.36508255538488249</v>
      </c>
      <c r="CP79" s="1">
        <v>0.3204492401197272</v>
      </c>
      <c r="CQ79" s="1">
        <v>0.18301696894043998</v>
      </c>
      <c r="CR79" s="1">
        <v>0.20318231269811235</v>
      </c>
      <c r="CS79" s="1">
        <v>3.4089955417428805E-2</v>
      </c>
      <c r="CT79" s="1">
        <v>0.46681743664359021</v>
      </c>
      <c r="CU79" s="1">
        <v>0.19697296945927631</v>
      </c>
      <c r="CV79" s="1">
        <v>0.264125122424891</v>
      </c>
      <c r="CW79" s="1">
        <v>0.26125603682835613</v>
      </c>
      <c r="CX79" s="1">
        <v>0.26620351176708151</v>
      </c>
      <c r="CY79" s="1">
        <v>0.27647444298519397</v>
      </c>
      <c r="CZ79" s="1">
        <v>0.38848594378805257</v>
      </c>
      <c r="DA79" s="1">
        <v>0.26059641792354166</v>
      </c>
      <c r="DB79" s="1">
        <v>0.3990916759969011</v>
      </c>
      <c r="DC79" s="1">
        <v>0.36350785387786094</v>
      </c>
      <c r="DD79" s="1">
        <v>0.34818609526302474</v>
      </c>
      <c r="DE79" s="1">
        <v>0.29799311759410035</v>
      </c>
      <c r="DF79" s="1">
        <v>0.22738179581702511</v>
      </c>
      <c r="DG79" s="1">
        <v>0.35106648203489649</v>
      </c>
      <c r="DH79" s="1">
        <v>0.46133342786619586</v>
      </c>
      <c r="DI79" s="1">
        <v>0.54228198307030617</v>
      </c>
      <c r="DJ79" s="1">
        <v>0.50216233453516979</v>
      </c>
      <c r="DK79" s="1">
        <v>0.51683360505207976</v>
      </c>
      <c r="DL79" s="1">
        <v>0.57584194922640641</v>
      </c>
      <c r="DM79" s="1">
        <v>0.55195264508291475</v>
      </c>
      <c r="DN79" s="1">
        <v>0.60273763744463615</v>
      </c>
      <c r="DO79" s="1">
        <v>0.48097905719053036</v>
      </c>
      <c r="DP79" s="1">
        <v>0.55751802707445386</v>
      </c>
      <c r="DQ79" s="1">
        <v>0.53199541698401587</v>
      </c>
      <c r="DR79" s="1">
        <v>0.5615345273486182</v>
      </c>
      <c r="DS79" s="1">
        <v>0.35094333143775258</v>
      </c>
      <c r="DT79" s="1">
        <v>0.48215907531266999</v>
      </c>
      <c r="DU79" s="1">
        <v>0.52947857358001182</v>
      </c>
      <c r="DV79" s="1">
        <v>0.61400015077789372</v>
      </c>
      <c r="DW79" s="1">
        <v>0.15365001068633866</v>
      </c>
      <c r="DX79" s="1">
        <v>9.5053054465506215E-3</v>
      </c>
      <c r="DY79" s="1">
        <v>0.43941949837024474</v>
      </c>
    </row>
    <row r="80" spans="1:129" ht="15">
      <c r="A80" s="7" t="s">
        <v>91</v>
      </c>
      <c r="B80" s="3" t="str">
        <v/>
      </c>
      <c r="C80" s="3" t="str">
        <v/>
      </c>
      <c r="D80" s="3" t="str">
        <v/>
      </c>
      <c r="E80" s="3" t="str">
        <v/>
      </c>
      <c r="F80" s="3" t="str">
        <v/>
      </c>
      <c r="G80" s="3" t="str">
        <v/>
      </c>
      <c r="H80" s="3" t="str">
        <v/>
      </c>
      <c r="I80" s="3" t="str">
        <v/>
      </c>
      <c r="J80" s="3" t="str">
        <v/>
      </c>
      <c r="K80" s="3" t="str">
        <v/>
      </c>
      <c r="L80" s="3" t="str">
        <v/>
      </c>
      <c r="M80" s="3" t="str">
        <v/>
      </c>
      <c r="N80" s="3" t="str">
        <v/>
      </c>
      <c r="O80" s="3" t="str">
        <v/>
      </c>
      <c r="P80" s="3" t="str">
        <v/>
      </c>
      <c r="Q80" s="3" t="str">
        <v/>
      </c>
      <c r="R80" s="3" t="str">
        <v/>
      </c>
      <c r="S80" s="3" t="str">
        <v/>
      </c>
      <c r="T80" s="3" t="str">
        <v/>
      </c>
      <c r="U80" s="3" t="str">
        <v/>
      </c>
      <c r="V80" s="3" t="str">
        <v/>
      </c>
      <c r="W80" s="3" t="str">
        <v/>
      </c>
      <c r="X80" s="3" t="str">
        <v/>
      </c>
      <c r="Y80" s="3" t="str">
        <v/>
      </c>
      <c r="Z80" s="3" t="str">
        <v/>
      </c>
      <c r="AA80" s="3" t="str">
        <v/>
      </c>
      <c r="AB80" s="3" t="str">
        <v/>
      </c>
      <c r="AC80" s="3" t="str">
        <v/>
      </c>
      <c r="AD80" s="3" t="str">
        <v/>
      </c>
      <c r="AE80" s="3" t="str">
        <v/>
      </c>
      <c r="AF80" s="3" t="str">
        <v/>
      </c>
      <c r="AG80" s="3" t="str">
        <v/>
      </c>
      <c r="AH80" s="3" t="str">
        <v/>
      </c>
      <c r="AI80" s="3" t="str">
        <v/>
      </c>
      <c r="AJ80" s="3" t="str">
        <v/>
      </c>
      <c r="AK80" s="3" t="str">
        <v/>
      </c>
      <c r="AL80" s="3" t="str">
        <v/>
      </c>
      <c r="AM80" s="3" t="str">
        <v/>
      </c>
      <c r="AN80" s="3" t="str">
        <v/>
      </c>
      <c r="AO80" s="3" t="str">
        <v/>
      </c>
      <c r="AP80" s="3" t="str">
        <v/>
      </c>
      <c r="AQ80" s="3" t="str">
        <v/>
      </c>
      <c r="AR80" s="3" t="str">
        <v/>
      </c>
      <c r="AS80" s="3" t="str">
        <v/>
      </c>
      <c r="AT80" s="3" t="str">
        <v/>
      </c>
      <c r="AU80" s="3" t="str">
        <v/>
      </c>
      <c r="AV80" s="3" t="str">
        <v/>
      </c>
      <c r="AW80" s="3" t="str">
        <v/>
      </c>
      <c r="AX80" s="3" t="str">
        <v/>
      </c>
      <c r="AY80" s="3" t="str">
        <v/>
      </c>
      <c r="AZ80" s="3" t="str">
        <v/>
      </c>
      <c r="BA80" s="3" t="str">
        <v/>
      </c>
      <c r="BB80" s="3" t="str">
        <v/>
      </c>
      <c r="BC80" s="3" t="str">
        <v/>
      </c>
      <c r="BD80" s="3" t="str">
        <v/>
      </c>
      <c r="BE80" s="3" t="str">
        <v/>
      </c>
      <c r="BF80" s="3" t="str">
        <v/>
      </c>
      <c r="BG80" s="3" t="str">
        <v/>
      </c>
      <c r="BH80" s="3" t="str">
        <v/>
      </c>
      <c r="BI80" s="3" t="str">
        <v/>
      </c>
      <c r="BJ80" s="3" t="str">
        <v/>
      </c>
      <c r="BK80" s="3" t="str">
        <v/>
      </c>
      <c r="BL80" s="3" t="str">
        <v/>
      </c>
      <c r="BM80" s="3" t="str">
        <v/>
      </c>
      <c r="BN80" s="3" t="str">
        <v/>
      </c>
      <c r="BO80" s="3" t="str">
        <v/>
      </c>
      <c r="BP80" s="1" t="str">
        <v/>
      </c>
      <c r="BQ80" s="1" t="str">
        <v/>
      </c>
      <c r="BR80" s="1" t="str">
        <v/>
      </c>
      <c r="BS80" s="1" t="str">
        <v/>
      </c>
      <c r="BT80" s="1" t="str">
        <v/>
      </c>
      <c r="BU80" s="1" t="str">
        <v/>
      </c>
      <c r="BV80" s="1" t="str">
        <v/>
      </c>
      <c r="BW80" s="1" t="str">
        <v/>
      </c>
      <c r="BX80" s="1" t="str">
        <v/>
      </c>
      <c r="BY80" s="1" t="str">
        <v/>
      </c>
      <c r="BZ80" s="1">
        <v>1</v>
      </c>
      <c r="CA80" s="1">
        <v>0.53720738857079953</v>
      </c>
      <c r="CB80" s="1">
        <v>0.72796600788945698</v>
      </c>
      <c r="CC80" s="1">
        <v>0.45532518736200189</v>
      </c>
      <c r="CD80" s="1">
        <v>0.44294001758171586</v>
      </c>
      <c r="CE80" s="1">
        <v>0.31233834242653463</v>
      </c>
      <c r="CF80" s="1">
        <v>0.48723673557682434</v>
      </c>
      <c r="CG80" s="1">
        <v>0.28606051304632296</v>
      </c>
      <c r="CH80" s="1">
        <v>0.5278421740768372</v>
      </c>
      <c r="CI80" s="1">
        <v>0.39783802760278186</v>
      </c>
      <c r="CJ80" s="1">
        <v>0.57220296624696421</v>
      </c>
      <c r="CK80" s="1">
        <v>0.3736956226109982</v>
      </c>
      <c r="CL80" s="1">
        <v>0.26743263636571324</v>
      </c>
      <c r="CM80" s="1">
        <v>0.30226465985616746</v>
      </c>
      <c r="CN80" s="1">
        <v>0.58937177578693978</v>
      </c>
      <c r="CO80" s="1">
        <v>0.440132502519267</v>
      </c>
      <c r="CP80" s="1">
        <v>0.63891007861167681</v>
      </c>
      <c r="CQ80" s="1">
        <v>0.51500863765802685</v>
      </c>
      <c r="CR80" s="1">
        <v>0.49008353958216161</v>
      </c>
      <c r="CS80" s="1">
        <v>0.22875543492248177</v>
      </c>
      <c r="CT80" s="1">
        <v>0.2689698715207301</v>
      </c>
      <c r="CU80" s="1">
        <v>0.33660754284570765</v>
      </c>
      <c r="CV80" s="1">
        <v>0.40989531945474539</v>
      </c>
      <c r="CW80" s="1">
        <v>0.32781947158454677</v>
      </c>
      <c r="CX80" s="1">
        <v>0.26907177303906216</v>
      </c>
      <c r="CY80" s="1">
        <v>9.5999245469722799E-2</v>
      </c>
      <c r="CZ80" s="1">
        <v>0.22489853725430922</v>
      </c>
      <c r="DA80" s="1">
        <v>9.4877907194777705E-2</v>
      </c>
      <c r="DB80" s="1">
        <v>0.23576343727005514</v>
      </c>
      <c r="DC80" s="1">
        <v>0.2157936692386796</v>
      </c>
      <c r="DD80" s="1">
        <v>9.2745672230632972E-2</v>
      </c>
      <c r="DE80" s="1">
        <v>0.20969446063080022</v>
      </c>
      <c r="DF80" s="1">
        <v>0.40330988987756367</v>
      </c>
      <c r="DG80" s="1">
        <v>7.1915240475108125E-2</v>
      </c>
      <c r="DH80" s="1">
        <v>0.41867477748228549</v>
      </c>
      <c r="DI80" s="1">
        <v>0.15859656759660251</v>
      </c>
      <c r="DJ80" s="1">
        <v>0.23850197007435747</v>
      </c>
      <c r="DK80" s="1">
        <v>9.1713456996136436E-2</v>
      </c>
      <c r="DL80" s="1">
        <v>9.241254505686379E-2</v>
      </c>
      <c r="DM80" s="1">
        <v>0.11129570887776453</v>
      </c>
      <c r="DN80" s="1">
        <v>0.14088348510114407</v>
      </c>
      <c r="DO80" s="1">
        <v>8.9545129440867149E-2</v>
      </c>
      <c r="DP80" s="1">
        <v>0.2190116558464601</v>
      </c>
      <c r="DQ80" s="1">
        <v>0.12328966126358462</v>
      </c>
      <c r="DR80" s="1">
        <v>0.18074968371701539</v>
      </c>
      <c r="DS80" s="1">
        <v>6.5211057814716644E-2</v>
      </c>
      <c r="DT80" s="1">
        <v>0.18451691743098406</v>
      </c>
      <c r="DU80" s="1">
        <v>0.17566119752551804</v>
      </c>
      <c r="DV80" s="1">
        <v>0.21146640552405754</v>
      </c>
      <c r="DW80" s="1">
        <v>0.21078092751692951</v>
      </c>
      <c r="DX80" s="1">
        <v>0.14244567194420929</v>
      </c>
      <c r="DY80" s="1">
        <v>0.19734587175325657</v>
      </c>
    </row>
    <row r="81" spans="1:129" ht="15">
      <c r="A81" s="7" t="s">
        <v>92</v>
      </c>
      <c r="B81" s="3" t="str">
        <v/>
      </c>
      <c r="C81" s="3" t="str">
        <v/>
      </c>
      <c r="D81" s="3" t="str">
        <v/>
      </c>
      <c r="E81" s="3" t="str">
        <v/>
      </c>
      <c r="F81" s="3" t="str">
        <v/>
      </c>
      <c r="G81" s="3" t="str">
        <v/>
      </c>
      <c r="H81" s="3" t="str">
        <v/>
      </c>
      <c r="I81" s="3" t="str">
        <v/>
      </c>
      <c r="J81" s="3" t="str">
        <v/>
      </c>
      <c r="K81" s="3" t="str">
        <v/>
      </c>
      <c r="L81" s="3" t="str">
        <v/>
      </c>
      <c r="M81" s="3" t="str">
        <v/>
      </c>
      <c r="N81" s="3" t="str">
        <v/>
      </c>
      <c r="O81" s="3" t="str">
        <v/>
      </c>
      <c r="P81" s="3" t="str">
        <v/>
      </c>
      <c r="Q81" s="3" t="str">
        <v/>
      </c>
      <c r="R81" s="3" t="str">
        <v/>
      </c>
      <c r="S81" s="3" t="str">
        <v/>
      </c>
      <c r="T81" s="3" t="str">
        <v/>
      </c>
      <c r="U81" s="3" t="str">
        <v/>
      </c>
      <c r="V81" s="3" t="str">
        <v/>
      </c>
      <c r="W81" s="3" t="str">
        <v/>
      </c>
      <c r="X81" s="3" t="str">
        <v/>
      </c>
      <c r="Y81" s="3" t="str">
        <v/>
      </c>
      <c r="Z81" s="3" t="str">
        <v/>
      </c>
      <c r="AA81" s="3" t="str">
        <v/>
      </c>
      <c r="AB81" s="3" t="str">
        <v/>
      </c>
      <c r="AC81" s="3" t="str">
        <v/>
      </c>
      <c r="AD81" s="3" t="str">
        <v/>
      </c>
      <c r="AE81" s="3" t="str">
        <v/>
      </c>
      <c r="AF81" s="3" t="str">
        <v/>
      </c>
      <c r="AG81" s="3" t="str">
        <v/>
      </c>
      <c r="AH81" s="3" t="str">
        <v/>
      </c>
      <c r="AI81" s="3" t="str">
        <v/>
      </c>
      <c r="AJ81" s="3" t="str">
        <v/>
      </c>
      <c r="AK81" s="3" t="str">
        <v/>
      </c>
      <c r="AL81" s="3" t="str">
        <v/>
      </c>
      <c r="AM81" s="3" t="str">
        <v/>
      </c>
      <c r="AN81" s="3" t="str">
        <v/>
      </c>
      <c r="AO81" s="3" t="str">
        <v/>
      </c>
      <c r="AP81" s="3" t="str">
        <v/>
      </c>
      <c r="AQ81" s="3" t="str">
        <v/>
      </c>
      <c r="AR81" s="3" t="str">
        <v/>
      </c>
      <c r="AS81" s="3" t="str">
        <v/>
      </c>
      <c r="AT81" s="3" t="str">
        <v/>
      </c>
      <c r="AU81" s="3" t="str">
        <v/>
      </c>
      <c r="AV81" s="3" t="str">
        <v/>
      </c>
      <c r="AW81" s="3" t="str">
        <v/>
      </c>
      <c r="AX81" s="3" t="str">
        <v/>
      </c>
      <c r="AY81" s="3" t="str">
        <v/>
      </c>
      <c r="AZ81" s="3" t="str">
        <v/>
      </c>
      <c r="BA81" s="3" t="str">
        <v/>
      </c>
      <c r="BB81" s="3" t="str">
        <v/>
      </c>
      <c r="BC81" s="3" t="str">
        <v/>
      </c>
      <c r="BD81" s="3" t="str">
        <v/>
      </c>
      <c r="BE81" s="3" t="str">
        <v/>
      </c>
      <c r="BF81" s="3" t="str">
        <v/>
      </c>
      <c r="BG81" s="3" t="str">
        <v/>
      </c>
      <c r="BH81" s="3" t="str">
        <v/>
      </c>
      <c r="BI81" s="3" t="str">
        <v/>
      </c>
      <c r="BJ81" s="3" t="str">
        <v/>
      </c>
      <c r="BK81" s="3" t="str">
        <v/>
      </c>
      <c r="BL81" s="3" t="str">
        <v/>
      </c>
      <c r="BM81" s="3" t="str">
        <v/>
      </c>
      <c r="BN81" s="3" t="str">
        <v/>
      </c>
      <c r="BO81" s="3" t="str">
        <v/>
      </c>
      <c r="BP81" s="1" t="str">
        <v/>
      </c>
      <c r="BQ81" s="1" t="str">
        <v/>
      </c>
      <c r="BR81" s="1" t="str">
        <v/>
      </c>
      <c r="BS81" s="1" t="str">
        <v/>
      </c>
      <c r="BT81" s="1" t="str">
        <v/>
      </c>
      <c r="BU81" s="1" t="str">
        <v/>
      </c>
      <c r="BV81" s="1" t="str">
        <v/>
      </c>
      <c r="BW81" s="1" t="str">
        <v/>
      </c>
      <c r="BX81" s="1" t="str">
        <v/>
      </c>
      <c r="BY81" s="1" t="str">
        <v/>
      </c>
      <c r="BZ81" s="1" t="str">
        <v/>
      </c>
      <c r="CA81" s="1">
        <v>1</v>
      </c>
      <c r="CB81" s="1">
        <v>0.74086521704487773</v>
      </c>
      <c r="CC81" s="1">
        <v>0.42533431800765098</v>
      </c>
      <c r="CD81" s="1">
        <v>0.49037789237884677</v>
      </c>
      <c r="CE81" s="1">
        <v>0.52466709115554089</v>
      </c>
      <c r="CF81" s="1">
        <v>0.59754866960254305</v>
      </c>
      <c r="CG81" s="1">
        <v>0.47384990730757326</v>
      </c>
      <c r="CH81" s="1">
        <v>0.62639934096880123</v>
      </c>
      <c r="CI81" s="1">
        <v>0.59583900884362428</v>
      </c>
      <c r="CJ81" s="1">
        <v>0.46929952790673357</v>
      </c>
      <c r="CK81" s="1">
        <v>0.33811294647641255</v>
      </c>
      <c r="CL81" s="1">
        <v>0.54220847544924111</v>
      </c>
      <c r="CM81" s="1">
        <v>-8.9796726317927129E-3</v>
      </c>
      <c r="CN81" s="1">
        <v>0.3707531247112848</v>
      </c>
      <c r="CO81" s="1">
        <v>0.37401199003184327</v>
      </c>
      <c r="CP81" s="1">
        <v>0.43092502853818776</v>
      </c>
      <c r="CQ81" s="1">
        <v>-6.4322646924248744E-3</v>
      </c>
      <c r="CR81" s="1">
        <v>0.30676898459807966</v>
      </c>
      <c r="CS81" s="1">
        <v>0.30942709652728029</v>
      </c>
      <c r="CT81" s="1">
        <v>0.57542690663287732</v>
      </c>
      <c r="CU81" s="1">
        <v>0.31281186667556499</v>
      </c>
      <c r="CV81" s="1">
        <v>0.32230362457290962</v>
      </c>
      <c r="CW81" s="1">
        <v>0.4139377678350436</v>
      </c>
      <c r="CX81" s="1">
        <v>0.20661839091838077</v>
      </c>
      <c r="CY81" s="1">
        <v>0.44046584027350461</v>
      </c>
      <c r="CZ81" s="1">
        <v>0.23334374856878976</v>
      </c>
      <c r="DA81" s="1">
        <v>7.6964737745992176E-2</v>
      </c>
      <c r="DB81" s="1">
        <v>0.25486465064461011</v>
      </c>
      <c r="DC81" s="1">
        <v>0.11020482257192907</v>
      </c>
      <c r="DD81" s="1">
        <v>1.9988153204632628E-2</v>
      </c>
      <c r="DE81" s="1">
        <v>0.16163376956890949</v>
      </c>
      <c r="DF81" s="1">
        <v>0.20145405323690932</v>
      </c>
      <c r="DG81" s="1">
        <v>2.1644309996506788E-3</v>
      </c>
      <c r="DH81" s="1">
        <v>0.32548858440727513</v>
      </c>
      <c r="DI81" s="1">
        <v>0.35760873863712755</v>
      </c>
      <c r="DJ81" s="1">
        <v>0.4108700230466924</v>
      </c>
      <c r="DK81" s="1">
        <v>0.34567448481768309</v>
      </c>
      <c r="DL81" s="1">
        <v>0.41375759812691215</v>
      </c>
      <c r="DM81" s="1">
        <v>0.44423318235498382</v>
      </c>
      <c r="DN81" s="1">
        <v>0.3631713784059411</v>
      </c>
      <c r="DO81" s="1">
        <v>0.36845421743842283</v>
      </c>
      <c r="DP81" s="1">
        <v>0.40754826552809581</v>
      </c>
      <c r="DQ81" s="1">
        <v>0.42131229683276927</v>
      </c>
      <c r="DR81" s="1">
        <v>0.45824708291660843</v>
      </c>
      <c r="DS81" s="1">
        <v>0.26108784783205352</v>
      </c>
      <c r="DT81" s="1">
        <v>0.43665892025873687</v>
      </c>
      <c r="DU81" s="1">
        <v>0.46493023274734446</v>
      </c>
      <c r="DV81" s="1">
        <v>0.49148126412108006</v>
      </c>
      <c r="DW81" s="1">
        <v>0.27820405792346148</v>
      </c>
      <c r="DX81" s="1">
        <v>0.36912306007777773</v>
      </c>
      <c r="DY81" s="1">
        <v>0.49872988622014319</v>
      </c>
    </row>
    <row r="82" spans="1:129" ht="15">
      <c r="A82" s="7" t="s">
        <v>93</v>
      </c>
      <c r="B82" s="3" t="str">
        <v/>
      </c>
      <c r="C82" s="3" t="str">
        <v/>
      </c>
      <c r="D82" s="3" t="str">
        <v/>
      </c>
      <c r="E82" s="3" t="str">
        <v/>
      </c>
      <c r="F82" s="3" t="str">
        <v/>
      </c>
      <c r="G82" s="3" t="str">
        <v/>
      </c>
      <c r="H82" s="3" t="str">
        <v/>
      </c>
      <c r="I82" s="3" t="str">
        <v/>
      </c>
      <c r="J82" s="3" t="str">
        <v/>
      </c>
      <c r="K82" s="3" t="str">
        <v/>
      </c>
      <c r="L82" s="3" t="str">
        <v/>
      </c>
      <c r="M82" s="3" t="str">
        <v/>
      </c>
      <c r="N82" s="3" t="str">
        <v/>
      </c>
      <c r="O82" s="3" t="str">
        <v/>
      </c>
      <c r="P82" s="3" t="str">
        <v/>
      </c>
      <c r="Q82" s="3" t="str">
        <v/>
      </c>
      <c r="R82" s="3" t="str">
        <v/>
      </c>
      <c r="S82" s="3" t="str">
        <v/>
      </c>
      <c r="T82" s="3" t="str">
        <v/>
      </c>
      <c r="U82" s="3" t="str">
        <v/>
      </c>
      <c r="V82" s="3" t="str">
        <v/>
      </c>
      <c r="W82" s="3" t="str">
        <v/>
      </c>
      <c r="X82" s="3" t="str">
        <v/>
      </c>
      <c r="Y82" s="3" t="str">
        <v/>
      </c>
      <c r="Z82" s="3" t="str">
        <v/>
      </c>
      <c r="AA82" s="3" t="str">
        <v/>
      </c>
      <c r="AB82" s="3" t="str">
        <v/>
      </c>
      <c r="AC82" s="3" t="str">
        <v/>
      </c>
      <c r="AD82" s="3" t="str">
        <v/>
      </c>
      <c r="AE82" s="3" t="str">
        <v/>
      </c>
      <c r="AF82" s="3" t="str">
        <v/>
      </c>
      <c r="AG82" s="3" t="str">
        <v/>
      </c>
      <c r="AH82" s="3" t="str">
        <v/>
      </c>
      <c r="AI82" s="3" t="str">
        <v/>
      </c>
      <c r="AJ82" s="3" t="str">
        <v/>
      </c>
      <c r="AK82" s="3" t="str">
        <v/>
      </c>
      <c r="AL82" s="3" t="str">
        <v/>
      </c>
      <c r="AM82" s="3" t="str">
        <v/>
      </c>
      <c r="AN82" s="3" t="str">
        <v/>
      </c>
      <c r="AO82" s="3" t="str">
        <v/>
      </c>
      <c r="AP82" s="3" t="str">
        <v/>
      </c>
      <c r="AQ82" s="3" t="str">
        <v/>
      </c>
      <c r="AR82" s="3" t="str">
        <v/>
      </c>
      <c r="AS82" s="3" t="str">
        <v/>
      </c>
      <c r="AT82" s="3" t="str">
        <v/>
      </c>
      <c r="AU82" s="3" t="str">
        <v/>
      </c>
      <c r="AV82" s="3" t="str">
        <v/>
      </c>
      <c r="AW82" s="3" t="str">
        <v/>
      </c>
      <c r="AX82" s="3" t="str">
        <v/>
      </c>
      <c r="AY82" s="3" t="str">
        <v/>
      </c>
      <c r="AZ82" s="3" t="str">
        <v/>
      </c>
      <c r="BA82" s="3" t="str">
        <v/>
      </c>
      <c r="BB82" s="3" t="str">
        <v/>
      </c>
      <c r="BC82" s="3" t="str">
        <v/>
      </c>
      <c r="BD82" s="3" t="str">
        <v/>
      </c>
      <c r="BE82" s="3" t="str">
        <v/>
      </c>
      <c r="BF82" s="3" t="str">
        <v/>
      </c>
      <c r="BG82" s="3" t="str">
        <v/>
      </c>
      <c r="BH82" s="3" t="str">
        <v/>
      </c>
      <c r="BI82" s="3" t="str">
        <v/>
      </c>
      <c r="BJ82" s="3" t="str">
        <v/>
      </c>
      <c r="BK82" s="3" t="str">
        <v/>
      </c>
      <c r="BL82" s="3" t="str">
        <v/>
      </c>
      <c r="BM82" s="3" t="str">
        <v/>
      </c>
      <c r="BN82" s="3" t="str">
        <v/>
      </c>
      <c r="BO82" s="3" t="str">
        <v/>
      </c>
      <c r="BP82" s="1" t="str">
        <v/>
      </c>
      <c r="BQ82" s="1" t="str">
        <v/>
      </c>
      <c r="BR82" s="1" t="str">
        <v/>
      </c>
      <c r="BS82" s="1" t="str">
        <v/>
      </c>
      <c r="BT82" s="1" t="str">
        <v/>
      </c>
      <c r="BU82" s="1" t="str">
        <v/>
      </c>
      <c r="BV82" s="1" t="str">
        <v/>
      </c>
      <c r="BW82" s="1" t="str">
        <v/>
      </c>
      <c r="BX82" s="1" t="str">
        <v/>
      </c>
      <c r="BY82" s="1" t="str">
        <v/>
      </c>
      <c r="BZ82" s="1" t="str">
        <v/>
      </c>
      <c r="CA82" s="1" t="str">
        <v/>
      </c>
      <c r="CB82" s="1">
        <v>1</v>
      </c>
      <c r="CC82" s="1">
        <v>0.49476835046610096</v>
      </c>
      <c r="CD82" s="1">
        <v>0.63689645285392693</v>
      </c>
      <c r="CE82" s="1">
        <v>0.51671133638696864</v>
      </c>
      <c r="CF82" s="1">
        <v>0.58586622232506491</v>
      </c>
      <c r="CG82" s="1">
        <v>0.35701784363210376</v>
      </c>
      <c r="CH82" s="1">
        <v>0.71920136387464795</v>
      </c>
      <c r="CI82" s="1">
        <v>0.57837274333690403</v>
      </c>
      <c r="CJ82" s="1">
        <v>0.69309586189985706</v>
      </c>
      <c r="CK82" s="1">
        <v>0.31887983118715174</v>
      </c>
      <c r="CL82" s="1">
        <v>0.46341450550621738</v>
      </c>
      <c r="CM82" s="1">
        <v>0.13313151812822116</v>
      </c>
      <c r="CN82" s="1">
        <v>0.56264663679116922</v>
      </c>
      <c r="CO82" s="1">
        <v>0.51354146876855145</v>
      </c>
      <c r="CP82" s="1">
        <v>0.64668404633769694</v>
      </c>
      <c r="CQ82" s="1">
        <v>0.42552991000260804</v>
      </c>
      <c r="CR82" s="1">
        <v>0.55729134041516604</v>
      </c>
      <c r="CS82" s="1">
        <v>0.37095355932524676</v>
      </c>
      <c r="CT82" s="1">
        <v>0.49164497159451398</v>
      </c>
      <c r="CU82" s="1">
        <v>0.38761436163845991</v>
      </c>
      <c r="CV82" s="1">
        <v>0.29383653647295038</v>
      </c>
      <c r="CW82" s="1">
        <v>0.35742516642679062</v>
      </c>
      <c r="CX82" s="1">
        <v>0.31190610475503822</v>
      </c>
      <c r="CY82" s="1">
        <v>0.29071189478443554</v>
      </c>
      <c r="CZ82" s="1">
        <v>0.35880186152498594</v>
      </c>
      <c r="DA82" s="1">
        <v>0.1275769938024815</v>
      </c>
      <c r="DB82" s="1">
        <v>0.25006206496708533</v>
      </c>
      <c r="DC82" s="1">
        <v>9.8891381194016859E-2</v>
      </c>
      <c r="DD82" s="1">
        <v>7.2729061599791686E-2</v>
      </c>
      <c r="DE82" s="1">
        <v>0.18536224909662199</v>
      </c>
      <c r="DF82" s="1">
        <v>0.25587647363703336</v>
      </c>
      <c r="DG82" s="1">
        <v>8.2582887800505309E-2</v>
      </c>
      <c r="DH82" s="1">
        <v>0.39083177405835845</v>
      </c>
      <c r="DI82" s="1">
        <v>0.33459540144943895</v>
      </c>
      <c r="DJ82" s="1">
        <v>0.40865617767599199</v>
      </c>
      <c r="DK82" s="1">
        <v>0.24985409405489983</v>
      </c>
      <c r="DL82" s="1">
        <v>0.30057224577874697</v>
      </c>
      <c r="DM82" s="1">
        <v>0.32295574589687309</v>
      </c>
      <c r="DN82" s="1">
        <v>0.35862728909857294</v>
      </c>
      <c r="DO82" s="1">
        <v>0.29560014916266636</v>
      </c>
      <c r="DP82" s="1">
        <v>0.35756688542798382</v>
      </c>
      <c r="DQ82" s="1">
        <v>0.35550679636447868</v>
      </c>
      <c r="DR82" s="1">
        <v>0.30616689318512175</v>
      </c>
      <c r="DS82" s="1">
        <v>0.13295592247318522</v>
      </c>
      <c r="DT82" s="1">
        <v>0.33588124615668746</v>
      </c>
      <c r="DU82" s="1">
        <v>0.32418278124774319</v>
      </c>
      <c r="DV82" s="1">
        <v>0.43430911825142743</v>
      </c>
      <c r="DW82" s="1">
        <v>0.27440711125749212</v>
      </c>
      <c r="DX82" s="1">
        <v>0.29122407219011148</v>
      </c>
      <c r="DY82" s="1">
        <v>0.30656572788569414</v>
      </c>
    </row>
    <row r="83" spans="1:129" ht="15">
      <c r="A83" s="7" t="s">
        <v>94</v>
      </c>
      <c r="B83" s="3" t="str">
        <v/>
      </c>
      <c r="C83" s="3" t="str">
        <v/>
      </c>
      <c r="D83" s="3" t="str">
        <v/>
      </c>
      <c r="E83" s="3" t="str">
        <v/>
      </c>
      <c r="F83" s="3" t="str">
        <v/>
      </c>
      <c r="G83" s="3" t="str">
        <v/>
      </c>
      <c r="H83" s="3" t="str">
        <v/>
      </c>
      <c r="I83" s="3" t="str">
        <v/>
      </c>
      <c r="J83" s="3" t="str">
        <v/>
      </c>
      <c r="K83" s="3" t="str">
        <v/>
      </c>
      <c r="L83" s="3" t="str">
        <v/>
      </c>
      <c r="M83" s="3" t="str">
        <v/>
      </c>
      <c r="N83" s="3" t="str">
        <v/>
      </c>
      <c r="O83" s="3" t="str">
        <v/>
      </c>
      <c r="P83" s="3" t="str">
        <v/>
      </c>
      <c r="Q83" s="3" t="str">
        <v/>
      </c>
      <c r="R83" s="3" t="str">
        <v/>
      </c>
      <c r="S83" s="3" t="str">
        <v/>
      </c>
      <c r="T83" s="3" t="str">
        <v/>
      </c>
      <c r="U83" s="3" t="str">
        <v/>
      </c>
      <c r="V83" s="3" t="str">
        <v/>
      </c>
      <c r="W83" s="3" t="str">
        <v/>
      </c>
      <c r="X83" s="3" t="str">
        <v/>
      </c>
      <c r="Y83" s="3" t="str">
        <v/>
      </c>
      <c r="Z83" s="3" t="str">
        <v/>
      </c>
      <c r="AA83" s="3" t="str">
        <v/>
      </c>
      <c r="AB83" s="3" t="str">
        <v/>
      </c>
      <c r="AC83" s="3" t="str">
        <v/>
      </c>
      <c r="AD83" s="3" t="str">
        <v/>
      </c>
      <c r="AE83" s="3" t="str">
        <v/>
      </c>
      <c r="AF83" s="3" t="str">
        <v/>
      </c>
      <c r="AG83" s="3" t="str">
        <v/>
      </c>
      <c r="AH83" s="3" t="str">
        <v/>
      </c>
      <c r="AI83" s="3" t="str">
        <v/>
      </c>
      <c r="AJ83" s="3" t="str">
        <v/>
      </c>
      <c r="AK83" s="3" t="str">
        <v/>
      </c>
      <c r="AL83" s="3" t="str">
        <v/>
      </c>
      <c r="AM83" s="3" t="str">
        <v/>
      </c>
      <c r="AN83" s="3" t="str">
        <v/>
      </c>
      <c r="AO83" s="3" t="str">
        <v/>
      </c>
      <c r="AP83" s="3" t="str">
        <v/>
      </c>
      <c r="AQ83" s="3" t="str">
        <v/>
      </c>
      <c r="AR83" s="3" t="str">
        <v/>
      </c>
      <c r="AS83" s="3" t="str">
        <v/>
      </c>
      <c r="AT83" s="3" t="str">
        <v/>
      </c>
      <c r="AU83" s="3" t="str">
        <v/>
      </c>
      <c r="AV83" s="3" t="str">
        <v/>
      </c>
      <c r="AW83" s="3" t="str">
        <v/>
      </c>
      <c r="AX83" s="3" t="str">
        <v/>
      </c>
      <c r="AY83" s="3" t="str">
        <v/>
      </c>
      <c r="AZ83" s="3" t="str">
        <v/>
      </c>
      <c r="BA83" s="3" t="str">
        <v/>
      </c>
      <c r="BB83" s="3" t="str">
        <v/>
      </c>
      <c r="BC83" s="3" t="str">
        <v/>
      </c>
      <c r="BD83" s="3" t="str">
        <v/>
      </c>
      <c r="BE83" s="3" t="str">
        <v/>
      </c>
      <c r="BF83" s="3" t="str">
        <v/>
      </c>
      <c r="BG83" s="3" t="str">
        <v/>
      </c>
      <c r="BH83" s="3" t="str">
        <v/>
      </c>
      <c r="BI83" s="3" t="str">
        <v/>
      </c>
      <c r="BJ83" s="3" t="str">
        <v/>
      </c>
      <c r="BK83" s="3" t="str">
        <v/>
      </c>
      <c r="BL83" s="3" t="str">
        <v/>
      </c>
      <c r="BM83" s="3" t="str">
        <v/>
      </c>
      <c r="BN83" s="3" t="str">
        <v/>
      </c>
      <c r="BO83" s="3" t="str">
        <v/>
      </c>
      <c r="BP83" s="1" t="str">
        <v/>
      </c>
      <c r="BQ83" s="1" t="str">
        <v/>
      </c>
      <c r="BR83" s="1" t="str">
        <v/>
      </c>
      <c r="BS83" s="1" t="str">
        <v/>
      </c>
      <c r="BT83" s="1" t="str">
        <v/>
      </c>
      <c r="BU83" s="1" t="str">
        <v/>
      </c>
      <c r="BV83" s="1" t="str">
        <v/>
      </c>
      <c r="BW83" s="1" t="str">
        <v/>
      </c>
      <c r="BX83" s="1" t="str">
        <v/>
      </c>
      <c r="BY83" s="1" t="str">
        <v/>
      </c>
      <c r="BZ83" s="1" t="str">
        <v/>
      </c>
      <c r="CA83" s="1" t="str">
        <v/>
      </c>
      <c r="CB83" s="1" t="str">
        <v/>
      </c>
      <c r="CC83" s="1">
        <v>0.99999999999999989</v>
      </c>
      <c r="CD83" s="1">
        <v>0.21316602731307394</v>
      </c>
      <c r="CE83" s="1">
        <v>0.28825879801898607</v>
      </c>
      <c r="CF83" s="1">
        <v>0.48053132488390465</v>
      </c>
      <c r="CG83" s="1">
        <v>0.38247409236486124</v>
      </c>
      <c r="CH83" s="1">
        <v>0.50608437694032571</v>
      </c>
      <c r="CI83" s="1">
        <v>0.56154665615559041</v>
      </c>
      <c r="CJ83" s="1">
        <v>0.38308987192744631</v>
      </c>
      <c r="CK83" s="1">
        <v>0.40140111216556429</v>
      </c>
      <c r="CL83" s="1">
        <v>0.24234599986307603</v>
      </c>
      <c r="CM83" s="1">
        <v>-5.4301279848505149E-2</v>
      </c>
      <c r="CN83" s="1">
        <v>0.34123194247278221</v>
      </c>
      <c r="CO83" s="1">
        <v>0.26055135607550228</v>
      </c>
      <c r="CP83" s="1">
        <v>0.25446531871580769</v>
      </c>
      <c r="CQ83" s="1">
        <v>0.22920551237815109</v>
      </c>
      <c r="CR83" s="1">
        <v>0.3062829807371471</v>
      </c>
      <c r="CS83" s="1">
        <v>0.13538249639954772</v>
      </c>
      <c r="CT83" s="1">
        <v>0.27585246388864298</v>
      </c>
      <c r="CU83" s="1">
        <v>0.29233374294121706</v>
      </c>
      <c r="CV83" s="1">
        <v>0.32238104943699036</v>
      </c>
      <c r="CW83" s="1">
        <v>0.49304195750119761</v>
      </c>
      <c r="CX83" s="1">
        <v>0.4765250577413262</v>
      </c>
      <c r="CY83" s="1">
        <v>0.35256994903728472</v>
      </c>
      <c r="CZ83" s="1">
        <v>0.27548677640221297</v>
      </c>
      <c r="DA83" s="1">
        <v>0.1441941641127476</v>
      </c>
      <c r="DB83" s="1">
        <v>0.20959187214953315</v>
      </c>
      <c r="DC83" s="1">
        <v>7.8353293898143106E-2</v>
      </c>
      <c r="DD83" s="1">
        <v>4.9491827906537389E-2</v>
      </c>
      <c r="DE83" s="1">
        <v>0.32770877260326547</v>
      </c>
      <c r="DF83" s="1">
        <v>0.30313764553259948</v>
      </c>
      <c r="DG83" s="1">
        <v>0.33013911475062013</v>
      </c>
      <c r="DH83" s="1">
        <v>0.55317772616088223</v>
      </c>
      <c r="DI83" s="1">
        <v>0.36563687585678079</v>
      </c>
      <c r="DJ83" s="1">
        <v>0.25706603655087346</v>
      </c>
      <c r="DK83" s="1">
        <v>0.21513583656549737</v>
      </c>
      <c r="DL83" s="1">
        <v>0.29003295948085611</v>
      </c>
      <c r="DM83" s="1">
        <v>0.30206944265052271</v>
      </c>
      <c r="DN83" s="1">
        <v>0.32895717676122194</v>
      </c>
      <c r="DO83" s="1">
        <v>0.22737173525311702</v>
      </c>
      <c r="DP83" s="1">
        <v>0.31234872398435232</v>
      </c>
      <c r="DQ83" s="1">
        <v>0.31162918605261808</v>
      </c>
      <c r="DR83" s="1">
        <v>0.44877941732600135</v>
      </c>
      <c r="DS83" s="1">
        <v>0.17865720565532375</v>
      </c>
      <c r="DT83" s="1">
        <v>0.32312679505149977</v>
      </c>
      <c r="DU83" s="1">
        <v>0.45611907894938769</v>
      </c>
      <c r="DV83" s="1">
        <v>0.32193170212672784</v>
      </c>
      <c r="DW83" s="1">
        <v>0.30451097114381026</v>
      </c>
      <c r="DX83" s="1">
        <v>0.35655214281318853</v>
      </c>
      <c r="DY83" s="1">
        <v>0.39363176098540764</v>
      </c>
    </row>
    <row r="84" spans="1:129" ht="15">
      <c r="A84" s="7" t="s">
        <v>95</v>
      </c>
      <c r="B84" s="3" t="str">
        <v/>
      </c>
      <c r="C84" s="3" t="str">
        <v/>
      </c>
      <c r="D84" s="3" t="str">
        <v/>
      </c>
      <c r="E84" s="3" t="str">
        <v/>
      </c>
      <c r="F84" s="3" t="str">
        <v/>
      </c>
      <c r="G84" s="3" t="str">
        <v/>
      </c>
      <c r="H84" s="3" t="str">
        <v/>
      </c>
      <c r="I84" s="3" t="str">
        <v/>
      </c>
      <c r="J84" s="3" t="str">
        <v/>
      </c>
      <c r="K84" s="3" t="str">
        <v/>
      </c>
      <c r="L84" s="3" t="str">
        <v/>
      </c>
      <c r="M84" s="3" t="str">
        <v/>
      </c>
      <c r="N84" s="3" t="str">
        <v/>
      </c>
      <c r="O84" s="3" t="str">
        <v/>
      </c>
      <c r="P84" s="3" t="str">
        <v/>
      </c>
      <c r="Q84" s="3" t="str">
        <v/>
      </c>
      <c r="R84" s="3" t="str">
        <v/>
      </c>
      <c r="S84" s="3" t="str">
        <v/>
      </c>
      <c r="T84" s="3" t="str">
        <v/>
      </c>
      <c r="U84" s="3" t="str">
        <v/>
      </c>
      <c r="V84" s="3" t="str">
        <v/>
      </c>
      <c r="W84" s="3" t="str">
        <v/>
      </c>
      <c r="X84" s="3" t="str">
        <v/>
      </c>
      <c r="Y84" s="3" t="str">
        <v/>
      </c>
      <c r="Z84" s="3" t="str">
        <v/>
      </c>
      <c r="AA84" s="3" t="str">
        <v/>
      </c>
      <c r="AB84" s="3" t="str">
        <v/>
      </c>
      <c r="AC84" s="3" t="str">
        <v/>
      </c>
      <c r="AD84" s="3" t="str">
        <v/>
      </c>
      <c r="AE84" s="3" t="str">
        <v/>
      </c>
      <c r="AF84" s="3" t="str">
        <v/>
      </c>
      <c r="AG84" s="3" t="str">
        <v/>
      </c>
      <c r="AH84" s="3" t="str">
        <v/>
      </c>
      <c r="AI84" s="3" t="str">
        <v/>
      </c>
      <c r="AJ84" s="3" t="str">
        <v/>
      </c>
      <c r="AK84" s="3" t="str">
        <v/>
      </c>
      <c r="AL84" s="3" t="str">
        <v/>
      </c>
      <c r="AM84" s="3" t="str">
        <v/>
      </c>
      <c r="AN84" s="3" t="str">
        <v/>
      </c>
      <c r="AO84" s="3" t="str">
        <v/>
      </c>
      <c r="AP84" s="3" t="str">
        <v/>
      </c>
      <c r="AQ84" s="3" t="str">
        <v/>
      </c>
      <c r="AR84" s="3" t="str">
        <v/>
      </c>
      <c r="AS84" s="3" t="str">
        <v/>
      </c>
      <c r="AT84" s="3" t="str">
        <v/>
      </c>
      <c r="AU84" s="3" t="str">
        <v/>
      </c>
      <c r="AV84" s="3" t="str">
        <v/>
      </c>
      <c r="AW84" s="3" t="str">
        <v/>
      </c>
      <c r="AX84" s="3" t="str">
        <v/>
      </c>
      <c r="AY84" s="3" t="str">
        <v/>
      </c>
      <c r="AZ84" s="3" t="str">
        <v/>
      </c>
      <c r="BA84" s="3" t="str">
        <v/>
      </c>
      <c r="BB84" s="3" t="str">
        <v/>
      </c>
      <c r="BC84" s="3" t="str">
        <v/>
      </c>
      <c r="BD84" s="3" t="str">
        <v/>
      </c>
      <c r="BE84" s="3" t="str">
        <v/>
      </c>
      <c r="BF84" s="3" t="str">
        <v/>
      </c>
      <c r="BG84" s="3" t="str">
        <v/>
      </c>
      <c r="BH84" s="3" t="str">
        <v/>
      </c>
      <c r="BI84" s="3" t="str">
        <v/>
      </c>
      <c r="BJ84" s="3" t="str">
        <v/>
      </c>
      <c r="BK84" s="3" t="str">
        <v/>
      </c>
      <c r="BL84" s="3" t="str">
        <v/>
      </c>
      <c r="BM84" s="3" t="str">
        <v/>
      </c>
      <c r="BN84" s="3" t="str">
        <v/>
      </c>
      <c r="BO84" s="3" t="str">
        <v/>
      </c>
      <c r="BP84" s="1" t="str">
        <v/>
      </c>
      <c r="BQ84" s="1" t="str">
        <v/>
      </c>
      <c r="BR84" s="1" t="str">
        <v/>
      </c>
      <c r="BS84" s="1" t="str">
        <v/>
      </c>
      <c r="BT84" s="1" t="str">
        <v/>
      </c>
      <c r="BU84" s="1" t="str">
        <v/>
      </c>
      <c r="BV84" s="1" t="str">
        <v/>
      </c>
      <c r="BW84" s="1" t="str">
        <v/>
      </c>
      <c r="BX84" s="1" t="str">
        <v/>
      </c>
      <c r="BY84" s="1" t="str">
        <v/>
      </c>
      <c r="BZ84" s="1" t="str">
        <v/>
      </c>
      <c r="CA84" s="1" t="str">
        <v/>
      </c>
      <c r="CB84" s="1" t="str">
        <v/>
      </c>
      <c r="CC84" s="1" t="str">
        <v/>
      </c>
      <c r="CD84" s="1">
        <v>1</v>
      </c>
      <c r="CE84" s="1">
        <v>0.58113046175825733</v>
      </c>
      <c r="CF84" s="1">
        <v>0.55550148977014646</v>
      </c>
      <c r="CG84" s="1">
        <v>0.19829740023742737</v>
      </c>
      <c r="CH84" s="1">
        <v>0.47318491130824358</v>
      </c>
      <c r="CI84" s="1">
        <v>0.38366042915562698</v>
      </c>
      <c r="CJ84" s="1">
        <v>0.63512388060585134</v>
      </c>
      <c r="CK84" s="1">
        <v>0.12207279436693683</v>
      </c>
      <c r="CL84" s="1">
        <v>0.3031639891559903</v>
      </c>
      <c r="CM84" s="1">
        <v>6.8134034706802821E-2</v>
      </c>
      <c r="CN84" s="1">
        <v>0.27000282567326106</v>
      </c>
      <c r="CO84" s="1">
        <v>0.44049912327116075</v>
      </c>
      <c r="CP84" s="1">
        <v>0.57869701529740047</v>
      </c>
      <c r="CQ84" s="1">
        <v>0.34118996638576143</v>
      </c>
      <c r="CR84" s="1">
        <v>0.25892175676805612</v>
      </c>
      <c r="CS84" s="1">
        <v>0.33258825294908284</v>
      </c>
      <c r="CT84" s="1">
        <v>0.26897904801181188</v>
      </c>
      <c r="CU84" s="1">
        <v>0.12727058770618993</v>
      </c>
      <c r="CV84" s="1">
        <v>0.38019977059841525</v>
      </c>
      <c r="CW84" s="1">
        <v>0.28685320955967059</v>
      </c>
      <c r="CX84" s="1">
        <v>0.25348953566677823</v>
      </c>
      <c r="CY84" s="1">
        <v>-6.8962020823086136E-3</v>
      </c>
      <c r="CZ84" s="1">
        <v>0.32137354743962848</v>
      </c>
      <c r="DA84" s="1">
        <v>9.6600016558341245E-3</v>
      </c>
      <c r="DB84" s="1">
        <v>0.11795156860250075</v>
      </c>
      <c r="DC84" s="1">
        <v>2.3021419193809869E-2</v>
      </c>
      <c r="DD84" s="1">
        <v>-9.5335749029456074E-2</v>
      </c>
      <c r="DE84" s="1">
        <v>8.7954080453645264E-2</v>
      </c>
      <c r="DF84" s="1">
        <v>0.11524319056020953</v>
      </c>
      <c r="DG84" s="1">
        <v>4.0576780418511392E-2</v>
      </c>
      <c r="DH84" s="1">
        <v>0.13632374737399991</v>
      </c>
      <c r="DI84" s="1">
        <v>0.12896608146252206</v>
      </c>
      <c r="DJ84" s="1">
        <v>0.19360590868360891</v>
      </c>
      <c r="DK84" s="1">
        <v>0.10340070510143842</v>
      </c>
      <c r="DL84" s="1">
        <v>0.15179922091446968</v>
      </c>
      <c r="DM84" s="1">
        <v>0.15353916569608456</v>
      </c>
      <c r="DN84" s="1">
        <v>0.17304031854884871</v>
      </c>
      <c r="DO84" s="1">
        <v>0.13129768857157006</v>
      </c>
      <c r="DP84" s="1">
        <v>0.1597471885515685</v>
      </c>
      <c r="DQ84" s="1">
        <v>0.15349387679657692</v>
      </c>
      <c r="DR84" s="1">
        <v>0.15354290851138416</v>
      </c>
      <c r="DS84" s="1">
        <v>7.8445111196002226E-2</v>
      </c>
      <c r="DT84" s="1">
        <v>0.23180121111048571</v>
      </c>
      <c r="DU84" s="1">
        <v>0.13052457551243071</v>
      </c>
      <c r="DV84" s="1">
        <v>0.18186690739724204</v>
      </c>
      <c r="DW84" s="1">
        <v>9.3222748435227626E-2</v>
      </c>
      <c r="DX84" s="1">
        <v>0.40857425207707176</v>
      </c>
      <c r="DY84" s="1">
        <v>0.17157116058114599</v>
      </c>
    </row>
    <row r="85" spans="1:129" ht="15">
      <c r="A85" s="7" t="s">
        <v>96</v>
      </c>
      <c r="B85" s="3" t="str">
        <v/>
      </c>
      <c r="C85" s="3" t="str">
        <v/>
      </c>
      <c r="D85" s="3" t="str">
        <v/>
      </c>
      <c r="E85" s="3" t="str">
        <v/>
      </c>
      <c r="F85" s="3" t="str">
        <v/>
      </c>
      <c r="G85" s="3" t="str">
        <v/>
      </c>
      <c r="H85" s="3" t="str">
        <v/>
      </c>
      <c r="I85" s="3" t="str">
        <v/>
      </c>
      <c r="J85" s="3" t="str">
        <v/>
      </c>
      <c r="K85" s="3" t="str">
        <v/>
      </c>
      <c r="L85" s="3" t="str">
        <v/>
      </c>
      <c r="M85" s="3" t="str">
        <v/>
      </c>
      <c r="N85" s="3" t="str">
        <v/>
      </c>
      <c r="O85" s="3" t="str">
        <v/>
      </c>
      <c r="P85" s="3" t="str">
        <v/>
      </c>
      <c r="Q85" s="3" t="str">
        <v/>
      </c>
      <c r="R85" s="3" t="str">
        <v/>
      </c>
      <c r="S85" s="3" t="str">
        <v/>
      </c>
      <c r="T85" s="3" t="str">
        <v/>
      </c>
      <c r="U85" s="3" t="str">
        <v/>
      </c>
      <c r="V85" s="3" t="str">
        <v/>
      </c>
      <c r="W85" s="3" t="str">
        <v/>
      </c>
      <c r="X85" s="3" t="str">
        <v/>
      </c>
      <c r="Y85" s="3" t="str">
        <v/>
      </c>
      <c r="Z85" s="3" t="str">
        <v/>
      </c>
      <c r="AA85" s="3" t="str">
        <v/>
      </c>
      <c r="AB85" s="3" t="str">
        <v/>
      </c>
      <c r="AC85" s="3" t="str">
        <v/>
      </c>
      <c r="AD85" s="3" t="str">
        <v/>
      </c>
      <c r="AE85" s="3" t="str">
        <v/>
      </c>
      <c r="AF85" s="3" t="str">
        <v/>
      </c>
      <c r="AG85" s="3" t="str">
        <v/>
      </c>
      <c r="AH85" s="3" t="str">
        <v/>
      </c>
      <c r="AI85" s="3" t="str">
        <v/>
      </c>
      <c r="AJ85" s="3" t="str">
        <v/>
      </c>
      <c r="AK85" s="3" t="str">
        <v/>
      </c>
      <c r="AL85" s="3" t="str">
        <v/>
      </c>
      <c r="AM85" s="3" t="str">
        <v/>
      </c>
      <c r="AN85" s="3" t="str">
        <v/>
      </c>
      <c r="AO85" s="3" t="str">
        <v/>
      </c>
      <c r="AP85" s="3" t="str">
        <v/>
      </c>
      <c r="AQ85" s="3" t="str">
        <v/>
      </c>
      <c r="AR85" s="3" t="str">
        <v/>
      </c>
      <c r="AS85" s="3" t="str">
        <v/>
      </c>
      <c r="AT85" s="3" t="str">
        <v/>
      </c>
      <c r="AU85" s="3" t="str">
        <v/>
      </c>
      <c r="AV85" s="3" t="str">
        <v/>
      </c>
      <c r="AW85" s="3" t="str">
        <v/>
      </c>
      <c r="AX85" s="3" t="str">
        <v/>
      </c>
      <c r="AY85" s="3" t="str">
        <v/>
      </c>
      <c r="AZ85" s="3" t="str">
        <v/>
      </c>
      <c r="BA85" s="3" t="str">
        <v/>
      </c>
      <c r="BB85" s="3" t="str">
        <v/>
      </c>
      <c r="BC85" s="3" t="str">
        <v/>
      </c>
      <c r="BD85" s="3" t="str">
        <v/>
      </c>
      <c r="BE85" s="3" t="str">
        <v/>
      </c>
      <c r="BF85" s="3" t="str">
        <v/>
      </c>
      <c r="BG85" s="3" t="str">
        <v/>
      </c>
      <c r="BH85" s="3" t="str">
        <v/>
      </c>
      <c r="BI85" s="3" t="str">
        <v/>
      </c>
      <c r="BJ85" s="3" t="str">
        <v/>
      </c>
      <c r="BK85" s="3" t="str">
        <v/>
      </c>
      <c r="BL85" s="3" t="str">
        <v/>
      </c>
      <c r="BM85" s="3" t="str">
        <v/>
      </c>
      <c r="BN85" s="3" t="str">
        <v/>
      </c>
      <c r="BO85" s="3" t="str">
        <v/>
      </c>
      <c r="BP85" s="1" t="str">
        <v/>
      </c>
      <c r="BQ85" s="1" t="str">
        <v/>
      </c>
      <c r="BR85" s="1" t="str">
        <v/>
      </c>
      <c r="BS85" s="1" t="str">
        <v/>
      </c>
      <c r="BT85" s="1" t="str">
        <v/>
      </c>
      <c r="BU85" s="1" t="str">
        <v/>
      </c>
      <c r="BV85" s="1" t="str">
        <v/>
      </c>
      <c r="BW85" s="1" t="str">
        <v/>
      </c>
      <c r="BX85" s="1" t="str">
        <v/>
      </c>
      <c r="BY85" s="1" t="str">
        <v/>
      </c>
      <c r="BZ85" s="1" t="str">
        <v/>
      </c>
      <c r="CA85" s="1" t="str">
        <v/>
      </c>
      <c r="CB85" s="1" t="str">
        <v/>
      </c>
      <c r="CC85" s="1" t="str">
        <v/>
      </c>
      <c r="CD85" s="1" t="str">
        <v/>
      </c>
      <c r="CE85" s="1">
        <v>1</v>
      </c>
      <c r="CF85" s="1">
        <v>0.5950903596504975</v>
      </c>
      <c r="CG85" s="1">
        <v>0.34517379331638576</v>
      </c>
      <c r="CH85" s="1">
        <v>0.48921285187276903</v>
      </c>
      <c r="CI85" s="1">
        <v>0.5249528005623062</v>
      </c>
      <c r="CJ85" s="1">
        <v>0.37567240374277039</v>
      </c>
      <c r="CK85" s="1">
        <v>0.27159973701187412</v>
      </c>
      <c r="CL85" s="1">
        <v>0.47928293835457186</v>
      </c>
      <c r="CM85" s="1">
        <v>-4.2751169664929055E-2</v>
      </c>
      <c r="CN85" s="1">
        <v>0.25064660103712538</v>
      </c>
      <c r="CO85" s="1">
        <v>0.18396145371213496</v>
      </c>
      <c r="CP85" s="1">
        <v>0.32314165735094991</v>
      </c>
      <c r="CQ85" s="1">
        <v>3.2010254370252518E-2</v>
      </c>
      <c r="CR85" s="1">
        <v>0.19633635517593476</v>
      </c>
      <c r="CS85" s="1">
        <v>0.36036631105799644</v>
      </c>
      <c r="CT85" s="1">
        <v>0.50758059121070764</v>
      </c>
      <c r="CU85" s="1">
        <v>0.35160811322907515</v>
      </c>
      <c r="CV85" s="1">
        <v>0.32136082629065227</v>
      </c>
      <c r="CW85" s="1">
        <v>0.24247423782737945</v>
      </c>
      <c r="CX85" s="1">
        <v>0.19147874362110612</v>
      </c>
      <c r="CY85" s="1">
        <v>0.16110872339843593</v>
      </c>
      <c r="CZ85" s="1">
        <v>0.29062096402448057</v>
      </c>
      <c r="DA85" s="1">
        <v>0.10173745390540649</v>
      </c>
      <c r="DB85" s="1">
        <v>0.1643112260358762</v>
      </c>
      <c r="DC85" s="1">
        <v>0.34836401914687004</v>
      </c>
      <c r="DD85" s="1">
        <v>9.2338966897862525E-4</v>
      </c>
      <c r="DE85" s="1">
        <v>0.12078522534566165</v>
      </c>
      <c r="DF85" s="1">
        <v>0.14259833514256734</v>
      </c>
      <c r="DG85" s="1">
        <v>0.21519474424366541</v>
      </c>
      <c r="DH85" s="1">
        <v>0.28424026110454009</v>
      </c>
      <c r="DI85" s="1">
        <v>0.49619062962255922</v>
      </c>
      <c r="DJ85" s="1">
        <v>0.56208800218833399</v>
      </c>
      <c r="DK85" s="1">
        <v>0.46470143728169844</v>
      </c>
      <c r="DL85" s="1">
        <v>0.44883766089359023</v>
      </c>
      <c r="DM85" s="1">
        <v>0.54200087337592173</v>
      </c>
      <c r="DN85" s="1">
        <v>0.46783808629525381</v>
      </c>
      <c r="DO85" s="1">
        <v>0.46331196182895046</v>
      </c>
      <c r="DP85" s="1">
        <v>0.53359093352190368</v>
      </c>
      <c r="DQ85" s="1">
        <v>0.56562440889775412</v>
      </c>
      <c r="DR85" s="1">
        <v>0.51332702865891588</v>
      </c>
      <c r="DS85" s="1">
        <v>0.38233373597208148</v>
      </c>
      <c r="DT85" s="1">
        <v>0.59198115600427281</v>
      </c>
      <c r="DU85" s="1">
        <v>0.4566490926848501</v>
      </c>
      <c r="DV85" s="1">
        <v>0.43020375393953664</v>
      </c>
      <c r="DW85" s="1">
        <v>1.9616563182496112E-2</v>
      </c>
      <c r="DX85" s="1">
        <v>0.42297917975474947</v>
      </c>
      <c r="DY85" s="1">
        <v>0.46500264944533448</v>
      </c>
    </row>
    <row r="86" spans="1:129" ht="15">
      <c r="A86" s="7" t="s">
        <v>97</v>
      </c>
      <c r="B86" s="3" t="str">
        <v/>
      </c>
      <c r="C86" s="3" t="str">
        <v/>
      </c>
      <c r="D86" s="3" t="str">
        <v/>
      </c>
      <c r="E86" s="3" t="str">
        <v/>
      </c>
      <c r="F86" s="3" t="str">
        <v/>
      </c>
      <c r="G86" s="3" t="str">
        <v/>
      </c>
      <c r="H86" s="3" t="str">
        <v/>
      </c>
      <c r="I86" s="3" t="str">
        <v/>
      </c>
      <c r="J86" s="3" t="str">
        <v/>
      </c>
      <c r="K86" s="3" t="str">
        <v/>
      </c>
      <c r="L86" s="3" t="str">
        <v/>
      </c>
      <c r="M86" s="3" t="str">
        <v/>
      </c>
      <c r="N86" s="3" t="str">
        <v/>
      </c>
      <c r="O86" s="3" t="str">
        <v/>
      </c>
      <c r="P86" s="3" t="str">
        <v/>
      </c>
      <c r="Q86" s="3" t="str">
        <v/>
      </c>
      <c r="R86" s="3" t="str">
        <v/>
      </c>
      <c r="S86" s="3" t="str">
        <v/>
      </c>
      <c r="T86" s="3" t="str">
        <v/>
      </c>
      <c r="U86" s="3" t="str">
        <v/>
      </c>
      <c r="V86" s="3" t="str">
        <v/>
      </c>
      <c r="W86" s="3" t="str">
        <v/>
      </c>
      <c r="X86" s="3" t="str">
        <v/>
      </c>
      <c r="Y86" s="3" t="str">
        <v/>
      </c>
      <c r="Z86" s="3" t="str">
        <v/>
      </c>
      <c r="AA86" s="3" t="str">
        <v/>
      </c>
      <c r="AB86" s="3" t="str">
        <v/>
      </c>
      <c r="AC86" s="3" t="str">
        <v/>
      </c>
      <c r="AD86" s="3" t="str">
        <v/>
      </c>
      <c r="AE86" s="3" t="str">
        <v/>
      </c>
      <c r="AF86" s="3" t="str">
        <v/>
      </c>
      <c r="AG86" s="3" t="str">
        <v/>
      </c>
      <c r="AH86" s="3" t="str">
        <v/>
      </c>
      <c r="AI86" s="3" t="str">
        <v/>
      </c>
      <c r="AJ86" s="3" t="str">
        <v/>
      </c>
      <c r="AK86" s="3" t="str">
        <v/>
      </c>
      <c r="AL86" s="3" t="str">
        <v/>
      </c>
      <c r="AM86" s="3" t="str">
        <v/>
      </c>
      <c r="AN86" s="3" t="str">
        <v/>
      </c>
      <c r="AO86" s="3" t="str">
        <v/>
      </c>
      <c r="AP86" s="3" t="str">
        <v/>
      </c>
      <c r="AQ86" s="3" t="str">
        <v/>
      </c>
      <c r="AR86" s="3" t="str">
        <v/>
      </c>
      <c r="AS86" s="3" t="str">
        <v/>
      </c>
      <c r="AT86" s="3" t="str">
        <v/>
      </c>
      <c r="AU86" s="3" t="str">
        <v/>
      </c>
      <c r="AV86" s="3" t="str">
        <v/>
      </c>
      <c r="AW86" s="3" t="str">
        <v/>
      </c>
      <c r="AX86" s="3" t="str">
        <v/>
      </c>
      <c r="AY86" s="3" t="str">
        <v/>
      </c>
      <c r="AZ86" s="3" t="str">
        <v/>
      </c>
      <c r="BA86" s="3" t="str">
        <v/>
      </c>
      <c r="BB86" s="3" t="str">
        <v/>
      </c>
      <c r="BC86" s="3" t="str">
        <v/>
      </c>
      <c r="BD86" s="3" t="str">
        <v/>
      </c>
      <c r="BE86" s="3" t="str">
        <v/>
      </c>
      <c r="BF86" s="3" t="str">
        <v/>
      </c>
      <c r="BG86" s="3" t="str">
        <v/>
      </c>
      <c r="BH86" s="3" t="str">
        <v/>
      </c>
      <c r="BI86" s="3" t="str">
        <v/>
      </c>
      <c r="BJ86" s="3" t="str">
        <v/>
      </c>
      <c r="BK86" s="3" t="str">
        <v/>
      </c>
      <c r="BL86" s="3" t="str">
        <v/>
      </c>
      <c r="BM86" s="3" t="str">
        <v/>
      </c>
      <c r="BN86" s="3" t="str">
        <v/>
      </c>
      <c r="BO86" s="3" t="str">
        <v/>
      </c>
      <c r="BP86" s="1" t="str">
        <v/>
      </c>
      <c r="BQ86" s="1" t="str">
        <v/>
      </c>
      <c r="BR86" s="1" t="str">
        <v/>
      </c>
      <c r="BS86" s="1" t="str">
        <v/>
      </c>
      <c r="BT86" s="1" t="str">
        <v/>
      </c>
      <c r="BU86" s="1" t="str">
        <v/>
      </c>
      <c r="BV86" s="1" t="str">
        <v/>
      </c>
      <c r="BW86" s="1" t="str">
        <v/>
      </c>
      <c r="BX86" s="1" t="str">
        <v/>
      </c>
      <c r="BY86" s="1" t="str">
        <v/>
      </c>
      <c r="BZ86" s="1" t="str">
        <v/>
      </c>
      <c r="CA86" s="1" t="str">
        <v/>
      </c>
      <c r="CB86" s="1" t="str">
        <v/>
      </c>
      <c r="CC86" s="1" t="str">
        <v/>
      </c>
      <c r="CD86" s="1" t="str">
        <v/>
      </c>
      <c r="CE86" s="1" t="str">
        <v/>
      </c>
      <c r="CF86" s="1">
        <v>0.99999999999999978</v>
      </c>
      <c r="CG86" s="1">
        <v>0.50141457635642872</v>
      </c>
      <c r="CH86" s="1">
        <v>0.67634742765739519</v>
      </c>
      <c r="CI86" s="1">
        <v>0.72829112921183958</v>
      </c>
      <c r="CJ86" s="1">
        <v>0.66288271233433038</v>
      </c>
      <c r="CK86" s="1">
        <v>0.40728612252533292</v>
      </c>
      <c r="CL86" s="1">
        <v>0.57274307207835906</v>
      </c>
      <c r="CM86" s="1">
        <v>-1.2112180507591691E-2</v>
      </c>
      <c r="CN86" s="1">
        <v>0.52239954110833331</v>
      </c>
      <c r="CO86" s="1">
        <v>0.36066458355151304</v>
      </c>
      <c r="CP86" s="1">
        <v>0.41662770201907162</v>
      </c>
      <c r="CQ86" s="1">
        <v>0.14163436321712075</v>
      </c>
      <c r="CR86" s="1">
        <v>0.47199241202893261</v>
      </c>
      <c r="CS86" s="1">
        <v>0.47313240127493422</v>
      </c>
      <c r="CT86" s="1">
        <v>0.64066543106405582</v>
      </c>
      <c r="CU86" s="1">
        <v>0.43868729859873479</v>
      </c>
      <c r="CV86" s="1">
        <v>0.55462874143232177</v>
      </c>
      <c r="CW86" s="1">
        <v>0.46862091213153528</v>
      </c>
      <c r="CX86" s="1">
        <v>0.31518625365482122</v>
      </c>
      <c r="CY86" s="1">
        <v>0.21675960329216992</v>
      </c>
      <c r="CZ86" s="1">
        <v>0.46757017964240444</v>
      </c>
      <c r="DA86" s="1">
        <v>0.27902510533837066</v>
      </c>
      <c r="DB86" s="1">
        <v>0.48301958447558679</v>
      </c>
      <c r="DC86" s="1">
        <v>0.36372264163369472</v>
      </c>
      <c r="DD86" s="1">
        <v>8.0212132887634013E-2</v>
      </c>
      <c r="DE86" s="1">
        <v>0.36158717518610939</v>
      </c>
      <c r="DF86" s="1">
        <v>0.31790739614240021</v>
      </c>
      <c r="DG86" s="1">
        <v>0.22656048066411008</v>
      </c>
      <c r="DH86" s="1">
        <v>0.49928291720613871</v>
      </c>
      <c r="DI86" s="1">
        <v>0.544537235066892</v>
      </c>
      <c r="DJ86" s="1">
        <v>0.56590062939206931</v>
      </c>
      <c r="DK86" s="1">
        <v>0.49673316375802856</v>
      </c>
      <c r="DL86" s="1">
        <v>0.53489580747712373</v>
      </c>
      <c r="DM86" s="1">
        <v>0.59867155096784497</v>
      </c>
      <c r="DN86" s="1">
        <v>0.55024593828186508</v>
      </c>
      <c r="DO86" s="1">
        <v>0.50775600853718494</v>
      </c>
      <c r="DP86" s="1">
        <v>0.59437152354074785</v>
      </c>
      <c r="DQ86" s="1">
        <v>0.58157366649490005</v>
      </c>
      <c r="DR86" s="1">
        <v>0.65574534502805726</v>
      </c>
      <c r="DS86" s="1">
        <v>0.4005175931495204</v>
      </c>
      <c r="DT86" s="1">
        <v>0.65997950527944571</v>
      </c>
      <c r="DU86" s="1">
        <v>0.61642175085932149</v>
      </c>
      <c r="DV86" s="1">
        <v>0.52744737911572004</v>
      </c>
      <c r="DW86" s="1">
        <v>0.24641467546050086</v>
      </c>
      <c r="DX86" s="1">
        <v>0.5512918046833063</v>
      </c>
      <c r="DY86" s="1">
        <v>0.60822227121033701</v>
      </c>
    </row>
    <row r="87" spans="1:129" ht="15">
      <c r="A87" s="7" t="s">
        <v>98</v>
      </c>
      <c r="B87" s="3" t="str">
        <v/>
      </c>
      <c r="C87" s="3" t="str">
        <v/>
      </c>
      <c r="D87" s="3" t="str">
        <v/>
      </c>
      <c r="E87" s="3" t="str">
        <v/>
      </c>
      <c r="F87" s="3" t="str">
        <v/>
      </c>
      <c r="G87" s="3" t="str">
        <v/>
      </c>
      <c r="H87" s="3" t="str">
        <v/>
      </c>
      <c r="I87" s="3" t="str">
        <v/>
      </c>
      <c r="J87" s="3" t="str">
        <v/>
      </c>
      <c r="K87" s="3" t="str">
        <v/>
      </c>
      <c r="L87" s="3" t="str">
        <v/>
      </c>
      <c r="M87" s="3" t="str">
        <v/>
      </c>
      <c r="N87" s="3" t="str">
        <v/>
      </c>
      <c r="O87" s="3" t="str">
        <v/>
      </c>
      <c r="P87" s="3" t="str">
        <v/>
      </c>
      <c r="Q87" s="3" t="str">
        <v/>
      </c>
      <c r="R87" s="3" t="str">
        <v/>
      </c>
      <c r="S87" s="3" t="str">
        <v/>
      </c>
      <c r="T87" s="3" t="str">
        <v/>
      </c>
      <c r="U87" s="3" t="str">
        <v/>
      </c>
      <c r="V87" s="3" t="str">
        <v/>
      </c>
      <c r="W87" s="3" t="str">
        <v/>
      </c>
      <c r="X87" s="3" t="str">
        <v/>
      </c>
      <c r="Y87" s="3" t="str">
        <v/>
      </c>
      <c r="Z87" s="3" t="str">
        <v/>
      </c>
      <c r="AA87" s="3" t="str">
        <v/>
      </c>
      <c r="AB87" s="3" t="str">
        <v/>
      </c>
      <c r="AC87" s="3" t="str">
        <v/>
      </c>
      <c r="AD87" s="3" t="str">
        <v/>
      </c>
      <c r="AE87" s="3" t="str">
        <v/>
      </c>
      <c r="AF87" s="3" t="str">
        <v/>
      </c>
      <c r="AG87" s="3" t="str">
        <v/>
      </c>
      <c r="AH87" s="3" t="str">
        <v/>
      </c>
      <c r="AI87" s="3" t="str">
        <v/>
      </c>
      <c r="AJ87" s="3" t="str">
        <v/>
      </c>
      <c r="AK87" s="3" t="str">
        <v/>
      </c>
      <c r="AL87" s="3" t="str">
        <v/>
      </c>
      <c r="AM87" s="3" t="str">
        <v/>
      </c>
      <c r="AN87" s="3" t="str">
        <v/>
      </c>
      <c r="AO87" s="3" t="str">
        <v/>
      </c>
      <c r="AP87" s="3" t="str">
        <v/>
      </c>
      <c r="AQ87" s="3" t="str">
        <v/>
      </c>
      <c r="AR87" s="3" t="str">
        <v/>
      </c>
      <c r="AS87" s="3" t="str">
        <v/>
      </c>
      <c r="AT87" s="3" t="str">
        <v/>
      </c>
      <c r="AU87" s="3" t="str">
        <v/>
      </c>
      <c r="AV87" s="3" t="str">
        <v/>
      </c>
      <c r="AW87" s="3" t="str">
        <v/>
      </c>
      <c r="AX87" s="3" t="str">
        <v/>
      </c>
      <c r="AY87" s="3" t="str">
        <v/>
      </c>
      <c r="AZ87" s="3" t="str">
        <v/>
      </c>
      <c r="BA87" s="3" t="str">
        <v/>
      </c>
      <c r="BB87" s="3" t="str">
        <v/>
      </c>
      <c r="BC87" s="3" t="str">
        <v/>
      </c>
      <c r="BD87" s="3" t="str">
        <v/>
      </c>
      <c r="BE87" s="3" t="str">
        <v/>
      </c>
      <c r="BF87" s="3" t="str">
        <v/>
      </c>
      <c r="BG87" s="3" t="str">
        <v/>
      </c>
      <c r="BH87" s="3" t="str">
        <v/>
      </c>
      <c r="BI87" s="3" t="str">
        <v/>
      </c>
      <c r="BJ87" s="3" t="str">
        <v/>
      </c>
      <c r="BK87" s="3" t="str">
        <v/>
      </c>
      <c r="BL87" s="3" t="str">
        <v/>
      </c>
      <c r="BM87" s="3" t="str">
        <v/>
      </c>
      <c r="BN87" s="3" t="str">
        <v/>
      </c>
      <c r="BO87" s="3" t="str">
        <v/>
      </c>
      <c r="BP87" s="1" t="str">
        <v/>
      </c>
      <c r="BQ87" s="1" t="str">
        <v/>
      </c>
      <c r="BR87" s="1" t="str">
        <v/>
      </c>
      <c r="BS87" s="1" t="str">
        <v/>
      </c>
      <c r="BT87" s="1" t="str">
        <v/>
      </c>
      <c r="BU87" s="1" t="str">
        <v/>
      </c>
      <c r="BV87" s="1" t="str">
        <v/>
      </c>
      <c r="BW87" s="1" t="str">
        <v/>
      </c>
      <c r="BX87" s="1" t="str">
        <v/>
      </c>
      <c r="BY87" s="1" t="str">
        <v/>
      </c>
      <c r="BZ87" s="1" t="str">
        <v/>
      </c>
      <c r="CA87" s="1" t="str">
        <v/>
      </c>
      <c r="CB87" s="1" t="str">
        <v/>
      </c>
      <c r="CC87" s="1" t="str">
        <v/>
      </c>
      <c r="CD87" s="1" t="str">
        <v/>
      </c>
      <c r="CE87" s="1" t="str">
        <v/>
      </c>
      <c r="CF87" s="1" t="str">
        <v/>
      </c>
      <c r="CG87" s="1">
        <v>1</v>
      </c>
      <c r="CH87" s="1">
        <v>0.36827878573474548</v>
      </c>
      <c r="CI87" s="1">
        <v>0.65609171448153325</v>
      </c>
      <c r="CJ87" s="1">
        <v>0.4229183628460999</v>
      </c>
      <c r="CK87" s="1">
        <v>0.10612708220347021</v>
      </c>
      <c r="CL87" s="1">
        <v>0.58195801004030034</v>
      </c>
      <c r="CM87" s="1">
        <v>0.11872502620117631</v>
      </c>
      <c r="CN87" s="1">
        <v>0.27032369253276395</v>
      </c>
      <c r="CO87" s="1">
        <v>0.31971863123919808</v>
      </c>
      <c r="CP87" s="1">
        <v>0.15097829164799456</v>
      </c>
      <c r="CQ87" s="1">
        <v>6.9623743498246331E-3</v>
      </c>
      <c r="CR87" s="1">
        <v>0.19003401097103639</v>
      </c>
      <c r="CS87" s="1">
        <v>8.099268839778935E-2</v>
      </c>
      <c r="CT87" s="1">
        <v>0.54834153264109653</v>
      </c>
      <c r="CU87" s="1">
        <v>0.44321865954259709</v>
      </c>
      <c r="CV87" s="1">
        <v>0.37817038567840816</v>
      </c>
      <c r="CW87" s="1">
        <v>0.49112646980452579</v>
      </c>
      <c r="CX87" s="1">
        <v>0.34112902514966137</v>
      </c>
      <c r="CY87" s="1">
        <v>0.38761656831560615</v>
      </c>
      <c r="CZ87" s="1">
        <v>0.3578066858725733</v>
      </c>
      <c r="DA87" s="1">
        <v>0.16258184533511708</v>
      </c>
      <c r="DB87" s="1">
        <v>0.34158620422654812</v>
      </c>
      <c r="DC87" s="1">
        <v>0.27752840750333146</v>
      </c>
      <c r="DD87" s="1">
        <v>0.18368185253420949</v>
      </c>
      <c r="DE87" s="1">
        <v>0.49639542026785299</v>
      </c>
      <c r="DF87" s="1">
        <v>0.28021079829831408</v>
      </c>
      <c r="DG87" s="1">
        <v>0.25830800110031654</v>
      </c>
      <c r="DH87" s="1">
        <v>0.44783977327698654</v>
      </c>
      <c r="DI87" s="1">
        <v>0.47125379640952952</v>
      </c>
      <c r="DJ87" s="1">
        <v>0.49002919007586809</v>
      </c>
      <c r="DK87" s="1">
        <v>0.40527793188051942</v>
      </c>
      <c r="DL87" s="1">
        <v>0.46042085000553312</v>
      </c>
      <c r="DM87" s="1">
        <v>0.46970130018009498</v>
      </c>
      <c r="DN87" s="1">
        <v>0.40320417444022982</v>
      </c>
      <c r="DO87" s="1">
        <v>0.32604052835191644</v>
      </c>
      <c r="DP87" s="1">
        <v>0.46525449908158018</v>
      </c>
      <c r="DQ87" s="1">
        <v>0.45390180792083301</v>
      </c>
      <c r="DR87" s="1">
        <v>0.52982788762410682</v>
      </c>
      <c r="DS87" s="1">
        <v>0.42563251220097814</v>
      </c>
      <c r="DT87" s="1">
        <v>0.40279895150587086</v>
      </c>
      <c r="DU87" s="1">
        <v>0.49616846799949621</v>
      </c>
      <c r="DV87" s="1">
        <v>0.44198014708693717</v>
      </c>
      <c r="DW87" s="1">
        <v>0.12974322638256644</v>
      </c>
      <c r="DX87" s="1">
        <v>0.36780266981550819</v>
      </c>
      <c r="DY87" s="1">
        <v>0.56988292667169582</v>
      </c>
    </row>
    <row r="88" spans="1:129" ht="15">
      <c r="A88" s="7" t="s">
        <v>99</v>
      </c>
      <c r="B88" s="3" t="str">
        <v/>
      </c>
      <c r="C88" s="3" t="str">
        <v/>
      </c>
      <c r="D88" s="3" t="str">
        <v/>
      </c>
      <c r="E88" s="3" t="str">
        <v/>
      </c>
      <c r="F88" s="3" t="str">
        <v/>
      </c>
      <c r="G88" s="3" t="str">
        <v/>
      </c>
      <c r="H88" s="3" t="str">
        <v/>
      </c>
      <c r="I88" s="3" t="str">
        <v/>
      </c>
      <c r="J88" s="3" t="str">
        <v/>
      </c>
      <c r="K88" s="3" t="str">
        <v/>
      </c>
      <c r="L88" s="3" t="str">
        <v/>
      </c>
      <c r="M88" s="3" t="str">
        <v/>
      </c>
      <c r="N88" s="3" t="str">
        <v/>
      </c>
      <c r="O88" s="3" t="str">
        <v/>
      </c>
      <c r="P88" s="3" t="str">
        <v/>
      </c>
      <c r="Q88" s="3" t="str">
        <v/>
      </c>
      <c r="R88" s="3" t="str">
        <v/>
      </c>
      <c r="S88" s="3" t="str">
        <v/>
      </c>
      <c r="T88" s="3" t="str">
        <v/>
      </c>
      <c r="U88" s="3" t="str">
        <v/>
      </c>
      <c r="V88" s="3" t="str">
        <v/>
      </c>
      <c r="W88" s="3" t="str">
        <v/>
      </c>
      <c r="X88" s="3" t="str">
        <v/>
      </c>
      <c r="Y88" s="3" t="str">
        <v/>
      </c>
      <c r="Z88" s="3" t="str">
        <v/>
      </c>
      <c r="AA88" s="3" t="str">
        <v/>
      </c>
      <c r="AB88" s="3" t="str">
        <v/>
      </c>
      <c r="AC88" s="3" t="str">
        <v/>
      </c>
      <c r="AD88" s="3" t="str">
        <v/>
      </c>
      <c r="AE88" s="3" t="str">
        <v/>
      </c>
      <c r="AF88" s="3" t="str">
        <v/>
      </c>
      <c r="AG88" s="3" t="str">
        <v/>
      </c>
      <c r="AH88" s="3" t="str">
        <v/>
      </c>
      <c r="AI88" s="3" t="str">
        <v/>
      </c>
      <c r="AJ88" s="3" t="str">
        <v/>
      </c>
      <c r="AK88" s="3" t="str">
        <v/>
      </c>
      <c r="AL88" s="3" t="str">
        <v/>
      </c>
      <c r="AM88" s="3" t="str">
        <v/>
      </c>
      <c r="AN88" s="3" t="str">
        <v/>
      </c>
      <c r="AO88" s="3" t="str">
        <v/>
      </c>
      <c r="AP88" s="3" t="str">
        <v/>
      </c>
      <c r="AQ88" s="3" t="str">
        <v/>
      </c>
      <c r="AR88" s="3" t="str">
        <v/>
      </c>
      <c r="AS88" s="3" t="str">
        <v/>
      </c>
      <c r="AT88" s="3" t="str">
        <v/>
      </c>
      <c r="AU88" s="3" t="str">
        <v/>
      </c>
      <c r="AV88" s="3" t="str">
        <v/>
      </c>
      <c r="AW88" s="3" t="str">
        <v/>
      </c>
      <c r="AX88" s="3" t="str">
        <v/>
      </c>
      <c r="AY88" s="3" t="str">
        <v/>
      </c>
      <c r="AZ88" s="3" t="str">
        <v/>
      </c>
      <c r="BA88" s="3" t="str">
        <v/>
      </c>
      <c r="BB88" s="3" t="str">
        <v/>
      </c>
      <c r="BC88" s="3" t="str">
        <v/>
      </c>
      <c r="BD88" s="3" t="str">
        <v/>
      </c>
      <c r="BE88" s="3" t="str">
        <v/>
      </c>
      <c r="BF88" s="3" t="str">
        <v/>
      </c>
      <c r="BG88" s="3" t="str">
        <v/>
      </c>
      <c r="BH88" s="3" t="str">
        <v/>
      </c>
      <c r="BI88" s="3" t="str">
        <v/>
      </c>
      <c r="BJ88" s="3" t="str">
        <v/>
      </c>
      <c r="BK88" s="3" t="str">
        <v/>
      </c>
      <c r="BL88" s="3" t="str">
        <v/>
      </c>
      <c r="BM88" s="3" t="str">
        <v/>
      </c>
      <c r="BN88" s="3" t="str">
        <v/>
      </c>
      <c r="BO88" s="3" t="str">
        <v/>
      </c>
      <c r="BP88" s="1" t="str">
        <v/>
      </c>
      <c r="BQ88" s="1" t="str">
        <v/>
      </c>
      <c r="BR88" s="1" t="str">
        <v/>
      </c>
      <c r="BS88" s="1" t="str">
        <v/>
      </c>
      <c r="BT88" s="1" t="str">
        <v/>
      </c>
      <c r="BU88" s="1" t="str">
        <v/>
      </c>
      <c r="BV88" s="1" t="str">
        <v/>
      </c>
      <c r="BW88" s="1" t="str">
        <v/>
      </c>
      <c r="BX88" s="1" t="str">
        <v/>
      </c>
      <c r="BY88" s="1" t="str">
        <v/>
      </c>
      <c r="BZ88" s="1" t="str">
        <v/>
      </c>
      <c r="CA88" s="1" t="str">
        <v/>
      </c>
      <c r="CB88" s="1" t="str">
        <v/>
      </c>
      <c r="CC88" s="1" t="str">
        <v/>
      </c>
      <c r="CD88" s="1" t="str">
        <v/>
      </c>
      <c r="CE88" s="1" t="str">
        <v/>
      </c>
      <c r="CF88" s="1" t="str">
        <v/>
      </c>
      <c r="CG88" s="1" t="str">
        <v/>
      </c>
      <c r="CH88" s="1">
        <v>1</v>
      </c>
      <c r="CI88" s="1">
        <v>0.61100311371509375</v>
      </c>
      <c r="CJ88" s="1">
        <v>0.61156355894919845</v>
      </c>
      <c r="CK88" s="1">
        <v>0.34204019863204649</v>
      </c>
      <c r="CL88" s="1">
        <v>0.38509799676730722</v>
      </c>
      <c r="CM88" s="1">
        <v>0.23012840385725922</v>
      </c>
      <c r="CN88" s="1">
        <v>0.52724856384197183</v>
      </c>
      <c r="CO88" s="1">
        <v>0.38632839582754319</v>
      </c>
      <c r="CP88" s="1">
        <v>0.48959552726231736</v>
      </c>
      <c r="CQ88" s="1">
        <v>0.1972647244058694</v>
      </c>
      <c r="CR88" s="1">
        <v>0.63547255896979693</v>
      </c>
      <c r="CS88" s="1">
        <v>0.38067224752632967</v>
      </c>
      <c r="CT88" s="1">
        <v>0.42967551488182731</v>
      </c>
      <c r="CU88" s="1">
        <v>0.33425125454127946</v>
      </c>
      <c r="CV88" s="1">
        <v>0.42884831318151884</v>
      </c>
      <c r="CW88" s="1">
        <v>0.41848747209554876</v>
      </c>
      <c r="CX88" s="1">
        <v>0.26068499652170452</v>
      </c>
      <c r="CY88" s="1">
        <v>0.21889596268492212</v>
      </c>
      <c r="CZ88" s="1">
        <v>0.27966260247661473</v>
      </c>
      <c r="DA88" s="1">
        <v>0.2014171796487067</v>
      </c>
      <c r="DB88" s="1">
        <v>0.27051428777431652</v>
      </c>
      <c r="DC88" s="1">
        <v>0.16825340525176205</v>
      </c>
      <c r="DD88" s="1">
        <v>1.1327459704341293E-2</v>
      </c>
      <c r="DE88" s="1">
        <v>0.28533365276697076</v>
      </c>
      <c r="DF88" s="1">
        <v>0.26891149840623041</v>
      </c>
      <c r="DG88" s="1">
        <v>7.3256791503930149E-2</v>
      </c>
      <c r="DH88" s="1">
        <v>0.37995009585322187</v>
      </c>
      <c r="DI88" s="1">
        <v>0.30420680459440846</v>
      </c>
      <c r="DJ88" s="1">
        <v>0.31761345983875744</v>
      </c>
      <c r="DK88" s="1">
        <v>0.20640463884160848</v>
      </c>
      <c r="DL88" s="1">
        <v>0.30633443139512051</v>
      </c>
      <c r="DM88" s="1">
        <v>0.33417456783144694</v>
      </c>
      <c r="DN88" s="1">
        <v>0.37692560895428623</v>
      </c>
      <c r="DO88" s="1">
        <v>0.1889839753719873</v>
      </c>
      <c r="DP88" s="1">
        <v>0.27939135033678009</v>
      </c>
      <c r="DQ88" s="1">
        <v>0.28852226209979281</v>
      </c>
      <c r="DR88" s="1">
        <v>0.36359638621524137</v>
      </c>
      <c r="DS88" s="1">
        <v>6.1996848501506434E-2</v>
      </c>
      <c r="DT88" s="1">
        <v>0.36443903042182085</v>
      </c>
      <c r="DU88" s="1">
        <v>0.28560722343583178</v>
      </c>
      <c r="DV88" s="1">
        <v>0.3043611374600968</v>
      </c>
      <c r="DW88" s="1">
        <v>0.21226723925010887</v>
      </c>
      <c r="DX88" s="1">
        <v>0.49415734828783331</v>
      </c>
      <c r="DY88" s="1">
        <v>0.32093012198741266</v>
      </c>
    </row>
    <row r="89" spans="1:129" ht="15">
      <c r="A89" s="7" t="s">
        <v>100</v>
      </c>
      <c r="B89" s="3" t="str">
        <v/>
      </c>
      <c r="C89" s="3" t="str">
        <v/>
      </c>
      <c r="D89" s="3" t="str">
        <v/>
      </c>
      <c r="E89" s="3" t="str">
        <v/>
      </c>
      <c r="F89" s="3" t="str">
        <v/>
      </c>
      <c r="G89" s="3" t="str">
        <v/>
      </c>
      <c r="H89" s="3" t="str">
        <v/>
      </c>
      <c r="I89" s="3" t="str">
        <v/>
      </c>
      <c r="J89" s="3" t="str">
        <v/>
      </c>
      <c r="K89" s="3" t="str">
        <v/>
      </c>
      <c r="L89" s="3" t="str">
        <v/>
      </c>
      <c r="M89" s="3" t="str">
        <v/>
      </c>
      <c r="N89" s="3" t="str">
        <v/>
      </c>
      <c r="O89" s="3" t="str">
        <v/>
      </c>
      <c r="P89" s="3" t="str">
        <v/>
      </c>
      <c r="Q89" s="3" t="str">
        <v/>
      </c>
      <c r="R89" s="3" t="str">
        <v/>
      </c>
      <c r="S89" s="3" t="str">
        <v/>
      </c>
      <c r="T89" s="3" t="str">
        <v/>
      </c>
      <c r="U89" s="3" t="str">
        <v/>
      </c>
      <c r="V89" s="3" t="str">
        <v/>
      </c>
      <c r="W89" s="3" t="str">
        <v/>
      </c>
      <c r="X89" s="3" t="str">
        <v/>
      </c>
      <c r="Y89" s="3" t="str">
        <v/>
      </c>
      <c r="Z89" s="3" t="str">
        <v/>
      </c>
      <c r="AA89" s="3" t="str">
        <v/>
      </c>
      <c r="AB89" s="3" t="str">
        <v/>
      </c>
      <c r="AC89" s="3" t="str">
        <v/>
      </c>
      <c r="AD89" s="3" t="str">
        <v/>
      </c>
      <c r="AE89" s="3" t="str">
        <v/>
      </c>
      <c r="AF89" s="3" t="str">
        <v/>
      </c>
      <c r="AG89" s="3" t="str">
        <v/>
      </c>
      <c r="AH89" s="3" t="str">
        <v/>
      </c>
      <c r="AI89" s="3" t="str">
        <v/>
      </c>
      <c r="AJ89" s="3" t="str">
        <v/>
      </c>
      <c r="AK89" s="3" t="str">
        <v/>
      </c>
      <c r="AL89" s="3" t="str">
        <v/>
      </c>
      <c r="AM89" s="3" t="str">
        <v/>
      </c>
      <c r="AN89" s="3" t="str">
        <v/>
      </c>
      <c r="AO89" s="3" t="str">
        <v/>
      </c>
      <c r="AP89" s="3" t="str">
        <v/>
      </c>
      <c r="AQ89" s="3" t="str">
        <v/>
      </c>
      <c r="AR89" s="3" t="str">
        <v/>
      </c>
      <c r="AS89" s="3" t="str">
        <v/>
      </c>
      <c r="AT89" s="3" t="str">
        <v/>
      </c>
      <c r="AU89" s="3" t="str">
        <v/>
      </c>
      <c r="AV89" s="3" t="str">
        <v/>
      </c>
      <c r="AW89" s="3" t="str">
        <v/>
      </c>
      <c r="AX89" s="3" t="str">
        <v/>
      </c>
      <c r="AY89" s="3" t="str">
        <v/>
      </c>
      <c r="AZ89" s="3" t="str">
        <v/>
      </c>
      <c r="BA89" s="3" t="str">
        <v/>
      </c>
      <c r="BB89" s="3" t="str">
        <v/>
      </c>
      <c r="BC89" s="3" t="str">
        <v/>
      </c>
      <c r="BD89" s="3" t="str">
        <v/>
      </c>
      <c r="BE89" s="3" t="str">
        <v/>
      </c>
      <c r="BF89" s="3" t="str">
        <v/>
      </c>
      <c r="BG89" s="3" t="str">
        <v/>
      </c>
      <c r="BH89" s="3" t="str">
        <v/>
      </c>
      <c r="BI89" s="3" t="str">
        <v/>
      </c>
      <c r="BJ89" s="3" t="str">
        <v/>
      </c>
      <c r="BK89" s="3" t="str">
        <v/>
      </c>
      <c r="BL89" s="3" t="str">
        <v/>
      </c>
      <c r="BM89" s="3" t="str">
        <v/>
      </c>
      <c r="BN89" s="3" t="str">
        <v/>
      </c>
      <c r="BO89" s="3" t="str">
        <v/>
      </c>
      <c r="BP89" s="1" t="str">
        <v/>
      </c>
      <c r="BQ89" s="1" t="str">
        <v/>
      </c>
      <c r="BR89" s="1" t="str">
        <v/>
      </c>
      <c r="BS89" s="1" t="str">
        <v/>
      </c>
      <c r="BT89" s="1" t="str">
        <v/>
      </c>
      <c r="BU89" s="1" t="str">
        <v/>
      </c>
      <c r="BV89" s="1" t="str">
        <v/>
      </c>
      <c r="BW89" s="1" t="str">
        <v/>
      </c>
      <c r="BX89" s="1" t="str">
        <v/>
      </c>
      <c r="BY89" s="1" t="str">
        <v/>
      </c>
      <c r="BZ89" s="1" t="str">
        <v/>
      </c>
      <c r="CA89" s="1" t="str">
        <v/>
      </c>
      <c r="CB89" s="1" t="str">
        <v/>
      </c>
      <c r="CC89" s="1" t="str">
        <v/>
      </c>
      <c r="CD89" s="1" t="str">
        <v/>
      </c>
      <c r="CE89" s="1" t="str">
        <v/>
      </c>
      <c r="CF89" s="1" t="str">
        <v/>
      </c>
      <c r="CG89" s="1" t="str">
        <v/>
      </c>
      <c r="CH89" s="1" t="str">
        <v/>
      </c>
      <c r="CI89" s="1">
        <v>1</v>
      </c>
      <c r="CJ89" s="1">
        <v>0.52685757359184882</v>
      </c>
      <c r="CK89" s="1">
        <v>0.48081085888937569</v>
      </c>
      <c r="CL89" s="1">
        <v>0.72810922995390981</v>
      </c>
      <c r="CM89" s="1">
        <v>-1.0144074928894419E-3</v>
      </c>
      <c r="CN89" s="1">
        <v>0.51773719239696425</v>
      </c>
      <c r="CO89" s="1">
        <v>0.3658533413527601</v>
      </c>
      <c r="CP89" s="1">
        <v>0.28114502752106996</v>
      </c>
      <c r="CQ89" s="1">
        <v>0.11225454189037826</v>
      </c>
      <c r="CR89" s="1">
        <v>0.3359716595247097</v>
      </c>
      <c r="CS89" s="1">
        <v>0.34322713194978394</v>
      </c>
      <c r="CT89" s="1">
        <v>0.66852541554941536</v>
      </c>
      <c r="CU89" s="1">
        <v>0.44383862191593465</v>
      </c>
      <c r="CV89" s="1">
        <v>0.52715683637515387</v>
      </c>
      <c r="CW89" s="1">
        <v>0.63086799034011776</v>
      </c>
      <c r="CX89" s="1">
        <v>0.45196925805743343</v>
      </c>
      <c r="CY89" s="1">
        <v>0.41516681407613987</v>
      </c>
      <c r="CZ89" s="1">
        <v>0.61150587081855601</v>
      </c>
      <c r="DA89" s="1">
        <v>0.32086353610388035</v>
      </c>
      <c r="DB89" s="1">
        <v>0.47756213179021995</v>
      </c>
      <c r="DC89" s="1">
        <v>0.48660571964633059</v>
      </c>
      <c r="DD89" s="1">
        <v>0.22033804283414379</v>
      </c>
      <c r="DE89" s="1">
        <v>0.59834992852042934</v>
      </c>
      <c r="DF89" s="1">
        <v>0.48975828607738409</v>
      </c>
      <c r="DG89" s="1">
        <v>0.39327411485677916</v>
      </c>
      <c r="DH89" s="1">
        <v>0.69826402113075259</v>
      </c>
      <c r="DI89" s="1">
        <v>0.69096554133224775</v>
      </c>
      <c r="DJ89" s="1">
        <v>0.67565786464614908</v>
      </c>
      <c r="DK89" s="1">
        <v>0.63350229035662564</v>
      </c>
      <c r="DL89" s="1">
        <v>0.71619016732855112</v>
      </c>
      <c r="DM89" s="1">
        <v>0.71234904574387525</v>
      </c>
      <c r="DN89" s="1">
        <v>0.69210646520540842</v>
      </c>
      <c r="DO89" s="1">
        <v>0.62784323763066574</v>
      </c>
      <c r="DP89" s="1">
        <v>0.74637293314749165</v>
      </c>
      <c r="DQ89" s="1">
        <v>0.6880802656444458</v>
      </c>
      <c r="DR89" s="1">
        <v>0.80141027990281621</v>
      </c>
      <c r="DS89" s="1">
        <v>0.51622982874032997</v>
      </c>
      <c r="DT89" s="1">
        <v>0.66964794275543471</v>
      </c>
      <c r="DU89" s="1">
        <v>0.76166700602223125</v>
      </c>
      <c r="DV89" s="1">
        <v>0.71716601350400944</v>
      </c>
      <c r="DW89" s="1">
        <v>0.44812982162271114</v>
      </c>
      <c r="DX89" s="1">
        <v>0.50970863470991778</v>
      </c>
      <c r="DY89" s="1">
        <v>0.74123131805699083</v>
      </c>
    </row>
    <row r="90" spans="1:129" ht="15">
      <c r="A90" s="7" t="s">
        <v>101</v>
      </c>
      <c r="B90" s="3" t="str">
        <v/>
      </c>
      <c r="C90" s="3" t="str">
        <v/>
      </c>
      <c r="D90" s="3" t="str">
        <v/>
      </c>
      <c r="E90" s="3" t="str">
        <v/>
      </c>
      <c r="F90" s="3" t="str">
        <v/>
      </c>
      <c r="G90" s="3" t="str">
        <v/>
      </c>
      <c r="H90" s="3" t="str">
        <v/>
      </c>
      <c r="I90" s="3" t="str">
        <v/>
      </c>
      <c r="J90" s="3" t="str">
        <v/>
      </c>
      <c r="K90" s="3" t="str">
        <v/>
      </c>
      <c r="L90" s="3" t="str">
        <v/>
      </c>
      <c r="M90" s="3" t="str">
        <v/>
      </c>
      <c r="N90" s="3" t="str">
        <v/>
      </c>
      <c r="O90" s="3" t="str">
        <v/>
      </c>
      <c r="P90" s="3" t="str">
        <v/>
      </c>
      <c r="Q90" s="3" t="str">
        <v/>
      </c>
      <c r="R90" s="3" t="str">
        <v/>
      </c>
      <c r="S90" s="3" t="str">
        <v/>
      </c>
      <c r="T90" s="3" t="str">
        <v/>
      </c>
      <c r="U90" s="3" t="str">
        <v/>
      </c>
      <c r="V90" s="3" t="str">
        <v/>
      </c>
      <c r="W90" s="3" t="str">
        <v/>
      </c>
      <c r="X90" s="3" t="str">
        <v/>
      </c>
      <c r="Y90" s="3" t="str">
        <v/>
      </c>
      <c r="Z90" s="3" t="str">
        <v/>
      </c>
      <c r="AA90" s="3" t="str">
        <v/>
      </c>
      <c r="AB90" s="3" t="str">
        <v/>
      </c>
      <c r="AC90" s="3" t="str">
        <v/>
      </c>
      <c r="AD90" s="3" t="str">
        <v/>
      </c>
      <c r="AE90" s="3" t="str">
        <v/>
      </c>
      <c r="AF90" s="3" t="str">
        <v/>
      </c>
      <c r="AG90" s="3" t="str">
        <v/>
      </c>
      <c r="AH90" s="3" t="str">
        <v/>
      </c>
      <c r="AI90" s="3" t="str">
        <v/>
      </c>
      <c r="AJ90" s="3" t="str">
        <v/>
      </c>
      <c r="AK90" s="3" t="str">
        <v/>
      </c>
      <c r="AL90" s="3" t="str">
        <v/>
      </c>
      <c r="AM90" s="3" t="str">
        <v/>
      </c>
      <c r="AN90" s="3" t="str">
        <v/>
      </c>
      <c r="AO90" s="3" t="str">
        <v/>
      </c>
      <c r="AP90" s="3" t="str">
        <v/>
      </c>
      <c r="AQ90" s="3" t="str">
        <v/>
      </c>
      <c r="AR90" s="3" t="str">
        <v/>
      </c>
      <c r="AS90" s="3" t="str">
        <v/>
      </c>
      <c r="AT90" s="3" t="str">
        <v/>
      </c>
      <c r="AU90" s="3" t="str">
        <v/>
      </c>
      <c r="AV90" s="3" t="str">
        <v/>
      </c>
      <c r="AW90" s="3" t="str">
        <v/>
      </c>
      <c r="AX90" s="3" t="str">
        <v/>
      </c>
      <c r="AY90" s="3" t="str">
        <v/>
      </c>
      <c r="AZ90" s="3" t="str">
        <v/>
      </c>
      <c r="BA90" s="3" t="str">
        <v/>
      </c>
      <c r="BB90" s="3" t="str">
        <v/>
      </c>
      <c r="BC90" s="3" t="str">
        <v/>
      </c>
      <c r="BD90" s="3" t="str">
        <v/>
      </c>
      <c r="BE90" s="3" t="str">
        <v/>
      </c>
      <c r="BF90" s="3" t="str">
        <v/>
      </c>
      <c r="BG90" s="3" t="str">
        <v/>
      </c>
      <c r="BH90" s="3" t="str">
        <v/>
      </c>
      <c r="BI90" s="3" t="str">
        <v/>
      </c>
      <c r="BJ90" s="3" t="str">
        <v/>
      </c>
      <c r="BK90" s="3" t="str">
        <v/>
      </c>
      <c r="BL90" s="3" t="str">
        <v/>
      </c>
      <c r="BM90" s="3" t="str">
        <v/>
      </c>
      <c r="BN90" s="3" t="str">
        <v/>
      </c>
      <c r="BO90" s="3" t="str">
        <v/>
      </c>
      <c r="BP90" s="1" t="str">
        <v/>
      </c>
      <c r="BQ90" s="1" t="str">
        <v/>
      </c>
      <c r="BR90" s="1" t="str">
        <v/>
      </c>
      <c r="BS90" s="1" t="str">
        <v/>
      </c>
      <c r="BT90" s="1" t="str">
        <v/>
      </c>
      <c r="BU90" s="1" t="str">
        <v/>
      </c>
      <c r="BV90" s="1" t="str">
        <v/>
      </c>
      <c r="BW90" s="1" t="str">
        <v/>
      </c>
      <c r="BX90" s="1" t="str">
        <v/>
      </c>
      <c r="BY90" s="1" t="str">
        <v/>
      </c>
      <c r="BZ90" s="1" t="str">
        <v/>
      </c>
      <c r="CA90" s="1" t="str">
        <v/>
      </c>
      <c r="CB90" s="1" t="str">
        <v/>
      </c>
      <c r="CC90" s="1" t="str">
        <v/>
      </c>
      <c r="CD90" s="1" t="str">
        <v/>
      </c>
      <c r="CE90" s="1" t="str">
        <v/>
      </c>
      <c r="CF90" s="1" t="str">
        <v/>
      </c>
      <c r="CG90" s="1" t="str">
        <v/>
      </c>
      <c r="CH90" s="1" t="str">
        <v/>
      </c>
      <c r="CI90" s="1" t="str">
        <v/>
      </c>
      <c r="CJ90" s="1">
        <v>1</v>
      </c>
      <c r="CK90" s="1">
        <v>0.26012428943541915</v>
      </c>
      <c r="CL90" s="1">
        <v>0.30374769269739565</v>
      </c>
      <c r="CM90" s="1">
        <v>0.12013547773641427</v>
      </c>
      <c r="CN90" s="1">
        <v>0.56116931149366056</v>
      </c>
      <c r="CO90" s="1">
        <v>0.32229385293449725</v>
      </c>
      <c r="CP90" s="1">
        <v>0.57714595716742401</v>
      </c>
      <c r="CQ90" s="1">
        <v>0.46476262094506421</v>
      </c>
      <c r="CR90" s="1">
        <v>0.44557977372307145</v>
      </c>
      <c r="CS90" s="1">
        <v>0.3949698358661004</v>
      </c>
      <c r="CT90" s="1">
        <v>0.34066934249781033</v>
      </c>
      <c r="CU90" s="1">
        <v>0.31865743511503763</v>
      </c>
      <c r="CV90" s="1">
        <v>0.40505029267774134</v>
      </c>
      <c r="CW90" s="1">
        <v>0.42181438956025347</v>
      </c>
      <c r="CX90" s="1">
        <v>0.44609677362548961</v>
      </c>
      <c r="CY90" s="1">
        <v>9.3121736689127474E-2</v>
      </c>
      <c r="CZ90" s="1">
        <v>0.31696829474615529</v>
      </c>
      <c r="DA90" s="1">
        <v>0.29767630115994786</v>
      </c>
      <c r="DB90" s="1">
        <v>0.32853325717921589</v>
      </c>
      <c r="DC90" s="1">
        <v>0.14976834996706748</v>
      </c>
      <c r="DD90" s="1">
        <v>9.1666403636246011E-3</v>
      </c>
      <c r="DE90" s="1">
        <v>0.44004768649454651</v>
      </c>
      <c r="DF90" s="1">
        <v>0.35458730241895747</v>
      </c>
      <c r="DG90" s="1">
        <v>0.19184868638590799</v>
      </c>
      <c r="DH90" s="1">
        <v>0.2970464324944882</v>
      </c>
      <c r="DI90" s="1">
        <v>0.23844296732534712</v>
      </c>
      <c r="DJ90" s="1">
        <v>0.32869772677035569</v>
      </c>
      <c r="DK90" s="1">
        <v>0.19397483163845833</v>
      </c>
      <c r="DL90" s="1">
        <v>0.26118951338570778</v>
      </c>
      <c r="DM90" s="1">
        <v>0.29578332643238242</v>
      </c>
      <c r="DN90" s="1">
        <v>0.28999145268345611</v>
      </c>
      <c r="DO90" s="1">
        <v>0.16766873919235636</v>
      </c>
      <c r="DP90" s="1">
        <v>0.26889108996014954</v>
      </c>
      <c r="DQ90" s="1">
        <v>0.22503653934341533</v>
      </c>
      <c r="DR90" s="1">
        <v>0.2942603628930795</v>
      </c>
      <c r="DS90" s="1">
        <v>0.23869789337352165</v>
      </c>
      <c r="DT90" s="1">
        <v>0.27039860006810096</v>
      </c>
      <c r="DU90" s="1">
        <v>0.29642459564261248</v>
      </c>
      <c r="DV90" s="1">
        <v>0.27218349082282073</v>
      </c>
      <c r="DW90" s="1">
        <v>7.3883528875239024E-2</v>
      </c>
      <c r="DX90" s="1">
        <v>0.35720926557083571</v>
      </c>
      <c r="DY90" s="1">
        <v>0.36054272192949782</v>
      </c>
    </row>
    <row r="91" spans="1:129" ht="15">
      <c r="A91" s="7" t="s">
        <v>102</v>
      </c>
      <c r="B91" s="3" t="str">
        <v/>
      </c>
      <c r="C91" s="3" t="str">
        <v/>
      </c>
      <c r="D91" s="3" t="str">
        <v/>
      </c>
      <c r="E91" s="3" t="str">
        <v/>
      </c>
      <c r="F91" s="3" t="str">
        <v/>
      </c>
      <c r="G91" s="3" t="str">
        <v/>
      </c>
      <c r="H91" s="3" t="str">
        <v/>
      </c>
      <c r="I91" s="3" t="str">
        <v/>
      </c>
      <c r="J91" s="3" t="str">
        <v/>
      </c>
      <c r="K91" s="3" t="str">
        <v/>
      </c>
      <c r="L91" s="3" t="str">
        <v/>
      </c>
      <c r="M91" s="3" t="str">
        <v/>
      </c>
      <c r="N91" s="3" t="str">
        <v/>
      </c>
      <c r="O91" s="3" t="str">
        <v/>
      </c>
      <c r="P91" s="3" t="str">
        <v/>
      </c>
      <c r="Q91" s="3" t="str">
        <v/>
      </c>
      <c r="R91" s="3" t="str">
        <v/>
      </c>
      <c r="S91" s="3" t="str">
        <v/>
      </c>
      <c r="T91" s="3" t="str">
        <v/>
      </c>
      <c r="U91" s="3" t="str">
        <v/>
      </c>
      <c r="V91" s="3" t="str">
        <v/>
      </c>
      <c r="W91" s="3" t="str">
        <v/>
      </c>
      <c r="X91" s="3" t="str">
        <v/>
      </c>
      <c r="Y91" s="3" t="str">
        <v/>
      </c>
      <c r="Z91" s="3" t="str">
        <v/>
      </c>
      <c r="AA91" s="3" t="str">
        <v/>
      </c>
      <c r="AB91" s="3" t="str">
        <v/>
      </c>
      <c r="AC91" s="3" t="str">
        <v/>
      </c>
      <c r="AD91" s="3" t="str">
        <v/>
      </c>
      <c r="AE91" s="3" t="str">
        <v/>
      </c>
      <c r="AF91" s="3" t="str">
        <v/>
      </c>
      <c r="AG91" s="3" t="str">
        <v/>
      </c>
      <c r="AH91" s="3" t="str">
        <v/>
      </c>
      <c r="AI91" s="3" t="str">
        <v/>
      </c>
      <c r="AJ91" s="3" t="str">
        <v/>
      </c>
      <c r="AK91" s="3" t="str">
        <v/>
      </c>
      <c r="AL91" s="3" t="str">
        <v/>
      </c>
      <c r="AM91" s="3" t="str">
        <v/>
      </c>
      <c r="AN91" s="3" t="str">
        <v/>
      </c>
      <c r="AO91" s="3" t="str">
        <v/>
      </c>
      <c r="AP91" s="3" t="str">
        <v/>
      </c>
      <c r="AQ91" s="3" t="str">
        <v/>
      </c>
      <c r="AR91" s="3" t="str">
        <v/>
      </c>
      <c r="AS91" s="3" t="str">
        <v/>
      </c>
      <c r="AT91" s="3" t="str">
        <v/>
      </c>
      <c r="AU91" s="3" t="str">
        <v/>
      </c>
      <c r="AV91" s="3" t="str">
        <v/>
      </c>
      <c r="AW91" s="3" t="str">
        <v/>
      </c>
      <c r="AX91" s="3" t="str">
        <v/>
      </c>
      <c r="AY91" s="3" t="str">
        <v/>
      </c>
      <c r="AZ91" s="3" t="str">
        <v/>
      </c>
      <c r="BA91" s="3" t="str">
        <v/>
      </c>
      <c r="BB91" s="3" t="str">
        <v/>
      </c>
      <c r="BC91" s="3" t="str">
        <v/>
      </c>
      <c r="BD91" s="3" t="str">
        <v/>
      </c>
      <c r="BE91" s="3" t="str">
        <v/>
      </c>
      <c r="BF91" s="3" t="str">
        <v/>
      </c>
      <c r="BG91" s="3" t="str">
        <v/>
      </c>
      <c r="BH91" s="3" t="str">
        <v/>
      </c>
      <c r="BI91" s="3" t="str">
        <v/>
      </c>
      <c r="BJ91" s="3" t="str">
        <v/>
      </c>
      <c r="BK91" s="3" t="str">
        <v/>
      </c>
      <c r="BL91" s="3" t="str">
        <v/>
      </c>
      <c r="BM91" s="3" t="str">
        <v/>
      </c>
      <c r="BN91" s="3" t="str">
        <v/>
      </c>
      <c r="BO91" s="3" t="str">
        <v/>
      </c>
      <c r="BP91" s="1" t="str">
        <v/>
      </c>
      <c r="BQ91" s="1" t="str">
        <v/>
      </c>
      <c r="BR91" s="1" t="str">
        <v/>
      </c>
      <c r="BS91" s="1" t="str">
        <v/>
      </c>
      <c r="BT91" s="1" t="str">
        <v/>
      </c>
      <c r="BU91" s="1" t="str">
        <v/>
      </c>
      <c r="BV91" s="1" t="str">
        <v/>
      </c>
      <c r="BW91" s="1" t="str">
        <v/>
      </c>
      <c r="BX91" s="1" t="str">
        <v/>
      </c>
      <c r="BY91" s="1" t="str">
        <v/>
      </c>
      <c r="BZ91" s="1" t="str">
        <v/>
      </c>
      <c r="CA91" s="1" t="str">
        <v/>
      </c>
      <c r="CB91" s="1" t="str">
        <v/>
      </c>
      <c r="CC91" s="1" t="str">
        <v/>
      </c>
      <c r="CD91" s="1" t="str">
        <v/>
      </c>
      <c r="CE91" s="1" t="str">
        <v/>
      </c>
      <c r="CF91" s="1" t="str">
        <v/>
      </c>
      <c r="CG91" s="1" t="str">
        <v/>
      </c>
      <c r="CH91" s="1" t="str">
        <v/>
      </c>
      <c r="CI91" s="1" t="str">
        <v/>
      </c>
      <c r="CJ91" s="1" t="str">
        <v/>
      </c>
      <c r="CK91" s="1">
        <v>0.99999999999999978</v>
      </c>
      <c r="CL91" s="1">
        <v>0.24497504862083175</v>
      </c>
      <c r="CM91" s="1">
        <v>6.107002971743955E-2</v>
      </c>
      <c r="CN91" s="1">
        <v>0.58449005282429911</v>
      </c>
      <c r="CO91" s="1">
        <v>0.12521967675234033</v>
      </c>
      <c r="CP91" s="1">
        <v>0.11196538394814957</v>
      </c>
      <c r="CQ91" s="1">
        <v>0.15292556392935575</v>
      </c>
      <c r="CR91" s="1">
        <v>0.39141020268814147</v>
      </c>
      <c r="CS91" s="1">
        <v>0.29769109987372522</v>
      </c>
      <c r="CT91" s="1">
        <v>0.23620823025925494</v>
      </c>
      <c r="CU91" s="1">
        <v>0.31857754593128773</v>
      </c>
      <c r="CV91" s="1">
        <v>0.31872573802074156</v>
      </c>
      <c r="CW91" s="1">
        <v>0.28343530263529493</v>
      </c>
      <c r="CX91" s="1">
        <v>0.18981924669151087</v>
      </c>
      <c r="CY91" s="1">
        <v>0.17025999350549126</v>
      </c>
      <c r="CZ91" s="1">
        <v>0.16144020879455842</v>
      </c>
      <c r="DA91" s="1">
        <v>0.25317722775323026</v>
      </c>
      <c r="DB91" s="1">
        <v>0.40090589170232294</v>
      </c>
      <c r="DC91" s="1">
        <v>0.38634967146569105</v>
      </c>
      <c r="DD91" s="1">
        <v>7.4637031110366472E-2</v>
      </c>
      <c r="DE91" s="1">
        <v>0.31502885890264803</v>
      </c>
      <c r="DF91" s="1">
        <v>0.4306088197749483</v>
      </c>
      <c r="DG91" s="1">
        <v>0.15120067827039727</v>
      </c>
      <c r="DH91" s="1">
        <v>0.53032999121318747</v>
      </c>
      <c r="DI91" s="1">
        <v>0.44474604320504041</v>
      </c>
      <c r="DJ91" s="1">
        <v>0.40955482487285344</v>
      </c>
      <c r="DK91" s="1">
        <v>0.37258265838680604</v>
      </c>
      <c r="DL91" s="1">
        <v>0.38642911901067906</v>
      </c>
      <c r="DM91" s="1">
        <v>0.46545944316083016</v>
      </c>
      <c r="DN91" s="1">
        <v>0.43125937785167506</v>
      </c>
      <c r="DO91" s="1">
        <v>0.28804538947915548</v>
      </c>
      <c r="DP91" s="1">
        <v>0.40103407663163881</v>
      </c>
      <c r="DQ91" s="1">
        <v>0.34730808736902907</v>
      </c>
      <c r="DR91" s="1">
        <v>0.46310073739421576</v>
      </c>
      <c r="DS91" s="1">
        <v>0.23515978545445476</v>
      </c>
      <c r="DT91" s="1">
        <v>0.36004014783791022</v>
      </c>
      <c r="DU91" s="1">
        <v>0.46057216852958432</v>
      </c>
      <c r="DV91" s="1">
        <v>0.33182856569048608</v>
      </c>
      <c r="DW91" s="1">
        <v>0.33309091495883991</v>
      </c>
      <c r="DX91" s="1">
        <v>0.27586186732727908</v>
      </c>
      <c r="DY91" s="1">
        <v>0.48293877008440861</v>
      </c>
    </row>
    <row r="92" spans="1:129" ht="15">
      <c r="A92" s="7" t="s">
        <v>103</v>
      </c>
      <c r="B92" s="3" t="str">
        <v/>
      </c>
      <c r="C92" s="3" t="str">
        <v/>
      </c>
      <c r="D92" s="3" t="str">
        <v/>
      </c>
      <c r="E92" s="3" t="str">
        <v/>
      </c>
      <c r="F92" s="3" t="str">
        <v/>
      </c>
      <c r="G92" s="3" t="str">
        <v/>
      </c>
      <c r="H92" s="3" t="str">
        <v/>
      </c>
      <c r="I92" s="3" t="str">
        <v/>
      </c>
      <c r="J92" s="3" t="str">
        <v/>
      </c>
      <c r="K92" s="3" t="str">
        <v/>
      </c>
      <c r="L92" s="3" t="str">
        <v/>
      </c>
      <c r="M92" s="3" t="str">
        <v/>
      </c>
      <c r="N92" s="3" t="str">
        <v/>
      </c>
      <c r="O92" s="3" t="str">
        <v/>
      </c>
      <c r="P92" s="3" t="str">
        <v/>
      </c>
      <c r="Q92" s="3" t="str">
        <v/>
      </c>
      <c r="R92" s="3" t="str">
        <v/>
      </c>
      <c r="S92" s="3" t="str">
        <v/>
      </c>
      <c r="T92" s="3" t="str">
        <v/>
      </c>
      <c r="U92" s="3" t="str">
        <v/>
      </c>
      <c r="V92" s="3" t="str">
        <v/>
      </c>
      <c r="W92" s="3" t="str">
        <v/>
      </c>
      <c r="X92" s="3" t="str">
        <v/>
      </c>
      <c r="Y92" s="3" t="str">
        <v/>
      </c>
      <c r="Z92" s="3" t="str">
        <v/>
      </c>
      <c r="AA92" s="3" t="str">
        <v/>
      </c>
      <c r="AB92" s="3" t="str">
        <v/>
      </c>
      <c r="AC92" s="3" t="str">
        <v/>
      </c>
      <c r="AD92" s="3" t="str">
        <v/>
      </c>
      <c r="AE92" s="3" t="str">
        <v/>
      </c>
      <c r="AF92" s="3" t="str">
        <v/>
      </c>
      <c r="AG92" s="3" t="str">
        <v/>
      </c>
      <c r="AH92" s="3" t="str">
        <v/>
      </c>
      <c r="AI92" s="3" t="str">
        <v/>
      </c>
      <c r="AJ92" s="3" t="str">
        <v/>
      </c>
      <c r="AK92" s="3" t="str">
        <v/>
      </c>
      <c r="AL92" s="3" t="str">
        <v/>
      </c>
      <c r="AM92" s="3" t="str">
        <v/>
      </c>
      <c r="AN92" s="3" t="str">
        <v/>
      </c>
      <c r="AO92" s="3" t="str">
        <v/>
      </c>
      <c r="AP92" s="3" t="str">
        <v/>
      </c>
      <c r="AQ92" s="3" t="str">
        <v/>
      </c>
      <c r="AR92" s="3" t="str">
        <v/>
      </c>
      <c r="AS92" s="3" t="str">
        <v/>
      </c>
      <c r="AT92" s="3" t="str">
        <v/>
      </c>
      <c r="AU92" s="3" t="str">
        <v/>
      </c>
      <c r="AV92" s="3" t="str">
        <v/>
      </c>
      <c r="AW92" s="3" t="str">
        <v/>
      </c>
      <c r="AX92" s="3" t="str">
        <v/>
      </c>
      <c r="AY92" s="3" t="str">
        <v/>
      </c>
      <c r="AZ92" s="3" t="str">
        <v/>
      </c>
      <c r="BA92" s="3" t="str">
        <v/>
      </c>
      <c r="BB92" s="3" t="str">
        <v/>
      </c>
      <c r="BC92" s="3" t="str">
        <v/>
      </c>
      <c r="BD92" s="3" t="str">
        <v/>
      </c>
      <c r="BE92" s="3" t="str">
        <v/>
      </c>
      <c r="BF92" s="3" t="str">
        <v/>
      </c>
      <c r="BG92" s="3" t="str">
        <v/>
      </c>
      <c r="BH92" s="3" t="str">
        <v/>
      </c>
      <c r="BI92" s="3" t="str">
        <v/>
      </c>
      <c r="BJ92" s="3" t="str">
        <v/>
      </c>
      <c r="BK92" s="3" t="str">
        <v/>
      </c>
      <c r="BL92" s="3" t="str">
        <v/>
      </c>
      <c r="BM92" s="3" t="str">
        <v/>
      </c>
      <c r="BN92" s="3" t="str">
        <v/>
      </c>
      <c r="BO92" s="3" t="str">
        <v/>
      </c>
      <c r="BP92" s="1" t="str">
        <v/>
      </c>
      <c r="BQ92" s="1" t="str">
        <v/>
      </c>
      <c r="BR92" s="1" t="str">
        <v/>
      </c>
      <c r="BS92" s="1" t="str">
        <v/>
      </c>
      <c r="BT92" s="1" t="str">
        <v/>
      </c>
      <c r="BU92" s="1" t="str">
        <v/>
      </c>
      <c r="BV92" s="1" t="str">
        <v/>
      </c>
      <c r="BW92" s="1" t="str">
        <v/>
      </c>
      <c r="BX92" s="1" t="str">
        <v/>
      </c>
      <c r="BY92" s="1" t="str">
        <v/>
      </c>
      <c r="BZ92" s="1" t="str">
        <v/>
      </c>
      <c r="CA92" s="1" t="str">
        <v/>
      </c>
      <c r="CB92" s="1" t="str">
        <v/>
      </c>
      <c r="CC92" s="1" t="str">
        <v/>
      </c>
      <c r="CD92" s="1" t="str">
        <v/>
      </c>
      <c r="CE92" s="1" t="str">
        <v/>
      </c>
      <c r="CF92" s="1" t="str">
        <v/>
      </c>
      <c r="CG92" s="1" t="str">
        <v/>
      </c>
      <c r="CH92" s="1" t="str">
        <v/>
      </c>
      <c r="CI92" s="1" t="str">
        <v/>
      </c>
      <c r="CJ92" s="1" t="str">
        <v/>
      </c>
      <c r="CK92" s="1" t="str">
        <v/>
      </c>
      <c r="CL92" s="1">
        <v>0.99999999999999989</v>
      </c>
      <c r="CM92" s="1">
        <v>-5.639523971397583E-2</v>
      </c>
      <c r="CN92" s="1">
        <v>0.34552410410896922</v>
      </c>
      <c r="CO92" s="1">
        <v>0.37011332895399884</v>
      </c>
      <c r="CP92" s="1">
        <v>0.13264371476830045</v>
      </c>
      <c r="CQ92" s="1">
        <v>-0.15408936536825824</v>
      </c>
      <c r="CR92" s="1">
        <v>0.24432191351399865</v>
      </c>
      <c r="CS92" s="1">
        <v>0.20376979711994797</v>
      </c>
      <c r="CT92" s="1">
        <v>0.85608190190972289</v>
      </c>
      <c r="CU92" s="1">
        <v>0.44306568131191232</v>
      </c>
      <c r="CV92" s="1">
        <v>0.24251647198744741</v>
      </c>
      <c r="CW92" s="1">
        <v>0.31717764409345622</v>
      </c>
      <c r="CX92" s="1">
        <v>0.38254657049109003</v>
      </c>
      <c r="CY92" s="1">
        <v>0.34405723099462093</v>
      </c>
      <c r="CZ92" s="1">
        <v>0.53493403665936401</v>
      </c>
      <c r="DA92" s="1">
        <v>0.15706786516113749</v>
      </c>
      <c r="DB92" s="1">
        <v>0.37283450137051954</v>
      </c>
      <c r="DC92" s="1">
        <v>0.35928606351274034</v>
      </c>
      <c r="DD92" s="1">
        <v>0.33913592717121654</v>
      </c>
      <c r="DE92" s="1">
        <v>0.21268381333376862</v>
      </c>
      <c r="DF92" s="1">
        <v>0.28839913179273607</v>
      </c>
      <c r="DG92" s="1">
        <v>8.5052574476538093E-2</v>
      </c>
      <c r="DH92" s="1">
        <v>0.49795438722104718</v>
      </c>
      <c r="DI92" s="1">
        <v>0.66003454907403492</v>
      </c>
      <c r="DJ92" s="1">
        <v>0.67510365263177163</v>
      </c>
      <c r="DK92" s="1">
        <v>0.74160522407719365</v>
      </c>
      <c r="DL92" s="1">
        <v>0.67884630267478563</v>
      </c>
      <c r="DM92" s="1">
        <v>0.6616792640142436</v>
      </c>
      <c r="DN92" s="1">
        <v>0.64497792784423669</v>
      </c>
      <c r="DO92" s="1">
        <v>0.67893626745091384</v>
      </c>
      <c r="DP92" s="1">
        <v>0.77705270328075726</v>
      </c>
      <c r="DQ92" s="1">
        <v>0.73530218758607457</v>
      </c>
      <c r="DR92" s="1">
        <v>0.70955502431042106</v>
      </c>
      <c r="DS92" s="1">
        <v>0.49860760756521072</v>
      </c>
      <c r="DT92" s="1">
        <v>0.6693356232569655</v>
      </c>
      <c r="DU92" s="1">
        <v>0.71446369167034052</v>
      </c>
      <c r="DV92" s="1">
        <v>0.73275454340036317</v>
      </c>
      <c r="DW92" s="1">
        <v>0.36787997101329778</v>
      </c>
      <c r="DX92" s="1">
        <v>0.28164708696918872</v>
      </c>
      <c r="DY92" s="1">
        <v>0.60459302596915465</v>
      </c>
    </row>
    <row r="93" spans="1:129" ht="15">
      <c r="A93" s="7" t="s">
        <v>104</v>
      </c>
      <c r="B93" s="3" t="str">
        <v/>
      </c>
      <c r="C93" s="3" t="str">
        <v/>
      </c>
      <c r="D93" s="3" t="str">
        <v/>
      </c>
      <c r="E93" s="3" t="str">
        <v/>
      </c>
      <c r="F93" s="3" t="str">
        <v/>
      </c>
      <c r="G93" s="3" t="str">
        <v/>
      </c>
      <c r="H93" s="3" t="str">
        <v/>
      </c>
      <c r="I93" s="3" t="str">
        <v/>
      </c>
      <c r="J93" s="3" t="str">
        <v/>
      </c>
      <c r="K93" s="3" t="str">
        <v/>
      </c>
      <c r="L93" s="3" t="str">
        <v/>
      </c>
      <c r="M93" s="3" t="str">
        <v/>
      </c>
      <c r="N93" s="3" t="str">
        <v/>
      </c>
      <c r="O93" s="3" t="str">
        <v/>
      </c>
      <c r="P93" s="3" t="str">
        <v/>
      </c>
      <c r="Q93" s="3" t="str">
        <v/>
      </c>
      <c r="R93" s="3" t="str">
        <v/>
      </c>
      <c r="S93" s="3" t="str">
        <v/>
      </c>
      <c r="T93" s="3" t="str">
        <v/>
      </c>
      <c r="U93" s="3" t="str">
        <v/>
      </c>
      <c r="V93" s="3" t="str">
        <v/>
      </c>
      <c r="W93" s="3" t="str">
        <v/>
      </c>
      <c r="X93" s="3" t="str">
        <v/>
      </c>
      <c r="Y93" s="3" t="str">
        <v/>
      </c>
      <c r="Z93" s="3" t="str">
        <v/>
      </c>
      <c r="AA93" s="3" t="str">
        <v/>
      </c>
      <c r="AB93" s="3" t="str">
        <v/>
      </c>
      <c r="AC93" s="3" t="str">
        <v/>
      </c>
      <c r="AD93" s="3" t="str">
        <v/>
      </c>
      <c r="AE93" s="3" t="str">
        <v/>
      </c>
      <c r="AF93" s="3" t="str">
        <v/>
      </c>
      <c r="AG93" s="3" t="str">
        <v/>
      </c>
      <c r="AH93" s="3" t="str">
        <v/>
      </c>
      <c r="AI93" s="3" t="str">
        <v/>
      </c>
      <c r="AJ93" s="3" t="str">
        <v/>
      </c>
      <c r="AK93" s="3" t="str">
        <v/>
      </c>
      <c r="AL93" s="3" t="str">
        <v/>
      </c>
      <c r="AM93" s="3" t="str">
        <v/>
      </c>
      <c r="AN93" s="3" t="str">
        <v/>
      </c>
      <c r="AO93" s="3" t="str">
        <v/>
      </c>
      <c r="AP93" s="3" t="str">
        <v/>
      </c>
      <c r="AQ93" s="3" t="str">
        <v/>
      </c>
      <c r="AR93" s="3" t="str">
        <v/>
      </c>
      <c r="AS93" s="3" t="str">
        <v/>
      </c>
      <c r="AT93" s="3" t="str">
        <v/>
      </c>
      <c r="AU93" s="3" t="str">
        <v/>
      </c>
      <c r="AV93" s="3" t="str">
        <v/>
      </c>
      <c r="AW93" s="3" t="str">
        <v/>
      </c>
      <c r="AX93" s="3" t="str">
        <v/>
      </c>
      <c r="AY93" s="3" t="str">
        <v/>
      </c>
      <c r="AZ93" s="3" t="str">
        <v/>
      </c>
      <c r="BA93" s="3" t="str">
        <v/>
      </c>
      <c r="BB93" s="3" t="str">
        <v/>
      </c>
      <c r="BC93" s="3" t="str">
        <v/>
      </c>
      <c r="BD93" s="3" t="str">
        <v/>
      </c>
      <c r="BE93" s="3" t="str">
        <v/>
      </c>
      <c r="BF93" s="3" t="str">
        <v/>
      </c>
      <c r="BG93" s="3" t="str">
        <v/>
      </c>
      <c r="BH93" s="3" t="str">
        <v/>
      </c>
      <c r="BI93" s="3" t="str">
        <v/>
      </c>
      <c r="BJ93" s="3" t="str">
        <v/>
      </c>
      <c r="BK93" s="3" t="str">
        <v/>
      </c>
      <c r="BL93" s="3" t="str">
        <v/>
      </c>
      <c r="BM93" s="3" t="str">
        <v/>
      </c>
      <c r="BN93" s="3" t="str">
        <v/>
      </c>
      <c r="BO93" s="3" t="str">
        <v/>
      </c>
      <c r="BP93" s="1" t="str">
        <v/>
      </c>
      <c r="BQ93" s="1" t="str">
        <v/>
      </c>
      <c r="BR93" s="1" t="str">
        <v/>
      </c>
      <c r="BS93" s="1" t="str">
        <v/>
      </c>
      <c r="BT93" s="1" t="str">
        <v/>
      </c>
      <c r="BU93" s="1" t="str">
        <v/>
      </c>
      <c r="BV93" s="1" t="str">
        <v/>
      </c>
      <c r="BW93" s="1" t="str">
        <v/>
      </c>
      <c r="BX93" s="1" t="str">
        <v/>
      </c>
      <c r="BY93" s="1" t="str">
        <v/>
      </c>
      <c r="BZ93" s="1" t="str">
        <v/>
      </c>
      <c r="CA93" s="1" t="str">
        <v/>
      </c>
      <c r="CB93" s="1" t="str">
        <v/>
      </c>
      <c r="CC93" s="1" t="str">
        <v/>
      </c>
      <c r="CD93" s="1" t="str">
        <v/>
      </c>
      <c r="CE93" s="1" t="str">
        <v/>
      </c>
      <c r="CF93" s="1" t="str">
        <v/>
      </c>
      <c r="CG93" s="1" t="str">
        <v/>
      </c>
      <c r="CH93" s="1" t="str">
        <v/>
      </c>
      <c r="CI93" s="1" t="str">
        <v/>
      </c>
      <c r="CJ93" s="1" t="str">
        <v/>
      </c>
      <c r="CK93" s="1" t="str">
        <v/>
      </c>
      <c r="CL93" s="1" t="str">
        <v/>
      </c>
      <c r="CM93" s="1">
        <v>1</v>
      </c>
      <c r="CN93" s="1">
        <v>0.19934247139444583</v>
      </c>
      <c r="CO93" s="1">
        <v>0.36291901200661264</v>
      </c>
      <c r="CP93" s="1">
        <v>0.23248751868029827</v>
      </c>
      <c r="CQ93" s="1">
        <v>0.30937388170860403</v>
      </c>
      <c r="CR93" s="1">
        <v>0.38674524474665917</v>
      </c>
      <c r="CS93" s="1">
        <v>7.364192177491514E-3</v>
      </c>
      <c r="CT93" s="1">
        <v>-0.13171997761963009</v>
      </c>
      <c r="CU93" s="1">
        <v>2.2589142770911817E-2</v>
      </c>
      <c r="CV93" s="1">
        <v>0.25097643737584308</v>
      </c>
      <c r="CW93" s="1">
        <v>6.2146558297011052E-2</v>
      </c>
      <c r="CX93" s="1">
        <v>1.2805692720387272E-4</v>
      </c>
      <c r="CY93" s="1">
        <v>8.1134507224180641E-2</v>
      </c>
      <c r="CZ93" s="1">
        <v>-0.10674216724946085</v>
      </c>
      <c r="DA93" s="1">
        <v>-1.483732550271602E-2</v>
      </c>
      <c r="DB93" s="1">
        <v>0.15833406406884978</v>
      </c>
      <c r="DC93" s="1">
        <v>3.3591059390236468E-2</v>
      </c>
      <c r="DD93" s="1">
        <v>8.0698639479337114E-2</v>
      </c>
      <c r="DE93" s="1">
        <v>3.7175360808613667E-2</v>
      </c>
      <c r="DF93" s="1">
        <v>0.28128367482132222</v>
      </c>
      <c r="DG93" s="1">
        <v>3.8552946141100143E-2</v>
      </c>
      <c r="DH93" s="1">
        <v>4.8989780380816181E-2</v>
      </c>
      <c r="DI93" s="1">
        <v>-8.9552130068666254E-3</v>
      </c>
      <c r="DJ93" s="1">
        <v>1.2532540227700265E-2</v>
      </c>
      <c r="DK93" s="1">
        <v>-7.1196726969334323E-2</v>
      </c>
      <c r="DL93" s="1">
        <v>-0.11115486871068227</v>
      </c>
      <c r="DM93" s="1">
        <v>-9.9673713309587395E-2</v>
      </c>
      <c r="DN93" s="1">
        <v>-0.11565826327728522</v>
      </c>
      <c r="DO93" s="1">
        <v>-0.16587248211731656</v>
      </c>
      <c r="DP93" s="1">
        <v>-9.1324561531609699E-2</v>
      </c>
      <c r="DQ93" s="1">
        <v>-0.2245981473399726</v>
      </c>
      <c r="DR93" s="1">
        <v>-8.8294742776410751E-2</v>
      </c>
      <c r="DS93" s="1">
        <v>-3.601379393742838E-2</v>
      </c>
      <c r="DT93" s="1">
        <v>-0.12580758865519043</v>
      </c>
      <c r="DU93" s="1">
        <v>-0.16018474051303769</v>
      </c>
      <c r="DV93" s="1">
        <v>-0.1182735598052138</v>
      </c>
      <c r="DW93" s="1">
        <v>-9.101920319666109E-3</v>
      </c>
      <c r="DX93" s="1">
        <v>-0.20993769653777891</v>
      </c>
      <c r="DY93" s="1">
        <v>-0.13269835437929731</v>
      </c>
    </row>
    <row r="94" spans="1:129" ht="15">
      <c r="A94" s="7" t="s">
        <v>105</v>
      </c>
      <c r="B94" s="3" t="str">
        <v/>
      </c>
      <c r="C94" s="3" t="str">
        <v/>
      </c>
      <c r="D94" s="3" t="str">
        <v/>
      </c>
      <c r="E94" s="3" t="str">
        <v/>
      </c>
      <c r="F94" s="3" t="str">
        <v/>
      </c>
      <c r="G94" s="3" t="str">
        <v/>
      </c>
      <c r="H94" s="3" t="str">
        <v/>
      </c>
      <c r="I94" s="3" t="str">
        <v/>
      </c>
      <c r="J94" s="3" t="str">
        <v/>
      </c>
      <c r="K94" s="3" t="str">
        <v/>
      </c>
      <c r="L94" s="3" t="str">
        <v/>
      </c>
      <c r="M94" s="3" t="str">
        <v/>
      </c>
      <c r="N94" s="3" t="str">
        <v/>
      </c>
      <c r="O94" s="3" t="str">
        <v/>
      </c>
      <c r="P94" s="3" t="str">
        <v/>
      </c>
      <c r="Q94" s="3" t="str">
        <v/>
      </c>
      <c r="R94" s="3" t="str">
        <v/>
      </c>
      <c r="S94" s="3" t="str">
        <v/>
      </c>
      <c r="T94" s="3" t="str">
        <v/>
      </c>
      <c r="U94" s="3" t="str">
        <v/>
      </c>
      <c r="V94" s="3" t="str">
        <v/>
      </c>
      <c r="W94" s="3" t="str">
        <v/>
      </c>
      <c r="X94" s="3" t="str">
        <v/>
      </c>
      <c r="Y94" s="3" t="str">
        <v/>
      </c>
      <c r="Z94" s="3" t="str">
        <v/>
      </c>
      <c r="AA94" s="3" t="str">
        <v/>
      </c>
      <c r="AB94" s="3" t="str">
        <v/>
      </c>
      <c r="AC94" s="3" t="str">
        <v/>
      </c>
      <c r="AD94" s="3" t="str">
        <v/>
      </c>
      <c r="AE94" s="3" t="str">
        <v/>
      </c>
      <c r="AF94" s="3" t="str">
        <v/>
      </c>
      <c r="AG94" s="3" t="str">
        <v/>
      </c>
      <c r="AH94" s="3" t="str">
        <v/>
      </c>
      <c r="AI94" s="3" t="str">
        <v/>
      </c>
      <c r="AJ94" s="3" t="str">
        <v/>
      </c>
      <c r="AK94" s="3" t="str">
        <v/>
      </c>
      <c r="AL94" s="3" t="str">
        <v/>
      </c>
      <c r="AM94" s="3" t="str">
        <v/>
      </c>
      <c r="AN94" s="3" t="str">
        <v/>
      </c>
      <c r="AO94" s="3" t="str">
        <v/>
      </c>
      <c r="AP94" s="3" t="str">
        <v/>
      </c>
      <c r="AQ94" s="3" t="str">
        <v/>
      </c>
      <c r="AR94" s="3" t="str">
        <v/>
      </c>
      <c r="AS94" s="3" t="str">
        <v/>
      </c>
      <c r="AT94" s="3" t="str">
        <v/>
      </c>
      <c r="AU94" s="3" t="str">
        <v/>
      </c>
      <c r="AV94" s="3" t="str">
        <v/>
      </c>
      <c r="AW94" s="3" t="str">
        <v/>
      </c>
      <c r="AX94" s="3" t="str">
        <v/>
      </c>
      <c r="AY94" s="3" t="str">
        <v/>
      </c>
      <c r="AZ94" s="3" t="str">
        <v/>
      </c>
      <c r="BA94" s="3" t="str">
        <v/>
      </c>
      <c r="BB94" s="3" t="str">
        <v/>
      </c>
      <c r="BC94" s="3" t="str">
        <v/>
      </c>
      <c r="BD94" s="3" t="str">
        <v/>
      </c>
      <c r="BE94" s="3" t="str">
        <v/>
      </c>
      <c r="BF94" s="3" t="str">
        <v/>
      </c>
      <c r="BG94" s="3" t="str">
        <v/>
      </c>
      <c r="BH94" s="3" t="str">
        <v/>
      </c>
      <c r="BI94" s="3" t="str">
        <v/>
      </c>
      <c r="BJ94" s="3" t="str">
        <v/>
      </c>
      <c r="BK94" s="3" t="str">
        <v/>
      </c>
      <c r="BL94" s="3" t="str">
        <v/>
      </c>
      <c r="BM94" s="3" t="str">
        <v/>
      </c>
      <c r="BN94" s="3" t="str">
        <v/>
      </c>
      <c r="BO94" s="3" t="str">
        <v/>
      </c>
      <c r="BP94" s="1" t="str">
        <v/>
      </c>
      <c r="BQ94" s="1" t="str">
        <v/>
      </c>
      <c r="BR94" s="1" t="str">
        <v/>
      </c>
      <c r="BS94" s="1" t="str">
        <v/>
      </c>
      <c r="BT94" s="1" t="str">
        <v/>
      </c>
      <c r="BU94" s="1" t="str">
        <v/>
      </c>
      <c r="BV94" s="1" t="str">
        <v/>
      </c>
      <c r="BW94" s="1" t="str">
        <v/>
      </c>
      <c r="BX94" s="1" t="str">
        <v/>
      </c>
      <c r="BY94" s="1" t="str">
        <v/>
      </c>
      <c r="BZ94" s="1" t="str">
        <v/>
      </c>
      <c r="CA94" s="1" t="str">
        <v/>
      </c>
      <c r="CB94" s="1" t="str">
        <v/>
      </c>
      <c r="CC94" s="1" t="str">
        <v/>
      </c>
      <c r="CD94" s="1" t="str">
        <v/>
      </c>
      <c r="CE94" s="1" t="str">
        <v/>
      </c>
      <c r="CF94" s="1" t="str">
        <v/>
      </c>
      <c r="CG94" s="1" t="str">
        <v/>
      </c>
      <c r="CH94" s="1" t="str">
        <v/>
      </c>
      <c r="CI94" s="1" t="str">
        <v/>
      </c>
      <c r="CJ94" s="1" t="str">
        <v/>
      </c>
      <c r="CK94" s="1" t="str">
        <v/>
      </c>
      <c r="CL94" s="1" t="str">
        <v/>
      </c>
      <c r="CM94" s="1" t="str">
        <v/>
      </c>
      <c r="CN94" s="1">
        <v>1</v>
      </c>
      <c r="CO94" s="1">
        <v>0.32820800507888132</v>
      </c>
      <c r="CP94" s="1">
        <v>0.47376516418044368</v>
      </c>
      <c r="CQ94" s="1">
        <v>0.41611820909890052</v>
      </c>
      <c r="CR94" s="1">
        <v>0.52892614826131801</v>
      </c>
      <c r="CS94" s="1">
        <v>0.2419902109566458</v>
      </c>
      <c r="CT94" s="1">
        <v>0.32799419846692213</v>
      </c>
      <c r="CU94" s="1">
        <v>0.36562721719112551</v>
      </c>
      <c r="CV94" s="1">
        <v>0.38699177859339962</v>
      </c>
      <c r="CW94" s="1">
        <v>0.32793275158881979</v>
      </c>
      <c r="CX94" s="1">
        <v>0.22159950877180964</v>
      </c>
      <c r="CY94" s="1">
        <v>0.13600993330176059</v>
      </c>
      <c r="CZ94" s="1">
        <v>0.29918572035373908</v>
      </c>
      <c r="DA94" s="1">
        <v>0.37119965858732851</v>
      </c>
      <c r="DB94" s="1">
        <v>0.43888599975535553</v>
      </c>
      <c r="DC94" s="1">
        <v>0.38279960697064253</v>
      </c>
      <c r="DD94" s="1">
        <v>9.5474319403470079E-2</v>
      </c>
      <c r="DE94" s="1">
        <v>0.47627778476348787</v>
      </c>
      <c r="DF94" s="1">
        <v>0.48054795630302577</v>
      </c>
      <c r="DG94" s="1">
        <v>0.11905767998603181</v>
      </c>
      <c r="DH94" s="1">
        <v>0.50913121599471189</v>
      </c>
      <c r="DI94" s="1">
        <v>0.37085221623840076</v>
      </c>
      <c r="DJ94" s="1">
        <v>0.34005501835946378</v>
      </c>
      <c r="DK94" s="1">
        <v>0.29602281277566617</v>
      </c>
      <c r="DL94" s="1">
        <v>0.30247037571726265</v>
      </c>
      <c r="DM94" s="1">
        <v>0.36055567421667284</v>
      </c>
      <c r="DN94" s="1">
        <v>0.38802091278195344</v>
      </c>
      <c r="DO94" s="1">
        <v>0.21538776586788758</v>
      </c>
      <c r="DP94" s="1">
        <v>0.37057940511599069</v>
      </c>
      <c r="DQ94" s="1">
        <v>0.29544840409925832</v>
      </c>
      <c r="DR94" s="1">
        <v>0.36364921613117451</v>
      </c>
      <c r="DS94" s="1">
        <v>0.17823904241122074</v>
      </c>
      <c r="DT94" s="1">
        <v>0.33283190355299297</v>
      </c>
      <c r="DU94" s="1">
        <v>0.38096957594728631</v>
      </c>
      <c r="DV94" s="1">
        <v>0.29413231019236086</v>
      </c>
      <c r="DW94" s="1">
        <v>0.20498568299157943</v>
      </c>
      <c r="DX94" s="1">
        <v>0.22650745484491203</v>
      </c>
      <c r="DY94" s="1">
        <v>0.38096833147391373</v>
      </c>
    </row>
    <row r="95" spans="1:129" ht="15">
      <c r="A95" s="7" t="s">
        <v>106</v>
      </c>
      <c r="B95" s="3" t="str">
        <v/>
      </c>
      <c r="C95" s="3" t="str">
        <v/>
      </c>
      <c r="D95" s="3" t="str">
        <v/>
      </c>
      <c r="E95" s="3" t="str">
        <v/>
      </c>
      <c r="F95" s="3" t="str">
        <v/>
      </c>
      <c r="G95" s="3" t="str">
        <v/>
      </c>
      <c r="H95" s="3" t="str">
        <v/>
      </c>
      <c r="I95" s="3" t="str">
        <v/>
      </c>
      <c r="J95" s="3" t="str">
        <v/>
      </c>
      <c r="K95" s="3" t="str">
        <v/>
      </c>
      <c r="L95" s="3" t="str">
        <v/>
      </c>
      <c r="M95" s="3" t="str">
        <v/>
      </c>
      <c r="N95" s="3" t="str">
        <v/>
      </c>
      <c r="O95" s="3" t="str">
        <v/>
      </c>
      <c r="P95" s="3" t="str">
        <v/>
      </c>
      <c r="Q95" s="3" t="str">
        <v/>
      </c>
      <c r="R95" s="3" t="str">
        <v/>
      </c>
      <c r="S95" s="3" t="str">
        <v/>
      </c>
      <c r="T95" s="3" t="str">
        <v/>
      </c>
      <c r="U95" s="3" t="str">
        <v/>
      </c>
      <c r="V95" s="3" t="str">
        <v/>
      </c>
      <c r="W95" s="3" t="str">
        <v/>
      </c>
      <c r="X95" s="3" t="str">
        <v/>
      </c>
      <c r="Y95" s="3" t="str">
        <v/>
      </c>
      <c r="Z95" s="3" t="str">
        <v/>
      </c>
      <c r="AA95" s="3" t="str">
        <v/>
      </c>
      <c r="AB95" s="3" t="str">
        <v/>
      </c>
      <c r="AC95" s="3" t="str">
        <v/>
      </c>
      <c r="AD95" s="3" t="str">
        <v/>
      </c>
      <c r="AE95" s="3" t="str">
        <v/>
      </c>
      <c r="AF95" s="3" t="str">
        <v/>
      </c>
      <c r="AG95" s="3" t="str">
        <v/>
      </c>
      <c r="AH95" s="3" t="str">
        <v/>
      </c>
      <c r="AI95" s="3" t="str">
        <v/>
      </c>
      <c r="AJ95" s="3" t="str">
        <v/>
      </c>
      <c r="AK95" s="3" t="str">
        <v/>
      </c>
      <c r="AL95" s="3" t="str">
        <v/>
      </c>
      <c r="AM95" s="3" t="str">
        <v/>
      </c>
      <c r="AN95" s="3" t="str">
        <v/>
      </c>
      <c r="AO95" s="3" t="str">
        <v/>
      </c>
      <c r="AP95" s="3" t="str">
        <v/>
      </c>
      <c r="AQ95" s="3" t="str">
        <v/>
      </c>
      <c r="AR95" s="3" t="str">
        <v/>
      </c>
      <c r="AS95" s="3" t="str">
        <v/>
      </c>
      <c r="AT95" s="3" t="str">
        <v/>
      </c>
      <c r="AU95" s="3" t="str">
        <v/>
      </c>
      <c r="AV95" s="3" t="str">
        <v/>
      </c>
      <c r="AW95" s="3" t="str">
        <v/>
      </c>
      <c r="AX95" s="3" t="str">
        <v/>
      </c>
      <c r="AY95" s="3" t="str">
        <v/>
      </c>
      <c r="AZ95" s="3" t="str">
        <v/>
      </c>
      <c r="BA95" s="3" t="str">
        <v/>
      </c>
      <c r="BB95" s="3" t="str">
        <v/>
      </c>
      <c r="BC95" s="3" t="str">
        <v/>
      </c>
      <c r="BD95" s="3" t="str">
        <v/>
      </c>
      <c r="BE95" s="3" t="str">
        <v/>
      </c>
      <c r="BF95" s="3" t="str">
        <v/>
      </c>
      <c r="BG95" s="3" t="str">
        <v/>
      </c>
      <c r="BH95" s="3" t="str">
        <v/>
      </c>
      <c r="BI95" s="3" t="str">
        <v/>
      </c>
      <c r="BJ95" s="3" t="str">
        <v/>
      </c>
      <c r="BK95" s="3" t="str">
        <v/>
      </c>
      <c r="BL95" s="3" t="str">
        <v/>
      </c>
      <c r="BM95" s="3" t="str">
        <v/>
      </c>
      <c r="BN95" s="3" t="str">
        <v/>
      </c>
      <c r="BO95" s="3" t="str">
        <v/>
      </c>
      <c r="BP95" s="1" t="str">
        <v/>
      </c>
      <c r="BQ95" s="1" t="str">
        <v/>
      </c>
      <c r="BR95" s="1" t="str">
        <v/>
      </c>
      <c r="BS95" s="1" t="str">
        <v/>
      </c>
      <c r="BT95" s="1" t="str">
        <v/>
      </c>
      <c r="BU95" s="1" t="str">
        <v/>
      </c>
      <c r="BV95" s="1" t="str">
        <v/>
      </c>
      <c r="BW95" s="1" t="str">
        <v/>
      </c>
      <c r="BX95" s="1" t="str">
        <v/>
      </c>
      <c r="BY95" s="1" t="str">
        <v/>
      </c>
      <c r="BZ95" s="1" t="str">
        <v/>
      </c>
      <c r="CA95" s="1" t="str">
        <v/>
      </c>
      <c r="CB95" s="1" t="str">
        <v/>
      </c>
      <c r="CC95" s="1" t="str">
        <v/>
      </c>
      <c r="CD95" s="1" t="str">
        <v/>
      </c>
      <c r="CE95" s="1" t="str">
        <v/>
      </c>
      <c r="CF95" s="1" t="str">
        <v/>
      </c>
      <c r="CG95" s="1" t="str">
        <v/>
      </c>
      <c r="CH95" s="1" t="str">
        <v/>
      </c>
      <c r="CI95" s="1" t="str">
        <v/>
      </c>
      <c r="CJ95" s="1" t="str">
        <v/>
      </c>
      <c r="CK95" s="1" t="str">
        <v/>
      </c>
      <c r="CL95" s="1" t="str">
        <v/>
      </c>
      <c r="CM95" s="1" t="str">
        <v/>
      </c>
      <c r="CN95" s="1" t="str">
        <v/>
      </c>
      <c r="CO95" s="1">
        <v>1.0000000000000002</v>
      </c>
      <c r="CP95" s="1">
        <v>0.54410760702932748</v>
      </c>
      <c r="CQ95" s="1">
        <v>0.40207763350979153</v>
      </c>
      <c r="CR95" s="1">
        <v>0.46467093821455374</v>
      </c>
      <c r="CS95" s="1">
        <v>7.6804584158084496E-3</v>
      </c>
      <c r="CT95" s="1">
        <v>0.25507854903431681</v>
      </c>
      <c r="CU95" s="1">
        <v>0.13253085415410015</v>
      </c>
      <c r="CV95" s="1">
        <v>0.28293413173960924</v>
      </c>
      <c r="CW95" s="1">
        <v>0.21176030383884292</v>
      </c>
      <c r="CX95" s="1">
        <v>0.26870612935390253</v>
      </c>
      <c r="CY95" s="1">
        <v>0.12116125059205581</v>
      </c>
      <c r="CZ95" s="1">
        <v>0.27650833163537303</v>
      </c>
      <c r="DA95" s="1">
        <v>4.3335495827317293E-2</v>
      </c>
      <c r="DB95" s="1">
        <v>0.17227561189715263</v>
      </c>
      <c r="DC95" s="1">
        <v>-2.4550260516829504E-2</v>
      </c>
      <c r="DD95" s="1">
        <v>-4.1119269475313643E-2</v>
      </c>
      <c r="DE95" s="1">
        <v>0.10920064575709422</v>
      </c>
      <c r="DF95" s="1">
        <v>0.10798983345194126</v>
      </c>
      <c r="DG95" s="1">
        <v>0.16252755774211958</v>
      </c>
      <c r="DH95" s="1">
        <v>0.24960272426863628</v>
      </c>
      <c r="DI95" s="1">
        <v>0.21426143762374314</v>
      </c>
      <c r="DJ95" s="1">
        <v>0.23807811017876104</v>
      </c>
      <c r="DK95" s="1">
        <v>0.16462467884239906</v>
      </c>
      <c r="DL95" s="1">
        <v>0.18946228366331594</v>
      </c>
      <c r="DM95" s="1">
        <v>0.16292656170247719</v>
      </c>
      <c r="DN95" s="1">
        <v>0.1657733983679813</v>
      </c>
      <c r="DO95" s="1">
        <v>6.6494898429095339E-2</v>
      </c>
      <c r="DP95" s="1">
        <v>0.1543852233302456</v>
      </c>
      <c r="DQ95" s="1">
        <v>0.20352851259978141</v>
      </c>
      <c r="DR95" s="1">
        <v>0.17034194099637501</v>
      </c>
      <c r="DS95" s="1">
        <v>0.15023935794552168</v>
      </c>
      <c r="DT95" s="1">
        <v>0.15086786830255949</v>
      </c>
      <c r="DU95" s="1">
        <v>0.17061369524967834</v>
      </c>
      <c r="DV95" s="1">
        <v>0.21481178654200903</v>
      </c>
      <c r="DW95" s="1">
        <v>0.30829184528387787</v>
      </c>
      <c r="DX95" s="1">
        <v>0.10038069230060354</v>
      </c>
      <c r="DY95" s="1">
        <v>5.7746747192594684E-2</v>
      </c>
    </row>
    <row r="96" spans="1:129" ht="15">
      <c r="A96" s="7" t="s">
        <v>107</v>
      </c>
      <c r="B96" s="3" t="str">
        <v/>
      </c>
      <c r="C96" s="3" t="str">
        <v/>
      </c>
      <c r="D96" s="3" t="str">
        <v/>
      </c>
      <c r="E96" s="3" t="str">
        <v/>
      </c>
      <c r="F96" s="3" t="str">
        <v/>
      </c>
      <c r="G96" s="3" t="str">
        <v/>
      </c>
      <c r="H96" s="3" t="str">
        <v/>
      </c>
      <c r="I96" s="3" t="str">
        <v/>
      </c>
      <c r="J96" s="3" t="str">
        <v/>
      </c>
      <c r="K96" s="3" t="str">
        <v/>
      </c>
      <c r="L96" s="3" t="str">
        <v/>
      </c>
      <c r="M96" s="3" t="str">
        <v/>
      </c>
      <c r="N96" s="3" t="str">
        <v/>
      </c>
      <c r="O96" s="3" t="str">
        <v/>
      </c>
      <c r="P96" s="3" t="str">
        <v/>
      </c>
      <c r="Q96" s="3" t="str">
        <v/>
      </c>
      <c r="R96" s="3" t="str">
        <v/>
      </c>
      <c r="S96" s="3" t="str">
        <v/>
      </c>
      <c r="T96" s="3" t="str">
        <v/>
      </c>
      <c r="U96" s="3" t="str">
        <v/>
      </c>
      <c r="V96" s="3" t="str">
        <v/>
      </c>
      <c r="W96" s="3" t="str">
        <v/>
      </c>
      <c r="X96" s="3" t="str">
        <v/>
      </c>
      <c r="Y96" s="3" t="str">
        <v/>
      </c>
      <c r="Z96" s="3" t="str">
        <v/>
      </c>
      <c r="AA96" s="3" t="str">
        <v/>
      </c>
      <c r="AB96" s="3" t="str">
        <v/>
      </c>
      <c r="AC96" s="3" t="str">
        <v/>
      </c>
      <c r="AD96" s="3" t="str">
        <v/>
      </c>
      <c r="AE96" s="3" t="str">
        <v/>
      </c>
      <c r="AF96" s="3" t="str">
        <v/>
      </c>
      <c r="AG96" s="3" t="str">
        <v/>
      </c>
      <c r="AH96" s="3" t="str">
        <v/>
      </c>
      <c r="AI96" s="3" t="str">
        <v/>
      </c>
      <c r="AJ96" s="3" t="str">
        <v/>
      </c>
      <c r="AK96" s="3" t="str">
        <v/>
      </c>
      <c r="AL96" s="3" t="str">
        <v/>
      </c>
      <c r="AM96" s="3" t="str">
        <v/>
      </c>
      <c r="AN96" s="3" t="str">
        <v/>
      </c>
      <c r="AO96" s="3" t="str">
        <v/>
      </c>
      <c r="AP96" s="3" t="str">
        <v/>
      </c>
      <c r="AQ96" s="3" t="str">
        <v/>
      </c>
      <c r="AR96" s="3" t="str">
        <v/>
      </c>
      <c r="AS96" s="3" t="str">
        <v/>
      </c>
      <c r="AT96" s="3" t="str">
        <v/>
      </c>
      <c r="AU96" s="3" t="str">
        <v/>
      </c>
      <c r="AV96" s="3" t="str">
        <v/>
      </c>
      <c r="AW96" s="3" t="str">
        <v/>
      </c>
      <c r="AX96" s="3" t="str">
        <v/>
      </c>
      <c r="AY96" s="3" t="str">
        <v/>
      </c>
      <c r="AZ96" s="3" t="str">
        <v/>
      </c>
      <c r="BA96" s="3" t="str">
        <v/>
      </c>
      <c r="BB96" s="3" t="str">
        <v/>
      </c>
      <c r="BC96" s="3" t="str">
        <v/>
      </c>
      <c r="BD96" s="3" t="str">
        <v/>
      </c>
      <c r="BE96" s="3" t="str">
        <v/>
      </c>
      <c r="BF96" s="3" t="str">
        <v/>
      </c>
      <c r="BG96" s="3" t="str">
        <v/>
      </c>
      <c r="BH96" s="3" t="str">
        <v/>
      </c>
      <c r="BI96" s="3" t="str">
        <v/>
      </c>
      <c r="BJ96" s="3" t="str">
        <v/>
      </c>
      <c r="BK96" s="3" t="str">
        <v/>
      </c>
      <c r="BL96" s="3" t="str">
        <v/>
      </c>
      <c r="BM96" s="3" t="str">
        <v/>
      </c>
      <c r="BN96" s="3" t="str">
        <v/>
      </c>
      <c r="BO96" s="3" t="str">
        <v/>
      </c>
      <c r="BP96" s="1" t="str">
        <v/>
      </c>
      <c r="BQ96" s="1" t="str">
        <v/>
      </c>
      <c r="BR96" s="1" t="str">
        <v/>
      </c>
      <c r="BS96" s="1" t="str">
        <v/>
      </c>
      <c r="BT96" s="1" t="str">
        <v/>
      </c>
      <c r="BU96" s="1" t="str">
        <v/>
      </c>
      <c r="BV96" s="1" t="str">
        <v/>
      </c>
      <c r="BW96" s="1" t="str">
        <v/>
      </c>
      <c r="BX96" s="1" t="str">
        <v/>
      </c>
      <c r="BY96" s="1" t="str">
        <v/>
      </c>
      <c r="BZ96" s="1" t="str">
        <v/>
      </c>
      <c r="CA96" s="1" t="str">
        <v/>
      </c>
      <c r="CB96" s="1" t="str">
        <v/>
      </c>
      <c r="CC96" s="1" t="str">
        <v/>
      </c>
      <c r="CD96" s="1" t="str">
        <v/>
      </c>
      <c r="CE96" s="1" t="str">
        <v/>
      </c>
      <c r="CF96" s="1" t="str">
        <v/>
      </c>
      <c r="CG96" s="1" t="str">
        <v/>
      </c>
      <c r="CH96" s="1" t="str">
        <v/>
      </c>
      <c r="CI96" s="1" t="str">
        <v/>
      </c>
      <c r="CJ96" s="1" t="str">
        <v/>
      </c>
      <c r="CK96" s="1" t="str">
        <v/>
      </c>
      <c r="CL96" s="1" t="str">
        <v/>
      </c>
      <c r="CM96" s="1" t="str">
        <v/>
      </c>
      <c r="CN96" s="1" t="str">
        <v/>
      </c>
      <c r="CO96" s="1" t="str">
        <v/>
      </c>
      <c r="CP96" s="1">
        <v>0.99999999999999989</v>
      </c>
      <c r="CQ96" s="1">
        <v>0.61529717600548806</v>
      </c>
      <c r="CR96" s="1">
        <v>0.33842734251056644</v>
      </c>
      <c r="CS96" s="1">
        <v>0.22890761211734861</v>
      </c>
      <c r="CT96" s="1">
        <v>0.24156217620947817</v>
      </c>
      <c r="CU96" s="1">
        <v>1.2593607082780562E-2</v>
      </c>
      <c r="CV96" s="1">
        <v>0.19856519008488338</v>
      </c>
      <c r="CW96" s="1">
        <v>0.19690891872260857</v>
      </c>
      <c r="CX96" s="1">
        <v>0.10049773536343107</v>
      </c>
      <c r="CY96" s="1">
        <v>-3.930682192275519E-2</v>
      </c>
      <c r="CZ96" s="1">
        <v>0.21503566046168027</v>
      </c>
      <c r="DA96" s="1">
        <v>3.189180278679727E-2</v>
      </c>
      <c r="DB96" s="1">
        <v>0.11913678220832678</v>
      </c>
      <c r="DC96" s="1">
        <v>6.1015308138942438E-2</v>
      </c>
      <c r="DD96" s="1">
        <v>-7.7176225157575939E-2</v>
      </c>
      <c r="DE96" s="1">
        <v>8.5233546651324377E-2</v>
      </c>
      <c r="DF96" s="1">
        <v>6.1671238402373929E-2</v>
      </c>
      <c r="DG96" s="1">
        <v>0.21326824506441849</v>
      </c>
      <c r="DH96" s="1">
        <v>0.12737240304933681</v>
      </c>
      <c r="DI96" s="1">
        <v>6.5549210557100654E-2</v>
      </c>
      <c r="DJ96" s="1">
        <v>0.1259693365308211</v>
      </c>
      <c r="DK96" s="1">
        <v>1.9938151303382452E-2</v>
      </c>
      <c r="DL96" s="1">
        <v>0.15587309407843322</v>
      </c>
      <c r="DM96" s="1">
        <v>0.11542633372216284</v>
      </c>
      <c r="DN96" s="1">
        <v>0.10671025870215056</v>
      </c>
      <c r="DO96" s="1">
        <v>8.2868875540189069E-2</v>
      </c>
      <c r="DP96" s="1">
        <v>7.4753409088779255E-2</v>
      </c>
      <c r="DQ96" s="1">
        <v>0.17856021584948517</v>
      </c>
      <c r="DR96" s="1">
        <v>8.3009085270161667E-2</v>
      </c>
      <c r="DS96" s="1">
        <v>-5.6908717730259184E-2</v>
      </c>
      <c r="DT96" s="1">
        <v>0.20369508961617233</v>
      </c>
      <c r="DU96" s="1">
        <v>6.363082567280999E-2</v>
      </c>
      <c r="DV96" s="1">
        <v>0.24877243040422636</v>
      </c>
      <c r="DW96" s="1">
        <v>0.13047578445882549</v>
      </c>
      <c r="DX96" s="1">
        <v>8.5054249091355713E-2</v>
      </c>
      <c r="DY96" s="1">
        <v>6.2092809561362629E-2</v>
      </c>
    </row>
    <row r="97" spans="1:129" ht="15">
      <c r="A97" s="7" t="s">
        <v>108</v>
      </c>
      <c r="B97" s="3" t="str">
        <v/>
      </c>
      <c r="C97" s="3" t="str">
        <v/>
      </c>
      <c r="D97" s="3" t="str">
        <v/>
      </c>
      <c r="E97" s="3" t="str">
        <v/>
      </c>
      <c r="F97" s="3" t="str">
        <v/>
      </c>
      <c r="G97" s="3" t="str">
        <v/>
      </c>
      <c r="H97" s="3" t="str">
        <v/>
      </c>
      <c r="I97" s="3" t="str">
        <v/>
      </c>
      <c r="J97" s="3" t="str">
        <v/>
      </c>
      <c r="K97" s="3" t="str">
        <v/>
      </c>
      <c r="L97" s="3" t="str">
        <v/>
      </c>
      <c r="M97" s="3" t="str">
        <v/>
      </c>
      <c r="N97" s="3" t="str">
        <v/>
      </c>
      <c r="O97" s="3" t="str">
        <v/>
      </c>
      <c r="P97" s="3" t="str">
        <v/>
      </c>
      <c r="Q97" s="3" t="str">
        <v/>
      </c>
      <c r="R97" s="3" t="str">
        <v/>
      </c>
      <c r="S97" s="3" t="str">
        <v/>
      </c>
      <c r="T97" s="3" t="str">
        <v/>
      </c>
      <c r="U97" s="3" t="str">
        <v/>
      </c>
      <c r="V97" s="3" t="str">
        <v/>
      </c>
      <c r="W97" s="3" t="str">
        <v/>
      </c>
      <c r="X97" s="3" t="str">
        <v/>
      </c>
      <c r="Y97" s="3" t="str">
        <v/>
      </c>
      <c r="Z97" s="3" t="str">
        <v/>
      </c>
      <c r="AA97" s="3" t="str">
        <v/>
      </c>
      <c r="AB97" s="3" t="str">
        <v/>
      </c>
      <c r="AC97" s="3" t="str">
        <v/>
      </c>
      <c r="AD97" s="3" t="str">
        <v/>
      </c>
      <c r="AE97" s="3" t="str">
        <v/>
      </c>
      <c r="AF97" s="3" t="str">
        <v/>
      </c>
      <c r="AG97" s="3" t="str">
        <v/>
      </c>
      <c r="AH97" s="3" t="str">
        <v/>
      </c>
      <c r="AI97" s="3" t="str">
        <v/>
      </c>
      <c r="AJ97" s="3" t="str">
        <v/>
      </c>
      <c r="AK97" s="3" t="str">
        <v/>
      </c>
      <c r="AL97" s="3" t="str">
        <v/>
      </c>
      <c r="AM97" s="3" t="str">
        <v/>
      </c>
      <c r="AN97" s="3" t="str">
        <v/>
      </c>
      <c r="AO97" s="3" t="str">
        <v/>
      </c>
      <c r="AP97" s="3" t="str">
        <v/>
      </c>
      <c r="AQ97" s="3" t="str">
        <v/>
      </c>
      <c r="AR97" s="3" t="str">
        <v/>
      </c>
      <c r="AS97" s="3" t="str">
        <v/>
      </c>
      <c r="AT97" s="3" t="str">
        <v/>
      </c>
      <c r="AU97" s="3" t="str">
        <v/>
      </c>
      <c r="AV97" s="3" t="str">
        <v/>
      </c>
      <c r="AW97" s="3" t="str">
        <v/>
      </c>
      <c r="AX97" s="3" t="str">
        <v/>
      </c>
      <c r="AY97" s="3" t="str">
        <v/>
      </c>
      <c r="AZ97" s="3" t="str">
        <v/>
      </c>
      <c r="BA97" s="3" t="str">
        <v/>
      </c>
      <c r="BB97" s="3" t="str">
        <v/>
      </c>
      <c r="BC97" s="3" t="str">
        <v/>
      </c>
      <c r="BD97" s="3" t="str">
        <v/>
      </c>
      <c r="BE97" s="3" t="str">
        <v/>
      </c>
      <c r="BF97" s="3" t="str">
        <v/>
      </c>
      <c r="BG97" s="3" t="str">
        <v/>
      </c>
      <c r="BH97" s="3" t="str">
        <v/>
      </c>
      <c r="BI97" s="3" t="str">
        <v/>
      </c>
      <c r="BJ97" s="3" t="str">
        <v/>
      </c>
      <c r="BK97" s="3" t="str">
        <v/>
      </c>
      <c r="BL97" s="3" t="str">
        <v/>
      </c>
      <c r="BM97" s="3" t="str">
        <v/>
      </c>
      <c r="BN97" s="3" t="str">
        <v/>
      </c>
      <c r="BO97" s="3" t="str">
        <v/>
      </c>
      <c r="BP97" s="1" t="str">
        <v/>
      </c>
      <c r="BQ97" s="1" t="str">
        <v/>
      </c>
      <c r="BR97" s="1" t="str">
        <v/>
      </c>
      <c r="BS97" s="1" t="str">
        <v/>
      </c>
      <c r="BT97" s="1" t="str">
        <v/>
      </c>
      <c r="BU97" s="1" t="str">
        <v/>
      </c>
      <c r="BV97" s="1" t="str">
        <v/>
      </c>
      <c r="BW97" s="1" t="str">
        <v/>
      </c>
      <c r="BX97" s="1" t="str">
        <v/>
      </c>
      <c r="BY97" s="1" t="str">
        <v/>
      </c>
      <c r="BZ97" s="1" t="str">
        <v/>
      </c>
      <c r="CA97" s="1" t="str">
        <v/>
      </c>
      <c r="CB97" s="1" t="str">
        <v/>
      </c>
      <c r="CC97" s="1" t="str">
        <v/>
      </c>
      <c r="CD97" s="1" t="str">
        <v/>
      </c>
      <c r="CE97" s="1" t="str">
        <v/>
      </c>
      <c r="CF97" s="1" t="str">
        <v/>
      </c>
      <c r="CG97" s="1" t="str">
        <v/>
      </c>
      <c r="CH97" s="1" t="str">
        <v/>
      </c>
      <c r="CI97" s="1" t="str">
        <v/>
      </c>
      <c r="CJ97" s="1" t="str">
        <v/>
      </c>
      <c r="CK97" s="1" t="str">
        <v/>
      </c>
      <c r="CL97" s="1" t="str">
        <v/>
      </c>
      <c r="CM97" s="1" t="str">
        <v/>
      </c>
      <c r="CN97" s="1" t="str">
        <v/>
      </c>
      <c r="CO97" s="1" t="str">
        <v/>
      </c>
      <c r="CP97" s="1" t="str">
        <v/>
      </c>
      <c r="CQ97" s="1">
        <v>0.99999999999999989</v>
      </c>
      <c r="CR97" s="1">
        <v>0.32030628530102151</v>
      </c>
      <c r="CS97" s="1">
        <v>3.3955889813073015E-2</v>
      </c>
      <c r="CT97" s="1">
        <v>-0.12398002815189724</v>
      </c>
      <c r="CU97" s="1">
        <v>-1.9425697806504949E-3</v>
      </c>
      <c r="CV97" s="1">
        <v>0.13712505678699446</v>
      </c>
      <c r="CW97" s="1">
        <v>6.126839121780054E-2</v>
      </c>
      <c r="CX97" s="1">
        <v>0.19742441011596298</v>
      </c>
      <c r="CY97" s="1">
        <v>-9.4921915965564069E-2</v>
      </c>
      <c r="CZ97" s="1">
        <v>0.12925878100513533</v>
      </c>
      <c r="DA97" s="1">
        <v>5.7063107117266448E-2</v>
      </c>
      <c r="DB97" s="1">
        <v>1.3126863511488828E-2</v>
      </c>
      <c r="DC97" s="1">
        <v>2.2685812267812692E-2</v>
      </c>
      <c r="DD97" s="1">
        <v>-6.373747280820756E-2</v>
      </c>
      <c r="DE97" s="1">
        <v>0.23935483841672456</v>
      </c>
      <c r="DF97" s="1">
        <v>0.14855727891277784</v>
      </c>
      <c r="DG97" s="1">
        <v>0.25810303592220118</v>
      </c>
      <c r="DH97" s="1">
        <v>0.14477579604366217</v>
      </c>
      <c r="DI97" s="1">
        <v>-1.9235427908313101E-2</v>
      </c>
      <c r="DJ97" s="1">
        <v>6.4279314623280643E-3</v>
      </c>
      <c r="DK97" s="1">
        <v>-0.17059987112044667</v>
      </c>
      <c r="DL97" s="1">
        <v>-0.12428009395638132</v>
      </c>
      <c r="DM97" s="1">
        <v>-8.7791898988337891E-2</v>
      </c>
      <c r="DN97" s="1">
        <v>-2.2647745997042917E-2</v>
      </c>
      <c r="DO97" s="1">
        <v>-9.8842520036391671E-2</v>
      </c>
      <c r="DP97" s="1">
        <v>-0.12219619972977606</v>
      </c>
      <c r="DQ97" s="1">
        <v>-7.1074722793258022E-2</v>
      </c>
      <c r="DR97" s="1">
        <v>-0.12595467604751598</v>
      </c>
      <c r="DS97" s="1">
        <v>-0.10494116014816397</v>
      </c>
      <c r="DT97" s="1">
        <v>-5.9360704115460669E-2</v>
      </c>
      <c r="DU97" s="1">
        <v>-0.11211900473072044</v>
      </c>
      <c r="DV97" s="1">
        <v>-6.4522126184054174E-2</v>
      </c>
      <c r="DW97" s="1">
        <v>0.11518291341656503</v>
      </c>
      <c r="DX97" s="1">
        <v>-2.5747274349905269E-2</v>
      </c>
      <c r="DY97" s="1">
        <v>-0.12061032141237735</v>
      </c>
    </row>
    <row r="98" spans="1:129" ht="15">
      <c r="A98" s="7" t="s">
        <v>109</v>
      </c>
      <c r="B98" s="3" t="str">
        <v/>
      </c>
      <c r="C98" s="3" t="str">
        <v/>
      </c>
      <c r="D98" s="3" t="str">
        <v/>
      </c>
      <c r="E98" s="3" t="str">
        <v/>
      </c>
      <c r="F98" s="3" t="str">
        <v/>
      </c>
      <c r="G98" s="3" t="str">
        <v/>
      </c>
      <c r="H98" s="3" t="str">
        <v/>
      </c>
      <c r="I98" s="3" t="str">
        <v/>
      </c>
      <c r="J98" s="3" t="str">
        <v/>
      </c>
      <c r="K98" s="3" t="str">
        <v/>
      </c>
      <c r="L98" s="3" t="str">
        <v/>
      </c>
      <c r="M98" s="3" t="str">
        <v/>
      </c>
      <c r="N98" s="3" t="str">
        <v/>
      </c>
      <c r="O98" s="3" t="str">
        <v/>
      </c>
      <c r="P98" s="3" t="str">
        <v/>
      </c>
      <c r="Q98" s="3" t="str">
        <v/>
      </c>
      <c r="R98" s="3" t="str">
        <v/>
      </c>
      <c r="S98" s="3" t="str">
        <v/>
      </c>
      <c r="T98" s="3" t="str">
        <v/>
      </c>
      <c r="U98" s="3" t="str">
        <v/>
      </c>
      <c r="V98" s="3" t="str">
        <v/>
      </c>
      <c r="W98" s="3" t="str">
        <v/>
      </c>
      <c r="X98" s="3" t="str">
        <v/>
      </c>
      <c r="Y98" s="3" t="str">
        <v/>
      </c>
      <c r="Z98" s="3" t="str">
        <v/>
      </c>
      <c r="AA98" s="3" t="str">
        <v/>
      </c>
      <c r="AB98" s="3" t="str">
        <v/>
      </c>
      <c r="AC98" s="3" t="str">
        <v/>
      </c>
      <c r="AD98" s="3" t="str">
        <v/>
      </c>
      <c r="AE98" s="3" t="str">
        <v/>
      </c>
      <c r="AF98" s="3" t="str">
        <v/>
      </c>
      <c r="AG98" s="3" t="str">
        <v/>
      </c>
      <c r="AH98" s="3" t="str">
        <v/>
      </c>
      <c r="AI98" s="3" t="str">
        <v/>
      </c>
      <c r="AJ98" s="3" t="str">
        <v/>
      </c>
      <c r="AK98" s="3" t="str">
        <v/>
      </c>
      <c r="AL98" s="3" t="str">
        <v/>
      </c>
      <c r="AM98" s="3" t="str">
        <v/>
      </c>
      <c r="AN98" s="3" t="str">
        <v/>
      </c>
      <c r="AO98" s="3" t="str">
        <v/>
      </c>
      <c r="AP98" s="3" t="str">
        <v/>
      </c>
      <c r="AQ98" s="3" t="str">
        <v/>
      </c>
      <c r="AR98" s="3" t="str">
        <v/>
      </c>
      <c r="AS98" s="3" t="str">
        <v/>
      </c>
      <c r="AT98" s="3" t="str">
        <v/>
      </c>
      <c r="AU98" s="3" t="str">
        <v/>
      </c>
      <c r="AV98" s="3" t="str">
        <v/>
      </c>
      <c r="AW98" s="3" t="str">
        <v/>
      </c>
      <c r="AX98" s="3" t="str">
        <v/>
      </c>
      <c r="AY98" s="3" t="str">
        <v/>
      </c>
      <c r="AZ98" s="3" t="str">
        <v/>
      </c>
      <c r="BA98" s="3" t="str">
        <v/>
      </c>
      <c r="BB98" s="3" t="str">
        <v/>
      </c>
      <c r="BC98" s="3" t="str">
        <v/>
      </c>
      <c r="BD98" s="3" t="str">
        <v/>
      </c>
      <c r="BE98" s="3" t="str">
        <v/>
      </c>
      <c r="BF98" s="3" t="str">
        <v/>
      </c>
      <c r="BG98" s="3" t="str">
        <v/>
      </c>
      <c r="BH98" s="3" t="str">
        <v/>
      </c>
      <c r="BI98" s="3" t="str">
        <v/>
      </c>
      <c r="BJ98" s="3" t="str">
        <v/>
      </c>
      <c r="BK98" s="3" t="str">
        <v/>
      </c>
      <c r="BL98" s="3" t="str">
        <v/>
      </c>
      <c r="BM98" s="3" t="str">
        <v/>
      </c>
      <c r="BN98" s="3" t="str">
        <v/>
      </c>
      <c r="BO98" s="3" t="str">
        <v/>
      </c>
      <c r="BP98" s="1" t="str">
        <v/>
      </c>
      <c r="BQ98" s="1" t="str">
        <v/>
      </c>
      <c r="BR98" s="1" t="str">
        <v/>
      </c>
      <c r="BS98" s="1" t="str">
        <v/>
      </c>
      <c r="BT98" s="1" t="str">
        <v/>
      </c>
      <c r="BU98" s="1" t="str">
        <v/>
      </c>
      <c r="BV98" s="1" t="str">
        <v/>
      </c>
      <c r="BW98" s="1" t="str">
        <v/>
      </c>
      <c r="BX98" s="1" t="str">
        <v/>
      </c>
      <c r="BY98" s="1" t="str">
        <v/>
      </c>
      <c r="BZ98" s="1" t="str">
        <v/>
      </c>
      <c r="CA98" s="1" t="str">
        <v/>
      </c>
      <c r="CB98" s="1" t="str">
        <v/>
      </c>
      <c r="CC98" s="1" t="str">
        <v/>
      </c>
      <c r="CD98" s="1" t="str">
        <v/>
      </c>
      <c r="CE98" s="1" t="str">
        <v/>
      </c>
      <c r="CF98" s="1" t="str">
        <v/>
      </c>
      <c r="CG98" s="1" t="str">
        <v/>
      </c>
      <c r="CH98" s="1" t="str">
        <v/>
      </c>
      <c r="CI98" s="1" t="str">
        <v/>
      </c>
      <c r="CJ98" s="1" t="str">
        <v/>
      </c>
      <c r="CK98" s="1" t="str">
        <v/>
      </c>
      <c r="CL98" s="1" t="str">
        <v/>
      </c>
      <c r="CM98" s="1" t="str">
        <v/>
      </c>
      <c r="CN98" s="1" t="str">
        <v/>
      </c>
      <c r="CO98" s="1" t="str">
        <v/>
      </c>
      <c r="CP98" s="1" t="str">
        <v/>
      </c>
      <c r="CQ98" s="1" t="str">
        <v/>
      </c>
      <c r="CR98" s="1">
        <v>1</v>
      </c>
      <c r="CS98" s="1">
        <v>0.37722862665311629</v>
      </c>
      <c r="CT98" s="1">
        <v>0.26725837631149801</v>
      </c>
      <c r="CU98" s="1">
        <v>0.39975654950289297</v>
      </c>
      <c r="CV98" s="1">
        <v>0.24223012504568026</v>
      </c>
      <c r="CW98" s="1">
        <v>0.20589507939726623</v>
      </c>
      <c r="CX98" s="1">
        <v>8.0896823246272245E-2</v>
      </c>
      <c r="CY98" s="1">
        <v>-3.5460596890760566E-2</v>
      </c>
      <c r="CZ98" s="1">
        <v>0.19526700774136779</v>
      </c>
      <c r="DA98" s="1">
        <v>0.24935427306106689</v>
      </c>
      <c r="DB98" s="1">
        <v>0.38691465517414336</v>
      </c>
      <c r="DC98" s="1">
        <v>9.3007235491831181E-2</v>
      </c>
      <c r="DD98" s="1">
        <v>-1.676571212469952E-2</v>
      </c>
      <c r="DE98" s="1">
        <v>0.15607778063110483</v>
      </c>
      <c r="DF98" s="1">
        <v>0.18759424966469102</v>
      </c>
      <c r="DG98" s="1">
        <v>0.11355140355289996</v>
      </c>
      <c r="DH98" s="1">
        <v>0.39629219509458491</v>
      </c>
      <c r="DI98" s="1">
        <v>0.25533845163151353</v>
      </c>
      <c r="DJ98" s="1">
        <v>0.34418859701282445</v>
      </c>
      <c r="DK98" s="1">
        <v>0.18623959862183542</v>
      </c>
      <c r="DL98" s="1">
        <v>0.25581169978795115</v>
      </c>
      <c r="DM98" s="1">
        <v>0.28973685223006646</v>
      </c>
      <c r="DN98" s="1">
        <v>0.32165675857063186</v>
      </c>
      <c r="DO98" s="1">
        <v>6.8141605701421415E-2</v>
      </c>
      <c r="DP98" s="1">
        <v>0.20128401224685932</v>
      </c>
      <c r="DQ98" s="1">
        <v>0.22597168708298476</v>
      </c>
      <c r="DR98" s="1">
        <v>0.24779033282842755</v>
      </c>
      <c r="DS98" s="1">
        <v>4.0827803152802163E-2</v>
      </c>
      <c r="DT98" s="1">
        <v>0.2665579178197971</v>
      </c>
      <c r="DU98" s="1">
        <v>0.20349869099484041</v>
      </c>
      <c r="DV98" s="1">
        <v>0.19944979970570487</v>
      </c>
      <c r="DW98" s="1">
        <v>0.24000556498375969</v>
      </c>
      <c r="DX98" s="1">
        <v>0.15195134289446102</v>
      </c>
      <c r="DY98" s="1">
        <v>0.18171673169510799</v>
      </c>
    </row>
    <row r="99" spans="1:129" ht="15">
      <c r="A99" s="7" t="s">
        <v>110</v>
      </c>
      <c r="B99" s="3" t="str">
        <v/>
      </c>
      <c r="C99" s="3" t="str">
        <v/>
      </c>
      <c r="D99" s="3" t="str">
        <v/>
      </c>
      <c r="E99" s="3" t="str">
        <v/>
      </c>
      <c r="F99" s="3" t="str">
        <v/>
      </c>
      <c r="G99" s="3" t="str">
        <v/>
      </c>
      <c r="H99" s="3" t="str">
        <v/>
      </c>
      <c r="I99" s="3" t="str">
        <v/>
      </c>
      <c r="J99" s="3" t="str">
        <v/>
      </c>
      <c r="K99" s="3" t="str">
        <v/>
      </c>
      <c r="L99" s="3" t="str">
        <v/>
      </c>
      <c r="M99" s="3" t="str">
        <v/>
      </c>
      <c r="N99" s="3" t="str">
        <v/>
      </c>
      <c r="O99" s="3" t="str">
        <v/>
      </c>
      <c r="P99" s="3" t="str">
        <v/>
      </c>
      <c r="Q99" s="3" t="str">
        <v/>
      </c>
      <c r="R99" s="3" t="str">
        <v/>
      </c>
      <c r="S99" s="3" t="str">
        <v/>
      </c>
      <c r="T99" s="3" t="str">
        <v/>
      </c>
      <c r="U99" s="3" t="str">
        <v/>
      </c>
      <c r="V99" s="3" t="str">
        <v/>
      </c>
      <c r="W99" s="3" t="str">
        <v/>
      </c>
      <c r="X99" s="3" t="str">
        <v/>
      </c>
      <c r="Y99" s="3" t="str">
        <v/>
      </c>
      <c r="Z99" s="3" t="str">
        <v/>
      </c>
      <c r="AA99" s="3" t="str">
        <v/>
      </c>
      <c r="AB99" s="3" t="str">
        <v/>
      </c>
      <c r="AC99" s="3" t="str">
        <v/>
      </c>
      <c r="AD99" s="3" t="str">
        <v/>
      </c>
      <c r="AE99" s="3" t="str">
        <v/>
      </c>
      <c r="AF99" s="3" t="str">
        <v/>
      </c>
      <c r="AG99" s="3" t="str">
        <v/>
      </c>
      <c r="AH99" s="3" t="str">
        <v/>
      </c>
      <c r="AI99" s="3" t="str">
        <v/>
      </c>
      <c r="AJ99" s="3" t="str">
        <v/>
      </c>
      <c r="AK99" s="3" t="str">
        <v/>
      </c>
      <c r="AL99" s="3" t="str">
        <v/>
      </c>
      <c r="AM99" s="3" t="str">
        <v/>
      </c>
      <c r="AN99" s="3" t="str">
        <v/>
      </c>
      <c r="AO99" s="3" t="str">
        <v/>
      </c>
      <c r="AP99" s="3" t="str">
        <v/>
      </c>
      <c r="AQ99" s="3" t="str">
        <v/>
      </c>
      <c r="AR99" s="3" t="str">
        <v/>
      </c>
      <c r="AS99" s="3" t="str">
        <v/>
      </c>
      <c r="AT99" s="3" t="str">
        <v/>
      </c>
      <c r="AU99" s="3" t="str">
        <v/>
      </c>
      <c r="AV99" s="3" t="str">
        <v/>
      </c>
      <c r="AW99" s="3" t="str">
        <v/>
      </c>
      <c r="AX99" s="3" t="str">
        <v/>
      </c>
      <c r="AY99" s="3" t="str">
        <v/>
      </c>
      <c r="AZ99" s="3" t="str">
        <v/>
      </c>
      <c r="BA99" s="3" t="str">
        <v/>
      </c>
      <c r="BB99" s="3" t="str">
        <v/>
      </c>
      <c r="BC99" s="3" t="str">
        <v/>
      </c>
      <c r="BD99" s="3" t="str">
        <v/>
      </c>
      <c r="BE99" s="3" t="str">
        <v/>
      </c>
      <c r="BF99" s="3" t="str">
        <v/>
      </c>
      <c r="BG99" s="3" t="str">
        <v/>
      </c>
      <c r="BH99" s="3" t="str">
        <v/>
      </c>
      <c r="BI99" s="3" t="str">
        <v/>
      </c>
      <c r="BJ99" s="3" t="str">
        <v/>
      </c>
      <c r="BK99" s="3" t="str">
        <v/>
      </c>
      <c r="BL99" s="3" t="str">
        <v/>
      </c>
      <c r="BM99" s="3" t="str">
        <v/>
      </c>
      <c r="BN99" s="3" t="str">
        <v/>
      </c>
      <c r="BO99" s="3" t="str">
        <v/>
      </c>
      <c r="BP99" s="1" t="str">
        <v/>
      </c>
      <c r="BQ99" s="1" t="str">
        <v/>
      </c>
      <c r="BR99" s="1" t="str">
        <v/>
      </c>
      <c r="BS99" s="1" t="str">
        <v/>
      </c>
      <c r="BT99" s="1" t="str">
        <v/>
      </c>
      <c r="BU99" s="1" t="str">
        <v/>
      </c>
      <c r="BV99" s="1" t="str">
        <v/>
      </c>
      <c r="BW99" s="1" t="str">
        <v/>
      </c>
      <c r="BX99" s="1" t="str">
        <v/>
      </c>
      <c r="BY99" s="1" t="str">
        <v/>
      </c>
      <c r="BZ99" s="1" t="str">
        <v/>
      </c>
      <c r="CA99" s="1" t="str">
        <v/>
      </c>
      <c r="CB99" s="1" t="str">
        <v/>
      </c>
      <c r="CC99" s="1" t="str">
        <v/>
      </c>
      <c r="CD99" s="1" t="str">
        <v/>
      </c>
      <c r="CE99" s="1" t="str">
        <v/>
      </c>
      <c r="CF99" s="1" t="str">
        <v/>
      </c>
      <c r="CG99" s="1" t="str">
        <v/>
      </c>
      <c r="CH99" s="1" t="str">
        <v/>
      </c>
      <c r="CI99" s="1" t="str">
        <v/>
      </c>
      <c r="CJ99" s="1" t="str">
        <v/>
      </c>
      <c r="CK99" s="1" t="str">
        <v/>
      </c>
      <c r="CL99" s="1" t="str">
        <v/>
      </c>
      <c r="CM99" s="1" t="str">
        <v/>
      </c>
      <c r="CN99" s="1" t="str">
        <v/>
      </c>
      <c r="CO99" s="1" t="str">
        <v/>
      </c>
      <c r="CP99" s="1" t="str">
        <v/>
      </c>
      <c r="CQ99" s="1" t="str">
        <v/>
      </c>
      <c r="CR99" s="1" t="str">
        <v/>
      </c>
      <c r="CS99" s="1">
        <v>1</v>
      </c>
      <c r="CT99" s="1">
        <v>0.33949442025484267</v>
      </c>
      <c r="CU99" s="1">
        <v>0.19695202897882849</v>
      </c>
      <c r="CV99" s="1">
        <v>0.28542565704011053</v>
      </c>
      <c r="CW99" s="1">
        <v>0.30525160332514528</v>
      </c>
      <c r="CX99" s="1">
        <v>6.3954100909929618E-2</v>
      </c>
      <c r="CY99" s="1">
        <v>-4.144986798533222E-2</v>
      </c>
      <c r="CZ99" s="1">
        <v>0.20468061936584908</v>
      </c>
      <c r="DA99" s="1">
        <v>9.637988413118527E-2</v>
      </c>
      <c r="DB99" s="1">
        <v>0.32061794902682628</v>
      </c>
      <c r="DC99" s="1">
        <v>0.20086240542025813</v>
      </c>
      <c r="DD99" s="1">
        <v>-0.11954843911472231</v>
      </c>
      <c r="DE99" s="1">
        <v>6.9118507702079876E-2</v>
      </c>
      <c r="DF99" s="1">
        <v>0.12193655846214009</v>
      </c>
      <c r="DG99" s="1">
        <v>6.1857388657080327E-3</v>
      </c>
      <c r="DH99" s="1">
        <v>0.28124440989827287</v>
      </c>
      <c r="DI99" s="1">
        <v>0.23487268197216171</v>
      </c>
      <c r="DJ99" s="1">
        <v>0.30455252967536089</v>
      </c>
      <c r="DK99" s="1">
        <v>0.18299368675467095</v>
      </c>
      <c r="DL99" s="1">
        <v>0.29081109602293997</v>
      </c>
      <c r="DM99" s="1">
        <v>0.29586346732815938</v>
      </c>
      <c r="DN99" s="1">
        <v>0.23502144615432199</v>
      </c>
      <c r="DO99" s="1">
        <v>0.30497784825957724</v>
      </c>
      <c r="DP99" s="1">
        <v>0.21320966921825552</v>
      </c>
      <c r="DQ99" s="1">
        <v>0.2716734638496755</v>
      </c>
      <c r="DR99" s="1">
        <v>0.25686780476307203</v>
      </c>
      <c r="DS99" s="1">
        <v>0.16118082411758955</v>
      </c>
      <c r="DT99" s="1">
        <v>0.23805112219835092</v>
      </c>
      <c r="DU99" s="1">
        <v>0.19715362180753049</v>
      </c>
      <c r="DV99" s="1">
        <v>0.2530844952523546</v>
      </c>
      <c r="DW99" s="1">
        <v>0.19420069760143524</v>
      </c>
      <c r="DX99" s="1">
        <v>0.23515813880462402</v>
      </c>
      <c r="DY99" s="1">
        <v>0.3459704729926521</v>
      </c>
    </row>
    <row r="100" spans="1:129" ht="15">
      <c r="A100" s="7" t="s">
        <v>111</v>
      </c>
      <c r="B100" s="3" t="str">
        <v/>
      </c>
      <c r="C100" s="3" t="str">
        <v/>
      </c>
      <c r="D100" s="3" t="str">
        <v/>
      </c>
      <c r="E100" s="3" t="str">
        <v/>
      </c>
      <c r="F100" s="3" t="str">
        <v/>
      </c>
      <c r="G100" s="3" t="str">
        <v/>
      </c>
      <c r="H100" s="3" t="str">
        <v/>
      </c>
      <c r="I100" s="3" t="str">
        <v/>
      </c>
      <c r="J100" s="3" t="str">
        <v/>
      </c>
      <c r="K100" s="3" t="str">
        <v/>
      </c>
      <c r="L100" s="3" t="str">
        <v/>
      </c>
      <c r="M100" s="3" t="str">
        <v/>
      </c>
      <c r="N100" s="3" t="str">
        <v/>
      </c>
      <c r="O100" s="3" t="str">
        <v/>
      </c>
      <c r="P100" s="3" t="str">
        <v/>
      </c>
      <c r="Q100" s="3" t="str">
        <v/>
      </c>
      <c r="R100" s="3" t="str">
        <v/>
      </c>
      <c r="S100" s="3" t="str">
        <v/>
      </c>
      <c r="T100" s="3" t="str">
        <v/>
      </c>
      <c r="U100" s="3" t="str">
        <v/>
      </c>
      <c r="V100" s="3" t="str">
        <v/>
      </c>
      <c r="W100" s="3" t="str">
        <v/>
      </c>
      <c r="X100" s="3" t="str">
        <v/>
      </c>
      <c r="Y100" s="3" t="str">
        <v/>
      </c>
      <c r="Z100" s="3" t="str">
        <v/>
      </c>
      <c r="AA100" s="3" t="str">
        <v/>
      </c>
      <c r="AB100" s="3" t="str">
        <v/>
      </c>
      <c r="AC100" s="3" t="str">
        <v/>
      </c>
      <c r="AD100" s="3" t="str">
        <v/>
      </c>
      <c r="AE100" s="3" t="str">
        <v/>
      </c>
      <c r="AF100" s="3" t="str">
        <v/>
      </c>
      <c r="AG100" s="3" t="str">
        <v/>
      </c>
      <c r="AH100" s="3" t="str">
        <v/>
      </c>
      <c r="AI100" s="3" t="str">
        <v/>
      </c>
      <c r="AJ100" s="3" t="str">
        <v/>
      </c>
      <c r="AK100" s="3" t="str">
        <v/>
      </c>
      <c r="AL100" s="3" t="str">
        <v/>
      </c>
      <c r="AM100" s="3" t="str">
        <v/>
      </c>
      <c r="AN100" s="3" t="str">
        <v/>
      </c>
      <c r="AO100" s="3" t="str">
        <v/>
      </c>
      <c r="AP100" s="3" t="str">
        <v/>
      </c>
      <c r="AQ100" s="3" t="str">
        <v/>
      </c>
      <c r="AR100" s="3" t="str">
        <v/>
      </c>
      <c r="AS100" s="3" t="str">
        <v/>
      </c>
      <c r="AT100" s="3" t="str">
        <v/>
      </c>
      <c r="AU100" s="3" t="str">
        <v/>
      </c>
      <c r="AV100" s="3" t="str">
        <v/>
      </c>
      <c r="AW100" s="3" t="str">
        <v/>
      </c>
      <c r="AX100" s="3" t="str">
        <v/>
      </c>
      <c r="AY100" s="3" t="str">
        <v/>
      </c>
      <c r="AZ100" s="3" t="str">
        <v/>
      </c>
      <c r="BA100" s="3" t="str">
        <v/>
      </c>
      <c r="BB100" s="3" t="str">
        <v/>
      </c>
      <c r="BC100" s="3" t="str">
        <v/>
      </c>
      <c r="BD100" s="3" t="str">
        <v/>
      </c>
      <c r="BE100" s="3" t="str">
        <v/>
      </c>
      <c r="BF100" s="3" t="str">
        <v/>
      </c>
      <c r="BG100" s="3" t="str">
        <v/>
      </c>
      <c r="BH100" s="3" t="str">
        <v/>
      </c>
      <c r="BI100" s="3" t="str">
        <v/>
      </c>
      <c r="BJ100" s="3" t="str">
        <v/>
      </c>
      <c r="BK100" s="3" t="str">
        <v/>
      </c>
      <c r="BL100" s="3" t="str">
        <v/>
      </c>
      <c r="BM100" s="3" t="str">
        <v/>
      </c>
      <c r="BN100" s="3" t="str">
        <v/>
      </c>
      <c r="BO100" s="3" t="str">
        <v/>
      </c>
      <c r="BP100" s="1" t="str">
        <v/>
      </c>
      <c r="BQ100" s="1" t="str">
        <v/>
      </c>
      <c r="BR100" s="1" t="str">
        <v/>
      </c>
      <c r="BS100" s="1" t="str">
        <v/>
      </c>
      <c r="BT100" s="1" t="str">
        <v/>
      </c>
      <c r="BU100" s="1" t="str">
        <v/>
      </c>
      <c r="BV100" s="1" t="str">
        <v/>
      </c>
      <c r="BW100" s="1" t="str">
        <v/>
      </c>
      <c r="BX100" s="1" t="str">
        <v/>
      </c>
      <c r="BY100" s="1" t="str">
        <v/>
      </c>
      <c r="BZ100" s="1" t="str">
        <v/>
      </c>
      <c r="CA100" s="1" t="str">
        <v/>
      </c>
      <c r="CB100" s="1" t="str">
        <v/>
      </c>
      <c r="CC100" s="1" t="str">
        <v/>
      </c>
      <c r="CD100" s="1" t="str">
        <v/>
      </c>
      <c r="CE100" s="1" t="str">
        <v/>
      </c>
      <c r="CF100" s="1" t="str">
        <v/>
      </c>
      <c r="CG100" s="1" t="str">
        <v/>
      </c>
      <c r="CH100" s="1" t="str">
        <v/>
      </c>
      <c r="CI100" s="1" t="str">
        <v/>
      </c>
      <c r="CJ100" s="1" t="str">
        <v/>
      </c>
      <c r="CK100" s="1" t="str">
        <v/>
      </c>
      <c r="CL100" s="1" t="str">
        <v/>
      </c>
      <c r="CM100" s="1" t="str">
        <v/>
      </c>
      <c r="CN100" s="1" t="str">
        <v/>
      </c>
      <c r="CO100" s="1" t="str">
        <v/>
      </c>
      <c r="CP100" s="1" t="str">
        <v/>
      </c>
      <c r="CQ100" s="1" t="str">
        <v/>
      </c>
      <c r="CR100" s="1" t="str">
        <v/>
      </c>
      <c r="CS100" s="1" t="str">
        <v/>
      </c>
      <c r="CT100" s="1">
        <v>1</v>
      </c>
      <c r="CU100" s="1">
        <v>0.41709335013226473</v>
      </c>
      <c r="CV100" s="1">
        <v>0.17929647481204186</v>
      </c>
      <c r="CW100" s="1">
        <v>0.31903246790202461</v>
      </c>
      <c r="CX100" s="1">
        <v>0.27476918068742834</v>
      </c>
      <c r="CY100" s="1">
        <v>0.32478356063820873</v>
      </c>
      <c r="CZ100" s="1">
        <v>0.42299417645917059</v>
      </c>
      <c r="DA100" s="1">
        <v>0.1384569878191777</v>
      </c>
      <c r="DB100" s="1">
        <v>0.36916564471231283</v>
      </c>
      <c r="DC100" s="1">
        <v>0.33649652475945707</v>
      </c>
      <c r="DD100" s="1">
        <v>0.33197901607421981</v>
      </c>
      <c r="DE100" s="1">
        <v>0.15531147462458444</v>
      </c>
      <c r="DF100" s="1">
        <v>0.22657679330686542</v>
      </c>
      <c r="DG100" s="1">
        <v>9.5056891136943752E-2</v>
      </c>
      <c r="DH100" s="1">
        <v>0.49366042961967965</v>
      </c>
      <c r="DI100" s="1">
        <v>0.64400750126569439</v>
      </c>
      <c r="DJ100" s="1">
        <v>0.70607238916648696</v>
      </c>
      <c r="DK100" s="1">
        <v>0.70201463987217394</v>
      </c>
      <c r="DL100" s="1">
        <v>0.72296021802962174</v>
      </c>
      <c r="DM100" s="1">
        <v>0.70053100446910355</v>
      </c>
      <c r="DN100" s="1">
        <v>0.64937744782379803</v>
      </c>
      <c r="DO100" s="1">
        <v>0.76541695566107126</v>
      </c>
      <c r="DP100" s="1">
        <v>0.7222508061103905</v>
      </c>
      <c r="DQ100" s="1">
        <v>0.77787531566217027</v>
      </c>
      <c r="DR100" s="1">
        <v>0.71611933208559286</v>
      </c>
      <c r="DS100" s="1">
        <v>0.42184008487038932</v>
      </c>
      <c r="DT100" s="1">
        <v>0.73611466871924347</v>
      </c>
      <c r="DU100" s="1">
        <v>0.72357647224334043</v>
      </c>
      <c r="DV100" s="1">
        <v>0.76245106033339938</v>
      </c>
      <c r="DW100" s="1">
        <v>0.41916341732439638</v>
      </c>
      <c r="DX100" s="1">
        <v>0.28882186623647021</v>
      </c>
      <c r="DY100" s="1">
        <v>0.67514543523009463</v>
      </c>
    </row>
    <row r="101" spans="1:129" ht="15">
      <c r="A101" s="7" t="s">
        <v>112</v>
      </c>
      <c r="B101" s="3" t="str">
        <v/>
      </c>
      <c r="C101" s="3" t="str">
        <v/>
      </c>
      <c r="D101" s="3" t="str">
        <v/>
      </c>
      <c r="E101" s="3" t="str">
        <v/>
      </c>
      <c r="F101" s="3" t="str">
        <v/>
      </c>
      <c r="G101" s="3" t="str">
        <v/>
      </c>
      <c r="H101" s="3" t="str">
        <v/>
      </c>
      <c r="I101" s="3" t="str">
        <v/>
      </c>
      <c r="J101" s="3" t="str">
        <v/>
      </c>
      <c r="K101" s="3" t="str">
        <v/>
      </c>
      <c r="L101" s="3" t="str">
        <v/>
      </c>
      <c r="M101" s="3" t="str">
        <v/>
      </c>
      <c r="N101" s="3" t="str">
        <v/>
      </c>
      <c r="O101" s="3" t="str">
        <v/>
      </c>
      <c r="P101" s="3" t="str">
        <v/>
      </c>
      <c r="Q101" s="3" t="str">
        <v/>
      </c>
      <c r="R101" s="3" t="str">
        <v/>
      </c>
      <c r="S101" s="3" t="str">
        <v/>
      </c>
      <c r="T101" s="3" t="str">
        <v/>
      </c>
      <c r="U101" s="3" t="str">
        <v/>
      </c>
      <c r="V101" s="3" t="str">
        <v/>
      </c>
      <c r="W101" s="3" t="str">
        <v/>
      </c>
      <c r="X101" s="3" t="str">
        <v/>
      </c>
      <c r="Y101" s="3" t="str">
        <v/>
      </c>
      <c r="Z101" s="3" t="str">
        <v/>
      </c>
      <c r="AA101" s="3" t="str">
        <v/>
      </c>
      <c r="AB101" s="3" t="str">
        <v/>
      </c>
      <c r="AC101" s="3" t="str">
        <v/>
      </c>
      <c r="AD101" s="3" t="str">
        <v/>
      </c>
      <c r="AE101" s="3" t="str">
        <v/>
      </c>
      <c r="AF101" s="3" t="str">
        <v/>
      </c>
      <c r="AG101" s="3" t="str">
        <v/>
      </c>
      <c r="AH101" s="3" t="str">
        <v/>
      </c>
      <c r="AI101" s="3" t="str">
        <v/>
      </c>
      <c r="AJ101" s="3" t="str">
        <v/>
      </c>
      <c r="AK101" s="3" t="str">
        <v/>
      </c>
      <c r="AL101" s="3" t="str">
        <v/>
      </c>
      <c r="AM101" s="3" t="str">
        <v/>
      </c>
      <c r="AN101" s="3" t="str">
        <v/>
      </c>
      <c r="AO101" s="3" t="str">
        <v/>
      </c>
      <c r="AP101" s="3" t="str">
        <v/>
      </c>
      <c r="AQ101" s="3" t="str">
        <v/>
      </c>
      <c r="AR101" s="3" t="str">
        <v/>
      </c>
      <c r="AS101" s="3" t="str">
        <v/>
      </c>
      <c r="AT101" s="3" t="str">
        <v/>
      </c>
      <c r="AU101" s="3" t="str">
        <v/>
      </c>
      <c r="AV101" s="3" t="str">
        <v/>
      </c>
      <c r="AW101" s="3" t="str">
        <v/>
      </c>
      <c r="AX101" s="3" t="str">
        <v/>
      </c>
      <c r="AY101" s="3" t="str">
        <v/>
      </c>
      <c r="AZ101" s="3" t="str">
        <v/>
      </c>
      <c r="BA101" s="3" t="str">
        <v/>
      </c>
      <c r="BB101" s="3" t="str">
        <v/>
      </c>
      <c r="BC101" s="3" t="str">
        <v/>
      </c>
      <c r="BD101" s="3" t="str">
        <v/>
      </c>
      <c r="BE101" s="3" t="str">
        <v/>
      </c>
      <c r="BF101" s="3" t="str">
        <v/>
      </c>
      <c r="BG101" s="3" t="str">
        <v/>
      </c>
      <c r="BH101" s="3" t="str">
        <v/>
      </c>
      <c r="BI101" s="3" t="str">
        <v/>
      </c>
      <c r="BJ101" s="3" t="str">
        <v/>
      </c>
      <c r="BK101" s="3" t="str">
        <v/>
      </c>
      <c r="BL101" s="3" t="str">
        <v/>
      </c>
      <c r="BM101" s="3" t="str">
        <v/>
      </c>
      <c r="BN101" s="3" t="str">
        <v/>
      </c>
      <c r="BO101" s="3" t="str">
        <v/>
      </c>
      <c r="BP101" s="1" t="str">
        <v/>
      </c>
      <c r="BQ101" s="1" t="str">
        <v/>
      </c>
      <c r="BR101" s="1" t="str">
        <v/>
      </c>
      <c r="BS101" s="1" t="str">
        <v/>
      </c>
      <c r="BT101" s="1" t="str">
        <v/>
      </c>
      <c r="BU101" s="1" t="str">
        <v/>
      </c>
      <c r="BV101" s="1" t="str">
        <v/>
      </c>
      <c r="BW101" s="1" t="str">
        <v/>
      </c>
      <c r="BX101" s="1" t="str">
        <v/>
      </c>
      <c r="BY101" s="1" t="str">
        <v/>
      </c>
      <c r="BZ101" s="1" t="str">
        <v/>
      </c>
      <c r="CA101" s="1" t="str">
        <v/>
      </c>
      <c r="CB101" s="1" t="str">
        <v/>
      </c>
      <c r="CC101" s="1" t="str">
        <v/>
      </c>
      <c r="CD101" s="1" t="str">
        <v/>
      </c>
      <c r="CE101" s="1" t="str">
        <v/>
      </c>
      <c r="CF101" s="1" t="str">
        <v/>
      </c>
      <c r="CG101" s="1" t="str">
        <v/>
      </c>
      <c r="CH101" s="1" t="str">
        <v/>
      </c>
      <c r="CI101" s="1" t="str">
        <v/>
      </c>
      <c r="CJ101" s="1" t="str">
        <v/>
      </c>
      <c r="CK101" s="1" t="str">
        <v/>
      </c>
      <c r="CL101" s="1" t="str">
        <v/>
      </c>
      <c r="CM101" s="1" t="str">
        <v/>
      </c>
      <c r="CN101" s="1" t="str">
        <v/>
      </c>
      <c r="CO101" s="1" t="str">
        <v/>
      </c>
      <c r="CP101" s="1" t="str">
        <v/>
      </c>
      <c r="CQ101" s="1" t="str">
        <v/>
      </c>
      <c r="CR101" s="1" t="str">
        <v/>
      </c>
      <c r="CS101" s="1" t="str">
        <v/>
      </c>
      <c r="CT101" s="1" t="str">
        <v/>
      </c>
      <c r="CU101" s="1">
        <v>1.0000000000000002</v>
      </c>
      <c r="CV101" s="1">
        <v>0.15886216684051047</v>
      </c>
      <c r="CW101" s="1">
        <v>0.17969685953905384</v>
      </c>
      <c r="CX101" s="1">
        <v>0.36030666609776418</v>
      </c>
      <c r="CY101" s="1">
        <v>0.16897306175406987</v>
      </c>
      <c r="CZ101" s="1">
        <v>0.31669895570201406</v>
      </c>
      <c r="DA101" s="1">
        <v>0.18211318534357523</v>
      </c>
      <c r="DB101" s="1">
        <v>0.33543390137845236</v>
      </c>
      <c r="DC101" s="1">
        <v>0.34806245507762706</v>
      </c>
      <c r="DD101" s="1">
        <v>0.19793569895265045</v>
      </c>
      <c r="DE101" s="1">
        <v>0.25036849075172507</v>
      </c>
      <c r="DF101" s="1">
        <v>0.32751122469415234</v>
      </c>
      <c r="DG101" s="1">
        <v>6.0533932666489987E-2</v>
      </c>
      <c r="DH101" s="1">
        <v>0.36166908424769612</v>
      </c>
      <c r="DI101" s="1">
        <v>0.40679499075302772</v>
      </c>
      <c r="DJ101" s="1">
        <v>0.42259273274933207</v>
      </c>
      <c r="DK101" s="1">
        <v>0.32881731664276004</v>
      </c>
      <c r="DL101" s="1">
        <v>0.28665708222712771</v>
      </c>
      <c r="DM101" s="1">
        <v>0.35336185253111585</v>
      </c>
      <c r="DN101" s="1">
        <v>0.35696334596158019</v>
      </c>
      <c r="DO101" s="1">
        <v>0.26096608766181795</v>
      </c>
      <c r="DP101" s="1">
        <v>0.42075124550158227</v>
      </c>
      <c r="DQ101" s="1">
        <v>0.39745902626602536</v>
      </c>
      <c r="DR101" s="1">
        <v>0.36152127937752476</v>
      </c>
      <c r="DS101" s="1">
        <v>0.27561143665077514</v>
      </c>
      <c r="DT101" s="1">
        <v>0.34070706314624005</v>
      </c>
      <c r="DU101" s="1">
        <v>0.32216801078804935</v>
      </c>
      <c r="DV101" s="1">
        <v>0.30410827152205527</v>
      </c>
      <c r="DW101" s="1">
        <v>-5.330068250637926E-2</v>
      </c>
      <c r="DX101" s="1">
        <v>0.23781226837781375</v>
      </c>
      <c r="DY101" s="1">
        <v>0.3643735291113871</v>
      </c>
    </row>
    <row r="102" spans="1:129" ht="15">
      <c r="A102" s="7" t="s">
        <v>113</v>
      </c>
      <c r="B102" s="3" t="str">
        <v/>
      </c>
      <c r="C102" s="3" t="str">
        <v/>
      </c>
      <c r="D102" s="3" t="str">
        <v/>
      </c>
      <c r="E102" s="3" t="str">
        <v/>
      </c>
      <c r="F102" s="3" t="str">
        <v/>
      </c>
      <c r="G102" s="3" t="str">
        <v/>
      </c>
      <c r="H102" s="3" t="str">
        <v/>
      </c>
      <c r="I102" s="3" t="str">
        <v/>
      </c>
      <c r="J102" s="3" t="str">
        <v/>
      </c>
      <c r="K102" s="3" t="str">
        <v/>
      </c>
      <c r="L102" s="3" t="str">
        <v/>
      </c>
      <c r="M102" s="3" t="str">
        <v/>
      </c>
      <c r="N102" s="3" t="str">
        <v/>
      </c>
      <c r="O102" s="3" t="str">
        <v/>
      </c>
      <c r="P102" s="3" t="str">
        <v/>
      </c>
      <c r="Q102" s="3" t="str">
        <v/>
      </c>
      <c r="R102" s="3" t="str">
        <v/>
      </c>
      <c r="S102" s="3" t="str">
        <v/>
      </c>
      <c r="T102" s="3" t="str">
        <v/>
      </c>
      <c r="U102" s="3" t="str">
        <v/>
      </c>
      <c r="V102" s="3" t="str">
        <v/>
      </c>
      <c r="W102" s="3" t="str">
        <v/>
      </c>
      <c r="X102" s="3" t="str">
        <v/>
      </c>
      <c r="Y102" s="3" t="str">
        <v/>
      </c>
      <c r="Z102" s="3" t="str">
        <v/>
      </c>
      <c r="AA102" s="3" t="str">
        <v/>
      </c>
      <c r="AB102" s="3" t="str">
        <v/>
      </c>
      <c r="AC102" s="3" t="str">
        <v/>
      </c>
      <c r="AD102" s="3" t="str">
        <v/>
      </c>
      <c r="AE102" s="3" t="str">
        <v/>
      </c>
      <c r="AF102" s="3" t="str">
        <v/>
      </c>
      <c r="AG102" s="3" t="str">
        <v/>
      </c>
      <c r="AH102" s="3" t="str">
        <v/>
      </c>
      <c r="AI102" s="3" t="str">
        <v/>
      </c>
      <c r="AJ102" s="3" t="str">
        <v/>
      </c>
      <c r="AK102" s="3" t="str">
        <v/>
      </c>
      <c r="AL102" s="3" t="str">
        <v/>
      </c>
      <c r="AM102" s="3" t="str">
        <v/>
      </c>
      <c r="AN102" s="3" t="str">
        <v/>
      </c>
      <c r="AO102" s="3" t="str">
        <v/>
      </c>
      <c r="AP102" s="3" t="str">
        <v/>
      </c>
      <c r="AQ102" s="3" t="str">
        <v/>
      </c>
      <c r="AR102" s="3" t="str">
        <v/>
      </c>
      <c r="AS102" s="3" t="str">
        <v/>
      </c>
      <c r="AT102" s="3" t="str">
        <v/>
      </c>
      <c r="AU102" s="3" t="str">
        <v/>
      </c>
      <c r="AV102" s="3" t="str">
        <v/>
      </c>
      <c r="AW102" s="3" t="str">
        <v/>
      </c>
      <c r="AX102" s="3" t="str">
        <v/>
      </c>
      <c r="AY102" s="3" t="str">
        <v/>
      </c>
      <c r="AZ102" s="3" t="str">
        <v/>
      </c>
      <c r="BA102" s="3" t="str">
        <v/>
      </c>
      <c r="BB102" s="3" t="str">
        <v/>
      </c>
      <c r="BC102" s="3" t="str">
        <v/>
      </c>
      <c r="BD102" s="3" t="str">
        <v/>
      </c>
      <c r="BE102" s="3" t="str">
        <v/>
      </c>
      <c r="BF102" s="3" t="str">
        <v/>
      </c>
      <c r="BG102" s="3" t="str">
        <v/>
      </c>
      <c r="BH102" s="3" t="str">
        <v/>
      </c>
      <c r="BI102" s="3" t="str">
        <v/>
      </c>
      <c r="BJ102" s="3" t="str">
        <v/>
      </c>
      <c r="BK102" s="3" t="str">
        <v/>
      </c>
      <c r="BL102" s="3" t="str">
        <v/>
      </c>
      <c r="BM102" s="3" t="str">
        <v/>
      </c>
      <c r="BN102" s="3" t="str">
        <v/>
      </c>
      <c r="BO102" s="3" t="str">
        <v/>
      </c>
      <c r="BP102" s="1" t="str">
        <v/>
      </c>
      <c r="BQ102" s="1" t="str">
        <v/>
      </c>
      <c r="BR102" s="1" t="str">
        <v/>
      </c>
      <c r="BS102" s="1" t="str">
        <v/>
      </c>
      <c r="BT102" s="1" t="str">
        <v/>
      </c>
      <c r="BU102" s="1" t="str">
        <v/>
      </c>
      <c r="BV102" s="1" t="str">
        <v/>
      </c>
      <c r="BW102" s="1" t="str">
        <v/>
      </c>
      <c r="BX102" s="1" t="str">
        <v/>
      </c>
      <c r="BY102" s="1" t="str">
        <v/>
      </c>
      <c r="BZ102" s="1" t="str">
        <v/>
      </c>
      <c r="CA102" s="1" t="str">
        <v/>
      </c>
      <c r="CB102" s="1" t="str">
        <v/>
      </c>
      <c r="CC102" s="1" t="str">
        <v/>
      </c>
      <c r="CD102" s="1" t="str">
        <v/>
      </c>
      <c r="CE102" s="1" t="str">
        <v/>
      </c>
      <c r="CF102" s="1" t="str">
        <v/>
      </c>
      <c r="CG102" s="1" t="str">
        <v/>
      </c>
      <c r="CH102" s="1" t="str">
        <v/>
      </c>
      <c r="CI102" s="1" t="str">
        <v/>
      </c>
      <c r="CJ102" s="1" t="str">
        <v/>
      </c>
      <c r="CK102" s="1" t="str">
        <v/>
      </c>
      <c r="CL102" s="1" t="str">
        <v/>
      </c>
      <c r="CM102" s="1" t="str">
        <v/>
      </c>
      <c r="CN102" s="1" t="str">
        <v/>
      </c>
      <c r="CO102" s="1" t="str">
        <v/>
      </c>
      <c r="CP102" s="1" t="str">
        <v/>
      </c>
      <c r="CQ102" s="1" t="str">
        <v/>
      </c>
      <c r="CR102" s="1" t="str">
        <v/>
      </c>
      <c r="CS102" s="1" t="str">
        <v/>
      </c>
      <c r="CT102" s="1" t="str">
        <v/>
      </c>
      <c r="CU102" s="1" t="str">
        <v/>
      </c>
      <c r="CV102" s="1">
        <v>1</v>
      </c>
      <c r="CW102" s="1">
        <v>0.67606125509226167</v>
      </c>
      <c r="CX102" s="1">
        <v>0.3105438999045011</v>
      </c>
      <c r="CY102" s="1">
        <v>0.14600941009882881</v>
      </c>
      <c r="CZ102" s="1">
        <v>0.21736864335918762</v>
      </c>
      <c r="DA102" s="1">
        <v>0.42599433223130528</v>
      </c>
      <c r="DB102" s="1">
        <v>0.3107582164676409</v>
      </c>
      <c r="DC102" s="1">
        <v>0.44443447936962865</v>
      </c>
      <c r="DD102" s="1">
        <v>2.0510140147604026E-2</v>
      </c>
      <c r="DE102" s="1">
        <v>0.47651816851557682</v>
      </c>
      <c r="DF102" s="1">
        <v>0.45019253443261109</v>
      </c>
      <c r="DG102" s="1">
        <v>0.21553591915741838</v>
      </c>
      <c r="DH102" s="1">
        <v>0.40130821905036307</v>
      </c>
      <c r="DI102" s="1">
        <v>0.30021662476374567</v>
      </c>
      <c r="DJ102" s="1">
        <v>0.29713192110673486</v>
      </c>
      <c r="DK102" s="1">
        <v>0.17974467806465907</v>
      </c>
      <c r="DL102" s="1">
        <v>0.20479912757721161</v>
      </c>
      <c r="DM102" s="1">
        <v>0.24053319043859883</v>
      </c>
      <c r="DN102" s="1">
        <v>0.27835894426671653</v>
      </c>
      <c r="DO102" s="1">
        <v>0.13449393073695212</v>
      </c>
      <c r="DP102" s="1">
        <v>0.28058317973783864</v>
      </c>
      <c r="DQ102" s="1">
        <v>0.11674055190302453</v>
      </c>
      <c r="DR102" s="1">
        <v>0.33169927753121881</v>
      </c>
      <c r="DS102" s="1">
        <v>0.31324266674790724</v>
      </c>
      <c r="DT102" s="1">
        <v>0.27046013933719731</v>
      </c>
      <c r="DU102" s="1">
        <v>0.29455968229092394</v>
      </c>
      <c r="DV102" s="1">
        <v>0.1480936636393087</v>
      </c>
      <c r="DW102" s="1">
        <v>0.17293208722889658</v>
      </c>
      <c r="DX102" s="1">
        <v>0.24793875200622725</v>
      </c>
      <c r="DY102" s="1">
        <v>0.39964549441781833</v>
      </c>
    </row>
    <row r="103" spans="1:129" ht="15">
      <c r="A103" s="7" t="s">
        <v>114</v>
      </c>
      <c r="B103" s="3" t="str">
        <v/>
      </c>
      <c r="C103" s="3" t="str">
        <v/>
      </c>
      <c r="D103" s="3" t="str">
        <v/>
      </c>
      <c r="E103" s="3" t="str">
        <v/>
      </c>
      <c r="F103" s="3" t="str">
        <v/>
      </c>
      <c r="G103" s="3" t="str">
        <v/>
      </c>
      <c r="H103" s="3" t="str">
        <v/>
      </c>
      <c r="I103" s="3" t="str">
        <v/>
      </c>
      <c r="J103" s="3" t="str">
        <v/>
      </c>
      <c r="K103" s="3" t="str">
        <v/>
      </c>
      <c r="L103" s="3" t="str">
        <v/>
      </c>
      <c r="M103" s="3" t="str">
        <v/>
      </c>
      <c r="N103" s="3" t="str">
        <v/>
      </c>
      <c r="O103" s="3" t="str">
        <v/>
      </c>
      <c r="P103" s="3" t="str">
        <v/>
      </c>
      <c r="Q103" s="3" t="str">
        <v/>
      </c>
      <c r="R103" s="3" t="str">
        <v/>
      </c>
      <c r="S103" s="3" t="str">
        <v/>
      </c>
      <c r="T103" s="3" t="str">
        <v/>
      </c>
      <c r="U103" s="3" t="str">
        <v/>
      </c>
      <c r="V103" s="3" t="str">
        <v/>
      </c>
      <c r="W103" s="3" t="str">
        <v/>
      </c>
      <c r="X103" s="3" t="str">
        <v/>
      </c>
      <c r="Y103" s="3" t="str">
        <v/>
      </c>
      <c r="Z103" s="3" t="str">
        <v/>
      </c>
      <c r="AA103" s="3" t="str">
        <v/>
      </c>
      <c r="AB103" s="3" t="str">
        <v/>
      </c>
      <c r="AC103" s="3" t="str">
        <v/>
      </c>
      <c r="AD103" s="3" t="str">
        <v/>
      </c>
      <c r="AE103" s="3" t="str">
        <v/>
      </c>
      <c r="AF103" s="3" t="str">
        <v/>
      </c>
      <c r="AG103" s="3" t="str">
        <v/>
      </c>
      <c r="AH103" s="3" t="str">
        <v/>
      </c>
      <c r="AI103" s="3" t="str">
        <v/>
      </c>
      <c r="AJ103" s="3" t="str">
        <v/>
      </c>
      <c r="AK103" s="3" t="str">
        <v/>
      </c>
      <c r="AL103" s="3" t="str">
        <v/>
      </c>
      <c r="AM103" s="3" t="str">
        <v/>
      </c>
      <c r="AN103" s="3" t="str">
        <v/>
      </c>
      <c r="AO103" s="3" t="str">
        <v/>
      </c>
      <c r="AP103" s="3" t="str">
        <v/>
      </c>
      <c r="AQ103" s="3" t="str">
        <v/>
      </c>
      <c r="AR103" s="3" t="str">
        <v/>
      </c>
      <c r="AS103" s="3" t="str">
        <v/>
      </c>
      <c r="AT103" s="3" t="str">
        <v/>
      </c>
      <c r="AU103" s="3" t="str">
        <v/>
      </c>
      <c r="AV103" s="3" t="str">
        <v/>
      </c>
      <c r="AW103" s="3" t="str">
        <v/>
      </c>
      <c r="AX103" s="3" t="str">
        <v/>
      </c>
      <c r="AY103" s="3" t="str">
        <v/>
      </c>
      <c r="AZ103" s="3" t="str">
        <v/>
      </c>
      <c r="BA103" s="3" t="str">
        <v/>
      </c>
      <c r="BB103" s="3" t="str">
        <v/>
      </c>
      <c r="BC103" s="3" t="str">
        <v/>
      </c>
      <c r="BD103" s="3" t="str">
        <v/>
      </c>
      <c r="BE103" s="3" t="str">
        <v/>
      </c>
      <c r="BF103" s="3" t="str">
        <v/>
      </c>
      <c r="BG103" s="3" t="str">
        <v/>
      </c>
      <c r="BH103" s="3" t="str">
        <v/>
      </c>
      <c r="BI103" s="3" t="str">
        <v/>
      </c>
      <c r="BJ103" s="3" t="str">
        <v/>
      </c>
      <c r="BK103" s="3" t="str">
        <v/>
      </c>
      <c r="BL103" s="3" t="str">
        <v/>
      </c>
      <c r="BM103" s="3" t="str">
        <v/>
      </c>
      <c r="BN103" s="3" t="str">
        <v/>
      </c>
      <c r="BO103" s="3" t="str">
        <v/>
      </c>
      <c r="BP103" s="1" t="str">
        <v/>
      </c>
      <c r="BQ103" s="1" t="str">
        <v/>
      </c>
      <c r="BR103" s="1" t="str">
        <v/>
      </c>
      <c r="BS103" s="1" t="str">
        <v/>
      </c>
      <c r="BT103" s="1" t="str">
        <v/>
      </c>
      <c r="BU103" s="1" t="str">
        <v/>
      </c>
      <c r="BV103" s="1" t="str">
        <v/>
      </c>
      <c r="BW103" s="1" t="str">
        <v/>
      </c>
      <c r="BX103" s="1" t="str">
        <v/>
      </c>
      <c r="BY103" s="1" t="str">
        <v/>
      </c>
      <c r="BZ103" s="1" t="str">
        <v/>
      </c>
      <c r="CA103" s="1" t="str">
        <v/>
      </c>
      <c r="CB103" s="1" t="str">
        <v/>
      </c>
      <c r="CC103" s="1" t="str">
        <v/>
      </c>
      <c r="CD103" s="1" t="str">
        <v/>
      </c>
      <c r="CE103" s="1" t="str">
        <v/>
      </c>
      <c r="CF103" s="1" t="str">
        <v/>
      </c>
      <c r="CG103" s="1" t="str">
        <v/>
      </c>
      <c r="CH103" s="1" t="str">
        <v/>
      </c>
      <c r="CI103" s="1" t="str">
        <v/>
      </c>
      <c r="CJ103" s="1" t="str">
        <v/>
      </c>
      <c r="CK103" s="1" t="str">
        <v/>
      </c>
      <c r="CL103" s="1" t="str">
        <v/>
      </c>
      <c r="CM103" s="1" t="str">
        <v/>
      </c>
      <c r="CN103" s="1" t="str">
        <v/>
      </c>
      <c r="CO103" s="1" t="str">
        <v/>
      </c>
      <c r="CP103" s="1" t="str">
        <v/>
      </c>
      <c r="CQ103" s="1" t="str">
        <v/>
      </c>
      <c r="CR103" s="1" t="str">
        <v/>
      </c>
      <c r="CS103" s="1" t="str">
        <v/>
      </c>
      <c r="CT103" s="1" t="str">
        <v/>
      </c>
      <c r="CU103" s="1" t="str">
        <v/>
      </c>
      <c r="CV103" s="1" t="str">
        <v/>
      </c>
      <c r="CW103" s="1">
        <v>1.0000000000000002</v>
      </c>
      <c r="CX103" s="1">
        <v>0.41900186847393062</v>
      </c>
      <c r="CY103" s="1">
        <v>0.14566702447299767</v>
      </c>
      <c r="CZ103" s="1">
        <v>0.22543920384956889</v>
      </c>
      <c r="DA103" s="1">
        <v>0.34234809451676707</v>
      </c>
      <c r="DB103" s="1">
        <v>0.32406237425871243</v>
      </c>
      <c r="DC103" s="1">
        <v>0.35524966103386069</v>
      </c>
      <c r="DD103" s="1">
        <v>8.5387604265120223E-2</v>
      </c>
      <c r="DE103" s="1">
        <v>0.49719574813043649</v>
      </c>
      <c r="DF103" s="1">
        <v>0.44367528222608044</v>
      </c>
      <c r="DG103" s="1">
        <v>0.24045863805330037</v>
      </c>
      <c r="DH103" s="1">
        <v>0.52607419650470966</v>
      </c>
      <c r="DI103" s="1">
        <v>0.26728286757559805</v>
      </c>
      <c r="DJ103" s="1">
        <v>0.29955146790615012</v>
      </c>
      <c r="DK103" s="1">
        <v>0.21443376527939587</v>
      </c>
      <c r="DL103" s="1">
        <v>0.33313558049140479</v>
      </c>
      <c r="DM103" s="1">
        <v>0.32407918317746648</v>
      </c>
      <c r="DN103" s="1">
        <v>0.36743287579910955</v>
      </c>
      <c r="DO103" s="1">
        <v>0.21969996041460588</v>
      </c>
      <c r="DP103" s="1">
        <v>0.3188926319123852</v>
      </c>
      <c r="DQ103" s="1">
        <v>0.21398567606668928</v>
      </c>
      <c r="DR103" s="1">
        <v>0.44586855197221881</v>
      </c>
      <c r="DS103" s="1">
        <v>0.26081896987747122</v>
      </c>
      <c r="DT103" s="1">
        <v>0.30731917983645479</v>
      </c>
      <c r="DU103" s="1">
        <v>0.41918338321409221</v>
      </c>
      <c r="DV103" s="1">
        <v>0.2872225088707035</v>
      </c>
      <c r="DW103" s="1">
        <v>0.2620664963266196</v>
      </c>
      <c r="DX103" s="1">
        <v>0.29276528143564473</v>
      </c>
      <c r="DY103" s="1">
        <v>0.53937365416724059</v>
      </c>
    </row>
    <row r="104" spans="1:129" ht="15">
      <c r="A104" s="7" t="s">
        <v>115</v>
      </c>
      <c r="B104" s="3" t="str">
        <v/>
      </c>
      <c r="C104" s="3" t="str">
        <v/>
      </c>
      <c r="D104" s="3" t="str">
        <v/>
      </c>
      <c r="E104" s="3" t="str">
        <v/>
      </c>
      <c r="F104" s="3" t="str">
        <v/>
      </c>
      <c r="G104" s="3" t="str">
        <v/>
      </c>
      <c r="H104" s="3" t="str">
        <v/>
      </c>
      <c r="I104" s="3" t="str">
        <v/>
      </c>
      <c r="J104" s="3" t="str">
        <v/>
      </c>
      <c r="K104" s="3" t="str">
        <v/>
      </c>
      <c r="L104" s="3" t="str">
        <v/>
      </c>
      <c r="M104" s="3" t="str">
        <v/>
      </c>
      <c r="N104" s="3" t="str">
        <v/>
      </c>
      <c r="O104" s="3" t="str">
        <v/>
      </c>
      <c r="P104" s="3" t="str">
        <v/>
      </c>
      <c r="Q104" s="3" t="str">
        <v/>
      </c>
      <c r="R104" s="3" t="str">
        <v/>
      </c>
      <c r="S104" s="3" t="str">
        <v/>
      </c>
      <c r="T104" s="3" t="str">
        <v/>
      </c>
      <c r="U104" s="3" t="str">
        <v/>
      </c>
      <c r="V104" s="3" t="str">
        <v/>
      </c>
      <c r="W104" s="3" t="str">
        <v/>
      </c>
      <c r="X104" s="3" t="str">
        <v/>
      </c>
      <c r="Y104" s="3" t="str">
        <v/>
      </c>
      <c r="Z104" s="3" t="str">
        <v/>
      </c>
      <c r="AA104" s="3" t="str">
        <v/>
      </c>
      <c r="AB104" s="3" t="str">
        <v/>
      </c>
      <c r="AC104" s="3" t="str">
        <v/>
      </c>
      <c r="AD104" s="3" t="str">
        <v/>
      </c>
      <c r="AE104" s="3" t="str">
        <v/>
      </c>
      <c r="AF104" s="3" t="str">
        <v/>
      </c>
      <c r="AG104" s="3" t="str">
        <v/>
      </c>
      <c r="AH104" s="3" t="str">
        <v/>
      </c>
      <c r="AI104" s="3" t="str">
        <v/>
      </c>
      <c r="AJ104" s="3" t="str">
        <v/>
      </c>
      <c r="AK104" s="3" t="str">
        <v/>
      </c>
      <c r="AL104" s="3" t="str">
        <v/>
      </c>
      <c r="AM104" s="3" t="str">
        <v/>
      </c>
      <c r="AN104" s="3" t="str">
        <v/>
      </c>
      <c r="AO104" s="3" t="str">
        <v/>
      </c>
      <c r="AP104" s="3" t="str">
        <v/>
      </c>
      <c r="AQ104" s="3" t="str">
        <v/>
      </c>
      <c r="AR104" s="3" t="str">
        <v/>
      </c>
      <c r="AS104" s="3" t="str">
        <v/>
      </c>
      <c r="AT104" s="3" t="str">
        <v/>
      </c>
      <c r="AU104" s="3" t="str">
        <v/>
      </c>
      <c r="AV104" s="3" t="str">
        <v/>
      </c>
      <c r="AW104" s="3" t="str">
        <v/>
      </c>
      <c r="AX104" s="3" t="str">
        <v/>
      </c>
      <c r="AY104" s="3" t="str">
        <v/>
      </c>
      <c r="AZ104" s="3" t="str">
        <v/>
      </c>
      <c r="BA104" s="3" t="str">
        <v/>
      </c>
      <c r="BB104" s="3" t="str">
        <v/>
      </c>
      <c r="BC104" s="3" t="str">
        <v/>
      </c>
      <c r="BD104" s="3" t="str">
        <v/>
      </c>
      <c r="BE104" s="3" t="str">
        <v/>
      </c>
      <c r="BF104" s="3" t="str">
        <v/>
      </c>
      <c r="BG104" s="3" t="str">
        <v/>
      </c>
      <c r="BH104" s="3" t="str">
        <v/>
      </c>
      <c r="BI104" s="3" t="str">
        <v/>
      </c>
      <c r="BJ104" s="3" t="str">
        <v/>
      </c>
      <c r="BK104" s="3" t="str">
        <v/>
      </c>
      <c r="BL104" s="3" t="str">
        <v/>
      </c>
      <c r="BM104" s="3" t="str">
        <v/>
      </c>
      <c r="BN104" s="3" t="str">
        <v/>
      </c>
      <c r="BO104" s="3" t="str">
        <v/>
      </c>
      <c r="BP104" s="1" t="str">
        <v/>
      </c>
      <c r="BQ104" s="1" t="str">
        <v/>
      </c>
      <c r="BR104" s="1" t="str">
        <v/>
      </c>
      <c r="BS104" s="1" t="str">
        <v/>
      </c>
      <c r="BT104" s="1" t="str">
        <v/>
      </c>
      <c r="BU104" s="1" t="str">
        <v/>
      </c>
      <c r="BV104" s="1" t="str">
        <v/>
      </c>
      <c r="BW104" s="1" t="str">
        <v/>
      </c>
      <c r="BX104" s="1" t="str">
        <v/>
      </c>
      <c r="BY104" s="1" t="str">
        <v/>
      </c>
      <c r="BZ104" s="1" t="str">
        <v/>
      </c>
      <c r="CA104" s="1" t="str">
        <v/>
      </c>
      <c r="CB104" s="1" t="str">
        <v/>
      </c>
      <c r="CC104" s="1" t="str">
        <v/>
      </c>
      <c r="CD104" s="1" t="str">
        <v/>
      </c>
      <c r="CE104" s="1" t="str">
        <v/>
      </c>
      <c r="CF104" s="1" t="str">
        <v/>
      </c>
      <c r="CG104" s="1" t="str">
        <v/>
      </c>
      <c r="CH104" s="1" t="str">
        <v/>
      </c>
      <c r="CI104" s="1" t="str">
        <v/>
      </c>
      <c r="CJ104" s="1" t="str">
        <v/>
      </c>
      <c r="CK104" s="1" t="str">
        <v/>
      </c>
      <c r="CL104" s="1" t="str">
        <v/>
      </c>
      <c r="CM104" s="1" t="str">
        <v/>
      </c>
      <c r="CN104" s="1" t="str">
        <v/>
      </c>
      <c r="CO104" s="1" t="str">
        <v/>
      </c>
      <c r="CP104" s="1" t="str">
        <v/>
      </c>
      <c r="CQ104" s="1" t="str">
        <v/>
      </c>
      <c r="CR104" s="1" t="str">
        <v/>
      </c>
      <c r="CS104" s="1" t="str">
        <v/>
      </c>
      <c r="CT104" s="1" t="str">
        <v/>
      </c>
      <c r="CU104" s="1" t="str">
        <v/>
      </c>
      <c r="CV104" s="1" t="str">
        <v/>
      </c>
      <c r="CW104" s="1" t="str">
        <v/>
      </c>
      <c r="CX104" s="1">
        <v>1</v>
      </c>
      <c r="CY104" s="1">
        <v>0.2347545106239485</v>
      </c>
      <c r="CZ104" s="1">
        <v>0.20542664160770263</v>
      </c>
      <c r="DA104" s="1">
        <v>0.22742335529052987</v>
      </c>
      <c r="DB104" s="1">
        <v>0.24816810316714535</v>
      </c>
      <c r="DC104" s="1">
        <v>0.251132598780059</v>
      </c>
      <c r="DD104" s="1">
        <v>0.1043466726203201</v>
      </c>
      <c r="DE104" s="1">
        <v>0.41256698561315003</v>
      </c>
      <c r="DF104" s="1">
        <v>0.36475399607066405</v>
      </c>
      <c r="DG104" s="1">
        <v>0.1528068027513976</v>
      </c>
      <c r="DH104" s="1">
        <v>0.32262237129446114</v>
      </c>
      <c r="DI104" s="1">
        <v>0.40234356211878453</v>
      </c>
      <c r="DJ104" s="1">
        <v>0.37737789432586882</v>
      </c>
      <c r="DK104" s="1">
        <v>0.3193352471191383</v>
      </c>
      <c r="DL104" s="1">
        <v>0.27101625885129321</v>
      </c>
      <c r="DM104" s="1">
        <v>0.29832069100919878</v>
      </c>
      <c r="DN104" s="1">
        <v>0.37607654551599096</v>
      </c>
      <c r="DO104" s="1">
        <v>0.24438491461203651</v>
      </c>
      <c r="DP104" s="1">
        <v>0.37158229599271164</v>
      </c>
      <c r="DQ104" s="1">
        <v>0.24513099689420362</v>
      </c>
      <c r="DR104" s="1">
        <v>0.36312730169048013</v>
      </c>
      <c r="DS104" s="1">
        <v>0.43243858696541232</v>
      </c>
      <c r="DT104" s="1">
        <v>0.28221403605020573</v>
      </c>
      <c r="DU104" s="1">
        <v>0.34744760218810389</v>
      </c>
      <c r="DV104" s="1">
        <v>0.2853279014730894</v>
      </c>
      <c r="DW104" s="1">
        <v>8.1994021200846631E-2</v>
      </c>
      <c r="DX104" s="1">
        <v>0.14485771034994516</v>
      </c>
      <c r="DY104" s="1">
        <v>0.30263142845814284</v>
      </c>
    </row>
    <row r="105" spans="1:129" ht="15">
      <c r="A105" s="7" t="s">
        <v>116</v>
      </c>
      <c r="B105" s="3" t="str">
        <v/>
      </c>
      <c r="C105" s="3" t="str">
        <v/>
      </c>
      <c r="D105" s="3" t="str">
        <v/>
      </c>
      <c r="E105" s="3" t="str">
        <v/>
      </c>
      <c r="F105" s="3" t="str">
        <v/>
      </c>
      <c r="G105" s="3" t="str">
        <v/>
      </c>
      <c r="H105" s="3" t="str">
        <v/>
      </c>
      <c r="I105" s="3" t="str">
        <v/>
      </c>
      <c r="J105" s="3" t="str">
        <v/>
      </c>
      <c r="K105" s="3" t="str">
        <v/>
      </c>
      <c r="L105" s="3" t="str">
        <v/>
      </c>
      <c r="M105" s="3" t="str">
        <v/>
      </c>
      <c r="N105" s="3" t="str">
        <v/>
      </c>
      <c r="O105" s="3" t="str">
        <v/>
      </c>
      <c r="P105" s="3" t="str">
        <v/>
      </c>
      <c r="Q105" s="3" t="str">
        <v/>
      </c>
      <c r="R105" s="3" t="str">
        <v/>
      </c>
      <c r="S105" s="3" t="str">
        <v/>
      </c>
      <c r="T105" s="3" t="str">
        <v/>
      </c>
      <c r="U105" s="3" t="str">
        <v/>
      </c>
      <c r="V105" s="3" t="str">
        <v/>
      </c>
      <c r="W105" s="3" t="str">
        <v/>
      </c>
      <c r="X105" s="3" t="str">
        <v/>
      </c>
      <c r="Y105" s="3" t="str">
        <v/>
      </c>
      <c r="Z105" s="3" t="str">
        <v/>
      </c>
      <c r="AA105" s="3" t="str">
        <v/>
      </c>
      <c r="AB105" s="3" t="str">
        <v/>
      </c>
      <c r="AC105" s="3" t="str">
        <v/>
      </c>
      <c r="AD105" s="3" t="str">
        <v/>
      </c>
      <c r="AE105" s="3" t="str">
        <v/>
      </c>
      <c r="AF105" s="3" t="str">
        <v/>
      </c>
      <c r="AG105" s="3" t="str">
        <v/>
      </c>
      <c r="AH105" s="3" t="str">
        <v/>
      </c>
      <c r="AI105" s="3" t="str">
        <v/>
      </c>
      <c r="AJ105" s="3" t="str">
        <v/>
      </c>
      <c r="AK105" s="3" t="str">
        <v/>
      </c>
      <c r="AL105" s="3" t="str">
        <v/>
      </c>
      <c r="AM105" s="3" t="str">
        <v/>
      </c>
      <c r="AN105" s="3" t="str">
        <v/>
      </c>
      <c r="AO105" s="3" t="str">
        <v/>
      </c>
      <c r="AP105" s="3" t="str">
        <v/>
      </c>
      <c r="AQ105" s="3" t="str">
        <v/>
      </c>
      <c r="AR105" s="3" t="str">
        <v/>
      </c>
      <c r="AS105" s="3" t="str">
        <v/>
      </c>
      <c r="AT105" s="3" t="str">
        <v/>
      </c>
      <c r="AU105" s="3" t="str">
        <v/>
      </c>
      <c r="AV105" s="3" t="str">
        <v/>
      </c>
      <c r="AW105" s="3" t="str">
        <v/>
      </c>
      <c r="AX105" s="3" t="str">
        <v/>
      </c>
      <c r="AY105" s="3" t="str">
        <v/>
      </c>
      <c r="AZ105" s="3" t="str">
        <v/>
      </c>
      <c r="BA105" s="3" t="str">
        <v/>
      </c>
      <c r="BB105" s="3" t="str">
        <v/>
      </c>
      <c r="BC105" s="3" t="str">
        <v/>
      </c>
      <c r="BD105" s="3" t="str">
        <v/>
      </c>
      <c r="BE105" s="3" t="str">
        <v/>
      </c>
      <c r="BF105" s="3" t="str">
        <v/>
      </c>
      <c r="BG105" s="3" t="str">
        <v/>
      </c>
      <c r="BH105" s="3" t="str">
        <v/>
      </c>
      <c r="BI105" s="3" t="str">
        <v/>
      </c>
      <c r="BJ105" s="3" t="str">
        <v/>
      </c>
      <c r="BK105" s="3" t="str">
        <v/>
      </c>
      <c r="BL105" s="3" t="str">
        <v/>
      </c>
      <c r="BM105" s="3" t="str">
        <v/>
      </c>
      <c r="BN105" s="3" t="str">
        <v/>
      </c>
      <c r="BO105" s="3" t="str">
        <v/>
      </c>
      <c r="BP105" s="1" t="str">
        <v/>
      </c>
      <c r="BQ105" s="1" t="str">
        <v/>
      </c>
      <c r="BR105" s="1" t="str">
        <v/>
      </c>
      <c r="BS105" s="1" t="str">
        <v/>
      </c>
      <c r="BT105" s="1" t="str">
        <v/>
      </c>
      <c r="BU105" s="1" t="str">
        <v/>
      </c>
      <c r="BV105" s="1" t="str">
        <v/>
      </c>
      <c r="BW105" s="1" t="str">
        <v/>
      </c>
      <c r="BX105" s="1" t="str">
        <v/>
      </c>
      <c r="BY105" s="1" t="str">
        <v/>
      </c>
      <c r="BZ105" s="1" t="str">
        <v/>
      </c>
      <c r="CA105" s="1" t="str">
        <v/>
      </c>
      <c r="CB105" s="1" t="str">
        <v/>
      </c>
      <c r="CC105" s="1" t="str">
        <v/>
      </c>
      <c r="CD105" s="1" t="str">
        <v/>
      </c>
      <c r="CE105" s="1" t="str">
        <v/>
      </c>
      <c r="CF105" s="1" t="str">
        <v/>
      </c>
      <c r="CG105" s="1" t="str">
        <v/>
      </c>
      <c r="CH105" s="1" t="str">
        <v/>
      </c>
      <c r="CI105" s="1" t="str">
        <v/>
      </c>
      <c r="CJ105" s="1" t="str">
        <v/>
      </c>
      <c r="CK105" s="1" t="str">
        <v/>
      </c>
      <c r="CL105" s="1" t="str">
        <v/>
      </c>
      <c r="CM105" s="1" t="str">
        <v/>
      </c>
      <c r="CN105" s="1" t="str">
        <v/>
      </c>
      <c r="CO105" s="1" t="str">
        <v/>
      </c>
      <c r="CP105" s="1" t="str">
        <v/>
      </c>
      <c r="CQ105" s="1" t="str">
        <v/>
      </c>
      <c r="CR105" s="1" t="str">
        <v/>
      </c>
      <c r="CS105" s="1" t="str">
        <v/>
      </c>
      <c r="CT105" s="1" t="str">
        <v/>
      </c>
      <c r="CU105" s="1" t="str">
        <v/>
      </c>
      <c r="CV105" s="1" t="str">
        <v/>
      </c>
      <c r="CW105" s="1" t="str">
        <v/>
      </c>
      <c r="CX105" s="1" t="str">
        <v/>
      </c>
      <c r="CY105" s="1">
        <v>1.0000000000000002</v>
      </c>
      <c r="CZ105" s="1">
        <v>0.2045839411264041</v>
      </c>
      <c r="DA105" s="1">
        <v>0.20224870492518751</v>
      </c>
      <c r="DB105" s="1">
        <v>0.29164296827615172</v>
      </c>
      <c r="DC105" s="1">
        <v>9.8779719342406827E-2</v>
      </c>
      <c r="DD105" s="1">
        <v>0.1075869005564553</v>
      </c>
      <c r="DE105" s="1">
        <v>0.14758950359138975</v>
      </c>
      <c r="DF105" s="1">
        <v>0.43057938568078463</v>
      </c>
      <c r="DG105" s="1">
        <v>0.10743340776352153</v>
      </c>
      <c r="DH105" s="1">
        <v>0.29595231490732415</v>
      </c>
      <c r="DI105" s="1">
        <v>0.41764115756135706</v>
      </c>
      <c r="DJ105" s="1">
        <v>0.2519085133300748</v>
      </c>
      <c r="DK105" s="1">
        <v>0.31630209532993014</v>
      </c>
      <c r="DL105" s="1">
        <v>0.31952337510022344</v>
      </c>
      <c r="DM105" s="1">
        <v>0.31902112407574512</v>
      </c>
      <c r="DN105" s="1">
        <v>0.34693473156319365</v>
      </c>
      <c r="DO105" s="1">
        <v>0.37247964964750158</v>
      </c>
      <c r="DP105" s="1">
        <v>0.37808990862015041</v>
      </c>
      <c r="DQ105" s="1">
        <v>0.29307321552202598</v>
      </c>
      <c r="DR105" s="1">
        <v>0.40049175652187868</v>
      </c>
      <c r="DS105" s="1">
        <v>0.41600639405236289</v>
      </c>
      <c r="DT105" s="1">
        <v>0.32159191495184308</v>
      </c>
      <c r="DU105" s="1">
        <v>0.41985607252098267</v>
      </c>
      <c r="DV105" s="1">
        <v>0.36432030799196641</v>
      </c>
      <c r="DW105" s="1">
        <v>0.1922157518103122</v>
      </c>
      <c r="DX105" s="1">
        <v>0.24356653775274173</v>
      </c>
      <c r="DY105" s="1">
        <v>0.38823292982237056</v>
      </c>
    </row>
    <row r="106" spans="1:129" ht="15">
      <c r="A106" s="7" t="s">
        <v>117</v>
      </c>
      <c r="B106" s="3" t="str">
        <v/>
      </c>
      <c r="C106" s="3" t="str">
        <v/>
      </c>
      <c r="D106" s="3" t="str">
        <v/>
      </c>
      <c r="E106" s="3" t="str">
        <v/>
      </c>
      <c r="F106" s="3" t="str">
        <v/>
      </c>
      <c r="G106" s="3" t="str">
        <v/>
      </c>
      <c r="H106" s="3" t="str">
        <v/>
      </c>
      <c r="I106" s="3" t="str">
        <v/>
      </c>
      <c r="J106" s="3" t="str">
        <v/>
      </c>
      <c r="K106" s="3" t="str">
        <v/>
      </c>
      <c r="L106" s="3" t="str">
        <v/>
      </c>
      <c r="M106" s="3" t="str">
        <v/>
      </c>
      <c r="N106" s="3" t="str">
        <v/>
      </c>
      <c r="O106" s="3" t="str">
        <v/>
      </c>
      <c r="P106" s="3" t="str">
        <v/>
      </c>
      <c r="Q106" s="3" t="str">
        <v/>
      </c>
      <c r="R106" s="3" t="str">
        <v/>
      </c>
      <c r="S106" s="3" t="str">
        <v/>
      </c>
      <c r="T106" s="3" t="str">
        <v/>
      </c>
      <c r="U106" s="3" t="str">
        <v/>
      </c>
      <c r="V106" s="3" t="str">
        <v/>
      </c>
      <c r="W106" s="3" t="str">
        <v/>
      </c>
      <c r="X106" s="3" t="str">
        <v/>
      </c>
      <c r="Y106" s="3" t="str">
        <v/>
      </c>
      <c r="Z106" s="3" t="str">
        <v/>
      </c>
      <c r="AA106" s="3" t="str">
        <v/>
      </c>
      <c r="AB106" s="3" t="str">
        <v/>
      </c>
      <c r="AC106" s="3" t="str">
        <v/>
      </c>
      <c r="AD106" s="3" t="str">
        <v/>
      </c>
      <c r="AE106" s="3" t="str">
        <v/>
      </c>
      <c r="AF106" s="3" t="str">
        <v/>
      </c>
      <c r="AG106" s="3" t="str">
        <v/>
      </c>
      <c r="AH106" s="3" t="str">
        <v/>
      </c>
      <c r="AI106" s="3" t="str">
        <v/>
      </c>
      <c r="AJ106" s="3" t="str">
        <v/>
      </c>
      <c r="AK106" s="3" t="str">
        <v/>
      </c>
      <c r="AL106" s="3" t="str">
        <v/>
      </c>
      <c r="AM106" s="3" t="str">
        <v/>
      </c>
      <c r="AN106" s="3" t="str">
        <v/>
      </c>
      <c r="AO106" s="3" t="str">
        <v/>
      </c>
      <c r="AP106" s="3" t="str">
        <v/>
      </c>
      <c r="AQ106" s="3" t="str">
        <v/>
      </c>
      <c r="AR106" s="3" t="str">
        <v/>
      </c>
      <c r="AS106" s="3" t="str">
        <v/>
      </c>
      <c r="AT106" s="3" t="str">
        <v/>
      </c>
      <c r="AU106" s="3" t="str">
        <v/>
      </c>
      <c r="AV106" s="3" t="str">
        <v/>
      </c>
      <c r="AW106" s="3" t="str">
        <v/>
      </c>
      <c r="AX106" s="3" t="str">
        <v/>
      </c>
      <c r="AY106" s="3" t="str">
        <v/>
      </c>
      <c r="AZ106" s="3" t="str">
        <v/>
      </c>
      <c r="BA106" s="3" t="str">
        <v/>
      </c>
      <c r="BB106" s="3" t="str">
        <v/>
      </c>
      <c r="BC106" s="3" t="str">
        <v/>
      </c>
      <c r="BD106" s="3" t="str">
        <v/>
      </c>
      <c r="BE106" s="3" t="str">
        <v/>
      </c>
      <c r="BF106" s="3" t="str">
        <v/>
      </c>
      <c r="BG106" s="3" t="str">
        <v/>
      </c>
      <c r="BH106" s="3" t="str">
        <v/>
      </c>
      <c r="BI106" s="3" t="str">
        <v/>
      </c>
      <c r="BJ106" s="3" t="str">
        <v/>
      </c>
      <c r="BK106" s="3" t="str">
        <v/>
      </c>
      <c r="BL106" s="3" t="str">
        <v/>
      </c>
      <c r="BM106" s="3" t="str">
        <v/>
      </c>
      <c r="BN106" s="3" t="str">
        <v/>
      </c>
      <c r="BO106" s="3" t="str">
        <v/>
      </c>
      <c r="BP106" s="1" t="str">
        <v/>
      </c>
      <c r="BQ106" s="1" t="str">
        <v/>
      </c>
      <c r="BR106" s="1" t="str">
        <v/>
      </c>
      <c r="BS106" s="1" t="str">
        <v/>
      </c>
      <c r="BT106" s="1" t="str">
        <v/>
      </c>
      <c r="BU106" s="1" t="str">
        <v/>
      </c>
      <c r="BV106" s="1" t="str">
        <v/>
      </c>
      <c r="BW106" s="1" t="str">
        <v/>
      </c>
      <c r="BX106" s="1" t="str">
        <v/>
      </c>
      <c r="BY106" s="1" t="str">
        <v/>
      </c>
      <c r="BZ106" s="1" t="str">
        <v/>
      </c>
      <c r="CA106" s="1" t="str">
        <v/>
      </c>
      <c r="CB106" s="1" t="str">
        <v/>
      </c>
      <c r="CC106" s="1" t="str">
        <v/>
      </c>
      <c r="CD106" s="1" t="str">
        <v/>
      </c>
      <c r="CE106" s="1" t="str">
        <v/>
      </c>
      <c r="CF106" s="1" t="str">
        <v/>
      </c>
      <c r="CG106" s="1" t="str">
        <v/>
      </c>
      <c r="CH106" s="1" t="str">
        <v/>
      </c>
      <c r="CI106" s="1" t="str">
        <v/>
      </c>
      <c r="CJ106" s="1" t="str">
        <v/>
      </c>
      <c r="CK106" s="1" t="str">
        <v/>
      </c>
      <c r="CL106" s="1" t="str">
        <v/>
      </c>
      <c r="CM106" s="1" t="str">
        <v/>
      </c>
      <c r="CN106" s="1" t="str">
        <v/>
      </c>
      <c r="CO106" s="1" t="str">
        <v/>
      </c>
      <c r="CP106" s="1" t="str">
        <v/>
      </c>
      <c r="CQ106" s="1" t="str">
        <v/>
      </c>
      <c r="CR106" s="1" t="str">
        <v/>
      </c>
      <c r="CS106" s="1" t="str">
        <v/>
      </c>
      <c r="CT106" s="1" t="str">
        <v/>
      </c>
      <c r="CU106" s="1" t="str">
        <v/>
      </c>
      <c r="CV106" s="1" t="str">
        <v/>
      </c>
      <c r="CW106" s="1" t="str">
        <v/>
      </c>
      <c r="CX106" s="1" t="str">
        <v/>
      </c>
      <c r="CY106" s="1" t="str">
        <v/>
      </c>
      <c r="CZ106" s="1">
        <v>1</v>
      </c>
      <c r="DA106" s="1">
        <v>0.28443863912024125</v>
      </c>
      <c r="DB106" s="1">
        <v>0.3671651919550139</v>
      </c>
      <c r="DC106" s="1">
        <v>0.14601015329273265</v>
      </c>
      <c r="DD106" s="1">
        <v>0.18441087213892665</v>
      </c>
      <c r="DE106" s="1">
        <v>0.27049662168677524</v>
      </c>
      <c r="DF106" s="1">
        <v>0.23391127261495442</v>
      </c>
      <c r="DG106" s="1">
        <v>0.3621981753026009</v>
      </c>
      <c r="DH106" s="1">
        <v>0.31056781436193936</v>
      </c>
      <c r="DI106" s="1">
        <v>0.4615714389282416</v>
      </c>
      <c r="DJ106" s="1">
        <v>0.39824213175529249</v>
      </c>
      <c r="DK106" s="1">
        <v>0.49214436163173703</v>
      </c>
      <c r="DL106" s="1">
        <v>0.45885055567226241</v>
      </c>
      <c r="DM106" s="1">
        <v>0.44202258576771819</v>
      </c>
      <c r="DN106" s="1">
        <v>0.42879478861476361</v>
      </c>
      <c r="DO106" s="1">
        <v>0.46025128396857273</v>
      </c>
      <c r="DP106" s="1">
        <v>0.54782840527451671</v>
      </c>
      <c r="DQ106" s="1">
        <v>0.49818994438485381</v>
      </c>
      <c r="DR106" s="1">
        <v>0.49471838923585892</v>
      </c>
      <c r="DS106" s="1">
        <v>0.35889980059082094</v>
      </c>
      <c r="DT106" s="1">
        <v>0.40080137818320755</v>
      </c>
      <c r="DU106" s="1">
        <v>0.4083965609465165</v>
      </c>
      <c r="DV106" s="1">
        <v>0.56432583235612144</v>
      </c>
      <c r="DW106" s="1">
        <v>0.32459008496688618</v>
      </c>
      <c r="DX106" s="1">
        <v>0.40634957484571876</v>
      </c>
      <c r="DY106" s="1">
        <v>0.31432456421110894</v>
      </c>
    </row>
    <row r="107" spans="1:129" ht="15">
      <c r="A107" s="7" t="s">
        <v>118</v>
      </c>
      <c r="B107" s="3" t="str">
        <v/>
      </c>
      <c r="C107" s="3" t="str">
        <v/>
      </c>
      <c r="D107" s="3" t="str">
        <v/>
      </c>
      <c r="E107" s="3" t="str">
        <v/>
      </c>
      <c r="F107" s="3" t="str">
        <v/>
      </c>
      <c r="G107" s="3" t="str">
        <v/>
      </c>
      <c r="H107" s="3" t="str">
        <v/>
      </c>
      <c r="I107" s="3" t="str">
        <v/>
      </c>
      <c r="J107" s="3" t="str">
        <v/>
      </c>
      <c r="K107" s="3" t="str">
        <v/>
      </c>
      <c r="L107" s="3" t="str">
        <v/>
      </c>
      <c r="M107" s="3" t="str">
        <v/>
      </c>
      <c r="N107" s="3" t="str">
        <v/>
      </c>
      <c r="O107" s="3" t="str">
        <v/>
      </c>
      <c r="P107" s="3" t="str">
        <v/>
      </c>
      <c r="Q107" s="3" t="str">
        <v/>
      </c>
      <c r="R107" s="3" t="str">
        <v/>
      </c>
      <c r="S107" s="3" t="str">
        <v/>
      </c>
      <c r="T107" s="3" t="str">
        <v/>
      </c>
      <c r="U107" s="3" t="str">
        <v/>
      </c>
      <c r="V107" s="3" t="str">
        <v/>
      </c>
      <c r="W107" s="3" t="str">
        <v/>
      </c>
      <c r="X107" s="3" t="str">
        <v/>
      </c>
      <c r="Y107" s="3" t="str">
        <v/>
      </c>
      <c r="Z107" s="3" t="str">
        <v/>
      </c>
      <c r="AA107" s="3" t="str">
        <v/>
      </c>
      <c r="AB107" s="3" t="str">
        <v/>
      </c>
      <c r="AC107" s="3" t="str">
        <v/>
      </c>
      <c r="AD107" s="3" t="str">
        <v/>
      </c>
      <c r="AE107" s="3" t="str">
        <v/>
      </c>
      <c r="AF107" s="3" t="str">
        <v/>
      </c>
      <c r="AG107" s="3" t="str">
        <v/>
      </c>
      <c r="AH107" s="3" t="str">
        <v/>
      </c>
      <c r="AI107" s="3" t="str">
        <v/>
      </c>
      <c r="AJ107" s="3" t="str">
        <v/>
      </c>
      <c r="AK107" s="3" t="str">
        <v/>
      </c>
      <c r="AL107" s="3" t="str">
        <v/>
      </c>
      <c r="AM107" s="3" t="str">
        <v/>
      </c>
      <c r="AN107" s="3" t="str">
        <v/>
      </c>
      <c r="AO107" s="3" t="str">
        <v/>
      </c>
      <c r="AP107" s="3" t="str">
        <v/>
      </c>
      <c r="AQ107" s="3" t="str">
        <v/>
      </c>
      <c r="AR107" s="3" t="str">
        <v/>
      </c>
      <c r="AS107" s="3" t="str">
        <v/>
      </c>
      <c r="AT107" s="3" t="str">
        <v/>
      </c>
      <c r="AU107" s="3" t="str">
        <v/>
      </c>
      <c r="AV107" s="3" t="str">
        <v/>
      </c>
      <c r="AW107" s="3" t="str">
        <v/>
      </c>
      <c r="AX107" s="3" t="str">
        <v/>
      </c>
      <c r="AY107" s="3" t="str">
        <v/>
      </c>
      <c r="AZ107" s="3" t="str">
        <v/>
      </c>
      <c r="BA107" s="3" t="str">
        <v/>
      </c>
      <c r="BB107" s="3" t="str">
        <v/>
      </c>
      <c r="BC107" s="3" t="str">
        <v/>
      </c>
      <c r="BD107" s="3" t="str">
        <v/>
      </c>
      <c r="BE107" s="3" t="str">
        <v/>
      </c>
      <c r="BF107" s="3" t="str">
        <v/>
      </c>
      <c r="BG107" s="3" t="str">
        <v/>
      </c>
      <c r="BH107" s="3" t="str">
        <v/>
      </c>
      <c r="BI107" s="3" t="str">
        <v/>
      </c>
      <c r="BJ107" s="3" t="str">
        <v/>
      </c>
      <c r="BK107" s="3" t="str">
        <v/>
      </c>
      <c r="BL107" s="3" t="str">
        <v/>
      </c>
      <c r="BM107" s="3" t="str">
        <v/>
      </c>
      <c r="BN107" s="3" t="str">
        <v/>
      </c>
      <c r="BO107" s="3" t="str">
        <v/>
      </c>
      <c r="BP107" s="1" t="str">
        <v/>
      </c>
      <c r="BQ107" s="1" t="str">
        <v/>
      </c>
      <c r="BR107" s="1" t="str">
        <v/>
      </c>
      <c r="BS107" s="1" t="str">
        <v/>
      </c>
      <c r="BT107" s="1" t="str">
        <v/>
      </c>
      <c r="BU107" s="1" t="str">
        <v/>
      </c>
      <c r="BV107" s="1" t="str">
        <v/>
      </c>
      <c r="BW107" s="1" t="str">
        <v/>
      </c>
      <c r="BX107" s="1" t="str">
        <v/>
      </c>
      <c r="BY107" s="1" t="str">
        <v/>
      </c>
      <c r="BZ107" s="1" t="str">
        <v/>
      </c>
      <c r="CA107" s="1" t="str">
        <v/>
      </c>
      <c r="CB107" s="1" t="str">
        <v/>
      </c>
      <c r="CC107" s="1" t="str">
        <v/>
      </c>
      <c r="CD107" s="1" t="str">
        <v/>
      </c>
      <c r="CE107" s="1" t="str">
        <v/>
      </c>
      <c r="CF107" s="1" t="str">
        <v/>
      </c>
      <c r="CG107" s="1" t="str">
        <v/>
      </c>
      <c r="CH107" s="1" t="str">
        <v/>
      </c>
      <c r="CI107" s="1" t="str">
        <v/>
      </c>
      <c r="CJ107" s="1" t="str">
        <v/>
      </c>
      <c r="CK107" s="1" t="str">
        <v/>
      </c>
      <c r="CL107" s="1" t="str">
        <v/>
      </c>
      <c r="CM107" s="1" t="str">
        <v/>
      </c>
      <c r="CN107" s="1" t="str">
        <v/>
      </c>
      <c r="CO107" s="1" t="str">
        <v/>
      </c>
      <c r="CP107" s="1" t="str">
        <v/>
      </c>
      <c r="CQ107" s="1" t="str">
        <v/>
      </c>
      <c r="CR107" s="1" t="str">
        <v/>
      </c>
      <c r="CS107" s="1" t="str">
        <v/>
      </c>
      <c r="CT107" s="1" t="str">
        <v/>
      </c>
      <c r="CU107" s="1" t="str">
        <v/>
      </c>
      <c r="CV107" s="1" t="str">
        <v/>
      </c>
      <c r="CW107" s="1" t="str">
        <v/>
      </c>
      <c r="CX107" s="1" t="str">
        <v/>
      </c>
      <c r="CY107" s="1" t="str">
        <v/>
      </c>
      <c r="CZ107" s="1" t="str">
        <v/>
      </c>
      <c r="DA107" s="1">
        <v>1</v>
      </c>
      <c r="DB107" s="1">
        <v>0.41628517061682929</v>
      </c>
      <c r="DC107" s="1">
        <v>0.3526289725174217</v>
      </c>
      <c r="DD107" s="1">
        <v>4.496471470760318E-2</v>
      </c>
      <c r="DE107" s="1">
        <v>0.46806612087545202</v>
      </c>
      <c r="DF107" s="1">
        <v>0.468962568264428</v>
      </c>
      <c r="DG107" s="1">
        <v>0.32880631346699801</v>
      </c>
      <c r="DH107" s="1">
        <v>0.3803218983337962</v>
      </c>
      <c r="DI107" s="1">
        <v>0.35959333418446343</v>
      </c>
      <c r="DJ107" s="1">
        <v>0.31822966632797511</v>
      </c>
      <c r="DK107" s="1">
        <v>0.34826155587479307</v>
      </c>
      <c r="DL107" s="1">
        <v>0.32205239457222906</v>
      </c>
      <c r="DM107" s="1">
        <v>0.40914195845710233</v>
      </c>
      <c r="DN107" s="1">
        <v>0.3351827505866305</v>
      </c>
      <c r="DO107" s="1">
        <v>0.21525737427375727</v>
      </c>
      <c r="DP107" s="1">
        <v>0.35880608280317655</v>
      </c>
      <c r="DQ107" s="1">
        <v>0.25826032672239602</v>
      </c>
      <c r="DR107" s="1">
        <v>0.37176679703198073</v>
      </c>
      <c r="DS107" s="1">
        <v>0.48766079822427222</v>
      </c>
      <c r="DT107" s="1">
        <v>0.29681783000382805</v>
      </c>
      <c r="DU107" s="1">
        <v>0.34095407984588227</v>
      </c>
      <c r="DV107" s="1">
        <v>0.24846157225038956</v>
      </c>
      <c r="DW107" s="1">
        <v>7.2031200244908958E-2</v>
      </c>
      <c r="DX107" s="1">
        <v>3.3392934269577686E-2</v>
      </c>
      <c r="DY107" s="1">
        <v>0.33612699210511682</v>
      </c>
    </row>
    <row r="108" spans="1:129" ht="15">
      <c r="A108" s="7" t="s">
        <v>119</v>
      </c>
      <c r="B108" s="3" t="str">
        <v/>
      </c>
      <c r="C108" s="3" t="str">
        <v/>
      </c>
      <c r="D108" s="3" t="str">
        <v/>
      </c>
      <c r="E108" s="3" t="str">
        <v/>
      </c>
      <c r="F108" s="3" t="str">
        <v/>
      </c>
      <c r="G108" s="3" t="str">
        <v/>
      </c>
      <c r="H108" s="3" t="str">
        <v/>
      </c>
      <c r="I108" s="3" t="str">
        <v/>
      </c>
      <c r="J108" s="3" t="str">
        <v/>
      </c>
      <c r="K108" s="3" t="str">
        <v/>
      </c>
      <c r="L108" s="3" t="str">
        <v/>
      </c>
      <c r="M108" s="3" t="str">
        <v/>
      </c>
      <c r="N108" s="3" t="str">
        <v/>
      </c>
      <c r="O108" s="3" t="str">
        <v/>
      </c>
      <c r="P108" s="3" t="str">
        <v/>
      </c>
      <c r="Q108" s="3" t="str">
        <v/>
      </c>
      <c r="R108" s="3" t="str">
        <v/>
      </c>
      <c r="S108" s="3" t="str">
        <v/>
      </c>
      <c r="T108" s="3" t="str">
        <v/>
      </c>
      <c r="U108" s="3" t="str">
        <v/>
      </c>
      <c r="V108" s="3" t="str">
        <v/>
      </c>
      <c r="W108" s="3" t="str">
        <v/>
      </c>
      <c r="X108" s="3" t="str">
        <v/>
      </c>
      <c r="Y108" s="3" t="str">
        <v/>
      </c>
      <c r="Z108" s="3" t="str">
        <v/>
      </c>
      <c r="AA108" s="3" t="str">
        <v/>
      </c>
      <c r="AB108" s="3" t="str">
        <v/>
      </c>
      <c r="AC108" s="3" t="str">
        <v/>
      </c>
      <c r="AD108" s="3" t="str">
        <v/>
      </c>
      <c r="AE108" s="3" t="str">
        <v/>
      </c>
      <c r="AF108" s="3" t="str">
        <v/>
      </c>
      <c r="AG108" s="3" t="str">
        <v/>
      </c>
      <c r="AH108" s="3" t="str">
        <v/>
      </c>
      <c r="AI108" s="3" t="str">
        <v/>
      </c>
      <c r="AJ108" s="3" t="str">
        <v/>
      </c>
      <c r="AK108" s="3" t="str">
        <v/>
      </c>
      <c r="AL108" s="3" t="str">
        <v/>
      </c>
      <c r="AM108" s="3" t="str">
        <v/>
      </c>
      <c r="AN108" s="3" t="str">
        <v/>
      </c>
      <c r="AO108" s="3" t="str">
        <v/>
      </c>
      <c r="AP108" s="3" t="str">
        <v/>
      </c>
      <c r="AQ108" s="3" t="str">
        <v/>
      </c>
      <c r="AR108" s="3" t="str">
        <v/>
      </c>
      <c r="AS108" s="3" t="str">
        <v/>
      </c>
      <c r="AT108" s="3" t="str">
        <v/>
      </c>
      <c r="AU108" s="3" t="str">
        <v/>
      </c>
      <c r="AV108" s="3" t="str">
        <v/>
      </c>
      <c r="AW108" s="3" t="str">
        <v/>
      </c>
      <c r="AX108" s="3" t="str">
        <v/>
      </c>
      <c r="AY108" s="3" t="str">
        <v/>
      </c>
      <c r="AZ108" s="3" t="str">
        <v/>
      </c>
      <c r="BA108" s="3" t="str">
        <v/>
      </c>
      <c r="BB108" s="3" t="str">
        <v/>
      </c>
      <c r="BC108" s="3" t="str">
        <v/>
      </c>
      <c r="BD108" s="3" t="str">
        <v/>
      </c>
      <c r="BE108" s="3" t="str">
        <v/>
      </c>
      <c r="BF108" s="3" t="str">
        <v/>
      </c>
      <c r="BG108" s="3" t="str">
        <v/>
      </c>
      <c r="BH108" s="3" t="str">
        <v/>
      </c>
      <c r="BI108" s="3" t="str">
        <v/>
      </c>
      <c r="BJ108" s="3" t="str">
        <v/>
      </c>
      <c r="BK108" s="3" t="str">
        <v/>
      </c>
      <c r="BL108" s="3" t="str">
        <v/>
      </c>
      <c r="BM108" s="3" t="str">
        <v/>
      </c>
      <c r="BN108" s="3" t="str">
        <v/>
      </c>
      <c r="BO108" s="3" t="str">
        <v/>
      </c>
      <c r="BP108" s="1" t="str">
        <v/>
      </c>
      <c r="BQ108" s="1" t="str">
        <v/>
      </c>
      <c r="BR108" s="1" t="str">
        <v/>
      </c>
      <c r="BS108" s="1" t="str">
        <v/>
      </c>
      <c r="BT108" s="1" t="str">
        <v/>
      </c>
      <c r="BU108" s="1" t="str">
        <v/>
      </c>
      <c r="BV108" s="1" t="str">
        <v/>
      </c>
      <c r="BW108" s="1" t="str">
        <v/>
      </c>
      <c r="BX108" s="1" t="str">
        <v/>
      </c>
      <c r="BY108" s="1" t="str">
        <v/>
      </c>
      <c r="BZ108" s="1" t="str">
        <v/>
      </c>
      <c r="CA108" s="1" t="str">
        <v/>
      </c>
      <c r="CB108" s="1" t="str">
        <v/>
      </c>
      <c r="CC108" s="1" t="str">
        <v/>
      </c>
      <c r="CD108" s="1" t="str">
        <v/>
      </c>
      <c r="CE108" s="1" t="str">
        <v/>
      </c>
      <c r="CF108" s="1" t="str">
        <v/>
      </c>
      <c r="CG108" s="1" t="str">
        <v/>
      </c>
      <c r="CH108" s="1" t="str">
        <v/>
      </c>
      <c r="CI108" s="1" t="str">
        <v/>
      </c>
      <c r="CJ108" s="1" t="str">
        <v/>
      </c>
      <c r="CK108" s="1" t="str">
        <v/>
      </c>
      <c r="CL108" s="1" t="str">
        <v/>
      </c>
      <c r="CM108" s="1" t="str">
        <v/>
      </c>
      <c r="CN108" s="1" t="str">
        <v/>
      </c>
      <c r="CO108" s="1" t="str">
        <v/>
      </c>
      <c r="CP108" s="1" t="str">
        <v/>
      </c>
      <c r="CQ108" s="1" t="str">
        <v/>
      </c>
      <c r="CR108" s="1" t="str">
        <v/>
      </c>
      <c r="CS108" s="1" t="str">
        <v/>
      </c>
      <c r="CT108" s="1" t="str">
        <v/>
      </c>
      <c r="CU108" s="1" t="str">
        <v/>
      </c>
      <c r="CV108" s="1" t="str">
        <v/>
      </c>
      <c r="CW108" s="1" t="str">
        <v/>
      </c>
      <c r="CX108" s="1" t="str">
        <v/>
      </c>
      <c r="CY108" s="1" t="str">
        <v/>
      </c>
      <c r="CZ108" s="1" t="str">
        <v/>
      </c>
      <c r="DA108" s="1" t="str">
        <v/>
      </c>
      <c r="DB108" s="1">
        <v>0.99999999999999989</v>
      </c>
      <c r="DC108" s="1">
        <v>0.38944023419522383</v>
      </c>
      <c r="DD108" s="1">
        <v>9.75870744499302E-2</v>
      </c>
      <c r="DE108" s="1">
        <v>0.35496758794313699</v>
      </c>
      <c r="DF108" s="1">
        <v>0.45926007685785719</v>
      </c>
      <c r="DG108" s="1">
        <v>0.26803927302524261</v>
      </c>
      <c r="DH108" s="1">
        <v>0.51820358493412322</v>
      </c>
      <c r="DI108" s="1">
        <v>0.48432557249814573</v>
      </c>
      <c r="DJ108" s="1">
        <v>0.47246883333284417</v>
      </c>
      <c r="DK108" s="1">
        <v>0.53109186124671282</v>
      </c>
      <c r="DL108" s="1">
        <v>0.54836644488512265</v>
      </c>
      <c r="DM108" s="1">
        <v>0.57981413039874241</v>
      </c>
      <c r="DN108" s="1">
        <v>0.51658832277304345</v>
      </c>
      <c r="DO108" s="1">
        <v>0.39976919386793736</v>
      </c>
      <c r="DP108" s="1">
        <v>0.54689496916409475</v>
      </c>
      <c r="DQ108" s="1">
        <v>0.4193250927174943</v>
      </c>
      <c r="DR108" s="1">
        <v>0.58941649054787248</v>
      </c>
      <c r="DS108" s="1">
        <v>0.43049631035259123</v>
      </c>
      <c r="DT108" s="1">
        <v>0.42292098113614163</v>
      </c>
      <c r="DU108" s="1">
        <v>0.53442393350253081</v>
      </c>
      <c r="DV108" s="1">
        <v>0.45749199897797499</v>
      </c>
      <c r="DW108" s="1">
        <v>9.858235067134162E-2</v>
      </c>
      <c r="DX108" s="1">
        <v>0.11829317618061141</v>
      </c>
      <c r="DY108" s="1">
        <v>0.52143067740744631</v>
      </c>
    </row>
    <row r="109" spans="1:129" ht="15">
      <c r="A109" s="7" t="s">
        <v>120</v>
      </c>
      <c r="B109" s="3" t="str">
        <v/>
      </c>
      <c r="C109" s="3" t="str">
        <v/>
      </c>
      <c r="D109" s="3" t="str">
        <v/>
      </c>
      <c r="E109" s="3" t="str">
        <v/>
      </c>
      <c r="F109" s="3" t="str">
        <v/>
      </c>
      <c r="G109" s="3" t="str">
        <v/>
      </c>
      <c r="H109" s="3" t="str">
        <v/>
      </c>
      <c r="I109" s="3" t="str">
        <v/>
      </c>
      <c r="J109" s="3" t="str">
        <v/>
      </c>
      <c r="K109" s="3" t="str">
        <v/>
      </c>
      <c r="L109" s="3" t="str">
        <v/>
      </c>
      <c r="M109" s="3" t="str">
        <v/>
      </c>
      <c r="N109" s="3" t="str">
        <v/>
      </c>
      <c r="O109" s="3" t="str">
        <v/>
      </c>
      <c r="P109" s="3" t="str">
        <v/>
      </c>
      <c r="Q109" s="3" t="str">
        <v/>
      </c>
      <c r="R109" s="3" t="str">
        <v/>
      </c>
      <c r="S109" s="3" t="str">
        <v/>
      </c>
      <c r="T109" s="3" t="str">
        <v/>
      </c>
      <c r="U109" s="3" t="str">
        <v/>
      </c>
      <c r="V109" s="3" t="str">
        <v/>
      </c>
      <c r="W109" s="3" t="str">
        <v/>
      </c>
      <c r="X109" s="3" t="str">
        <v/>
      </c>
      <c r="Y109" s="3" t="str">
        <v/>
      </c>
      <c r="Z109" s="3" t="str">
        <v/>
      </c>
      <c r="AA109" s="3" t="str">
        <v/>
      </c>
      <c r="AB109" s="3" t="str">
        <v/>
      </c>
      <c r="AC109" s="3" t="str">
        <v/>
      </c>
      <c r="AD109" s="3" t="str">
        <v/>
      </c>
      <c r="AE109" s="3" t="str">
        <v/>
      </c>
      <c r="AF109" s="3" t="str">
        <v/>
      </c>
      <c r="AG109" s="3" t="str">
        <v/>
      </c>
      <c r="AH109" s="3" t="str">
        <v/>
      </c>
      <c r="AI109" s="3" t="str">
        <v/>
      </c>
      <c r="AJ109" s="3" t="str">
        <v/>
      </c>
      <c r="AK109" s="3" t="str">
        <v/>
      </c>
      <c r="AL109" s="3" t="str">
        <v/>
      </c>
      <c r="AM109" s="3" t="str">
        <v/>
      </c>
      <c r="AN109" s="3" t="str">
        <v/>
      </c>
      <c r="AO109" s="3" t="str">
        <v/>
      </c>
      <c r="AP109" s="3" t="str">
        <v/>
      </c>
      <c r="AQ109" s="3" t="str">
        <v/>
      </c>
      <c r="AR109" s="3" t="str">
        <v/>
      </c>
      <c r="AS109" s="3" t="str">
        <v/>
      </c>
      <c r="AT109" s="3" t="str">
        <v/>
      </c>
      <c r="AU109" s="3" t="str">
        <v/>
      </c>
      <c r="AV109" s="3" t="str">
        <v/>
      </c>
      <c r="AW109" s="3" t="str">
        <v/>
      </c>
      <c r="AX109" s="3" t="str">
        <v/>
      </c>
      <c r="AY109" s="3" t="str">
        <v/>
      </c>
      <c r="AZ109" s="3" t="str">
        <v/>
      </c>
      <c r="BA109" s="3" t="str">
        <v/>
      </c>
      <c r="BB109" s="3" t="str">
        <v/>
      </c>
      <c r="BC109" s="3" t="str">
        <v/>
      </c>
      <c r="BD109" s="3" t="str">
        <v/>
      </c>
      <c r="BE109" s="3" t="str">
        <v/>
      </c>
      <c r="BF109" s="3" t="str">
        <v/>
      </c>
      <c r="BG109" s="3" t="str">
        <v/>
      </c>
      <c r="BH109" s="3" t="str">
        <v/>
      </c>
      <c r="BI109" s="3" t="str">
        <v/>
      </c>
      <c r="BJ109" s="3" t="str">
        <v/>
      </c>
      <c r="BK109" s="3" t="str">
        <v/>
      </c>
      <c r="BL109" s="3" t="str">
        <v/>
      </c>
      <c r="BM109" s="3" t="str">
        <v/>
      </c>
      <c r="BN109" s="3" t="str">
        <v/>
      </c>
      <c r="BO109" s="3" t="str">
        <v/>
      </c>
      <c r="BP109" s="1" t="str">
        <v/>
      </c>
      <c r="BQ109" s="1" t="str">
        <v/>
      </c>
      <c r="BR109" s="1" t="str">
        <v/>
      </c>
      <c r="BS109" s="1" t="str">
        <v/>
      </c>
      <c r="BT109" s="1" t="str">
        <v/>
      </c>
      <c r="BU109" s="1" t="str">
        <v/>
      </c>
      <c r="BV109" s="1" t="str">
        <v/>
      </c>
      <c r="BW109" s="1" t="str">
        <v/>
      </c>
      <c r="BX109" s="1" t="str">
        <v/>
      </c>
      <c r="BY109" s="1" t="str">
        <v/>
      </c>
      <c r="BZ109" s="1" t="str">
        <v/>
      </c>
      <c r="CA109" s="1" t="str">
        <v/>
      </c>
      <c r="CB109" s="1" t="str">
        <v/>
      </c>
      <c r="CC109" s="1" t="str">
        <v/>
      </c>
      <c r="CD109" s="1" t="str">
        <v/>
      </c>
      <c r="CE109" s="1" t="str">
        <v/>
      </c>
      <c r="CF109" s="1" t="str">
        <v/>
      </c>
      <c r="CG109" s="1" t="str">
        <v/>
      </c>
      <c r="CH109" s="1" t="str">
        <v/>
      </c>
      <c r="CI109" s="1" t="str">
        <v/>
      </c>
      <c r="CJ109" s="1" t="str">
        <v/>
      </c>
      <c r="CK109" s="1" t="str">
        <v/>
      </c>
      <c r="CL109" s="1" t="str">
        <v/>
      </c>
      <c r="CM109" s="1" t="str">
        <v/>
      </c>
      <c r="CN109" s="1" t="str">
        <v/>
      </c>
      <c r="CO109" s="1" t="str">
        <v/>
      </c>
      <c r="CP109" s="1" t="str">
        <v/>
      </c>
      <c r="CQ109" s="1" t="str">
        <v/>
      </c>
      <c r="CR109" s="1" t="str">
        <v/>
      </c>
      <c r="CS109" s="1" t="str">
        <v/>
      </c>
      <c r="CT109" s="1" t="str">
        <v/>
      </c>
      <c r="CU109" s="1" t="str">
        <v/>
      </c>
      <c r="CV109" s="1" t="str">
        <v/>
      </c>
      <c r="CW109" s="1" t="str">
        <v/>
      </c>
      <c r="CX109" s="1" t="str">
        <v/>
      </c>
      <c r="CY109" s="1" t="str">
        <v/>
      </c>
      <c r="CZ109" s="1" t="str">
        <v/>
      </c>
      <c r="DA109" s="1" t="str">
        <v/>
      </c>
      <c r="DB109" s="1" t="str">
        <v/>
      </c>
      <c r="DC109" s="1">
        <v>1.0000000000000002</v>
      </c>
      <c r="DD109" s="1">
        <v>0.12765468828057219</v>
      </c>
      <c r="DE109" s="1">
        <v>0.57787847454418306</v>
      </c>
      <c r="DF109" s="1">
        <v>0.44710299597467673</v>
      </c>
      <c r="DG109" s="1">
        <v>0.22784954809274613</v>
      </c>
      <c r="DH109" s="1">
        <v>0.47318121131359087</v>
      </c>
      <c r="DI109" s="1">
        <v>0.42954549679514364</v>
      </c>
      <c r="DJ109" s="1">
        <v>0.49252518944656409</v>
      </c>
      <c r="DK109" s="1">
        <v>0.45222873004772929</v>
      </c>
      <c r="DL109" s="1">
        <v>0.4146966358962163</v>
      </c>
      <c r="DM109" s="1">
        <v>0.50142940920870305</v>
      </c>
      <c r="DN109" s="1">
        <v>0.44958775415518887</v>
      </c>
      <c r="DO109" s="1">
        <v>0.41526292397923664</v>
      </c>
      <c r="DP109" s="1">
        <v>0.50944498053382403</v>
      </c>
      <c r="DQ109" s="1">
        <v>0.40891775287634707</v>
      </c>
      <c r="DR109" s="1">
        <v>0.49302406392866055</v>
      </c>
      <c r="DS109" s="1">
        <v>0.29134576135186069</v>
      </c>
      <c r="DT109" s="1">
        <v>0.38801521651442777</v>
      </c>
      <c r="DU109" s="1">
        <v>0.47857842740841</v>
      </c>
      <c r="DV109" s="1">
        <v>0.3501631452849383</v>
      </c>
      <c r="DW109" s="1">
        <v>8.3012112572278224E-2</v>
      </c>
      <c r="DX109" s="1">
        <v>0.21824046308799816</v>
      </c>
      <c r="DY109" s="1">
        <v>0.50333977513401529</v>
      </c>
    </row>
    <row r="110" spans="1:129" ht="15">
      <c r="A110" s="7" t="s">
        <v>121</v>
      </c>
      <c r="B110" s="3" t="str">
        <v/>
      </c>
      <c r="C110" s="3" t="str">
        <v/>
      </c>
      <c r="D110" s="3" t="str">
        <v/>
      </c>
      <c r="E110" s="3" t="str">
        <v/>
      </c>
      <c r="F110" s="3" t="str">
        <v/>
      </c>
      <c r="G110" s="3" t="str">
        <v/>
      </c>
      <c r="H110" s="3" t="str">
        <v/>
      </c>
      <c r="I110" s="3" t="str">
        <v/>
      </c>
      <c r="J110" s="3" t="str">
        <v/>
      </c>
      <c r="K110" s="3" t="str">
        <v/>
      </c>
      <c r="L110" s="3" t="str">
        <v/>
      </c>
      <c r="M110" s="3" t="str">
        <v/>
      </c>
      <c r="N110" s="3" t="str">
        <v/>
      </c>
      <c r="O110" s="3" t="str">
        <v/>
      </c>
      <c r="P110" s="3" t="str">
        <v/>
      </c>
      <c r="Q110" s="3" t="str">
        <v/>
      </c>
      <c r="R110" s="3" t="str">
        <v/>
      </c>
      <c r="S110" s="3" t="str">
        <v/>
      </c>
      <c r="T110" s="3" t="str">
        <v/>
      </c>
      <c r="U110" s="3" t="str">
        <v/>
      </c>
      <c r="V110" s="3" t="str">
        <v/>
      </c>
      <c r="W110" s="3" t="str">
        <v/>
      </c>
      <c r="X110" s="3" t="str">
        <v/>
      </c>
      <c r="Y110" s="3" t="str">
        <v/>
      </c>
      <c r="Z110" s="3" t="str">
        <v/>
      </c>
      <c r="AA110" s="3" t="str">
        <v/>
      </c>
      <c r="AB110" s="3" t="str">
        <v/>
      </c>
      <c r="AC110" s="3" t="str">
        <v/>
      </c>
      <c r="AD110" s="3" t="str">
        <v/>
      </c>
      <c r="AE110" s="3" t="str">
        <v/>
      </c>
      <c r="AF110" s="3" t="str">
        <v/>
      </c>
      <c r="AG110" s="3" t="str">
        <v/>
      </c>
      <c r="AH110" s="3" t="str">
        <v/>
      </c>
      <c r="AI110" s="3" t="str">
        <v/>
      </c>
      <c r="AJ110" s="3" t="str">
        <v/>
      </c>
      <c r="AK110" s="3" t="str">
        <v/>
      </c>
      <c r="AL110" s="3" t="str">
        <v/>
      </c>
      <c r="AM110" s="3" t="str">
        <v/>
      </c>
      <c r="AN110" s="3" t="str">
        <v/>
      </c>
      <c r="AO110" s="3" t="str">
        <v/>
      </c>
      <c r="AP110" s="3" t="str">
        <v/>
      </c>
      <c r="AQ110" s="3" t="str">
        <v/>
      </c>
      <c r="AR110" s="3" t="str">
        <v/>
      </c>
      <c r="AS110" s="3" t="str">
        <v/>
      </c>
      <c r="AT110" s="3" t="str">
        <v/>
      </c>
      <c r="AU110" s="3" t="str">
        <v/>
      </c>
      <c r="AV110" s="3" t="str">
        <v/>
      </c>
      <c r="AW110" s="3" t="str">
        <v/>
      </c>
      <c r="AX110" s="3" t="str">
        <v/>
      </c>
      <c r="AY110" s="3" t="str">
        <v/>
      </c>
      <c r="AZ110" s="3" t="str">
        <v/>
      </c>
      <c r="BA110" s="3" t="str">
        <v/>
      </c>
      <c r="BB110" s="3" t="str">
        <v/>
      </c>
      <c r="BC110" s="3" t="str">
        <v/>
      </c>
      <c r="BD110" s="3" t="str">
        <v/>
      </c>
      <c r="BE110" s="3" t="str">
        <v/>
      </c>
      <c r="BF110" s="3" t="str">
        <v/>
      </c>
      <c r="BG110" s="3" t="str">
        <v/>
      </c>
      <c r="BH110" s="3" t="str">
        <v/>
      </c>
      <c r="BI110" s="3" t="str">
        <v/>
      </c>
      <c r="BJ110" s="3" t="str">
        <v/>
      </c>
      <c r="BK110" s="3" t="str">
        <v/>
      </c>
      <c r="BL110" s="3" t="str">
        <v/>
      </c>
      <c r="BM110" s="3" t="str">
        <v/>
      </c>
      <c r="BN110" s="3" t="str">
        <v/>
      </c>
      <c r="BO110" s="3" t="str">
        <v/>
      </c>
      <c r="BP110" s="1" t="str">
        <v/>
      </c>
      <c r="BQ110" s="1" t="str">
        <v/>
      </c>
      <c r="BR110" s="1" t="str">
        <v/>
      </c>
      <c r="BS110" s="1" t="str">
        <v/>
      </c>
      <c r="BT110" s="1" t="str">
        <v/>
      </c>
      <c r="BU110" s="1" t="str">
        <v/>
      </c>
      <c r="BV110" s="1" t="str">
        <v/>
      </c>
      <c r="BW110" s="1" t="str">
        <v/>
      </c>
      <c r="BX110" s="1" t="str">
        <v/>
      </c>
      <c r="BY110" s="1" t="str">
        <v/>
      </c>
      <c r="BZ110" s="1" t="str">
        <v/>
      </c>
      <c r="CA110" s="1" t="str">
        <v/>
      </c>
      <c r="CB110" s="1" t="str">
        <v/>
      </c>
      <c r="CC110" s="1" t="str">
        <v/>
      </c>
      <c r="CD110" s="1" t="str">
        <v/>
      </c>
      <c r="CE110" s="1" t="str">
        <v/>
      </c>
      <c r="CF110" s="1" t="str">
        <v/>
      </c>
      <c r="CG110" s="1" t="str">
        <v/>
      </c>
      <c r="CH110" s="1" t="str">
        <v/>
      </c>
      <c r="CI110" s="1" t="str">
        <v/>
      </c>
      <c r="CJ110" s="1" t="str">
        <v/>
      </c>
      <c r="CK110" s="1" t="str">
        <v/>
      </c>
      <c r="CL110" s="1" t="str">
        <v/>
      </c>
      <c r="CM110" s="1" t="str">
        <v/>
      </c>
      <c r="CN110" s="1" t="str">
        <v/>
      </c>
      <c r="CO110" s="1" t="str">
        <v/>
      </c>
      <c r="CP110" s="1" t="str">
        <v/>
      </c>
      <c r="CQ110" s="1" t="str">
        <v/>
      </c>
      <c r="CR110" s="1" t="str">
        <v/>
      </c>
      <c r="CS110" s="1" t="str">
        <v/>
      </c>
      <c r="CT110" s="1" t="str">
        <v/>
      </c>
      <c r="CU110" s="1" t="str">
        <v/>
      </c>
      <c r="CV110" s="1" t="str">
        <v/>
      </c>
      <c r="CW110" s="1" t="str">
        <v/>
      </c>
      <c r="CX110" s="1" t="str">
        <v/>
      </c>
      <c r="CY110" s="1" t="str">
        <v/>
      </c>
      <c r="CZ110" s="1" t="str">
        <v/>
      </c>
      <c r="DA110" s="1" t="str">
        <v/>
      </c>
      <c r="DB110" s="1" t="str">
        <v/>
      </c>
      <c r="DC110" s="1" t="str">
        <v/>
      </c>
      <c r="DD110" s="1">
        <v>0.99999999999999978</v>
      </c>
      <c r="DE110" s="1">
        <v>-2.3491749519268808E-2</v>
      </c>
      <c r="DF110" s="1">
        <v>9.9105431840317365E-2</v>
      </c>
      <c r="DG110" s="1">
        <v>5.2591909784241365E-2</v>
      </c>
      <c r="DH110" s="1">
        <v>0.21401624061274779</v>
      </c>
      <c r="DI110" s="1">
        <v>0.27537841585225298</v>
      </c>
      <c r="DJ110" s="1">
        <v>0.2260778102799299</v>
      </c>
      <c r="DK110" s="1">
        <v>0.28065649631377759</v>
      </c>
      <c r="DL110" s="1">
        <v>0.30124274089494468</v>
      </c>
      <c r="DM110" s="1">
        <v>0.25084128446602783</v>
      </c>
      <c r="DN110" s="1">
        <v>0.31299560440201474</v>
      </c>
      <c r="DO110" s="1">
        <v>0.38239785347575556</v>
      </c>
      <c r="DP110" s="1">
        <v>0.37005069048352035</v>
      </c>
      <c r="DQ110" s="1">
        <v>0.32584258740161742</v>
      </c>
      <c r="DR110" s="1">
        <v>0.23969178264810001</v>
      </c>
      <c r="DS110" s="1">
        <v>0.13460888194047602</v>
      </c>
      <c r="DT110" s="1">
        <v>0.26071642845077664</v>
      </c>
      <c r="DU110" s="1">
        <v>0.27455009522089857</v>
      </c>
      <c r="DV110" s="1">
        <v>0.3240652560599368</v>
      </c>
      <c r="DW110" s="1">
        <v>6.5600455556769369E-2</v>
      </c>
      <c r="DX110" s="1">
        <v>-0.18829406794612844</v>
      </c>
      <c r="DY110" s="1">
        <v>0.28369104122107081</v>
      </c>
    </row>
    <row r="111" spans="1:129" ht="15">
      <c r="A111" s="7" t="s">
        <v>122</v>
      </c>
      <c r="B111" s="3" t="str">
        <v/>
      </c>
      <c r="C111" s="3" t="str">
        <v/>
      </c>
      <c r="D111" s="3" t="str">
        <v/>
      </c>
      <c r="E111" s="3" t="str">
        <v/>
      </c>
      <c r="F111" s="3" t="str">
        <v/>
      </c>
      <c r="G111" s="3" t="str">
        <v/>
      </c>
      <c r="H111" s="3" t="str">
        <v/>
      </c>
      <c r="I111" s="3" t="str">
        <v/>
      </c>
      <c r="J111" s="3" t="str">
        <v/>
      </c>
      <c r="K111" s="3" t="str">
        <v/>
      </c>
      <c r="L111" s="3" t="str">
        <v/>
      </c>
      <c r="M111" s="3" t="str">
        <v/>
      </c>
      <c r="N111" s="3" t="str">
        <v/>
      </c>
      <c r="O111" s="3" t="str">
        <v/>
      </c>
      <c r="P111" s="3" t="str">
        <v/>
      </c>
      <c r="Q111" s="3" t="str">
        <v/>
      </c>
      <c r="R111" s="3" t="str">
        <v/>
      </c>
      <c r="S111" s="3" t="str">
        <v/>
      </c>
      <c r="T111" s="3" t="str">
        <v/>
      </c>
      <c r="U111" s="3" t="str">
        <v/>
      </c>
      <c r="V111" s="3" t="str">
        <v/>
      </c>
      <c r="W111" s="3" t="str">
        <v/>
      </c>
      <c r="X111" s="3" t="str">
        <v/>
      </c>
      <c r="Y111" s="3" t="str">
        <v/>
      </c>
      <c r="Z111" s="3" t="str">
        <v/>
      </c>
      <c r="AA111" s="3" t="str">
        <v/>
      </c>
      <c r="AB111" s="3" t="str">
        <v/>
      </c>
      <c r="AC111" s="3" t="str">
        <v/>
      </c>
      <c r="AD111" s="3" t="str">
        <v/>
      </c>
      <c r="AE111" s="3" t="str">
        <v/>
      </c>
      <c r="AF111" s="3" t="str">
        <v/>
      </c>
      <c r="AG111" s="3" t="str">
        <v/>
      </c>
      <c r="AH111" s="3" t="str">
        <v/>
      </c>
      <c r="AI111" s="3" t="str">
        <v/>
      </c>
      <c r="AJ111" s="3" t="str">
        <v/>
      </c>
      <c r="AK111" s="3" t="str">
        <v/>
      </c>
      <c r="AL111" s="3" t="str">
        <v/>
      </c>
      <c r="AM111" s="3" t="str">
        <v/>
      </c>
      <c r="AN111" s="3" t="str">
        <v/>
      </c>
      <c r="AO111" s="3" t="str">
        <v/>
      </c>
      <c r="AP111" s="3" t="str">
        <v/>
      </c>
      <c r="AQ111" s="3" t="str">
        <v/>
      </c>
      <c r="AR111" s="3" t="str">
        <v/>
      </c>
      <c r="AS111" s="3" t="str">
        <v/>
      </c>
      <c r="AT111" s="3" t="str">
        <v/>
      </c>
      <c r="AU111" s="3" t="str">
        <v/>
      </c>
      <c r="AV111" s="3" t="str">
        <v/>
      </c>
      <c r="AW111" s="3" t="str">
        <v/>
      </c>
      <c r="AX111" s="3" t="str">
        <v/>
      </c>
      <c r="AY111" s="3" t="str">
        <v/>
      </c>
      <c r="AZ111" s="3" t="str">
        <v/>
      </c>
      <c r="BA111" s="3" t="str">
        <v/>
      </c>
      <c r="BB111" s="3" t="str">
        <v/>
      </c>
      <c r="BC111" s="3" t="str">
        <v/>
      </c>
      <c r="BD111" s="3" t="str">
        <v/>
      </c>
      <c r="BE111" s="3" t="str">
        <v/>
      </c>
      <c r="BF111" s="3" t="str">
        <v/>
      </c>
      <c r="BG111" s="3" t="str">
        <v/>
      </c>
      <c r="BH111" s="3" t="str">
        <v/>
      </c>
      <c r="BI111" s="3" t="str">
        <v/>
      </c>
      <c r="BJ111" s="3" t="str">
        <v/>
      </c>
      <c r="BK111" s="3" t="str">
        <v/>
      </c>
      <c r="BL111" s="3" t="str">
        <v/>
      </c>
      <c r="BM111" s="3" t="str">
        <v/>
      </c>
      <c r="BN111" s="3" t="str">
        <v/>
      </c>
      <c r="BO111" s="3" t="str">
        <v/>
      </c>
      <c r="BP111" s="1" t="str">
        <v/>
      </c>
      <c r="BQ111" s="1" t="str">
        <v/>
      </c>
      <c r="BR111" s="1" t="str">
        <v/>
      </c>
      <c r="BS111" s="1" t="str">
        <v/>
      </c>
      <c r="BT111" s="1" t="str">
        <v/>
      </c>
      <c r="BU111" s="1" t="str">
        <v/>
      </c>
      <c r="BV111" s="1" t="str">
        <v/>
      </c>
      <c r="BW111" s="1" t="str">
        <v/>
      </c>
      <c r="BX111" s="1" t="str">
        <v/>
      </c>
      <c r="BY111" s="1" t="str">
        <v/>
      </c>
      <c r="BZ111" s="1" t="str">
        <v/>
      </c>
      <c r="CA111" s="1" t="str">
        <v/>
      </c>
      <c r="CB111" s="1" t="str">
        <v/>
      </c>
      <c r="CC111" s="1" t="str">
        <v/>
      </c>
      <c r="CD111" s="1" t="str">
        <v/>
      </c>
      <c r="CE111" s="1" t="str">
        <v/>
      </c>
      <c r="CF111" s="1" t="str">
        <v/>
      </c>
      <c r="CG111" s="1" t="str">
        <v/>
      </c>
      <c r="CH111" s="1" t="str">
        <v/>
      </c>
      <c r="CI111" s="1" t="str">
        <v/>
      </c>
      <c r="CJ111" s="1" t="str">
        <v/>
      </c>
      <c r="CK111" s="1" t="str">
        <v/>
      </c>
      <c r="CL111" s="1" t="str">
        <v/>
      </c>
      <c r="CM111" s="1" t="str">
        <v/>
      </c>
      <c r="CN111" s="1" t="str">
        <v/>
      </c>
      <c r="CO111" s="1" t="str">
        <v/>
      </c>
      <c r="CP111" s="1" t="str">
        <v/>
      </c>
      <c r="CQ111" s="1" t="str">
        <v/>
      </c>
      <c r="CR111" s="1" t="str">
        <v/>
      </c>
      <c r="CS111" s="1" t="str">
        <v/>
      </c>
      <c r="CT111" s="1" t="str">
        <v/>
      </c>
      <c r="CU111" s="1" t="str">
        <v/>
      </c>
      <c r="CV111" s="1" t="str">
        <v/>
      </c>
      <c r="CW111" s="1" t="str">
        <v/>
      </c>
      <c r="CX111" s="1" t="str">
        <v/>
      </c>
      <c r="CY111" s="1" t="str">
        <v/>
      </c>
      <c r="CZ111" s="1" t="str">
        <v/>
      </c>
      <c r="DA111" s="1" t="str">
        <v/>
      </c>
      <c r="DB111" s="1" t="str">
        <v/>
      </c>
      <c r="DC111" s="1" t="str">
        <v/>
      </c>
      <c r="DD111" s="1" t="str">
        <v/>
      </c>
      <c r="DE111" s="1">
        <v>1</v>
      </c>
      <c r="DF111" s="1">
        <v>0.46478865293162847</v>
      </c>
      <c r="DG111" s="1">
        <v>0.382102176150944</v>
      </c>
      <c r="DH111" s="1">
        <v>0.52473207379159581</v>
      </c>
      <c r="DI111" s="1">
        <v>0.33242577735537887</v>
      </c>
      <c r="DJ111" s="1">
        <v>0.36002203558310908</v>
      </c>
      <c r="DK111" s="1">
        <v>0.25555052077339829</v>
      </c>
      <c r="DL111" s="1">
        <v>0.26743219326047313</v>
      </c>
      <c r="DM111" s="1">
        <v>0.3509414988204631</v>
      </c>
      <c r="DN111" s="1">
        <v>0.35200629622465684</v>
      </c>
      <c r="DO111" s="1">
        <v>0.15516419639996537</v>
      </c>
      <c r="DP111" s="1">
        <v>0.29893823000712205</v>
      </c>
      <c r="DQ111" s="1">
        <v>0.20604931791935144</v>
      </c>
      <c r="DR111" s="1">
        <v>0.39177040863114393</v>
      </c>
      <c r="DS111" s="1">
        <v>0.27139888005811214</v>
      </c>
      <c r="DT111" s="1">
        <v>0.16706311638043139</v>
      </c>
      <c r="DU111" s="1">
        <v>0.36722835289407113</v>
      </c>
      <c r="DV111" s="1">
        <v>0.23386906577270258</v>
      </c>
      <c r="DW111" s="1">
        <v>0.10185839953288485</v>
      </c>
      <c r="DX111" s="1">
        <v>0.33682356645332995</v>
      </c>
      <c r="DY111" s="1">
        <v>0.44969245302072491</v>
      </c>
    </row>
    <row r="112" spans="1:129" ht="15">
      <c r="A112" s="7" t="s">
        <v>123</v>
      </c>
      <c r="B112" s="3" t="str">
        <v/>
      </c>
      <c r="C112" s="3" t="str">
        <v/>
      </c>
      <c r="D112" s="3" t="str">
        <v/>
      </c>
      <c r="E112" s="3" t="str">
        <v/>
      </c>
      <c r="F112" s="3" t="str">
        <v/>
      </c>
      <c r="G112" s="3" t="str">
        <v/>
      </c>
      <c r="H112" s="3" t="str">
        <v/>
      </c>
      <c r="I112" s="3" t="str">
        <v/>
      </c>
      <c r="J112" s="3" t="str">
        <v/>
      </c>
      <c r="K112" s="3" t="str">
        <v/>
      </c>
      <c r="L112" s="3" t="str">
        <v/>
      </c>
      <c r="M112" s="3" t="str">
        <v/>
      </c>
      <c r="N112" s="3" t="str">
        <v/>
      </c>
      <c r="O112" s="3" t="str">
        <v/>
      </c>
      <c r="P112" s="3" t="str">
        <v/>
      </c>
      <c r="Q112" s="3" t="str">
        <v/>
      </c>
      <c r="R112" s="3" t="str">
        <v/>
      </c>
      <c r="S112" s="3" t="str">
        <v/>
      </c>
      <c r="T112" s="3" t="str">
        <v/>
      </c>
      <c r="U112" s="3" t="str">
        <v/>
      </c>
      <c r="V112" s="3" t="str">
        <v/>
      </c>
      <c r="W112" s="3" t="str">
        <v/>
      </c>
      <c r="X112" s="3" t="str">
        <v/>
      </c>
      <c r="Y112" s="3" t="str">
        <v/>
      </c>
      <c r="Z112" s="3" t="str">
        <v/>
      </c>
      <c r="AA112" s="3" t="str">
        <v/>
      </c>
      <c r="AB112" s="3" t="str">
        <v/>
      </c>
      <c r="AC112" s="3" t="str">
        <v/>
      </c>
      <c r="AD112" s="3" t="str">
        <v/>
      </c>
      <c r="AE112" s="3" t="str">
        <v/>
      </c>
      <c r="AF112" s="3" t="str">
        <v/>
      </c>
      <c r="AG112" s="3" t="str">
        <v/>
      </c>
      <c r="AH112" s="3" t="str">
        <v/>
      </c>
      <c r="AI112" s="3" t="str">
        <v/>
      </c>
      <c r="AJ112" s="3" t="str">
        <v/>
      </c>
      <c r="AK112" s="3" t="str">
        <v/>
      </c>
      <c r="AL112" s="3" t="str">
        <v/>
      </c>
      <c r="AM112" s="3" t="str">
        <v/>
      </c>
      <c r="AN112" s="3" t="str">
        <v/>
      </c>
      <c r="AO112" s="3" t="str">
        <v/>
      </c>
      <c r="AP112" s="3" t="str">
        <v/>
      </c>
      <c r="AQ112" s="3" t="str">
        <v/>
      </c>
      <c r="AR112" s="3" t="str">
        <v/>
      </c>
      <c r="AS112" s="3" t="str">
        <v/>
      </c>
      <c r="AT112" s="3" t="str">
        <v/>
      </c>
      <c r="AU112" s="3" t="str">
        <v/>
      </c>
      <c r="AV112" s="3" t="str">
        <v/>
      </c>
      <c r="AW112" s="3" t="str">
        <v/>
      </c>
      <c r="AX112" s="3" t="str">
        <v/>
      </c>
      <c r="AY112" s="3" t="str">
        <v/>
      </c>
      <c r="AZ112" s="3" t="str">
        <v/>
      </c>
      <c r="BA112" s="3" t="str">
        <v/>
      </c>
      <c r="BB112" s="3" t="str">
        <v/>
      </c>
      <c r="BC112" s="3" t="str">
        <v/>
      </c>
      <c r="BD112" s="3" t="str">
        <v/>
      </c>
      <c r="BE112" s="3" t="str">
        <v/>
      </c>
      <c r="BF112" s="3" t="str">
        <v/>
      </c>
      <c r="BG112" s="3" t="str">
        <v/>
      </c>
      <c r="BH112" s="3" t="str">
        <v/>
      </c>
      <c r="BI112" s="3" t="str">
        <v/>
      </c>
      <c r="BJ112" s="3" t="str">
        <v/>
      </c>
      <c r="BK112" s="3" t="str">
        <v/>
      </c>
      <c r="BL112" s="3" t="str">
        <v/>
      </c>
      <c r="BM112" s="3" t="str">
        <v/>
      </c>
      <c r="BN112" s="3" t="str">
        <v/>
      </c>
      <c r="BO112" s="3" t="str">
        <v/>
      </c>
      <c r="BP112" s="1" t="str">
        <v/>
      </c>
      <c r="BQ112" s="1" t="str">
        <v/>
      </c>
      <c r="BR112" s="1" t="str">
        <v/>
      </c>
      <c r="BS112" s="1" t="str">
        <v/>
      </c>
      <c r="BT112" s="1" t="str">
        <v/>
      </c>
      <c r="BU112" s="1" t="str">
        <v/>
      </c>
      <c r="BV112" s="1" t="str">
        <v/>
      </c>
      <c r="BW112" s="1" t="str">
        <v/>
      </c>
      <c r="BX112" s="1" t="str">
        <v/>
      </c>
      <c r="BY112" s="1" t="str">
        <v/>
      </c>
      <c r="BZ112" s="1" t="str">
        <v/>
      </c>
      <c r="CA112" s="1" t="str">
        <v/>
      </c>
      <c r="CB112" s="1" t="str">
        <v/>
      </c>
      <c r="CC112" s="1" t="str">
        <v/>
      </c>
      <c r="CD112" s="1" t="str">
        <v/>
      </c>
      <c r="CE112" s="1" t="str">
        <v/>
      </c>
      <c r="CF112" s="1" t="str">
        <v/>
      </c>
      <c r="CG112" s="1" t="str">
        <v/>
      </c>
      <c r="CH112" s="1" t="str">
        <v/>
      </c>
      <c r="CI112" s="1" t="str">
        <v/>
      </c>
      <c r="CJ112" s="1" t="str">
        <v/>
      </c>
      <c r="CK112" s="1" t="str">
        <v/>
      </c>
      <c r="CL112" s="1" t="str">
        <v/>
      </c>
      <c r="CM112" s="1" t="str">
        <v/>
      </c>
      <c r="CN112" s="1" t="str">
        <v/>
      </c>
      <c r="CO112" s="1" t="str">
        <v/>
      </c>
      <c r="CP112" s="1" t="str">
        <v/>
      </c>
      <c r="CQ112" s="1" t="str">
        <v/>
      </c>
      <c r="CR112" s="1" t="str">
        <v/>
      </c>
      <c r="CS112" s="1" t="str">
        <v/>
      </c>
      <c r="CT112" s="1" t="str">
        <v/>
      </c>
      <c r="CU112" s="1" t="str">
        <v/>
      </c>
      <c r="CV112" s="1" t="str">
        <v/>
      </c>
      <c r="CW112" s="1" t="str">
        <v/>
      </c>
      <c r="CX112" s="1" t="str">
        <v/>
      </c>
      <c r="CY112" s="1" t="str">
        <v/>
      </c>
      <c r="CZ112" s="1" t="str">
        <v/>
      </c>
      <c r="DA112" s="1" t="str">
        <v/>
      </c>
      <c r="DB112" s="1" t="str">
        <v/>
      </c>
      <c r="DC112" s="1" t="str">
        <v/>
      </c>
      <c r="DD112" s="1" t="str">
        <v/>
      </c>
      <c r="DE112" s="1" t="str">
        <v/>
      </c>
      <c r="DF112" s="1">
        <v>0.99999999999999989</v>
      </c>
      <c r="DG112" s="1">
        <v>0.14744421387197892</v>
      </c>
      <c r="DH112" s="1">
        <v>0.54977562990843543</v>
      </c>
      <c r="DI112" s="1">
        <v>0.32793857354572953</v>
      </c>
      <c r="DJ112" s="1">
        <v>0.32016867416821893</v>
      </c>
      <c r="DK112" s="1">
        <v>0.30609424477087238</v>
      </c>
      <c r="DL112" s="1">
        <v>0.25265251593841581</v>
      </c>
      <c r="DM112" s="1">
        <v>0.29135243532556332</v>
      </c>
      <c r="DN112" s="1">
        <v>0.31498658788630507</v>
      </c>
      <c r="DO112" s="1">
        <v>0.24071105410513391</v>
      </c>
      <c r="DP112" s="1">
        <v>0.37759610711133051</v>
      </c>
      <c r="DQ112" s="1">
        <v>0.14815187104831742</v>
      </c>
      <c r="DR112" s="1">
        <v>0.3897696426498915</v>
      </c>
      <c r="DS112" s="1">
        <v>0.37474326996871926</v>
      </c>
      <c r="DT112" s="1">
        <v>0.24776991068625467</v>
      </c>
      <c r="DU112" s="1">
        <v>0.40724711891418908</v>
      </c>
      <c r="DV112" s="1">
        <v>0.22493948439735953</v>
      </c>
      <c r="DW112" s="1">
        <v>0.17823721194479181</v>
      </c>
      <c r="DX112" s="1">
        <v>0.18719500202186765</v>
      </c>
      <c r="DY112" s="1">
        <v>0.38860714219413106</v>
      </c>
    </row>
    <row r="113" spans="1:129" ht="15">
      <c r="A113" s="7" t="s">
        <v>124</v>
      </c>
      <c r="B113" s="3" t="str">
        <v/>
      </c>
      <c r="C113" s="3" t="str">
        <v/>
      </c>
      <c r="D113" s="3" t="str">
        <v/>
      </c>
      <c r="E113" s="3" t="str">
        <v/>
      </c>
      <c r="F113" s="3" t="str">
        <v/>
      </c>
      <c r="G113" s="3" t="str">
        <v/>
      </c>
      <c r="H113" s="3" t="str">
        <v/>
      </c>
      <c r="I113" s="3" t="str">
        <v/>
      </c>
      <c r="J113" s="3" t="str">
        <v/>
      </c>
      <c r="K113" s="3" t="str">
        <v/>
      </c>
      <c r="L113" s="3" t="str">
        <v/>
      </c>
      <c r="M113" s="3" t="str">
        <v/>
      </c>
      <c r="N113" s="3" t="str">
        <v/>
      </c>
      <c r="O113" s="3" t="str">
        <v/>
      </c>
      <c r="P113" s="3" t="str">
        <v/>
      </c>
      <c r="Q113" s="3" t="str">
        <v/>
      </c>
      <c r="R113" s="3" t="str">
        <v/>
      </c>
      <c r="S113" s="3" t="str">
        <v/>
      </c>
      <c r="T113" s="3" t="str">
        <v/>
      </c>
      <c r="U113" s="3" t="str">
        <v/>
      </c>
      <c r="V113" s="3" t="str">
        <v/>
      </c>
      <c r="W113" s="3" t="str">
        <v/>
      </c>
      <c r="X113" s="3" t="str">
        <v/>
      </c>
      <c r="Y113" s="3" t="str">
        <v/>
      </c>
      <c r="Z113" s="3" t="str">
        <v/>
      </c>
      <c r="AA113" s="3" t="str">
        <v/>
      </c>
      <c r="AB113" s="3" t="str">
        <v/>
      </c>
      <c r="AC113" s="3" t="str">
        <v/>
      </c>
      <c r="AD113" s="3" t="str">
        <v/>
      </c>
      <c r="AE113" s="3" t="str">
        <v/>
      </c>
      <c r="AF113" s="3" t="str">
        <v/>
      </c>
      <c r="AG113" s="3" t="str">
        <v/>
      </c>
      <c r="AH113" s="3" t="str">
        <v/>
      </c>
      <c r="AI113" s="3" t="str">
        <v/>
      </c>
      <c r="AJ113" s="3" t="str">
        <v/>
      </c>
      <c r="AK113" s="3" t="str">
        <v/>
      </c>
      <c r="AL113" s="3" t="str">
        <v/>
      </c>
      <c r="AM113" s="3" t="str">
        <v/>
      </c>
      <c r="AN113" s="3" t="str">
        <v/>
      </c>
      <c r="AO113" s="3" t="str">
        <v/>
      </c>
      <c r="AP113" s="3" t="str">
        <v/>
      </c>
      <c r="AQ113" s="3" t="str">
        <v/>
      </c>
      <c r="AR113" s="3" t="str">
        <v/>
      </c>
      <c r="AS113" s="3" t="str">
        <v/>
      </c>
      <c r="AT113" s="3" t="str">
        <v/>
      </c>
      <c r="AU113" s="3" t="str">
        <v/>
      </c>
      <c r="AV113" s="3" t="str">
        <v/>
      </c>
      <c r="AW113" s="3" t="str">
        <v/>
      </c>
      <c r="AX113" s="3" t="str">
        <v/>
      </c>
      <c r="AY113" s="3" t="str">
        <v/>
      </c>
      <c r="AZ113" s="3" t="str">
        <v/>
      </c>
      <c r="BA113" s="3" t="str">
        <v/>
      </c>
      <c r="BB113" s="3" t="str">
        <v/>
      </c>
      <c r="BC113" s="3" t="str">
        <v/>
      </c>
      <c r="BD113" s="3" t="str">
        <v/>
      </c>
      <c r="BE113" s="3" t="str">
        <v/>
      </c>
      <c r="BF113" s="3" t="str">
        <v/>
      </c>
      <c r="BG113" s="3" t="str">
        <v/>
      </c>
      <c r="BH113" s="3" t="str">
        <v/>
      </c>
      <c r="BI113" s="3" t="str">
        <v/>
      </c>
      <c r="BJ113" s="3" t="str">
        <v/>
      </c>
      <c r="BK113" s="3" t="str">
        <v/>
      </c>
      <c r="BL113" s="3" t="str">
        <v/>
      </c>
      <c r="BM113" s="3" t="str">
        <v/>
      </c>
      <c r="BN113" s="3" t="str">
        <v/>
      </c>
      <c r="BO113" s="3" t="str">
        <v/>
      </c>
      <c r="BP113" s="1" t="str">
        <v/>
      </c>
      <c r="BQ113" s="1" t="str">
        <v/>
      </c>
      <c r="BR113" s="1" t="str">
        <v/>
      </c>
      <c r="BS113" s="1" t="str">
        <v/>
      </c>
      <c r="BT113" s="1" t="str">
        <v/>
      </c>
      <c r="BU113" s="1" t="str">
        <v/>
      </c>
      <c r="BV113" s="1" t="str">
        <v/>
      </c>
      <c r="BW113" s="1" t="str">
        <v/>
      </c>
      <c r="BX113" s="1" t="str">
        <v/>
      </c>
      <c r="BY113" s="1" t="str">
        <v/>
      </c>
      <c r="BZ113" s="1" t="str">
        <v/>
      </c>
      <c r="CA113" s="1" t="str">
        <v/>
      </c>
      <c r="CB113" s="1" t="str">
        <v/>
      </c>
      <c r="CC113" s="1" t="str">
        <v/>
      </c>
      <c r="CD113" s="1" t="str">
        <v/>
      </c>
      <c r="CE113" s="1" t="str">
        <v/>
      </c>
      <c r="CF113" s="1" t="str">
        <v/>
      </c>
      <c r="CG113" s="1" t="str">
        <v/>
      </c>
      <c r="CH113" s="1" t="str">
        <v/>
      </c>
      <c r="CI113" s="1" t="str">
        <v/>
      </c>
      <c r="CJ113" s="1" t="str">
        <v/>
      </c>
      <c r="CK113" s="1" t="str">
        <v/>
      </c>
      <c r="CL113" s="1" t="str">
        <v/>
      </c>
      <c r="CM113" s="1" t="str">
        <v/>
      </c>
      <c r="CN113" s="1" t="str">
        <v/>
      </c>
      <c r="CO113" s="1" t="str">
        <v/>
      </c>
      <c r="CP113" s="1" t="str">
        <v/>
      </c>
      <c r="CQ113" s="1" t="str">
        <v/>
      </c>
      <c r="CR113" s="1" t="str">
        <v/>
      </c>
      <c r="CS113" s="1" t="str">
        <v/>
      </c>
      <c r="CT113" s="1" t="str">
        <v/>
      </c>
      <c r="CU113" s="1" t="str">
        <v/>
      </c>
      <c r="CV113" s="1" t="str">
        <v/>
      </c>
      <c r="CW113" s="1" t="str">
        <v/>
      </c>
      <c r="CX113" s="1" t="str">
        <v/>
      </c>
      <c r="CY113" s="1" t="str">
        <v/>
      </c>
      <c r="CZ113" s="1" t="str">
        <v/>
      </c>
      <c r="DA113" s="1" t="str">
        <v/>
      </c>
      <c r="DB113" s="1" t="str">
        <v/>
      </c>
      <c r="DC113" s="1" t="str">
        <v/>
      </c>
      <c r="DD113" s="1" t="str">
        <v/>
      </c>
      <c r="DE113" s="1" t="str">
        <v/>
      </c>
      <c r="DF113" s="1" t="str">
        <v/>
      </c>
      <c r="DG113" s="1">
        <v>1</v>
      </c>
      <c r="DH113" s="1">
        <v>0.40448667193509286</v>
      </c>
      <c r="DI113" s="1">
        <v>0.36867083309210252</v>
      </c>
      <c r="DJ113" s="1">
        <v>0.29060979740039544</v>
      </c>
      <c r="DK113" s="1">
        <v>0.25024224071690837</v>
      </c>
      <c r="DL113" s="1">
        <v>0.35568318362893098</v>
      </c>
      <c r="DM113" s="1">
        <v>0.39096767982030062</v>
      </c>
      <c r="DN113" s="1">
        <v>0.38305374972954687</v>
      </c>
      <c r="DO113" s="1">
        <v>0.29438803354027993</v>
      </c>
      <c r="DP113" s="1">
        <v>0.39035716813024679</v>
      </c>
      <c r="DQ113" s="1">
        <v>0.33995920240325017</v>
      </c>
      <c r="DR113" s="1">
        <v>0.43240564415315608</v>
      </c>
      <c r="DS113" s="1">
        <v>0.42303915662362779</v>
      </c>
      <c r="DT113" s="1">
        <v>0.39422459194639509</v>
      </c>
      <c r="DU113" s="1">
        <v>0.33084962045499516</v>
      </c>
      <c r="DV113" s="1">
        <v>0.46137347225339886</v>
      </c>
      <c r="DW113" s="1">
        <v>0.19425530330760429</v>
      </c>
      <c r="DX113" s="1">
        <v>7.061164324162468E-2</v>
      </c>
      <c r="DY113" s="1">
        <v>0.43783283654461158</v>
      </c>
    </row>
    <row r="114" spans="1:129" ht="15">
      <c r="A114" s="7" t="s">
        <v>125</v>
      </c>
      <c r="B114" s="3" t="str">
        <v/>
      </c>
      <c r="C114" s="3" t="str">
        <v/>
      </c>
      <c r="D114" s="3" t="str">
        <v/>
      </c>
      <c r="E114" s="3" t="str">
        <v/>
      </c>
      <c r="F114" s="3" t="str">
        <v/>
      </c>
      <c r="G114" s="3" t="str">
        <v/>
      </c>
      <c r="H114" s="3" t="str">
        <v/>
      </c>
      <c r="I114" s="3" t="str">
        <v/>
      </c>
      <c r="J114" s="3" t="str">
        <v/>
      </c>
      <c r="K114" s="3" t="str">
        <v/>
      </c>
      <c r="L114" s="3" t="str">
        <v/>
      </c>
      <c r="M114" s="3" t="str">
        <v/>
      </c>
      <c r="N114" s="3" t="str">
        <v/>
      </c>
      <c r="O114" s="3" t="str">
        <v/>
      </c>
      <c r="P114" s="3" t="str">
        <v/>
      </c>
      <c r="Q114" s="3" t="str">
        <v/>
      </c>
      <c r="R114" s="3" t="str">
        <v/>
      </c>
      <c r="S114" s="3" t="str">
        <v/>
      </c>
      <c r="T114" s="3" t="str">
        <v/>
      </c>
      <c r="U114" s="3" t="str">
        <v/>
      </c>
      <c r="V114" s="3" t="str">
        <v/>
      </c>
      <c r="W114" s="3" t="str">
        <v/>
      </c>
      <c r="X114" s="3" t="str">
        <v/>
      </c>
      <c r="Y114" s="3" t="str">
        <v/>
      </c>
      <c r="Z114" s="3" t="str">
        <v/>
      </c>
      <c r="AA114" s="3" t="str">
        <v/>
      </c>
      <c r="AB114" s="3" t="str">
        <v/>
      </c>
      <c r="AC114" s="3" t="str">
        <v/>
      </c>
      <c r="AD114" s="3" t="str">
        <v/>
      </c>
      <c r="AE114" s="3" t="str">
        <v/>
      </c>
      <c r="AF114" s="3" t="str">
        <v/>
      </c>
      <c r="AG114" s="3" t="str">
        <v/>
      </c>
      <c r="AH114" s="3" t="str">
        <v/>
      </c>
      <c r="AI114" s="3" t="str">
        <v/>
      </c>
      <c r="AJ114" s="3" t="str">
        <v/>
      </c>
      <c r="AK114" s="3" t="str">
        <v/>
      </c>
      <c r="AL114" s="3" t="str">
        <v/>
      </c>
      <c r="AM114" s="3" t="str">
        <v/>
      </c>
      <c r="AN114" s="3" t="str">
        <v/>
      </c>
      <c r="AO114" s="3" t="str">
        <v/>
      </c>
      <c r="AP114" s="3" t="str">
        <v/>
      </c>
      <c r="AQ114" s="3" t="str">
        <v/>
      </c>
      <c r="AR114" s="3" t="str">
        <v/>
      </c>
      <c r="AS114" s="3" t="str">
        <v/>
      </c>
      <c r="AT114" s="3" t="str">
        <v/>
      </c>
      <c r="AU114" s="3" t="str">
        <v/>
      </c>
      <c r="AV114" s="3" t="str">
        <v/>
      </c>
      <c r="AW114" s="3" t="str">
        <v/>
      </c>
      <c r="AX114" s="3" t="str">
        <v/>
      </c>
      <c r="AY114" s="3" t="str">
        <v/>
      </c>
      <c r="AZ114" s="3" t="str">
        <v/>
      </c>
      <c r="BA114" s="3" t="str">
        <v/>
      </c>
      <c r="BB114" s="3" t="str">
        <v/>
      </c>
      <c r="BC114" s="3" t="str">
        <v/>
      </c>
      <c r="BD114" s="3" t="str">
        <v/>
      </c>
      <c r="BE114" s="3" t="str">
        <v/>
      </c>
      <c r="BF114" s="3" t="str">
        <v/>
      </c>
      <c r="BG114" s="3" t="str">
        <v/>
      </c>
      <c r="BH114" s="3" t="str">
        <v/>
      </c>
      <c r="BI114" s="3" t="str">
        <v/>
      </c>
      <c r="BJ114" s="3" t="str">
        <v/>
      </c>
      <c r="BK114" s="3" t="str">
        <v/>
      </c>
      <c r="BL114" s="3" t="str">
        <v/>
      </c>
      <c r="BM114" s="3" t="str">
        <v/>
      </c>
      <c r="BN114" s="3" t="str">
        <v/>
      </c>
      <c r="BO114" s="3" t="str">
        <v/>
      </c>
      <c r="BP114" s="1" t="str">
        <v/>
      </c>
      <c r="BQ114" s="1" t="str">
        <v/>
      </c>
      <c r="BR114" s="1" t="str">
        <v/>
      </c>
      <c r="BS114" s="1" t="str">
        <v/>
      </c>
      <c r="BT114" s="1" t="str">
        <v/>
      </c>
      <c r="BU114" s="1" t="str">
        <v/>
      </c>
      <c r="BV114" s="1" t="str">
        <v/>
      </c>
      <c r="BW114" s="1" t="str">
        <v/>
      </c>
      <c r="BX114" s="1" t="str">
        <v/>
      </c>
      <c r="BY114" s="1" t="str">
        <v/>
      </c>
      <c r="BZ114" s="1" t="str">
        <v/>
      </c>
      <c r="CA114" s="1" t="str">
        <v/>
      </c>
      <c r="CB114" s="1" t="str">
        <v/>
      </c>
      <c r="CC114" s="1" t="str">
        <v/>
      </c>
      <c r="CD114" s="1" t="str">
        <v/>
      </c>
      <c r="CE114" s="1" t="str">
        <v/>
      </c>
      <c r="CF114" s="1" t="str">
        <v/>
      </c>
      <c r="CG114" s="1" t="str">
        <v/>
      </c>
      <c r="CH114" s="1" t="str">
        <v/>
      </c>
      <c r="CI114" s="1" t="str">
        <v/>
      </c>
      <c r="CJ114" s="1" t="str">
        <v/>
      </c>
      <c r="CK114" s="1" t="str">
        <v/>
      </c>
      <c r="CL114" s="1" t="str">
        <v/>
      </c>
      <c r="CM114" s="1" t="str">
        <v/>
      </c>
      <c r="CN114" s="1" t="str">
        <v/>
      </c>
      <c r="CO114" s="1" t="str">
        <v/>
      </c>
      <c r="CP114" s="1" t="str">
        <v/>
      </c>
      <c r="CQ114" s="1" t="str">
        <v/>
      </c>
      <c r="CR114" s="1" t="str">
        <v/>
      </c>
      <c r="CS114" s="1" t="str">
        <v/>
      </c>
      <c r="CT114" s="1" t="str">
        <v/>
      </c>
      <c r="CU114" s="1" t="str">
        <v/>
      </c>
      <c r="CV114" s="1" t="str">
        <v/>
      </c>
      <c r="CW114" s="1" t="str">
        <v/>
      </c>
      <c r="CX114" s="1" t="str">
        <v/>
      </c>
      <c r="CY114" s="1" t="str">
        <v/>
      </c>
      <c r="CZ114" s="1" t="str">
        <v/>
      </c>
      <c r="DA114" s="1" t="str">
        <v/>
      </c>
      <c r="DB114" s="1" t="str">
        <v/>
      </c>
      <c r="DC114" s="1" t="str">
        <v/>
      </c>
      <c r="DD114" s="1" t="str">
        <v/>
      </c>
      <c r="DE114" s="1" t="str">
        <v/>
      </c>
      <c r="DF114" s="1" t="str">
        <v/>
      </c>
      <c r="DG114" s="1" t="str">
        <v/>
      </c>
      <c r="DH114" s="1">
        <v>1</v>
      </c>
      <c r="DI114" s="1">
        <v>0.58905445962739322</v>
      </c>
      <c r="DJ114" s="1">
        <v>0.53076561209646622</v>
      </c>
      <c r="DK114" s="1">
        <v>0.49757720953156315</v>
      </c>
      <c r="DL114" s="1">
        <v>0.54559626497015945</v>
      </c>
      <c r="DM114" s="1">
        <v>0.55824868655235116</v>
      </c>
      <c r="DN114" s="1">
        <v>0.61312159384836573</v>
      </c>
      <c r="DO114" s="1">
        <v>0.4836917771841503</v>
      </c>
      <c r="DP114" s="1">
        <v>0.56130470494919693</v>
      </c>
      <c r="DQ114" s="1">
        <v>0.49592483643085539</v>
      </c>
      <c r="DR114" s="1">
        <v>0.64051333912097574</v>
      </c>
      <c r="DS114" s="1">
        <v>0.34600262037975615</v>
      </c>
      <c r="DT114" s="1">
        <v>0.49021880607687124</v>
      </c>
      <c r="DU114" s="1">
        <v>0.67171578622602846</v>
      </c>
      <c r="DV114" s="1">
        <v>0.54394186869678296</v>
      </c>
      <c r="DW114" s="1">
        <v>0.34249893688546051</v>
      </c>
      <c r="DX114" s="1">
        <v>0.29835231929795275</v>
      </c>
      <c r="DY114" s="1">
        <v>0.69226757107627679</v>
      </c>
    </row>
    <row r="115" spans="1:129" ht="15">
      <c r="A115" s="7" t="s">
        <v>126</v>
      </c>
      <c r="B115" s="3" t="str">
        <v/>
      </c>
      <c r="C115" s="3" t="str">
        <v/>
      </c>
      <c r="D115" s="3" t="str">
        <v/>
      </c>
      <c r="E115" s="3" t="str">
        <v/>
      </c>
      <c r="F115" s="3" t="str">
        <v/>
      </c>
      <c r="G115" s="3" t="str">
        <v/>
      </c>
      <c r="H115" s="3" t="str">
        <v/>
      </c>
      <c r="I115" s="3" t="str">
        <v/>
      </c>
      <c r="J115" s="3" t="str">
        <v/>
      </c>
      <c r="K115" s="3" t="str">
        <v/>
      </c>
      <c r="L115" s="3" t="str">
        <v/>
      </c>
      <c r="M115" s="3" t="str">
        <v/>
      </c>
      <c r="N115" s="3" t="str">
        <v/>
      </c>
      <c r="O115" s="3" t="str">
        <v/>
      </c>
      <c r="P115" s="3" t="str">
        <v/>
      </c>
      <c r="Q115" s="3" t="str">
        <v/>
      </c>
      <c r="R115" s="3" t="str">
        <v/>
      </c>
      <c r="S115" s="3" t="str">
        <v/>
      </c>
      <c r="T115" s="3" t="str">
        <v/>
      </c>
      <c r="U115" s="3" t="str">
        <v/>
      </c>
      <c r="V115" s="3" t="str">
        <v/>
      </c>
      <c r="W115" s="3" t="str">
        <v/>
      </c>
      <c r="X115" s="3" t="str">
        <v/>
      </c>
      <c r="Y115" s="3" t="str">
        <v/>
      </c>
      <c r="Z115" s="3" t="str">
        <v/>
      </c>
      <c r="AA115" s="3" t="str">
        <v/>
      </c>
      <c r="AB115" s="3" t="str">
        <v/>
      </c>
      <c r="AC115" s="3" t="str">
        <v/>
      </c>
      <c r="AD115" s="3" t="str">
        <v/>
      </c>
      <c r="AE115" s="3" t="str">
        <v/>
      </c>
      <c r="AF115" s="3" t="str">
        <v/>
      </c>
      <c r="AG115" s="3" t="str">
        <v/>
      </c>
      <c r="AH115" s="3" t="str">
        <v/>
      </c>
      <c r="AI115" s="3" t="str">
        <v/>
      </c>
      <c r="AJ115" s="3" t="str">
        <v/>
      </c>
      <c r="AK115" s="3" t="str">
        <v/>
      </c>
      <c r="AL115" s="3" t="str">
        <v/>
      </c>
      <c r="AM115" s="3" t="str">
        <v/>
      </c>
      <c r="AN115" s="3" t="str">
        <v/>
      </c>
      <c r="AO115" s="3" t="str">
        <v/>
      </c>
      <c r="AP115" s="3" t="str">
        <v/>
      </c>
      <c r="AQ115" s="3" t="str">
        <v/>
      </c>
      <c r="AR115" s="3" t="str">
        <v/>
      </c>
      <c r="AS115" s="3" t="str">
        <v/>
      </c>
      <c r="AT115" s="3" t="str">
        <v/>
      </c>
      <c r="AU115" s="3" t="str">
        <v/>
      </c>
      <c r="AV115" s="3" t="str">
        <v/>
      </c>
      <c r="AW115" s="3" t="str">
        <v/>
      </c>
      <c r="AX115" s="3" t="str">
        <v/>
      </c>
      <c r="AY115" s="3" t="str">
        <v/>
      </c>
      <c r="AZ115" s="3" t="str">
        <v/>
      </c>
      <c r="BA115" s="3" t="str">
        <v/>
      </c>
      <c r="BB115" s="3" t="str">
        <v/>
      </c>
      <c r="BC115" s="3" t="str">
        <v/>
      </c>
      <c r="BD115" s="3" t="str">
        <v/>
      </c>
      <c r="BE115" s="3" t="str">
        <v/>
      </c>
      <c r="BF115" s="3" t="str">
        <v/>
      </c>
      <c r="BG115" s="3" t="str">
        <v/>
      </c>
      <c r="BH115" s="3" t="str">
        <v/>
      </c>
      <c r="BI115" s="3" t="str">
        <v/>
      </c>
      <c r="BJ115" s="3" t="str">
        <v/>
      </c>
      <c r="BK115" s="3" t="str">
        <v/>
      </c>
      <c r="BL115" s="3" t="str">
        <v/>
      </c>
      <c r="BM115" s="3" t="str">
        <v/>
      </c>
      <c r="BN115" s="3" t="str">
        <v/>
      </c>
      <c r="BO115" s="3" t="str">
        <v/>
      </c>
      <c r="BP115" s="1" t="str">
        <v/>
      </c>
      <c r="BQ115" s="1" t="str">
        <v/>
      </c>
      <c r="BR115" s="1" t="str">
        <v/>
      </c>
      <c r="BS115" s="1" t="str">
        <v/>
      </c>
      <c r="BT115" s="1" t="str">
        <v/>
      </c>
      <c r="BU115" s="1" t="str">
        <v/>
      </c>
      <c r="BV115" s="1" t="str">
        <v/>
      </c>
      <c r="BW115" s="1" t="str">
        <v/>
      </c>
      <c r="BX115" s="1" t="str">
        <v/>
      </c>
      <c r="BY115" s="1" t="str">
        <v/>
      </c>
      <c r="BZ115" s="1" t="str">
        <v/>
      </c>
      <c r="CA115" s="1" t="str">
        <v/>
      </c>
      <c r="CB115" s="1" t="str">
        <v/>
      </c>
      <c r="CC115" s="1" t="str">
        <v/>
      </c>
      <c r="CD115" s="1" t="str">
        <v/>
      </c>
      <c r="CE115" s="1" t="str">
        <v/>
      </c>
      <c r="CF115" s="1" t="str">
        <v/>
      </c>
      <c r="CG115" s="1" t="str">
        <v/>
      </c>
      <c r="CH115" s="1" t="str">
        <v/>
      </c>
      <c r="CI115" s="1" t="str">
        <v/>
      </c>
      <c r="CJ115" s="1" t="str">
        <v/>
      </c>
      <c r="CK115" s="1" t="str">
        <v/>
      </c>
      <c r="CL115" s="1" t="str">
        <v/>
      </c>
      <c r="CM115" s="3" t="str">
        <v/>
      </c>
      <c r="CN115" s="1" t="str">
        <v/>
      </c>
      <c r="CO115" s="1" t="str">
        <v/>
      </c>
      <c r="CP115" s="1" t="str">
        <v/>
      </c>
      <c r="CQ115" s="1" t="str">
        <v/>
      </c>
      <c r="CR115" s="1" t="str">
        <v/>
      </c>
      <c r="CS115" s="1" t="str">
        <v/>
      </c>
      <c r="CT115" s="1" t="str">
        <v/>
      </c>
      <c r="CU115" s="1" t="str">
        <v/>
      </c>
      <c r="CV115" s="1" t="str">
        <v/>
      </c>
      <c r="CW115" s="1" t="str">
        <v/>
      </c>
      <c r="CX115" s="1" t="str">
        <v/>
      </c>
      <c r="CY115" s="1" t="str">
        <v/>
      </c>
      <c r="CZ115" s="1" t="str">
        <v/>
      </c>
      <c r="DA115" s="1" t="str">
        <v/>
      </c>
      <c r="DB115" s="1" t="str">
        <v/>
      </c>
      <c r="DC115" s="1" t="str">
        <v/>
      </c>
      <c r="DD115" s="1" t="str">
        <v/>
      </c>
      <c r="DE115" s="1" t="str">
        <v/>
      </c>
      <c r="DF115" s="1" t="str">
        <v/>
      </c>
      <c r="DG115" s="1" t="str">
        <v/>
      </c>
      <c r="DH115" s="1" t="str">
        <v/>
      </c>
      <c r="DI115" s="1">
        <v>0.99999999999999989</v>
      </c>
      <c r="DJ115" s="1">
        <v>0.88807613663738838</v>
      </c>
      <c r="DK115" s="1">
        <v>0.87264876853796003</v>
      </c>
      <c r="DL115" s="1">
        <v>0.81954096990214365</v>
      </c>
      <c r="DM115" s="1">
        <v>0.89009289765229316</v>
      </c>
      <c r="DN115" s="1">
        <v>0.84255441035456513</v>
      </c>
      <c r="DO115" s="1">
        <v>0.81203021127940611</v>
      </c>
      <c r="DP115" s="1">
        <v>0.86762856590962723</v>
      </c>
      <c r="DQ115" s="1">
        <v>0.83585336262423315</v>
      </c>
      <c r="DR115" s="1">
        <v>0.8417356240854349</v>
      </c>
      <c r="DS115" s="1">
        <v>0.65016331793854842</v>
      </c>
      <c r="DT115" s="1">
        <v>0.79228691641149063</v>
      </c>
      <c r="DU115" s="1">
        <v>0.76216985132463522</v>
      </c>
      <c r="DV115" s="1">
        <v>0.76534684432787781</v>
      </c>
      <c r="DW115" s="1">
        <v>0.21730807317724588</v>
      </c>
      <c r="DX115" s="1">
        <v>0.21441528758203318</v>
      </c>
      <c r="DY115" s="1">
        <v>0.71523843093170858</v>
      </c>
    </row>
    <row r="116" spans="1:129" ht="15">
      <c r="A116" s="7" t="s">
        <v>127</v>
      </c>
      <c r="B116" s="3" t="str">
        <v/>
      </c>
      <c r="C116" s="3" t="str">
        <v/>
      </c>
      <c r="D116" s="3" t="str">
        <v/>
      </c>
      <c r="E116" s="3" t="str">
        <v/>
      </c>
      <c r="F116" s="3" t="str">
        <v/>
      </c>
      <c r="G116" s="3" t="str">
        <v/>
      </c>
      <c r="H116" s="3" t="str">
        <v/>
      </c>
      <c r="I116" s="3" t="str">
        <v/>
      </c>
      <c r="J116" s="3" t="str">
        <v/>
      </c>
      <c r="K116" s="3" t="str">
        <v/>
      </c>
      <c r="L116" s="3" t="str">
        <v/>
      </c>
      <c r="M116" s="3" t="str">
        <v/>
      </c>
      <c r="N116" s="3" t="str">
        <v/>
      </c>
      <c r="O116" s="3" t="str">
        <v/>
      </c>
      <c r="P116" s="3" t="str">
        <v/>
      </c>
      <c r="Q116" s="3" t="str">
        <v/>
      </c>
      <c r="R116" s="3" t="str">
        <v/>
      </c>
      <c r="S116" s="3" t="str">
        <v/>
      </c>
      <c r="T116" s="3" t="str">
        <v/>
      </c>
      <c r="U116" s="3" t="str">
        <v/>
      </c>
      <c r="V116" s="3" t="str">
        <v/>
      </c>
      <c r="W116" s="3" t="str">
        <v/>
      </c>
      <c r="X116" s="3" t="str">
        <v/>
      </c>
      <c r="Y116" s="3" t="str">
        <v/>
      </c>
      <c r="Z116" s="3" t="str">
        <v/>
      </c>
      <c r="AA116" s="3" t="str">
        <v/>
      </c>
      <c r="AB116" s="3" t="str">
        <v/>
      </c>
      <c r="AC116" s="3" t="str">
        <v/>
      </c>
      <c r="AD116" s="3" t="str">
        <v/>
      </c>
      <c r="AE116" s="3" t="str">
        <v/>
      </c>
      <c r="AF116" s="3" t="str">
        <v/>
      </c>
      <c r="AG116" s="3" t="str">
        <v/>
      </c>
      <c r="AH116" s="3" t="str">
        <v/>
      </c>
      <c r="AI116" s="3" t="str">
        <v/>
      </c>
      <c r="AJ116" s="3" t="str">
        <v/>
      </c>
      <c r="AK116" s="3" t="str">
        <v/>
      </c>
      <c r="AL116" s="3" t="str">
        <v/>
      </c>
      <c r="AM116" s="3" t="str">
        <v/>
      </c>
      <c r="AN116" s="3" t="str">
        <v/>
      </c>
      <c r="AO116" s="3" t="str">
        <v/>
      </c>
      <c r="AP116" s="3" t="str">
        <v/>
      </c>
      <c r="AQ116" s="3" t="str">
        <v/>
      </c>
      <c r="AR116" s="3" t="str">
        <v/>
      </c>
      <c r="AS116" s="3" t="str">
        <v/>
      </c>
      <c r="AT116" s="3" t="str">
        <v/>
      </c>
      <c r="AU116" s="3" t="str">
        <v/>
      </c>
      <c r="AV116" s="3" t="str">
        <v/>
      </c>
      <c r="AW116" s="3" t="str">
        <v/>
      </c>
      <c r="AX116" s="3" t="str">
        <v/>
      </c>
      <c r="AY116" s="3" t="str">
        <v/>
      </c>
      <c r="AZ116" s="3" t="str">
        <v/>
      </c>
      <c r="BA116" s="3" t="str">
        <v/>
      </c>
      <c r="BB116" s="3" t="str">
        <v/>
      </c>
      <c r="BC116" s="3" t="str">
        <v/>
      </c>
      <c r="BD116" s="3" t="str">
        <v/>
      </c>
      <c r="BE116" s="3" t="str">
        <v/>
      </c>
      <c r="BF116" s="3" t="str">
        <v/>
      </c>
      <c r="BG116" s="3" t="str">
        <v/>
      </c>
      <c r="BH116" s="3" t="str">
        <v/>
      </c>
      <c r="BI116" s="3" t="str">
        <v/>
      </c>
      <c r="BJ116" s="3" t="str">
        <v/>
      </c>
      <c r="BK116" s="3" t="str">
        <v/>
      </c>
      <c r="BL116" s="3" t="str">
        <v/>
      </c>
      <c r="BM116" s="3" t="str">
        <v/>
      </c>
      <c r="BN116" s="3" t="str">
        <v/>
      </c>
      <c r="BO116" s="3" t="str">
        <v/>
      </c>
      <c r="BP116" s="1" t="str">
        <v/>
      </c>
      <c r="BQ116" s="1" t="str">
        <v/>
      </c>
      <c r="BR116" s="1" t="str">
        <v/>
      </c>
      <c r="BS116" s="1" t="str">
        <v/>
      </c>
      <c r="BT116" s="1" t="str">
        <v/>
      </c>
      <c r="BU116" s="1" t="str">
        <v/>
      </c>
      <c r="BV116" s="1" t="str">
        <v/>
      </c>
      <c r="BW116" s="1" t="str">
        <v/>
      </c>
      <c r="BX116" s="1" t="str">
        <v/>
      </c>
      <c r="BY116" s="1" t="str">
        <v/>
      </c>
      <c r="BZ116" s="1" t="str">
        <v/>
      </c>
      <c r="CA116" s="1" t="str">
        <v/>
      </c>
      <c r="CB116" s="1" t="str">
        <v/>
      </c>
      <c r="CC116" s="1" t="str">
        <v/>
      </c>
      <c r="CD116" s="1" t="str">
        <v/>
      </c>
      <c r="CE116" s="1" t="str">
        <v/>
      </c>
      <c r="CF116" s="1" t="str">
        <v/>
      </c>
      <c r="CG116" s="1" t="str">
        <v/>
      </c>
      <c r="CH116" s="1" t="str">
        <v/>
      </c>
      <c r="CI116" s="1" t="str">
        <v/>
      </c>
      <c r="CJ116" s="1" t="str">
        <v/>
      </c>
      <c r="CK116" s="1" t="str">
        <v/>
      </c>
      <c r="CL116" s="1" t="str">
        <v/>
      </c>
      <c r="CM116" s="3" t="str">
        <v/>
      </c>
      <c r="CN116" s="1" t="str">
        <v/>
      </c>
      <c r="CO116" s="1" t="str">
        <v/>
      </c>
      <c r="CP116" s="1" t="str">
        <v/>
      </c>
      <c r="CQ116" s="1" t="str">
        <v/>
      </c>
      <c r="CR116" s="1" t="str">
        <v/>
      </c>
      <c r="CS116" s="1" t="str">
        <v/>
      </c>
      <c r="CT116" s="1" t="str">
        <v/>
      </c>
      <c r="CU116" s="1" t="str">
        <v/>
      </c>
      <c r="CV116" s="1" t="str">
        <v/>
      </c>
      <c r="CW116" s="1" t="str">
        <v/>
      </c>
      <c r="CX116" s="1" t="str">
        <v/>
      </c>
      <c r="CY116" s="1" t="str">
        <v/>
      </c>
      <c r="CZ116" s="1" t="str">
        <v/>
      </c>
      <c r="DA116" s="1" t="str">
        <v/>
      </c>
      <c r="DB116" s="1" t="str">
        <v/>
      </c>
      <c r="DC116" s="1" t="str">
        <v/>
      </c>
      <c r="DD116" s="1" t="str">
        <v/>
      </c>
      <c r="DE116" s="1" t="str">
        <v/>
      </c>
      <c r="DF116" s="1" t="str">
        <v/>
      </c>
      <c r="DG116" s="1" t="str">
        <v/>
      </c>
      <c r="DH116" s="1" t="str">
        <v/>
      </c>
      <c r="DI116" s="1" t="str">
        <v/>
      </c>
      <c r="DJ116" s="1">
        <v>0.99999999999999989</v>
      </c>
      <c r="DK116" s="1">
        <v>0.88386356982139624</v>
      </c>
      <c r="DL116" s="1">
        <v>0.80968792416045032</v>
      </c>
      <c r="DM116" s="1">
        <v>0.8903126404081213</v>
      </c>
      <c r="DN116" s="1">
        <v>0.81571410214970741</v>
      </c>
      <c r="DO116" s="1">
        <v>0.78963075626209289</v>
      </c>
      <c r="DP116" s="1">
        <v>0.8381575904903894</v>
      </c>
      <c r="DQ116" s="1">
        <v>0.81410830377615662</v>
      </c>
      <c r="DR116" s="1">
        <v>0.81990894569976891</v>
      </c>
      <c r="DS116" s="1">
        <v>0.64955555517015684</v>
      </c>
      <c r="DT116" s="1">
        <v>0.77279032059535946</v>
      </c>
      <c r="DU116" s="1">
        <v>0.77689900482835239</v>
      </c>
      <c r="DV116" s="1">
        <v>0.75655603312293451</v>
      </c>
      <c r="DW116" s="1">
        <v>0.20506297597652576</v>
      </c>
      <c r="DX116" s="1">
        <v>0.2300498777127005</v>
      </c>
      <c r="DY116" s="1">
        <v>0.68658672244269825</v>
      </c>
    </row>
    <row r="117" spans="1:129" ht="15">
      <c r="A117" s="7" t="s">
        <v>128</v>
      </c>
      <c r="B117" s="3" t="str">
        <v/>
      </c>
      <c r="C117" s="3" t="str">
        <v/>
      </c>
      <c r="D117" s="3" t="str">
        <v/>
      </c>
      <c r="E117" s="3" t="str">
        <v/>
      </c>
      <c r="F117" s="3" t="str">
        <v/>
      </c>
      <c r="G117" s="3" t="str">
        <v/>
      </c>
      <c r="H117" s="3" t="str">
        <v/>
      </c>
      <c r="I117" s="3" t="str">
        <v/>
      </c>
      <c r="J117" s="3" t="str">
        <v/>
      </c>
      <c r="K117" s="3" t="str">
        <v/>
      </c>
      <c r="L117" s="3" t="str">
        <v/>
      </c>
      <c r="M117" s="3" t="str">
        <v/>
      </c>
      <c r="N117" s="3" t="str">
        <v/>
      </c>
      <c r="O117" s="3" t="str">
        <v/>
      </c>
      <c r="P117" s="3" t="str">
        <v/>
      </c>
      <c r="Q117" s="3" t="str">
        <v/>
      </c>
      <c r="R117" s="3" t="str">
        <v/>
      </c>
      <c r="S117" s="3" t="str">
        <v/>
      </c>
      <c r="T117" s="3" t="str">
        <v/>
      </c>
      <c r="U117" s="3" t="str">
        <v/>
      </c>
      <c r="V117" s="3" t="str">
        <v/>
      </c>
      <c r="W117" s="3" t="str">
        <v/>
      </c>
      <c r="X117" s="3" t="str">
        <v/>
      </c>
      <c r="Y117" s="3" t="str">
        <v/>
      </c>
      <c r="Z117" s="3" t="str">
        <v/>
      </c>
      <c r="AA117" s="3" t="str">
        <v/>
      </c>
      <c r="AB117" s="3" t="str">
        <v/>
      </c>
      <c r="AC117" s="3" t="str">
        <v/>
      </c>
      <c r="AD117" s="3" t="str">
        <v/>
      </c>
      <c r="AE117" s="3" t="str">
        <v/>
      </c>
      <c r="AF117" s="3" t="str">
        <v/>
      </c>
      <c r="AG117" s="3" t="str">
        <v/>
      </c>
      <c r="AH117" s="3" t="str">
        <v/>
      </c>
      <c r="AI117" s="3" t="str">
        <v/>
      </c>
      <c r="AJ117" s="3" t="str">
        <v/>
      </c>
      <c r="AK117" s="3" t="str">
        <v/>
      </c>
      <c r="AL117" s="3" t="str">
        <v/>
      </c>
      <c r="AM117" s="3" t="str">
        <v/>
      </c>
      <c r="AN117" s="3" t="str">
        <v/>
      </c>
      <c r="AO117" s="3" t="str">
        <v/>
      </c>
      <c r="AP117" s="3" t="str">
        <v/>
      </c>
      <c r="AQ117" s="3" t="str">
        <v/>
      </c>
      <c r="AR117" s="3" t="str">
        <v/>
      </c>
      <c r="AS117" s="3" t="str">
        <v/>
      </c>
      <c r="AT117" s="3" t="str">
        <v/>
      </c>
      <c r="AU117" s="3" t="str">
        <v/>
      </c>
      <c r="AV117" s="3" t="str">
        <v/>
      </c>
      <c r="AW117" s="3" t="str">
        <v/>
      </c>
      <c r="AX117" s="3" t="str">
        <v/>
      </c>
      <c r="AY117" s="3" t="str">
        <v/>
      </c>
      <c r="AZ117" s="3" t="str">
        <v/>
      </c>
      <c r="BA117" s="3" t="str">
        <v/>
      </c>
      <c r="BB117" s="3" t="str">
        <v/>
      </c>
      <c r="BC117" s="3" t="str">
        <v/>
      </c>
      <c r="BD117" s="3" t="str">
        <v/>
      </c>
      <c r="BE117" s="3" t="str">
        <v/>
      </c>
      <c r="BF117" s="3" t="str">
        <v/>
      </c>
      <c r="BG117" s="3" t="str">
        <v/>
      </c>
      <c r="BH117" s="3" t="str">
        <v/>
      </c>
      <c r="BI117" s="3" t="str">
        <v/>
      </c>
      <c r="BJ117" s="3" t="str">
        <v/>
      </c>
      <c r="BK117" s="3" t="str">
        <v/>
      </c>
      <c r="BL117" s="3" t="str">
        <v/>
      </c>
      <c r="BM117" s="3" t="str">
        <v/>
      </c>
      <c r="BN117" s="3" t="str">
        <v/>
      </c>
      <c r="BO117" s="3" t="str">
        <v/>
      </c>
      <c r="BP117" s="3" t="str">
        <v/>
      </c>
      <c r="BQ117" s="3" t="str">
        <v/>
      </c>
      <c r="BR117" s="3" t="str">
        <v/>
      </c>
      <c r="BS117" s="3" t="str">
        <v/>
      </c>
      <c r="BT117" s="3" t="str">
        <v/>
      </c>
      <c r="BU117" s="3" t="str">
        <v/>
      </c>
      <c r="BV117" s="3" t="str">
        <v/>
      </c>
      <c r="BW117" s="3" t="str">
        <v/>
      </c>
      <c r="BX117" s="3" t="str">
        <v/>
      </c>
      <c r="BY117" s="3" t="str">
        <v/>
      </c>
      <c r="BZ117" s="3" t="str">
        <v/>
      </c>
      <c r="CA117" s="3" t="str">
        <v/>
      </c>
      <c r="CB117" s="3" t="str">
        <v/>
      </c>
      <c r="CC117" s="3" t="str">
        <v/>
      </c>
      <c r="CD117" s="3" t="str">
        <v/>
      </c>
      <c r="CE117" s="3" t="str">
        <v/>
      </c>
      <c r="CF117" s="3" t="str">
        <v/>
      </c>
      <c r="CG117" s="3" t="str">
        <v/>
      </c>
      <c r="CH117" s="3" t="str">
        <v/>
      </c>
      <c r="CI117" s="3" t="str">
        <v/>
      </c>
      <c r="CJ117" s="3" t="str">
        <v/>
      </c>
      <c r="CK117" s="3" t="str">
        <v/>
      </c>
      <c r="CL117" s="3" t="str">
        <v/>
      </c>
      <c r="CM117" s="3" t="str">
        <v/>
      </c>
      <c r="CN117" s="1" t="str">
        <v/>
      </c>
      <c r="CO117" s="1" t="str">
        <v/>
      </c>
      <c r="CP117" s="1" t="str">
        <v/>
      </c>
      <c r="CQ117" s="1" t="str">
        <v/>
      </c>
      <c r="CR117" s="1" t="str">
        <v/>
      </c>
      <c r="CS117" s="1" t="str">
        <v/>
      </c>
      <c r="CT117" s="1" t="str">
        <v/>
      </c>
      <c r="CU117" s="1" t="str">
        <v/>
      </c>
      <c r="CV117" s="1" t="str">
        <v/>
      </c>
      <c r="CW117" s="1" t="str">
        <v/>
      </c>
      <c r="CX117" s="1" t="str">
        <v/>
      </c>
      <c r="CY117" s="1" t="str">
        <v/>
      </c>
      <c r="CZ117" s="1" t="str">
        <v/>
      </c>
      <c r="DA117" s="1" t="str">
        <v/>
      </c>
      <c r="DB117" s="1" t="str">
        <v/>
      </c>
      <c r="DC117" s="1" t="str">
        <v/>
      </c>
      <c r="DD117" s="1" t="str">
        <v/>
      </c>
      <c r="DE117" s="1" t="str">
        <v/>
      </c>
      <c r="DF117" s="1" t="str">
        <v/>
      </c>
      <c r="DG117" s="1" t="str">
        <v/>
      </c>
      <c r="DH117" s="1" t="str">
        <v/>
      </c>
      <c r="DI117" s="1" t="str">
        <v/>
      </c>
      <c r="DJ117" s="1" t="str">
        <v/>
      </c>
      <c r="DK117" s="1">
        <v>1</v>
      </c>
      <c r="DL117" s="1">
        <v>0.84156825300642502</v>
      </c>
      <c r="DM117" s="1">
        <v>0.91406288675162362</v>
      </c>
      <c r="DN117" s="1">
        <v>0.79352130194551651</v>
      </c>
      <c r="DO117" s="1">
        <v>0.8465819935840333</v>
      </c>
      <c r="DP117" s="1">
        <v>0.89798984600753784</v>
      </c>
      <c r="DQ117" s="1">
        <v>0.85314372049392417</v>
      </c>
      <c r="DR117" s="1">
        <v>0.87990944993565634</v>
      </c>
      <c r="DS117" s="1">
        <v>0.67834996084462806</v>
      </c>
      <c r="DT117" s="1">
        <v>0.79573062271412454</v>
      </c>
      <c r="DU117" s="1">
        <v>0.83491341916364548</v>
      </c>
      <c r="DV117" s="1">
        <v>0.80922543863939567</v>
      </c>
      <c r="DW117" s="1">
        <v>0.24441510172585604</v>
      </c>
      <c r="DX117" s="1">
        <v>0.21403599672113577</v>
      </c>
      <c r="DY117" s="1">
        <v>0.6332338694778481</v>
      </c>
    </row>
    <row r="118" spans="1:129" ht="15">
      <c r="A118" s="7" t="s">
        <v>129</v>
      </c>
      <c r="B118" s="3" t="str">
        <v/>
      </c>
      <c r="C118" s="3" t="str">
        <v/>
      </c>
      <c r="D118" s="3" t="str">
        <v/>
      </c>
      <c r="E118" s="3" t="str">
        <v/>
      </c>
      <c r="F118" s="3" t="str">
        <v/>
      </c>
      <c r="G118" s="3" t="str">
        <v/>
      </c>
      <c r="H118" s="3" t="str">
        <v/>
      </c>
      <c r="I118" s="3" t="str">
        <v/>
      </c>
      <c r="J118" s="3" t="str">
        <v/>
      </c>
      <c r="K118" s="3" t="str">
        <v/>
      </c>
      <c r="L118" s="3" t="str">
        <v/>
      </c>
      <c r="M118" s="3" t="str">
        <v/>
      </c>
      <c r="N118" s="3" t="str">
        <v/>
      </c>
      <c r="O118" s="3" t="str">
        <v/>
      </c>
      <c r="P118" s="3" t="str">
        <v/>
      </c>
      <c r="Q118" s="3" t="str">
        <v/>
      </c>
      <c r="R118" s="3" t="str">
        <v/>
      </c>
      <c r="S118" s="3" t="str">
        <v/>
      </c>
      <c r="T118" s="3" t="str">
        <v/>
      </c>
      <c r="U118" s="3" t="str">
        <v/>
      </c>
      <c r="V118" s="3" t="str">
        <v/>
      </c>
      <c r="W118" s="3" t="str">
        <v/>
      </c>
      <c r="X118" s="3" t="str">
        <v/>
      </c>
      <c r="Y118" s="3" t="str">
        <v/>
      </c>
      <c r="Z118" s="3" t="str">
        <v/>
      </c>
      <c r="AA118" s="3" t="str">
        <v/>
      </c>
      <c r="AB118" s="3" t="str">
        <v/>
      </c>
      <c r="AC118" s="3" t="str">
        <v/>
      </c>
      <c r="AD118" s="3" t="str">
        <v/>
      </c>
      <c r="AE118" s="3" t="str">
        <v/>
      </c>
      <c r="AF118" s="3" t="str">
        <v/>
      </c>
      <c r="AG118" s="3" t="str">
        <v/>
      </c>
      <c r="AH118" s="3" t="str">
        <v/>
      </c>
      <c r="AI118" s="3" t="str">
        <v/>
      </c>
      <c r="AJ118" s="3" t="str">
        <v/>
      </c>
      <c r="AK118" s="3" t="str">
        <v/>
      </c>
      <c r="AL118" s="3" t="str">
        <v/>
      </c>
      <c r="AM118" s="3" t="str">
        <v/>
      </c>
      <c r="AN118" s="3" t="str">
        <v/>
      </c>
      <c r="AO118" s="3" t="str">
        <v/>
      </c>
      <c r="AP118" s="3" t="str">
        <v/>
      </c>
      <c r="AQ118" s="3" t="str">
        <v/>
      </c>
      <c r="AR118" s="3" t="str">
        <v/>
      </c>
      <c r="AS118" s="3" t="str">
        <v/>
      </c>
      <c r="AT118" s="3" t="str">
        <v/>
      </c>
      <c r="AU118" s="3" t="str">
        <v/>
      </c>
      <c r="AV118" s="3" t="str">
        <v/>
      </c>
      <c r="AW118" s="3" t="str">
        <v/>
      </c>
      <c r="AX118" s="3" t="str">
        <v/>
      </c>
      <c r="AY118" s="3" t="str">
        <v/>
      </c>
      <c r="AZ118" s="3" t="str">
        <v/>
      </c>
      <c r="BA118" s="3" t="str">
        <v/>
      </c>
      <c r="BB118" s="3" t="str">
        <v/>
      </c>
      <c r="BC118" s="3" t="str">
        <v/>
      </c>
      <c r="BD118" s="3" t="str">
        <v/>
      </c>
      <c r="BE118" s="3" t="str">
        <v/>
      </c>
      <c r="BF118" s="3" t="str">
        <v/>
      </c>
      <c r="BG118" s="3" t="str">
        <v/>
      </c>
      <c r="BH118" s="3" t="str">
        <v/>
      </c>
      <c r="BI118" s="3" t="str">
        <v/>
      </c>
      <c r="BJ118" s="3" t="str">
        <v/>
      </c>
      <c r="BK118" s="3" t="str">
        <v/>
      </c>
      <c r="BL118" s="3" t="str">
        <v/>
      </c>
      <c r="BM118" s="3" t="str">
        <v/>
      </c>
      <c r="BN118" s="3" t="str">
        <v/>
      </c>
      <c r="BO118" s="3" t="str">
        <v/>
      </c>
      <c r="BP118" s="3" t="str">
        <v/>
      </c>
      <c r="BQ118" s="3" t="str">
        <v/>
      </c>
      <c r="BR118" s="3" t="str">
        <v/>
      </c>
      <c r="BS118" s="3" t="str">
        <v/>
      </c>
      <c r="BT118" s="3" t="str">
        <v/>
      </c>
      <c r="BU118" s="3" t="str">
        <v/>
      </c>
      <c r="BV118" s="3" t="str">
        <v/>
      </c>
      <c r="BW118" s="3" t="str">
        <v/>
      </c>
      <c r="BX118" s="3" t="str">
        <v/>
      </c>
      <c r="BY118" s="3" t="str">
        <v/>
      </c>
      <c r="BZ118" s="3" t="str">
        <v/>
      </c>
      <c r="CA118" s="3" t="str">
        <v/>
      </c>
      <c r="CB118" s="3" t="str">
        <v/>
      </c>
      <c r="CC118" s="3" t="str">
        <v/>
      </c>
      <c r="CD118" s="3" t="str">
        <v/>
      </c>
      <c r="CE118" s="3" t="str">
        <v/>
      </c>
      <c r="CF118" s="3" t="str">
        <v/>
      </c>
      <c r="CG118" s="3" t="str">
        <v/>
      </c>
      <c r="CH118" s="3" t="str">
        <v/>
      </c>
      <c r="CI118" s="3" t="str">
        <v/>
      </c>
      <c r="CJ118" s="3" t="str">
        <v/>
      </c>
      <c r="CK118" s="3" t="str">
        <v/>
      </c>
      <c r="CL118" s="3" t="str">
        <v/>
      </c>
      <c r="CM118" s="3" t="str">
        <v/>
      </c>
      <c r="CN118" s="1" t="str">
        <v/>
      </c>
      <c r="CO118" s="1" t="str">
        <v/>
      </c>
      <c r="CP118" s="1" t="str">
        <v/>
      </c>
      <c r="CQ118" s="1" t="str">
        <v/>
      </c>
      <c r="CR118" s="1" t="str">
        <v/>
      </c>
      <c r="CS118" s="1" t="str">
        <v/>
      </c>
      <c r="CT118" s="1" t="str">
        <v/>
      </c>
      <c r="CU118" s="1" t="str">
        <v/>
      </c>
      <c r="CV118" s="1" t="str">
        <v/>
      </c>
      <c r="CW118" s="1" t="str">
        <v/>
      </c>
      <c r="CX118" s="1" t="str">
        <v/>
      </c>
      <c r="CY118" s="1" t="str">
        <v/>
      </c>
      <c r="CZ118" s="1" t="str">
        <v/>
      </c>
      <c r="DA118" s="1" t="str">
        <v/>
      </c>
      <c r="DB118" s="1" t="str">
        <v/>
      </c>
      <c r="DC118" s="1" t="str">
        <v/>
      </c>
      <c r="DD118" s="1" t="str">
        <v/>
      </c>
      <c r="DE118" s="1" t="str">
        <v/>
      </c>
      <c r="DF118" s="1" t="str">
        <v/>
      </c>
      <c r="DG118" s="1" t="str">
        <v/>
      </c>
      <c r="DH118" s="1" t="str">
        <v/>
      </c>
      <c r="DI118" s="1" t="str">
        <v/>
      </c>
      <c r="DJ118" s="1" t="str">
        <v/>
      </c>
      <c r="DK118" s="1" t="str">
        <v/>
      </c>
      <c r="DL118" s="1">
        <v>1</v>
      </c>
      <c r="DM118" s="1">
        <v>0.92574182776440805</v>
      </c>
      <c r="DN118" s="1">
        <v>0.80874947263589747</v>
      </c>
      <c r="DO118" s="1">
        <v>0.82165872538041984</v>
      </c>
      <c r="DP118" s="1">
        <v>0.86676489209542995</v>
      </c>
      <c r="DQ118" s="1">
        <v>0.88003328037014728</v>
      </c>
      <c r="DR118" s="1">
        <v>0.88039913092300848</v>
      </c>
      <c r="DS118" s="1">
        <v>0.56763795612060919</v>
      </c>
      <c r="DT118" s="1">
        <v>0.83776619567402888</v>
      </c>
      <c r="DU118" s="1">
        <v>0.8265397371393145</v>
      </c>
      <c r="DV118" s="1">
        <v>0.83630022049479957</v>
      </c>
      <c r="DW118" s="1">
        <v>0.31121930182919078</v>
      </c>
      <c r="DX118" s="1">
        <v>0.19945223711452914</v>
      </c>
      <c r="DY118" s="1">
        <v>0.72444010611898357</v>
      </c>
    </row>
    <row r="119" spans="1:129" ht="15">
      <c r="A119" s="7" t="s">
        <v>130</v>
      </c>
      <c r="B119" s="3" t="str">
        <v/>
      </c>
      <c r="C119" s="3" t="str">
        <v/>
      </c>
      <c r="D119" s="3" t="str">
        <v/>
      </c>
      <c r="E119" s="3" t="str">
        <v/>
      </c>
      <c r="F119" s="3" t="str">
        <v/>
      </c>
      <c r="G119" s="3" t="str">
        <v/>
      </c>
      <c r="H119" s="3" t="str">
        <v/>
      </c>
      <c r="I119" s="3" t="str">
        <v/>
      </c>
      <c r="J119" s="3" t="str">
        <v/>
      </c>
      <c r="K119" s="3" t="str">
        <v/>
      </c>
      <c r="L119" s="3" t="str">
        <v/>
      </c>
      <c r="M119" s="3" t="str">
        <v/>
      </c>
      <c r="N119" s="3" t="str">
        <v/>
      </c>
      <c r="O119" s="3" t="str">
        <v/>
      </c>
      <c r="P119" s="3" t="str">
        <v/>
      </c>
      <c r="Q119" s="3" t="str">
        <v/>
      </c>
      <c r="R119" s="3" t="str">
        <v/>
      </c>
      <c r="S119" s="3" t="str">
        <v/>
      </c>
      <c r="T119" s="3" t="str">
        <v/>
      </c>
      <c r="U119" s="3" t="str">
        <v/>
      </c>
      <c r="V119" s="3" t="str">
        <v/>
      </c>
      <c r="W119" s="3" t="str">
        <v/>
      </c>
      <c r="X119" s="3" t="str">
        <v/>
      </c>
      <c r="Y119" s="3" t="str">
        <v/>
      </c>
      <c r="Z119" s="3" t="str">
        <v/>
      </c>
      <c r="AA119" s="3" t="str">
        <v/>
      </c>
      <c r="AB119" s="3" t="str">
        <v/>
      </c>
      <c r="AC119" s="3" t="str">
        <v/>
      </c>
      <c r="AD119" s="3" t="str">
        <v/>
      </c>
      <c r="AE119" s="3" t="str">
        <v/>
      </c>
      <c r="AF119" s="3" t="str">
        <v/>
      </c>
      <c r="AG119" s="3" t="str">
        <v/>
      </c>
      <c r="AH119" s="3" t="str">
        <v/>
      </c>
      <c r="AI119" s="3" t="str">
        <v/>
      </c>
      <c r="AJ119" s="3" t="str">
        <v/>
      </c>
      <c r="AK119" s="3" t="str">
        <v/>
      </c>
      <c r="AL119" s="3" t="str">
        <v/>
      </c>
      <c r="AM119" s="3" t="str">
        <v/>
      </c>
      <c r="AN119" s="3" t="str">
        <v/>
      </c>
      <c r="AO119" s="3" t="str">
        <v/>
      </c>
      <c r="AP119" s="3" t="str">
        <v/>
      </c>
      <c r="AQ119" s="3" t="str">
        <v/>
      </c>
      <c r="AR119" s="3" t="str">
        <v/>
      </c>
      <c r="AS119" s="3" t="str">
        <v/>
      </c>
      <c r="AT119" s="3" t="str">
        <v/>
      </c>
      <c r="AU119" s="3" t="str">
        <v/>
      </c>
      <c r="AV119" s="3" t="str">
        <v/>
      </c>
      <c r="AW119" s="3" t="str">
        <v/>
      </c>
      <c r="AX119" s="3" t="str">
        <v/>
      </c>
      <c r="AY119" s="3" t="str">
        <v/>
      </c>
      <c r="AZ119" s="3" t="str">
        <v/>
      </c>
      <c r="BA119" s="3" t="str">
        <v/>
      </c>
      <c r="BB119" s="3" t="str">
        <v/>
      </c>
      <c r="BC119" s="3" t="str">
        <v/>
      </c>
      <c r="BD119" s="3" t="str">
        <v/>
      </c>
      <c r="BE119" s="3" t="str">
        <v/>
      </c>
      <c r="BF119" s="3" t="str">
        <v/>
      </c>
      <c r="BG119" s="3" t="str">
        <v/>
      </c>
      <c r="BH119" s="3" t="str">
        <v/>
      </c>
      <c r="BI119" s="3" t="str">
        <v/>
      </c>
      <c r="BJ119" s="3" t="str">
        <v/>
      </c>
      <c r="BK119" s="3" t="str">
        <v/>
      </c>
      <c r="BL119" s="3" t="str">
        <v/>
      </c>
      <c r="BM119" s="3" t="str">
        <v/>
      </c>
      <c r="BN119" s="3" t="str">
        <v/>
      </c>
      <c r="BO119" s="3" t="str">
        <v/>
      </c>
      <c r="BP119" s="3" t="str">
        <v/>
      </c>
      <c r="BQ119" s="3" t="str">
        <v/>
      </c>
      <c r="BR119" s="3" t="str">
        <v/>
      </c>
      <c r="BS119" s="3" t="str">
        <v/>
      </c>
      <c r="BT119" s="3" t="str">
        <v/>
      </c>
      <c r="BU119" s="3" t="str">
        <v/>
      </c>
      <c r="BV119" s="3" t="str">
        <v/>
      </c>
      <c r="BW119" s="3" t="str">
        <v/>
      </c>
      <c r="BX119" s="3" t="str">
        <v/>
      </c>
      <c r="BY119" s="3" t="str">
        <v/>
      </c>
      <c r="BZ119" s="3" t="str">
        <v/>
      </c>
      <c r="CA119" s="3" t="str">
        <v/>
      </c>
      <c r="CB119" s="3" t="str">
        <v/>
      </c>
      <c r="CC119" s="3" t="str">
        <v/>
      </c>
      <c r="CD119" s="3" t="str">
        <v/>
      </c>
      <c r="CE119" s="3" t="str">
        <v/>
      </c>
      <c r="CF119" s="3" t="str">
        <v/>
      </c>
      <c r="CG119" s="3" t="str">
        <v/>
      </c>
      <c r="CH119" s="3" t="str">
        <v/>
      </c>
      <c r="CI119" s="3" t="str">
        <v/>
      </c>
      <c r="CJ119" s="3" t="str">
        <v/>
      </c>
      <c r="CK119" s="3" t="str">
        <v/>
      </c>
      <c r="CL119" s="3" t="str">
        <v/>
      </c>
      <c r="CM119" s="3" t="str">
        <v/>
      </c>
      <c r="CN119" s="3" t="str">
        <v/>
      </c>
      <c r="CO119" s="3" t="str">
        <v/>
      </c>
      <c r="CP119" s="3" t="str">
        <v/>
      </c>
      <c r="CQ119" s="3" t="str">
        <v/>
      </c>
      <c r="CR119" s="3" t="str">
        <v/>
      </c>
      <c r="CS119" s="3" t="str">
        <v/>
      </c>
      <c r="CT119" s="3" t="str">
        <v/>
      </c>
      <c r="CU119" s="3" t="str">
        <v/>
      </c>
      <c r="CV119" s="3" t="str">
        <v/>
      </c>
      <c r="CW119" s="3" t="str">
        <v/>
      </c>
      <c r="CX119" s="3" t="str">
        <v/>
      </c>
      <c r="CY119" s="3" t="str">
        <v/>
      </c>
      <c r="CZ119" s="3" t="str">
        <v/>
      </c>
      <c r="DA119" s="3" t="str">
        <v/>
      </c>
      <c r="DB119" s="3" t="str">
        <v/>
      </c>
      <c r="DC119" s="3" t="str">
        <v/>
      </c>
      <c r="DD119" s="3" t="str">
        <v/>
      </c>
      <c r="DE119" s="3" t="str">
        <v/>
      </c>
      <c r="DF119" s="3" t="str">
        <v/>
      </c>
      <c r="DG119" s="3" t="str">
        <v/>
      </c>
      <c r="DH119" s="3" t="str">
        <v/>
      </c>
      <c r="DI119" s="1" t="str">
        <v/>
      </c>
      <c r="DJ119" s="1" t="str">
        <v/>
      </c>
      <c r="DK119" s="1" t="str">
        <v/>
      </c>
      <c r="DL119" s="1" t="str">
        <v/>
      </c>
      <c r="DM119" s="1">
        <v>0.99999999999999978</v>
      </c>
      <c r="DN119" s="1">
        <v>0.86101075543396943</v>
      </c>
      <c r="DO119" s="1">
        <v>0.84052864505473146</v>
      </c>
      <c r="DP119" s="1">
        <v>0.88879880273394485</v>
      </c>
      <c r="DQ119" s="1">
        <v>0.90360637772949925</v>
      </c>
      <c r="DR119" s="1">
        <v>0.92494965981711541</v>
      </c>
      <c r="DS119" s="1">
        <v>0.65387131494392847</v>
      </c>
      <c r="DT119" s="1">
        <v>0.85913737536581758</v>
      </c>
      <c r="DU119" s="1">
        <v>0.86515559285548294</v>
      </c>
      <c r="DV119" s="1">
        <v>0.83162562503338433</v>
      </c>
      <c r="DW119" s="1">
        <v>0.2366067564826054</v>
      </c>
      <c r="DX119" s="1">
        <v>0.29200117295591205</v>
      </c>
      <c r="DY119" s="1">
        <v>0.75658977628471424</v>
      </c>
    </row>
    <row r="120" spans="1:129" ht="15">
      <c r="A120" s="7" t="s">
        <v>131</v>
      </c>
      <c r="B120" s="3" t="str">
        <v/>
      </c>
      <c r="C120" s="3" t="str">
        <v/>
      </c>
      <c r="D120" s="3" t="str">
        <v/>
      </c>
      <c r="E120" s="3" t="str">
        <v/>
      </c>
      <c r="F120" s="3" t="str">
        <v/>
      </c>
      <c r="G120" s="3" t="str">
        <v/>
      </c>
      <c r="H120" s="3" t="str">
        <v/>
      </c>
      <c r="I120" s="3" t="str">
        <v/>
      </c>
      <c r="J120" s="3" t="str">
        <v/>
      </c>
      <c r="K120" s="3" t="str">
        <v/>
      </c>
      <c r="L120" s="3" t="str">
        <v/>
      </c>
      <c r="M120" s="3" t="str">
        <v/>
      </c>
      <c r="N120" s="3" t="str">
        <v/>
      </c>
      <c r="O120" s="3" t="str">
        <v/>
      </c>
      <c r="P120" s="3" t="str">
        <v/>
      </c>
      <c r="Q120" s="3" t="str">
        <v/>
      </c>
      <c r="R120" s="3" t="str">
        <v/>
      </c>
      <c r="S120" s="3" t="str">
        <v/>
      </c>
      <c r="T120" s="3" t="str">
        <v/>
      </c>
      <c r="U120" s="3" t="str">
        <v/>
      </c>
      <c r="V120" s="3" t="str">
        <v/>
      </c>
      <c r="W120" s="3" t="str">
        <v/>
      </c>
      <c r="X120" s="3" t="str">
        <v/>
      </c>
      <c r="Y120" s="3" t="str">
        <v/>
      </c>
      <c r="Z120" s="3" t="str">
        <v/>
      </c>
      <c r="AA120" s="3" t="str">
        <v/>
      </c>
      <c r="AB120" s="3" t="str">
        <v/>
      </c>
      <c r="AC120" s="3" t="str">
        <v/>
      </c>
      <c r="AD120" s="3" t="str">
        <v/>
      </c>
      <c r="AE120" s="3" t="str">
        <v/>
      </c>
      <c r="AF120" s="3" t="str">
        <v/>
      </c>
      <c r="AG120" s="3" t="str">
        <v/>
      </c>
      <c r="AH120" s="3" t="str">
        <v/>
      </c>
      <c r="AI120" s="3" t="str">
        <v/>
      </c>
      <c r="AJ120" s="3" t="str">
        <v/>
      </c>
      <c r="AK120" s="3" t="str">
        <v/>
      </c>
      <c r="AL120" s="3" t="str">
        <v/>
      </c>
      <c r="AM120" s="3" t="str">
        <v/>
      </c>
      <c r="AN120" s="3" t="str">
        <v/>
      </c>
      <c r="AO120" s="3" t="str">
        <v/>
      </c>
      <c r="AP120" s="3" t="str">
        <v/>
      </c>
      <c r="AQ120" s="3" t="str">
        <v/>
      </c>
      <c r="AR120" s="3" t="str">
        <v/>
      </c>
      <c r="AS120" s="3" t="str">
        <v/>
      </c>
      <c r="AT120" s="3" t="str">
        <v/>
      </c>
      <c r="AU120" s="3" t="str">
        <v/>
      </c>
      <c r="AV120" s="3" t="str">
        <v/>
      </c>
      <c r="AW120" s="3" t="str">
        <v/>
      </c>
      <c r="AX120" s="3" t="str">
        <v/>
      </c>
      <c r="AY120" s="3" t="str">
        <v/>
      </c>
      <c r="AZ120" s="3" t="str">
        <v/>
      </c>
      <c r="BA120" s="3" t="str">
        <v/>
      </c>
      <c r="BB120" s="3" t="str">
        <v/>
      </c>
      <c r="BC120" s="3" t="str">
        <v/>
      </c>
      <c r="BD120" s="3" t="str">
        <v/>
      </c>
      <c r="BE120" s="3" t="str">
        <v/>
      </c>
      <c r="BF120" s="3" t="str">
        <v/>
      </c>
      <c r="BG120" s="3" t="str">
        <v/>
      </c>
      <c r="BH120" s="3" t="str">
        <v/>
      </c>
      <c r="BI120" s="3" t="str">
        <v/>
      </c>
      <c r="BJ120" s="3" t="str">
        <v/>
      </c>
      <c r="BK120" s="3" t="str">
        <v/>
      </c>
      <c r="BL120" s="3" t="str">
        <v/>
      </c>
      <c r="BM120" s="3" t="str">
        <v/>
      </c>
      <c r="BN120" s="3" t="str">
        <v/>
      </c>
      <c r="BO120" s="3" t="str">
        <v/>
      </c>
      <c r="BP120" s="3" t="str">
        <v/>
      </c>
      <c r="BQ120" s="3" t="str">
        <v/>
      </c>
      <c r="BR120" s="3" t="str">
        <v/>
      </c>
      <c r="BS120" s="3" t="str">
        <v/>
      </c>
      <c r="BT120" s="3" t="str">
        <v/>
      </c>
      <c r="BU120" s="3" t="str">
        <v/>
      </c>
      <c r="BV120" s="3" t="str">
        <v/>
      </c>
      <c r="BW120" s="3" t="str">
        <v/>
      </c>
      <c r="BX120" s="3" t="str">
        <v/>
      </c>
      <c r="BY120" s="3" t="str">
        <v/>
      </c>
      <c r="BZ120" s="3" t="str">
        <v/>
      </c>
      <c r="CA120" s="3" t="str">
        <v/>
      </c>
      <c r="CB120" s="3" t="str">
        <v/>
      </c>
      <c r="CC120" s="3" t="str">
        <v/>
      </c>
      <c r="CD120" s="3" t="str">
        <v/>
      </c>
      <c r="CE120" s="3" t="str">
        <v/>
      </c>
      <c r="CF120" s="3" t="str">
        <v/>
      </c>
      <c r="CG120" s="3" t="str">
        <v/>
      </c>
      <c r="CH120" s="3" t="str">
        <v/>
      </c>
      <c r="CI120" s="3" t="str">
        <v/>
      </c>
      <c r="CJ120" s="3" t="str">
        <v/>
      </c>
      <c r="CK120" s="3" t="str">
        <v/>
      </c>
      <c r="CL120" s="3" t="str">
        <v/>
      </c>
      <c r="CM120" s="3" t="str">
        <v/>
      </c>
      <c r="CN120" s="3" t="str">
        <v/>
      </c>
      <c r="CO120" s="3" t="str">
        <v/>
      </c>
      <c r="CP120" s="3" t="str">
        <v/>
      </c>
      <c r="CQ120" s="3" t="str">
        <v/>
      </c>
      <c r="CR120" s="3" t="str">
        <v/>
      </c>
      <c r="CS120" s="3" t="str">
        <v/>
      </c>
      <c r="CT120" s="3" t="str">
        <v/>
      </c>
      <c r="CU120" s="3" t="str">
        <v/>
      </c>
      <c r="CV120" s="3" t="str">
        <v/>
      </c>
      <c r="CW120" s="3" t="str">
        <v/>
      </c>
      <c r="CX120" s="3" t="str">
        <v/>
      </c>
      <c r="CY120" s="3" t="str">
        <v/>
      </c>
      <c r="CZ120" s="3" t="str">
        <v/>
      </c>
      <c r="DA120" s="3" t="str">
        <v/>
      </c>
      <c r="DB120" s="3" t="str">
        <v/>
      </c>
      <c r="DC120" s="3" t="str">
        <v/>
      </c>
      <c r="DD120" s="3" t="str">
        <v/>
      </c>
      <c r="DE120" s="3" t="str">
        <v/>
      </c>
      <c r="DF120" s="3" t="str">
        <v/>
      </c>
      <c r="DG120" s="3" t="str">
        <v/>
      </c>
      <c r="DH120" s="3" t="str">
        <v/>
      </c>
      <c r="DI120" s="1" t="str">
        <v/>
      </c>
      <c r="DJ120" s="1" t="str">
        <v/>
      </c>
      <c r="DK120" s="1" t="str">
        <v/>
      </c>
      <c r="DL120" s="1" t="str">
        <v/>
      </c>
      <c r="DM120" s="1" t="str">
        <v/>
      </c>
      <c r="DN120" s="1">
        <v>1.0000000000000002</v>
      </c>
      <c r="DO120" s="1">
        <v>0.78245498587768569</v>
      </c>
      <c r="DP120" s="1">
        <v>0.82483112411095394</v>
      </c>
      <c r="DQ120" s="1">
        <v>0.81815327162712492</v>
      </c>
      <c r="DR120" s="1">
        <v>0.83088538359028841</v>
      </c>
      <c r="DS120" s="1">
        <v>0.57699777396402174</v>
      </c>
      <c r="DT120" s="1">
        <v>0.82074035804857304</v>
      </c>
      <c r="DU120" s="1">
        <v>0.82018638527321819</v>
      </c>
      <c r="DV120" s="1">
        <v>0.81087363347731323</v>
      </c>
      <c r="DW120" s="1">
        <v>0.18201035229901988</v>
      </c>
      <c r="DX120" s="1">
        <v>0.2666882038185705</v>
      </c>
      <c r="DY120" s="1">
        <v>0.71783514330064613</v>
      </c>
    </row>
    <row r="121" spans="1:129" ht="15">
      <c r="A121" s="7" t="s">
        <v>132</v>
      </c>
      <c r="B121" s="3" t="str">
        <v/>
      </c>
      <c r="C121" s="3" t="str">
        <v/>
      </c>
      <c r="D121" s="3" t="str">
        <v/>
      </c>
      <c r="E121" s="3" t="str">
        <v/>
      </c>
      <c r="F121" s="3" t="str">
        <v/>
      </c>
      <c r="G121" s="3" t="str">
        <v/>
      </c>
      <c r="H121" s="3" t="str">
        <v/>
      </c>
      <c r="I121" s="3" t="str">
        <v/>
      </c>
      <c r="J121" s="3" t="str">
        <v/>
      </c>
      <c r="K121" s="3" t="str">
        <v/>
      </c>
      <c r="L121" s="3" t="str">
        <v/>
      </c>
      <c r="M121" s="3" t="str">
        <v/>
      </c>
      <c r="N121" s="3" t="str">
        <v/>
      </c>
      <c r="O121" s="3" t="str">
        <v/>
      </c>
      <c r="P121" s="3" t="str">
        <v/>
      </c>
      <c r="Q121" s="3" t="str">
        <v/>
      </c>
      <c r="R121" s="3" t="str">
        <v/>
      </c>
      <c r="S121" s="3" t="str">
        <v/>
      </c>
      <c r="T121" s="3" t="str">
        <v/>
      </c>
      <c r="U121" s="3" t="str">
        <v/>
      </c>
      <c r="V121" s="3" t="str">
        <v/>
      </c>
      <c r="W121" s="3" t="str">
        <v/>
      </c>
      <c r="X121" s="3" t="str">
        <v/>
      </c>
      <c r="Y121" s="3" t="str">
        <v/>
      </c>
      <c r="Z121" s="3" t="str">
        <v/>
      </c>
      <c r="AA121" s="3" t="str">
        <v/>
      </c>
      <c r="AB121" s="3" t="str">
        <v/>
      </c>
      <c r="AC121" s="3" t="str">
        <v/>
      </c>
      <c r="AD121" s="3" t="str">
        <v/>
      </c>
      <c r="AE121" s="3" t="str">
        <v/>
      </c>
      <c r="AF121" s="3" t="str">
        <v/>
      </c>
      <c r="AG121" s="3" t="str">
        <v/>
      </c>
      <c r="AH121" s="3" t="str">
        <v/>
      </c>
      <c r="AI121" s="3" t="str">
        <v/>
      </c>
      <c r="AJ121" s="3" t="str">
        <v/>
      </c>
      <c r="AK121" s="3" t="str">
        <v/>
      </c>
      <c r="AL121" s="3" t="str">
        <v/>
      </c>
      <c r="AM121" s="3" t="str">
        <v/>
      </c>
      <c r="AN121" s="3" t="str">
        <v/>
      </c>
      <c r="AO121" s="3" t="str">
        <v/>
      </c>
      <c r="AP121" s="3" t="str">
        <v/>
      </c>
      <c r="AQ121" s="3" t="str">
        <v/>
      </c>
      <c r="AR121" s="3" t="str">
        <v/>
      </c>
      <c r="AS121" s="3" t="str">
        <v/>
      </c>
      <c r="AT121" s="3" t="str">
        <v/>
      </c>
      <c r="AU121" s="3" t="str">
        <v/>
      </c>
      <c r="AV121" s="3" t="str">
        <v/>
      </c>
      <c r="AW121" s="3" t="str">
        <v/>
      </c>
      <c r="AX121" s="3" t="str">
        <v/>
      </c>
      <c r="AY121" s="3" t="str">
        <v/>
      </c>
      <c r="AZ121" s="3" t="str">
        <v/>
      </c>
      <c r="BA121" s="3" t="str">
        <v/>
      </c>
      <c r="BB121" s="3" t="str">
        <v/>
      </c>
      <c r="BC121" s="3" t="str">
        <v/>
      </c>
      <c r="BD121" s="3" t="str">
        <v/>
      </c>
      <c r="BE121" s="3" t="str">
        <v/>
      </c>
      <c r="BF121" s="3" t="str">
        <v/>
      </c>
      <c r="BG121" s="3" t="str">
        <v/>
      </c>
      <c r="BH121" s="3" t="str">
        <v/>
      </c>
      <c r="BI121" s="3" t="str">
        <v/>
      </c>
      <c r="BJ121" s="3" t="str">
        <v/>
      </c>
      <c r="BK121" s="3" t="str">
        <v/>
      </c>
      <c r="BL121" s="3" t="str">
        <v/>
      </c>
      <c r="BM121" s="3" t="str">
        <v/>
      </c>
      <c r="BN121" s="3" t="str">
        <v/>
      </c>
      <c r="BO121" s="3" t="str">
        <v/>
      </c>
      <c r="BP121" s="3" t="str">
        <v/>
      </c>
      <c r="BQ121" s="3" t="str">
        <v/>
      </c>
      <c r="BR121" s="3" t="str">
        <v/>
      </c>
      <c r="BS121" s="3" t="str">
        <v/>
      </c>
      <c r="BT121" s="3" t="str">
        <v/>
      </c>
      <c r="BU121" s="3" t="str">
        <v/>
      </c>
      <c r="BV121" s="3" t="str">
        <v/>
      </c>
      <c r="BW121" s="3" t="str">
        <v/>
      </c>
      <c r="BX121" s="3" t="str">
        <v/>
      </c>
      <c r="BY121" s="3" t="str">
        <v/>
      </c>
      <c r="BZ121" s="3" t="str">
        <v/>
      </c>
      <c r="CA121" s="3" t="str">
        <v/>
      </c>
      <c r="CB121" s="3" t="str">
        <v/>
      </c>
      <c r="CC121" s="3" t="str">
        <v/>
      </c>
      <c r="CD121" s="3" t="str">
        <v/>
      </c>
      <c r="CE121" s="3" t="str">
        <v/>
      </c>
      <c r="CF121" s="3" t="str">
        <v/>
      </c>
      <c r="CG121" s="3" t="str">
        <v/>
      </c>
      <c r="CH121" s="3" t="str">
        <v/>
      </c>
      <c r="CI121" s="3" t="str">
        <v/>
      </c>
      <c r="CJ121" s="3" t="str">
        <v/>
      </c>
      <c r="CK121" s="3" t="str">
        <v/>
      </c>
      <c r="CL121" s="3" t="str">
        <v/>
      </c>
      <c r="CM121" s="3" t="str">
        <v/>
      </c>
      <c r="CN121" s="3" t="str">
        <v/>
      </c>
      <c r="CO121" s="3" t="str">
        <v/>
      </c>
      <c r="CP121" s="3" t="str">
        <v/>
      </c>
      <c r="CQ121" s="3" t="str">
        <v/>
      </c>
      <c r="CR121" s="3" t="str">
        <v/>
      </c>
      <c r="CS121" s="3" t="str">
        <v/>
      </c>
      <c r="CT121" s="3" t="str">
        <v/>
      </c>
      <c r="CU121" s="3" t="str">
        <v/>
      </c>
      <c r="CV121" s="3" t="str">
        <v/>
      </c>
      <c r="CW121" s="3" t="str">
        <v/>
      </c>
      <c r="CX121" s="3" t="str">
        <v/>
      </c>
      <c r="CY121" s="3" t="str">
        <v/>
      </c>
      <c r="CZ121" s="3" t="str">
        <v/>
      </c>
      <c r="DA121" s="3" t="str">
        <v/>
      </c>
      <c r="DB121" s="3" t="str">
        <v/>
      </c>
      <c r="DC121" s="3" t="str">
        <v/>
      </c>
      <c r="DD121" s="3" t="str">
        <v/>
      </c>
      <c r="DE121" s="3" t="str">
        <v/>
      </c>
      <c r="DF121" s="3" t="str">
        <v/>
      </c>
      <c r="DG121" s="3" t="str">
        <v/>
      </c>
      <c r="DH121" s="3" t="str">
        <v/>
      </c>
      <c r="DI121" s="1" t="str">
        <v/>
      </c>
      <c r="DJ121" s="1" t="str">
        <v/>
      </c>
      <c r="DK121" s="1" t="str">
        <v/>
      </c>
      <c r="DL121" s="1" t="str">
        <v/>
      </c>
      <c r="DM121" s="1" t="str">
        <v/>
      </c>
      <c r="DN121" s="1" t="str">
        <v/>
      </c>
      <c r="DO121" s="1">
        <v>0.99999999999999978</v>
      </c>
      <c r="DP121" s="1">
        <v>0.86199444360074695</v>
      </c>
      <c r="DQ121" s="1">
        <v>0.86120869136186684</v>
      </c>
      <c r="DR121" s="1">
        <v>0.81298239538658912</v>
      </c>
      <c r="DS121" s="1">
        <v>0.57183402863028399</v>
      </c>
      <c r="DT121" s="1">
        <v>0.81877989318617661</v>
      </c>
      <c r="DU121" s="1">
        <v>0.78978682006087375</v>
      </c>
      <c r="DV121" s="1">
        <v>0.87006238357336174</v>
      </c>
      <c r="DW121" s="1">
        <v>0.31478783738186117</v>
      </c>
      <c r="DX121" s="1">
        <v>0.15637861526688238</v>
      </c>
      <c r="DY121" s="1">
        <v>0.66000508326849938</v>
      </c>
    </row>
    <row r="122" spans="1:129" ht="15">
      <c r="A122" s="7" t="s">
        <v>133</v>
      </c>
      <c r="B122" s="3" t="str">
        <v/>
      </c>
      <c r="C122" s="3" t="str">
        <v/>
      </c>
      <c r="D122" s="3" t="str">
        <v/>
      </c>
      <c r="E122" s="3" t="str">
        <v/>
      </c>
      <c r="F122" s="3" t="str">
        <v/>
      </c>
      <c r="G122" s="3" t="str">
        <v/>
      </c>
      <c r="H122" s="3" t="str">
        <v/>
      </c>
      <c r="I122" s="3" t="str">
        <v/>
      </c>
      <c r="J122" s="3" t="str">
        <v/>
      </c>
      <c r="K122" s="3" t="str">
        <v/>
      </c>
      <c r="L122" s="3" t="str">
        <v/>
      </c>
      <c r="M122" s="3" t="str">
        <v/>
      </c>
      <c r="N122" s="3" t="str">
        <v/>
      </c>
      <c r="O122" s="3" t="str">
        <v/>
      </c>
      <c r="P122" s="3" t="str">
        <v/>
      </c>
      <c r="Q122" s="3" t="str">
        <v/>
      </c>
      <c r="R122" s="3" t="str">
        <v/>
      </c>
      <c r="S122" s="3" t="str">
        <v/>
      </c>
      <c r="T122" s="3" t="str">
        <v/>
      </c>
      <c r="U122" s="3" t="str">
        <v/>
      </c>
      <c r="V122" s="3" t="str">
        <v/>
      </c>
      <c r="W122" s="3" t="str">
        <v/>
      </c>
      <c r="X122" s="3" t="str">
        <v/>
      </c>
      <c r="Y122" s="3" t="str">
        <v/>
      </c>
      <c r="Z122" s="3" t="str">
        <v/>
      </c>
      <c r="AA122" s="3" t="str">
        <v/>
      </c>
      <c r="AB122" s="3" t="str">
        <v/>
      </c>
      <c r="AC122" s="3" t="str">
        <v/>
      </c>
      <c r="AD122" s="3" t="str">
        <v/>
      </c>
      <c r="AE122" s="3" t="str">
        <v/>
      </c>
      <c r="AF122" s="3" t="str">
        <v/>
      </c>
      <c r="AG122" s="3" t="str">
        <v/>
      </c>
      <c r="AH122" s="3" t="str">
        <v/>
      </c>
      <c r="AI122" s="3" t="str">
        <v/>
      </c>
      <c r="AJ122" s="3" t="str">
        <v/>
      </c>
      <c r="AK122" s="3" t="str">
        <v/>
      </c>
      <c r="AL122" s="3" t="str">
        <v/>
      </c>
      <c r="AM122" s="3" t="str">
        <v/>
      </c>
      <c r="AN122" s="3" t="str">
        <v/>
      </c>
      <c r="AO122" s="3" t="str">
        <v/>
      </c>
      <c r="AP122" s="3" t="str">
        <v/>
      </c>
      <c r="AQ122" s="3" t="str">
        <v/>
      </c>
      <c r="AR122" s="3" t="str">
        <v/>
      </c>
      <c r="AS122" s="3" t="str">
        <v/>
      </c>
      <c r="AT122" s="3" t="str">
        <v/>
      </c>
      <c r="AU122" s="3" t="str">
        <v/>
      </c>
      <c r="AV122" s="3" t="str">
        <v/>
      </c>
      <c r="AW122" s="3" t="str">
        <v/>
      </c>
      <c r="AX122" s="3" t="str">
        <v/>
      </c>
      <c r="AY122" s="3" t="str">
        <v/>
      </c>
      <c r="AZ122" s="3" t="str">
        <v/>
      </c>
      <c r="BA122" s="3" t="str">
        <v/>
      </c>
      <c r="BB122" s="3" t="str">
        <v/>
      </c>
      <c r="BC122" s="3" t="str">
        <v/>
      </c>
      <c r="BD122" s="3" t="str">
        <v/>
      </c>
      <c r="BE122" s="3" t="str">
        <v/>
      </c>
      <c r="BF122" s="3" t="str">
        <v/>
      </c>
      <c r="BG122" s="3" t="str">
        <v/>
      </c>
      <c r="BH122" s="3" t="str">
        <v/>
      </c>
      <c r="BI122" s="3" t="str">
        <v/>
      </c>
      <c r="BJ122" s="3" t="str">
        <v/>
      </c>
      <c r="BK122" s="3" t="str">
        <v/>
      </c>
      <c r="BL122" s="3" t="str">
        <v/>
      </c>
      <c r="BM122" s="3" t="str">
        <v/>
      </c>
      <c r="BN122" s="3" t="str">
        <v/>
      </c>
      <c r="BO122" s="3" t="str">
        <v/>
      </c>
      <c r="BP122" s="3" t="str">
        <v/>
      </c>
      <c r="BQ122" s="3" t="str">
        <v/>
      </c>
      <c r="BR122" s="3" t="str">
        <v/>
      </c>
      <c r="BS122" s="3" t="str">
        <v/>
      </c>
      <c r="BT122" s="3" t="str">
        <v/>
      </c>
      <c r="BU122" s="3" t="str">
        <v/>
      </c>
      <c r="BV122" s="3" t="str">
        <v/>
      </c>
      <c r="BW122" s="3" t="str">
        <v/>
      </c>
      <c r="BX122" s="3" t="str">
        <v/>
      </c>
      <c r="BY122" s="3" t="str">
        <v/>
      </c>
      <c r="BZ122" s="3" t="str">
        <v/>
      </c>
      <c r="CA122" s="3" t="str">
        <v/>
      </c>
      <c r="CB122" s="3" t="str">
        <v/>
      </c>
      <c r="CC122" s="3" t="str">
        <v/>
      </c>
      <c r="CD122" s="3" t="str">
        <v/>
      </c>
      <c r="CE122" s="3" t="str">
        <v/>
      </c>
      <c r="CF122" s="3" t="str">
        <v/>
      </c>
      <c r="CG122" s="3" t="str">
        <v/>
      </c>
      <c r="CH122" s="3" t="str">
        <v/>
      </c>
      <c r="CI122" s="3" t="str">
        <v/>
      </c>
      <c r="CJ122" s="3" t="str">
        <v/>
      </c>
      <c r="CK122" s="3" t="str">
        <v/>
      </c>
      <c r="CL122" s="3" t="str">
        <v/>
      </c>
      <c r="CM122" s="3" t="str">
        <v/>
      </c>
      <c r="CN122" s="3" t="str">
        <v/>
      </c>
      <c r="CO122" s="3" t="str">
        <v/>
      </c>
      <c r="CP122" s="3" t="str">
        <v/>
      </c>
      <c r="CQ122" s="3" t="str">
        <v/>
      </c>
      <c r="CR122" s="3" t="str">
        <v/>
      </c>
      <c r="CS122" s="3" t="str">
        <v/>
      </c>
      <c r="CT122" s="3" t="str">
        <v/>
      </c>
      <c r="CU122" s="3" t="str">
        <v/>
      </c>
      <c r="CV122" s="3" t="str">
        <v/>
      </c>
      <c r="CW122" s="3" t="str">
        <v/>
      </c>
      <c r="CX122" s="3" t="str">
        <v/>
      </c>
      <c r="CY122" s="3" t="str">
        <v/>
      </c>
      <c r="CZ122" s="3" t="str">
        <v/>
      </c>
      <c r="DA122" s="3" t="str">
        <v/>
      </c>
      <c r="DB122" s="3" t="str">
        <v/>
      </c>
      <c r="DC122" s="3" t="str">
        <v/>
      </c>
      <c r="DD122" s="3" t="str">
        <v/>
      </c>
      <c r="DE122" s="3" t="str">
        <v/>
      </c>
      <c r="DF122" s="3" t="str">
        <v/>
      </c>
      <c r="DG122" s="3" t="str">
        <v/>
      </c>
      <c r="DH122" s="3" t="str">
        <v/>
      </c>
      <c r="DI122" s="1" t="str">
        <v/>
      </c>
      <c r="DJ122" s="1" t="str">
        <v/>
      </c>
      <c r="DK122" s="1" t="str">
        <v/>
      </c>
      <c r="DL122" s="1" t="str">
        <v/>
      </c>
      <c r="DM122" s="1" t="str">
        <v/>
      </c>
      <c r="DN122" s="1" t="str">
        <v/>
      </c>
      <c r="DO122" s="1" t="str">
        <v/>
      </c>
      <c r="DP122" s="1">
        <v>1</v>
      </c>
      <c r="DQ122" s="1">
        <v>0.87054996199140033</v>
      </c>
      <c r="DR122" s="1">
        <v>0.89832122084575217</v>
      </c>
      <c r="DS122" s="1">
        <v>0.70702461348648038</v>
      </c>
      <c r="DT122" s="1">
        <v>0.86014090159793488</v>
      </c>
      <c r="DU122" s="1">
        <v>0.84998596637702106</v>
      </c>
      <c r="DV122" s="1">
        <v>0.88009230598603716</v>
      </c>
      <c r="DW122" s="1">
        <v>0.30335386802636416</v>
      </c>
      <c r="DX122" s="1">
        <v>0.20188750612215467</v>
      </c>
      <c r="DY122" s="1">
        <v>0.72912883007914597</v>
      </c>
    </row>
    <row r="123" spans="1:129" ht="15">
      <c r="A123" s="7" t="s">
        <v>134</v>
      </c>
      <c r="B123" s="3" t="str">
        <v/>
      </c>
      <c r="C123" s="3" t="str">
        <v/>
      </c>
      <c r="D123" s="3" t="str">
        <v/>
      </c>
      <c r="E123" s="3" t="str">
        <v/>
      </c>
      <c r="F123" s="3" t="str">
        <v/>
      </c>
      <c r="G123" s="3" t="str">
        <v/>
      </c>
      <c r="H123" s="3" t="str">
        <v/>
      </c>
      <c r="I123" s="3" t="str">
        <v/>
      </c>
      <c r="J123" s="3" t="str">
        <v/>
      </c>
      <c r="K123" s="3" t="str">
        <v/>
      </c>
      <c r="L123" s="3" t="str">
        <v/>
      </c>
      <c r="M123" s="3" t="str">
        <v/>
      </c>
      <c r="N123" s="3" t="str">
        <v/>
      </c>
      <c r="O123" s="3" t="str">
        <v/>
      </c>
      <c r="P123" s="3" t="str">
        <v/>
      </c>
      <c r="Q123" s="3" t="str">
        <v/>
      </c>
      <c r="R123" s="3" t="str">
        <v/>
      </c>
      <c r="S123" s="3" t="str">
        <v/>
      </c>
      <c r="T123" s="3" t="str">
        <v/>
      </c>
      <c r="U123" s="3" t="str">
        <v/>
      </c>
      <c r="V123" s="3" t="str">
        <v/>
      </c>
      <c r="W123" s="3" t="str">
        <v/>
      </c>
      <c r="X123" s="3" t="str">
        <v/>
      </c>
      <c r="Y123" s="3" t="str">
        <v/>
      </c>
      <c r="Z123" s="3" t="str">
        <v/>
      </c>
      <c r="AA123" s="3" t="str">
        <v/>
      </c>
      <c r="AB123" s="3" t="str">
        <v/>
      </c>
      <c r="AC123" s="3" t="str">
        <v/>
      </c>
      <c r="AD123" s="3" t="str">
        <v/>
      </c>
      <c r="AE123" s="3" t="str">
        <v/>
      </c>
      <c r="AF123" s="3" t="str">
        <v/>
      </c>
      <c r="AG123" s="3" t="str">
        <v/>
      </c>
      <c r="AH123" s="3" t="str">
        <v/>
      </c>
      <c r="AI123" s="3" t="str">
        <v/>
      </c>
      <c r="AJ123" s="3" t="str">
        <v/>
      </c>
      <c r="AK123" s="3" t="str">
        <v/>
      </c>
      <c r="AL123" s="3" t="str">
        <v/>
      </c>
      <c r="AM123" s="3" t="str">
        <v/>
      </c>
      <c r="AN123" s="3" t="str">
        <v/>
      </c>
      <c r="AO123" s="3" t="str">
        <v/>
      </c>
      <c r="AP123" s="3" t="str">
        <v/>
      </c>
      <c r="AQ123" s="3" t="str">
        <v/>
      </c>
      <c r="AR123" s="3" t="str">
        <v/>
      </c>
      <c r="AS123" s="3" t="str">
        <v/>
      </c>
      <c r="AT123" s="3" t="str">
        <v/>
      </c>
      <c r="AU123" s="3" t="str">
        <v/>
      </c>
      <c r="AV123" s="3" t="str">
        <v/>
      </c>
      <c r="AW123" s="3" t="str">
        <v/>
      </c>
      <c r="AX123" s="3" t="str">
        <v/>
      </c>
      <c r="AY123" s="3" t="str">
        <v/>
      </c>
      <c r="AZ123" s="3" t="str">
        <v/>
      </c>
      <c r="BA123" s="3" t="str">
        <v/>
      </c>
      <c r="BB123" s="3" t="str">
        <v/>
      </c>
      <c r="BC123" s="3" t="str">
        <v/>
      </c>
      <c r="BD123" s="3" t="str">
        <v/>
      </c>
      <c r="BE123" s="3" t="str">
        <v/>
      </c>
      <c r="BF123" s="3" t="str">
        <v/>
      </c>
      <c r="BG123" s="3" t="str">
        <v/>
      </c>
      <c r="BH123" s="3" t="str">
        <v/>
      </c>
      <c r="BI123" s="3" t="str">
        <v/>
      </c>
      <c r="BJ123" s="3" t="str">
        <v/>
      </c>
      <c r="BK123" s="3" t="str">
        <v/>
      </c>
      <c r="BL123" s="3" t="str">
        <v/>
      </c>
      <c r="BM123" s="3" t="str">
        <v/>
      </c>
      <c r="BN123" s="3" t="str">
        <v/>
      </c>
      <c r="BO123" s="3" t="str">
        <v/>
      </c>
      <c r="BP123" s="3" t="str">
        <v/>
      </c>
      <c r="BQ123" s="3" t="str">
        <v/>
      </c>
      <c r="BR123" s="3" t="str">
        <v/>
      </c>
      <c r="BS123" s="3" t="str">
        <v/>
      </c>
      <c r="BT123" s="3" t="str">
        <v/>
      </c>
      <c r="BU123" s="3" t="str">
        <v/>
      </c>
      <c r="BV123" s="3" t="str">
        <v/>
      </c>
      <c r="BW123" s="3" t="str">
        <v/>
      </c>
      <c r="BX123" s="3" t="str">
        <v/>
      </c>
      <c r="BY123" s="3" t="str">
        <v/>
      </c>
      <c r="BZ123" s="3" t="str">
        <v/>
      </c>
      <c r="CA123" s="3" t="str">
        <v/>
      </c>
      <c r="CB123" s="3" t="str">
        <v/>
      </c>
      <c r="CC123" s="3" t="str">
        <v/>
      </c>
      <c r="CD123" s="3" t="str">
        <v/>
      </c>
      <c r="CE123" s="3" t="str">
        <v/>
      </c>
      <c r="CF123" s="3" t="str">
        <v/>
      </c>
      <c r="CG123" s="3" t="str">
        <v/>
      </c>
      <c r="CH123" s="3" t="str">
        <v/>
      </c>
      <c r="CI123" s="3" t="str">
        <v/>
      </c>
      <c r="CJ123" s="3" t="str">
        <v/>
      </c>
      <c r="CK123" s="3" t="str">
        <v/>
      </c>
      <c r="CL123" s="3" t="str">
        <v/>
      </c>
      <c r="CM123" s="3" t="str">
        <v/>
      </c>
      <c r="CN123" s="3" t="str">
        <v/>
      </c>
      <c r="CO123" s="3" t="str">
        <v/>
      </c>
      <c r="CP123" s="3" t="str">
        <v/>
      </c>
      <c r="CQ123" s="3" t="str">
        <v/>
      </c>
      <c r="CR123" s="3" t="str">
        <v/>
      </c>
      <c r="CS123" s="3" t="str">
        <v/>
      </c>
      <c r="CT123" s="3" t="str">
        <v/>
      </c>
      <c r="CU123" s="3" t="str">
        <v/>
      </c>
      <c r="CV123" s="3" t="str">
        <v/>
      </c>
      <c r="CW123" s="3" t="str">
        <v/>
      </c>
      <c r="CX123" s="3" t="str">
        <v/>
      </c>
      <c r="CY123" s="3" t="str">
        <v/>
      </c>
      <c r="CZ123" s="3" t="str">
        <v/>
      </c>
      <c r="DA123" s="3" t="str">
        <v/>
      </c>
      <c r="DB123" s="3" t="str">
        <v/>
      </c>
      <c r="DC123" s="3" t="str">
        <v/>
      </c>
      <c r="DD123" s="3" t="str">
        <v/>
      </c>
      <c r="DE123" s="3" t="str">
        <v/>
      </c>
      <c r="DF123" s="3" t="str">
        <v/>
      </c>
      <c r="DG123" s="3" t="str">
        <v/>
      </c>
      <c r="DH123" s="3" t="str">
        <v/>
      </c>
      <c r="DI123" s="1" t="str">
        <v/>
      </c>
      <c r="DJ123" s="1" t="str">
        <v/>
      </c>
      <c r="DK123" s="1" t="str">
        <v/>
      </c>
      <c r="DL123" s="1" t="str">
        <v/>
      </c>
      <c r="DM123" s="1" t="str">
        <v/>
      </c>
      <c r="DN123" s="1" t="str">
        <v/>
      </c>
      <c r="DO123" s="1" t="str">
        <v/>
      </c>
      <c r="DP123" s="1" t="str">
        <v/>
      </c>
      <c r="DQ123" s="1">
        <v>1</v>
      </c>
      <c r="DR123" s="1">
        <v>0.83670787631518484</v>
      </c>
      <c r="DS123" s="1">
        <v>0.56350436811701476</v>
      </c>
      <c r="DT123" s="1">
        <v>0.88057023220583619</v>
      </c>
      <c r="DU123" s="1">
        <v>0.82221015858894586</v>
      </c>
      <c r="DV123" s="1">
        <v>0.86353248332655907</v>
      </c>
      <c r="DW123" s="1">
        <v>0.31160636113708046</v>
      </c>
      <c r="DX123" s="1">
        <v>0.23417228876514076</v>
      </c>
      <c r="DY123" s="1">
        <v>0.67246730902777618</v>
      </c>
    </row>
    <row r="124" spans="1:129" ht="15">
      <c r="A124" s="7" t="s">
        <v>135</v>
      </c>
      <c r="B124" s="3" t="str">
        <v/>
      </c>
      <c r="C124" s="3" t="str">
        <v/>
      </c>
      <c r="D124" s="3" t="str">
        <v/>
      </c>
      <c r="E124" s="3" t="str">
        <v/>
      </c>
      <c r="F124" s="3" t="str">
        <v/>
      </c>
      <c r="G124" s="3" t="str">
        <v/>
      </c>
      <c r="H124" s="3" t="str">
        <v/>
      </c>
      <c r="I124" s="3" t="str">
        <v/>
      </c>
      <c r="J124" s="3" t="str">
        <v/>
      </c>
      <c r="K124" s="3" t="str">
        <v/>
      </c>
      <c r="L124" s="3" t="str">
        <v/>
      </c>
      <c r="M124" s="3" t="str">
        <v/>
      </c>
      <c r="N124" s="3" t="str">
        <v/>
      </c>
      <c r="O124" s="3" t="str">
        <v/>
      </c>
      <c r="P124" s="3" t="str">
        <v/>
      </c>
      <c r="Q124" s="3" t="str">
        <v/>
      </c>
      <c r="R124" s="3" t="str">
        <v/>
      </c>
      <c r="S124" s="3" t="str">
        <v/>
      </c>
      <c r="T124" s="3" t="str">
        <v/>
      </c>
      <c r="U124" s="3" t="str">
        <v/>
      </c>
      <c r="V124" s="3" t="str">
        <v/>
      </c>
      <c r="W124" s="3" t="str">
        <v/>
      </c>
      <c r="X124" s="3" t="str">
        <v/>
      </c>
      <c r="Y124" s="3" t="str">
        <v/>
      </c>
      <c r="Z124" s="3" t="str">
        <v/>
      </c>
      <c r="AA124" s="3" t="str">
        <v/>
      </c>
      <c r="AB124" s="3" t="str">
        <v/>
      </c>
      <c r="AC124" s="3" t="str">
        <v/>
      </c>
      <c r="AD124" s="3" t="str">
        <v/>
      </c>
      <c r="AE124" s="3" t="str">
        <v/>
      </c>
      <c r="AF124" s="3" t="str">
        <v/>
      </c>
      <c r="AG124" s="3" t="str">
        <v/>
      </c>
      <c r="AH124" s="3" t="str">
        <v/>
      </c>
      <c r="AI124" s="3" t="str">
        <v/>
      </c>
      <c r="AJ124" s="3" t="str">
        <v/>
      </c>
      <c r="AK124" s="3" t="str">
        <v/>
      </c>
      <c r="AL124" s="3" t="str">
        <v/>
      </c>
      <c r="AM124" s="3" t="str">
        <v/>
      </c>
      <c r="AN124" s="3" t="str">
        <v/>
      </c>
      <c r="AO124" s="3" t="str">
        <v/>
      </c>
      <c r="AP124" s="3" t="str">
        <v/>
      </c>
      <c r="AQ124" s="3" t="str">
        <v/>
      </c>
      <c r="AR124" s="3" t="str">
        <v/>
      </c>
      <c r="AS124" s="3" t="str">
        <v/>
      </c>
      <c r="AT124" s="3" t="str">
        <v/>
      </c>
      <c r="AU124" s="3" t="str">
        <v/>
      </c>
      <c r="AV124" s="3" t="str">
        <v/>
      </c>
      <c r="AW124" s="3" t="str">
        <v/>
      </c>
      <c r="AX124" s="3" t="str">
        <v/>
      </c>
      <c r="AY124" s="3" t="str">
        <v/>
      </c>
      <c r="AZ124" s="3" t="str">
        <v/>
      </c>
      <c r="BA124" s="3" t="str">
        <v/>
      </c>
      <c r="BB124" s="3" t="str">
        <v/>
      </c>
      <c r="BC124" s="3" t="str">
        <v/>
      </c>
      <c r="BD124" s="3" t="str">
        <v/>
      </c>
      <c r="BE124" s="3" t="str">
        <v/>
      </c>
      <c r="BF124" s="3" t="str">
        <v/>
      </c>
      <c r="BG124" s="3" t="str">
        <v/>
      </c>
      <c r="BH124" s="3" t="str">
        <v/>
      </c>
      <c r="BI124" s="3" t="str">
        <v/>
      </c>
      <c r="BJ124" s="3" t="str">
        <v/>
      </c>
      <c r="BK124" s="3" t="str">
        <v/>
      </c>
      <c r="BL124" s="3" t="str">
        <v/>
      </c>
      <c r="BM124" s="3" t="str">
        <v/>
      </c>
      <c r="BN124" s="3" t="str">
        <v/>
      </c>
      <c r="BO124" s="3" t="str">
        <v/>
      </c>
      <c r="BP124" s="3" t="str">
        <v/>
      </c>
      <c r="BQ124" s="3" t="str">
        <v/>
      </c>
      <c r="BR124" s="3" t="str">
        <v/>
      </c>
      <c r="BS124" s="3" t="str">
        <v/>
      </c>
      <c r="BT124" s="3" t="str">
        <v/>
      </c>
      <c r="BU124" s="3" t="str">
        <v/>
      </c>
      <c r="BV124" s="3" t="str">
        <v/>
      </c>
      <c r="BW124" s="3" t="str">
        <v/>
      </c>
      <c r="BX124" s="3" t="str">
        <v/>
      </c>
      <c r="BY124" s="3" t="str">
        <v/>
      </c>
      <c r="BZ124" s="3" t="str">
        <v/>
      </c>
      <c r="CA124" s="3" t="str">
        <v/>
      </c>
      <c r="CB124" s="3" t="str">
        <v/>
      </c>
      <c r="CC124" s="3" t="str">
        <v/>
      </c>
      <c r="CD124" s="3" t="str">
        <v/>
      </c>
      <c r="CE124" s="3" t="str">
        <v/>
      </c>
      <c r="CF124" s="3" t="str">
        <v/>
      </c>
      <c r="CG124" s="3" t="str">
        <v/>
      </c>
      <c r="CH124" s="3" t="str">
        <v/>
      </c>
      <c r="CI124" s="3" t="str">
        <v/>
      </c>
      <c r="CJ124" s="3" t="str">
        <v/>
      </c>
      <c r="CK124" s="3" t="str">
        <v/>
      </c>
      <c r="CL124" s="3" t="str">
        <v/>
      </c>
      <c r="CM124" s="3" t="str">
        <v/>
      </c>
      <c r="CN124" s="3" t="str">
        <v/>
      </c>
      <c r="CO124" s="3" t="str">
        <v/>
      </c>
      <c r="CP124" s="3" t="str">
        <v/>
      </c>
      <c r="CQ124" s="3" t="str">
        <v/>
      </c>
      <c r="CR124" s="3" t="str">
        <v/>
      </c>
      <c r="CS124" s="3" t="str">
        <v/>
      </c>
      <c r="CT124" s="3" t="str">
        <v/>
      </c>
      <c r="CU124" s="3" t="str">
        <v/>
      </c>
      <c r="CV124" s="3" t="str">
        <v/>
      </c>
      <c r="CW124" s="3" t="str">
        <v/>
      </c>
      <c r="CX124" s="3" t="str">
        <v/>
      </c>
      <c r="CY124" s="3" t="str">
        <v/>
      </c>
      <c r="CZ124" s="3" t="str">
        <v/>
      </c>
      <c r="DA124" s="3" t="str">
        <v/>
      </c>
      <c r="DB124" s="3" t="str">
        <v/>
      </c>
      <c r="DC124" s="3" t="str">
        <v/>
      </c>
      <c r="DD124" s="3" t="str">
        <v/>
      </c>
      <c r="DE124" s="3" t="str">
        <v/>
      </c>
      <c r="DF124" s="3" t="str">
        <v/>
      </c>
      <c r="DG124" s="3" t="str">
        <v/>
      </c>
      <c r="DH124" s="3" t="str">
        <v/>
      </c>
      <c r="DI124" s="1" t="str">
        <v/>
      </c>
      <c r="DJ124" s="1" t="str">
        <v/>
      </c>
      <c r="DK124" s="1" t="str">
        <v/>
      </c>
      <c r="DL124" s="1" t="str">
        <v/>
      </c>
      <c r="DM124" s="1" t="str">
        <v/>
      </c>
      <c r="DN124" s="1" t="str">
        <v/>
      </c>
      <c r="DO124" s="1" t="str">
        <v/>
      </c>
      <c r="DP124" s="1" t="str">
        <v/>
      </c>
      <c r="DQ124" s="1" t="str">
        <v/>
      </c>
      <c r="DR124" s="1">
        <v>1</v>
      </c>
      <c r="DS124" s="1">
        <v>0.71565374549020055</v>
      </c>
      <c r="DT124" s="1">
        <v>0.86727262702931462</v>
      </c>
      <c r="DU124" s="1">
        <v>0.91515503478215887</v>
      </c>
      <c r="DV124" s="1">
        <v>0.82530847203794466</v>
      </c>
      <c r="DW124" s="1">
        <v>0.31116211024746049</v>
      </c>
      <c r="DX124" s="1">
        <v>0.36119563263531801</v>
      </c>
      <c r="DY124" s="1">
        <v>0.80316309874818514</v>
      </c>
    </row>
    <row r="125" spans="1:129" ht="15">
      <c r="A125" s="7" t="s">
        <v>136</v>
      </c>
      <c r="B125" s="3" t="str">
        <v/>
      </c>
      <c r="C125" s="3" t="str">
        <v/>
      </c>
      <c r="D125" s="3" t="str">
        <v/>
      </c>
      <c r="E125" s="3" t="str">
        <v/>
      </c>
      <c r="F125" s="3" t="str">
        <v/>
      </c>
      <c r="G125" s="3" t="str">
        <v/>
      </c>
      <c r="H125" s="3" t="str">
        <v/>
      </c>
      <c r="I125" s="3" t="str">
        <v/>
      </c>
      <c r="J125" s="3" t="str">
        <v/>
      </c>
      <c r="K125" s="3" t="str">
        <v/>
      </c>
      <c r="L125" s="3" t="str">
        <v/>
      </c>
      <c r="M125" s="3" t="str">
        <v/>
      </c>
      <c r="N125" s="3" t="str">
        <v/>
      </c>
      <c r="O125" s="3" t="str">
        <v/>
      </c>
      <c r="P125" s="3" t="str">
        <v/>
      </c>
      <c r="Q125" s="3" t="str">
        <v/>
      </c>
      <c r="R125" s="3" t="str">
        <v/>
      </c>
      <c r="S125" s="3" t="str">
        <v/>
      </c>
      <c r="T125" s="3" t="str">
        <v/>
      </c>
      <c r="U125" s="3" t="str">
        <v/>
      </c>
      <c r="V125" s="3" t="str">
        <v/>
      </c>
      <c r="W125" s="3" t="str">
        <v/>
      </c>
      <c r="X125" s="3" t="str">
        <v/>
      </c>
      <c r="Y125" s="3" t="str">
        <v/>
      </c>
      <c r="Z125" s="3" t="str">
        <v/>
      </c>
      <c r="AA125" s="3" t="str">
        <v/>
      </c>
      <c r="AB125" s="3" t="str">
        <v/>
      </c>
      <c r="AC125" s="3" t="str">
        <v/>
      </c>
      <c r="AD125" s="3" t="str">
        <v/>
      </c>
      <c r="AE125" s="3" t="str">
        <v/>
      </c>
      <c r="AF125" s="3" t="str">
        <v/>
      </c>
      <c r="AG125" s="3" t="str">
        <v/>
      </c>
      <c r="AH125" s="3" t="str">
        <v/>
      </c>
      <c r="AI125" s="3" t="str">
        <v/>
      </c>
      <c r="AJ125" s="3" t="str">
        <v/>
      </c>
      <c r="AK125" s="3" t="str">
        <v/>
      </c>
      <c r="AL125" s="3" t="str">
        <v/>
      </c>
      <c r="AM125" s="3" t="str">
        <v/>
      </c>
      <c r="AN125" s="3" t="str">
        <v/>
      </c>
      <c r="AO125" s="3" t="str">
        <v/>
      </c>
      <c r="AP125" s="3" t="str">
        <v/>
      </c>
      <c r="AQ125" s="3" t="str">
        <v/>
      </c>
      <c r="AR125" s="3" t="str">
        <v/>
      </c>
      <c r="AS125" s="3" t="str">
        <v/>
      </c>
      <c r="AT125" s="3" t="str">
        <v/>
      </c>
      <c r="AU125" s="3" t="str">
        <v/>
      </c>
      <c r="AV125" s="3" t="str">
        <v/>
      </c>
      <c r="AW125" s="3" t="str">
        <v/>
      </c>
      <c r="AX125" s="3" t="str">
        <v/>
      </c>
      <c r="AY125" s="3" t="str">
        <v/>
      </c>
      <c r="AZ125" s="3" t="str">
        <v/>
      </c>
      <c r="BA125" s="3" t="str">
        <v/>
      </c>
      <c r="BB125" s="3" t="str">
        <v/>
      </c>
      <c r="BC125" s="3" t="str">
        <v/>
      </c>
      <c r="BD125" s="3" t="str">
        <v/>
      </c>
      <c r="BE125" s="3" t="str">
        <v/>
      </c>
      <c r="BF125" s="3" t="str">
        <v/>
      </c>
      <c r="BG125" s="3" t="str">
        <v/>
      </c>
      <c r="BH125" s="3" t="str">
        <v/>
      </c>
      <c r="BI125" s="3" t="str">
        <v/>
      </c>
      <c r="BJ125" s="3" t="str">
        <v/>
      </c>
      <c r="BK125" s="3" t="str">
        <v/>
      </c>
      <c r="BL125" s="3" t="str">
        <v/>
      </c>
      <c r="BM125" s="3" t="str">
        <v/>
      </c>
      <c r="BN125" s="3" t="str">
        <v/>
      </c>
      <c r="BO125" s="3" t="str">
        <v/>
      </c>
      <c r="BP125" s="3" t="str">
        <v/>
      </c>
      <c r="BQ125" s="3" t="str">
        <v/>
      </c>
      <c r="BR125" s="3" t="str">
        <v/>
      </c>
      <c r="BS125" s="3" t="str">
        <v/>
      </c>
      <c r="BT125" s="3" t="str">
        <v/>
      </c>
      <c r="BU125" s="3" t="str">
        <v/>
      </c>
      <c r="BV125" s="3" t="str">
        <v/>
      </c>
      <c r="BW125" s="3" t="str">
        <v/>
      </c>
      <c r="BX125" s="3" t="str">
        <v/>
      </c>
      <c r="BY125" s="3" t="str">
        <v/>
      </c>
      <c r="BZ125" s="3" t="str">
        <v/>
      </c>
      <c r="CA125" s="3" t="str">
        <v/>
      </c>
      <c r="CB125" s="3" t="str">
        <v/>
      </c>
      <c r="CC125" s="3" t="str">
        <v/>
      </c>
      <c r="CD125" s="3" t="str">
        <v/>
      </c>
      <c r="CE125" s="3" t="str">
        <v/>
      </c>
      <c r="CF125" s="3" t="str">
        <v/>
      </c>
      <c r="CG125" s="3" t="str">
        <v/>
      </c>
      <c r="CH125" s="3" t="str">
        <v/>
      </c>
      <c r="CI125" s="3" t="str">
        <v/>
      </c>
      <c r="CJ125" s="3" t="str">
        <v/>
      </c>
      <c r="CK125" s="3" t="str">
        <v/>
      </c>
      <c r="CL125" s="3" t="str">
        <v/>
      </c>
      <c r="CM125" s="3" t="str">
        <v/>
      </c>
      <c r="CN125" s="3" t="str">
        <v/>
      </c>
      <c r="CO125" s="3" t="str">
        <v/>
      </c>
      <c r="CP125" s="3" t="str">
        <v/>
      </c>
      <c r="CQ125" s="3" t="str">
        <v/>
      </c>
      <c r="CR125" s="3" t="str">
        <v/>
      </c>
      <c r="CS125" s="3" t="str">
        <v/>
      </c>
      <c r="CT125" s="3" t="str">
        <v/>
      </c>
      <c r="CU125" s="3" t="str">
        <v/>
      </c>
      <c r="CV125" s="3" t="str">
        <v/>
      </c>
      <c r="CW125" s="3" t="str">
        <v/>
      </c>
      <c r="CX125" s="3" t="str">
        <v/>
      </c>
      <c r="CY125" s="3" t="str">
        <v/>
      </c>
      <c r="CZ125" s="3" t="str">
        <v/>
      </c>
      <c r="DA125" s="3" t="str">
        <v/>
      </c>
      <c r="DB125" s="3" t="str">
        <v/>
      </c>
      <c r="DC125" s="3" t="str">
        <v/>
      </c>
      <c r="DD125" s="3" t="str">
        <v/>
      </c>
      <c r="DE125" s="3" t="str">
        <v/>
      </c>
      <c r="DF125" s="3" t="str">
        <v/>
      </c>
      <c r="DG125" s="3" t="str">
        <v/>
      </c>
      <c r="DH125" s="3" t="str">
        <v/>
      </c>
      <c r="DI125" s="1" t="str">
        <v/>
      </c>
      <c r="DJ125" s="1" t="str">
        <v/>
      </c>
      <c r="DK125" s="1" t="str">
        <v/>
      </c>
      <c r="DL125" s="1" t="str">
        <v/>
      </c>
      <c r="DM125" s="1" t="str">
        <v/>
      </c>
      <c r="DN125" s="1" t="str">
        <v/>
      </c>
      <c r="DO125" s="1" t="str">
        <v/>
      </c>
      <c r="DP125" s="1" t="str">
        <v/>
      </c>
      <c r="DQ125" s="1" t="str">
        <v/>
      </c>
      <c r="DR125" s="1" t="str">
        <v/>
      </c>
      <c r="DS125" s="1">
        <v>1.0000000000000002</v>
      </c>
      <c r="DT125" s="1">
        <v>0.6174310483075125</v>
      </c>
      <c r="DU125" s="1">
        <v>0.63844453456596906</v>
      </c>
      <c r="DV125" s="1">
        <v>0.57045262927094076</v>
      </c>
      <c r="DW125" s="1">
        <v>0.19281593092976454</v>
      </c>
      <c r="DX125" s="1">
        <v>0.1280470619069799</v>
      </c>
      <c r="DY125" s="1">
        <v>0.57438470396235541</v>
      </c>
    </row>
    <row r="126" spans="1:129" ht="15">
      <c r="A126" s="7" t="s">
        <v>137</v>
      </c>
      <c r="B126" s="3" t="str">
        <v/>
      </c>
      <c r="C126" s="3" t="str">
        <v/>
      </c>
      <c r="D126" s="3" t="str">
        <v/>
      </c>
      <c r="E126" s="3" t="str">
        <v/>
      </c>
      <c r="F126" s="3" t="str">
        <v/>
      </c>
      <c r="G126" s="3" t="str">
        <v/>
      </c>
      <c r="H126" s="3" t="str">
        <v/>
      </c>
      <c r="I126" s="3" t="str">
        <v/>
      </c>
      <c r="J126" s="3" t="str">
        <v/>
      </c>
      <c r="K126" s="3" t="str">
        <v/>
      </c>
      <c r="L126" s="3" t="str">
        <v/>
      </c>
      <c r="M126" s="3" t="str">
        <v/>
      </c>
      <c r="N126" s="3" t="str">
        <v/>
      </c>
      <c r="O126" s="3" t="str">
        <v/>
      </c>
      <c r="P126" s="3" t="str">
        <v/>
      </c>
      <c r="Q126" s="3" t="str">
        <v/>
      </c>
      <c r="R126" s="3" t="str">
        <v/>
      </c>
      <c r="S126" s="3" t="str">
        <v/>
      </c>
      <c r="T126" s="3" t="str">
        <v/>
      </c>
      <c r="U126" s="3" t="str">
        <v/>
      </c>
      <c r="V126" s="3" t="str">
        <v/>
      </c>
      <c r="W126" s="3" t="str">
        <v/>
      </c>
      <c r="X126" s="3" t="str">
        <v/>
      </c>
      <c r="Y126" s="3" t="str">
        <v/>
      </c>
      <c r="Z126" s="3" t="str">
        <v/>
      </c>
      <c r="AA126" s="3" t="str">
        <v/>
      </c>
      <c r="AB126" s="3" t="str">
        <v/>
      </c>
      <c r="AC126" s="3" t="str">
        <v/>
      </c>
      <c r="AD126" s="3" t="str">
        <v/>
      </c>
      <c r="AE126" s="3" t="str">
        <v/>
      </c>
      <c r="AF126" s="3" t="str">
        <v/>
      </c>
      <c r="AG126" s="3" t="str">
        <v/>
      </c>
      <c r="AH126" s="3" t="str">
        <v/>
      </c>
      <c r="AI126" s="3" t="str">
        <v/>
      </c>
      <c r="AJ126" s="3" t="str">
        <v/>
      </c>
      <c r="AK126" s="3" t="str">
        <v/>
      </c>
      <c r="AL126" s="3" t="str">
        <v/>
      </c>
      <c r="AM126" s="3" t="str">
        <v/>
      </c>
      <c r="AN126" s="3" t="str">
        <v/>
      </c>
      <c r="AO126" s="3" t="str">
        <v/>
      </c>
      <c r="AP126" s="3" t="str">
        <v/>
      </c>
      <c r="AQ126" s="3" t="str">
        <v/>
      </c>
      <c r="AR126" s="3" t="str">
        <v/>
      </c>
      <c r="AS126" s="3" t="str">
        <v/>
      </c>
      <c r="AT126" s="3" t="str">
        <v/>
      </c>
      <c r="AU126" s="3" t="str">
        <v/>
      </c>
      <c r="AV126" s="3" t="str">
        <v/>
      </c>
      <c r="AW126" s="3" t="str">
        <v/>
      </c>
      <c r="AX126" s="3" t="str">
        <v/>
      </c>
      <c r="AY126" s="3" t="str">
        <v/>
      </c>
      <c r="AZ126" s="3" t="str">
        <v/>
      </c>
      <c r="BA126" s="3" t="str">
        <v/>
      </c>
      <c r="BB126" s="3" t="str">
        <v/>
      </c>
      <c r="BC126" s="3" t="str">
        <v/>
      </c>
      <c r="BD126" s="3" t="str">
        <v/>
      </c>
      <c r="BE126" s="3" t="str">
        <v/>
      </c>
      <c r="BF126" s="3" t="str">
        <v/>
      </c>
      <c r="BG126" s="3" t="str">
        <v/>
      </c>
      <c r="BH126" s="3" t="str">
        <v/>
      </c>
      <c r="BI126" s="3" t="str">
        <v/>
      </c>
      <c r="BJ126" s="3" t="str">
        <v/>
      </c>
      <c r="BK126" s="3" t="str">
        <v/>
      </c>
      <c r="BL126" s="3" t="str">
        <v/>
      </c>
      <c r="BM126" s="3" t="str">
        <v/>
      </c>
      <c r="BN126" s="3" t="str">
        <v/>
      </c>
      <c r="BO126" s="3" t="str">
        <v/>
      </c>
      <c r="BP126" s="3" t="str">
        <v/>
      </c>
      <c r="BQ126" s="3" t="str">
        <v/>
      </c>
      <c r="BR126" s="3" t="str">
        <v/>
      </c>
      <c r="BS126" s="3" t="str">
        <v/>
      </c>
      <c r="BT126" s="3" t="str">
        <v/>
      </c>
      <c r="BU126" s="3" t="str">
        <v/>
      </c>
      <c r="BV126" s="3" t="str">
        <v/>
      </c>
      <c r="BW126" s="3" t="str">
        <v/>
      </c>
      <c r="BX126" s="3" t="str">
        <v/>
      </c>
      <c r="BY126" s="3" t="str">
        <v/>
      </c>
      <c r="BZ126" s="3" t="str">
        <v/>
      </c>
      <c r="CA126" s="3" t="str">
        <v/>
      </c>
      <c r="CB126" s="3" t="str">
        <v/>
      </c>
      <c r="CC126" s="3" t="str">
        <v/>
      </c>
      <c r="CD126" s="3" t="str">
        <v/>
      </c>
      <c r="CE126" s="3" t="str">
        <v/>
      </c>
      <c r="CF126" s="3" t="str">
        <v/>
      </c>
      <c r="CG126" s="3" t="str">
        <v/>
      </c>
      <c r="CH126" s="3" t="str">
        <v/>
      </c>
      <c r="CI126" s="3" t="str">
        <v/>
      </c>
      <c r="CJ126" s="3" t="str">
        <v/>
      </c>
      <c r="CK126" s="3" t="str">
        <v/>
      </c>
      <c r="CL126" s="3" t="str">
        <v/>
      </c>
      <c r="CM126" s="3" t="str">
        <v/>
      </c>
      <c r="CN126" s="3" t="str">
        <v/>
      </c>
      <c r="CO126" s="3" t="str">
        <v/>
      </c>
      <c r="CP126" s="3" t="str">
        <v/>
      </c>
      <c r="CQ126" s="3" t="str">
        <v/>
      </c>
      <c r="CR126" s="3" t="str">
        <v/>
      </c>
      <c r="CS126" s="3" t="str">
        <v/>
      </c>
      <c r="CT126" s="3" t="str">
        <v/>
      </c>
      <c r="CU126" s="3" t="str">
        <v/>
      </c>
      <c r="CV126" s="3" t="str">
        <v/>
      </c>
      <c r="CW126" s="3" t="str">
        <v/>
      </c>
      <c r="CX126" s="3" t="str">
        <v/>
      </c>
      <c r="CY126" s="3" t="str">
        <v/>
      </c>
      <c r="CZ126" s="3" t="str">
        <v/>
      </c>
      <c r="DA126" s="3" t="str">
        <v/>
      </c>
      <c r="DB126" s="3" t="str">
        <v/>
      </c>
      <c r="DC126" s="3" t="str">
        <v/>
      </c>
      <c r="DD126" s="3" t="str">
        <v/>
      </c>
      <c r="DE126" s="3" t="str">
        <v/>
      </c>
      <c r="DF126" s="3" t="str">
        <v/>
      </c>
      <c r="DG126" s="3" t="str">
        <v/>
      </c>
      <c r="DH126" s="3" t="str">
        <v/>
      </c>
      <c r="DI126" s="1" t="str">
        <v/>
      </c>
      <c r="DJ126" s="1" t="str">
        <v/>
      </c>
      <c r="DK126" s="1" t="str">
        <v/>
      </c>
      <c r="DL126" s="1" t="str">
        <v/>
      </c>
      <c r="DM126" s="1" t="str">
        <v/>
      </c>
      <c r="DN126" s="1" t="str">
        <v/>
      </c>
      <c r="DO126" s="1" t="str">
        <v/>
      </c>
      <c r="DP126" s="1" t="str">
        <v/>
      </c>
      <c r="DQ126" s="1" t="str">
        <v/>
      </c>
      <c r="DR126" s="1" t="str">
        <v/>
      </c>
      <c r="DS126" s="1" t="str">
        <v/>
      </c>
      <c r="DT126" s="1">
        <v>0.99999999999999989</v>
      </c>
      <c r="DU126" s="1">
        <v>0.82359997405559981</v>
      </c>
      <c r="DV126" s="1">
        <v>0.82480528094514949</v>
      </c>
      <c r="DW126" s="1">
        <v>0.27390503587400766</v>
      </c>
      <c r="DX126" s="1">
        <v>0.26579315486274846</v>
      </c>
      <c r="DY126" s="1">
        <v>0.69735948477633536</v>
      </c>
    </row>
    <row r="127" spans="1:129" ht="15">
      <c r="A127" s="7" t="s">
        <v>138</v>
      </c>
      <c r="B127" s="3" t="str">
        <v/>
      </c>
      <c r="C127" s="3" t="str">
        <v/>
      </c>
      <c r="D127" s="3" t="str">
        <v/>
      </c>
      <c r="E127" s="3" t="str">
        <v/>
      </c>
      <c r="F127" s="3" t="str">
        <v/>
      </c>
      <c r="G127" s="3" t="str">
        <v/>
      </c>
      <c r="H127" s="3" t="str">
        <v/>
      </c>
      <c r="I127" s="3" t="str">
        <v/>
      </c>
      <c r="J127" s="3" t="str">
        <v/>
      </c>
      <c r="K127" s="3" t="str">
        <v/>
      </c>
      <c r="L127" s="3" t="str">
        <v/>
      </c>
      <c r="M127" s="3" t="str">
        <v/>
      </c>
      <c r="N127" s="3" t="str">
        <v/>
      </c>
      <c r="O127" s="3" t="str">
        <v/>
      </c>
      <c r="P127" s="3" t="str">
        <v/>
      </c>
      <c r="Q127" s="3" t="str">
        <v/>
      </c>
      <c r="R127" s="3" t="str">
        <v/>
      </c>
      <c r="S127" s="3" t="str">
        <v/>
      </c>
      <c r="T127" s="3" t="str">
        <v/>
      </c>
      <c r="U127" s="3" t="str">
        <v/>
      </c>
      <c r="V127" s="3" t="str">
        <v/>
      </c>
      <c r="W127" s="3" t="str">
        <v/>
      </c>
      <c r="X127" s="3" t="str">
        <v/>
      </c>
      <c r="Y127" s="3" t="str">
        <v/>
      </c>
      <c r="Z127" s="3" t="str">
        <v/>
      </c>
      <c r="AA127" s="3" t="str">
        <v/>
      </c>
      <c r="AB127" s="3" t="str">
        <v/>
      </c>
      <c r="AC127" s="3" t="str">
        <v/>
      </c>
      <c r="AD127" s="3" t="str">
        <v/>
      </c>
      <c r="AE127" s="3" t="str">
        <v/>
      </c>
      <c r="AF127" s="3" t="str">
        <v/>
      </c>
      <c r="AG127" s="3" t="str">
        <v/>
      </c>
      <c r="AH127" s="3" t="str">
        <v/>
      </c>
      <c r="AI127" s="3" t="str">
        <v/>
      </c>
      <c r="AJ127" s="3" t="str">
        <v/>
      </c>
      <c r="AK127" s="3" t="str">
        <v/>
      </c>
      <c r="AL127" s="3" t="str">
        <v/>
      </c>
      <c r="AM127" s="3" t="str">
        <v/>
      </c>
      <c r="AN127" s="3" t="str">
        <v/>
      </c>
      <c r="AO127" s="3" t="str">
        <v/>
      </c>
      <c r="AP127" s="3" t="str">
        <v/>
      </c>
      <c r="AQ127" s="3" t="str">
        <v/>
      </c>
      <c r="AR127" s="3" t="str">
        <v/>
      </c>
      <c r="AS127" s="3" t="str">
        <v/>
      </c>
      <c r="AT127" s="3" t="str">
        <v/>
      </c>
      <c r="AU127" s="3" t="str">
        <v/>
      </c>
      <c r="AV127" s="3" t="str">
        <v/>
      </c>
      <c r="AW127" s="3" t="str">
        <v/>
      </c>
      <c r="AX127" s="3" t="str">
        <v/>
      </c>
      <c r="AY127" s="3" t="str">
        <v/>
      </c>
      <c r="AZ127" s="3" t="str">
        <v/>
      </c>
      <c r="BA127" s="3" t="str">
        <v/>
      </c>
      <c r="BB127" s="3" t="str">
        <v/>
      </c>
      <c r="BC127" s="3" t="str">
        <v/>
      </c>
      <c r="BD127" s="3" t="str">
        <v/>
      </c>
      <c r="BE127" s="3" t="str">
        <v/>
      </c>
      <c r="BF127" s="3" t="str">
        <v/>
      </c>
      <c r="BG127" s="3" t="str">
        <v/>
      </c>
      <c r="BH127" s="3" t="str">
        <v/>
      </c>
      <c r="BI127" s="3" t="str">
        <v/>
      </c>
      <c r="BJ127" s="3" t="str">
        <v/>
      </c>
      <c r="BK127" s="3" t="str">
        <v/>
      </c>
      <c r="BL127" s="3" t="str">
        <v/>
      </c>
      <c r="BM127" s="3" t="str">
        <v/>
      </c>
      <c r="BN127" s="3" t="str">
        <v/>
      </c>
      <c r="BO127" s="3" t="str">
        <v/>
      </c>
      <c r="BP127" s="3" t="str">
        <v/>
      </c>
      <c r="BQ127" s="3" t="str">
        <v/>
      </c>
      <c r="BR127" s="3" t="str">
        <v/>
      </c>
      <c r="BS127" s="3" t="str">
        <v/>
      </c>
      <c r="BT127" s="3" t="str">
        <v/>
      </c>
      <c r="BU127" s="3" t="str">
        <v/>
      </c>
      <c r="BV127" s="3" t="str">
        <v/>
      </c>
      <c r="BW127" s="3" t="str">
        <v/>
      </c>
      <c r="BX127" s="3" t="str">
        <v/>
      </c>
      <c r="BY127" s="3" t="str">
        <v/>
      </c>
      <c r="BZ127" s="3" t="str">
        <v/>
      </c>
      <c r="CA127" s="3" t="str">
        <v/>
      </c>
      <c r="CB127" s="3" t="str">
        <v/>
      </c>
      <c r="CC127" s="3" t="str">
        <v/>
      </c>
      <c r="CD127" s="3" t="str">
        <v/>
      </c>
      <c r="CE127" s="3" t="str">
        <v/>
      </c>
      <c r="CF127" s="3" t="str">
        <v/>
      </c>
      <c r="CG127" s="3" t="str">
        <v/>
      </c>
      <c r="CH127" s="3" t="str">
        <v/>
      </c>
      <c r="CI127" s="3" t="str">
        <v/>
      </c>
      <c r="CJ127" s="3" t="str">
        <v/>
      </c>
      <c r="CK127" s="3" t="str">
        <v/>
      </c>
      <c r="CL127" s="3" t="str">
        <v/>
      </c>
      <c r="CM127" s="3" t="str">
        <v/>
      </c>
      <c r="CN127" s="3" t="str">
        <v/>
      </c>
      <c r="CO127" s="3" t="str">
        <v/>
      </c>
      <c r="CP127" s="3" t="str">
        <v/>
      </c>
      <c r="CQ127" s="3" t="str">
        <v/>
      </c>
      <c r="CR127" s="3" t="str">
        <v/>
      </c>
      <c r="CS127" s="3" t="str">
        <v/>
      </c>
      <c r="CT127" s="3" t="str">
        <v/>
      </c>
      <c r="CU127" s="3" t="str">
        <v/>
      </c>
      <c r="CV127" s="3" t="str">
        <v/>
      </c>
      <c r="CW127" s="3" t="str">
        <v/>
      </c>
      <c r="CX127" s="3" t="str">
        <v/>
      </c>
      <c r="CY127" s="3" t="str">
        <v/>
      </c>
      <c r="CZ127" s="3" t="str">
        <v/>
      </c>
      <c r="DA127" s="3" t="str">
        <v/>
      </c>
      <c r="DB127" s="3" t="str">
        <v/>
      </c>
      <c r="DC127" s="3" t="str">
        <v/>
      </c>
      <c r="DD127" s="3" t="str">
        <v/>
      </c>
      <c r="DE127" s="3" t="str">
        <v/>
      </c>
      <c r="DF127" s="3" t="str">
        <v/>
      </c>
      <c r="DG127" s="3" t="str">
        <v/>
      </c>
      <c r="DH127" s="3" t="str">
        <v/>
      </c>
      <c r="DI127" s="1" t="str">
        <v/>
      </c>
      <c r="DJ127" s="1" t="str">
        <v/>
      </c>
      <c r="DK127" s="1" t="str">
        <v/>
      </c>
      <c r="DL127" s="1" t="str">
        <v/>
      </c>
      <c r="DM127" s="1" t="str">
        <v/>
      </c>
      <c r="DN127" s="1" t="str">
        <v/>
      </c>
      <c r="DO127" s="1" t="str">
        <v/>
      </c>
      <c r="DP127" s="1" t="str">
        <v/>
      </c>
      <c r="DQ127" s="1" t="str">
        <v/>
      </c>
      <c r="DR127" s="1" t="str">
        <v/>
      </c>
      <c r="DS127" s="1" t="str">
        <v/>
      </c>
      <c r="DT127" s="1" t="str">
        <v/>
      </c>
      <c r="DU127" s="1">
        <v>1.0000000000000002</v>
      </c>
      <c r="DV127" s="1">
        <v>0.80794777007768226</v>
      </c>
      <c r="DW127" s="1">
        <v>0.32660023492349283</v>
      </c>
      <c r="DX127" s="1">
        <v>0.31543268603449609</v>
      </c>
      <c r="DY127" s="1">
        <v>0.79030961104375974</v>
      </c>
    </row>
    <row r="128" spans="1:129" ht="15">
      <c r="A128" s="7" t="s">
        <v>139</v>
      </c>
      <c r="B128" s="3" t="str">
        <v/>
      </c>
      <c r="C128" s="3" t="str">
        <v/>
      </c>
      <c r="D128" s="3" t="str">
        <v/>
      </c>
      <c r="E128" s="3" t="str">
        <v/>
      </c>
      <c r="F128" s="3" t="str">
        <v/>
      </c>
      <c r="G128" s="3" t="str">
        <v/>
      </c>
      <c r="H128" s="3" t="str">
        <v/>
      </c>
      <c r="I128" s="3" t="str">
        <v/>
      </c>
      <c r="J128" s="3" t="str">
        <v/>
      </c>
      <c r="K128" s="3" t="str">
        <v/>
      </c>
      <c r="L128" s="3" t="str">
        <v/>
      </c>
      <c r="M128" s="3" t="str">
        <v/>
      </c>
      <c r="N128" s="3" t="str">
        <v/>
      </c>
      <c r="O128" s="3" t="str">
        <v/>
      </c>
      <c r="P128" s="3" t="str">
        <v/>
      </c>
      <c r="Q128" s="3" t="str">
        <v/>
      </c>
      <c r="R128" s="3" t="str">
        <v/>
      </c>
      <c r="S128" s="3" t="str">
        <v/>
      </c>
      <c r="T128" s="3" t="str">
        <v/>
      </c>
      <c r="U128" s="3" t="str">
        <v/>
      </c>
      <c r="V128" s="3" t="str">
        <v/>
      </c>
      <c r="W128" s="3" t="str">
        <v/>
      </c>
      <c r="X128" s="3" t="str">
        <v/>
      </c>
      <c r="Y128" s="3" t="str">
        <v/>
      </c>
      <c r="Z128" s="3" t="str">
        <v/>
      </c>
      <c r="AA128" s="3" t="str">
        <v/>
      </c>
      <c r="AB128" s="3" t="str">
        <v/>
      </c>
      <c r="AC128" s="3" t="str">
        <v/>
      </c>
      <c r="AD128" s="3" t="str">
        <v/>
      </c>
      <c r="AE128" s="3" t="str">
        <v/>
      </c>
      <c r="AF128" s="3" t="str">
        <v/>
      </c>
      <c r="AG128" s="3" t="str">
        <v/>
      </c>
      <c r="AH128" s="3" t="str">
        <v/>
      </c>
      <c r="AI128" s="3" t="str">
        <v/>
      </c>
      <c r="AJ128" s="3" t="str">
        <v/>
      </c>
      <c r="AK128" s="3" t="str">
        <v/>
      </c>
      <c r="AL128" s="3" t="str">
        <v/>
      </c>
      <c r="AM128" s="3" t="str">
        <v/>
      </c>
      <c r="AN128" s="3" t="str">
        <v/>
      </c>
      <c r="AO128" s="3" t="str">
        <v/>
      </c>
      <c r="AP128" s="3" t="str">
        <v/>
      </c>
      <c r="AQ128" s="3" t="str">
        <v/>
      </c>
      <c r="AR128" s="3" t="str">
        <v/>
      </c>
      <c r="AS128" s="3" t="str">
        <v/>
      </c>
      <c r="AT128" s="3" t="str">
        <v/>
      </c>
      <c r="AU128" s="3" t="str">
        <v/>
      </c>
      <c r="AV128" s="3" t="str">
        <v/>
      </c>
      <c r="AW128" s="3" t="str">
        <v/>
      </c>
      <c r="AX128" s="3" t="str">
        <v/>
      </c>
      <c r="AY128" s="3" t="str">
        <v/>
      </c>
      <c r="AZ128" s="3" t="str">
        <v/>
      </c>
      <c r="BA128" s="3" t="str">
        <v/>
      </c>
      <c r="BB128" s="3" t="str">
        <v/>
      </c>
      <c r="BC128" s="3" t="str">
        <v/>
      </c>
      <c r="BD128" s="3" t="str">
        <v/>
      </c>
      <c r="BE128" s="3" t="str">
        <v/>
      </c>
      <c r="BF128" s="3" t="str">
        <v/>
      </c>
      <c r="BG128" s="3" t="str">
        <v/>
      </c>
      <c r="BH128" s="3" t="str">
        <v/>
      </c>
      <c r="BI128" s="3" t="str">
        <v/>
      </c>
      <c r="BJ128" s="3" t="str">
        <v/>
      </c>
      <c r="BK128" s="3" t="str">
        <v/>
      </c>
      <c r="BL128" s="3" t="str">
        <v/>
      </c>
      <c r="BM128" s="3" t="str">
        <v/>
      </c>
      <c r="BN128" s="3" t="str">
        <v/>
      </c>
      <c r="BO128" s="3" t="str">
        <v/>
      </c>
      <c r="BP128" s="3" t="str">
        <v/>
      </c>
      <c r="BQ128" s="3" t="str">
        <v/>
      </c>
      <c r="BR128" s="3" t="str">
        <v/>
      </c>
      <c r="BS128" s="3" t="str">
        <v/>
      </c>
      <c r="BT128" s="3" t="str">
        <v/>
      </c>
      <c r="BU128" s="3" t="str">
        <v/>
      </c>
      <c r="BV128" s="3" t="str">
        <v/>
      </c>
      <c r="BW128" s="3" t="str">
        <v/>
      </c>
      <c r="BX128" s="3" t="str">
        <v/>
      </c>
      <c r="BY128" s="3" t="str">
        <v/>
      </c>
      <c r="BZ128" s="3" t="str">
        <v/>
      </c>
      <c r="CA128" s="3" t="str">
        <v/>
      </c>
      <c r="CB128" s="3" t="str">
        <v/>
      </c>
      <c r="CC128" s="3" t="str">
        <v/>
      </c>
      <c r="CD128" s="3" t="str">
        <v/>
      </c>
      <c r="CE128" s="3" t="str">
        <v/>
      </c>
      <c r="CF128" s="3" t="str">
        <v/>
      </c>
      <c r="CG128" s="3" t="str">
        <v/>
      </c>
      <c r="CH128" s="3" t="str">
        <v/>
      </c>
      <c r="CI128" s="3" t="str">
        <v/>
      </c>
      <c r="CJ128" s="3" t="str">
        <v/>
      </c>
      <c r="CK128" s="3" t="str">
        <v/>
      </c>
      <c r="CL128" s="3" t="str">
        <v/>
      </c>
      <c r="CM128" s="3" t="str">
        <v/>
      </c>
      <c r="CN128" s="3" t="str">
        <v/>
      </c>
      <c r="CO128" s="3" t="str">
        <v/>
      </c>
      <c r="CP128" s="3" t="str">
        <v/>
      </c>
      <c r="CQ128" s="3" t="str">
        <v/>
      </c>
      <c r="CR128" s="3" t="str">
        <v/>
      </c>
      <c r="CS128" s="3" t="str">
        <v/>
      </c>
      <c r="CT128" s="3" t="str">
        <v/>
      </c>
      <c r="CU128" s="3" t="str">
        <v/>
      </c>
      <c r="CV128" s="3" t="str">
        <v/>
      </c>
      <c r="CW128" s="3" t="str">
        <v/>
      </c>
      <c r="CX128" s="3" t="str">
        <v/>
      </c>
      <c r="CY128" s="3" t="str">
        <v/>
      </c>
      <c r="CZ128" s="3" t="str">
        <v/>
      </c>
      <c r="DA128" s="3" t="str">
        <v/>
      </c>
      <c r="DB128" s="3" t="str">
        <v/>
      </c>
      <c r="DC128" s="3" t="str">
        <v/>
      </c>
      <c r="DD128" s="3" t="str">
        <v/>
      </c>
      <c r="DE128" s="3" t="str">
        <v/>
      </c>
      <c r="DF128" s="3" t="str">
        <v/>
      </c>
      <c r="DG128" s="3" t="str">
        <v/>
      </c>
      <c r="DH128" s="3" t="str">
        <v/>
      </c>
      <c r="DI128" s="1" t="str">
        <v/>
      </c>
      <c r="DJ128" s="1" t="str">
        <v/>
      </c>
      <c r="DK128" s="1" t="str">
        <v/>
      </c>
      <c r="DL128" s="1" t="str">
        <v/>
      </c>
      <c r="DM128" s="1" t="str">
        <v/>
      </c>
      <c r="DN128" s="1" t="str">
        <v/>
      </c>
      <c r="DO128" s="1" t="str">
        <v/>
      </c>
      <c r="DP128" s="1" t="str">
        <v/>
      </c>
      <c r="DQ128" s="1" t="str">
        <v/>
      </c>
      <c r="DR128" s="1" t="str">
        <v/>
      </c>
      <c r="DS128" s="1" t="str">
        <v/>
      </c>
      <c r="DT128" s="1" t="str">
        <v/>
      </c>
      <c r="DU128" s="1" t="str">
        <v/>
      </c>
      <c r="DV128" s="1">
        <v>1.0000000000000002</v>
      </c>
      <c r="DW128" s="1">
        <v>0.40012974389747297</v>
      </c>
      <c r="DX128" s="1">
        <v>0.18323078537992346</v>
      </c>
      <c r="DY128" s="1">
        <v>0.69363874883266086</v>
      </c>
    </row>
    <row r="129" spans="1:129" ht="15">
      <c r="A129" s="7" t="s">
        <v>140</v>
      </c>
      <c r="B129" s="3" t="str">
        <v/>
      </c>
      <c r="C129" s="3" t="str">
        <v/>
      </c>
      <c r="D129" s="3" t="str">
        <v/>
      </c>
      <c r="E129" s="3" t="str">
        <v/>
      </c>
      <c r="F129" s="3" t="str">
        <v/>
      </c>
      <c r="G129" s="3" t="str">
        <v/>
      </c>
      <c r="H129" s="3" t="str">
        <v/>
      </c>
      <c r="I129" s="3" t="str">
        <v/>
      </c>
      <c r="J129" s="3" t="str">
        <v/>
      </c>
      <c r="K129" s="3" t="str">
        <v/>
      </c>
      <c r="L129" s="3" t="str">
        <v/>
      </c>
      <c r="M129" s="3" t="str">
        <v/>
      </c>
      <c r="N129" s="3" t="str">
        <v/>
      </c>
      <c r="O129" s="3" t="str">
        <v/>
      </c>
      <c r="P129" s="3" t="str">
        <v/>
      </c>
      <c r="Q129" s="3" t="str">
        <v/>
      </c>
      <c r="R129" s="3" t="str">
        <v/>
      </c>
      <c r="S129" s="3" t="str">
        <v/>
      </c>
      <c r="T129" s="3" t="str">
        <v/>
      </c>
      <c r="U129" s="3" t="str">
        <v/>
      </c>
      <c r="V129" s="3" t="str">
        <v/>
      </c>
      <c r="W129" s="3" t="str">
        <v/>
      </c>
      <c r="X129" s="3" t="str">
        <v/>
      </c>
      <c r="Y129" s="3" t="str">
        <v/>
      </c>
      <c r="Z129" s="3" t="str">
        <v/>
      </c>
      <c r="AA129" s="3" t="str">
        <v/>
      </c>
      <c r="AB129" s="3" t="str">
        <v/>
      </c>
      <c r="AC129" s="3" t="str">
        <v/>
      </c>
      <c r="AD129" s="3" t="str">
        <v/>
      </c>
      <c r="AE129" s="3" t="str">
        <v/>
      </c>
      <c r="AF129" s="3" t="str">
        <v/>
      </c>
      <c r="AG129" s="3" t="str">
        <v/>
      </c>
      <c r="AH129" s="3" t="str">
        <v/>
      </c>
      <c r="AI129" s="3" t="str">
        <v/>
      </c>
      <c r="AJ129" s="3" t="str">
        <v/>
      </c>
      <c r="AK129" s="3" t="str">
        <v/>
      </c>
      <c r="AL129" s="3" t="str">
        <v/>
      </c>
      <c r="AM129" s="3" t="str">
        <v/>
      </c>
      <c r="AN129" s="3" t="str">
        <v/>
      </c>
      <c r="AO129" s="3" t="str">
        <v/>
      </c>
      <c r="AP129" s="3" t="str">
        <v/>
      </c>
      <c r="AQ129" s="3" t="str">
        <v/>
      </c>
      <c r="AR129" s="3" t="str">
        <v/>
      </c>
      <c r="AS129" s="3" t="str">
        <v/>
      </c>
      <c r="AT129" s="3" t="str">
        <v/>
      </c>
      <c r="AU129" s="3" t="str">
        <v/>
      </c>
      <c r="AV129" s="3" t="str">
        <v/>
      </c>
      <c r="AW129" s="3" t="str">
        <v/>
      </c>
      <c r="AX129" s="3" t="str">
        <v/>
      </c>
      <c r="AY129" s="3" t="str">
        <v/>
      </c>
      <c r="AZ129" s="3" t="str">
        <v/>
      </c>
      <c r="BA129" s="3" t="str">
        <v/>
      </c>
      <c r="BB129" s="3" t="str">
        <v/>
      </c>
      <c r="BC129" s="3" t="str">
        <v/>
      </c>
      <c r="BD129" s="3" t="str">
        <v/>
      </c>
      <c r="BE129" s="3" t="str">
        <v/>
      </c>
      <c r="BF129" s="3" t="str">
        <v/>
      </c>
      <c r="BG129" s="3" t="str">
        <v/>
      </c>
      <c r="BH129" s="3" t="str">
        <v/>
      </c>
      <c r="BI129" s="3" t="str">
        <v/>
      </c>
      <c r="BJ129" s="3" t="str">
        <v/>
      </c>
      <c r="BK129" s="3" t="str">
        <v/>
      </c>
      <c r="BL129" s="3" t="str">
        <v/>
      </c>
      <c r="BM129" s="3" t="str">
        <v/>
      </c>
      <c r="BN129" s="3" t="str">
        <v/>
      </c>
      <c r="BO129" s="3" t="str">
        <v/>
      </c>
      <c r="BP129" s="3" t="str">
        <v/>
      </c>
      <c r="BQ129" s="3" t="str">
        <v/>
      </c>
      <c r="BR129" s="3" t="str">
        <v/>
      </c>
      <c r="BS129" s="3" t="str">
        <v/>
      </c>
      <c r="BT129" s="3" t="str">
        <v/>
      </c>
      <c r="BU129" s="3" t="str">
        <v/>
      </c>
      <c r="BV129" s="3" t="str">
        <v/>
      </c>
      <c r="BW129" s="3" t="str">
        <v/>
      </c>
      <c r="BX129" s="3" t="str">
        <v/>
      </c>
      <c r="BY129" s="3" t="str">
        <v/>
      </c>
      <c r="BZ129" s="3" t="str">
        <v/>
      </c>
      <c r="CA129" s="3" t="str">
        <v/>
      </c>
      <c r="CB129" s="3" t="str">
        <v/>
      </c>
      <c r="CC129" s="3" t="str">
        <v/>
      </c>
      <c r="CD129" s="3" t="str">
        <v/>
      </c>
      <c r="CE129" s="3" t="str">
        <v/>
      </c>
      <c r="CF129" s="3" t="str">
        <v/>
      </c>
      <c r="CG129" s="3" t="str">
        <v/>
      </c>
      <c r="CH129" s="3" t="str">
        <v/>
      </c>
      <c r="CI129" s="3" t="str">
        <v/>
      </c>
      <c r="CJ129" s="3" t="str">
        <v/>
      </c>
      <c r="CK129" s="3" t="str">
        <v/>
      </c>
      <c r="CL129" s="3" t="str">
        <v/>
      </c>
      <c r="CM129" s="3" t="str">
        <v/>
      </c>
      <c r="CN129" s="3" t="str">
        <v/>
      </c>
      <c r="CO129" s="3" t="str">
        <v/>
      </c>
      <c r="CP129" s="3" t="str">
        <v/>
      </c>
      <c r="CQ129" s="3" t="str">
        <v/>
      </c>
      <c r="CR129" s="3" t="str">
        <v/>
      </c>
      <c r="CS129" s="3" t="str">
        <v/>
      </c>
      <c r="CT129" s="3" t="str">
        <v/>
      </c>
      <c r="CU129" s="3" t="str">
        <v/>
      </c>
      <c r="CV129" s="3" t="str">
        <v/>
      </c>
      <c r="CW129" s="3" t="str">
        <v/>
      </c>
      <c r="CX129" s="3" t="str">
        <v/>
      </c>
      <c r="CY129" s="3" t="str">
        <v/>
      </c>
      <c r="CZ129" s="3" t="str">
        <v/>
      </c>
      <c r="DA129" s="3" t="str">
        <v/>
      </c>
      <c r="DB129" s="3" t="str">
        <v/>
      </c>
      <c r="DC129" s="3" t="str">
        <v/>
      </c>
      <c r="DD129" s="3" t="str">
        <v/>
      </c>
      <c r="DE129" s="3" t="str">
        <v/>
      </c>
      <c r="DF129" s="3" t="str">
        <v/>
      </c>
      <c r="DG129" s="3" t="str">
        <v/>
      </c>
      <c r="DH129" s="3" t="str">
        <v/>
      </c>
      <c r="DI129" s="1" t="str">
        <v/>
      </c>
      <c r="DJ129" s="1" t="str">
        <v/>
      </c>
      <c r="DK129" s="1" t="str">
        <v/>
      </c>
      <c r="DL129" s="1" t="str">
        <v/>
      </c>
      <c r="DM129" s="1" t="str">
        <v/>
      </c>
      <c r="DN129" s="1" t="str">
        <v/>
      </c>
      <c r="DO129" s="1" t="str">
        <v/>
      </c>
      <c r="DP129" s="1" t="str">
        <v/>
      </c>
      <c r="DQ129" s="1" t="str">
        <v/>
      </c>
      <c r="DR129" s="1" t="str">
        <v/>
      </c>
      <c r="DS129" s="1" t="str">
        <v/>
      </c>
      <c r="DT129" s="1" t="str">
        <v/>
      </c>
      <c r="DU129" s="1" t="str">
        <v/>
      </c>
      <c r="DV129" s="1" t="str">
        <v/>
      </c>
      <c r="DW129" s="1">
        <v>0.99999999999999989</v>
      </c>
      <c r="DX129" s="1">
        <v>0.16713633984352361</v>
      </c>
      <c r="DY129" s="1">
        <v>0.27114388225334402</v>
      </c>
    </row>
    <row r="130" spans="1:129" ht="15">
      <c r="A130" s="7" t="s">
        <v>141</v>
      </c>
      <c r="B130" s="3" t="str">
        <v/>
      </c>
      <c r="C130" s="3" t="str">
        <v/>
      </c>
      <c r="D130" s="3" t="str">
        <v/>
      </c>
      <c r="E130" s="3" t="str">
        <v/>
      </c>
      <c r="F130" s="3" t="str">
        <v/>
      </c>
      <c r="G130" s="3" t="str">
        <v/>
      </c>
      <c r="H130" s="3" t="str">
        <v/>
      </c>
      <c r="I130" s="3" t="str">
        <v/>
      </c>
      <c r="J130" s="3" t="str">
        <v/>
      </c>
      <c r="K130" s="3" t="str">
        <v/>
      </c>
      <c r="L130" s="3" t="str">
        <v/>
      </c>
      <c r="M130" s="3" t="str">
        <v/>
      </c>
      <c r="N130" s="3" t="str">
        <v/>
      </c>
      <c r="O130" s="3" t="str">
        <v/>
      </c>
      <c r="P130" s="3" t="str">
        <v/>
      </c>
      <c r="Q130" s="3" t="str">
        <v/>
      </c>
      <c r="R130" s="3" t="str">
        <v/>
      </c>
      <c r="S130" s="3" t="str">
        <v/>
      </c>
      <c r="T130" s="3" t="str">
        <v/>
      </c>
      <c r="U130" s="3" t="str">
        <v/>
      </c>
      <c r="V130" s="3" t="str">
        <v/>
      </c>
      <c r="W130" s="3" t="str">
        <v/>
      </c>
      <c r="X130" s="3" t="str">
        <v/>
      </c>
      <c r="Y130" s="3" t="str">
        <v/>
      </c>
      <c r="Z130" s="3" t="str">
        <v/>
      </c>
      <c r="AA130" s="3" t="str">
        <v/>
      </c>
      <c r="AB130" s="3" t="str">
        <v/>
      </c>
      <c r="AC130" s="3" t="str">
        <v/>
      </c>
      <c r="AD130" s="3" t="str">
        <v/>
      </c>
      <c r="AE130" s="3" t="str">
        <v/>
      </c>
      <c r="AF130" s="3" t="str">
        <v/>
      </c>
      <c r="AG130" s="3" t="str">
        <v/>
      </c>
      <c r="AH130" s="3" t="str">
        <v/>
      </c>
      <c r="AI130" s="3" t="str">
        <v/>
      </c>
      <c r="AJ130" s="3" t="str">
        <v/>
      </c>
      <c r="AK130" s="3" t="str">
        <v/>
      </c>
      <c r="AL130" s="3" t="str">
        <v/>
      </c>
      <c r="AM130" s="3" t="str">
        <v/>
      </c>
      <c r="AN130" s="3" t="str">
        <v/>
      </c>
      <c r="AO130" s="3" t="str">
        <v/>
      </c>
      <c r="AP130" s="3" t="str">
        <v/>
      </c>
      <c r="AQ130" s="3" t="str">
        <v/>
      </c>
      <c r="AR130" s="3" t="str">
        <v/>
      </c>
      <c r="AS130" s="3" t="str">
        <v/>
      </c>
      <c r="AT130" s="3" t="str">
        <v/>
      </c>
      <c r="AU130" s="3" t="str">
        <v/>
      </c>
      <c r="AV130" s="3" t="str">
        <v/>
      </c>
      <c r="AW130" s="3" t="str">
        <v/>
      </c>
      <c r="AX130" s="3" t="str">
        <v/>
      </c>
      <c r="AY130" s="3" t="str">
        <v/>
      </c>
      <c r="AZ130" s="3" t="str">
        <v/>
      </c>
      <c r="BA130" s="3" t="str">
        <v/>
      </c>
      <c r="BB130" s="3" t="str">
        <v/>
      </c>
      <c r="BC130" s="3" t="str">
        <v/>
      </c>
      <c r="BD130" s="3" t="str">
        <v/>
      </c>
      <c r="BE130" s="3" t="str">
        <v/>
      </c>
      <c r="BF130" s="3" t="str">
        <v/>
      </c>
      <c r="BG130" s="3" t="str">
        <v/>
      </c>
      <c r="BH130" s="3" t="str">
        <v/>
      </c>
      <c r="BI130" s="3" t="str">
        <v/>
      </c>
      <c r="BJ130" s="3" t="str">
        <v/>
      </c>
      <c r="BK130" s="3" t="str">
        <v/>
      </c>
      <c r="BL130" s="3" t="str">
        <v/>
      </c>
      <c r="BM130" s="3" t="str">
        <v/>
      </c>
      <c r="BN130" s="3" t="str">
        <v/>
      </c>
      <c r="BO130" s="3" t="str">
        <v/>
      </c>
      <c r="BP130" s="3" t="str">
        <v/>
      </c>
      <c r="BQ130" s="3" t="str">
        <v/>
      </c>
      <c r="BR130" s="3" t="str">
        <v/>
      </c>
      <c r="BS130" s="3" t="str">
        <v/>
      </c>
      <c r="BT130" s="3" t="str">
        <v/>
      </c>
      <c r="BU130" s="3" t="str">
        <v/>
      </c>
      <c r="BV130" s="3" t="str">
        <v/>
      </c>
      <c r="BW130" s="3" t="str">
        <v/>
      </c>
      <c r="BX130" s="3" t="str">
        <v/>
      </c>
      <c r="BY130" s="3" t="str">
        <v/>
      </c>
      <c r="BZ130" s="3" t="str">
        <v/>
      </c>
      <c r="CA130" s="3" t="str">
        <v/>
      </c>
      <c r="CB130" s="3" t="str">
        <v/>
      </c>
      <c r="CC130" s="3" t="str">
        <v/>
      </c>
      <c r="CD130" s="3" t="str">
        <v/>
      </c>
      <c r="CE130" s="3" t="str">
        <v/>
      </c>
      <c r="CF130" s="3" t="str">
        <v/>
      </c>
      <c r="CG130" s="3" t="str">
        <v/>
      </c>
      <c r="CH130" s="3" t="str">
        <v/>
      </c>
      <c r="CI130" s="3" t="str">
        <v/>
      </c>
      <c r="CJ130" s="3" t="str">
        <v/>
      </c>
      <c r="CK130" s="3" t="str">
        <v/>
      </c>
      <c r="CL130" s="3" t="str">
        <v/>
      </c>
      <c r="CM130" s="3" t="str">
        <v/>
      </c>
      <c r="CN130" s="3" t="str">
        <v/>
      </c>
      <c r="CO130" s="3" t="str">
        <v/>
      </c>
      <c r="CP130" s="3" t="str">
        <v/>
      </c>
      <c r="CQ130" s="3" t="str">
        <v/>
      </c>
      <c r="CR130" s="3" t="str">
        <v/>
      </c>
      <c r="CS130" s="3" t="str">
        <v/>
      </c>
      <c r="CT130" s="3" t="str">
        <v/>
      </c>
      <c r="CU130" s="3" t="str">
        <v/>
      </c>
      <c r="CV130" s="3" t="str">
        <v/>
      </c>
      <c r="CW130" s="3" t="str">
        <v/>
      </c>
      <c r="CX130" s="3" t="str">
        <v/>
      </c>
      <c r="CY130" s="3" t="str">
        <v/>
      </c>
      <c r="CZ130" s="3" t="str">
        <v/>
      </c>
      <c r="DA130" s="3" t="str">
        <v/>
      </c>
      <c r="DB130" s="3" t="str">
        <v/>
      </c>
      <c r="DC130" s="3" t="str">
        <v/>
      </c>
      <c r="DD130" s="3" t="str">
        <v/>
      </c>
      <c r="DE130" s="3" t="str">
        <v/>
      </c>
      <c r="DF130" s="3" t="str">
        <v/>
      </c>
      <c r="DG130" s="3" t="str">
        <v/>
      </c>
      <c r="DH130" s="3" t="str">
        <v/>
      </c>
      <c r="DI130" s="1" t="str">
        <v/>
      </c>
      <c r="DJ130" s="1" t="str">
        <v/>
      </c>
      <c r="DK130" s="1" t="str">
        <v/>
      </c>
      <c r="DL130" s="1" t="str">
        <v/>
      </c>
      <c r="DM130" s="1" t="str">
        <v/>
      </c>
      <c r="DN130" s="1" t="str">
        <v/>
      </c>
      <c r="DO130" s="1" t="str">
        <v/>
      </c>
      <c r="DP130" s="1" t="str">
        <v/>
      </c>
      <c r="DQ130" s="1" t="str">
        <v/>
      </c>
      <c r="DR130" s="1" t="str">
        <v/>
      </c>
      <c r="DS130" s="1" t="str">
        <v/>
      </c>
      <c r="DT130" s="1" t="str">
        <v/>
      </c>
      <c r="DU130" s="1" t="str">
        <v/>
      </c>
      <c r="DV130" s="1" t="str">
        <v/>
      </c>
      <c r="DW130" s="1" t="str">
        <v/>
      </c>
      <c r="DX130" s="1">
        <v>1</v>
      </c>
      <c r="DY130" s="1">
        <v>0.30639651373023807</v>
      </c>
    </row>
    <row r="131" spans="1:129" ht="15">
      <c r="A131" s="7" t="s">
        <v>142</v>
      </c>
      <c r="B131" s="3" t="str">
        <v/>
      </c>
      <c r="C131" s="3" t="str">
        <v/>
      </c>
      <c r="D131" s="3" t="str">
        <v/>
      </c>
      <c r="E131" s="3" t="str">
        <v/>
      </c>
      <c r="F131" s="3" t="str">
        <v/>
      </c>
      <c r="G131" s="3" t="str">
        <v/>
      </c>
      <c r="H131" s="3" t="str">
        <v/>
      </c>
      <c r="I131" s="3" t="str">
        <v/>
      </c>
      <c r="J131" s="3" t="str">
        <v/>
      </c>
      <c r="K131" s="3" t="str">
        <v/>
      </c>
      <c r="L131" s="3" t="str">
        <v/>
      </c>
      <c r="M131" s="3" t="str">
        <v/>
      </c>
      <c r="N131" s="3" t="str">
        <v/>
      </c>
      <c r="O131" s="3" t="str">
        <v/>
      </c>
      <c r="P131" s="3" t="str">
        <v/>
      </c>
      <c r="Q131" s="3" t="str">
        <v/>
      </c>
      <c r="R131" s="3" t="str">
        <v/>
      </c>
      <c r="S131" s="3" t="str">
        <v/>
      </c>
      <c r="T131" s="3" t="str">
        <v/>
      </c>
      <c r="U131" s="3" t="str">
        <v/>
      </c>
      <c r="V131" s="3" t="str">
        <v/>
      </c>
      <c r="W131" s="3" t="str">
        <v/>
      </c>
      <c r="X131" s="3" t="str">
        <v/>
      </c>
      <c r="Y131" s="3" t="str">
        <v/>
      </c>
      <c r="Z131" s="3" t="str">
        <v/>
      </c>
      <c r="AA131" s="3" t="str">
        <v/>
      </c>
      <c r="AB131" s="3" t="str">
        <v/>
      </c>
      <c r="AC131" s="3" t="str">
        <v/>
      </c>
      <c r="AD131" s="3" t="str">
        <v/>
      </c>
      <c r="AE131" s="3" t="str">
        <v/>
      </c>
      <c r="AF131" s="3" t="str">
        <v/>
      </c>
      <c r="AG131" s="3" t="str">
        <v/>
      </c>
      <c r="AH131" s="3" t="str">
        <v/>
      </c>
      <c r="AI131" s="3" t="str">
        <v/>
      </c>
      <c r="AJ131" s="3" t="str">
        <v/>
      </c>
      <c r="AK131" s="3" t="str">
        <v/>
      </c>
      <c r="AL131" s="3" t="str">
        <v/>
      </c>
      <c r="AM131" s="3" t="str">
        <v/>
      </c>
      <c r="AN131" s="3" t="str">
        <v/>
      </c>
      <c r="AO131" s="3" t="str">
        <v/>
      </c>
      <c r="AP131" s="3" t="str">
        <v/>
      </c>
      <c r="AQ131" s="3" t="str">
        <v/>
      </c>
      <c r="AR131" s="3" t="str">
        <v/>
      </c>
      <c r="AS131" s="3" t="str">
        <v/>
      </c>
      <c r="AT131" s="3" t="str">
        <v/>
      </c>
      <c r="AU131" s="3" t="str">
        <v/>
      </c>
      <c r="AV131" s="3" t="str">
        <v/>
      </c>
      <c r="AW131" s="3" t="str">
        <v/>
      </c>
      <c r="AX131" s="3" t="str">
        <v/>
      </c>
      <c r="AY131" s="3" t="str">
        <v/>
      </c>
      <c r="AZ131" s="3" t="str">
        <v/>
      </c>
      <c r="BA131" s="3" t="str">
        <v/>
      </c>
      <c r="BB131" s="3" t="str">
        <v/>
      </c>
      <c r="BC131" s="3" t="str">
        <v/>
      </c>
      <c r="BD131" s="3" t="str">
        <v/>
      </c>
      <c r="BE131" s="3" t="str">
        <v/>
      </c>
      <c r="BF131" s="3" t="str">
        <v/>
      </c>
      <c r="BG131" s="3" t="str">
        <v/>
      </c>
      <c r="BH131" s="3" t="str">
        <v/>
      </c>
      <c r="BI131" s="3" t="str">
        <v/>
      </c>
      <c r="BJ131" s="3" t="str">
        <v/>
      </c>
      <c r="BK131" s="3" t="str">
        <v/>
      </c>
      <c r="BL131" s="3" t="str">
        <v/>
      </c>
      <c r="BM131" s="3" t="str">
        <v/>
      </c>
      <c r="BN131" s="3" t="str">
        <v/>
      </c>
      <c r="BO131" s="3" t="str">
        <v/>
      </c>
      <c r="BP131" s="3" t="str">
        <v/>
      </c>
      <c r="BQ131" s="3" t="str">
        <v/>
      </c>
      <c r="BR131" s="3" t="str">
        <v/>
      </c>
      <c r="BS131" s="3" t="str">
        <v/>
      </c>
      <c r="BT131" s="3" t="str">
        <v/>
      </c>
      <c r="BU131" s="3" t="str">
        <v/>
      </c>
      <c r="BV131" s="3" t="str">
        <v/>
      </c>
      <c r="BW131" s="3" t="str">
        <v/>
      </c>
      <c r="BX131" s="3" t="str">
        <v/>
      </c>
      <c r="BY131" s="3" t="str">
        <v/>
      </c>
      <c r="BZ131" s="3" t="str">
        <v/>
      </c>
      <c r="CA131" s="3" t="str">
        <v/>
      </c>
      <c r="CB131" s="3" t="str">
        <v/>
      </c>
      <c r="CC131" s="3" t="str">
        <v/>
      </c>
      <c r="CD131" s="3" t="str">
        <v/>
      </c>
      <c r="CE131" s="3" t="str">
        <v/>
      </c>
      <c r="CF131" s="3" t="str">
        <v/>
      </c>
      <c r="CG131" s="3" t="str">
        <v/>
      </c>
      <c r="CH131" s="3" t="str">
        <v/>
      </c>
      <c r="CI131" s="3" t="str">
        <v/>
      </c>
      <c r="CJ131" s="3" t="str">
        <v/>
      </c>
      <c r="CK131" s="3" t="str">
        <v/>
      </c>
      <c r="CL131" s="3" t="str">
        <v/>
      </c>
      <c r="CM131" s="3" t="str">
        <v/>
      </c>
      <c r="CN131" s="3" t="str">
        <v/>
      </c>
      <c r="CO131" s="3" t="str">
        <v/>
      </c>
      <c r="CP131" s="3" t="str">
        <v/>
      </c>
      <c r="CQ131" s="3" t="str">
        <v/>
      </c>
      <c r="CR131" s="3" t="str">
        <v/>
      </c>
      <c r="CS131" s="3" t="str">
        <v/>
      </c>
      <c r="CT131" s="3" t="str">
        <v/>
      </c>
      <c r="CU131" s="3" t="str">
        <v/>
      </c>
      <c r="CV131" s="3" t="str">
        <v/>
      </c>
      <c r="CW131" s="3" t="str">
        <v/>
      </c>
      <c r="CX131" s="3" t="str">
        <v/>
      </c>
      <c r="CY131" s="3" t="str">
        <v/>
      </c>
      <c r="CZ131" s="3" t="str">
        <v/>
      </c>
      <c r="DA131" s="3" t="str">
        <v/>
      </c>
      <c r="DB131" s="3" t="str">
        <v/>
      </c>
      <c r="DC131" s="3" t="str">
        <v/>
      </c>
      <c r="DD131" s="3" t="str">
        <v/>
      </c>
      <c r="DE131" s="3" t="str">
        <v/>
      </c>
      <c r="DF131" s="3" t="str">
        <v/>
      </c>
      <c r="DG131" s="3" t="str">
        <v/>
      </c>
      <c r="DH131" s="3" t="str">
        <v/>
      </c>
      <c r="DI131" s="1" t="str">
        <v/>
      </c>
      <c r="DJ131" s="1" t="str">
        <v/>
      </c>
      <c r="DK131" s="1" t="str">
        <v/>
      </c>
      <c r="DL131" s="1" t="str">
        <v/>
      </c>
      <c r="DM131" s="1" t="str">
        <v/>
      </c>
      <c r="DN131" s="1" t="str">
        <v/>
      </c>
      <c r="DO131" s="1" t="str">
        <v/>
      </c>
      <c r="DP131" s="1" t="str">
        <v/>
      </c>
      <c r="DQ131" s="1" t="str">
        <v/>
      </c>
      <c r="DR131" s="1" t="str">
        <v/>
      </c>
      <c r="DS131" s="1" t="str">
        <v/>
      </c>
      <c r="DT131" s="1" t="str">
        <v/>
      </c>
      <c r="DU131" s="1" t="str">
        <v/>
      </c>
      <c r="DV131" s="1" t="str">
        <v/>
      </c>
      <c r="DW131" s="1" t="str">
        <v/>
      </c>
      <c r="DX131" s="1" t="str">
        <v/>
      </c>
      <c r="DY131" s="1">
        <v>1</v>
      </c>
    </row>
  </sheetData>
  <phoneticPr fontId="19" type="noConversion"/>
  <conditionalFormatting sqref="B4:DY132">
    <cfRule type="containsBlanks" dxfId="64" priority="1">
      <formula>LEN(TRIM(B4))=0</formula>
    </cfRule>
    <cfRule type="cellIs" dxfId="63" priority="2" operator="greaterThan">
      <formula>0.6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5"/>
  <sheetViews>
    <sheetView zoomScale="50" workbookViewId="0">
      <selection activeCell="A50" sqref="A50:A89"/>
    </sheetView>
  </sheetViews>
  <sheetFormatPr defaultColWidth="11" defaultRowHeight="14.25"/>
  <sheetData>
    <row r="1" spans="1:41" ht="27">
      <c r="A1" s="2" t="s">
        <v>1</v>
      </c>
    </row>
    <row r="2" spans="1:41" ht="15">
      <c r="B2" s="17" t="s">
        <v>15</v>
      </c>
      <c r="C2" s="17" t="s">
        <v>19</v>
      </c>
      <c r="D2" s="17" t="s">
        <v>17</v>
      </c>
      <c r="E2" s="17" t="s">
        <v>18</v>
      </c>
      <c r="F2" s="17" t="s">
        <v>20</v>
      </c>
      <c r="G2" s="17" t="s">
        <v>22</v>
      </c>
      <c r="H2" s="17" t="s">
        <v>23</v>
      </c>
      <c r="I2" s="17" t="s">
        <v>24</v>
      </c>
      <c r="J2" s="17" t="s">
        <v>29</v>
      </c>
      <c r="K2" s="17" t="s">
        <v>30</v>
      </c>
      <c r="L2" s="17" t="s">
        <v>32</v>
      </c>
      <c r="M2" s="17" t="s">
        <v>41</v>
      </c>
      <c r="N2" s="17" t="s">
        <v>43</v>
      </c>
      <c r="O2" s="17" t="s">
        <v>45</v>
      </c>
      <c r="P2" s="17" t="s">
        <v>47</v>
      </c>
      <c r="Q2" s="17" t="s">
        <v>50</v>
      </c>
      <c r="R2" s="17" t="s">
        <v>52</v>
      </c>
      <c r="S2" s="17" t="s">
        <v>53</v>
      </c>
      <c r="T2" s="17" t="s">
        <v>54</v>
      </c>
      <c r="U2" s="17" t="s">
        <v>57</v>
      </c>
      <c r="V2" s="17" t="s">
        <v>62</v>
      </c>
      <c r="W2" s="17" t="s">
        <v>66</v>
      </c>
      <c r="X2" s="17" t="s">
        <v>70</v>
      </c>
      <c r="Y2" s="17" t="s">
        <v>74</v>
      </c>
      <c r="Z2" s="17" t="s">
        <v>76</v>
      </c>
      <c r="AA2" s="17" t="s">
        <v>79</v>
      </c>
      <c r="AB2" s="17" t="s">
        <v>87</v>
      </c>
      <c r="AC2" s="17" t="s">
        <v>88</v>
      </c>
      <c r="AD2" s="17" t="s">
        <v>91</v>
      </c>
      <c r="AE2" s="17" t="s">
        <v>94</v>
      </c>
      <c r="AF2" s="17" t="s">
        <v>95</v>
      </c>
      <c r="AG2" s="17" t="s">
        <v>102</v>
      </c>
      <c r="AH2" s="17" t="s">
        <v>110</v>
      </c>
      <c r="AI2" s="17" t="s">
        <v>114</v>
      </c>
      <c r="AJ2" s="17" t="s">
        <v>120</v>
      </c>
      <c r="AK2" s="17" t="s">
        <v>123</v>
      </c>
      <c r="AL2" s="17" t="s">
        <v>127</v>
      </c>
      <c r="AM2" s="17" t="s">
        <v>139</v>
      </c>
      <c r="AN2" s="17" t="s">
        <v>140</v>
      </c>
      <c r="AO2" s="17" t="s">
        <v>142</v>
      </c>
    </row>
    <row r="3" spans="1:41" ht="15">
      <c r="A3" s="17" t="s">
        <v>15</v>
      </c>
      <c r="B3" s="4">
        <f t="array" ref="B3:AO42">CorrMatrix(Data!B132:AO189)</f>
        <v>1</v>
      </c>
      <c r="C3" s="1">
        <v>0.40649727803444541</v>
      </c>
      <c r="D3" s="1">
        <v>0.45958845085018696</v>
      </c>
      <c r="E3" s="1">
        <v>0.15687867601213745</v>
      </c>
      <c r="F3" s="1">
        <v>0.49664829022355828</v>
      </c>
      <c r="G3" s="1">
        <v>0.49551973485409467</v>
      </c>
      <c r="H3" s="1">
        <v>0.38277144686923853</v>
      </c>
      <c r="I3" s="1">
        <v>0.2352971494709036</v>
      </c>
      <c r="J3" s="1">
        <v>0.47902282053352702</v>
      </c>
      <c r="K3" s="1">
        <v>0.35558431872900453</v>
      </c>
      <c r="L3" s="1">
        <v>0.12644137331988053</v>
      </c>
      <c r="M3" s="1">
        <v>1.3979430195872947E-2</v>
      </c>
      <c r="N3" s="1">
        <v>0.53487528323611344</v>
      </c>
      <c r="O3" s="1">
        <v>0.5220291942479699</v>
      </c>
      <c r="P3" s="1">
        <v>0.32158178917226565</v>
      </c>
      <c r="Q3" s="1">
        <v>0.43673259766743</v>
      </c>
      <c r="R3" s="1">
        <v>0.24555706297341917</v>
      </c>
      <c r="S3" s="1">
        <v>0.37127378282362555</v>
      </c>
      <c r="T3" s="1">
        <v>0.39086058343981761</v>
      </c>
      <c r="U3" s="1">
        <v>0.3402509146784673</v>
      </c>
      <c r="V3" s="1">
        <v>0.28811751509910694</v>
      </c>
      <c r="W3" s="1">
        <v>0.20083013869233793</v>
      </c>
      <c r="X3" s="1">
        <v>0.2247335841305749</v>
      </c>
      <c r="Y3" s="1">
        <v>0.12589915896290499</v>
      </c>
      <c r="Z3" s="1">
        <v>0.51867208214279448</v>
      </c>
      <c r="AA3" s="1">
        <v>0.35524504493356457</v>
      </c>
      <c r="AB3" s="1">
        <v>0.15885325093672367</v>
      </c>
      <c r="AC3" s="1">
        <v>0.23179525552471417</v>
      </c>
      <c r="AD3" s="1">
        <v>0.42939248165240729</v>
      </c>
      <c r="AE3" s="1">
        <v>0.52803794525842207</v>
      </c>
      <c r="AF3" s="1">
        <v>0.40889917050237251</v>
      </c>
      <c r="AG3" s="1">
        <v>0.39546493209023481</v>
      </c>
      <c r="AH3" s="1">
        <v>0.35857178059897349</v>
      </c>
      <c r="AI3" s="1">
        <v>0.39380934468704831</v>
      </c>
      <c r="AJ3" s="1">
        <v>8.6259784033078199E-2</v>
      </c>
      <c r="AK3" s="1">
        <v>0.30639057842017281</v>
      </c>
      <c r="AL3" s="1">
        <v>0.42234586704141969</v>
      </c>
      <c r="AM3" s="1">
        <v>0.35234696539126209</v>
      </c>
      <c r="AN3" s="1">
        <v>0.30087610898662059</v>
      </c>
      <c r="AO3" s="1">
        <v>0.26730823157637273</v>
      </c>
    </row>
    <row r="4" spans="1:41" ht="15">
      <c r="A4" s="17" t="s">
        <v>19</v>
      </c>
      <c r="B4" s="1">
        <v>0.40649727803444541</v>
      </c>
      <c r="C4" s="4">
        <v>0.99999999999999978</v>
      </c>
      <c r="D4" s="1">
        <v>0.34835150763652439</v>
      </c>
      <c r="E4" s="1">
        <v>8.965160509403497E-2</v>
      </c>
      <c r="F4" s="1">
        <v>0.58691981332537757</v>
      </c>
      <c r="G4" s="1">
        <v>0.41299015912288051</v>
      </c>
      <c r="H4" s="1">
        <v>0.31881704532489891</v>
      </c>
      <c r="I4" s="1">
        <v>0.15204505028794435</v>
      </c>
      <c r="J4" s="1">
        <v>0.31244203286244365</v>
      </c>
      <c r="K4" s="1">
        <v>0.46322620587886454</v>
      </c>
      <c r="L4" s="1">
        <v>0.13454811941092681</v>
      </c>
      <c r="M4" s="1">
        <v>0.17868026060316103</v>
      </c>
      <c r="N4" s="1">
        <v>0.19407917519129897</v>
      </c>
      <c r="O4" s="1">
        <v>0.18267949104078962</v>
      </c>
      <c r="P4" s="1">
        <v>0.1211370223699864</v>
      </c>
      <c r="Q4" s="1">
        <v>0.28157429019781999</v>
      </c>
      <c r="R4" s="1">
        <v>5.1301516189632752E-2</v>
      </c>
      <c r="S4" s="1">
        <v>6.9966226540834911E-2</v>
      </c>
      <c r="T4" s="1">
        <v>0.11022306405178098</v>
      </c>
      <c r="U4" s="1">
        <v>0.34783653453646463</v>
      </c>
      <c r="V4" s="1">
        <v>0.18031888235782328</v>
      </c>
      <c r="W4" s="1">
        <v>9.7470610456784873E-2</v>
      </c>
      <c r="X4" s="1">
        <v>-3.7619328766311587E-3</v>
      </c>
      <c r="Y4" s="1">
        <v>1.8587601772582726E-2</v>
      </c>
      <c r="Z4" s="1">
        <v>0.31053483304220486</v>
      </c>
      <c r="AA4" s="1">
        <v>0.23165047309389941</v>
      </c>
      <c r="AB4" s="1">
        <v>0.18293042607078014</v>
      </c>
      <c r="AC4" s="1">
        <v>-5.4121594545239342E-2</v>
      </c>
      <c r="AD4" s="1">
        <v>0.4852363041316981</v>
      </c>
      <c r="AE4" s="1">
        <v>0.25086186174502051</v>
      </c>
      <c r="AF4" s="1">
        <v>0.44629364937897509</v>
      </c>
      <c r="AG4" s="1">
        <v>4.8982261816817758E-2</v>
      </c>
      <c r="AH4" s="1">
        <v>0.16374529262197299</v>
      </c>
      <c r="AI4" s="1">
        <v>0.22960765357632748</v>
      </c>
      <c r="AJ4" s="1">
        <v>6.0949409103049294E-2</v>
      </c>
      <c r="AK4" s="1">
        <v>0.17296101455569418</v>
      </c>
      <c r="AL4" s="1">
        <v>0.31659985501278104</v>
      </c>
      <c r="AM4" s="1">
        <v>0.2225641537038423</v>
      </c>
      <c r="AN4" s="1">
        <v>0.13890800614927332</v>
      </c>
      <c r="AO4" s="1">
        <v>2.3035106284563983E-2</v>
      </c>
    </row>
    <row r="5" spans="1:41" ht="15">
      <c r="A5" s="17" t="s">
        <v>17</v>
      </c>
      <c r="B5" s="1">
        <v>0.45958845085018696</v>
      </c>
      <c r="C5" s="1">
        <v>0.34835150763652439</v>
      </c>
      <c r="D5" s="4">
        <v>0.99999999999999978</v>
      </c>
      <c r="E5" s="1">
        <v>0.13293253969829477</v>
      </c>
      <c r="F5" s="1">
        <v>0.39817144978575053</v>
      </c>
      <c r="G5" s="1">
        <v>0.16607797138923461</v>
      </c>
      <c r="H5" s="1">
        <v>0.42514530350017243</v>
      </c>
      <c r="I5" s="1">
        <v>8.7056906977724044E-2</v>
      </c>
      <c r="J5" s="1">
        <v>0.13733509331619537</v>
      </c>
      <c r="K5" s="1">
        <v>0.3001993168596071</v>
      </c>
      <c r="L5" s="1">
        <v>0.14118371013164099</v>
      </c>
      <c r="M5" s="1">
        <v>0.14298661969438931</v>
      </c>
      <c r="N5" s="1">
        <v>0.2982970307679495</v>
      </c>
      <c r="O5" s="1">
        <v>7.0453064156324505E-2</v>
      </c>
      <c r="P5" s="1">
        <v>0.16919814310918876</v>
      </c>
      <c r="Q5" s="1">
        <v>0.25427811446589677</v>
      </c>
      <c r="R5" s="1">
        <v>5.31597265151E-3</v>
      </c>
      <c r="S5" s="1">
        <v>0.31852136622258204</v>
      </c>
      <c r="T5" s="1">
        <v>0.14432794794703951</v>
      </c>
      <c r="U5" s="1">
        <v>0.24671013309798354</v>
      </c>
      <c r="V5" s="1">
        <v>0.11281699902822548</v>
      </c>
      <c r="W5" s="1">
        <v>2.4228477533494996E-2</v>
      </c>
      <c r="X5" s="1">
        <v>-1.8879839443280276E-2</v>
      </c>
      <c r="Y5" s="1">
        <v>0.10844750618907995</v>
      </c>
      <c r="Z5" s="1">
        <v>-4.9162962799218404E-2</v>
      </c>
      <c r="AA5" s="1">
        <v>0.19643959833485897</v>
      </c>
      <c r="AB5" s="1">
        <v>-3.5336944812824581E-2</v>
      </c>
      <c r="AC5" s="1">
        <v>-0.139956608271426</v>
      </c>
      <c r="AD5" s="1">
        <v>5.907891496822857E-2</v>
      </c>
      <c r="AE5" s="1">
        <v>9.2048795767503189E-2</v>
      </c>
      <c r="AF5" s="1">
        <v>6.0206032401977798E-2</v>
      </c>
      <c r="AG5" s="1">
        <v>1.4648157245174976E-2</v>
      </c>
      <c r="AH5" s="1">
        <v>0.19489559712637977</v>
      </c>
      <c r="AI5" s="1">
        <v>-8.6889537838647848E-2</v>
      </c>
      <c r="AJ5" s="1">
        <v>4.5729699281503835E-3</v>
      </c>
      <c r="AK5" s="1">
        <v>7.4187488433543974E-2</v>
      </c>
      <c r="AL5" s="1">
        <v>0.18401109244506192</v>
      </c>
      <c r="AM5" s="1">
        <v>0.15865208414627405</v>
      </c>
      <c r="AN5" s="1">
        <v>-8.0808488746089063E-2</v>
      </c>
      <c r="AO5" s="1">
        <v>7.1850120270848094E-3</v>
      </c>
    </row>
    <row r="6" spans="1:41" ht="15">
      <c r="A6" s="17" t="s">
        <v>18</v>
      </c>
      <c r="B6" s="1">
        <v>0.15687867601213745</v>
      </c>
      <c r="C6" s="1">
        <v>8.965160509403497E-2</v>
      </c>
      <c r="D6" s="1">
        <v>0.13293253969829477</v>
      </c>
      <c r="E6" s="4">
        <v>1.0000000000000002</v>
      </c>
      <c r="F6" s="1">
        <v>0.27488741130163691</v>
      </c>
      <c r="G6" s="1">
        <v>0.11463637995029191</v>
      </c>
      <c r="H6" s="1">
        <v>0.3743439350574278</v>
      </c>
      <c r="I6" s="1">
        <v>8.4835113691476075E-2</v>
      </c>
      <c r="J6" s="1">
        <v>0.34129922766210385</v>
      </c>
      <c r="K6" s="1">
        <v>0.4422706200326863</v>
      </c>
      <c r="L6" s="1">
        <v>0.12162822399338535</v>
      </c>
      <c r="M6" s="1">
        <v>0.34452218116859473</v>
      </c>
      <c r="N6" s="1">
        <v>0.3285675820643843</v>
      </c>
      <c r="O6" s="1">
        <v>0.27452786414913638</v>
      </c>
      <c r="P6" s="1">
        <v>0.20207898980097205</v>
      </c>
      <c r="Q6" s="1">
        <v>-8.5441120330858406E-2</v>
      </c>
      <c r="R6" s="1">
        <v>0.26342601675702382</v>
      </c>
      <c r="S6" s="1">
        <v>0.17192388579005896</v>
      </c>
      <c r="T6" s="1">
        <v>0.25891426688325797</v>
      </c>
      <c r="U6" s="1">
        <v>0.336471320804347</v>
      </c>
      <c r="V6" s="1">
        <v>0.13972042276168181</v>
      </c>
      <c r="W6" s="1">
        <v>0.12336542219222398</v>
      </c>
      <c r="X6" s="1">
        <v>0.28155683670443821</v>
      </c>
      <c r="Y6" s="1">
        <v>0.27394020919137696</v>
      </c>
      <c r="Z6" s="1">
        <v>1.4170282996151065E-2</v>
      </c>
      <c r="AA6" s="1">
        <v>0.29517774299037142</v>
      </c>
      <c r="AB6" s="1">
        <v>0.30060939328314656</v>
      </c>
      <c r="AC6" s="1">
        <v>0.20752720185426635</v>
      </c>
      <c r="AD6" s="1">
        <v>-0.11983775561868505</v>
      </c>
      <c r="AE6" s="1">
        <v>2.6272892304634456E-2</v>
      </c>
      <c r="AF6" s="1">
        <v>8.2738321706970763E-3</v>
      </c>
      <c r="AG6" s="1">
        <v>5.7737132153811994E-2</v>
      </c>
      <c r="AH6" s="1">
        <v>0.15810426197076541</v>
      </c>
      <c r="AI6" s="1">
        <v>0.25545472549869469</v>
      </c>
      <c r="AJ6" s="1">
        <v>0.3055316298476714</v>
      </c>
      <c r="AK6" s="1">
        <v>0.17865731451498482</v>
      </c>
      <c r="AL6" s="1">
        <v>0.36438192412416837</v>
      </c>
      <c r="AM6" s="1">
        <v>0.19239935711257683</v>
      </c>
      <c r="AN6" s="1">
        <v>0.14586337473965347</v>
      </c>
      <c r="AO6" s="1">
        <v>9.0331679557561328E-2</v>
      </c>
    </row>
    <row r="7" spans="1:41" ht="15">
      <c r="A7" s="17" t="s">
        <v>20</v>
      </c>
      <c r="B7" s="1">
        <v>0.49664829022355828</v>
      </c>
      <c r="C7" s="1">
        <v>0.58691981332537757</v>
      </c>
      <c r="D7" s="1">
        <v>0.39817144978575053</v>
      </c>
      <c r="E7" s="1">
        <v>0.27488741130163691</v>
      </c>
      <c r="F7" s="4">
        <v>1.0000000000000002</v>
      </c>
      <c r="G7" s="1">
        <v>0.45777856175672316</v>
      </c>
      <c r="H7" s="1">
        <v>0.37507799293371241</v>
      </c>
      <c r="I7" s="1">
        <v>0.13404766079634878</v>
      </c>
      <c r="J7" s="1">
        <v>0.46142781602952043</v>
      </c>
      <c r="K7" s="1">
        <v>0.48027192797132751</v>
      </c>
      <c r="L7" s="1">
        <v>0.19368258052697146</v>
      </c>
      <c r="M7" s="1">
        <v>0.22292685908632151</v>
      </c>
      <c r="N7" s="1">
        <v>0.33362329621681391</v>
      </c>
      <c r="O7" s="1">
        <v>0.32482337883386941</v>
      </c>
      <c r="P7" s="1">
        <v>0.15151572721245943</v>
      </c>
      <c r="Q7" s="1">
        <v>0.28621776443578389</v>
      </c>
      <c r="R7" s="1">
        <v>0.14551580536581826</v>
      </c>
      <c r="S7" s="1">
        <v>0.21013657767052799</v>
      </c>
      <c r="T7" s="1">
        <v>0.3213058488117978</v>
      </c>
      <c r="U7" s="1">
        <v>0.46570793343601685</v>
      </c>
      <c r="V7" s="1">
        <v>0.10516652757826919</v>
      </c>
      <c r="W7" s="1">
        <v>4.1794285199236315E-2</v>
      </c>
      <c r="X7" s="1">
        <v>8.5130381135544164E-2</v>
      </c>
      <c r="Y7" s="1">
        <v>5.3638860239855382E-2</v>
      </c>
      <c r="Z7" s="1">
        <v>0.16862223491911571</v>
      </c>
      <c r="AA7" s="1">
        <v>0.31116268835237504</v>
      </c>
      <c r="AB7" s="1">
        <v>0.19983275116025778</v>
      </c>
      <c r="AC7" s="1">
        <v>-9.8993578691822834E-2</v>
      </c>
      <c r="AD7" s="1">
        <v>0.31713322262725574</v>
      </c>
      <c r="AE7" s="1">
        <v>0.15541418576814359</v>
      </c>
      <c r="AF7" s="1">
        <v>0.31022192452635644</v>
      </c>
      <c r="AG7" s="1">
        <v>0.19273113349429186</v>
      </c>
      <c r="AH7" s="1">
        <v>0.29924284057009565</v>
      </c>
      <c r="AI7" s="1">
        <v>0.30886596430027285</v>
      </c>
      <c r="AJ7" s="1">
        <v>0.29019359816959978</v>
      </c>
      <c r="AK7" s="1">
        <v>0.24918668008098077</v>
      </c>
      <c r="AL7" s="1">
        <v>0.33923010103025558</v>
      </c>
      <c r="AM7" s="1">
        <v>0.24482463884656838</v>
      </c>
      <c r="AN7" s="1">
        <v>0.12990446479673956</v>
      </c>
      <c r="AO7" s="1">
        <v>2.9199716543254751E-2</v>
      </c>
    </row>
    <row r="8" spans="1:41" ht="15">
      <c r="A8" s="17" t="s">
        <v>22</v>
      </c>
      <c r="B8" s="1">
        <v>0.49551973485409467</v>
      </c>
      <c r="C8" s="1">
        <v>0.41299015912288051</v>
      </c>
      <c r="D8" s="1">
        <v>0.16607797138923461</v>
      </c>
      <c r="E8" s="1">
        <v>0.11463637995029191</v>
      </c>
      <c r="F8" s="1">
        <v>0.45777856175672316</v>
      </c>
      <c r="G8" s="4">
        <v>1</v>
      </c>
      <c r="H8" s="1">
        <v>0.47000696094581679</v>
      </c>
      <c r="I8" s="1">
        <v>0.45426131914117535</v>
      </c>
      <c r="J8" s="1">
        <v>0.37886177649438002</v>
      </c>
      <c r="K8" s="1">
        <v>0.30261273266388661</v>
      </c>
      <c r="L8" s="1">
        <v>0.22045034314249348</v>
      </c>
      <c r="M8" s="1">
        <v>0.23476670115512149</v>
      </c>
      <c r="N8" s="1">
        <v>0.51773774875241096</v>
      </c>
      <c r="O8" s="1">
        <v>0.3798724507559082</v>
      </c>
      <c r="P8" s="1">
        <v>8.9239404971734493E-2</v>
      </c>
      <c r="Q8" s="1">
        <v>0.29136295857520195</v>
      </c>
      <c r="R8" s="1">
        <v>0.34005402560607867</v>
      </c>
      <c r="S8" s="1">
        <v>6.8735688628505541E-3</v>
      </c>
      <c r="T8" s="1">
        <v>0.26847682899981784</v>
      </c>
      <c r="U8" s="1">
        <v>0.41584570107049634</v>
      </c>
      <c r="V8" s="1">
        <v>0.47070765434861767</v>
      </c>
      <c r="W8" s="1">
        <v>0.46436733060513091</v>
      </c>
      <c r="X8" s="1">
        <v>5.0546148943550098E-2</v>
      </c>
      <c r="Y8" s="1">
        <v>0.15331770245078138</v>
      </c>
      <c r="Z8" s="1">
        <v>0.3699824318315712</v>
      </c>
      <c r="AA8" s="1">
        <v>0.22181400015859026</v>
      </c>
      <c r="AB8" s="1">
        <v>0.26985344602303291</v>
      </c>
      <c r="AC8" s="1">
        <v>7.6733503771159159E-2</v>
      </c>
      <c r="AD8" s="1">
        <v>0.26926898395846988</v>
      </c>
      <c r="AE8" s="1">
        <v>0.30905614214608412</v>
      </c>
      <c r="AF8" s="1">
        <v>0.37865660803989337</v>
      </c>
      <c r="AG8" s="1">
        <v>0.24196588534320548</v>
      </c>
      <c r="AH8" s="1">
        <v>0.29984417553141501</v>
      </c>
      <c r="AI8" s="1">
        <v>0.36549447419193859</v>
      </c>
      <c r="AJ8" s="1">
        <v>0.14074428132471375</v>
      </c>
      <c r="AK8" s="1">
        <v>0.12632349681121821</v>
      </c>
      <c r="AL8" s="1">
        <v>0.23372336507878921</v>
      </c>
      <c r="AM8" s="1">
        <v>0.24613442509162045</v>
      </c>
      <c r="AN8" s="1">
        <v>0.28937489160527768</v>
      </c>
      <c r="AO8" s="1">
        <v>0.23014000479930244</v>
      </c>
    </row>
    <row r="9" spans="1:41" ht="15">
      <c r="A9" s="17" t="s">
        <v>23</v>
      </c>
      <c r="B9" s="1">
        <v>0.38277144686923853</v>
      </c>
      <c r="C9" s="1">
        <v>0.31881704532489891</v>
      </c>
      <c r="D9" s="1">
        <v>0.42514530350017243</v>
      </c>
      <c r="E9" s="1">
        <v>0.3743439350574278</v>
      </c>
      <c r="F9" s="1">
        <v>0.37507799293371241</v>
      </c>
      <c r="G9" s="1">
        <v>0.47000696094581679</v>
      </c>
      <c r="H9" s="4">
        <v>1</v>
      </c>
      <c r="I9" s="1">
        <v>0.33783064627941134</v>
      </c>
      <c r="J9" s="1">
        <v>0.23189089707223351</v>
      </c>
      <c r="K9" s="1">
        <v>0.27443087870671667</v>
      </c>
      <c r="L9" s="1">
        <v>0.16460820497834022</v>
      </c>
      <c r="M9" s="1">
        <v>0.30259329735640866</v>
      </c>
      <c r="N9" s="1">
        <v>0.47647338322357358</v>
      </c>
      <c r="O9" s="1">
        <v>0.31346435722723559</v>
      </c>
      <c r="P9" s="1">
        <v>0.40245710991843059</v>
      </c>
      <c r="Q9" s="1">
        <v>0.19741395284730121</v>
      </c>
      <c r="R9" s="1">
        <v>0.22584115048818998</v>
      </c>
      <c r="S9" s="1">
        <v>0.18206019473699941</v>
      </c>
      <c r="T9" s="1">
        <v>0.3386855034742321</v>
      </c>
      <c r="U9" s="1">
        <v>0.30353480304186164</v>
      </c>
      <c r="V9" s="1">
        <v>0.27218742698357595</v>
      </c>
      <c r="W9" s="1">
        <v>0.31666709731104858</v>
      </c>
      <c r="X9" s="1">
        <v>0.18418170080256391</v>
      </c>
      <c r="Y9" s="1">
        <v>0.27097832505696828</v>
      </c>
      <c r="Z9" s="1">
        <v>8.8045627280971955E-3</v>
      </c>
      <c r="AA9" s="1">
        <v>0.31315728263657994</v>
      </c>
      <c r="AB9" s="1">
        <v>0.20281731469321104</v>
      </c>
      <c r="AC9" s="1">
        <v>2.1582592771793502E-2</v>
      </c>
      <c r="AD9" s="1">
        <v>2.0021376644597497E-2</v>
      </c>
      <c r="AE9" s="1">
        <v>0.15248323189992113</v>
      </c>
      <c r="AF9" s="1">
        <v>0.11559305234225369</v>
      </c>
      <c r="AG9" s="1">
        <v>0.1538430980228179</v>
      </c>
      <c r="AH9" s="1">
        <v>0.10726224593135895</v>
      </c>
      <c r="AI9" s="1">
        <v>8.4700349979505068E-2</v>
      </c>
      <c r="AJ9" s="1">
        <v>0.27183293184202301</v>
      </c>
      <c r="AK9" s="1">
        <v>0.10463578325680001</v>
      </c>
      <c r="AL9" s="1">
        <v>0.30277717018283529</v>
      </c>
      <c r="AM9" s="1">
        <v>7.1722964827876615E-2</v>
      </c>
      <c r="AN9" s="1">
        <v>0.19885887554234682</v>
      </c>
      <c r="AO9" s="1">
        <v>0.18664784885050587</v>
      </c>
    </row>
    <row r="10" spans="1:41" ht="15">
      <c r="A10" s="17" t="s">
        <v>24</v>
      </c>
      <c r="B10" s="1">
        <v>0.2352971494709036</v>
      </c>
      <c r="C10" s="1">
        <v>0.15204505028794435</v>
      </c>
      <c r="D10" s="1">
        <v>8.7056906977724044E-2</v>
      </c>
      <c r="E10" s="1">
        <v>8.4835113691476075E-2</v>
      </c>
      <c r="F10" s="1">
        <v>0.13404766079634878</v>
      </c>
      <c r="G10" s="1">
        <v>0.45426131914117535</v>
      </c>
      <c r="H10" s="1">
        <v>0.33783064627941134</v>
      </c>
      <c r="I10" s="4">
        <v>0.99999999999999989</v>
      </c>
      <c r="J10" s="1">
        <v>0.28990916280166051</v>
      </c>
      <c r="K10" s="1">
        <v>6.2527135089563243E-2</v>
      </c>
      <c r="L10" s="1">
        <v>4.1422340178024541E-2</v>
      </c>
      <c r="M10" s="1">
        <v>0.36194920579369594</v>
      </c>
      <c r="N10" s="1">
        <v>0.43497089304597197</v>
      </c>
      <c r="O10" s="1">
        <v>0.3744377362595504</v>
      </c>
      <c r="P10" s="1">
        <v>0.26094960619194324</v>
      </c>
      <c r="Q10" s="1">
        <v>7.3334674285748164E-2</v>
      </c>
      <c r="R10" s="1">
        <v>0.35935367505791754</v>
      </c>
      <c r="S10" s="1">
        <v>-0.10340953678660621</v>
      </c>
      <c r="T10" s="1">
        <v>0.193713536309226</v>
      </c>
      <c r="U10" s="1">
        <v>0.55402677981584159</v>
      </c>
      <c r="V10" s="1">
        <v>0.38559591172679736</v>
      </c>
      <c r="W10" s="1">
        <v>0.40999927936897657</v>
      </c>
      <c r="X10" s="1">
        <v>0.32972104999010887</v>
      </c>
      <c r="Y10" s="1">
        <v>0.18912024804408889</v>
      </c>
      <c r="Z10" s="1">
        <v>0.1660981748436616</v>
      </c>
      <c r="AA10" s="1">
        <v>0.33934097022707865</v>
      </c>
      <c r="AB10" s="1">
        <v>0.25460202403848403</v>
      </c>
      <c r="AC10" s="1">
        <v>0.12581111429234398</v>
      </c>
      <c r="AD10" s="1">
        <v>9.8477403452260914E-2</v>
      </c>
      <c r="AE10" s="1">
        <v>0.30552915471974817</v>
      </c>
      <c r="AF10" s="1">
        <v>0.37017807229341815</v>
      </c>
      <c r="AG10" s="1">
        <v>0.30487699923056283</v>
      </c>
      <c r="AH10" s="1">
        <v>0.21077153406236684</v>
      </c>
      <c r="AI10" s="1">
        <v>0.30015114353708489</v>
      </c>
      <c r="AJ10" s="1">
        <v>0.135373239896701</v>
      </c>
      <c r="AK10" s="1">
        <v>0.11363768061187096</v>
      </c>
      <c r="AL10" s="1">
        <v>0.2237742177423874</v>
      </c>
      <c r="AM10" s="1">
        <v>9.7003092209851871E-2</v>
      </c>
      <c r="AN10" s="1">
        <v>0.48522634525353348</v>
      </c>
      <c r="AO10" s="1">
        <v>0.14420210714204362</v>
      </c>
    </row>
    <row r="11" spans="1:41" ht="15">
      <c r="A11" s="17" t="s">
        <v>29</v>
      </c>
      <c r="B11" s="1">
        <v>0.47902282053352702</v>
      </c>
      <c r="C11" s="1">
        <v>0.31244203286244365</v>
      </c>
      <c r="D11" s="1">
        <v>0.13733509331619537</v>
      </c>
      <c r="E11" s="1">
        <v>0.34129922766210385</v>
      </c>
      <c r="F11" s="1">
        <v>0.46142781602952043</v>
      </c>
      <c r="G11" s="1">
        <v>0.37886177649438002</v>
      </c>
      <c r="H11" s="1">
        <v>0.23189089707223351</v>
      </c>
      <c r="I11" s="1">
        <v>0.28990916280166051</v>
      </c>
      <c r="J11" s="4">
        <v>1</v>
      </c>
      <c r="K11" s="1">
        <v>0.55694398212844143</v>
      </c>
      <c r="L11" s="1">
        <v>0.15742608313847278</v>
      </c>
      <c r="M11" s="1">
        <v>7.866001400127294E-2</v>
      </c>
      <c r="N11" s="1">
        <v>0.34094207255645942</v>
      </c>
      <c r="O11" s="1">
        <v>0.40201967424568946</v>
      </c>
      <c r="P11" s="1">
        <v>0.25125238362130003</v>
      </c>
      <c r="Q11" s="1">
        <v>0.13233727177550172</v>
      </c>
      <c r="R11" s="1">
        <v>0.18625933898022773</v>
      </c>
      <c r="S11" s="1">
        <v>0.1367656167396786</v>
      </c>
      <c r="T11" s="1">
        <v>0.27061891727292336</v>
      </c>
      <c r="U11" s="1">
        <v>0.39938881214791566</v>
      </c>
      <c r="V11" s="1">
        <v>0.24047301141252853</v>
      </c>
      <c r="W11" s="1">
        <v>0.1937110491358148</v>
      </c>
      <c r="X11" s="1">
        <v>0.26469516591974945</v>
      </c>
      <c r="Y11" s="1">
        <v>3.5812278640524831E-2</v>
      </c>
      <c r="Z11" s="1">
        <v>0.31230804756357827</v>
      </c>
      <c r="AA11" s="1">
        <v>0.25116136801808392</v>
      </c>
      <c r="AB11" s="1">
        <v>0.36119551012907669</v>
      </c>
      <c r="AC11" s="1">
        <v>0.17636328732750076</v>
      </c>
      <c r="AD11" s="1">
        <v>0.2019582164363341</v>
      </c>
      <c r="AE11" s="1">
        <v>0.26151374510973285</v>
      </c>
      <c r="AF11" s="1">
        <v>0.23346747733357626</v>
      </c>
      <c r="AG11" s="1">
        <v>0.51597735212551632</v>
      </c>
      <c r="AH11" s="1">
        <v>0.25011267515761465</v>
      </c>
      <c r="AI11" s="1">
        <v>0.43492911030046016</v>
      </c>
      <c r="AJ11" s="1">
        <v>0.3246058458999353</v>
      </c>
      <c r="AK11" s="1">
        <v>0.39331749776735686</v>
      </c>
      <c r="AL11" s="1">
        <v>0.39127428889882526</v>
      </c>
      <c r="AM11" s="1">
        <v>0.2363553692619571</v>
      </c>
      <c r="AN11" s="1">
        <v>0.37549158355792189</v>
      </c>
      <c r="AO11" s="1">
        <v>0.14047648253613146</v>
      </c>
    </row>
    <row r="12" spans="1:41" ht="15">
      <c r="A12" s="17" t="s">
        <v>30</v>
      </c>
      <c r="B12" s="1">
        <v>0.35558431872900453</v>
      </c>
      <c r="C12" s="1">
        <v>0.46322620587886454</v>
      </c>
      <c r="D12" s="1">
        <v>0.3001993168596071</v>
      </c>
      <c r="E12" s="1">
        <v>0.4422706200326863</v>
      </c>
      <c r="F12" s="1">
        <v>0.48027192797132751</v>
      </c>
      <c r="G12" s="1">
        <v>0.30261273266388661</v>
      </c>
      <c r="H12" s="1">
        <v>0.27443087870671667</v>
      </c>
      <c r="I12" s="1">
        <v>6.2527135089563243E-2</v>
      </c>
      <c r="J12" s="1">
        <v>0.55694398212844143</v>
      </c>
      <c r="K12" s="4">
        <v>1</v>
      </c>
      <c r="L12" s="1">
        <v>0.13664047224940867</v>
      </c>
      <c r="M12" s="1">
        <v>0.11084244715494995</v>
      </c>
      <c r="N12" s="1">
        <v>0.22700794917598646</v>
      </c>
      <c r="O12" s="1">
        <v>0.22391529691824916</v>
      </c>
      <c r="P12" s="1">
        <v>0.28371952129831679</v>
      </c>
      <c r="Q12" s="1">
        <v>0.33589057411020945</v>
      </c>
      <c r="R12" s="1">
        <v>8.2556487468054454E-2</v>
      </c>
      <c r="S12" s="1">
        <v>6.2051574415777279E-2</v>
      </c>
      <c r="T12" s="1">
        <v>0.14757796648400759</v>
      </c>
      <c r="U12" s="1">
        <v>0.42760033259971947</v>
      </c>
      <c r="V12" s="1">
        <v>9.6890395293406706E-2</v>
      </c>
      <c r="W12" s="1">
        <v>-2.9952358525164986E-2</v>
      </c>
      <c r="X12" s="1">
        <v>0.20581860945463309</v>
      </c>
      <c r="Y12" s="1">
        <v>-3.5403285726517228E-2</v>
      </c>
      <c r="Z12" s="1">
        <v>0.1759375867052255</v>
      </c>
      <c r="AA12" s="1">
        <v>0.28793865240626804</v>
      </c>
      <c r="AB12" s="1">
        <v>0.24533163953701895</v>
      </c>
      <c r="AC12" s="1">
        <v>0.10648181814934111</v>
      </c>
      <c r="AD12" s="1">
        <v>0.19830308763900473</v>
      </c>
      <c r="AE12" s="1">
        <v>8.485683218906756E-2</v>
      </c>
      <c r="AF12" s="1">
        <v>0.25565037458524531</v>
      </c>
      <c r="AG12" s="1">
        <v>0.33614413584132258</v>
      </c>
      <c r="AH12" s="1">
        <v>0.37489429796222157</v>
      </c>
      <c r="AI12" s="1">
        <v>0.30907707571022808</v>
      </c>
      <c r="AJ12" s="1">
        <v>0.40416852669912379</v>
      </c>
      <c r="AK12" s="1">
        <v>0.40930446748136146</v>
      </c>
      <c r="AL12" s="1">
        <v>0.39271744887419857</v>
      </c>
      <c r="AM12" s="1">
        <v>0.13530710169603627</v>
      </c>
      <c r="AN12" s="1">
        <v>0.12549666531343456</v>
      </c>
      <c r="AO12" s="1">
        <v>0.28172733730722654</v>
      </c>
    </row>
    <row r="13" spans="1:41" ht="15">
      <c r="A13" s="17" t="s">
        <v>32</v>
      </c>
      <c r="B13" s="1">
        <v>0.12644137331988053</v>
      </c>
      <c r="C13" s="1">
        <v>0.13454811941092681</v>
      </c>
      <c r="D13" s="1">
        <v>0.14118371013164099</v>
      </c>
      <c r="E13" s="1">
        <v>0.12162822399338535</v>
      </c>
      <c r="F13" s="1">
        <v>0.19368258052697146</v>
      </c>
      <c r="G13" s="1">
        <v>0.22045034314249348</v>
      </c>
      <c r="H13" s="1">
        <v>0.16460820497834022</v>
      </c>
      <c r="I13" s="1">
        <v>4.1422340178024541E-2</v>
      </c>
      <c r="J13" s="1">
        <v>0.15742608313847278</v>
      </c>
      <c r="K13" s="1">
        <v>0.13664047224940867</v>
      </c>
      <c r="L13" s="4">
        <v>1</v>
      </c>
      <c r="M13" s="1">
        <v>0.1388270600873463</v>
      </c>
      <c r="N13" s="1">
        <v>8.1379048481667451E-2</v>
      </c>
      <c r="O13" s="1">
        <v>7.868959414311924E-2</v>
      </c>
      <c r="P13" s="1">
        <v>0.22774327381561238</v>
      </c>
      <c r="Q13" s="1">
        <v>8.9569389980811723E-2</v>
      </c>
      <c r="R13" s="1">
        <v>0.36213673622456177</v>
      </c>
      <c r="S13" s="1">
        <v>-0.12769124348456903</v>
      </c>
      <c r="T13" s="1">
        <v>4.410669182937519E-2</v>
      </c>
      <c r="U13" s="1">
        <v>0.27719991900414337</v>
      </c>
      <c r="V13" s="1">
        <v>0.27194772266629463</v>
      </c>
      <c r="W13" s="1">
        <v>0.15582333860273112</v>
      </c>
      <c r="X13" s="1">
        <v>-5.061096584087886E-2</v>
      </c>
      <c r="Y13" s="1">
        <v>0.21106446452641903</v>
      </c>
      <c r="Z13" s="1">
        <v>-0.25117258679117582</v>
      </c>
      <c r="AA13" s="1">
        <v>0.11061882945974527</v>
      </c>
      <c r="AB13" s="1">
        <v>0.41995764893880783</v>
      </c>
      <c r="AC13" s="1">
        <v>-8.7716176571919519E-2</v>
      </c>
      <c r="AD13" s="1">
        <v>7.4972588551093053E-2</v>
      </c>
      <c r="AE13" s="1">
        <v>0.19363262570568221</v>
      </c>
      <c r="AF13" s="1">
        <v>3.7273477478990867E-2</v>
      </c>
      <c r="AG13" s="1">
        <v>6.9422028782136463E-2</v>
      </c>
      <c r="AH13" s="1">
        <v>0.15084653265175726</v>
      </c>
      <c r="AI13" s="1">
        <v>7.9343876414096862E-2</v>
      </c>
      <c r="AJ13" s="1">
        <v>-6.0275103338614099E-2</v>
      </c>
      <c r="AK13" s="1">
        <v>-3.9735580099226654E-2</v>
      </c>
      <c r="AL13" s="1">
        <v>-6.3685453566225458E-2</v>
      </c>
      <c r="AM13" s="1">
        <v>5.2296409439015624E-2</v>
      </c>
      <c r="AN13" s="1">
        <v>0.15057040819706902</v>
      </c>
      <c r="AO13" s="1">
        <v>-0.22466113508112379</v>
      </c>
    </row>
    <row r="14" spans="1:41" ht="15">
      <c r="A14" s="17" t="s">
        <v>41</v>
      </c>
      <c r="B14" s="1">
        <v>1.3979430195872947E-2</v>
      </c>
      <c r="C14" s="1">
        <v>0.17868026060316103</v>
      </c>
      <c r="D14" s="1">
        <v>0.14298661969438931</v>
      </c>
      <c r="E14" s="1">
        <v>0.34452218116859473</v>
      </c>
      <c r="F14" s="1">
        <v>0.22292685908632151</v>
      </c>
      <c r="G14" s="1">
        <v>0.23476670115512149</v>
      </c>
      <c r="H14" s="1">
        <v>0.30259329735640866</v>
      </c>
      <c r="I14" s="1">
        <v>0.36194920579369594</v>
      </c>
      <c r="J14" s="1">
        <v>7.866001400127294E-2</v>
      </c>
      <c r="K14" s="1">
        <v>0.11084244715494995</v>
      </c>
      <c r="L14" s="1">
        <v>0.1388270600873463</v>
      </c>
      <c r="M14" s="4">
        <v>1</v>
      </c>
      <c r="N14" s="1">
        <v>0.32146373832022229</v>
      </c>
      <c r="O14" s="1">
        <v>6.7493395228327799E-2</v>
      </c>
      <c r="P14" s="1">
        <v>0.14627095396536621</v>
      </c>
      <c r="Q14" s="1">
        <v>-0.16349620317279567</v>
      </c>
      <c r="R14" s="1">
        <v>0.19199592559296344</v>
      </c>
      <c r="S14" s="1">
        <v>-7.8778731165568147E-2</v>
      </c>
      <c r="T14" s="1">
        <v>0.12874515287367472</v>
      </c>
      <c r="U14" s="1">
        <v>0.242230341730378</v>
      </c>
      <c r="V14" s="1">
        <v>0.12375945527618586</v>
      </c>
      <c r="W14" s="1">
        <v>0.15564541179762795</v>
      </c>
      <c r="X14" s="1">
        <v>1.0648377552798651E-2</v>
      </c>
      <c r="Y14" s="1">
        <v>0.11674602010697741</v>
      </c>
      <c r="Z14" s="1">
        <v>-1.6906067688751983E-2</v>
      </c>
      <c r="AA14" s="1">
        <v>0.17383125242803935</v>
      </c>
      <c r="AB14" s="1">
        <v>4.3582305048930389E-2</v>
      </c>
      <c r="AC14" s="1">
        <v>-9.7154818578405036E-2</v>
      </c>
      <c r="AD14" s="1">
        <v>8.5434247782329845E-2</v>
      </c>
      <c r="AE14" s="1">
        <v>-2.2441857022617966E-2</v>
      </c>
      <c r="AF14" s="1">
        <v>0.16504706851508308</v>
      </c>
      <c r="AG14" s="1">
        <v>-6.1844523279803165E-2</v>
      </c>
      <c r="AH14" s="1">
        <v>7.3843035606309185E-2</v>
      </c>
      <c r="AI14" s="1">
        <v>4.0302426848627976E-2</v>
      </c>
      <c r="AJ14" s="1">
        <v>-1.943026928829306E-2</v>
      </c>
      <c r="AK14" s="1">
        <v>2.3211785765350643E-2</v>
      </c>
      <c r="AL14" s="1">
        <v>8.2355089399466619E-2</v>
      </c>
      <c r="AM14" s="1">
        <v>6.5041632156667736E-2</v>
      </c>
      <c r="AN14" s="1">
        <v>8.2411915881556122E-2</v>
      </c>
      <c r="AO14" s="1">
        <v>5.7593933653428573E-3</v>
      </c>
    </row>
    <row r="15" spans="1:41" ht="15">
      <c r="A15" s="17" t="s">
        <v>43</v>
      </c>
      <c r="B15" s="1">
        <v>0.53487528323611344</v>
      </c>
      <c r="C15" s="1">
        <v>0.19407917519129897</v>
      </c>
      <c r="D15" s="1">
        <v>0.2982970307679495</v>
      </c>
      <c r="E15" s="1">
        <v>0.3285675820643843</v>
      </c>
      <c r="F15" s="1">
        <v>0.33362329621681391</v>
      </c>
      <c r="G15" s="1">
        <v>0.51773774875241096</v>
      </c>
      <c r="H15" s="1">
        <v>0.47647338322357358</v>
      </c>
      <c r="I15" s="1">
        <v>0.43497089304597197</v>
      </c>
      <c r="J15" s="1">
        <v>0.34094207255645942</v>
      </c>
      <c r="K15" s="1">
        <v>0.22700794917598646</v>
      </c>
      <c r="L15" s="1">
        <v>8.1379048481667451E-2</v>
      </c>
      <c r="M15" s="1">
        <v>0.32146373832022229</v>
      </c>
      <c r="N15" s="4">
        <v>1.0000000000000002</v>
      </c>
      <c r="O15" s="1">
        <v>0.48946789436909582</v>
      </c>
      <c r="P15" s="1">
        <v>0.46587133445601736</v>
      </c>
      <c r="Q15" s="1">
        <v>0.23998467062240975</v>
      </c>
      <c r="R15" s="1">
        <v>0.57455224532685645</v>
      </c>
      <c r="S15" s="1">
        <v>0.39956308037084748</v>
      </c>
      <c r="T15" s="1">
        <v>0.48858608509812335</v>
      </c>
      <c r="U15" s="1">
        <v>0.43534436844635105</v>
      </c>
      <c r="V15" s="1">
        <v>0.30933206236257194</v>
      </c>
      <c r="W15" s="1">
        <v>0.58826378275993907</v>
      </c>
      <c r="X15" s="1">
        <v>0.44679666868526768</v>
      </c>
      <c r="Y15" s="1">
        <v>0.30670106344399178</v>
      </c>
      <c r="Z15" s="1">
        <v>0.38226848631106186</v>
      </c>
      <c r="AA15" s="1">
        <v>0.39511615801831529</v>
      </c>
      <c r="AB15" s="1">
        <v>0.15031735136567928</v>
      </c>
      <c r="AC15" s="1">
        <v>0.12682255296961278</v>
      </c>
      <c r="AD15" s="1">
        <v>0.18840023728261918</v>
      </c>
      <c r="AE15" s="1">
        <v>0.31533034626613998</v>
      </c>
      <c r="AF15" s="1">
        <v>0.23389378342610859</v>
      </c>
      <c r="AG15" s="1">
        <v>0.26931775659305995</v>
      </c>
      <c r="AH15" s="1">
        <v>0.2082843192653544</v>
      </c>
      <c r="AI15" s="1">
        <v>0.4001709935435761</v>
      </c>
      <c r="AJ15" s="1">
        <v>0.23999858563464821</v>
      </c>
      <c r="AK15" s="1">
        <v>0.20257853049442084</v>
      </c>
      <c r="AL15" s="1">
        <v>0.35324492166390759</v>
      </c>
      <c r="AM15" s="1">
        <v>0.41098107866161704</v>
      </c>
      <c r="AN15" s="1">
        <v>0.42564285129674173</v>
      </c>
      <c r="AO15" s="1">
        <v>0.17831949532459432</v>
      </c>
    </row>
    <row r="16" spans="1:41" ht="15">
      <c r="A16" s="17" t="s">
        <v>45</v>
      </c>
      <c r="B16" s="1">
        <v>0.5220291942479699</v>
      </c>
      <c r="C16" s="1">
        <v>0.18267949104078962</v>
      </c>
      <c r="D16" s="1">
        <v>7.0453064156324505E-2</v>
      </c>
      <c r="E16" s="1">
        <v>0.27452786414913638</v>
      </c>
      <c r="F16" s="1">
        <v>0.32482337883386941</v>
      </c>
      <c r="G16" s="1">
        <v>0.3798724507559082</v>
      </c>
      <c r="H16" s="1">
        <v>0.31346435722723559</v>
      </c>
      <c r="I16" s="1">
        <v>0.3744377362595504</v>
      </c>
      <c r="J16" s="1">
        <v>0.40201967424568946</v>
      </c>
      <c r="K16" s="1">
        <v>0.22391529691824916</v>
      </c>
      <c r="L16" s="1">
        <v>7.868959414311924E-2</v>
      </c>
      <c r="M16" s="1">
        <v>6.7493395228327799E-2</v>
      </c>
      <c r="N16" s="1">
        <v>0.48946789436909582</v>
      </c>
      <c r="O16" s="4">
        <v>1.0000000000000002</v>
      </c>
      <c r="P16" s="1">
        <v>0.45452339377894124</v>
      </c>
      <c r="Q16" s="1">
        <v>0.22981412054414241</v>
      </c>
      <c r="R16" s="1">
        <v>0.3647427952266703</v>
      </c>
      <c r="S16" s="1">
        <v>0.22931061492447413</v>
      </c>
      <c r="T16" s="1">
        <v>0.47559991107891303</v>
      </c>
      <c r="U16" s="1">
        <v>0.34748684383558764</v>
      </c>
      <c r="V16" s="1">
        <v>0.32972903334946041</v>
      </c>
      <c r="W16" s="1">
        <v>0.37341736796842623</v>
      </c>
      <c r="X16" s="1">
        <v>0.43212692662604885</v>
      </c>
      <c r="Y16" s="1">
        <v>0.10817193528131858</v>
      </c>
      <c r="Z16" s="1">
        <v>0.33183917488520498</v>
      </c>
      <c r="AA16" s="1">
        <v>0.45574177970844043</v>
      </c>
      <c r="AB16" s="1">
        <v>0.23844641260547328</v>
      </c>
      <c r="AC16" s="1">
        <v>0.25734587606449333</v>
      </c>
      <c r="AD16" s="1">
        <v>0.23187300757553345</v>
      </c>
      <c r="AE16" s="1">
        <v>0.48402484323686445</v>
      </c>
      <c r="AF16" s="1">
        <v>0.18195284083466634</v>
      </c>
      <c r="AG16" s="1">
        <v>0.32709683476577989</v>
      </c>
      <c r="AH16" s="1">
        <v>0.19790497168171065</v>
      </c>
      <c r="AI16" s="1">
        <v>0.46505397069438037</v>
      </c>
      <c r="AJ16" s="1">
        <v>0.31906472646510681</v>
      </c>
      <c r="AK16" s="1">
        <v>0.36600946719852634</v>
      </c>
      <c r="AL16" s="1">
        <v>0.26341448746820678</v>
      </c>
      <c r="AM16" s="1">
        <v>0.13944683872823996</v>
      </c>
      <c r="AN16" s="1">
        <v>0.47342392434607322</v>
      </c>
      <c r="AO16" s="1">
        <v>0.12004041225634392</v>
      </c>
    </row>
    <row r="17" spans="1:41" ht="15">
      <c r="A17" s="17" t="s">
        <v>47</v>
      </c>
      <c r="B17" s="1">
        <v>0.32158178917226565</v>
      </c>
      <c r="C17" s="1">
        <v>0.1211370223699864</v>
      </c>
      <c r="D17" s="1">
        <v>0.16919814310918876</v>
      </c>
      <c r="E17" s="1">
        <v>0.20207898980097205</v>
      </c>
      <c r="F17" s="1">
        <v>0.15151572721245943</v>
      </c>
      <c r="G17" s="1">
        <v>8.9239404971734493E-2</v>
      </c>
      <c r="H17" s="1">
        <v>0.40245710991843059</v>
      </c>
      <c r="I17" s="1">
        <v>0.26094960619194324</v>
      </c>
      <c r="J17" s="1">
        <v>0.25125238362130003</v>
      </c>
      <c r="K17" s="1">
        <v>0.28371952129831679</v>
      </c>
      <c r="L17" s="1">
        <v>0.22774327381561238</v>
      </c>
      <c r="M17" s="1">
        <v>0.14627095396536621</v>
      </c>
      <c r="N17" s="1">
        <v>0.46587133445601736</v>
      </c>
      <c r="O17" s="1">
        <v>0.45452339377894124</v>
      </c>
      <c r="P17" s="4">
        <v>1</v>
      </c>
      <c r="Q17" s="1">
        <v>0.25462701121109904</v>
      </c>
      <c r="R17" s="1">
        <v>0.40940176616079371</v>
      </c>
      <c r="S17" s="1">
        <v>0.31339630602590729</v>
      </c>
      <c r="T17" s="1">
        <v>0.46172990099099304</v>
      </c>
      <c r="U17" s="1">
        <v>0.31238992638378965</v>
      </c>
      <c r="V17" s="1">
        <v>0.2256958395806612</v>
      </c>
      <c r="W17" s="1">
        <v>0.43716522345565673</v>
      </c>
      <c r="X17" s="1">
        <v>0.39300067479156409</v>
      </c>
      <c r="Y17" s="1">
        <v>0.22105349351809694</v>
      </c>
      <c r="Z17" s="1">
        <v>4.1759648149480993E-2</v>
      </c>
      <c r="AA17" s="1">
        <v>0.43879706861392298</v>
      </c>
      <c r="AB17" s="1">
        <v>0.19068859319136472</v>
      </c>
      <c r="AC17" s="1">
        <v>0.16136255304354946</v>
      </c>
      <c r="AD17" s="1">
        <v>6.2955556030370105E-2</v>
      </c>
      <c r="AE17" s="1">
        <v>0.28212846316973417</v>
      </c>
      <c r="AF17" s="1">
        <v>0.10140447612593576</v>
      </c>
      <c r="AG17" s="1">
        <v>0.18315087277378869</v>
      </c>
      <c r="AH17" s="1">
        <v>-5.9845788409202627E-2</v>
      </c>
      <c r="AI17" s="1">
        <v>0.19165880719320505</v>
      </c>
      <c r="AJ17" s="1">
        <v>0.23916521235912663</v>
      </c>
      <c r="AK17" s="1">
        <v>0.37778999235382321</v>
      </c>
      <c r="AL17" s="1">
        <v>0.17264296549123692</v>
      </c>
      <c r="AM17" s="1">
        <v>9.1485039354361225E-2</v>
      </c>
      <c r="AN17" s="1">
        <v>0.30484330293459028</v>
      </c>
      <c r="AO17" s="1">
        <v>0.19766961472464117</v>
      </c>
    </row>
    <row r="18" spans="1:41" ht="15">
      <c r="A18" s="17" t="s">
        <v>50</v>
      </c>
      <c r="B18" s="1">
        <v>0.43673259766743</v>
      </c>
      <c r="C18" s="1">
        <v>0.28157429019781999</v>
      </c>
      <c r="D18" s="1">
        <v>0.25427811446589677</v>
      </c>
      <c r="E18" s="1">
        <v>-8.5441120330858406E-2</v>
      </c>
      <c r="F18" s="1">
        <v>0.28621776443578389</v>
      </c>
      <c r="G18" s="1">
        <v>0.29136295857520195</v>
      </c>
      <c r="H18" s="1">
        <v>0.19741395284730121</v>
      </c>
      <c r="I18" s="1">
        <v>7.3334674285748164E-2</v>
      </c>
      <c r="J18" s="1">
        <v>0.13233727177550172</v>
      </c>
      <c r="K18" s="1">
        <v>0.33589057411020945</v>
      </c>
      <c r="L18" s="1">
        <v>8.9569389980811723E-2</v>
      </c>
      <c r="M18" s="1">
        <v>-0.16349620317279567</v>
      </c>
      <c r="N18" s="1">
        <v>0.23998467062240975</v>
      </c>
      <c r="O18" s="1">
        <v>0.22981412054414241</v>
      </c>
      <c r="P18" s="1">
        <v>0.25462701121109904</v>
      </c>
      <c r="Q18" s="4">
        <v>1</v>
      </c>
      <c r="R18" s="1">
        <v>9.4373769932961718E-2</v>
      </c>
      <c r="S18" s="1">
        <v>0.20987022757246979</v>
      </c>
      <c r="T18" s="1">
        <v>0.15343295148866409</v>
      </c>
      <c r="U18" s="1">
        <v>0.1477275188397876</v>
      </c>
      <c r="V18" s="1">
        <v>1.1009769930176291E-2</v>
      </c>
      <c r="W18" s="1">
        <v>7.0115394053249638E-2</v>
      </c>
      <c r="X18" s="1">
        <v>-0.11074771777669914</v>
      </c>
      <c r="Y18" s="1">
        <v>-0.19381287202256037</v>
      </c>
      <c r="Z18" s="1">
        <v>7.199243039815062E-2</v>
      </c>
      <c r="AA18" s="1">
        <v>9.6344962388508482E-2</v>
      </c>
      <c r="AB18" s="1">
        <v>-0.10145308580051139</v>
      </c>
      <c r="AC18" s="1">
        <v>-0.12948263915598512</v>
      </c>
      <c r="AD18" s="1">
        <v>0.1996105046782016</v>
      </c>
      <c r="AE18" s="1">
        <v>9.7980998777970799E-2</v>
      </c>
      <c r="AF18" s="1">
        <v>0.18884184708467627</v>
      </c>
      <c r="AG18" s="1">
        <v>0.21197210850062176</v>
      </c>
      <c r="AH18" s="1">
        <v>0.31434131707589513</v>
      </c>
      <c r="AI18" s="1">
        <v>0.11859367598015123</v>
      </c>
      <c r="AJ18" s="1">
        <v>4.3363114507616395E-2</v>
      </c>
      <c r="AK18" s="1">
        <v>0.15338110741619071</v>
      </c>
      <c r="AL18" s="1">
        <v>5.7027824494766798E-3</v>
      </c>
      <c r="AM18" s="1">
        <v>2.2762277298358474E-2</v>
      </c>
      <c r="AN18" s="1">
        <v>0.15711550484176992</v>
      </c>
      <c r="AO18" s="1">
        <v>1.5527386948900285E-2</v>
      </c>
    </row>
    <row r="19" spans="1:41" ht="15">
      <c r="A19" s="17" t="s">
        <v>52</v>
      </c>
      <c r="B19" s="1">
        <v>0.24555706297341917</v>
      </c>
      <c r="C19" s="1">
        <v>5.1301516189632752E-2</v>
      </c>
      <c r="D19" s="1">
        <v>5.31597265151E-3</v>
      </c>
      <c r="E19" s="1">
        <v>0.26342601675702382</v>
      </c>
      <c r="F19" s="1">
        <v>0.14551580536581826</v>
      </c>
      <c r="G19" s="1">
        <v>0.34005402560607867</v>
      </c>
      <c r="H19" s="1">
        <v>0.22584115048818998</v>
      </c>
      <c r="I19" s="1">
        <v>0.35935367505791754</v>
      </c>
      <c r="J19" s="1">
        <v>0.18625933898022773</v>
      </c>
      <c r="K19" s="1">
        <v>8.2556487468054454E-2</v>
      </c>
      <c r="L19" s="1">
        <v>0.36213673622456177</v>
      </c>
      <c r="M19" s="1">
        <v>0.19199592559296344</v>
      </c>
      <c r="N19" s="1">
        <v>0.57455224532685645</v>
      </c>
      <c r="O19" s="1">
        <v>0.3647427952266703</v>
      </c>
      <c r="P19" s="1">
        <v>0.40940176616079371</v>
      </c>
      <c r="Q19" s="1">
        <v>9.4373769932961718E-2</v>
      </c>
      <c r="R19" s="4">
        <v>1</v>
      </c>
      <c r="S19" s="1">
        <v>0.26528743404331168</v>
      </c>
      <c r="T19" s="1">
        <v>0.42010025110469695</v>
      </c>
      <c r="U19" s="1">
        <v>0.37689933395010949</v>
      </c>
      <c r="V19" s="1">
        <v>0.34567143223608304</v>
      </c>
      <c r="W19" s="1">
        <v>0.40528781594210345</v>
      </c>
      <c r="X19" s="1">
        <v>0.31112310353766004</v>
      </c>
      <c r="Y19" s="1">
        <v>0.1890869397811758</v>
      </c>
      <c r="Z19" s="1">
        <v>4.8699803181842964E-2</v>
      </c>
      <c r="AA19" s="1">
        <v>0.37593024026385724</v>
      </c>
      <c r="AB19" s="1">
        <v>0.3366450093545984</v>
      </c>
      <c r="AC19" s="1">
        <v>0.15357214627726731</v>
      </c>
      <c r="AD19" s="1">
        <v>-1.4843505952352587E-2</v>
      </c>
      <c r="AE19" s="1">
        <v>0.31641828293074431</v>
      </c>
      <c r="AF19" s="1">
        <v>0.13324307086906079</v>
      </c>
      <c r="AG19" s="1">
        <v>0.26744375710529861</v>
      </c>
      <c r="AH19" s="1">
        <v>-4.1612598368766605E-3</v>
      </c>
      <c r="AI19" s="1">
        <v>0.46164631921118071</v>
      </c>
      <c r="AJ19" s="1">
        <v>0.12315375748815838</v>
      </c>
      <c r="AK19" s="1">
        <v>0.12843158889322651</v>
      </c>
      <c r="AL19" s="1">
        <v>0.14076569875014142</v>
      </c>
      <c r="AM19" s="1">
        <v>0.26423215848517823</v>
      </c>
      <c r="AN19" s="1">
        <v>0.49296986500903572</v>
      </c>
      <c r="AO19" s="1">
        <v>8.6962649648567966E-2</v>
      </c>
    </row>
    <row r="20" spans="1:41" ht="15">
      <c r="A20" s="17" t="s">
        <v>53</v>
      </c>
      <c r="B20" s="1">
        <v>0.37127378282362555</v>
      </c>
      <c r="C20" s="1">
        <v>6.9966226540834911E-2</v>
      </c>
      <c r="D20" s="1">
        <v>0.31852136622258204</v>
      </c>
      <c r="E20" s="1">
        <v>0.17192388579005896</v>
      </c>
      <c r="F20" s="1">
        <v>0.21013657767052799</v>
      </c>
      <c r="G20" s="1">
        <v>6.8735688628505541E-3</v>
      </c>
      <c r="H20" s="1">
        <v>0.18206019473699941</v>
      </c>
      <c r="I20" s="1">
        <v>-0.10340953678660621</v>
      </c>
      <c r="J20" s="1">
        <v>0.1367656167396786</v>
      </c>
      <c r="K20" s="1">
        <v>6.2051574415777279E-2</v>
      </c>
      <c r="L20" s="1">
        <v>-0.12769124348456903</v>
      </c>
      <c r="M20" s="1">
        <v>-7.8778731165568147E-2</v>
      </c>
      <c r="N20" s="1">
        <v>0.39956308037084748</v>
      </c>
      <c r="O20" s="1">
        <v>0.22931061492447413</v>
      </c>
      <c r="P20" s="1">
        <v>0.31339630602590729</v>
      </c>
      <c r="Q20" s="1">
        <v>0.20987022757246979</v>
      </c>
      <c r="R20" s="1">
        <v>0.26528743404331168</v>
      </c>
      <c r="S20" s="4">
        <v>1</v>
      </c>
      <c r="T20" s="1">
        <v>0.44191873647911822</v>
      </c>
      <c r="U20" s="1">
        <v>-9.807693364378077E-2</v>
      </c>
      <c r="V20" s="1">
        <v>0.10337498022469878</v>
      </c>
      <c r="W20" s="1">
        <v>0.1821434469738355</v>
      </c>
      <c r="X20" s="1">
        <v>0.21120665624293758</v>
      </c>
      <c r="Y20" s="1">
        <v>0.14135025655041106</v>
      </c>
      <c r="Z20" s="1">
        <v>0.13907800516602467</v>
      </c>
      <c r="AA20" s="1">
        <v>0.26568444354598669</v>
      </c>
      <c r="AB20" s="1">
        <v>-0.12887109696494484</v>
      </c>
      <c r="AC20" s="1">
        <v>7.8869553988328442E-2</v>
      </c>
      <c r="AD20" s="1">
        <v>-6.3164135156677809E-3</v>
      </c>
      <c r="AE20" s="1">
        <v>0.144665496577916</v>
      </c>
      <c r="AF20" s="1">
        <v>-1.9611985713798769E-2</v>
      </c>
      <c r="AG20" s="1">
        <v>0.15466850402447233</v>
      </c>
      <c r="AH20" s="1">
        <v>8.3664316273878089E-2</v>
      </c>
      <c r="AI20" s="1">
        <v>0.11722115464695747</v>
      </c>
      <c r="AJ20" s="1">
        <v>0.21536762230174389</v>
      </c>
      <c r="AK20" s="1">
        <v>0.16623632110419326</v>
      </c>
      <c r="AL20" s="1">
        <v>0.41227947687982169</v>
      </c>
      <c r="AM20" s="1">
        <v>0.18585506828648823</v>
      </c>
      <c r="AN20" s="1">
        <v>0.13443238465042445</v>
      </c>
      <c r="AO20" s="1">
        <v>0.2000965597325583</v>
      </c>
    </row>
    <row r="21" spans="1:41" ht="15">
      <c r="A21" s="17" t="s">
        <v>54</v>
      </c>
      <c r="B21" s="1">
        <v>0.39086058343981761</v>
      </c>
      <c r="C21" s="1">
        <v>0.11022306405178098</v>
      </c>
      <c r="D21" s="1">
        <v>0.14432794794703951</v>
      </c>
      <c r="E21" s="1">
        <v>0.25891426688325797</v>
      </c>
      <c r="F21" s="1">
        <v>0.3213058488117978</v>
      </c>
      <c r="G21" s="1">
        <v>0.26847682899981784</v>
      </c>
      <c r="H21" s="1">
        <v>0.3386855034742321</v>
      </c>
      <c r="I21" s="1">
        <v>0.193713536309226</v>
      </c>
      <c r="J21" s="1">
        <v>0.27061891727292336</v>
      </c>
      <c r="K21" s="1">
        <v>0.14757796648400759</v>
      </c>
      <c r="L21" s="1">
        <v>4.410669182937519E-2</v>
      </c>
      <c r="M21" s="1">
        <v>0.12874515287367472</v>
      </c>
      <c r="N21" s="1">
        <v>0.48858608509812335</v>
      </c>
      <c r="O21" s="1">
        <v>0.47559991107891303</v>
      </c>
      <c r="P21" s="1">
        <v>0.46172990099099304</v>
      </c>
      <c r="Q21" s="1">
        <v>0.15343295148866409</v>
      </c>
      <c r="R21" s="1">
        <v>0.42010025110469695</v>
      </c>
      <c r="S21" s="1">
        <v>0.44191873647911822</v>
      </c>
      <c r="T21" s="4">
        <v>1</v>
      </c>
      <c r="U21" s="1">
        <v>0.24811265355975973</v>
      </c>
      <c r="V21" s="1">
        <v>0.34925193088970125</v>
      </c>
      <c r="W21" s="1">
        <v>0.41691951635155816</v>
      </c>
      <c r="X21" s="1">
        <v>0.36408038028469647</v>
      </c>
      <c r="Y21" s="1">
        <v>0.28464628996719926</v>
      </c>
      <c r="Z21" s="1">
        <v>0.32051276248409294</v>
      </c>
      <c r="AA21" s="1">
        <v>0.47636187978744343</v>
      </c>
      <c r="AB21" s="1">
        <v>4.7961409171482484E-2</v>
      </c>
      <c r="AC21" s="1">
        <v>0.30363033061253036</v>
      </c>
      <c r="AD21" s="1">
        <v>0.27601198131222671</v>
      </c>
      <c r="AE21" s="1">
        <v>0.26797868413524095</v>
      </c>
      <c r="AF21" s="1">
        <v>0.25885109360193231</v>
      </c>
      <c r="AG21" s="1">
        <v>0.37604656472801895</v>
      </c>
      <c r="AH21" s="1">
        <v>0.27302814118036833</v>
      </c>
      <c r="AI21" s="1">
        <v>0.33315012024425472</v>
      </c>
      <c r="AJ21" s="1">
        <v>0.39354291777835643</v>
      </c>
      <c r="AK21" s="1">
        <v>0.1525914596520673</v>
      </c>
      <c r="AL21" s="1">
        <v>0.42695927080708129</v>
      </c>
      <c r="AM21" s="1">
        <v>0.33969153810627173</v>
      </c>
      <c r="AN21" s="1">
        <v>0.3924565253244785</v>
      </c>
      <c r="AO21" s="1">
        <v>0.41786660347674137</v>
      </c>
    </row>
    <row r="22" spans="1:41" ht="15">
      <c r="A22" s="17" t="s">
        <v>57</v>
      </c>
      <c r="B22" s="1">
        <v>0.3402509146784673</v>
      </c>
      <c r="C22" s="1">
        <v>0.34783653453646463</v>
      </c>
      <c r="D22" s="1">
        <v>0.24671013309798354</v>
      </c>
      <c r="E22" s="1">
        <v>0.336471320804347</v>
      </c>
      <c r="F22" s="1">
        <v>0.46570793343601685</v>
      </c>
      <c r="G22" s="1">
        <v>0.41584570107049634</v>
      </c>
      <c r="H22" s="1">
        <v>0.30353480304186164</v>
      </c>
      <c r="I22" s="1">
        <v>0.55402677981584159</v>
      </c>
      <c r="J22" s="1">
        <v>0.39938881214791566</v>
      </c>
      <c r="K22" s="1">
        <v>0.42760033259971947</v>
      </c>
      <c r="L22" s="1">
        <v>0.27719991900414337</v>
      </c>
      <c r="M22" s="1">
        <v>0.242230341730378</v>
      </c>
      <c r="N22" s="1">
        <v>0.43534436844635105</v>
      </c>
      <c r="O22" s="1">
        <v>0.34748684383558764</v>
      </c>
      <c r="P22" s="1">
        <v>0.31238992638378965</v>
      </c>
      <c r="Q22" s="1">
        <v>0.1477275188397876</v>
      </c>
      <c r="R22" s="1">
        <v>0.37689933395010949</v>
      </c>
      <c r="S22" s="1">
        <v>-9.807693364378077E-2</v>
      </c>
      <c r="T22" s="1">
        <v>0.24811265355975973</v>
      </c>
      <c r="U22" s="4">
        <v>1.0000000000000002</v>
      </c>
      <c r="V22" s="1">
        <v>0.31621072819677792</v>
      </c>
      <c r="W22" s="1">
        <v>0.25840974431037811</v>
      </c>
      <c r="X22" s="1">
        <v>0.3053312368505427</v>
      </c>
      <c r="Y22" s="1">
        <v>0.11054867877671512</v>
      </c>
      <c r="Z22" s="1">
        <v>7.1388768611225145E-2</v>
      </c>
      <c r="AA22" s="1">
        <v>0.44166593158178014</v>
      </c>
      <c r="AB22" s="1">
        <v>0.33763999815707274</v>
      </c>
      <c r="AC22" s="1">
        <v>8.4274262792437812E-2</v>
      </c>
      <c r="AD22" s="1">
        <v>0.21748962548174366</v>
      </c>
      <c r="AE22" s="1">
        <v>0.21891843728333157</v>
      </c>
      <c r="AF22" s="1">
        <v>0.27510998879642418</v>
      </c>
      <c r="AG22" s="1">
        <v>0.23842895115342158</v>
      </c>
      <c r="AH22" s="1">
        <v>0.15897556942302327</v>
      </c>
      <c r="AI22" s="1">
        <v>0.34965363057126164</v>
      </c>
      <c r="AJ22" s="1">
        <v>0.30715683841778085</v>
      </c>
      <c r="AK22" s="1">
        <v>0.33030262042321384</v>
      </c>
      <c r="AL22" s="1">
        <v>0.27044192359718772</v>
      </c>
      <c r="AM22" s="1">
        <v>0.14949117548459151</v>
      </c>
      <c r="AN22" s="1">
        <v>0.42821479389125688</v>
      </c>
      <c r="AO22" s="1">
        <v>4.0241923194658101E-2</v>
      </c>
    </row>
    <row r="23" spans="1:41" ht="15">
      <c r="A23" s="17" t="s">
        <v>62</v>
      </c>
      <c r="B23" s="1">
        <v>0.28811751509910694</v>
      </c>
      <c r="C23" s="1">
        <v>0.18031888235782328</v>
      </c>
      <c r="D23" s="1">
        <v>0.11281699902822548</v>
      </c>
      <c r="E23" s="1">
        <v>0.13972042276168181</v>
      </c>
      <c r="F23" s="1">
        <v>0.10516652757826919</v>
      </c>
      <c r="G23" s="1">
        <v>0.47070765434861767</v>
      </c>
      <c r="H23" s="1">
        <v>0.27218742698357595</v>
      </c>
      <c r="I23" s="1">
        <v>0.38559591172679736</v>
      </c>
      <c r="J23" s="1">
        <v>0.24047301141252853</v>
      </c>
      <c r="K23" s="1">
        <v>9.6890395293406706E-2</v>
      </c>
      <c r="L23" s="1">
        <v>0.27194772266629463</v>
      </c>
      <c r="M23" s="1">
        <v>0.12375945527618586</v>
      </c>
      <c r="N23" s="1">
        <v>0.30933206236257194</v>
      </c>
      <c r="O23" s="1">
        <v>0.32972903334946041</v>
      </c>
      <c r="P23" s="1">
        <v>0.2256958395806612</v>
      </c>
      <c r="Q23" s="1">
        <v>1.1009769930176291E-2</v>
      </c>
      <c r="R23" s="1">
        <v>0.34567143223608304</v>
      </c>
      <c r="S23" s="1">
        <v>0.10337498022469878</v>
      </c>
      <c r="T23" s="1">
        <v>0.34925193088970125</v>
      </c>
      <c r="U23" s="1">
        <v>0.31621072819677792</v>
      </c>
      <c r="V23" s="4">
        <v>1</v>
      </c>
      <c r="W23" s="1">
        <v>0.38472709201172706</v>
      </c>
      <c r="X23" s="1">
        <v>0.27473240262033288</v>
      </c>
      <c r="Y23" s="1">
        <v>0.34225597929251067</v>
      </c>
      <c r="Z23" s="1">
        <v>0.15592446957709163</v>
      </c>
      <c r="AA23" s="1">
        <v>0.29098205305688535</v>
      </c>
      <c r="AB23" s="1">
        <v>0.12945647486667416</v>
      </c>
      <c r="AC23" s="1">
        <v>0.19931213474705084</v>
      </c>
      <c r="AD23" s="1">
        <v>0.26885361597078339</v>
      </c>
      <c r="AE23" s="1">
        <v>0.44750818653846053</v>
      </c>
      <c r="AF23" s="1">
        <v>0.12774520998203237</v>
      </c>
      <c r="AG23" s="1">
        <v>0.25531563685790826</v>
      </c>
      <c r="AH23" s="1">
        <v>0.11194608806677196</v>
      </c>
      <c r="AI23" s="1">
        <v>0.36850097849887192</v>
      </c>
      <c r="AJ23" s="1">
        <v>0.18960367576311846</v>
      </c>
      <c r="AK23" s="1">
        <v>0.21827146942419501</v>
      </c>
      <c r="AL23" s="1">
        <v>0.38003052611171467</v>
      </c>
      <c r="AM23" s="1">
        <v>0.13344930367827107</v>
      </c>
      <c r="AN23" s="1">
        <v>0.34046726644358</v>
      </c>
      <c r="AO23" s="1">
        <v>0.31269780833637589</v>
      </c>
    </row>
    <row r="24" spans="1:41" ht="15">
      <c r="A24" s="17" t="s">
        <v>66</v>
      </c>
      <c r="B24" s="1">
        <v>0.20083013869233793</v>
      </c>
      <c r="C24" s="1">
        <v>9.7470610456784873E-2</v>
      </c>
      <c r="D24" s="1">
        <v>2.4228477533494996E-2</v>
      </c>
      <c r="E24" s="1">
        <v>0.12336542219222398</v>
      </c>
      <c r="F24" s="1">
        <v>4.1794285199236315E-2</v>
      </c>
      <c r="G24" s="1">
        <v>0.46436733060513091</v>
      </c>
      <c r="H24" s="1">
        <v>0.31666709731104858</v>
      </c>
      <c r="I24" s="1">
        <v>0.40999927936897657</v>
      </c>
      <c r="J24" s="1">
        <v>0.1937110491358148</v>
      </c>
      <c r="K24" s="1">
        <v>-2.9952358525164986E-2</v>
      </c>
      <c r="L24" s="1">
        <v>0.15582333860273112</v>
      </c>
      <c r="M24" s="1">
        <v>0.15564541179762795</v>
      </c>
      <c r="N24" s="1">
        <v>0.58826378275993907</v>
      </c>
      <c r="O24" s="1">
        <v>0.37341736796842623</v>
      </c>
      <c r="P24" s="1">
        <v>0.43716522345565673</v>
      </c>
      <c r="Q24" s="1">
        <v>7.0115394053249638E-2</v>
      </c>
      <c r="R24" s="1">
        <v>0.40528781594210345</v>
      </c>
      <c r="S24" s="1">
        <v>0.1821434469738355</v>
      </c>
      <c r="T24" s="1">
        <v>0.41691951635155816</v>
      </c>
      <c r="U24" s="1">
        <v>0.25840974431037811</v>
      </c>
      <c r="V24" s="1">
        <v>0.38472709201172706</v>
      </c>
      <c r="W24" s="4">
        <v>1.0000000000000002</v>
      </c>
      <c r="X24" s="1">
        <v>0.33913810904044828</v>
      </c>
      <c r="Y24" s="1">
        <v>0.5601615301157058</v>
      </c>
      <c r="Z24" s="1">
        <v>0.30266731154028798</v>
      </c>
      <c r="AA24" s="1">
        <v>0.35439667255871132</v>
      </c>
      <c r="AB24" s="1">
        <v>0.3364096652095297</v>
      </c>
      <c r="AC24" s="1">
        <v>0.26616835112374054</v>
      </c>
      <c r="AD24" s="1">
        <v>8.9798884381431188E-2</v>
      </c>
      <c r="AE24" s="1">
        <v>0.25670670248954452</v>
      </c>
      <c r="AF24" s="1">
        <v>0.14703480924643283</v>
      </c>
      <c r="AG24" s="1">
        <v>5.113392424971562E-2</v>
      </c>
      <c r="AH24" s="1">
        <v>0.10371346950535003</v>
      </c>
      <c r="AI24" s="1">
        <v>0.32755173581877628</v>
      </c>
      <c r="AJ24" s="1">
        <v>0.11106620053073137</v>
      </c>
      <c r="AK24" s="1">
        <v>0.16171794474745166</v>
      </c>
      <c r="AL24" s="1">
        <v>0.16308937078039626</v>
      </c>
      <c r="AM24" s="1">
        <v>0.33795183858778199</v>
      </c>
      <c r="AN24" s="1">
        <v>0.4416773212228054</v>
      </c>
      <c r="AO24" s="1">
        <v>0.23543958959597652</v>
      </c>
    </row>
    <row r="25" spans="1:41" ht="15">
      <c r="A25" s="17" t="s">
        <v>70</v>
      </c>
      <c r="B25" s="1">
        <v>0.2247335841305749</v>
      </c>
      <c r="C25" s="1">
        <v>-3.7619328766311587E-3</v>
      </c>
      <c r="D25" s="1">
        <v>-1.8879839443280276E-2</v>
      </c>
      <c r="E25" s="1">
        <v>0.28155683670443821</v>
      </c>
      <c r="F25" s="1">
        <v>8.5130381135544164E-2</v>
      </c>
      <c r="G25" s="1">
        <v>5.0546148943550098E-2</v>
      </c>
      <c r="H25" s="1">
        <v>0.18418170080256391</v>
      </c>
      <c r="I25" s="1">
        <v>0.32972104999010887</v>
      </c>
      <c r="J25" s="1">
        <v>0.26469516591974945</v>
      </c>
      <c r="K25" s="1">
        <v>0.20581860945463309</v>
      </c>
      <c r="L25" s="1">
        <v>-5.061096584087886E-2</v>
      </c>
      <c r="M25" s="1">
        <v>1.0648377552798651E-2</v>
      </c>
      <c r="N25" s="1">
        <v>0.44679666868526768</v>
      </c>
      <c r="O25" s="1">
        <v>0.43212692662604885</v>
      </c>
      <c r="P25" s="1">
        <v>0.39300067479156409</v>
      </c>
      <c r="Q25" s="1">
        <v>-0.11074771777669914</v>
      </c>
      <c r="R25" s="1">
        <v>0.31112310353766004</v>
      </c>
      <c r="S25" s="1">
        <v>0.21120665624293758</v>
      </c>
      <c r="T25" s="1">
        <v>0.36408038028469647</v>
      </c>
      <c r="U25" s="1">
        <v>0.3053312368505427</v>
      </c>
      <c r="V25" s="1">
        <v>0.27473240262033288</v>
      </c>
      <c r="W25" s="1">
        <v>0.33913810904044828</v>
      </c>
      <c r="X25" s="4">
        <v>0.99999999999999989</v>
      </c>
      <c r="Y25" s="1">
        <v>0.24667194586734431</v>
      </c>
      <c r="Z25" s="1">
        <v>0.22906097390377589</v>
      </c>
      <c r="AA25" s="1">
        <v>0.36477693902604297</v>
      </c>
      <c r="AB25" s="1">
        <v>0.18431265203961458</v>
      </c>
      <c r="AC25" s="1">
        <v>0.40401514804299499</v>
      </c>
      <c r="AD25" s="1">
        <v>6.7991602578074836E-2</v>
      </c>
      <c r="AE25" s="1">
        <v>0.38580790730934517</v>
      </c>
      <c r="AF25" s="1">
        <v>0.15572092500098153</v>
      </c>
      <c r="AG25" s="1">
        <v>0.35403725582719409</v>
      </c>
      <c r="AH25" s="1">
        <v>0.2308750859010904</v>
      </c>
      <c r="AI25" s="1">
        <v>0.37904630806700013</v>
      </c>
      <c r="AJ25" s="1">
        <v>0.34676024754250556</v>
      </c>
      <c r="AK25" s="1">
        <v>0.33964261635301124</v>
      </c>
      <c r="AL25" s="1">
        <v>0.31929474744167946</v>
      </c>
      <c r="AM25" s="1">
        <v>0.27643846347411</v>
      </c>
      <c r="AN25" s="1">
        <v>0.44225512760464142</v>
      </c>
      <c r="AO25" s="1">
        <v>0.26001249409584476</v>
      </c>
    </row>
    <row r="26" spans="1:41" ht="15">
      <c r="A26" s="17" t="s">
        <v>74</v>
      </c>
      <c r="B26" s="1">
        <v>0.12589915896290499</v>
      </c>
      <c r="C26" s="1">
        <v>1.8587601772582726E-2</v>
      </c>
      <c r="D26" s="1">
        <v>0.10844750618907995</v>
      </c>
      <c r="E26" s="1">
        <v>0.27394020919137696</v>
      </c>
      <c r="F26" s="1">
        <v>5.3638860239855382E-2</v>
      </c>
      <c r="G26" s="1">
        <v>0.15331770245078138</v>
      </c>
      <c r="H26" s="1">
        <v>0.27097832505696828</v>
      </c>
      <c r="I26" s="1">
        <v>0.18912024804408889</v>
      </c>
      <c r="J26" s="1">
        <v>3.5812278640524831E-2</v>
      </c>
      <c r="K26" s="1">
        <v>-3.5403285726517228E-2</v>
      </c>
      <c r="L26" s="1">
        <v>0.21106446452641903</v>
      </c>
      <c r="M26" s="1">
        <v>0.11674602010697741</v>
      </c>
      <c r="N26" s="1">
        <v>0.30670106344399178</v>
      </c>
      <c r="O26" s="1">
        <v>0.10817193528131858</v>
      </c>
      <c r="P26" s="1">
        <v>0.22105349351809694</v>
      </c>
      <c r="Q26" s="1">
        <v>-0.19381287202256037</v>
      </c>
      <c r="R26" s="1">
        <v>0.1890869397811758</v>
      </c>
      <c r="S26" s="1">
        <v>0.14135025655041106</v>
      </c>
      <c r="T26" s="1">
        <v>0.28464628996719926</v>
      </c>
      <c r="U26" s="1">
        <v>0.11054867877671512</v>
      </c>
      <c r="V26" s="1">
        <v>0.34225597929251067</v>
      </c>
      <c r="W26" s="1">
        <v>0.5601615301157058</v>
      </c>
      <c r="X26" s="1">
        <v>0.24667194586734431</v>
      </c>
      <c r="Y26" s="4">
        <v>1.0000000000000002</v>
      </c>
      <c r="Z26" s="1">
        <v>0.20848255322720374</v>
      </c>
      <c r="AA26" s="1">
        <v>0.29481062159808602</v>
      </c>
      <c r="AB26" s="1">
        <v>0.24381440647899488</v>
      </c>
      <c r="AC26" s="1">
        <v>0.37300780521300714</v>
      </c>
      <c r="AD26" s="1">
        <v>6.8296010240016275E-2</v>
      </c>
      <c r="AE26" s="1">
        <v>0.20954017086829982</v>
      </c>
      <c r="AF26" s="1">
        <v>-1.5034495758560017E-2</v>
      </c>
      <c r="AG26" s="1">
        <v>2.6739736362137657E-2</v>
      </c>
      <c r="AH26" s="1">
        <v>0.23064196512231872</v>
      </c>
      <c r="AI26" s="1">
        <v>0.22907940603100344</v>
      </c>
      <c r="AJ26" s="1">
        <v>0.18771202045197882</v>
      </c>
      <c r="AK26" s="1">
        <v>0.10516774517371809</v>
      </c>
      <c r="AL26" s="1">
        <v>0.40945532100394055</v>
      </c>
      <c r="AM26" s="1">
        <v>0.32999600543981822</v>
      </c>
      <c r="AN26" s="1">
        <v>0.10060893538062646</v>
      </c>
      <c r="AO26" s="1">
        <v>0.29400376958809588</v>
      </c>
    </row>
    <row r="27" spans="1:41" ht="15">
      <c r="A27" s="17" t="s">
        <v>76</v>
      </c>
      <c r="B27" s="1">
        <v>0.51867208214279448</v>
      </c>
      <c r="C27" s="1">
        <v>0.31053483304220486</v>
      </c>
      <c r="D27" s="1">
        <v>-4.9162962799218404E-2</v>
      </c>
      <c r="E27" s="1">
        <v>1.4170282996151065E-2</v>
      </c>
      <c r="F27" s="1">
        <v>0.16862223491911571</v>
      </c>
      <c r="G27" s="1">
        <v>0.3699824318315712</v>
      </c>
      <c r="H27" s="1">
        <v>8.8045627280971955E-3</v>
      </c>
      <c r="I27" s="1">
        <v>0.1660981748436616</v>
      </c>
      <c r="J27" s="1">
        <v>0.31230804756357827</v>
      </c>
      <c r="K27" s="1">
        <v>0.1759375867052255</v>
      </c>
      <c r="L27" s="1">
        <v>-0.25117258679117582</v>
      </c>
      <c r="M27" s="1">
        <v>-1.6906067688751983E-2</v>
      </c>
      <c r="N27" s="1">
        <v>0.38226848631106186</v>
      </c>
      <c r="O27" s="1">
        <v>0.33183917488520498</v>
      </c>
      <c r="P27" s="1">
        <v>4.1759648149480993E-2</v>
      </c>
      <c r="Q27" s="1">
        <v>7.199243039815062E-2</v>
      </c>
      <c r="R27" s="1">
        <v>4.8699803181842964E-2</v>
      </c>
      <c r="S27" s="1">
        <v>0.13907800516602467</v>
      </c>
      <c r="T27" s="1">
        <v>0.32051276248409294</v>
      </c>
      <c r="U27" s="1">
        <v>7.1388768611225145E-2</v>
      </c>
      <c r="V27" s="1">
        <v>0.15592446957709163</v>
      </c>
      <c r="W27" s="1">
        <v>0.30266731154028798</v>
      </c>
      <c r="X27" s="1">
        <v>0.22906097390377589</v>
      </c>
      <c r="Y27" s="1">
        <v>0.20848255322720374</v>
      </c>
      <c r="Z27" s="4">
        <v>1</v>
      </c>
      <c r="AA27" s="1">
        <v>0.19846158447998943</v>
      </c>
      <c r="AB27" s="1">
        <v>2.4805502187925602E-2</v>
      </c>
      <c r="AC27" s="1">
        <v>0.37297029788185954</v>
      </c>
      <c r="AD27" s="1">
        <v>0.46320512606317588</v>
      </c>
      <c r="AE27" s="1">
        <v>0.2237668663528086</v>
      </c>
      <c r="AF27" s="1">
        <v>0.51856928588843054</v>
      </c>
      <c r="AG27" s="1">
        <v>0.15144815124290195</v>
      </c>
      <c r="AH27" s="1">
        <v>0.25611441382036088</v>
      </c>
      <c r="AI27" s="1">
        <v>0.37497144705416829</v>
      </c>
      <c r="AJ27" s="1">
        <v>6.1432453470598787E-2</v>
      </c>
      <c r="AK27" s="1">
        <v>0.16682364179874967</v>
      </c>
      <c r="AL27" s="1">
        <v>0.42896340568194663</v>
      </c>
      <c r="AM27" s="1">
        <v>0.34805882455086629</v>
      </c>
      <c r="AN27" s="1">
        <v>0.19305235810583815</v>
      </c>
      <c r="AO27" s="1">
        <v>0.35382205654231907</v>
      </c>
    </row>
    <row r="28" spans="1:41" ht="15">
      <c r="A28" s="17" t="s">
        <v>79</v>
      </c>
      <c r="B28" s="1">
        <v>0.35524504493356457</v>
      </c>
      <c r="C28" s="1">
        <v>0.23165047309389941</v>
      </c>
      <c r="D28" s="1">
        <v>0.19643959833485897</v>
      </c>
      <c r="E28" s="1">
        <v>0.29517774299037142</v>
      </c>
      <c r="F28" s="1">
        <v>0.31116268835237504</v>
      </c>
      <c r="G28" s="1">
        <v>0.22181400015859026</v>
      </c>
      <c r="H28" s="1">
        <v>0.31315728263657994</v>
      </c>
      <c r="I28" s="1">
        <v>0.33934097022707865</v>
      </c>
      <c r="J28" s="1">
        <v>0.25116136801808392</v>
      </c>
      <c r="K28" s="1">
        <v>0.28793865240626804</v>
      </c>
      <c r="L28" s="1">
        <v>0.11061882945974527</v>
      </c>
      <c r="M28" s="1">
        <v>0.17383125242803935</v>
      </c>
      <c r="N28" s="1">
        <v>0.39511615801831529</v>
      </c>
      <c r="O28" s="1">
        <v>0.45574177970844043</v>
      </c>
      <c r="P28" s="1">
        <v>0.43879706861392298</v>
      </c>
      <c r="Q28" s="1">
        <v>9.6344962388508482E-2</v>
      </c>
      <c r="R28" s="1">
        <v>0.37593024026385724</v>
      </c>
      <c r="S28" s="1">
        <v>0.26568444354598669</v>
      </c>
      <c r="T28" s="1">
        <v>0.47636187978744343</v>
      </c>
      <c r="U28" s="1">
        <v>0.44166593158178014</v>
      </c>
      <c r="V28" s="1">
        <v>0.29098205305688535</v>
      </c>
      <c r="W28" s="1">
        <v>0.35439667255871132</v>
      </c>
      <c r="X28" s="1">
        <v>0.36477693902604297</v>
      </c>
      <c r="Y28" s="1">
        <v>0.29481062159808602</v>
      </c>
      <c r="Z28" s="1">
        <v>0.19846158447998943</v>
      </c>
      <c r="AA28" s="4">
        <v>1</v>
      </c>
      <c r="AB28" s="1">
        <v>0.32128735504180805</v>
      </c>
      <c r="AC28" s="1">
        <v>0.35511739155551475</v>
      </c>
      <c r="AD28" s="1">
        <v>0.2385803414320036</v>
      </c>
      <c r="AE28" s="1">
        <v>0.21364151627362327</v>
      </c>
      <c r="AF28" s="1">
        <v>0.11897806234879013</v>
      </c>
      <c r="AG28" s="1">
        <v>0.23276741531838616</v>
      </c>
      <c r="AH28" s="1">
        <v>0.17074316927613983</v>
      </c>
      <c r="AI28" s="1">
        <v>0.40520934317421275</v>
      </c>
      <c r="AJ28" s="1">
        <v>0.24624265686297325</v>
      </c>
      <c r="AK28" s="1">
        <v>0.28920732289665729</v>
      </c>
      <c r="AL28" s="1">
        <v>0.3308479419652946</v>
      </c>
      <c r="AM28" s="1">
        <v>0.19446129798870179</v>
      </c>
      <c r="AN28" s="1">
        <v>0.26544412335027645</v>
      </c>
      <c r="AO28" s="1">
        <v>0.24574382261684063</v>
      </c>
    </row>
    <row r="29" spans="1:41" ht="15">
      <c r="A29" s="17" t="s">
        <v>87</v>
      </c>
      <c r="B29" s="1">
        <v>0.15885325093672367</v>
      </c>
      <c r="C29" s="1">
        <v>0.18293042607078014</v>
      </c>
      <c r="D29" s="1">
        <v>-3.5336944812824581E-2</v>
      </c>
      <c r="E29" s="1">
        <v>0.30060939328314656</v>
      </c>
      <c r="F29" s="1">
        <v>0.19983275116025778</v>
      </c>
      <c r="G29" s="1">
        <v>0.26985344602303291</v>
      </c>
      <c r="H29" s="1">
        <v>0.20281731469321104</v>
      </c>
      <c r="I29" s="1">
        <v>0.25460202403848403</v>
      </c>
      <c r="J29" s="1">
        <v>0.36119551012907669</v>
      </c>
      <c r="K29" s="1">
        <v>0.24533163953701895</v>
      </c>
      <c r="L29" s="1">
        <v>0.41995764893880783</v>
      </c>
      <c r="M29" s="1">
        <v>4.3582305048930389E-2</v>
      </c>
      <c r="N29" s="1">
        <v>0.15031735136567928</v>
      </c>
      <c r="O29" s="1">
        <v>0.23844641260547328</v>
      </c>
      <c r="P29" s="1">
        <v>0.19068859319136472</v>
      </c>
      <c r="Q29" s="1">
        <v>-0.10145308580051139</v>
      </c>
      <c r="R29" s="1">
        <v>0.3366450093545984</v>
      </c>
      <c r="S29" s="1">
        <v>-0.12887109696494484</v>
      </c>
      <c r="T29" s="1">
        <v>4.7961409171482484E-2</v>
      </c>
      <c r="U29" s="1">
        <v>0.33763999815707274</v>
      </c>
      <c r="V29" s="1">
        <v>0.12945647486667416</v>
      </c>
      <c r="W29" s="1">
        <v>0.3364096652095297</v>
      </c>
      <c r="X29" s="1">
        <v>0.18431265203961458</v>
      </c>
      <c r="Y29" s="1">
        <v>0.24381440647899488</v>
      </c>
      <c r="Z29" s="1">
        <v>2.4805502187925602E-2</v>
      </c>
      <c r="AA29" s="1">
        <v>0.32128735504180805</v>
      </c>
      <c r="AB29" s="4">
        <v>1</v>
      </c>
      <c r="AC29" s="1">
        <v>0.17014157262707053</v>
      </c>
      <c r="AD29" s="1">
        <v>1.7742165777588536E-2</v>
      </c>
      <c r="AE29" s="1">
        <v>0.21797186258429457</v>
      </c>
      <c r="AF29" s="1">
        <v>0.19985734565123642</v>
      </c>
      <c r="AG29" s="1">
        <v>0.23242216231821344</v>
      </c>
      <c r="AH29" s="1">
        <v>0.12561678843129936</v>
      </c>
      <c r="AI29" s="1">
        <v>0.26338718765376629</v>
      </c>
      <c r="AJ29" s="1">
        <v>-6.4865842340508517E-2</v>
      </c>
      <c r="AK29" s="1">
        <v>0.20505554429836845</v>
      </c>
      <c r="AL29" s="1">
        <v>4.9864662148159017E-2</v>
      </c>
      <c r="AM29" s="1">
        <v>0.13587316632081733</v>
      </c>
      <c r="AN29" s="1">
        <v>0.2350907893018272</v>
      </c>
      <c r="AO29" s="1">
        <v>-1.6558148447331056E-2</v>
      </c>
    </row>
    <row r="30" spans="1:41" ht="15">
      <c r="A30" s="17" t="s">
        <v>88</v>
      </c>
      <c r="B30" s="1">
        <v>0.23179525552471417</v>
      </c>
      <c r="C30" s="1">
        <v>-5.4121594545239342E-2</v>
      </c>
      <c r="D30" s="1">
        <v>-0.139956608271426</v>
      </c>
      <c r="E30" s="1">
        <v>0.20752720185426635</v>
      </c>
      <c r="F30" s="1">
        <v>-9.8993578691822834E-2</v>
      </c>
      <c r="G30" s="1">
        <v>7.6733503771159159E-2</v>
      </c>
      <c r="H30" s="1">
        <v>2.1582592771793502E-2</v>
      </c>
      <c r="I30" s="1">
        <v>0.12581111429234398</v>
      </c>
      <c r="J30" s="1">
        <v>0.17636328732750076</v>
      </c>
      <c r="K30" s="1">
        <v>0.10648181814934111</v>
      </c>
      <c r="L30" s="1">
        <v>-8.7716176571919519E-2</v>
      </c>
      <c r="M30" s="1">
        <v>-9.7154818578405036E-2</v>
      </c>
      <c r="N30" s="1">
        <v>0.12682255296961278</v>
      </c>
      <c r="O30" s="1">
        <v>0.25734587606449333</v>
      </c>
      <c r="P30" s="1">
        <v>0.16136255304354946</v>
      </c>
      <c r="Q30" s="1">
        <v>-0.12948263915598512</v>
      </c>
      <c r="R30" s="1">
        <v>0.15357214627726731</v>
      </c>
      <c r="S30" s="1">
        <v>7.8869553988328442E-2</v>
      </c>
      <c r="T30" s="1">
        <v>0.30363033061253036</v>
      </c>
      <c r="U30" s="1">
        <v>8.4274262792437812E-2</v>
      </c>
      <c r="V30" s="1">
        <v>0.19931213474705084</v>
      </c>
      <c r="W30" s="1">
        <v>0.26616835112374054</v>
      </c>
      <c r="X30" s="1">
        <v>0.40401514804299499</v>
      </c>
      <c r="Y30" s="1">
        <v>0.37300780521300714</v>
      </c>
      <c r="Z30" s="1">
        <v>0.37297029788185954</v>
      </c>
      <c r="AA30" s="1">
        <v>0.35511739155551475</v>
      </c>
      <c r="AB30" s="1">
        <v>0.17014157262707053</v>
      </c>
      <c r="AC30" s="4">
        <v>1</v>
      </c>
      <c r="AD30" s="1">
        <v>0.22039450365459087</v>
      </c>
      <c r="AE30" s="1">
        <v>0.40527146340985964</v>
      </c>
      <c r="AF30" s="1">
        <v>2.4738460368092255E-2</v>
      </c>
      <c r="AG30" s="1">
        <v>0.31190241050945394</v>
      </c>
      <c r="AH30" s="1">
        <v>0.15449852140210452</v>
      </c>
      <c r="AI30" s="1">
        <v>0.43561906699943548</v>
      </c>
      <c r="AJ30" s="1">
        <v>0.25616644224012941</v>
      </c>
      <c r="AK30" s="1">
        <v>0.2596408283050804</v>
      </c>
      <c r="AL30" s="1">
        <v>0.35670060194674696</v>
      </c>
      <c r="AM30" s="1">
        <v>0.34279105630104278</v>
      </c>
      <c r="AN30" s="1">
        <v>4.5370993483867014E-2</v>
      </c>
      <c r="AO30" s="1">
        <v>0.52761951692468001</v>
      </c>
    </row>
    <row r="31" spans="1:41" ht="15">
      <c r="A31" s="17" t="s">
        <v>91</v>
      </c>
      <c r="B31" s="1">
        <v>0.42939248165240729</v>
      </c>
      <c r="C31" s="1">
        <v>0.4852363041316981</v>
      </c>
      <c r="D31" s="1">
        <v>5.907891496822857E-2</v>
      </c>
      <c r="E31" s="1">
        <v>-0.11983775561868505</v>
      </c>
      <c r="F31" s="1">
        <v>0.31713322262725574</v>
      </c>
      <c r="G31" s="1">
        <v>0.26926898395846988</v>
      </c>
      <c r="H31" s="1">
        <v>2.0021376644597497E-2</v>
      </c>
      <c r="I31" s="1">
        <v>9.8477403452260914E-2</v>
      </c>
      <c r="J31" s="1">
        <v>0.2019582164363341</v>
      </c>
      <c r="K31" s="1">
        <v>0.19830308763900473</v>
      </c>
      <c r="L31" s="1">
        <v>7.4972588551093053E-2</v>
      </c>
      <c r="M31" s="1">
        <v>8.5434247782329845E-2</v>
      </c>
      <c r="N31" s="1">
        <v>0.18840023728261918</v>
      </c>
      <c r="O31" s="1">
        <v>0.23187300757553345</v>
      </c>
      <c r="P31" s="1">
        <v>6.2955556030370105E-2</v>
      </c>
      <c r="Q31" s="1">
        <v>0.1996105046782016</v>
      </c>
      <c r="R31" s="1">
        <v>-1.4843505952352587E-2</v>
      </c>
      <c r="S31" s="1">
        <v>-6.3164135156677809E-3</v>
      </c>
      <c r="T31" s="1">
        <v>0.27601198131222671</v>
      </c>
      <c r="U31" s="1">
        <v>0.21748962548174366</v>
      </c>
      <c r="V31" s="1">
        <v>0.26885361597078339</v>
      </c>
      <c r="W31" s="1">
        <v>8.9798884381431188E-2</v>
      </c>
      <c r="X31" s="1">
        <v>6.7991602578074836E-2</v>
      </c>
      <c r="Y31" s="1">
        <v>6.8296010240016275E-2</v>
      </c>
      <c r="Z31" s="1">
        <v>0.46320512606317588</v>
      </c>
      <c r="AA31" s="1">
        <v>0.2385803414320036</v>
      </c>
      <c r="AB31" s="1">
        <v>1.7742165777588536E-2</v>
      </c>
      <c r="AC31" s="1">
        <v>0.22039450365459087</v>
      </c>
      <c r="AD31" s="4">
        <v>1</v>
      </c>
      <c r="AE31" s="1">
        <v>0.45532518736200189</v>
      </c>
      <c r="AF31" s="1">
        <v>0.44294001758171586</v>
      </c>
      <c r="AG31" s="1">
        <v>0.3736956226109982</v>
      </c>
      <c r="AH31" s="1">
        <v>0.22875543492248177</v>
      </c>
      <c r="AI31" s="1">
        <v>0.32781947158454677</v>
      </c>
      <c r="AJ31" s="1">
        <v>0.2157936692386796</v>
      </c>
      <c r="AK31" s="1">
        <v>0.40330988987756367</v>
      </c>
      <c r="AL31" s="1">
        <v>0.23850197007435747</v>
      </c>
      <c r="AM31" s="1">
        <v>0.21078092751692951</v>
      </c>
      <c r="AN31" s="1">
        <v>0.14244567194420929</v>
      </c>
      <c r="AO31" s="1">
        <v>0.20300103894683982</v>
      </c>
    </row>
    <row r="32" spans="1:41" ht="15">
      <c r="A32" s="17" t="s">
        <v>94</v>
      </c>
      <c r="B32" s="1">
        <v>0.52803794525842207</v>
      </c>
      <c r="C32" s="1">
        <v>0.25086186174502051</v>
      </c>
      <c r="D32" s="1">
        <v>9.2048795767503189E-2</v>
      </c>
      <c r="E32" s="1">
        <v>2.6272892304634456E-2</v>
      </c>
      <c r="F32" s="1">
        <v>0.15541418576814359</v>
      </c>
      <c r="G32" s="1">
        <v>0.30905614214608412</v>
      </c>
      <c r="H32" s="1">
        <v>0.15248323189992113</v>
      </c>
      <c r="I32" s="1">
        <v>0.30552915471974817</v>
      </c>
      <c r="J32" s="1">
        <v>0.26151374510973285</v>
      </c>
      <c r="K32" s="1">
        <v>8.485683218906756E-2</v>
      </c>
      <c r="L32" s="1">
        <v>0.19363262570568221</v>
      </c>
      <c r="M32" s="1">
        <v>-2.2441857022617966E-2</v>
      </c>
      <c r="N32" s="1">
        <v>0.31533034626613998</v>
      </c>
      <c r="O32" s="1">
        <v>0.48402484323686445</v>
      </c>
      <c r="P32" s="1">
        <v>0.28212846316973417</v>
      </c>
      <c r="Q32" s="1">
        <v>9.7980998777970799E-2</v>
      </c>
      <c r="R32" s="1">
        <v>0.31641828293074431</v>
      </c>
      <c r="S32" s="1">
        <v>0.144665496577916</v>
      </c>
      <c r="T32" s="1">
        <v>0.26797868413524095</v>
      </c>
      <c r="U32" s="1">
        <v>0.21891843728333157</v>
      </c>
      <c r="V32" s="1">
        <v>0.44750818653846053</v>
      </c>
      <c r="W32" s="1">
        <v>0.25670670248954452</v>
      </c>
      <c r="X32" s="1">
        <v>0.38580790730934517</v>
      </c>
      <c r="Y32" s="1">
        <v>0.20954017086829982</v>
      </c>
      <c r="Z32" s="1">
        <v>0.2237668663528086</v>
      </c>
      <c r="AA32" s="1">
        <v>0.21364151627362327</v>
      </c>
      <c r="AB32" s="1">
        <v>0.21797186258429457</v>
      </c>
      <c r="AC32" s="1">
        <v>0.40527146340985964</v>
      </c>
      <c r="AD32" s="1">
        <v>0.45532518736200189</v>
      </c>
      <c r="AE32" s="4">
        <v>0.99999999999999989</v>
      </c>
      <c r="AF32" s="1">
        <v>0.21316602731307394</v>
      </c>
      <c r="AG32" s="1">
        <v>0.40140111216556429</v>
      </c>
      <c r="AH32" s="1">
        <v>0.13538249639954772</v>
      </c>
      <c r="AI32" s="1">
        <v>0.49304195750119761</v>
      </c>
      <c r="AJ32" s="1">
        <v>7.8353293898143106E-2</v>
      </c>
      <c r="AK32" s="1">
        <v>0.30313764553259948</v>
      </c>
      <c r="AL32" s="1">
        <v>0.25706603655087346</v>
      </c>
      <c r="AM32" s="1">
        <v>0.30451097114381026</v>
      </c>
      <c r="AN32" s="1">
        <v>0.35655214281318853</v>
      </c>
      <c r="AO32" s="1">
        <v>0.26188220090380687</v>
      </c>
    </row>
    <row r="33" spans="1:41" ht="15">
      <c r="A33" s="17" t="s">
        <v>95</v>
      </c>
      <c r="B33" s="1">
        <v>0.40889917050237251</v>
      </c>
      <c r="C33" s="1">
        <v>0.44629364937897509</v>
      </c>
      <c r="D33" s="1">
        <v>6.0206032401977798E-2</v>
      </c>
      <c r="E33" s="1">
        <v>8.2738321706970763E-3</v>
      </c>
      <c r="F33" s="1">
        <v>0.31022192452635644</v>
      </c>
      <c r="G33" s="1">
        <v>0.37865660803989337</v>
      </c>
      <c r="H33" s="1">
        <v>0.11559305234225369</v>
      </c>
      <c r="I33" s="1">
        <v>0.37017807229341815</v>
      </c>
      <c r="J33" s="1">
        <v>0.23346747733357626</v>
      </c>
      <c r="K33" s="1">
        <v>0.25565037458524531</v>
      </c>
      <c r="L33" s="1">
        <v>3.7273477478990867E-2</v>
      </c>
      <c r="M33" s="1">
        <v>0.16504706851508308</v>
      </c>
      <c r="N33" s="1">
        <v>0.23389378342610859</v>
      </c>
      <c r="O33" s="1">
        <v>0.18195284083466634</v>
      </c>
      <c r="P33" s="1">
        <v>0.10140447612593576</v>
      </c>
      <c r="Q33" s="1">
        <v>0.18884184708467627</v>
      </c>
      <c r="R33" s="1">
        <v>0.13324307086906079</v>
      </c>
      <c r="S33" s="1">
        <v>-1.9611985713798769E-2</v>
      </c>
      <c r="T33" s="1">
        <v>0.25885109360193231</v>
      </c>
      <c r="U33" s="1">
        <v>0.27510998879642418</v>
      </c>
      <c r="V33" s="1">
        <v>0.12774520998203237</v>
      </c>
      <c r="W33" s="1">
        <v>0.14703480924643283</v>
      </c>
      <c r="X33" s="1">
        <v>0.15572092500098153</v>
      </c>
      <c r="Y33" s="1">
        <v>-1.5034495758560017E-2</v>
      </c>
      <c r="Z33" s="1">
        <v>0.51856928588843054</v>
      </c>
      <c r="AA33" s="1">
        <v>0.11897806234879013</v>
      </c>
      <c r="AB33" s="1">
        <v>0.19985734565123642</v>
      </c>
      <c r="AC33" s="1">
        <v>2.4738460368092255E-2</v>
      </c>
      <c r="AD33" s="1">
        <v>0.44294001758171586</v>
      </c>
      <c r="AE33" s="1">
        <v>0.21316602731307394</v>
      </c>
      <c r="AF33" s="4">
        <v>1</v>
      </c>
      <c r="AG33" s="1">
        <v>0.12207279436693683</v>
      </c>
      <c r="AH33" s="1">
        <v>0.33258825294908284</v>
      </c>
      <c r="AI33" s="1">
        <v>0.28685320955967059</v>
      </c>
      <c r="AJ33" s="1">
        <v>2.3021419193809869E-2</v>
      </c>
      <c r="AK33" s="1">
        <v>0.11524319056020953</v>
      </c>
      <c r="AL33" s="1">
        <v>0.19360590868360891</v>
      </c>
      <c r="AM33" s="1">
        <v>9.3222748435227626E-2</v>
      </c>
      <c r="AN33" s="1">
        <v>0.40857425207707176</v>
      </c>
      <c r="AO33" s="1">
        <v>0.20408742718102471</v>
      </c>
    </row>
    <row r="34" spans="1:41" ht="15">
      <c r="A34" s="17" t="s">
        <v>102</v>
      </c>
      <c r="B34" s="1">
        <v>0.39546493209023481</v>
      </c>
      <c r="C34" s="1">
        <v>4.8982261816817758E-2</v>
      </c>
      <c r="D34" s="1">
        <v>1.4648157245174976E-2</v>
      </c>
      <c r="E34" s="1">
        <v>5.7737132153811994E-2</v>
      </c>
      <c r="F34" s="1">
        <v>0.19273113349429186</v>
      </c>
      <c r="G34" s="1">
        <v>0.24196588534320548</v>
      </c>
      <c r="H34" s="1">
        <v>0.1538430980228179</v>
      </c>
      <c r="I34" s="1">
        <v>0.30487699923056283</v>
      </c>
      <c r="J34" s="1">
        <v>0.51597735212551632</v>
      </c>
      <c r="K34" s="1">
        <v>0.33614413584132258</v>
      </c>
      <c r="L34" s="1">
        <v>6.9422028782136463E-2</v>
      </c>
      <c r="M34" s="1">
        <v>-6.1844523279803165E-2</v>
      </c>
      <c r="N34" s="1">
        <v>0.26931775659305995</v>
      </c>
      <c r="O34" s="1">
        <v>0.32709683476577989</v>
      </c>
      <c r="P34" s="1">
        <v>0.18315087277378869</v>
      </c>
      <c r="Q34" s="1">
        <v>0.21197210850062176</v>
      </c>
      <c r="R34" s="1">
        <v>0.26744375710529861</v>
      </c>
      <c r="S34" s="1">
        <v>0.15466850402447233</v>
      </c>
      <c r="T34" s="1">
        <v>0.37604656472801895</v>
      </c>
      <c r="U34" s="1">
        <v>0.23842895115342158</v>
      </c>
      <c r="V34" s="1">
        <v>0.25531563685790826</v>
      </c>
      <c r="W34" s="1">
        <v>5.113392424971562E-2</v>
      </c>
      <c r="X34" s="1">
        <v>0.35403725582719409</v>
      </c>
      <c r="Y34" s="1">
        <v>2.6739736362137657E-2</v>
      </c>
      <c r="Z34" s="1">
        <v>0.15144815124290195</v>
      </c>
      <c r="AA34" s="1">
        <v>0.23276741531838616</v>
      </c>
      <c r="AB34" s="1">
        <v>0.23242216231821344</v>
      </c>
      <c r="AC34" s="1">
        <v>0.31190241050945394</v>
      </c>
      <c r="AD34" s="1">
        <v>0.3736956226109982</v>
      </c>
      <c r="AE34" s="1">
        <v>0.40140111216556429</v>
      </c>
      <c r="AF34" s="1">
        <v>0.12207279436693683</v>
      </c>
      <c r="AG34" s="4">
        <v>0.99999999999999978</v>
      </c>
      <c r="AH34" s="1">
        <v>0.29769109987372522</v>
      </c>
      <c r="AI34" s="1">
        <v>0.28343530263529493</v>
      </c>
      <c r="AJ34" s="1">
        <v>0.38634967146569105</v>
      </c>
      <c r="AK34" s="1">
        <v>0.4306088197749483</v>
      </c>
      <c r="AL34" s="1">
        <v>0.40955482487285344</v>
      </c>
      <c r="AM34" s="1">
        <v>0.33309091495883991</v>
      </c>
      <c r="AN34" s="1">
        <v>0.27586186732727908</v>
      </c>
      <c r="AO34" s="1">
        <v>0.31695785745846261</v>
      </c>
    </row>
    <row r="35" spans="1:41" ht="15">
      <c r="A35" s="17" t="s">
        <v>110</v>
      </c>
      <c r="B35" s="1">
        <v>0.35857178059897349</v>
      </c>
      <c r="C35" s="1">
        <v>0.16374529262197299</v>
      </c>
      <c r="D35" s="1">
        <v>0.19489559712637977</v>
      </c>
      <c r="E35" s="1">
        <v>0.15810426197076541</v>
      </c>
      <c r="F35" s="1">
        <v>0.29924284057009565</v>
      </c>
      <c r="G35" s="1">
        <v>0.29984417553141501</v>
      </c>
      <c r="H35" s="1">
        <v>0.10726224593135895</v>
      </c>
      <c r="I35" s="1">
        <v>0.21077153406236684</v>
      </c>
      <c r="J35" s="1">
        <v>0.25011267515761465</v>
      </c>
      <c r="K35" s="1">
        <v>0.37489429796222157</v>
      </c>
      <c r="L35" s="1">
        <v>0.15084653265175726</v>
      </c>
      <c r="M35" s="1">
        <v>7.3843035606309185E-2</v>
      </c>
      <c r="N35" s="1">
        <v>0.2082843192653544</v>
      </c>
      <c r="O35" s="1">
        <v>0.19790497168171065</v>
      </c>
      <c r="P35" s="1">
        <v>-5.9845788409202627E-2</v>
      </c>
      <c r="Q35" s="1">
        <v>0.31434131707589513</v>
      </c>
      <c r="R35" s="1">
        <v>-4.1612598368766605E-3</v>
      </c>
      <c r="S35" s="1">
        <v>8.3664316273878089E-2</v>
      </c>
      <c r="T35" s="1">
        <v>0.27302814118036833</v>
      </c>
      <c r="U35" s="1">
        <v>0.15897556942302327</v>
      </c>
      <c r="V35" s="1">
        <v>0.11194608806677196</v>
      </c>
      <c r="W35" s="1">
        <v>0.10371346950535003</v>
      </c>
      <c r="X35" s="1">
        <v>0.2308750859010904</v>
      </c>
      <c r="Y35" s="1">
        <v>0.23064196512231872</v>
      </c>
      <c r="Z35" s="1">
        <v>0.25611441382036088</v>
      </c>
      <c r="AA35" s="1">
        <v>0.17074316927613983</v>
      </c>
      <c r="AB35" s="1">
        <v>0.12561678843129936</v>
      </c>
      <c r="AC35" s="1">
        <v>0.15449852140210452</v>
      </c>
      <c r="AD35" s="1">
        <v>0.22875543492248177</v>
      </c>
      <c r="AE35" s="1">
        <v>0.13538249639954772</v>
      </c>
      <c r="AF35" s="1">
        <v>0.33258825294908284</v>
      </c>
      <c r="AG35" s="1">
        <v>0.29769109987372522</v>
      </c>
      <c r="AH35" s="4">
        <v>1</v>
      </c>
      <c r="AI35" s="1">
        <v>0.30525160332514528</v>
      </c>
      <c r="AJ35" s="1">
        <v>0.20086240542025813</v>
      </c>
      <c r="AK35" s="1">
        <v>0.12193655846214009</v>
      </c>
      <c r="AL35" s="1">
        <v>0.30455252967536089</v>
      </c>
      <c r="AM35" s="1">
        <v>0.19420069760143524</v>
      </c>
      <c r="AN35" s="1">
        <v>0.23515813880462402</v>
      </c>
      <c r="AO35" s="1">
        <v>0.34708250789985984</v>
      </c>
    </row>
    <row r="36" spans="1:41" ht="15">
      <c r="A36" s="17" t="s">
        <v>114</v>
      </c>
      <c r="B36" s="1">
        <v>0.39380934468704831</v>
      </c>
      <c r="C36" s="1">
        <v>0.22960765357632748</v>
      </c>
      <c r="D36" s="1">
        <v>-8.6889537838647848E-2</v>
      </c>
      <c r="E36" s="1">
        <v>0.25545472549869469</v>
      </c>
      <c r="F36" s="1">
        <v>0.30886596430027285</v>
      </c>
      <c r="G36" s="1">
        <v>0.36549447419193859</v>
      </c>
      <c r="H36" s="1">
        <v>8.4700349979505068E-2</v>
      </c>
      <c r="I36" s="1">
        <v>0.30015114353708489</v>
      </c>
      <c r="J36" s="1">
        <v>0.43492911030046016</v>
      </c>
      <c r="K36" s="1">
        <v>0.30907707571022808</v>
      </c>
      <c r="L36" s="1">
        <v>7.9343876414096862E-2</v>
      </c>
      <c r="M36" s="1">
        <v>4.0302426848627976E-2</v>
      </c>
      <c r="N36" s="1">
        <v>0.4001709935435761</v>
      </c>
      <c r="O36" s="1">
        <v>0.46505397069438037</v>
      </c>
      <c r="P36" s="1">
        <v>0.19165880719320505</v>
      </c>
      <c r="Q36" s="1">
        <v>0.11859367598015123</v>
      </c>
      <c r="R36" s="1">
        <v>0.46164631921118071</v>
      </c>
      <c r="S36" s="1">
        <v>0.11722115464695747</v>
      </c>
      <c r="T36" s="1">
        <v>0.33315012024425472</v>
      </c>
      <c r="U36" s="1">
        <v>0.34965363057126164</v>
      </c>
      <c r="V36" s="1">
        <v>0.36850097849887192</v>
      </c>
      <c r="W36" s="1">
        <v>0.32755173581877628</v>
      </c>
      <c r="X36" s="1">
        <v>0.37904630806700013</v>
      </c>
      <c r="Y36" s="1">
        <v>0.22907940603100344</v>
      </c>
      <c r="Z36" s="1">
        <v>0.37497144705416829</v>
      </c>
      <c r="AA36" s="1">
        <v>0.40520934317421275</v>
      </c>
      <c r="AB36" s="1">
        <v>0.26338718765376629</v>
      </c>
      <c r="AC36" s="1">
        <v>0.43561906699943548</v>
      </c>
      <c r="AD36" s="1">
        <v>0.32781947158454677</v>
      </c>
      <c r="AE36" s="1">
        <v>0.49304195750119761</v>
      </c>
      <c r="AF36" s="1">
        <v>0.28685320955967059</v>
      </c>
      <c r="AG36" s="1">
        <v>0.28343530263529493</v>
      </c>
      <c r="AH36" s="1">
        <v>0.30525160332514528</v>
      </c>
      <c r="AI36" s="4">
        <v>1.0000000000000002</v>
      </c>
      <c r="AJ36" s="1">
        <v>0.35524966103386069</v>
      </c>
      <c r="AK36" s="1">
        <v>0.44367528222608044</v>
      </c>
      <c r="AL36" s="1">
        <v>0.29955146790615012</v>
      </c>
      <c r="AM36" s="1">
        <v>0.2620664963266196</v>
      </c>
      <c r="AN36" s="1">
        <v>0.29276528143564473</v>
      </c>
      <c r="AO36" s="1">
        <v>0.42114027754693739</v>
      </c>
    </row>
    <row r="37" spans="1:41" ht="15">
      <c r="A37" s="17" t="s">
        <v>120</v>
      </c>
      <c r="B37" s="1">
        <v>8.6259784033078199E-2</v>
      </c>
      <c r="C37" s="1">
        <v>6.0949409103049294E-2</v>
      </c>
      <c r="D37" s="1">
        <v>4.5729699281503835E-3</v>
      </c>
      <c r="E37" s="1">
        <v>0.3055316298476714</v>
      </c>
      <c r="F37" s="1">
        <v>0.29019359816959978</v>
      </c>
      <c r="G37" s="1">
        <v>0.14074428132471375</v>
      </c>
      <c r="H37" s="1">
        <v>0.27183293184202301</v>
      </c>
      <c r="I37" s="1">
        <v>0.135373239896701</v>
      </c>
      <c r="J37" s="1">
        <v>0.3246058458999353</v>
      </c>
      <c r="K37" s="1">
        <v>0.40416852669912379</v>
      </c>
      <c r="L37" s="1">
        <v>-6.0275103338614099E-2</v>
      </c>
      <c r="M37" s="1">
        <v>-1.943026928829306E-2</v>
      </c>
      <c r="N37" s="1">
        <v>0.23999858563464821</v>
      </c>
      <c r="O37" s="1">
        <v>0.31906472646510681</v>
      </c>
      <c r="P37" s="1">
        <v>0.23916521235912663</v>
      </c>
      <c r="Q37" s="1">
        <v>4.3363114507616395E-2</v>
      </c>
      <c r="R37" s="1">
        <v>0.12315375748815838</v>
      </c>
      <c r="S37" s="1">
        <v>0.21536762230174389</v>
      </c>
      <c r="T37" s="1">
        <v>0.39354291777835643</v>
      </c>
      <c r="U37" s="1">
        <v>0.30715683841778085</v>
      </c>
      <c r="V37" s="1">
        <v>0.18960367576311846</v>
      </c>
      <c r="W37" s="1">
        <v>0.11106620053073137</v>
      </c>
      <c r="X37" s="1">
        <v>0.34676024754250556</v>
      </c>
      <c r="Y37" s="1">
        <v>0.18771202045197882</v>
      </c>
      <c r="Z37" s="1">
        <v>6.1432453470598787E-2</v>
      </c>
      <c r="AA37" s="1">
        <v>0.24624265686297325</v>
      </c>
      <c r="AB37" s="1">
        <v>-6.4865842340508517E-2</v>
      </c>
      <c r="AC37" s="1">
        <v>0.25616644224012941</v>
      </c>
      <c r="AD37" s="1">
        <v>0.2157936692386796</v>
      </c>
      <c r="AE37" s="1">
        <v>7.8353293898143106E-2</v>
      </c>
      <c r="AF37" s="1">
        <v>2.3021419193809869E-2</v>
      </c>
      <c r="AG37" s="1">
        <v>0.38634967146569105</v>
      </c>
      <c r="AH37" s="1">
        <v>0.20086240542025813</v>
      </c>
      <c r="AI37" s="1">
        <v>0.35524966103386069</v>
      </c>
      <c r="AJ37" s="4">
        <v>1.0000000000000002</v>
      </c>
      <c r="AK37" s="1">
        <v>0.44710299597467673</v>
      </c>
      <c r="AL37" s="1">
        <v>0.49252518944656409</v>
      </c>
      <c r="AM37" s="1">
        <v>8.3012112572278224E-2</v>
      </c>
      <c r="AN37" s="1">
        <v>0.21824046308799816</v>
      </c>
      <c r="AO37" s="1">
        <v>0.41500406147849594</v>
      </c>
    </row>
    <row r="38" spans="1:41" ht="15">
      <c r="A38" s="17" t="s">
        <v>123</v>
      </c>
      <c r="B38" s="1">
        <v>0.30639057842017281</v>
      </c>
      <c r="C38" s="1">
        <v>0.17296101455569418</v>
      </c>
      <c r="D38" s="1">
        <v>7.4187488433543974E-2</v>
      </c>
      <c r="E38" s="1">
        <v>0.17865731451498482</v>
      </c>
      <c r="F38" s="1">
        <v>0.24918668008098077</v>
      </c>
      <c r="G38" s="1">
        <v>0.12632349681121821</v>
      </c>
      <c r="H38" s="1">
        <v>0.10463578325680001</v>
      </c>
      <c r="I38" s="1">
        <v>0.11363768061187096</v>
      </c>
      <c r="J38" s="1">
        <v>0.39331749776735686</v>
      </c>
      <c r="K38" s="1">
        <v>0.40930446748136146</v>
      </c>
      <c r="L38" s="1">
        <v>-3.9735580099226654E-2</v>
      </c>
      <c r="M38" s="1">
        <v>2.3211785765350643E-2</v>
      </c>
      <c r="N38" s="1">
        <v>0.20257853049442084</v>
      </c>
      <c r="O38" s="1">
        <v>0.36600946719852634</v>
      </c>
      <c r="P38" s="1">
        <v>0.37778999235382321</v>
      </c>
      <c r="Q38" s="1">
        <v>0.15338110741619071</v>
      </c>
      <c r="R38" s="1">
        <v>0.12843158889322651</v>
      </c>
      <c r="S38" s="1">
        <v>0.16623632110419326</v>
      </c>
      <c r="T38" s="1">
        <v>0.1525914596520673</v>
      </c>
      <c r="U38" s="1">
        <v>0.33030262042321384</v>
      </c>
      <c r="V38" s="1">
        <v>0.21827146942419501</v>
      </c>
      <c r="W38" s="1">
        <v>0.16171794474745166</v>
      </c>
      <c r="X38" s="1">
        <v>0.33964261635301124</v>
      </c>
      <c r="Y38" s="1">
        <v>0.10516774517371809</v>
      </c>
      <c r="Z38" s="1">
        <v>0.16682364179874967</v>
      </c>
      <c r="AA38" s="1">
        <v>0.28920732289665729</v>
      </c>
      <c r="AB38" s="1">
        <v>0.20505554429836845</v>
      </c>
      <c r="AC38" s="1">
        <v>0.2596408283050804</v>
      </c>
      <c r="AD38" s="1">
        <v>0.40330988987756367</v>
      </c>
      <c r="AE38" s="1">
        <v>0.30313764553259948</v>
      </c>
      <c r="AF38" s="1">
        <v>0.11524319056020953</v>
      </c>
      <c r="AG38" s="1">
        <v>0.4306088197749483</v>
      </c>
      <c r="AH38" s="1">
        <v>0.12193655846214009</v>
      </c>
      <c r="AI38" s="1">
        <v>0.44367528222608044</v>
      </c>
      <c r="AJ38" s="1">
        <v>0.44710299597467673</v>
      </c>
      <c r="AK38" s="4">
        <v>0.99999999999999989</v>
      </c>
      <c r="AL38" s="1">
        <v>0.32016867416821893</v>
      </c>
      <c r="AM38" s="1">
        <v>0.17823721194479181</v>
      </c>
      <c r="AN38" s="1">
        <v>0.18719500202186765</v>
      </c>
      <c r="AO38" s="1">
        <v>0.39191749209495763</v>
      </c>
    </row>
    <row r="39" spans="1:41" ht="15">
      <c r="A39" s="17" t="s">
        <v>127</v>
      </c>
      <c r="B39" s="1">
        <v>0.42234586704141969</v>
      </c>
      <c r="C39" s="1">
        <v>0.31659985501278104</v>
      </c>
      <c r="D39" s="1">
        <v>0.18401109244506192</v>
      </c>
      <c r="E39" s="1">
        <v>0.36438192412416837</v>
      </c>
      <c r="F39" s="1">
        <v>0.33923010103025558</v>
      </c>
      <c r="G39" s="1">
        <v>0.23372336507878921</v>
      </c>
      <c r="H39" s="1">
        <v>0.30277717018283529</v>
      </c>
      <c r="I39" s="1">
        <v>0.2237742177423874</v>
      </c>
      <c r="J39" s="1">
        <v>0.39127428889882526</v>
      </c>
      <c r="K39" s="1">
        <v>0.39271744887419857</v>
      </c>
      <c r="L39" s="1">
        <v>-6.3685453566225458E-2</v>
      </c>
      <c r="M39" s="1">
        <v>8.2355089399466619E-2</v>
      </c>
      <c r="N39" s="1">
        <v>0.35324492166390759</v>
      </c>
      <c r="O39" s="1">
        <v>0.26341448746820678</v>
      </c>
      <c r="P39" s="1">
        <v>0.17264296549123692</v>
      </c>
      <c r="Q39" s="1">
        <v>5.7027824494766798E-3</v>
      </c>
      <c r="R39" s="1">
        <v>0.14076569875014142</v>
      </c>
      <c r="S39" s="1">
        <v>0.41227947687982169</v>
      </c>
      <c r="T39" s="1">
        <v>0.42695927080708129</v>
      </c>
      <c r="U39" s="1">
        <v>0.27044192359718772</v>
      </c>
      <c r="V39" s="1">
        <v>0.38003052611171467</v>
      </c>
      <c r="W39" s="1">
        <v>0.16308937078039626</v>
      </c>
      <c r="X39" s="1">
        <v>0.31929474744167946</v>
      </c>
      <c r="Y39" s="1">
        <v>0.40945532100394055</v>
      </c>
      <c r="Z39" s="1">
        <v>0.42896340568194663</v>
      </c>
      <c r="AA39" s="1">
        <v>0.3308479419652946</v>
      </c>
      <c r="AB39" s="1">
        <v>4.9864662148159017E-2</v>
      </c>
      <c r="AC39" s="1">
        <v>0.35670060194674696</v>
      </c>
      <c r="AD39" s="1">
        <v>0.23850197007435747</v>
      </c>
      <c r="AE39" s="1">
        <v>0.25706603655087346</v>
      </c>
      <c r="AF39" s="1">
        <v>0.19360590868360891</v>
      </c>
      <c r="AG39" s="1">
        <v>0.40955482487285344</v>
      </c>
      <c r="AH39" s="1">
        <v>0.30455252967536089</v>
      </c>
      <c r="AI39" s="1">
        <v>0.29955146790615012</v>
      </c>
      <c r="AJ39" s="1">
        <v>0.49252518944656409</v>
      </c>
      <c r="AK39" s="1">
        <v>0.32016867416821893</v>
      </c>
      <c r="AL39" s="4">
        <v>0.99999999999999989</v>
      </c>
      <c r="AM39" s="1">
        <v>0.20506297597652576</v>
      </c>
      <c r="AN39" s="1">
        <v>0.2300498777127005</v>
      </c>
      <c r="AO39" s="1">
        <v>0.56179714048278651</v>
      </c>
    </row>
    <row r="40" spans="1:41" ht="15">
      <c r="A40" s="17" t="s">
        <v>139</v>
      </c>
      <c r="B40" s="1">
        <v>0.35234696539126209</v>
      </c>
      <c r="C40" s="1">
        <v>0.2225641537038423</v>
      </c>
      <c r="D40" s="1">
        <v>0.15865208414627405</v>
      </c>
      <c r="E40" s="1">
        <v>0.19239935711257683</v>
      </c>
      <c r="F40" s="1">
        <v>0.24482463884656838</v>
      </c>
      <c r="G40" s="1">
        <v>0.24613442509162045</v>
      </c>
      <c r="H40" s="1">
        <v>7.1722964827876615E-2</v>
      </c>
      <c r="I40" s="1">
        <v>9.7003092209851871E-2</v>
      </c>
      <c r="J40" s="1">
        <v>0.2363553692619571</v>
      </c>
      <c r="K40" s="1">
        <v>0.13530710169603627</v>
      </c>
      <c r="L40" s="1">
        <v>5.2296409439015624E-2</v>
      </c>
      <c r="M40" s="1">
        <v>6.5041632156667736E-2</v>
      </c>
      <c r="N40" s="1">
        <v>0.41098107866161704</v>
      </c>
      <c r="O40" s="1">
        <v>0.13944683872823996</v>
      </c>
      <c r="P40" s="1">
        <v>9.1485039354361225E-2</v>
      </c>
      <c r="Q40" s="1">
        <v>2.2762277298358474E-2</v>
      </c>
      <c r="R40" s="1">
        <v>0.26423215848517823</v>
      </c>
      <c r="S40" s="1">
        <v>0.18585506828648823</v>
      </c>
      <c r="T40" s="1">
        <v>0.33969153810627173</v>
      </c>
      <c r="U40" s="1">
        <v>0.14949117548459151</v>
      </c>
      <c r="V40" s="1">
        <v>0.13344930367827107</v>
      </c>
      <c r="W40" s="1">
        <v>0.33795183858778199</v>
      </c>
      <c r="X40" s="1">
        <v>0.27643846347411</v>
      </c>
      <c r="Y40" s="1">
        <v>0.32999600543981822</v>
      </c>
      <c r="Z40" s="1">
        <v>0.34805882455086629</v>
      </c>
      <c r="AA40" s="1">
        <v>0.19446129798870179</v>
      </c>
      <c r="AB40" s="1">
        <v>0.13587316632081733</v>
      </c>
      <c r="AC40" s="1">
        <v>0.34279105630104278</v>
      </c>
      <c r="AD40" s="1">
        <v>0.21078092751692951</v>
      </c>
      <c r="AE40" s="1">
        <v>0.30451097114381026</v>
      </c>
      <c r="AF40" s="1">
        <v>9.3222748435227626E-2</v>
      </c>
      <c r="AG40" s="1">
        <v>0.33309091495883991</v>
      </c>
      <c r="AH40" s="1">
        <v>0.19420069760143524</v>
      </c>
      <c r="AI40" s="1">
        <v>0.2620664963266196</v>
      </c>
      <c r="AJ40" s="1">
        <v>8.3012112572278224E-2</v>
      </c>
      <c r="AK40" s="1">
        <v>0.17823721194479181</v>
      </c>
      <c r="AL40" s="1">
        <v>0.20506297597652576</v>
      </c>
      <c r="AM40" s="4">
        <v>0.99999999999999989</v>
      </c>
      <c r="AN40" s="1">
        <v>0.16713633984352361</v>
      </c>
      <c r="AO40" s="1">
        <v>0.11502171496211674</v>
      </c>
    </row>
    <row r="41" spans="1:41" ht="15">
      <c r="A41" s="17" t="s">
        <v>140</v>
      </c>
      <c r="B41" s="1">
        <v>0.30087610898662059</v>
      </c>
      <c r="C41" s="1">
        <v>0.13890800614927332</v>
      </c>
      <c r="D41" s="1">
        <v>-8.0808488746089063E-2</v>
      </c>
      <c r="E41" s="1">
        <v>0.14586337473965347</v>
      </c>
      <c r="F41" s="1">
        <v>0.12990446479673956</v>
      </c>
      <c r="G41" s="1">
        <v>0.28937489160527768</v>
      </c>
      <c r="H41" s="1">
        <v>0.19885887554234682</v>
      </c>
      <c r="I41" s="1">
        <v>0.48522634525353348</v>
      </c>
      <c r="J41" s="1">
        <v>0.37549158355792189</v>
      </c>
      <c r="K41" s="1">
        <v>0.12549666531343456</v>
      </c>
      <c r="L41" s="1">
        <v>0.15057040819706902</v>
      </c>
      <c r="M41" s="1">
        <v>8.2411915881556122E-2</v>
      </c>
      <c r="N41" s="1">
        <v>0.42564285129674173</v>
      </c>
      <c r="O41" s="1">
        <v>0.47342392434607322</v>
      </c>
      <c r="P41" s="1">
        <v>0.30484330293459028</v>
      </c>
      <c r="Q41" s="1">
        <v>0.15711550484176992</v>
      </c>
      <c r="R41" s="1">
        <v>0.49296986500903572</v>
      </c>
      <c r="S41" s="1">
        <v>0.13443238465042445</v>
      </c>
      <c r="T41" s="1">
        <v>0.3924565253244785</v>
      </c>
      <c r="U41" s="1">
        <v>0.42821479389125688</v>
      </c>
      <c r="V41" s="1">
        <v>0.34046726644358</v>
      </c>
      <c r="W41" s="1">
        <v>0.4416773212228054</v>
      </c>
      <c r="X41" s="1">
        <v>0.44225512760464142</v>
      </c>
      <c r="Y41" s="1">
        <v>0.10060893538062646</v>
      </c>
      <c r="Z41" s="1">
        <v>0.19305235810583815</v>
      </c>
      <c r="AA41" s="1">
        <v>0.26544412335027645</v>
      </c>
      <c r="AB41" s="1">
        <v>0.2350907893018272</v>
      </c>
      <c r="AC41" s="1">
        <v>4.5370993483867014E-2</v>
      </c>
      <c r="AD41" s="1">
        <v>0.14244567194420929</v>
      </c>
      <c r="AE41" s="1">
        <v>0.35655214281318853</v>
      </c>
      <c r="AF41" s="1">
        <v>0.40857425207707176</v>
      </c>
      <c r="AG41" s="1">
        <v>0.27586186732727908</v>
      </c>
      <c r="AH41" s="1">
        <v>0.23515813880462402</v>
      </c>
      <c r="AI41" s="1">
        <v>0.29276528143564473</v>
      </c>
      <c r="AJ41" s="1">
        <v>0.21824046308799816</v>
      </c>
      <c r="AK41" s="1">
        <v>0.18719500202186765</v>
      </c>
      <c r="AL41" s="1">
        <v>0.2300498777127005</v>
      </c>
      <c r="AM41" s="1">
        <v>0.16713633984352361</v>
      </c>
      <c r="AN41" s="4">
        <v>1</v>
      </c>
      <c r="AO41" s="1">
        <v>0.13325283217248135</v>
      </c>
    </row>
    <row r="42" spans="1:41" ht="15">
      <c r="A42" s="17" t="s">
        <v>142</v>
      </c>
      <c r="B42" s="1">
        <v>0.26730823157637273</v>
      </c>
      <c r="C42" s="1">
        <v>2.3035106284563983E-2</v>
      </c>
      <c r="D42" s="1">
        <v>7.1850120270848094E-3</v>
      </c>
      <c r="E42" s="1">
        <v>9.0331679557561328E-2</v>
      </c>
      <c r="F42" s="1">
        <v>2.9199716543254751E-2</v>
      </c>
      <c r="G42" s="1">
        <v>0.23014000479930244</v>
      </c>
      <c r="H42" s="1">
        <v>0.18664784885050587</v>
      </c>
      <c r="I42" s="1">
        <v>0.14420210714204362</v>
      </c>
      <c r="J42" s="1">
        <v>0.14047648253613146</v>
      </c>
      <c r="K42" s="1">
        <v>0.28172733730722654</v>
      </c>
      <c r="L42" s="1">
        <v>-0.22466113508112379</v>
      </c>
      <c r="M42" s="1">
        <v>5.7593933653428573E-3</v>
      </c>
      <c r="N42" s="1">
        <v>0.17831949532459432</v>
      </c>
      <c r="O42" s="1">
        <v>0.12004041225634392</v>
      </c>
      <c r="P42" s="1">
        <v>0.19766961472464117</v>
      </c>
      <c r="Q42" s="1">
        <v>1.5527386948900285E-2</v>
      </c>
      <c r="R42" s="1">
        <v>8.6962649648567966E-2</v>
      </c>
      <c r="S42" s="1">
        <v>0.2000965597325583</v>
      </c>
      <c r="T42" s="1">
        <v>0.41786660347674137</v>
      </c>
      <c r="U42" s="1">
        <v>4.0241923194658101E-2</v>
      </c>
      <c r="V42" s="1">
        <v>0.31269780833637589</v>
      </c>
      <c r="W42" s="1">
        <v>0.23543958959597652</v>
      </c>
      <c r="X42" s="1">
        <v>0.26001249409584476</v>
      </c>
      <c r="Y42" s="1">
        <v>0.29400376958809588</v>
      </c>
      <c r="Z42" s="1">
        <v>0.35382205654231907</v>
      </c>
      <c r="AA42" s="1">
        <v>0.24574382261684063</v>
      </c>
      <c r="AB42" s="1">
        <v>-1.6558148447331056E-2</v>
      </c>
      <c r="AC42" s="1">
        <v>0.52761951692468001</v>
      </c>
      <c r="AD42" s="1">
        <v>0.20300103894683982</v>
      </c>
      <c r="AE42" s="1">
        <v>0.26188220090380687</v>
      </c>
      <c r="AF42" s="1">
        <v>0.20408742718102471</v>
      </c>
      <c r="AG42" s="1">
        <v>0.31695785745846261</v>
      </c>
      <c r="AH42" s="1">
        <v>0.34708250789985984</v>
      </c>
      <c r="AI42" s="1">
        <v>0.42114027754693739</v>
      </c>
      <c r="AJ42" s="1">
        <v>0.41500406147849594</v>
      </c>
      <c r="AK42" s="1">
        <v>0.39191749209495763</v>
      </c>
      <c r="AL42" s="1">
        <v>0.56179714048278651</v>
      </c>
      <c r="AM42" s="1">
        <v>0.11502171496211674</v>
      </c>
      <c r="AN42" s="1">
        <v>0.13325283217248135</v>
      </c>
      <c r="AO42" s="4">
        <v>1</v>
      </c>
    </row>
    <row r="44" spans="1:41">
      <c r="B44" s="1"/>
    </row>
    <row r="48" spans="1:41" s="2" customFormat="1" ht="34.5">
      <c r="A48" s="16" t="s">
        <v>2</v>
      </c>
    </row>
    <row r="49" spans="1:48" s="18" customFormat="1" ht="15">
      <c r="B49" s="17" t="s">
        <v>15</v>
      </c>
      <c r="C49" s="17" t="s">
        <v>19</v>
      </c>
      <c r="D49" s="17" t="s">
        <v>17</v>
      </c>
      <c r="E49" s="17" t="s">
        <v>18</v>
      </c>
      <c r="F49" s="17" t="s">
        <v>20</v>
      </c>
      <c r="G49" s="17" t="s">
        <v>22</v>
      </c>
      <c r="H49" s="17" t="s">
        <v>23</v>
      </c>
      <c r="I49" s="17" t="s">
        <v>24</v>
      </c>
      <c r="J49" s="17" t="s">
        <v>29</v>
      </c>
      <c r="K49" s="17" t="s">
        <v>30</v>
      </c>
      <c r="L49" s="17" t="s">
        <v>32</v>
      </c>
      <c r="M49" s="17" t="s">
        <v>41</v>
      </c>
      <c r="N49" s="17" t="s">
        <v>43</v>
      </c>
      <c r="O49" s="17" t="s">
        <v>45</v>
      </c>
      <c r="P49" s="17" t="s">
        <v>47</v>
      </c>
      <c r="Q49" s="17" t="s">
        <v>50</v>
      </c>
      <c r="R49" s="17" t="s">
        <v>52</v>
      </c>
      <c r="S49" s="17" t="s">
        <v>53</v>
      </c>
      <c r="T49" s="17" t="s">
        <v>54</v>
      </c>
      <c r="U49" s="17" t="s">
        <v>57</v>
      </c>
      <c r="V49" s="17" t="s">
        <v>62</v>
      </c>
      <c r="W49" s="17" t="s">
        <v>66</v>
      </c>
      <c r="X49" s="17" t="s">
        <v>70</v>
      </c>
      <c r="Y49" s="17" t="s">
        <v>74</v>
      </c>
      <c r="Z49" s="17" t="s">
        <v>76</v>
      </c>
      <c r="AA49" s="17" t="s">
        <v>79</v>
      </c>
      <c r="AB49" s="17" t="s">
        <v>87</v>
      </c>
      <c r="AC49" s="17" t="s">
        <v>88</v>
      </c>
      <c r="AD49" s="17" t="s">
        <v>91</v>
      </c>
      <c r="AE49" s="17" t="s">
        <v>94</v>
      </c>
      <c r="AF49" s="17" t="s">
        <v>95</v>
      </c>
      <c r="AG49" s="17" t="s">
        <v>102</v>
      </c>
      <c r="AH49" s="17" t="s">
        <v>110</v>
      </c>
      <c r="AI49" s="17" t="s">
        <v>114</v>
      </c>
      <c r="AJ49" s="17" t="s">
        <v>120</v>
      </c>
      <c r="AK49" s="17" t="s">
        <v>123</v>
      </c>
      <c r="AL49" s="17" t="s">
        <v>127</v>
      </c>
      <c r="AM49" s="17" t="s">
        <v>139</v>
      </c>
      <c r="AN49" s="17" t="s">
        <v>140</v>
      </c>
      <c r="AO49" s="17" t="s">
        <v>142</v>
      </c>
      <c r="AP49" s="19"/>
    </row>
    <row r="50" spans="1:48" ht="15">
      <c r="A50" s="17" t="s">
        <v>15</v>
      </c>
      <c r="B50" s="13">
        <f t="array" ref="B50:AO89">CorrMatrixTriangular(Data!B132:AO189)</f>
        <v>1</v>
      </c>
      <c r="C50" s="13">
        <v>0.40649727803444541</v>
      </c>
      <c r="D50" s="13">
        <v>0.45958845085018696</v>
      </c>
      <c r="E50" s="13">
        <v>0.15687867601213745</v>
      </c>
      <c r="F50" s="13">
        <v>0.49664829022355828</v>
      </c>
      <c r="G50" s="13">
        <v>0.49551973485409467</v>
      </c>
      <c r="H50" s="13">
        <v>0.38277144686923853</v>
      </c>
      <c r="I50" s="13">
        <v>0.2352971494709036</v>
      </c>
      <c r="J50" s="13">
        <v>0.47902282053352702</v>
      </c>
      <c r="K50" s="13">
        <v>0.35558431872900453</v>
      </c>
      <c r="L50" s="13">
        <v>0.12644137331988053</v>
      </c>
      <c r="M50" s="13">
        <v>1.3979430195872947E-2</v>
      </c>
      <c r="N50" s="13">
        <v>0.53487528323611344</v>
      </c>
      <c r="O50" s="13">
        <v>0.5220291942479699</v>
      </c>
      <c r="P50" s="13">
        <v>0.32158178917226565</v>
      </c>
      <c r="Q50" s="13">
        <v>0.43673259766743</v>
      </c>
      <c r="R50" s="13">
        <v>0.24555706297341917</v>
      </c>
      <c r="S50" s="13">
        <v>0.37127378282362555</v>
      </c>
      <c r="T50" s="13">
        <v>0.39086058343981761</v>
      </c>
      <c r="U50" s="13">
        <v>0.3402509146784673</v>
      </c>
      <c r="V50" s="13">
        <v>0.28811751509910694</v>
      </c>
      <c r="W50" s="13">
        <v>0.20083013869233793</v>
      </c>
      <c r="X50" s="13">
        <v>0.2247335841305749</v>
      </c>
      <c r="Y50" s="13">
        <v>0.12589915896290499</v>
      </c>
      <c r="Z50" s="13">
        <v>0.51867208214279448</v>
      </c>
      <c r="AA50" s="13">
        <v>0.35524504493356457</v>
      </c>
      <c r="AB50" s="13">
        <v>0.15885325093672367</v>
      </c>
      <c r="AC50" s="13">
        <v>0.23179525552471417</v>
      </c>
      <c r="AD50" s="13">
        <v>0.42939248165240729</v>
      </c>
      <c r="AE50" s="13">
        <v>0.52803794525842207</v>
      </c>
      <c r="AF50" s="13">
        <v>0.40889917050237251</v>
      </c>
      <c r="AG50" s="13">
        <v>0.39546493209023481</v>
      </c>
      <c r="AH50" s="13">
        <v>0.35857178059897349</v>
      </c>
      <c r="AI50" s="13">
        <v>0.39380934468704831</v>
      </c>
      <c r="AJ50" s="13">
        <v>8.6259784033078199E-2</v>
      </c>
      <c r="AK50" s="13">
        <v>0.30639057842017281</v>
      </c>
      <c r="AL50" s="13">
        <v>0.42234586704141969</v>
      </c>
      <c r="AM50" s="13">
        <v>0.35234696539126209</v>
      </c>
      <c r="AN50" s="13">
        <v>0.30087610898662059</v>
      </c>
      <c r="AO50" s="13">
        <v>0.26730823157637273</v>
      </c>
      <c r="AP50" s="13"/>
      <c r="AQ50" s="13"/>
      <c r="AR50" s="13"/>
      <c r="AS50" s="13"/>
      <c r="AT50" s="13"/>
      <c r="AU50" s="13"/>
      <c r="AV50" s="13"/>
    </row>
    <row r="51" spans="1:48" ht="15">
      <c r="A51" s="17" t="s">
        <v>19</v>
      </c>
      <c r="B51" s="13" t="str">
        <v/>
      </c>
      <c r="C51" s="13">
        <v>0.99999999999999978</v>
      </c>
      <c r="D51" s="13">
        <v>0.34835150763652439</v>
      </c>
      <c r="E51" s="13">
        <v>8.965160509403497E-2</v>
      </c>
      <c r="F51" s="13">
        <v>0.58691981332537757</v>
      </c>
      <c r="G51" s="13">
        <v>0.41299015912288051</v>
      </c>
      <c r="H51" s="13">
        <v>0.31881704532489891</v>
      </c>
      <c r="I51" s="13">
        <v>0.15204505028794435</v>
      </c>
      <c r="J51" s="13">
        <v>0.31244203286244365</v>
      </c>
      <c r="K51" s="13">
        <v>0.46322620587886454</v>
      </c>
      <c r="L51" s="13">
        <v>0.13454811941092681</v>
      </c>
      <c r="M51" s="13">
        <v>0.17868026060316103</v>
      </c>
      <c r="N51" s="13">
        <v>0.19407917519129897</v>
      </c>
      <c r="O51" s="13">
        <v>0.18267949104078962</v>
      </c>
      <c r="P51" s="13">
        <v>0.1211370223699864</v>
      </c>
      <c r="Q51" s="13">
        <v>0.28157429019781999</v>
      </c>
      <c r="R51" s="13">
        <v>5.1301516189632752E-2</v>
      </c>
      <c r="S51" s="13">
        <v>6.9966226540834911E-2</v>
      </c>
      <c r="T51" s="13">
        <v>0.11022306405178098</v>
      </c>
      <c r="U51" s="13">
        <v>0.34783653453646463</v>
      </c>
      <c r="V51" s="13">
        <v>0.18031888235782328</v>
      </c>
      <c r="W51" s="13">
        <v>9.7470610456784873E-2</v>
      </c>
      <c r="X51" s="13">
        <v>-3.7619328766311587E-3</v>
      </c>
      <c r="Y51" s="13">
        <v>1.8587601772582726E-2</v>
      </c>
      <c r="Z51" s="13">
        <v>0.31053483304220486</v>
      </c>
      <c r="AA51" s="13">
        <v>0.23165047309389941</v>
      </c>
      <c r="AB51" s="13">
        <v>0.18293042607078014</v>
      </c>
      <c r="AC51" s="13">
        <v>-5.4121594545239342E-2</v>
      </c>
      <c r="AD51" s="13">
        <v>0.4852363041316981</v>
      </c>
      <c r="AE51" s="13">
        <v>0.25086186174502051</v>
      </c>
      <c r="AF51" s="13">
        <v>0.44629364937897509</v>
      </c>
      <c r="AG51" s="13">
        <v>4.8982261816817758E-2</v>
      </c>
      <c r="AH51" s="13">
        <v>0.16374529262197299</v>
      </c>
      <c r="AI51" s="13">
        <v>0.22960765357632748</v>
      </c>
      <c r="AJ51" s="13">
        <v>6.0949409103049294E-2</v>
      </c>
      <c r="AK51" s="13">
        <v>0.17296101455569418</v>
      </c>
      <c r="AL51" s="13">
        <v>0.31659985501278104</v>
      </c>
      <c r="AM51" s="13">
        <v>0.2225641537038423</v>
      </c>
      <c r="AN51" s="13">
        <v>0.13890800614927332</v>
      </c>
      <c r="AO51" s="13">
        <v>2.3035106284563983E-2</v>
      </c>
      <c r="AP51" s="13"/>
      <c r="AQ51" s="13"/>
      <c r="AR51" s="13"/>
      <c r="AS51" s="13"/>
      <c r="AT51" s="13"/>
      <c r="AU51" s="13"/>
      <c r="AV51" s="13"/>
    </row>
    <row r="52" spans="1:48" ht="15">
      <c r="A52" s="17" t="s">
        <v>17</v>
      </c>
      <c r="B52" s="13" t="str">
        <v/>
      </c>
      <c r="C52" s="13" t="str">
        <v/>
      </c>
      <c r="D52" s="13">
        <v>0.99999999999999978</v>
      </c>
      <c r="E52" s="13">
        <v>0.13293253969829477</v>
      </c>
      <c r="F52" s="13">
        <v>0.39817144978575053</v>
      </c>
      <c r="G52" s="13">
        <v>0.16607797138923461</v>
      </c>
      <c r="H52" s="13">
        <v>0.42514530350017243</v>
      </c>
      <c r="I52" s="13">
        <v>8.7056906977724044E-2</v>
      </c>
      <c r="J52" s="13">
        <v>0.13733509331619537</v>
      </c>
      <c r="K52" s="13">
        <v>0.3001993168596071</v>
      </c>
      <c r="L52" s="13">
        <v>0.14118371013164099</v>
      </c>
      <c r="M52" s="13">
        <v>0.14298661969438931</v>
      </c>
      <c r="N52" s="13">
        <v>0.2982970307679495</v>
      </c>
      <c r="O52" s="13">
        <v>7.0453064156324505E-2</v>
      </c>
      <c r="P52" s="13">
        <v>0.16919814310918876</v>
      </c>
      <c r="Q52" s="13">
        <v>0.25427811446589677</v>
      </c>
      <c r="R52" s="13">
        <v>5.31597265151E-3</v>
      </c>
      <c r="S52" s="13">
        <v>0.31852136622258204</v>
      </c>
      <c r="T52" s="13">
        <v>0.14432794794703951</v>
      </c>
      <c r="U52" s="13">
        <v>0.24671013309798354</v>
      </c>
      <c r="V52" s="13">
        <v>0.11281699902822548</v>
      </c>
      <c r="W52" s="13">
        <v>2.4228477533494996E-2</v>
      </c>
      <c r="X52" s="13">
        <v>-1.8879839443280276E-2</v>
      </c>
      <c r="Y52" s="13">
        <v>0.10844750618907995</v>
      </c>
      <c r="Z52" s="13">
        <v>-4.9162962799218404E-2</v>
      </c>
      <c r="AA52" s="13">
        <v>0.19643959833485897</v>
      </c>
      <c r="AB52" s="13">
        <v>-3.5336944812824581E-2</v>
      </c>
      <c r="AC52" s="13">
        <v>-0.139956608271426</v>
      </c>
      <c r="AD52" s="13">
        <v>5.907891496822857E-2</v>
      </c>
      <c r="AE52" s="13">
        <v>9.2048795767503189E-2</v>
      </c>
      <c r="AF52" s="13">
        <v>6.0206032401977798E-2</v>
      </c>
      <c r="AG52" s="13">
        <v>1.4648157245174976E-2</v>
      </c>
      <c r="AH52" s="13">
        <v>0.19489559712637977</v>
      </c>
      <c r="AI52" s="13">
        <v>-8.6889537838647848E-2</v>
      </c>
      <c r="AJ52" s="13">
        <v>4.5729699281503835E-3</v>
      </c>
      <c r="AK52" s="13">
        <v>7.4187488433543974E-2</v>
      </c>
      <c r="AL52" s="13">
        <v>0.18401109244506192</v>
      </c>
      <c r="AM52" s="13">
        <v>0.15865208414627405</v>
      </c>
      <c r="AN52" s="13">
        <v>-8.0808488746089063E-2</v>
      </c>
      <c r="AO52" s="13">
        <v>7.1850120270848094E-3</v>
      </c>
      <c r="AP52" s="13"/>
      <c r="AQ52" s="13"/>
      <c r="AR52" s="13"/>
      <c r="AS52" s="13"/>
      <c r="AT52" s="13"/>
      <c r="AU52" s="13"/>
      <c r="AV52" s="13"/>
    </row>
    <row r="53" spans="1:48" ht="15">
      <c r="A53" s="17" t="s">
        <v>18</v>
      </c>
      <c r="B53" s="13" t="str">
        <v/>
      </c>
      <c r="C53" s="13" t="str">
        <v/>
      </c>
      <c r="D53" s="13" t="str">
        <v/>
      </c>
      <c r="E53" s="13">
        <v>1.0000000000000002</v>
      </c>
      <c r="F53" s="13">
        <v>0.27488741130163691</v>
      </c>
      <c r="G53" s="13">
        <v>0.11463637995029191</v>
      </c>
      <c r="H53" s="13">
        <v>0.3743439350574278</v>
      </c>
      <c r="I53" s="13">
        <v>8.4835113691476075E-2</v>
      </c>
      <c r="J53" s="13">
        <v>0.34129922766210385</v>
      </c>
      <c r="K53" s="13">
        <v>0.4422706200326863</v>
      </c>
      <c r="L53" s="13">
        <v>0.12162822399338535</v>
      </c>
      <c r="M53" s="13">
        <v>0.34452218116859473</v>
      </c>
      <c r="N53" s="13">
        <v>0.3285675820643843</v>
      </c>
      <c r="O53" s="13">
        <v>0.27452786414913638</v>
      </c>
      <c r="P53" s="13">
        <v>0.20207898980097205</v>
      </c>
      <c r="Q53" s="13">
        <v>-8.5441120330858406E-2</v>
      </c>
      <c r="R53" s="13">
        <v>0.26342601675702382</v>
      </c>
      <c r="S53" s="13">
        <v>0.17192388579005896</v>
      </c>
      <c r="T53" s="13">
        <v>0.25891426688325797</v>
      </c>
      <c r="U53" s="13">
        <v>0.336471320804347</v>
      </c>
      <c r="V53" s="13">
        <v>0.13972042276168181</v>
      </c>
      <c r="W53" s="13">
        <v>0.12336542219222398</v>
      </c>
      <c r="X53" s="13">
        <v>0.28155683670443821</v>
      </c>
      <c r="Y53" s="13">
        <v>0.27394020919137696</v>
      </c>
      <c r="Z53" s="13">
        <v>1.4170282996151065E-2</v>
      </c>
      <c r="AA53" s="13">
        <v>0.29517774299037142</v>
      </c>
      <c r="AB53" s="13">
        <v>0.30060939328314656</v>
      </c>
      <c r="AC53" s="13">
        <v>0.20752720185426635</v>
      </c>
      <c r="AD53" s="13">
        <v>-0.11983775561868505</v>
      </c>
      <c r="AE53" s="13">
        <v>2.6272892304634456E-2</v>
      </c>
      <c r="AF53" s="13">
        <v>8.2738321706970763E-3</v>
      </c>
      <c r="AG53" s="13">
        <v>5.7737132153811994E-2</v>
      </c>
      <c r="AH53" s="13">
        <v>0.15810426197076541</v>
      </c>
      <c r="AI53" s="13">
        <v>0.25545472549869469</v>
      </c>
      <c r="AJ53" s="13">
        <v>0.3055316298476714</v>
      </c>
      <c r="AK53" s="13">
        <v>0.17865731451498482</v>
      </c>
      <c r="AL53" s="13">
        <v>0.36438192412416837</v>
      </c>
      <c r="AM53" s="13">
        <v>0.19239935711257683</v>
      </c>
      <c r="AN53" s="13">
        <v>0.14586337473965347</v>
      </c>
      <c r="AO53" s="13">
        <v>9.0331679557561328E-2</v>
      </c>
      <c r="AP53" s="13"/>
      <c r="AQ53" s="13"/>
      <c r="AR53" s="13"/>
      <c r="AS53" s="13"/>
      <c r="AT53" s="13"/>
      <c r="AU53" s="13"/>
      <c r="AV53" s="13"/>
    </row>
    <row r="54" spans="1:48" ht="15">
      <c r="A54" s="17" t="s">
        <v>20</v>
      </c>
      <c r="B54" s="13" t="str">
        <v/>
      </c>
      <c r="C54" s="13" t="str">
        <v/>
      </c>
      <c r="D54" s="13" t="str">
        <v/>
      </c>
      <c r="E54" s="13" t="str">
        <v/>
      </c>
      <c r="F54" s="13">
        <v>1.0000000000000002</v>
      </c>
      <c r="G54" s="13">
        <v>0.45777856175672316</v>
      </c>
      <c r="H54" s="13">
        <v>0.37507799293371241</v>
      </c>
      <c r="I54" s="13">
        <v>0.13404766079634878</v>
      </c>
      <c r="J54" s="13">
        <v>0.46142781602952043</v>
      </c>
      <c r="K54" s="13">
        <v>0.48027192797132751</v>
      </c>
      <c r="L54" s="13">
        <v>0.19368258052697146</v>
      </c>
      <c r="M54" s="13">
        <v>0.22292685908632151</v>
      </c>
      <c r="N54" s="13">
        <v>0.33362329621681391</v>
      </c>
      <c r="O54" s="13">
        <v>0.32482337883386941</v>
      </c>
      <c r="P54" s="13">
        <v>0.15151572721245943</v>
      </c>
      <c r="Q54" s="13">
        <v>0.28621776443578389</v>
      </c>
      <c r="R54" s="13">
        <v>0.14551580536581826</v>
      </c>
      <c r="S54" s="13">
        <v>0.21013657767052799</v>
      </c>
      <c r="T54" s="13">
        <v>0.3213058488117978</v>
      </c>
      <c r="U54" s="13">
        <v>0.46570793343601685</v>
      </c>
      <c r="V54" s="13">
        <v>0.10516652757826919</v>
      </c>
      <c r="W54" s="13">
        <v>4.1794285199236315E-2</v>
      </c>
      <c r="X54" s="13">
        <v>8.5130381135544164E-2</v>
      </c>
      <c r="Y54" s="13">
        <v>5.3638860239855382E-2</v>
      </c>
      <c r="Z54" s="13">
        <v>0.16862223491911571</v>
      </c>
      <c r="AA54" s="13">
        <v>0.31116268835237504</v>
      </c>
      <c r="AB54" s="13">
        <v>0.19983275116025778</v>
      </c>
      <c r="AC54" s="13">
        <v>-9.8993578691822834E-2</v>
      </c>
      <c r="AD54" s="13">
        <v>0.31713322262725574</v>
      </c>
      <c r="AE54" s="13">
        <v>0.15541418576814359</v>
      </c>
      <c r="AF54" s="13">
        <v>0.31022192452635644</v>
      </c>
      <c r="AG54" s="13">
        <v>0.19273113349429186</v>
      </c>
      <c r="AH54" s="13">
        <v>0.29924284057009565</v>
      </c>
      <c r="AI54" s="13">
        <v>0.30886596430027285</v>
      </c>
      <c r="AJ54" s="13">
        <v>0.29019359816959978</v>
      </c>
      <c r="AK54" s="13">
        <v>0.24918668008098077</v>
      </c>
      <c r="AL54" s="13">
        <v>0.33923010103025558</v>
      </c>
      <c r="AM54" s="13">
        <v>0.24482463884656838</v>
      </c>
      <c r="AN54" s="13">
        <v>0.12990446479673956</v>
      </c>
      <c r="AO54" s="13">
        <v>2.9199716543254751E-2</v>
      </c>
      <c r="AP54" s="13"/>
      <c r="AQ54" s="13"/>
      <c r="AR54" s="13"/>
      <c r="AS54" s="13"/>
      <c r="AT54" s="13"/>
      <c r="AU54" s="13"/>
      <c r="AV54" s="13"/>
    </row>
    <row r="55" spans="1:48" ht="15">
      <c r="A55" s="17" t="s">
        <v>22</v>
      </c>
      <c r="B55" s="13" t="str">
        <v/>
      </c>
      <c r="C55" s="13" t="str">
        <v/>
      </c>
      <c r="D55" s="13" t="str">
        <v/>
      </c>
      <c r="E55" s="13" t="str">
        <v/>
      </c>
      <c r="F55" s="13" t="str">
        <v/>
      </c>
      <c r="G55" s="13">
        <v>1</v>
      </c>
      <c r="H55" s="13">
        <v>0.47000696094581679</v>
      </c>
      <c r="I55" s="13">
        <v>0.45426131914117535</v>
      </c>
      <c r="J55" s="13">
        <v>0.37886177649438002</v>
      </c>
      <c r="K55" s="13">
        <v>0.30261273266388661</v>
      </c>
      <c r="L55" s="13">
        <v>0.22045034314249348</v>
      </c>
      <c r="M55" s="13">
        <v>0.23476670115512149</v>
      </c>
      <c r="N55" s="13">
        <v>0.51773774875241096</v>
      </c>
      <c r="O55" s="13">
        <v>0.3798724507559082</v>
      </c>
      <c r="P55" s="13">
        <v>8.9239404971734493E-2</v>
      </c>
      <c r="Q55" s="13">
        <v>0.29136295857520195</v>
      </c>
      <c r="R55" s="13">
        <v>0.34005402560607867</v>
      </c>
      <c r="S55" s="13">
        <v>6.8735688628505541E-3</v>
      </c>
      <c r="T55" s="13">
        <v>0.26847682899981784</v>
      </c>
      <c r="U55" s="13">
        <v>0.41584570107049634</v>
      </c>
      <c r="V55" s="13">
        <v>0.47070765434861767</v>
      </c>
      <c r="W55" s="13">
        <v>0.46436733060513091</v>
      </c>
      <c r="X55" s="13">
        <v>5.0546148943550098E-2</v>
      </c>
      <c r="Y55" s="13">
        <v>0.15331770245078138</v>
      </c>
      <c r="Z55" s="13">
        <v>0.3699824318315712</v>
      </c>
      <c r="AA55" s="13">
        <v>0.22181400015859026</v>
      </c>
      <c r="AB55" s="13">
        <v>0.26985344602303291</v>
      </c>
      <c r="AC55" s="13">
        <v>7.6733503771159159E-2</v>
      </c>
      <c r="AD55" s="13">
        <v>0.26926898395846988</v>
      </c>
      <c r="AE55" s="13">
        <v>0.30905614214608412</v>
      </c>
      <c r="AF55" s="13">
        <v>0.37865660803989337</v>
      </c>
      <c r="AG55" s="13">
        <v>0.24196588534320548</v>
      </c>
      <c r="AH55" s="13">
        <v>0.29984417553141501</v>
      </c>
      <c r="AI55" s="13">
        <v>0.36549447419193859</v>
      </c>
      <c r="AJ55" s="13">
        <v>0.14074428132471375</v>
      </c>
      <c r="AK55" s="13">
        <v>0.12632349681121821</v>
      </c>
      <c r="AL55" s="13">
        <v>0.23372336507878921</v>
      </c>
      <c r="AM55" s="13">
        <v>0.24613442509162045</v>
      </c>
      <c r="AN55" s="13">
        <v>0.28937489160527768</v>
      </c>
      <c r="AO55" s="13">
        <v>0.23014000479930244</v>
      </c>
      <c r="AP55" s="13"/>
      <c r="AQ55" s="13"/>
      <c r="AR55" s="13"/>
      <c r="AS55" s="13"/>
      <c r="AT55" s="13"/>
      <c r="AU55" s="13"/>
      <c r="AV55" s="13"/>
    </row>
    <row r="56" spans="1:48" ht="15">
      <c r="A56" s="17" t="s">
        <v>23</v>
      </c>
      <c r="B56" s="13" t="str">
        <v/>
      </c>
      <c r="C56" s="13" t="str">
        <v/>
      </c>
      <c r="D56" s="13" t="str">
        <v/>
      </c>
      <c r="E56" s="13" t="str">
        <v/>
      </c>
      <c r="F56" s="13" t="str">
        <v/>
      </c>
      <c r="G56" s="13" t="str">
        <v/>
      </c>
      <c r="H56" s="13">
        <v>1</v>
      </c>
      <c r="I56" s="13">
        <v>0.33783064627941134</v>
      </c>
      <c r="J56" s="13">
        <v>0.23189089707223351</v>
      </c>
      <c r="K56" s="13">
        <v>0.27443087870671667</v>
      </c>
      <c r="L56" s="13">
        <v>0.16460820497834022</v>
      </c>
      <c r="M56" s="13">
        <v>0.30259329735640866</v>
      </c>
      <c r="N56" s="13">
        <v>0.47647338322357358</v>
      </c>
      <c r="O56" s="13">
        <v>0.31346435722723559</v>
      </c>
      <c r="P56" s="13">
        <v>0.40245710991843059</v>
      </c>
      <c r="Q56" s="13">
        <v>0.19741395284730121</v>
      </c>
      <c r="R56" s="13">
        <v>0.22584115048818998</v>
      </c>
      <c r="S56" s="13">
        <v>0.18206019473699941</v>
      </c>
      <c r="T56" s="13">
        <v>0.3386855034742321</v>
      </c>
      <c r="U56" s="13">
        <v>0.30353480304186164</v>
      </c>
      <c r="V56" s="13">
        <v>0.27218742698357595</v>
      </c>
      <c r="W56" s="13">
        <v>0.31666709731104858</v>
      </c>
      <c r="X56" s="13">
        <v>0.18418170080256391</v>
      </c>
      <c r="Y56" s="13">
        <v>0.27097832505696828</v>
      </c>
      <c r="Z56" s="13">
        <v>8.8045627280971955E-3</v>
      </c>
      <c r="AA56" s="13">
        <v>0.31315728263657994</v>
      </c>
      <c r="AB56" s="13">
        <v>0.20281731469321104</v>
      </c>
      <c r="AC56" s="13">
        <v>2.1582592771793502E-2</v>
      </c>
      <c r="AD56" s="13">
        <v>2.0021376644597497E-2</v>
      </c>
      <c r="AE56" s="13">
        <v>0.15248323189992113</v>
      </c>
      <c r="AF56" s="13">
        <v>0.11559305234225369</v>
      </c>
      <c r="AG56" s="13">
        <v>0.1538430980228179</v>
      </c>
      <c r="AH56" s="13">
        <v>0.10726224593135895</v>
      </c>
      <c r="AI56" s="13">
        <v>8.4700349979505068E-2</v>
      </c>
      <c r="AJ56" s="13">
        <v>0.27183293184202301</v>
      </c>
      <c r="AK56" s="13">
        <v>0.10463578325680001</v>
      </c>
      <c r="AL56" s="13">
        <v>0.30277717018283529</v>
      </c>
      <c r="AM56" s="13">
        <v>7.1722964827876615E-2</v>
      </c>
      <c r="AN56" s="13">
        <v>0.19885887554234682</v>
      </c>
      <c r="AO56" s="13">
        <v>0.18664784885050587</v>
      </c>
      <c r="AP56" s="13"/>
      <c r="AQ56" s="13"/>
      <c r="AR56" s="13"/>
      <c r="AS56" s="13"/>
      <c r="AT56" s="13"/>
      <c r="AU56" s="13"/>
      <c r="AV56" s="13"/>
    </row>
    <row r="57" spans="1:48" ht="15">
      <c r="A57" s="17" t="s">
        <v>24</v>
      </c>
      <c r="B57" s="13" t="str">
        <v/>
      </c>
      <c r="C57" s="13" t="str">
        <v/>
      </c>
      <c r="D57" s="13" t="str">
        <v/>
      </c>
      <c r="E57" s="13" t="str">
        <v/>
      </c>
      <c r="F57" s="13" t="str">
        <v/>
      </c>
      <c r="G57" s="13" t="str">
        <v/>
      </c>
      <c r="H57" s="13" t="str">
        <v/>
      </c>
      <c r="I57" s="13">
        <v>0.99999999999999989</v>
      </c>
      <c r="J57" s="13">
        <v>0.28990916280166051</v>
      </c>
      <c r="K57" s="13">
        <v>6.2527135089563243E-2</v>
      </c>
      <c r="L57" s="13">
        <v>4.1422340178024541E-2</v>
      </c>
      <c r="M57" s="13">
        <v>0.36194920579369594</v>
      </c>
      <c r="N57" s="13">
        <v>0.43497089304597197</v>
      </c>
      <c r="O57" s="13">
        <v>0.3744377362595504</v>
      </c>
      <c r="P57" s="13">
        <v>0.26094960619194324</v>
      </c>
      <c r="Q57" s="13">
        <v>7.3334674285748164E-2</v>
      </c>
      <c r="R57" s="13">
        <v>0.35935367505791754</v>
      </c>
      <c r="S57" s="13">
        <v>-0.10340953678660621</v>
      </c>
      <c r="T57" s="13">
        <v>0.193713536309226</v>
      </c>
      <c r="U57" s="13">
        <v>0.55402677981584159</v>
      </c>
      <c r="V57" s="13">
        <v>0.38559591172679736</v>
      </c>
      <c r="W57" s="13">
        <v>0.40999927936897657</v>
      </c>
      <c r="X57" s="13">
        <v>0.32972104999010887</v>
      </c>
      <c r="Y57" s="13">
        <v>0.18912024804408889</v>
      </c>
      <c r="Z57" s="13">
        <v>0.1660981748436616</v>
      </c>
      <c r="AA57" s="13">
        <v>0.33934097022707865</v>
      </c>
      <c r="AB57" s="13">
        <v>0.25460202403848403</v>
      </c>
      <c r="AC57" s="13">
        <v>0.12581111429234398</v>
      </c>
      <c r="AD57" s="13">
        <v>9.8477403452260914E-2</v>
      </c>
      <c r="AE57" s="13">
        <v>0.30552915471974817</v>
      </c>
      <c r="AF57" s="13">
        <v>0.37017807229341815</v>
      </c>
      <c r="AG57" s="13">
        <v>0.30487699923056283</v>
      </c>
      <c r="AH57" s="13">
        <v>0.21077153406236684</v>
      </c>
      <c r="AI57" s="13">
        <v>0.30015114353708489</v>
      </c>
      <c r="AJ57" s="13">
        <v>0.135373239896701</v>
      </c>
      <c r="AK57" s="13">
        <v>0.11363768061187096</v>
      </c>
      <c r="AL57" s="13">
        <v>0.2237742177423874</v>
      </c>
      <c r="AM57" s="13">
        <v>9.7003092209851871E-2</v>
      </c>
      <c r="AN57" s="13">
        <v>0.48522634525353348</v>
      </c>
      <c r="AO57" s="13">
        <v>0.14420210714204362</v>
      </c>
      <c r="AP57" s="13"/>
      <c r="AQ57" s="13"/>
      <c r="AR57" s="13"/>
      <c r="AS57" s="13"/>
      <c r="AT57" s="13"/>
      <c r="AU57" s="13"/>
      <c r="AV57" s="13"/>
    </row>
    <row r="58" spans="1:48" ht="15">
      <c r="A58" s="17" t="s">
        <v>29</v>
      </c>
      <c r="B58" s="13" t="str">
        <v/>
      </c>
      <c r="C58" s="13" t="str">
        <v/>
      </c>
      <c r="D58" s="13" t="str">
        <v/>
      </c>
      <c r="E58" s="13" t="str">
        <v/>
      </c>
      <c r="F58" s="13" t="str">
        <v/>
      </c>
      <c r="G58" s="13" t="str">
        <v/>
      </c>
      <c r="H58" s="13" t="str">
        <v/>
      </c>
      <c r="I58" s="13" t="str">
        <v/>
      </c>
      <c r="J58" s="13">
        <v>1</v>
      </c>
      <c r="K58" s="13">
        <v>0.55694398212844143</v>
      </c>
      <c r="L58" s="13">
        <v>0.15742608313847278</v>
      </c>
      <c r="M58" s="13">
        <v>7.866001400127294E-2</v>
      </c>
      <c r="N58" s="13">
        <v>0.34094207255645942</v>
      </c>
      <c r="O58" s="13">
        <v>0.40201967424568946</v>
      </c>
      <c r="P58" s="13">
        <v>0.25125238362130003</v>
      </c>
      <c r="Q58" s="13">
        <v>0.13233727177550172</v>
      </c>
      <c r="R58" s="13">
        <v>0.18625933898022773</v>
      </c>
      <c r="S58" s="13">
        <v>0.1367656167396786</v>
      </c>
      <c r="T58" s="13">
        <v>0.27061891727292336</v>
      </c>
      <c r="U58" s="13">
        <v>0.39938881214791566</v>
      </c>
      <c r="V58" s="13">
        <v>0.24047301141252853</v>
      </c>
      <c r="W58" s="13">
        <v>0.1937110491358148</v>
      </c>
      <c r="X58" s="13">
        <v>0.26469516591974945</v>
      </c>
      <c r="Y58" s="13">
        <v>3.5812278640524831E-2</v>
      </c>
      <c r="Z58" s="13">
        <v>0.31230804756357827</v>
      </c>
      <c r="AA58" s="13">
        <v>0.25116136801808392</v>
      </c>
      <c r="AB58" s="13">
        <v>0.36119551012907669</v>
      </c>
      <c r="AC58" s="13">
        <v>0.17636328732750076</v>
      </c>
      <c r="AD58" s="13">
        <v>0.2019582164363341</v>
      </c>
      <c r="AE58" s="13">
        <v>0.26151374510973285</v>
      </c>
      <c r="AF58" s="13">
        <v>0.23346747733357626</v>
      </c>
      <c r="AG58" s="13">
        <v>0.51597735212551632</v>
      </c>
      <c r="AH58" s="13">
        <v>0.25011267515761465</v>
      </c>
      <c r="AI58" s="13">
        <v>0.43492911030046016</v>
      </c>
      <c r="AJ58" s="13">
        <v>0.3246058458999353</v>
      </c>
      <c r="AK58" s="13">
        <v>0.39331749776735686</v>
      </c>
      <c r="AL58" s="13">
        <v>0.39127428889882526</v>
      </c>
      <c r="AM58" s="13">
        <v>0.2363553692619571</v>
      </c>
      <c r="AN58" s="13">
        <v>0.37549158355792189</v>
      </c>
      <c r="AO58" s="13">
        <v>0.14047648253613146</v>
      </c>
      <c r="AP58" s="13"/>
      <c r="AQ58" s="13"/>
      <c r="AR58" s="13"/>
      <c r="AS58" s="13"/>
      <c r="AT58" s="13"/>
      <c r="AU58" s="13"/>
      <c r="AV58" s="13"/>
    </row>
    <row r="59" spans="1:48" ht="15">
      <c r="A59" s="17" t="s">
        <v>30</v>
      </c>
      <c r="B59" s="13" t="str">
        <v/>
      </c>
      <c r="C59" s="13" t="str">
        <v/>
      </c>
      <c r="D59" s="13" t="str">
        <v/>
      </c>
      <c r="E59" s="13" t="str">
        <v/>
      </c>
      <c r="F59" s="13" t="str">
        <v/>
      </c>
      <c r="G59" s="13" t="str">
        <v/>
      </c>
      <c r="H59" s="13" t="str">
        <v/>
      </c>
      <c r="I59" s="13" t="str">
        <v/>
      </c>
      <c r="J59" s="13" t="str">
        <v/>
      </c>
      <c r="K59" s="13">
        <v>1</v>
      </c>
      <c r="L59" s="13">
        <v>0.13664047224940867</v>
      </c>
      <c r="M59" s="13">
        <v>0.11084244715494995</v>
      </c>
      <c r="N59" s="13">
        <v>0.22700794917598646</v>
      </c>
      <c r="O59" s="13">
        <v>0.22391529691824916</v>
      </c>
      <c r="P59" s="13">
        <v>0.28371952129831679</v>
      </c>
      <c r="Q59" s="13">
        <v>0.33589057411020945</v>
      </c>
      <c r="R59" s="13">
        <v>8.2556487468054454E-2</v>
      </c>
      <c r="S59" s="13">
        <v>6.2051574415777279E-2</v>
      </c>
      <c r="T59" s="13">
        <v>0.14757796648400759</v>
      </c>
      <c r="U59" s="13">
        <v>0.42760033259971947</v>
      </c>
      <c r="V59" s="13">
        <v>9.6890395293406706E-2</v>
      </c>
      <c r="W59" s="13">
        <v>-2.9952358525164986E-2</v>
      </c>
      <c r="X59" s="13">
        <v>0.20581860945463309</v>
      </c>
      <c r="Y59" s="13">
        <v>-3.5403285726517228E-2</v>
      </c>
      <c r="Z59" s="13">
        <v>0.1759375867052255</v>
      </c>
      <c r="AA59" s="13">
        <v>0.28793865240626804</v>
      </c>
      <c r="AB59" s="13">
        <v>0.24533163953701895</v>
      </c>
      <c r="AC59" s="13">
        <v>0.10648181814934111</v>
      </c>
      <c r="AD59" s="13">
        <v>0.19830308763900473</v>
      </c>
      <c r="AE59" s="13">
        <v>8.485683218906756E-2</v>
      </c>
      <c r="AF59" s="13">
        <v>0.25565037458524531</v>
      </c>
      <c r="AG59" s="13">
        <v>0.33614413584132258</v>
      </c>
      <c r="AH59" s="13">
        <v>0.37489429796222157</v>
      </c>
      <c r="AI59" s="13">
        <v>0.30907707571022808</v>
      </c>
      <c r="AJ59" s="13">
        <v>0.40416852669912379</v>
      </c>
      <c r="AK59" s="13">
        <v>0.40930446748136146</v>
      </c>
      <c r="AL59" s="13">
        <v>0.39271744887419857</v>
      </c>
      <c r="AM59" s="13">
        <v>0.13530710169603627</v>
      </c>
      <c r="AN59" s="13">
        <v>0.12549666531343456</v>
      </c>
      <c r="AO59" s="13">
        <v>0.28172733730722654</v>
      </c>
      <c r="AP59" s="13"/>
      <c r="AQ59" s="13"/>
      <c r="AR59" s="13"/>
      <c r="AS59" s="13"/>
      <c r="AT59" s="13"/>
      <c r="AU59" s="13"/>
      <c r="AV59" s="13"/>
    </row>
    <row r="60" spans="1:48" ht="15">
      <c r="A60" s="17" t="s">
        <v>32</v>
      </c>
      <c r="B60" s="13" t="str">
        <v/>
      </c>
      <c r="C60" s="13" t="str">
        <v/>
      </c>
      <c r="D60" s="13" t="str">
        <v/>
      </c>
      <c r="E60" s="13" t="str">
        <v/>
      </c>
      <c r="F60" s="13" t="str">
        <v/>
      </c>
      <c r="G60" s="13" t="str">
        <v/>
      </c>
      <c r="H60" s="13" t="str">
        <v/>
      </c>
      <c r="I60" s="13" t="str">
        <v/>
      </c>
      <c r="J60" s="13" t="str">
        <v/>
      </c>
      <c r="K60" s="13" t="str">
        <v/>
      </c>
      <c r="L60" s="13">
        <v>1</v>
      </c>
      <c r="M60" s="13">
        <v>0.1388270600873463</v>
      </c>
      <c r="N60" s="13">
        <v>8.1379048481667451E-2</v>
      </c>
      <c r="O60" s="13">
        <v>7.868959414311924E-2</v>
      </c>
      <c r="P60" s="13">
        <v>0.22774327381561238</v>
      </c>
      <c r="Q60" s="13">
        <v>8.9569389980811723E-2</v>
      </c>
      <c r="R60" s="13">
        <v>0.36213673622456177</v>
      </c>
      <c r="S60" s="13">
        <v>-0.12769124348456903</v>
      </c>
      <c r="T60" s="13">
        <v>4.410669182937519E-2</v>
      </c>
      <c r="U60" s="13">
        <v>0.27719991900414337</v>
      </c>
      <c r="V60" s="13">
        <v>0.27194772266629463</v>
      </c>
      <c r="W60" s="13">
        <v>0.15582333860273112</v>
      </c>
      <c r="X60" s="13">
        <v>-5.061096584087886E-2</v>
      </c>
      <c r="Y60" s="13">
        <v>0.21106446452641903</v>
      </c>
      <c r="Z60" s="13">
        <v>-0.25117258679117582</v>
      </c>
      <c r="AA60" s="13">
        <v>0.11061882945974527</v>
      </c>
      <c r="AB60" s="13">
        <v>0.41995764893880783</v>
      </c>
      <c r="AC60" s="13">
        <v>-8.7716176571919519E-2</v>
      </c>
      <c r="AD60" s="13">
        <v>7.4972588551093053E-2</v>
      </c>
      <c r="AE60" s="13">
        <v>0.19363262570568221</v>
      </c>
      <c r="AF60" s="13">
        <v>3.7273477478990867E-2</v>
      </c>
      <c r="AG60" s="13">
        <v>6.9422028782136463E-2</v>
      </c>
      <c r="AH60" s="13">
        <v>0.15084653265175726</v>
      </c>
      <c r="AI60" s="13">
        <v>7.9343876414096862E-2</v>
      </c>
      <c r="AJ60" s="13">
        <v>-6.0275103338614099E-2</v>
      </c>
      <c r="AK60" s="13">
        <v>-3.9735580099226654E-2</v>
      </c>
      <c r="AL60" s="13">
        <v>-6.3685453566225458E-2</v>
      </c>
      <c r="AM60" s="13">
        <v>5.2296409439015624E-2</v>
      </c>
      <c r="AN60" s="13">
        <v>0.15057040819706902</v>
      </c>
      <c r="AO60" s="13">
        <v>-0.22466113508112379</v>
      </c>
      <c r="AP60" s="13"/>
      <c r="AQ60" s="13"/>
      <c r="AR60" s="13"/>
      <c r="AS60" s="13"/>
      <c r="AT60" s="13"/>
      <c r="AU60" s="13"/>
      <c r="AV60" s="13"/>
    </row>
    <row r="61" spans="1:48" ht="15">
      <c r="A61" s="17" t="s">
        <v>41</v>
      </c>
      <c r="B61" s="13" t="str">
        <v/>
      </c>
      <c r="C61" s="13" t="str">
        <v/>
      </c>
      <c r="D61" s="13" t="str">
        <v/>
      </c>
      <c r="E61" s="13" t="str">
        <v/>
      </c>
      <c r="F61" s="13" t="str">
        <v/>
      </c>
      <c r="G61" s="13" t="str">
        <v/>
      </c>
      <c r="H61" s="13" t="str">
        <v/>
      </c>
      <c r="I61" s="13" t="str">
        <v/>
      </c>
      <c r="J61" s="13" t="str">
        <v/>
      </c>
      <c r="K61" s="13" t="str">
        <v/>
      </c>
      <c r="L61" s="13" t="str">
        <v/>
      </c>
      <c r="M61" s="13">
        <v>1</v>
      </c>
      <c r="N61" s="13">
        <v>0.32146373832022229</v>
      </c>
      <c r="O61" s="13">
        <v>6.7493395228327799E-2</v>
      </c>
      <c r="P61" s="13">
        <v>0.14627095396536621</v>
      </c>
      <c r="Q61" s="13">
        <v>-0.16349620317279567</v>
      </c>
      <c r="R61" s="13">
        <v>0.19199592559296344</v>
      </c>
      <c r="S61" s="13">
        <v>-7.8778731165568147E-2</v>
      </c>
      <c r="T61" s="13">
        <v>0.12874515287367472</v>
      </c>
      <c r="U61" s="13">
        <v>0.242230341730378</v>
      </c>
      <c r="V61" s="13">
        <v>0.12375945527618586</v>
      </c>
      <c r="W61" s="13">
        <v>0.15564541179762795</v>
      </c>
      <c r="X61" s="13">
        <v>1.0648377552798651E-2</v>
      </c>
      <c r="Y61" s="13">
        <v>0.11674602010697741</v>
      </c>
      <c r="Z61" s="13">
        <v>-1.6906067688751983E-2</v>
      </c>
      <c r="AA61" s="13">
        <v>0.17383125242803935</v>
      </c>
      <c r="AB61" s="13">
        <v>4.3582305048930389E-2</v>
      </c>
      <c r="AC61" s="13">
        <v>-9.7154818578405036E-2</v>
      </c>
      <c r="AD61" s="13">
        <v>8.5434247782329845E-2</v>
      </c>
      <c r="AE61" s="13">
        <v>-2.2441857022617966E-2</v>
      </c>
      <c r="AF61" s="13">
        <v>0.16504706851508308</v>
      </c>
      <c r="AG61" s="13">
        <v>-6.1844523279803165E-2</v>
      </c>
      <c r="AH61" s="13">
        <v>7.3843035606309185E-2</v>
      </c>
      <c r="AI61" s="13">
        <v>4.0302426848627976E-2</v>
      </c>
      <c r="AJ61" s="13">
        <v>-1.943026928829306E-2</v>
      </c>
      <c r="AK61" s="13">
        <v>2.3211785765350643E-2</v>
      </c>
      <c r="AL61" s="13">
        <v>8.2355089399466619E-2</v>
      </c>
      <c r="AM61" s="13">
        <v>6.5041632156667736E-2</v>
      </c>
      <c r="AN61" s="13">
        <v>8.2411915881556122E-2</v>
      </c>
      <c r="AO61" s="13">
        <v>5.7593933653428573E-3</v>
      </c>
      <c r="AP61" s="13"/>
      <c r="AQ61" s="13"/>
      <c r="AR61" s="13"/>
      <c r="AS61" s="13"/>
      <c r="AT61" s="13"/>
      <c r="AU61" s="13"/>
      <c r="AV61" s="13"/>
    </row>
    <row r="62" spans="1:48" ht="15">
      <c r="A62" s="17" t="s">
        <v>43</v>
      </c>
      <c r="B62" s="13" t="str">
        <v/>
      </c>
      <c r="C62" s="13" t="str">
        <v/>
      </c>
      <c r="D62" s="13" t="str">
        <v/>
      </c>
      <c r="E62" s="13" t="str">
        <v/>
      </c>
      <c r="F62" s="13" t="str">
        <v/>
      </c>
      <c r="G62" s="13" t="str">
        <v/>
      </c>
      <c r="H62" s="13" t="str">
        <v/>
      </c>
      <c r="I62" s="13" t="str">
        <v/>
      </c>
      <c r="J62" s="13" t="str">
        <v/>
      </c>
      <c r="K62" s="13" t="str">
        <v/>
      </c>
      <c r="L62" s="13" t="str">
        <v/>
      </c>
      <c r="M62" s="13" t="str">
        <v/>
      </c>
      <c r="N62" s="13">
        <v>1.0000000000000002</v>
      </c>
      <c r="O62" s="13">
        <v>0.48946789436909582</v>
      </c>
      <c r="P62" s="13">
        <v>0.46587133445601736</v>
      </c>
      <c r="Q62" s="13">
        <v>0.23998467062240975</v>
      </c>
      <c r="R62" s="13">
        <v>0.57455224532685645</v>
      </c>
      <c r="S62" s="13">
        <v>0.39956308037084748</v>
      </c>
      <c r="T62" s="13">
        <v>0.48858608509812335</v>
      </c>
      <c r="U62" s="13">
        <v>0.43534436844635105</v>
      </c>
      <c r="V62" s="13">
        <v>0.30933206236257194</v>
      </c>
      <c r="W62" s="13">
        <v>0.58826378275993907</v>
      </c>
      <c r="X62" s="13">
        <v>0.44679666868526768</v>
      </c>
      <c r="Y62" s="13">
        <v>0.30670106344399178</v>
      </c>
      <c r="Z62" s="13">
        <v>0.38226848631106186</v>
      </c>
      <c r="AA62" s="13">
        <v>0.39511615801831529</v>
      </c>
      <c r="AB62" s="13">
        <v>0.15031735136567928</v>
      </c>
      <c r="AC62" s="13">
        <v>0.12682255296961278</v>
      </c>
      <c r="AD62" s="13">
        <v>0.18840023728261918</v>
      </c>
      <c r="AE62" s="13">
        <v>0.31533034626613998</v>
      </c>
      <c r="AF62" s="13">
        <v>0.23389378342610859</v>
      </c>
      <c r="AG62" s="13">
        <v>0.26931775659305995</v>
      </c>
      <c r="AH62" s="13">
        <v>0.2082843192653544</v>
      </c>
      <c r="AI62" s="13">
        <v>0.4001709935435761</v>
      </c>
      <c r="AJ62" s="13">
        <v>0.23999858563464821</v>
      </c>
      <c r="AK62" s="13">
        <v>0.20257853049442084</v>
      </c>
      <c r="AL62" s="13">
        <v>0.35324492166390759</v>
      </c>
      <c r="AM62" s="13">
        <v>0.41098107866161704</v>
      </c>
      <c r="AN62" s="13">
        <v>0.42564285129674173</v>
      </c>
      <c r="AO62" s="13">
        <v>0.17831949532459432</v>
      </c>
      <c r="AP62" s="13"/>
      <c r="AQ62" s="13"/>
      <c r="AR62" s="13"/>
      <c r="AS62" s="13"/>
      <c r="AT62" s="13"/>
      <c r="AU62" s="13"/>
      <c r="AV62" s="13"/>
    </row>
    <row r="63" spans="1:48" ht="15">
      <c r="A63" s="17" t="s">
        <v>45</v>
      </c>
      <c r="B63" s="13" t="str">
        <v/>
      </c>
      <c r="C63" s="13" t="str">
        <v/>
      </c>
      <c r="D63" s="13" t="str">
        <v/>
      </c>
      <c r="E63" s="13" t="str">
        <v/>
      </c>
      <c r="F63" s="13" t="str">
        <v/>
      </c>
      <c r="G63" s="13" t="str">
        <v/>
      </c>
      <c r="H63" s="13" t="str">
        <v/>
      </c>
      <c r="I63" s="13" t="str">
        <v/>
      </c>
      <c r="J63" s="13" t="str">
        <v/>
      </c>
      <c r="K63" s="13" t="str">
        <v/>
      </c>
      <c r="L63" s="13" t="str">
        <v/>
      </c>
      <c r="M63" s="13" t="str">
        <v/>
      </c>
      <c r="N63" s="13" t="str">
        <v/>
      </c>
      <c r="O63" s="13">
        <v>1.0000000000000002</v>
      </c>
      <c r="P63" s="13">
        <v>0.45452339377894124</v>
      </c>
      <c r="Q63" s="13">
        <v>0.22981412054414241</v>
      </c>
      <c r="R63" s="13">
        <v>0.3647427952266703</v>
      </c>
      <c r="S63" s="13">
        <v>0.22931061492447413</v>
      </c>
      <c r="T63" s="13">
        <v>0.47559991107891303</v>
      </c>
      <c r="U63" s="13">
        <v>0.34748684383558764</v>
      </c>
      <c r="V63" s="13">
        <v>0.32972903334946041</v>
      </c>
      <c r="W63" s="13">
        <v>0.37341736796842623</v>
      </c>
      <c r="X63" s="13">
        <v>0.43212692662604885</v>
      </c>
      <c r="Y63" s="13">
        <v>0.10817193528131858</v>
      </c>
      <c r="Z63" s="13">
        <v>0.33183917488520498</v>
      </c>
      <c r="AA63" s="13">
        <v>0.45574177970844043</v>
      </c>
      <c r="AB63" s="13">
        <v>0.23844641260547328</v>
      </c>
      <c r="AC63" s="13">
        <v>0.25734587606449333</v>
      </c>
      <c r="AD63" s="13">
        <v>0.23187300757553345</v>
      </c>
      <c r="AE63" s="13">
        <v>0.48402484323686445</v>
      </c>
      <c r="AF63" s="13">
        <v>0.18195284083466634</v>
      </c>
      <c r="AG63" s="13">
        <v>0.32709683476577989</v>
      </c>
      <c r="AH63" s="13">
        <v>0.19790497168171065</v>
      </c>
      <c r="AI63" s="13">
        <v>0.46505397069438037</v>
      </c>
      <c r="AJ63" s="13">
        <v>0.31906472646510681</v>
      </c>
      <c r="AK63" s="13">
        <v>0.36600946719852634</v>
      </c>
      <c r="AL63" s="13">
        <v>0.26341448746820678</v>
      </c>
      <c r="AM63" s="13">
        <v>0.13944683872823996</v>
      </c>
      <c r="AN63" s="13">
        <v>0.47342392434607322</v>
      </c>
      <c r="AO63" s="13">
        <v>0.12004041225634392</v>
      </c>
      <c r="AP63" s="13"/>
      <c r="AQ63" s="13"/>
      <c r="AR63" s="13"/>
      <c r="AS63" s="13"/>
      <c r="AT63" s="13"/>
      <c r="AU63" s="13"/>
      <c r="AV63" s="13"/>
    </row>
    <row r="64" spans="1:48" ht="15">
      <c r="A64" s="17" t="s">
        <v>47</v>
      </c>
      <c r="B64" s="13" t="str">
        <v/>
      </c>
      <c r="C64" s="13" t="str">
        <v/>
      </c>
      <c r="D64" s="13" t="str">
        <v/>
      </c>
      <c r="E64" s="13" t="str">
        <v/>
      </c>
      <c r="F64" s="13" t="str">
        <v/>
      </c>
      <c r="G64" s="13" t="str">
        <v/>
      </c>
      <c r="H64" s="13" t="str">
        <v/>
      </c>
      <c r="I64" s="13" t="str">
        <v/>
      </c>
      <c r="J64" s="13" t="str">
        <v/>
      </c>
      <c r="K64" s="13" t="str">
        <v/>
      </c>
      <c r="L64" s="13" t="str">
        <v/>
      </c>
      <c r="M64" s="13" t="str">
        <v/>
      </c>
      <c r="N64" s="13" t="str">
        <v/>
      </c>
      <c r="O64" s="13" t="str">
        <v/>
      </c>
      <c r="P64" s="13">
        <v>1</v>
      </c>
      <c r="Q64" s="13">
        <v>0.25462701121109904</v>
      </c>
      <c r="R64" s="13">
        <v>0.40940176616079371</v>
      </c>
      <c r="S64" s="13">
        <v>0.31339630602590729</v>
      </c>
      <c r="T64" s="13">
        <v>0.46172990099099304</v>
      </c>
      <c r="U64" s="13">
        <v>0.31238992638378965</v>
      </c>
      <c r="V64" s="13">
        <v>0.2256958395806612</v>
      </c>
      <c r="W64" s="13">
        <v>0.43716522345565673</v>
      </c>
      <c r="X64" s="13">
        <v>0.39300067479156409</v>
      </c>
      <c r="Y64" s="13">
        <v>0.22105349351809694</v>
      </c>
      <c r="Z64" s="13">
        <v>4.1759648149480993E-2</v>
      </c>
      <c r="AA64" s="13">
        <v>0.43879706861392298</v>
      </c>
      <c r="AB64" s="13">
        <v>0.19068859319136472</v>
      </c>
      <c r="AC64" s="13">
        <v>0.16136255304354946</v>
      </c>
      <c r="AD64" s="13">
        <v>6.2955556030370105E-2</v>
      </c>
      <c r="AE64" s="13">
        <v>0.28212846316973417</v>
      </c>
      <c r="AF64" s="13">
        <v>0.10140447612593576</v>
      </c>
      <c r="AG64" s="13">
        <v>0.18315087277378869</v>
      </c>
      <c r="AH64" s="13">
        <v>-5.9845788409202627E-2</v>
      </c>
      <c r="AI64" s="13">
        <v>0.19165880719320505</v>
      </c>
      <c r="AJ64" s="13">
        <v>0.23916521235912663</v>
      </c>
      <c r="AK64" s="13">
        <v>0.37778999235382321</v>
      </c>
      <c r="AL64" s="13">
        <v>0.17264296549123692</v>
      </c>
      <c r="AM64" s="13">
        <v>9.1485039354361225E-2</v>
      </c>
      <c r="AN64" s="13">
        <v>0.30484330293459028</v>
      </c>
      <c r="AO64" s="13">
        <v>0.19766961472464117</v>
      </c>
      <c r="AP64" s="13"/>
      <c r="AQ64" s="13"/>
      <c r="AR64" s="13"/>
      <c r="AS64" s="13"/>
      <c r="AT64" s="13"/>
      <c r="AU64" s="13"/>
      <c r="AV64" s="13"/>
    </row>
    <row r="65" spans="1:48" ht="15">
      <c r="A65" s="17" t="s">
        <v>50</v>
      </c>
      <c r="B65" s="13" t="str">
        <v/>
      </c>
      <c r="C65" s="13" t="str">
        <v/>
      </c>
      <c r="D65" s="13" t="str">
        <v/>
      </c>
      <c r="E65" s="13" t="str">
        <v/>
      </c>
      <c r="F65" s="13" t="str">
        <v/>
      </c>
      <c r="G65" s="13" t="str">
        <v/>
      </c>
      <c r="H65" s="13" t="str">
        <v/>
      </c>
      <c r="I65" s="13" t="str">
        <v/>
      </c>
      <c r="J65" s="13" t="str">
        <v/>
      </c>
      <c r="K65" s="13" t="str">
        <v/>
      </c>
      <c r="L65" s="13" t="str">
        <v/>
      </c>
      <c r="M65" s="13" t="str">
        <v/>
      </c>
      <c r="N65" s="13" t="str">
        <v/>
      </c>
      <c r="O65" s="13" t="str">
        <v/>
      </c>
      <c r="P65" s="13" t="str">
        <v/>
      </c>
      <c r="Q65" s="13">
        <v>1</v>
      </c>
      <c r="R65" s="13">
        <v>9.4373769932961718E-2</v>
      </c>
      <c r="S65" s="13">
        <v>0.20987022757246979</v>
      </c>
      <c r="T65" s="13">
        <v>0.15343295148866409</v>
      </c>
      <c r="U65" s="13">
        <v>0.1477275188397876</v>
      </c>
      <c r="V65" s="13">
        <v>1.1009769930176291E-2</v>
      </c>
      <c r="W65" s="13">
        <v>7.0115394053249638E-2</v>
      </c>
      <c r="X65" s="13">
        <v>-0.11074771777669914</v>
      </c>
      <c r="Y65" s="13">
        <v>-0.19381287202256037</v>
      </c>
      <c r="Z65" s="13">
        <v>7.199243039815062E-2</v>
      </c>
      <c r="AA65" s="13">
        <v>9.6344962388508482E-2</v>
      </c>
      <c r="AB65" s="13">
        <v>-0.10145308580051139</v>
      </c>
      <c r="AC65" s="13">
        <v>-0.12948263915598512</v>
      </c>
      <c r="AD65" s="13">
        <v>0.1996105046782016</v>
      </c>
      <c r="AE65" s="13">
        <v>9.7980998777970799E-2</v>
      </c>
      <c r="AF65" s="13">
        <v>0.18884184708467627</v>
      </c>
      <c r="AG65" s="13">
        <v>0.21197210850062176</v>
      </c>
      <c r="AH65" s="13">
        <v>0.31434131707589513</v>
      </c>
      <c r="AI65" s="13">
        <v>0.11859367598015123</v>
      </c>
      <c r="AJ65" s="13">
        <v>4.3363114507616395E-2</v>
      </c>
      <c r="AK65" s="13">
        <v>0.15338110741619071</v>
      </c>
      <c r="AL65" s="13">
        <v>5.7027824494766798E-3</v>
      </c>
      <c r="AM65" s="13">
        <v>2.2762277298358474E-2</v>
      </c>
      <c r="AN65" s="13">
        <v>0.15711550484176992</v>
      </c>
      <c r="AO65" s="13">
        <v>1.5527386948900285E-2</v>
      </c>
      <c r="AP65" s="13"/>
      <c r="AQ65" s="13"/>
      <c r="AR65" s="13"/>
      <c r="AS65" s="13"/>
      <c r="AT65" s="13"/>
      <c r="AU65" s="13"/>
      <c r="AV65" s="13"/>
    </row>
    <row r="66" spans="1:48" ht="15">
      <c r="A66" s="17" t="s">
        <v>52</v>
      </c>
      <c r="B66" s="13" t="str">
        <v/>
      </c>
      <c r="C66" s="13" t="str">
        <v/>
      </c>
      <c r="D66" s="13" t="str">
        <v/>
      </c>
      <c r="E66" s="13" t="str">
        <v/>
      </c>
      <c r="F66" s="13" t="str">
        <v/>
      </c>
      <c r="G66" s="13" t="str">
        <v/>
      </c>
      <c r="H66" s="13" t="str">
        <v/>
      </c>
      <c r="I66" s="13" t="str">
        <v/>
      </c>
      <c r="J66" s="13" t="str">
        <v/>
      </c>
      <c r="K66" s="13" t="str">
        <v/>
      </c>
      <c r="L66" s="13" t="str">
        <v/>
      </c>
      <c r="M66" s="13" t="str">
        <v/>
      </c>
      <c r="N66" s="13" t="str">
        <v/>
      </c>
      <c r="O66" s="13" t="str">
        <v/>
      </c>
      <c r="P66" s="13" t="str">
        <v/>
      </c>
      <c r="Q66" s="13" t="str">
        <v/>
      </c>
      <c r="R66" s="13">
        <v>1</v>
      </c>
      <c r="S66" s="13">
        <v>0.26528743404331168</v>
      </c>
      <c r="T66" s="13">
        <v>0.42010025110469695</v>
      </c>
      <c r="U66" s="13">
        <v>0.37689933395010949</v>
      </c>
      <c r="V66" s="13">
        <v>0.34567143223608304</v>
      </c>
      <c r="W66" s="13">
        <v>0.40528781594210345</v>
      </c>
      <c r="X66" s="13">
        <v>0.31112310353766004</v>
      </c>
      <c r="Y66" s="13">
        <v>0.1890869397811758</v>
      </c>
      <c r="Z66" s="13">
        <v>4.8699803181842964E-2</v>
      </c>
      <c r="AA66" s="13">
        <v>0.37593024026385724</v>
      </c>
      <c r="AB66" s="13">
        <v>0.3366450093545984</v>
      </c>
      <c r="AC66" s="13">
        <v>0.15357214627726731</v>
      </c>
      <c r="AD66" s="13">
        <v>-1.4843505952352587E-2</v>
      </c>
      <c r="AE66" s="13">
        <v>0.31641828293074431</v>
      </c>
      <c r="AF66" s="13">
        <v>0.13324307086906079</v>
      </c>
      <c r="AG66" s="13">
        <v>0.26744375710529861</v>
      </c>
      <c r="AH66" s="13">
        <v>-4.1612598368766605E-3</v>
      </c>
      <c r="AI66" s="13">
        <v>0.46164631921118071</v>
      </c>
      <c r="AJ66" s="13">
        <v>0.12315375748815838</v>
      </c>
      <c r="AK66" s="13">
        <v>0.12843158889322651</v>
      </c>
      <c r="AL66" s="13">
        <v>0.14076569875014142</v>
      </c>
      <c r="AM66" s="13">
        <v>0.26423215848517823</v>
      </c>
      <c r="AN66" s="13">
        <v>0.49296986500903572</v>
      </c>
      <c r="AO66" s="13">
        <v>8.6962649648567966E-2</v>
      </c>
      <c r="AP66" s="13"/>
      <c r="AQ66" s="13"/>
      <c r="AR66" s="13"/>
      <c r="AS66" s="13"/>
      <c r="AT66" s="13"/>
      <c r="AU66" s="13"/>
      <c r="AV66" s="13"/>
    </row>
    <row r="67" spans="1:48" ht="15">
      <c r="A67" s="17" t="s">
        <v>53</v>
      </c>
      <c r="B67" s="13" t="str">
        <v/>
      </c>
      <c r="C67" s="13" t="str">
        <v/>
      </c>
      <c r="D67" s="13" t="str">
        <v/>
      </c>
      <c r="E67" s="13" t="str">
        <v/>
      </c>
      <c r="F67" s="13" t="str">
        <v/>
      </c>
      <c r="G67" s="13" t="str">
        <v/>
      </c>
      <c r="H67" s="13" t="str">
        <v/>
      </c>
      <c r="I67" s="13" t="str">
        <v/>
      </c>
      <c r="J67" s="13" t="str">
        <v/>
      </c>
      <c r="K67" s="13" t="str">
        <v/>
      </c>
      <c r="L67" s="13" t="str">
        <v/>
      </c>
      <c r="M67" s="13" t="str">
        <v/>
      </c>
      <c r="N67" s="13" t="str">
        <v/>
      </c>
      <c r="O67" s="13" t="str">
        <v/>
      </c>
      <c r="P67" s="13" t="str">
        <v/>
      </c>
      <c r="Q67" s="13" t="str">
        <v/>
      </c>
      <c r="R67" s="13" t="str">
        <v/>
      </c>
      <c r="S67" s="13">
        <v>1</v>
      </c>
      <c r="T67" s="13">
        <v>0.44191873647911822</v>
      </c>
      <c r="U67" s="13">
        <v>-9.807693364378077E-2</v>
      </c>
      <c r="V67" s="13">
        <v>0.10337498022469878</v>
      </c>
      <c r="W67" s="13">
        <v>0.1821434469738355</v>
      </c>
      <c r="X67" s="13">
        <v>0.21120665624293758</v>
      </c>
      <c r="Y67" s="13">
        <v>0.14135025655041106</v>
      </c>
      <c r="Z67" s="13">
        <v>0.13907800516602467</v>
      </c>
      <c r="AA67" s="13">
        <v>0.26568444354598669</v>
      </c>
      <c r="AB67" s="13">
        <v>-0.12887109696494484</v>
      </c>
      <c r="AC67" s="13">
        <v>7.8869553988328442E-2</v>
      </c>
      <c r="AD67" s="13">
        <v>-6.3164135156677809E-3</v>
      </c>
      <c r="AE67" s="13">
        <v>0.144665496577916</v>
      </c>
      <c r="AF67" s="13">
        <v>-1.9611985713798769E-2</v>
      </c>
      <c r="AG67" s="13">
        <v>0.15466850402447233</v>
      </c>
      <c r="AH67" s="13">
        <v>8.3664316273878089E-2</v>
      </c>
      <c r="AI67" s="13">
        <v>0.11722115464695747</v>
      </c>
      <c r="AJ67" s="13">
        <v>0.21536762230174389</v>
      </c>
      <c r="AK67" s="13">
        <v>0.16623632110419326</v>
      </c>
      <c r="AL67" s="13">
        <v>0.41227947687982169</v>
      </c>
      <c r="AM67" s="13">
        <v>0.18585506828648823</v>
      </c>
      <c r="AN67" s="13">
        <v>0.13443238465042445</v>
      </c>
      <c r="AO67" s="13">
        <v>0.2000965597325583</v>
      </c>
      <c r="AP67" s="13"/>
      <c r="AQ67" s="13"/>
      <c r="AR67" s="13"/>
      <c r="AS67" s="13"/>
      <c r="AT67" s="13"/>
      <c r="AU67" s="13"/>
      <c r="AV67" s="13"/>
    </row>
    <row r="68" spans="1:48" ht="15">
      <c r="A68" s="17" t="s">
        <v>54</v>
      </c>
      <c r="B68" s="13" t="str">
        <v/>
      </c>
      <c r="C68" s="13" t="str">
        <v/>
      </c>
      <c r="D68" s="13" t="str">
        <v/>
      </c>
      <c r="E68" s="13" t="str">
        <v/>
      </c>
      <c r="F68" s="13" t="str">
        <v/>
      </c>
      <c r="G68" s="13" t="str">
        <v/>
      </c>
      <c r="H68" s="13" t="str">
        <v/>
      </c>
      <c r="I68" s="13" t="str">
        <v/>
      </c>
      <c r="J68" s="13" t="str">
        <v/>
      </c>
      <c r="K68" s="13" t="str">
        <v/>
      </c>
      <c r="L68" s="13" t="str">
        <v/>
      </c>
      <c r="M68" s="13" t="str">
        <v/>
      </c>
      <c r="N68" s="13" t="str">
        <v/>
      </c>
      <c r="O68" s="13" t="str">
        <v/>
      </c>
      <c r="P68" s="13" t="str">
        <v/>
      </c>
      <c r="Q68" s="13" t="str">
        <v/>
      </c>
      <c r="R68" s="13" t="str">
        <v/>
      </c>
      <c r="S68" s="13" t="str">
        <v/>
      </c>
      <c r="T68" s="13">
        <v>1</v>
      </c>
      <c r="U68" s="13">
        <v>0.24811265355975973</v>
      </c>
      <c r="V68" s="13">
        <v>0.34925193088970125</v>
      </c>
      <c r="W68" s="13">
        <v>0.41691951635155816</v>
      </c>
      <c r="X68" s="13">
        <v>0.36408038028469647</v>
      </c>
      <c r="Y68" s="13">
        <v>0.28464628996719926</v>
      </c>
      <c r="Z68" s="13">
        <v>0.32051276248409294</v>
      </c>
      <c r="AA68" s="13">
        <v>0.47636187978744343</v>
      </c>
      <c r="AB68" s="13">
        <v>4.7961409171482484E-2</v>
      </c>
      <c r="AC68" s="13">
        <v>0.30363033061253036</v>
      </c>
      <c r="AD68" s="13">
        <v>0.27601198131222671</v>
      </c>
      <c r="AE68" s="13">
        <v>0.26797868413524095</v>
      </c>
      <c r="AF68" s="13">
        <v>0.25885109360193231</v>
      </c>
      <c r="AG68" s="13">
        <v>0.37604656472801895</v>
      </c>
      <c r="AH68" s="13">
        <v>0.27302814118036833</v>
      </c>
      <c r="AI68" s="13">
        <v>0.33315012024425472</v>
      </c>
      <c r="AJ68" s="13">
        <v>0.39354291777835643</v>
      </c>
      <c r="AK68" s="13">
        <v>0.1525914596520673</v>
      </c>
      <c r="AL68" s="13">
        <v>0.42695927080708129</v>
      </c>
      <c r="AM68" s="13">
        <v>0.33969153810627173</v>
      </c>
      <c r="AN68" s="13">
        <v>0.3924565253244785</v>
      </c>
      <c r="AO68" s="13">
        <v>0.41786660347674137</v>
      </c>
      <c r="AP68" s="13"/>
      <c r="AQ68" s="13"/>
      <c r="AR68" s="13"/>
      <c r="AS68" s="13"/>
      <c r="AT68" s="13"/>
      <c r="AU68" s="13"/>
      <c r="AV68" s="13"/>
    </row>
    <row r="69" spans="1:48" ht="15">
      <c r="A69" s="17" t="s">
        <v>57</v>
      </c>
      <c r="B69" s="13" t="str">
        <v/>
      </c>
      <c r="C69" s="13" t="str">
        <v/>
      </c>
      <c r="D69" s="13" t="str">
        <v/>
      </c>
      <c r="E69" s="13" t="str">
        <v/>
      </c>
      <c r="F69" s="13" t="str">
        <v/>
      </c>
      <c r="G69" s="13" t="str">
        <v/>
      </c>
      <c r="H69" s="13" t="str">
        <v/>
      </c>
      <c r="I69" s="13" t="str">
        <v/>
      </c>
      <c r="J69" s="13" t="str">
        <v/>
      </c>
      <c r="K69" s="13" t="str">
        <v/>
      </c>
      <c r="L69" s="13" t="str">
        <v/>
      </c>
      <c r="M69" s="13" t="str">
        <v/>
      </c>
      <c r="N69" s="13" t="str">
        <v/>
      </c>
      <c r="O69" s="13" t="str">
        <v/>
      </c>
      <c r="P69" s="13" t="str">
        <v/>
      </c>
      <c r="Q69" s="13" t="str">
        <v/>
      </c>
      <c r="R69" s="13" t="str">
        <v/>
      </c>
      <c r="S69" s="13" t="str">
        <v/>
      </c>
      <c r="T69" s="13" t="str">
        <v/>
      </c>
      <c r="U69" s="13">
        <v>1.0000000000000002</v>
      </c>
      <c r="V69" s="13">
        <v>0.31621072819677792</v>
      </c>
      <c r="W69" s="13">
        <v>0.25840974431037811</v>
      </c>
      <c r="X69" s="13">
        <v>0.3053312368505427</v>
      </c>
      <c r="Y69" s="13">
        <v>0.11054867877671512</v>
      </c>
      <c r="Z69" s="13">
        <v>7.1388768611225145E-2</v>
      </c>
      <c r="AA69" s="13">
        <v>0.44166593158178014</v>
      </c>
      <c r="AB69" s="13">
        <v>0.33763999815707274</v>
      </c>
      <c r="AC69" s="13">
        <v>8.4274262792437812E-2</v>
      </c>
      <c r="AD69" s="13">
        <v>0.21748962548174366</v>
      </c>
      <c r="AE69" s="13">
        <v>0.21891843728333157</v>
      </c>
      <c r="AF69" s="13">
        <v>0.27510998879642418</v>
      </c>
      <c r="AG69" s="13">
        <v>0.23842895115342158</v>
      </c>
      <c r="AH69" s="13">
        <v>0.15897556942302327</v>
      </c>
      <c r="AI69" s="13">
        <v>0.34965363057126164</v>
      </c>
      <c r="AJ69" s="13">
        <v>0.30715683841778085</v>
      </c>
      <c r="AK69" s="13">
        <v>0.33030262042321384</v>
      </c>
      <c r="AL69" s="13">
        <v>0.27044192359718772</v>
      </c>
      <c r="AM69" s="13">
        <v>0.14949117548459151</v>
      </c>
      <c r="AN69" s="13">
        <v>0.42821479389125688</v>
      </c>
      <c r="AO69" s="13">
        <v>4.0241923194658101E-2</v>
      </c>
      <c r="AP69" s="13"/>
      <c r="AQ69" s="13"/>
      <c r="AR69" s="13"/>
      <c r="AS69" s="13"/>
      <c r="AT69" s="13"/>
      <c r="AU69" s="13"/>
      <c r="AV69" s="13"/>
    </row>
    <row r="70" spans="1:48" ht="15">
      <c r="A70" s="17" t="s">
        <v>62</v>
      </c>
      <c r="B70" s="13" t="str">
        <v/>
      </c>
      <c r="C70" s="13" t="str">
        <v/>
      </c>
      <c r="D70" s="13" t="str">
        <v/>
      </c>
      <c r="E70" s="13" t="str">
        <v/>
      </c>
      <c r="F70" s="13" t="str">
        <v/>
      </c>
      <c r="G70" s="13" t="str">
        <v/>
      </c>
      <c r="H70" s="13" t="str">
        <v/>
      </c>
      <c r="I70" s="13" t="str">
        <v/>
      </c>
      <c r="J70" s="13" t="str">
        <v/>
      </c>
      <c r="K70" s="13" t="str">
        <v/>
      </c>
      <c r="L70" s="13" t="str">
        <v/>
      </c>
      <c r="M70" s="13" t="str">
        <v/>
      </c>
      <c r="N70" s="13" t="str">
        <v/>
      </c>
      <c r="O70" s="13" t="str">
        <v/>
      </c>
      <c r="P70" s="13" t="str">
        <v/>
      </c>
      <c r="Q70" s="13" t="str">
        <v/>
      </c>
      <c r="R70" s="13" t="str">
        <v/>
      </c>
      <c r="S70" s="13" t="str">
        <v/>
      </c>
      <c r="T70" s="13" t="str">
        <v/>
      </c>
      <c r="U70" s="13" t="str">
        <v/>
      </c>
      <c r="V70" s="13">
        <v>1</v>
      </c>
      <c r="W70" s="13">
        <v>0.38472709201172706</v>
      </c>
      <c r="X70" s="13">
        <v>0.27473240262033288</v>
      </c>
      <c r="Y70" s="13">
        <v>0.34225597929251067</v>
      </c>
      <c r="Z70" s="13">
        <v>0.15592446957709163</v>
      </c>
      <c r="AA70" s="13">
        <v>0.29098205305688535</v>
      </c>
      <c r="AB70" s="13">
        <v>0.12945647486667416</v>
      </c>
      <c r="AC70" s="13">
        <v>0.19931213474705084</v>
      </c>
      <c r="AD70" s="13">
        <v>0.26885361597078339</v>
      </c>
      <c r="AE70" s="13">
        <v>0.44750818653846053</v>
      </c>
      <c r="AF70" s="13">
        <v>0.12774520998203237</v>
      </c>
      <c r="AG70" s="13">
        <v>0.25531563685790826</v>
      </c>
      <c r="AH70" s="13">
        <v>0.11194608806677196</v>
      </c>
      <c r="AI70" s="13">
        <v>0.36850097849887192</v>
      </c>
      <c r="AJ70" s="13">
        <v>0.18960367576311846</v>
      </c>
      <c r="AK70" s="13">
        <v>0.21827146942419501</v>
      </c>
      <c r="AL70" s="13">
        <v>0.38003052611171467</v>
      </c>
      <c r="AM70" s="13">
        <v>0.13344930367827107</v>
      </c>
      <c r="AN70" s="13">
        <v>0.34046726644358</v>
      </c>
      <c r="AO70" s="13">
        <v>0.31269780833637589</v>
      </c>
      <c r="AP70" s="13"/>
      <c r="AQ70" s="13"/>
      <c r="AR70" s="13"/>
      <c r="AS70" s="13"/>
      <c r="AT70" s="13"/>
      <c r="AU70" s="13"/>
      <c r="AV70" s="13"/>
    </row>
    <row r="71" spans="1:48" ht="15">
      <c r="A71" s="17" t="s">
        <v>66</v>
      </c>
      <c r="B71" s="13" t="str">
        <v/>
      </c>
      <c r="C71" s="13" t="str">
        <v/>
      </c>
      <c r="D71" s="13" t="str">
        <v/>
      </c>
      <c r="E71" s="13" t="str">
        <v/>
      </c>
      <c r="F71" s="13" t="str">
        <v/>
      </c>
      <c r="G71" s="13" t="str">
        <v/>
      </c>
      <c r="H71" s="13" t="str">
        <v/>
      </c>
      <c r="I71" s="13" t="str">
        <v/>
      </c>
      <c r="J71" s="13" t="str">
        <v/>
      </c>
      <c r="K71" s="13" t="str">
        <v/>
      </c>
      <c r="L71" s="13" t="str">
        <v/>
      </c>
      <c r="M71" s="13" t="str">
        <v/>
      </c>
      <c r="N71" s="13" t="str">
        <v/>
      </c>
      <c r="O71" s="13" t="str">
        <v/>
      </c>
      <c r="P71" s="13" t="str">
        <v/>
      </c>
      <c r="Q71" s="13" t="str">
        <v/>
      </c>
      <c r="R71" s="13" t="str">
        <v/>
      </c>
      <c r="S71" s="13" t="str">
        <v/>
      </c>
      <c r="T71" s="13" t="str">
        <v/>
      </c>
      <c r="U71" s="13" t="str">
        <v/>
      </c>
      <c r="V71" s="13" t="str">
        <v/>
      </c>
      <c r="W71" s="13">
        <v>1.0000000000000002</v>
      </c>
      <c r="X71" s="13">
        <v>0.33913810904044828</v>
      </c>
      <c r="Y71" s="13">
        <v>0.5601615301157058</v>
      </c>
      <c r="Z71" s="13">
        <v>0.30266731154028798</v>
      </c>
      <c r="AA71" s="13">
        <v>0.35439667255871132</v>
      </c>
      <c r="AB71" s="13">
        <v>0.3364096652095297</v>
      </c>
      <c r="AC71" s="13">
        <v>0.26616835112374054</v>
      </c>
      <c r="AD71" s="13">
        <v>8.9798884381431188E-2</v>
      </c>
      <c r="AE71" s="13">
        <v>0.25670670248954452</v>
      </c>
      <c r="AF71" s="13">
        <v>0.14703480924643283</v>
      </c>
      <c r="AG71" s="13">
        <v>5.113392424971562E-2</v>
      </c>
      <c r="AH71" s="13">
        <v>0.10371346950535003</v>
      </c>
      <c r="AI71" s="13">
        <v>0.32755173581877628</v>
      </c>
      <c r="AJ71" s="13">
        <v>0.11106620053073137</v>
      </c>
      <c r="AK71" s="13">
        <v>0.16171794474745166</v>
      </c>
      <c r="AL71" s="13">
        <v>0.16308937078039626</v>
      </c>
      <c r="AM71" s="13">
        <v>0.33795183858778199</v>
      </c>
      <c r="AN71" s="13">
        <v>0.4416773212228054</v>
      </c>
      <c r="AO71" s="13">
        <v>0.23543958959597652</v>
      </c>
      <c r="AP71" s="13"/>
      <c r="AQ71" s="13"/>
      <c r="AR71" s="13"/>
      <c r="AS71" s="13"/>
      <c r="AT71" s="13"/>
      <c r="AU71" s="13"/>
      <c r="AV71" s="13"/>
    </row>
    <row r="72" spans="1:48" ht="15">
      <c r="A72" s="17" t="s">
        <v>70</v>
      </c>
      <c r="B72" s="13" t="str">
        <v/>
      </c>
      <c r="C72" s="13" t="str">
        <v/>
      </c>
      <c r="D72" s="13" t="str">
        <v/>
      </c>
      <c r="E72" s="13" t="str">
        <v/>
      </c>
      <c r="F72" s="13" t="str">
        <v/>
      </c>
      <c r="G72" s="13" t="str">
        <v/>
      </c>
      <c r="H72" s="13" t="str">
        <v/>
      </c>
      <c r="I72" s="13" t="str">
        <v/>
      </c>
      <c r="J72" s="13" t="str">
        <v/>
      </c>
      <c r="K72" s="13" t="str">
        <v/>
      </c>
      <c r="L72" s="13" t="str">
        <v/>
      </c>
      <c r="M72" s="13" t="str">
        <v/>
      </c>
      <c r="N72" s="13" t="str">
        <v/>
      </c>
      <c r="O72" s="13" t="str">
        <v/>
      </c>
      <c r="P72" s="13" t="str">
        <v/>
      </c>
      <c r="Q72" s="13" t="str">
        <v/>
      </c>
      <c r="R72" s="13" t="str">
        <v/>
      </c>
      <c r="S72" s="13" t="str">
        <v/>
      </c>
      <c r="T72" s="13" t="str">
        <v/>
      </c>
      <c r="U72" s="13" t="str">
        <v/>
      </c>
      <c r="V72" s="13" t="str">
        <v/>
      </c>
      <c r="W72" s="13" t="str">
        <v/>
      </c>
      <c r="X72" s="13">
        <v>0.99999999999999989</v>
      </c>
      <c r="Y72" s="13">
        <v>0.24667194586734431</v>
      </c>
      <c r="Z72" s="13">
        <v>0.22906097390377589</v>
      </c>
      <c r="AA72" s="13">
        <v>0.36477693902604297</v>
      </c>
      <c r="AB72" s="13">
        <v>0.18431265203961458</v>
      </c>
      <c r="AC72" s="13">
        <v>0.40401514804299499</v>
      </c>
      <c r="AD72" s="13">
        <v>6.7991602578074836E-2</v>
      </c>
      <c r="AE72" s="13">
        <v>0.38580790730934517</v>
      </c>
      <c r="AF72" s="13">
        <v>0.15572092500098153</v>
      </c>
      <c r="AG72" s="13">
        <v>0.35403725582719409</v>
      </c>
      <c r="AH72" s="13">
        <v>0.2308750859010904</v>
      </c>
      <c r="AI72" s="13">
        <v>0.37904630806700013</v>
      </c>
      <c r="AJ72" s="13">
        <v>0.34676024754250556</v>
      </c>
      <c r="AK72" s="13">
        <v>0.33964261635301124</v>
      </c>
      <c r="AL72" s="13">
        <v>0.31929474744167946</v>
      </c>
      <c r="AM72" s="13">
        <v>0.27643846347411</v>
      </c>
      <c r="AN72" s="13">
        <v>0.44225512760464142</v>
      </c>
      <c r="AO72" s="13">
        <v>0.26001249409584476</v>
      </c>
      <c r="AP72" s="13"/>
      <c r="AQ72" s="13"/>
      <c r="AR72" s="13"/>
      <c r="AS72" s="13"/>
      <c r="AT72" s="13"/>
      <c r="AU72" s="13"/>
      <c r="AV72" s="13"/>
    </row>
    <row r="73" spans="1:48" ht="15">
      <c r="A73" s="17" t="s">
        <v>74</v>
      </c>
      <c r="B73" s="13" t="str">
        <v/>
      </c>
      <c r="C73" s="13" t="str">
        <v/>
      </c>
      <c r="D73" s="13" t="str">
        <v/>
      </c>
      <c r="E73" s="13" t="str">
        <v/>
      </c>
      <c r="F73" s="13" t="str">
        <v/>
      </c>
      <c r="G73" s="13" t="str">
        <v/>
      </c>
      <c r="H73" s="13" t="str">
        <v/>
      </c>
      <c r="I73" s="13" t="str">
        <v/>
      </c>
      <c r="J73" s="13" t="str">
        <v/>
      </c>
      <c r="K73" s="13" t="str">
        <v/>
      </c>
      <c r="L73" s="13" t="str">
        <v/>
      </c>
      <c r="M73" s="13" t="str">
        <v/>
      </c>
      <c r="N73" s="13" t="str">
        <v/>
      </c>
      <c r="O73" s="13" t="str">
        <v/>
      </c>
      <c r="P73" s="13" t="str">
        <v/>
      </c>
      <c r="Q73" s="13" t="str">
        <v/>
      </c>
      <c r="R73" s="13" t="str">
        <v/>
      </c>
      <c r="S73" s="13" t="str">
        <v/>
      </c>
      <c r="T73" s="13" t="str">
        <v/>
      </c>
      <c r="U73" s="13" t="str">
        <v/>
      </c>
      <c r="V73" s="13" t="str">
        <v/>
      </c>
      <c r="W73" s="13" t="str">
        <v/>
      </c>
      <c r="X73" s="13" t="str">
        <v/>
      </c>
      <c r="Y73" s="13">
        <v>1.0000000000000002</v>
      </c>
      <c r="Z73" s="13">
        <v>0.20848255322720374</v>
      </c>
      <c r="AA73" s="13">
        <v>0.29481062159808602</v>
      </c>
      <c r="AB73" s="13">
        <v>0.24381440647899488</v>
      </c>
      <c r="AC73" s="13">
        <v>0.37300780521300714</v>
      </c>
      <c r="AD73" s="13">
        <v>6.8296010240016275E-2</v>
      </c>
      <c r="AE73" s="13">
        <v>0.20954017086829982</v>
      </c>
      <c r="AF73" s="13">
        <v>-1.5034495758560017E-2</v>
      </c>
      <c r="AG73" s="13">
        <v>2.6739736362137657E-2</v>
      </c>
      <c r="AH73" s="13">
        <v>0.23064196512231872</v>
      </c>
      <c r="AI73" s="13">
        <v>0.22907940603100344</v>
      </c>
      <c r="AJ73" s="13">
        <v>0.18771202045197882</v>
      </c>
      <c r="AK73" s="13">
        <v>0.10516774517371809</v>
      </c>
      <c r="AL73" s="13">
        <v>0.40945532100394055</v>
      </c>
      <c r="AM73" s="13">
        <v>0.32999600543981822</v>
      </c>
      <c r="AN73" s="13">
        <v>0.10060893538062646</v>
      </c>
      <c r="AO73" s="13">
        <v>0.29400376958809588</v>
      </c>
      <c r="AP73" s="13"/>
      <c r="AQ73" s="13"/>
      <c r="AR73" s="13"/>
      <c r="AS73" s="13"/>
      <c r="AT73" s="13"/>
      <c r="AU73" s="13"/>
      <c r="AV73" s="13"/>
    </row>
    <row r="74" spans="1:48" ht="15">
      <c r="A74" s="17" t="s">
        <v>76</v>
      </c>
      <c r="B74" s="13" t="str">
        <v/>
      </c>
      <c r="C74" s="13" t="str">
        <v/>
      </c>
      <c r="D74" s="13" t="str">
        <v/>
      </c>
      <c r="E74" s="13" t="str">
        <v/>
      </c>
      <c r="F74" s="13" t="str">
        <v/>
      </c>
      <c r="G74" s="13" t="str">
        <v/>
      </c>
      <c r="H74" s="13" t="str">
        <v/>
      </c>
      <c r="I74" s="13" t="str">
        <v/>
      </c>
      <c r="J74" s="13" t="str">
        <v/>
      </c>
      <c r="K74" s="13" t="str">
        <v/>
      </c>
      <c r="L74" s="13" t="str">
        <v/>
      </c>
      <c r="M74" s="13" t="str">
        <v/>
      </c>
      <c r="N74" s="13" t="str">
        <v/>
      </c>
      <c r="O74" s="13" t="str">
        <v/>
      </c>
      <c r="P74" s="13" t="str">
        <v/>
      </c>
      <c r="Q74" s="13" t="str">
        <v/>
      </c>
      <c r="R74" s="13" t="str">
        <v/>
      </c>
      <c r="S74" s="13" t="str">
        <v/>
      </c>
      <c r="T74" s="13" t="str">
        <v/>
      </c>
      <c r="U74" s="13" t="str">
        <v/>
      </c>
      <c r="V74" s="13" t="str">
        <v/>
      </c>
      <c r="W74" s="13" t="str">
        <v/>
      </c>
      <c r="X74" s="13" t="str">
        <v/>
      </c>
      <c r="Y74" s="13" t="str">
        <v/>
      </c>
      <c r="Z74" s="13">
        <v>1</v>
      </c>
      <c r="AA74" s="13">
        <v>0.19846158447998943</v>
      </c>
      <c r="AB74" s="13">
        <v>2.4805502187925602E-2</v>
      </c>
      <c r="AC74" s="13">
        <v>0.37297029788185954</v>
      </c>
      <c r="AD74" s="13">
        <v>0.46320512606317588</v>
      </c>
      <c r="AE74" s="13">
        <v>0.2237668663528086</v>
      </c>
      <c r="AF74" s="13">
        <v>0.51856928588843054</v>
      </c>
      <c r="AG74" s="13">
        <v>0.15144815124290195</v>
      </c>
      <c r="AH74" s="13">
        <v>0.25611441382036088</v>
      </c>
      <c r="AI74" s="13">
        <v>0.37497144705416829</v>
      </c>
      <c r="AJ74" s="13">
        <v>6.1432453470598787E-2</v>
      </c>
      <c r="AK74" s="13">
        <v>0.16682364179874967</v>
      </c>
      <c r="AL74" s="13">
        <v>0.42896340568194663</v>
      </c>
      <c r="AM74" s="13">
        <v>0.34805882455086629</v>
      </c>
      <c r="AN74" s="13">
        <v>0.19305235810583815</v>
      </c>
      <c r="AO74" s="13">
        <v>0.35382205654231907</v>
      </c>
      <c r="AP74" s="13"/>
      <c r="AQ74" s="13"/>
      <c r="AR74" s="13"/>
      <c r="AS74" s="13"/>
      <c r="AT74" s="13"/>
      <c r="AU74" s="13"/>
      <c r="AV74" s="13"/>
    </row>
    <row r="75" spans="1:48" ht="15">
      <c r="A75" s="17" t="s">
        <v>79</v>
      </c>
      <c r="B75" s="13" t="str">
        <v/>
      </c>
      <c r="C75" s="13" t="str">
        <v/>
      </c>
      <c r="D75" s="13" t="str">
        <v/>
      </c>
      <c r="E75" s="13" t="str">
        <v/>
      </c>
      <c r="F75" s="13" t="str">
        <v/>
      </c>
      <c r="G75" s="13" t="str">
        <v/>
      </c>
      <c r="H75" s="13" t="str">
        <v/>
      </c>
      <c r="I75" s="13" t="str">
        <v/>
      </c>
      <c r="J75" s="13" t="str">
        <v/>
      </c>
      <c r="K75" s="13" t="str">
        <v/>
      </c>
      <c r="L75" s="13" t="str">
        <v/>
      </c>
      <c r="M75" s="13" t="str">
        <v/>
      </c>
      <c r="N75" s="13" t="str">
        <v/>
      </c>
      <c r="O75" s="13" t="str">
        <v/>
      </c>
      <c r="P75" s="13" t="str">
        <v/>
      </c>
      <c r="Q75" s="13" t="str">
        <v/>
      </c>
      <c r="R75" s="13" t="str">
        <v/>
      </c>
      <c r="S75" s="13" t="str">
        <v/>
      </c>
      <c r="T75" s="13" t="str">
        <v/>
      </c>
      <c r="U75" s="13" t="str">
        <v/>
      </c>
      <c r="V75" s="13" t="str">
        <v/>
      </c>
      <c r="W75" s="13" t="str">
        <v/>
      </c>
      <c r="X75" s="13" t="str">
        <v/>
      </c>
      <c r="Y75" s="13" t="str">
        <v/>
      </c>
      <c r="Z75" s="13" t="str">
        <v/>
      </c>
      <c r="AA75" s="13">
        <v>1</v>
      </c>
      <c r="AB75" s="13">
        <v>0.32128735504180805</v>
      </c>
      <c r="AC75" s="13">
        <v>0.35511739155551475</v>
      </c>
      <c r="AD75" s="13">
        <v>0.2385803414320036</v>
      </c>
      <c r="AE75" s="13">
        <v>0.21364151627362327</v>
      </c>
      <c r="AF75" s="13">
        <v>0.11897806234879013</v>
      </c>
      <c r="AG75" s="13">
        <v>0.23276741531838616</v>
      </c>
      <c r="AH75" s="13">
        <v>0.17074316927613983</v>
      </c>
      <c r="AI75" s="13">
        <v>0.40520934317421275</v>
      </c>
      <c r="AJ75" s="13">
        <v>0.24624265686297325</v>
      </c>
      <c r="AK75" s="13">
        <v>0.28920732289665729</v>
      </c>
      <c r="AL75" s="13">
        <v>0.3308479419652946</v>
      </c>
      <c r="AM75" s="13">
        <v>0.19446129798870179</v>
      </c>
      <c r="AN75" s="13">
        <v>0.26544412335027645</v>
      </c>
      <c r="AO75" s="13">
        <v>0.24574382261684063</v>
      </c>
      <c r="AP75" s="13"/>
      <c r="AQ75" s="13"/>
      <c r="AR75" s="13"/>
      <c r="AS75" s="13"/>
      <c r="AT75" s="13"/>
      <c r="AU75" s="13"/>
      <c r="AV75" s="13"/>
    </row>
    <row r="76" spans="1:48" ht="15">
      <c r="A76" s="17" t="s">
        <v>87</v>
      </c>
      <c r="B76" s="13" t="str">
        <v/>
      </c>
      <c r="C76" s="13" t="str">
        <v/>
      </c>
      <c r="D76" s="13" t="str">
        <v/>
      </c>
      <c r="E76" s="13" t="str">
        <v/>
      </c>
      <c r="F76" s="13" t="str">
        <v/>
      </c>
      <c r="G76" s="13" t="str">
        <v/>
      </c>
      <c r="H76" s="13" t="str">
        <v/>
      </c>
      <c r="I76" s="13" t="str">
        <v/>
      </c>
      <c r="J76" s="13" t="str">
        <v/>
      </c>
      <c r="K76" s="13" t="str">
        <v/>
      </c>
      <c r="L76" s="13" t="str">
        <v/>
      </c>
      <c r="M76" s="13" t="str">
        <v/>
      </c>
      <c r="N76" s="13" t="str">
        <v/>
      </c>
      <c r="O76" s="13" t="str">
        <v/>
      </c>
      <c r="P76" s="13" t="str">
        <v/>
      </c>
      <c r="Q76" s="13" t="str">
        <v/>
      </c>
      <c r="R76" s="13" t="str">
        <v/>
      </c>
      <c r="S76" s="13" t="str">
        <v/>
      </c>
      <c r="T76" s="13" t="str">
        <v/>
      </c>
      <c r="U76" s="13" t="str">
        <v/>
      </c>
      <c r="V76" s="13" t="str">
        <v/>
      </c>
      <c r="W76" s="13" t="str">
        <v/>
      </c>
      <c r="X76" s="13" t="str">
        <v/>
      </c>
      <c r="Y76" s="13" t="str">
        <v/>
      </c>
      <c r="Z76" s="13" t="str">
        <v/>
      </c>
      <c r="AA76" s="13" t="str">
        <v/>
      </c>
      <c r="AB76" s="13">
        <v>1</v>
      </c>
      <c r="AC76" s="13">
        <v>0.17014157262707053</v>
      </c>
      <c r="AD76" s="13">
        <v>1.7742165777588536E-2</v>
      </c>
      <c r="AE76" s="13">
        <v>0.21797186258429457</v>
      </c>
      <c r="AF76" s="13">
        <v>0.19985734565123642</v>
      </c>
      <c r="AG76" s="13">
        <v>0.23242216231821344</v>
      </c>
      <c r="AH76" s="13">
        <v>0.12561678843129936</v>
      </c>
      <c r="AI76" s="13">
        <v>0.26338718765376629</v>
      </c>
      <c r="AJ76" s="13">
        <v>-6.4865842340508517E-2</v>
      </c>
      <c r="AK76" s="13">
        <v>0.20505554429836845</v>
      </c>
      <c r="AL76" s="13">
        <v>4.9864662148159017E-2</v>
      </c>
      <c r="AM76" s="13">
        <v>0.13587316632081733</v>
      </c>
      <c r="AN76" s="13">
        <v>0.2350907893018272</v>
      </c>
      <c r="AO76" s="13">
        <v>-1.6558148447331056E-2</v>
      </c>
      <c r="AP76" s="13"/>
      <c r="AQ76" s="13"/>
      <c r="AR76" s="13"/>
      <c r="AS76" s="13"/>
      <c r="AT76" s="13"/>
      <c r="AU76" s="13"/>
      <c r="AV76" s="13"/>
    </row>
    <row r="77" spans="1:48" ht="15">
      <c r="A77" s="17" t="s">
        <v>88</v>
      </c>
      <c r="B77" s="13" t="str">
        <v/>
      </c>
      <c r="C77" s="13" t="str">
        <v/>
      </c>
      <c r="D77" s="13" t="str">
        <v/>
      </c>
      <c r="E77" s="13" t="str">
        <v/>
      </c>
      <c r="F77" s="13" t="str">
        <v/>
      </c>
      <c r="G77" s="13" t="str">
        <v/>
      </c>
      <c r="H77" s="13" t="str">
        <v/>
      </c>
      <c r="I77" s="13" t="str">
        <v/>
      </c>
      <c r="J77" s="13" t="str">
        <v/>
      </c>
      <c r="K77" s="13" t="str">
        <v/>
      </c>
      <c r="L77" s="13" t="str">
        <v/>
      </c>
      <c r="M77" s="13" t="str">
        <v/>
      </c>
      <c r="N77" s="13" t="str">
        <v/>
      </c>
      <c r="O77" s="13" t="str">
        <v/>
      </c>
      <c r="P77" s="13" t="str">
        <v/>
      </c>
      <c r="Q77" s="13" t="str">
        <v/>
      </c>
      <c r="R77" s="13" t="str">
        <v/>
      </c>
      <c r="S77" s="13" t="str">
        <v/>
      </c>
      <c r="T77" s="13" t="str">
        <v/>
      </c>
      <c r="U77" s="13" t="str">
        <v/>
      </c>
      <c r="V77" s="13" t="str">
        <v/>
      </c>
      <c r="W77" s="13" t="str">
        <v/>
      </c>
      <c r="X77" s="13" t="str">
        <v/>
      </c>
      <c r="Y77" s="13" t="str">
        <v/>
      </c>
      <c r="Z77" s="13" t="str">
        <v/>
      </c>
      <c r="AA77" s="13" t="str">
        <v/>
      </c>
      <c r="AB77" s="13" t="str">
        <v/>
      </c>
      <c r="AC77" s="13">
        <v>1</v>
      </c>
      <c r="AD77" s="13">
        <v>0.22039450365459087</v>
      </c>
      <c r="AE77" s="13">
        <v>0.40527146340985964</v>
      </c>
      <c r="AF77" s="13">
        <v>2.4738460368092255E-2</v>
      </c>
      <c r="AG77" s="13">
        <v>0.31190241050945394</v>
      </c>
      <c r="AH77" s="13">
        <v>0.15449852140210452</v>
      </c>
      <c r="AI77" s="13">
        <v>0.43561906699943548</v>
      </c>
      <c r="AJ77" s="13">
        <v>0.25616644224012941</v>
      </c>
      <c r="AK77" s="13">
        <v>0.2596408283050804</v>
      </c>
      <c r="AL77" s="13">
        <v>0.35670060194674696</v>
      </c>
      <c r="AM77" s="13">
        <v>0.34279105630104278</v>
      </c>
      <c r="AN77" s="13">
        <v>4.5370993483867014E-2</v>
      </c>
      <c r="AO77" s="13">
        <v>0.52761951692468001</v>
      </c>
      <c r="AP77" s="13"/>
      <c r="AQ77" s="13"/>
      <c r="AR77" s="13"/>
      <c r="AS77" s="13"/>
      <c r="AT77" s="13"/>
      <c r="AU77" s="13"/>
      <c r="AV77" s="13"/>
    </row>
    <row r="78" spans="1:48" ht="15">
      <c r="A78" s="17" t="s">
        <v>91</v>
      </c>
      <c r="B78" s="13" t="str">
        <v/>
      </c>
      <c r="C78" s="13" t="str">
        <v/>
      </c>
      <c r="D78" s="13" t="str">
        <v/>
      </c>
      <c r="E78" s="13" t="str">
        <v/>
      </c>
      <c r="F78" s="13" t="str">
        <v/>
      </c>
      <c r="G78" s="13" t="str">
        <v/>
      </c>
      <c r="H78" s="13" t="str">
        <v/>
      </c>
      <c r="I78" s="13" t="str">
        <v/>
      </c>
      <c r="J78" s="13" t="str">
        <v/>
      </c>
      <c r="K78" s="13" t="str">
        <v/>
      </c>
      <c r="L78" s="13" t="str">
        <v/>
      </c>
      <c r="M78" s="13" t="str">
        <v/>
      </c>
      <c r="N78" s="13" t="str">
        <v/>
      </c>
      <c r="O78" s="13" t="str">
        <v/>
      </c>
      <c r="P78" s="13" t="str">
        <v/>
      </c>
      <c r="Q78" s="13" t="str">
        <v/>
      </c>
      <c r="R78" s="13" t="str">
        <v/>
      </c>
      <c r="S78" s="13" t="str">
        <v/>
      </c>
      <c r="T78" s="13" t="str">
        <v/>
      </c>
      <c r="U78" s="13" t="str">
        <v/>
      </c>
      <c r="V78" s="13" t="str">
        <v/>
      </c>
      <c r="W78" s="13" t="str">
        <v/>
      </c>
      <c r="X78" s="13" t="str">
        <v/>
      </c>
      <c r="Y78" s="13" t="str">
        <v/>
      </c>
      <c r="Z78" s="13" t="str">
        <v/>
      </c>
      <c r="AA78" s="13" t="str">
        <v/>
      </c>
      <c r="AB78" s="13" t="str">
        <v/>
      </c>
      <c r="AC78" s="13" t="str">
        <v/>
      </c>
      <c r="AD78" s="13">
        <v>1</v>
      </c>
      <c r="AE78" s="13">
        <v>0.45532518736200189</v>
      </c>
      <c r="AF78" s="13">
        <v>0.44294001758171586</v>
      </c>
      <c r="AG78" s="13">
        <v>0.3736956226109982</v>
      </c>
      <c r="AH78" s="13">
        <v>0.22875543492248177</v>
      </c>
      <c r="AI78" s="13">
        <v>0.32781947158454677</v>
      </c>
      <c r="AJ78" s="13">
        <v>0.2157936692386796</v>
      </c>
      <c r="AK78" s="13">
        <v>0.40330988987756367</v>
      </c>
      <c r="AL78" s="13">
        <v>0.23850197007435747</v>
      </c>
      <c r="AM78" s="13">
        <v>0.21078092751692951</v>
      </c>
      <c r="AN78" s="13">
        <v>0.14244567194420929</v>
      </c>
      <c r="AO78" s="13">
        <v>0.20300103894683982</v>
      </c>
      <c r="AP78" s="13"/>
      <c r="AQ78" s="13"/>
      <c r="AR78" s="13"/>
      <c r="AS78" s="13"/>
      <c r="AT78" s="13"/>
      <c r="AU78" s="13"/>
      <c r="AV78" s="13"/>
    </row>
    <row r="79" spans="1:48" ht="15">
      <c r="A79" s="17" t="s">
        <v>94</v>
      </c>
      <c r="B79" s="13" t="str">
        <v/>
      </c>
      <c r="C79" s="13" t="str">
        <v/>
      </c>
      <c r="D79" s="13" t="str">
        <v/>
      </c>
      <c r="E79" s="13" t="str">
        <v/>
      </c>
      <c r="F79" s="13" t="str">
        <v/>
      </c>
      <c r="G79" s="13" t="str">
        <v/>
      </c>
      <c r="H79" s="13" t="str">
        <v/>
      </c>
      <c r="I79" s="13" t="str">
        <v/>
      </c>
      <c r="J79" s="13" t="str">
        <v/>
      </c>
      <c r="K79" s="13" t="str">
        <v/>
      </c>
      <c r="L79" s="13" t="str">
        <v/>
      </c>
      <c r="M79" s="13" t="str">
        <v/>
      </c>
      <c r="N79" s="13" t="str">
        <v/>
      </c>
      <c r="O79" s="13" t="str">
        <v/>
      </c>
      <c r="P79" s="13" t="str">
        <v/>
      </c>
      <c r="Q79" s="13" t="str">
        <v/>
      </c>
      <c r="R79" s="13" t="str">
        <v/>
      </c>
      <c r="S79" s="13" t="str">
        <v/>
      </c>
      <c r="T79" s="13" t="str">
        <v/>
      </c>
      <c r="U79" s="13" t="str">
        <v/>
      </c>
      <c r="V79" s="13" t="str">
        <v/>
      </c>
      <c r="W79" s="13" t="str">
        <v/>
      </c>
      <c r="X79" s="13" t="str">
        <v/>
      </c>
      <c r="Y79" s="13" t="str">
        <v/>
      </c>
      <c r="Z79" s="13" t="str">
        <v/>
      </c>
      <c r="AA79" s="13" t="str">
        <v/>
      </c>
      <c r="AB79" s="13" t="str">
        <v/>
      </c>
      <c r="AC79" s="13" t="str">
        <v/>
      </c>
      <c r="AD79" s="13" t="str">
        <v/>
      </c>
      <c r="AE79" s="13">
        <v>0.99999999999999989</v>
      </c>
      <c r="AF79" s="13">
        <v>0.21316602731307394</v>
      </c>
      <c r="AG79" s="13">
        <v>0.40140111216556429</v>
      </c>
      <c r="AH79" s="13">
        <v>0.13538249639954772</v>
      </c>
      <c r="AI79" s="13">
        <v>0.49304195750119761</v>
      </c>
      <c r="AJ79" s="13">
        <v>7.8353293898143106E-2</v>
      </c>
      <c r="AK79" s="13">
        <v>0.30313764553259948</v>
      </c>
      <c r="AL79" s="13">
        <v>0.25706603655087346</v>
      </c>
      <c r="AM79" s="13">
        <v>0.30451097114381026</v>
      </c>
      <c r="AN79" s="13">
        <v>0.35655214281318853</v>
      </c>
      <c r="AO79" s="13">
        <v>0.26188220090380687</v>
      </c>
      <c r="AP79" s="13"/>
      <c r="AQ79" s="13"/>
      <c r="AR79" s="13"/>
      <c r="AS79" s="13"/>
      <c r="AT79" s="13"/>
      <c r="AU79" s="13"/>
      <c r="AV79" s="13"/>
    </row>
    <row r="80" spans="1:48" ht="15">
      <c r="A80" s="17" t="s">
        <v>95</v>
      </c>
      <c r="B80" s="13" t="str">
        <v/>
      </c>
      <c r="C80" s="13" t="str">
        <v/>
      </c>
      <c r="D80" s="13" t="str">
        <v/>
      </c>
      <c r="E80" s="13" t="str">
        <v/>
      </c>
      <c r="F80" s="13" t="str">
        <v/>
      </c>
      <c r="G80" s="13" t="str">
        <v/>
      </c>
      <c r="H80" s="13" t="str">
        <v/>
      </c>
      <c r="I80" s="13" t="str">
        <v/>
      </c>
      <c r="J80" s="13" t="str">
        <v/>
      </c>
      <c r="K80" s="13" t="str">
        <v/>
      </c>
      <c r="L80" s="13" t="str">
        <v/>
      </c>
      <c r="M80" s="13" t="str">
        <v/>
      </c>
      <c r="N80" s="13" t="str">
        <v/>
      </c>
      <c r="O80" s="13" t="str">
        <v/>
      </c>
      <c r="P80" s="13" t="str">
        <v/>
      </c>
      <c r="Q80" s="13" t="str">
        <v/>
      </c>
      <c r="R80" s="13" t="str">
        <v/>
      </c>
      <c r="S80" s="13" t="str">
        <v/>
      </c>
      <c r="T80" s="13" t="str">
        <v/>
      </c>
      <c r="U80" s="13" t="str">
        <v/>
      </c>
      <c r="V80" s="13" t="str">
        <v/>
      </c>
      <c r="W80" s="13" t="str">
        <v/>
      </c>
      <c r="X80" s="13" t="str">
        <v/>
      </c>
      <c r="Y80" s="13" t="str">
        <v/>
      </c>
      <c r="Z80" s="13" t="str">
        <v/>
      </c>
      <c r="AA80" s="13" t="str">
        <v/>
      </c>
      <c r="AB80" s="13" t="str">
        <v/>
      </c>
      <c r="AC80" s="13" t="str">
        <v/>
      </c>
      <c r="AD80" s="13" t="str">
        <v/>
      </c>
      <c r="AE80" s="13" t="str">
        <v/>
      </c>
      <c r="AF80" s="13">
        <v>1</v>
      </c>
      <c r="AG80" s="13">
        <v>0.12207279436693683</v>
      </c>
      <c r="AH80" s="13">
        <v>0.33258825294908284</v>
      </c>
      <c r="AI80" s="13">
        <v>0.28685320955967059</v>
      </c>
      <c r="AJ80" s="13">
        <v>2.3021419193809869E-2</v>
      </c>
      <c r="AK80" s="13">
        <v>0.11524319056020953</v>
      </c>
      <c r="AL80" s="13">
        <v>0.19360590868360891</v>
      </c>
      <c r="AM80" s="13">
        <v>9.3222748435227626E-2</v>
      </c>
      <c r="AN80" s="13">
        <v>0.40857425207707176</v>
      </c>
      <c r="AO80" s="13">
        <v>0.20408742718102471</v>
      </c>
      <c r="AP80" s="13"/>
      <c r="AQ80" s="13"/>
      <c r="AR80" s="13"/>
      <c r="AS80" s="13"/>
      <c r="AT80" s="13"/>
      <c r="AU80" s="13"/>
      <c r="AV80" s="13"/>
    </row>
    <row r="81" spans="1:48" ht="15">
      <c r="A81" s="17" t="s">
        <v>102</v>
      </c>
      <c r="B81" s="13" t="str">
        <v/>
      </c>
      <c r="C81" s="13" t="str">
        <v/>
      </c>
      <c r="D81" s="13" t="str">
        <v/>
      </c>
      <c r="E81" s="13" t="str">
        <v/>
      </c>
      <c r="F81" s="13" t="str">
        <v/>
      </c>
      <c r="G81" s="13" t="str">
        <v/>
      </c>
      <c r="H81" s="13" t="str">
        <v/>
      </c>
      <c r="I81" s="13" t="str">
        <v/>
      </c>
      <c r="J81" s="13" t="str">
        <v/>
      </c>
      <c r="K81" s="13" t="str">
        <v/>
      </c>
      <c r="L81" s="13" t="str">
        <v/>
      </c>
      <c r="M81" s="13" t="str">
        <v/>
      </c>
      <c r="N81" s="13" t="str">
        <v/>
      </c>
      <c r="O81" s="13" t="str">
        <v/>
      </c>
      <c r="P81" s="13" t="str">
        <v/>
      </c>
      <c r="Q81" s="13" t="str">
        <v/>
      </c>
      <c r="R81" s="13" t="str">
        <v/>
      </c>
      <c r="S81" s="13" t="str">
        <v/>
      </c>
      <c r="T81" s="13" t="str">
        <v/>
      </c>
      <c r="U81" s="13" t="str">
        <v/>
      </c>
      <c r="V81" s="13" t="str">
        <v/>
      </c>
      <c r="W81" s="13" t="str">
        <v/>
      </c>
      <c r="X81" s="13" t="str">
        <v/>
      </c>
      <c r="Y81" s="13" t="str">
        <v/>
      </c>
      <c r="Z81" s="13" t="str">
        <v/>
      </c>
      <c r="AA81" s="13" t="str">
        <v/>
      </c>
      <c r="AB81" s="13" t="str">
        <v/>
      </c>
      <c r="AC81" s="13" t="str">
        <v/>
      </c>
      <c r="AD81" s="13" t="str">
        <v/>
      </c>
      <c r="AE81" s="13" t="str">
        <v/>
      </c>
      <c r="AF81" s="13" t="str">
        <v/>
      </c>
      <c r="AG81" s="13">
        <v>0.99999999999999978</v>
      </c>
      <c r="AH81" s="13">
        <v>0.29769109987372522</v>
      </c>
      <c r="AI81" s="13">
        <v>0.28343530263529493</v>
      </c>
      <c r="AJ81" s="13">
        <v>0.38634967146569105</v>
      </c>
      <c r="AK81" s="13">
        <v>0.4306088197749483</v>
      </c>
      <c r="AL81" s="13">
        <v>0.40955482487285344</v>
      </c>
      <c r="AM81" s="13">
        <v>0.33309091495883991</v>
      </c>
      <c r="AN81" s="13">
        <v>0.27586186732727908</v>
      </c>
      <c r="AO81" s="13">
        <v>0.31695785745846261</v>
      </c>
      <c r="AP81" s="13"/>
      <c r="AQ81" s="13"/>
      <c r="AR81" s="13"/>
      <c r="AS81" s="13"/>
      <c r="AT81" s="13"/>
      <c r="AU81" s="13"/>
      <c r="AV81" s="13"/>
    </row>
    <row r="82" spans="1:48" ht="15">
      <c r="A82" s="17" t="s">
        <v>110</v>
      </c>
      <c r="B82" s="13" t="str">
        <v/>
      </c>
      <c r="C82" s="13" t="str">
        <v/>
      </c>
      <c r="D82" s="13" t="str">
        <v/>
      </c>
      <c r="E82" s="13" t="str">
        <v/>
      </c>
      <c r="F82" s="13" t="str">
        <v/>
      </c>
      <c r="G82" s="13" t="str">
        <v/>
      </c>
      <c r="H82" s="13" t="str">
        <v/>
      </c>
      <c r="I82" s="13" t="str">
        <v/>
      </c>
      <c r="J82" s="13" t="str">
        <v/>
      </c>
      <c r="K82" s="13" t="str">
        <v/>
      </c>
      <c r="L82" s="13" t="str">
        <v/>
      </c>
      <c r="M82" s="13" t="str">
        <v/>
      </c>
      <c r="N82" s="13" t="str">
        <v/>
      </c>
      <c r="O82" s="13" t="str">
        <v/>
      </c>
      <c r="P82" s="13" t="str">
        <v/>
      </c>
      <c r="Q82" s="13" t="str">
        <v/>
      </c>
      <c r="R82" s="13" t="str">
        <v/>
      </c>
      <c r="S82" s="13" t="str">
        <v/>
      </c>
      <c r="T82" s="13" t="str">
        <v/>
      </c>
      <c r="U82" s="13" t="str">
        <v/>
      </c>
      <c r="V82" s="13" t="str">
        <v/>
      </c>
      <c r="W82" s="13" t="str">
        <v/>
      </c>
      <c r="X82" s="13" t="str">
        <v/>
      </c>
      <c r="Y82" s="13" t="str">
        <v/>
      </c>
      <c r="Z82" s="13" t="str">
        <v/>
      </c>
      <c r="AA82" s="13" t="str">
        <v/>
      </c>
      <c r="AB82" s="13" t="str">
        <v/>
      </c>
      <c r="AC82" s="13" t="str">
        <v/>
      </c>
      <c r="AD82" s="13" t="str">
        <v/>
      </c>
      <c r="AE82" s="13" t="str">
        <v/>
      </c>
      <c r="AF82" s="13" t="str">
        <v/>
      </c>
      <c r="AG82" s="13" t="str">
        <v/>
      </c>
      <c r="AH82" s="13">
        <v>1</v>
      </c>
      <c r="AI82" s="13">
        <v>0.30525160332514528</v>
      </c>
      <c r="AJ82" s="13">
        <v>0.20086240542025813</v>
      </c>
      <c r="AK82" s="13">
        <v>0.12193655846214009</v>
      </c>
      <c r="AL82" s="13">
        <v>0.30455252967536089</v>
      </c>
      <c r="AM82" s="13">
        <v>0.19420069760143524</v>
      </c>
      <c r="AN82" s="13">
        <v>0.23515813880462402</v>
      </c>
      <c r="AO82" s="13">
        <v>0.34708250789985984</v>
      </c>
      <c r="AP82" s="13"/>
      <c r="AQ82" s="13"/>
      <c r="AR82" s="13"/>
      <c r="AS82" s="13"/>
      <c r="AT82" s="13"/>
      <c r="AU82" s="13"/>
      <c r="AV82" s="13"/>
    </row>
    <row r="83" spans="1:48" ht="15">
      <c r="A83" s="17" t="s">
        <v>114</v>
      </c>
      <c r="B83" s="13" t="str">
        <v/>
      </c>
      <c r="C83" s="13" t="str">
        <v/>
      </c>
      <c r="D83" s="13" t="str">
        <v/>
      </c>
      <c r="E83" s="13" t="str">
        <v/>
      </c>
      <c r="F83" s="13" t="str">
        <v/>
      </c>
      <c r="G83" s="13" t="str">
        <v/>
      </c>
      <c r="H83" s="13" t="str">
        <v/>
      </c>
      <c r="I83" s="13" t="str">
        <v/>
      </c>
      <c r="J83" s="13" t="str">
        <v/>
      </c>
      <c r="K83" s="13" t="str">
        <v/>
      </c>
      <c r="L83" s="13" t="str">
        <v/>
      </c>
      <c r="M83" s="13" t="str">
        <v/>
      </c>
      <c r="N83" s="13" t="str">
        <v/>
      </c>
      <c r="O83" s="13" t="str">
        <v/>
      </c>
      <c r="P83" s="13" t="str">
        <v/>
      </c>
      <c r="Q83" s="13" t="str">
        <v/>
      </c>
      <c r="R83" s="13" t="str">
        <v/>
      </c>
      <c r="S83" s="13" t="str">
        <v/>
      </c>
      <c r="T83" s="13" t="str">
        <v/>
      </c>
      <c r="U83" s="13" t="str">
        <v/>
      </c>
      <c r="V83" s="13" t="str">
        <v/>
      </c>
      <c r="W83" s="13" t="str">
        <v/>
      </c>
      <c r="X83" s="13" t="str">
        <v/>
      </c>
      <c r="Y83" s="13" t="str">
        <v/>
      </c>
      <c r="Z83" s="13" t="str">
        <v/>
      </c>
      <c r="AA83" s="13" t="str">
        <v/>
      </c>
      <c r="AB83" s="13" t="str">
        <v/>
      </c>
      <c r="AC83" s="13" t="str">
        <v/>
      </c>
      <c r="AD83" s="13" t="str">
        <v/>
      </c>
      <c r="AE83" s="13" t="str">
        <v/>
      </c>
      <c r="AF83" s="13" t="str">
        <v/>
      </c>
      <c r="AG83" s="13" t="str">
        <v/>
      </c>
      <c r="AH83" s="13" t="str">
        <v/>
      </c>
      <c r="AI83" s="13">
        <v>1.0000000000000002</v>
      </c>
      <c r="AJ83" s="13">
        <v>0.35524966103386069</v>
      </c>
      <c r="AK83" s="13">
        <v>0.44367528222608044</v>
      </c>
      <c r="AL83" s="13">
        <v>0.29955146790615012</v>
      </c>
      <c r="AM83" s="13">
        <v>0.2620664963266196</v>
      </c>
      <c r="AN83" s="13">
        <v>0.29276528143564473</v>
      </c>
      <c r="AO83" s="13">
        <v>0.42114027754693739</v>
      </c>
      <c r="AP83" s="13"/>
      <c r="AQ83" s="13"/>
      <c r="AR83" s="13"/>
      <c r="AS83" s="13"/>
      <c r="AT83" s="13"/>
      <c r="AU83" s="13"/>
      <c r="AV83" s="13"/>
    </row>
    <row r="84" spans="1:48" ht="15">
      <c r="A84" s="17" t="s">
        <v>120</v>
      </c>
      <c r="B84" s="13" t="str">
        <v/>
      </c>
      <c r="C84" s="13" t="str">
        <v/>
      </c>
      <c r="D84" s="13" t="str">
        <v/>
      </c>
      <c r="E84" s="13" t="str">
        <v/>
      </c>
      <c r="F84" s="13" t="str">
        <v/>
      </c>
      <c r="G84" s="13" t="str">
        <v/>
      </c>
      <c r="H84" s="13" t="str">
        <v/>
      </c>
      <c r="I84" s="13" t="str">
        <v/>
      </c>
      <c r="J84" s="13" t="str">
        <v/>
      </c>
      <c r="K84" s="13" t="str">
        <v/>
      </c>
      <c r="L84" s="13" t="str">
        <v/>
      </c>
      <c r="M84" s="13" t="str">
        <v/>
      </c>
      <c r="N84" s="13" t="str">
        <v/>
      </c>
      <c r="O84" s="13" t="str">
        <v/>
      </c>
      <c r="P84" s="13" t="str">
        <v/>
      </c>
      <c r="Q84" s="13" t="str">
        <v/>
      </c>
      <c r="R84" s="13" t="str">
        <v/>
      </c>
      <c r="S84" s="13" t="str">
        <v/>
      </c>
      <c r="T84" s="13" t="str">
        <v/>
      </c>
      <c r="U84" s="13" t="str">
        <v/>
      </c>
      <c r="V84" s="13" t="str">
        <v/>
      </c>
      <c r="W84" s="13" t="str">
        <v/>
      </c>
      <c r="X84" s="13" t="str">
        <v/>
      </c>
      <c r="Y84" s="13" t="str">
        <v/>
      </c>
      <c r="Z84" s="13" t="str">
        <v/>
      </c>
      <c r="AA84" s="13" t="str">
        <v/>
      </c>
      <c r="AB84" s="13" t="str">
        <v/>
      </c>
      <c r="AC84" s="13" t="str">
        <v/>
      </c>
      <c r="AD84" s="13" t="str">
        <v/>
      </c>
      <c r="AE84" s="13" t="str">
        <v/>
      </c>
      <c r="AF84" s="13" t="str">
        <v/>
      </c>
      <c r="AG84" s="13" t="str">
        <v/>
      </c>
      <c r="AH84" s="13" t="str">
        <v/>
      </c>
      <c r="AI84" s="13" t="str">
        <v/>
      </c>
      <c r="AJ84" s="13">
        <v>1.0000000000000002</v>
      </c>
      <c r="AK84" s="13">
        <v>0.44710299597467673</v>
      </c>
      <c r="AL84" s="13">
        <v>0.49252518944656409</v>
      </c>
      <c r="AM84" s="13">
        <v>8.3012112572278224E-2</v>
      </c>
      <c r="AN84" s="13">
        <v>0.21824046308799816</v>
      </c>
      <c r="AO84" s="13">
        <v>0.41500406147849594</v>
      </c>
      <c r="AP84" s="13"/>
      <c r="AQ84" s="13"/>
      <c r="AR84" s="13"/>
      <c r="AS84" s="13"/>
      <c r="AT84" s="13"/>
      <c r="AU84" s="13"/>
      <c r="AV84" s="13"/>
    </row>
    <row r="85" spans="1:48" ht="15">
      <c r="A85" s="17" t="s">
        <v>123</v>
      </c>
      <c r="B85" s="13" t="str">
        <v/>
      </c>
      <c r="C85" s="13" t="str">
        <v/>
      </c>
      <c r="D85" s="13" t="str">
        <v/>
      </c>
      <c r="E85" s="13" t="str">
        <v/>
      </c>
      <c r="F85" s="13" t="str">
        <v/>
      </c>
      <c r="G85" s="13" t="str">
        <v/>
      </c>
      <c r="H85" s="13" t="str">
        <v/>
      </c>
      <c r="I85" s="13" t="str">
        <v/>
      </c>
      <c r="J85" s="13" t="str">
        <v/>
      </c>
      <c r="K85" s="13" t="str">
        <v/>
      </c>
      <c r="L85" s="13" t="str">
        <v/>
      </c>
      <c r="M85" s="13" t="str">
        <v/>
      </c>
      <c r="N85" s="13" t="str">
        <v/>
      </c>
      <c r="O85" s="13" t="str">
        <v/>
      </c>
      <c r="P85" s="13" t="str">
        <v/>
      </c>
      <c r="Q85" s="13" t="str">
        <v/>
      </c>
      <c r="R85" s="13" t="str">
        <v/>
      </c>
      <c r="S85" s="13" t="str">
        <v/>
      </c>
      <c r="T85" s="13" t="str">
        <v/>
      </c>
      <c r="U85" s="13" t="str">
        <v/>
      </c>
      <c r="V85" s="13" t="str">
        <v/>
      </c>
      <c r="W85" s="13" t="str">
        <v/>
      </c>
      <c r="X85" s="13" t="str">
        <v/>
      </c>
      <c r="Y85" s="13" t="str">
        <v/>
      </c>
      <c r="Z85" s="13" t="str">
        <v/>
      </c>
      <c r="AA85" s="13" t="str">
        <v/>
      </c>
      <c r="AB85" s="13" t="str">
        <v/>
      </c>
      <c r="AC85" s="13" t="str">
        <v/>
      </c>
      <c r="AD85" s="13" t="str">
        <v/>
      </c>
      <c r="AE85" s="13" t="str">
        <v/>
      </c>
      <c r="AF85" s="13" t="str">
        <v/>
      </c>
      <c r="AG85" s="13" t="str">
        <v/>
      </c>
      <c r="AH85" s="13" t="str">
        <v/>
      </c>
      <c r="AI85" s="13" t="str">
        <v/>
      </c>
      <c r="AJ85" s="13" t="str">
        <v/>
      </c>
      <c r="AK85" s="13">
        <v>0.99999999999999989</v>
      </c>
      <c r="AL85" s="13">
        <v>0.32016867416821893</v>
      </c>
      <c r="AM85" s="13">
        <v>0.17823721194479181</v>
      </c>
      <c r="AN85" s="13">
        <v>0.18719500202186765</v>
      </c>
      <c r="AO85" s="13">
        <v>0.39191749209495763</v>
      </c>
      <c r="AP85" s="13"/>
      <c r="AQ85" s="13"/>
      <c r="AR85" s="13"/>
      <c r="AS85" s="13"/>
      <c r="AT85" s="13"/>
      <c r="AU85" s="13"/>
      <c r="AV85" s="13"/>
    </row>
    <row r="86" spans="1:48" ht="15">
      <c r="A86" s="17" t="s">
        <v>127</v>
      </c>
      <c r="B86" s="13" t="str">
        <v/>
      </c>
      <c r="C86" s="13" t="str">
        <v/>
      </c>
      <c r="D86" s="13" t="str">
        <v/>
      </c>
      <c r="E86" s="13" t="str">
        <v/>
      </c>
      <c r="F86" s="13" t="str">
        <v/>
      </c>
      <c r="G86" s="13" t="str">
        <v/>
      </c>
      <c r="H86" s="13" t="str">
        <v/>
      </c>
      <c r="I86" s="13" t="str">
        <v/>
      </c>
      <c r="J86" s="13" t="str">
        <v/>
      </c>
      <c r="K86" s="13" t="str">
        <v/>
      </c>
      <c r="L86" s="13" t="str">
        <v/>
      </c>
      <c r="M86" s="13" t="str">
        <v/>
      </c>
      <c r="N86" s="13" t="str">
        <v/>
      </c>
      <c r="O86" s="13" t="str">
        <v/>
      </c>
      <c r="P86" s="13" t="str">
        <v/>
      </c>
      <c r="Q86" s="13" t="str">
        <v/>
      </c>
      <c r="R86" s="13" t="str">
        <v/>
      </c>
      <c r="S86" s="13" t="str">
        <v/>
      </c>
      <c r="T86" s="13" t="str">
        <v/>
      </c>
      <c r="U86" s="13" t="str">
        <v/>
      </c>
      <c r="V86" s="13" t="str">
        <v/>
      </c>
      <c r="W86" s="13" t="str">
        <v/>
      </c>
      <c r="X86" s="13" t="str">
        <v/>
      </c>
      <c r="Y86" s="13" t="str">
        <v/>
      </c>
      <c r="Z86" s="13" t="str">
        <v/>
      </c>
      <c r="AA86" s="13" t="str">
        <v/>
      </c>
      <c r="AB86" s="13" t="str">
        <v/>
      </c>
      <c r="AC86" s="13" t="str">
        <v/>
      </c>
      <c r="AD86" s="13" t="str">
        <v/>
      </c>
      <c r="AE86" s="13" t="str">
        <v/>
      </c>
      <c r="AF86" s="13" t="str">
        <v/>
      </c>
      <c r="AG86" s="13" t="str">
        <v/>
      </c>
      <c r="AH86" s="13" t="str">
        <v/>
      </c>
      <c r="AI86" s="13" t="str">
        <v/>
      </c>
      <c r="AJ86" s="13" t="str">
        <v/>
      </c>
      <c r="AK86" s="13" t="str">
        <v/>
      </c>
      <c r="AL86" s="13">
        <v>0.99999999999999989</v>
      </c>
      <c r="AM86" s="13">
        <v>0.20506297597652576</v>
      </c>
      <c r="AN86" s="13">
        <v>0.2300498777127005</v>
      </c>
      <c r="AO86" s="13">
        <v>0.56179714048278651</v>
      </c>
      <c r="AP86" s="13"/>
      <c r="AQ86" s="13"/>
      <c r="AR86" s="13"/>
      <c r="AS86" s="13"/>
      <c r="AT86" s="13"/>
      <c r="AU86" s="13"/>
      <c r="AV86" s="13"/>
    </row>
    <row r="87" spans="1:48" ht="15">
      <c r="A87" s="17" t="s">
        <v>139</v>
      </c>
      <c r="B87" s="13" t="str">
        <v/>
      </c>
      <c r="C87" s="13" t="str">
        <v/>
      </c>
      <c r="D87" s="13" t="str">
        <v/>
      </c>
      <c r="E87" s="13" t="str">
        <v/>
      </c>
      <c r="F87" s="13" t="str">
        <v/>
      </c>
      <c r="G87" s="13" t="str">
        <v/>
      </c>
      <c r="H87" s="13" t="str">
        <v/>
      </c>
      <c r="I87" s="13" t="str">
        <v/>
      </c>
      <c r="J87" s="13" t="str">
        <v/>
      </c>
      <c r="K87" s="13" t="str">
        <v/>
      </c>
      <c r="L87" s="13" t="str">
        <v/>
      </c>
      <c r="M87" s="13" t="str">
        <v/>
      </c>
      <c r="N87" s="13" t="str">
        <v/>
      </c>
      <c r="O87" s="13" t="str">
        <v/>
      </c>
      <c r="P87" s="13" t="str">
        <v/>
      </c>
      <c r="Q87" s="13" t="str">
        <v/>
      </c>
      <c r="R87" s="13" t="str">
        <v/>
      </c>
      <c r="S87" s="13" t="str">
        <v/>
      </c>
      <c r="T87" s="13" t="str">
        <v/>
      </c>
      <c r="U87" s="13" t="str">
        <v/>
      </c>
      <c r="V87" s="13" t="str">
        <v/>
      </c>
      <c r="W87" s="13" t="str">
        <v/>
      </c>
      <c r="X87" s="13" t="str">
        <v/>
      </c>
      <c r="Y87" s="13" t="str">
        <v/>
      </c>
      <c r="Z87" s="13" t="str">
        <v/>
      </c>
      <c r="AA87" s="13" t="str">
        <v/>
      </c>
      <c r="AB87" s="13" t="str">
        <v/>
      </c>
      <c r="AC87" s="13" t="str">
        <v/>
      </c>
      <c r="AD87" s="13" t="str">
        <v/>
      </c>
      <c r="AE87" s="13" t="str">
        <v/>
      </c>
      <c r="AF87" s="13" t="str">
        <v/>
      </c>
      <c r="AG87" s="13" t="str">
        <v/>
      </c>
      <c r="AH87" s="13" t="str">
        <v/>
      </c>
      <c r="AI87" s="13" t="str">
        <v/>
      </c>
      <c r="AJ87" s="13" t="str">
        <v/>
      </c>
      <c r="AK87" s="13" t="str">
        <v/>
      </c>
      <c r="AL87" s="13" t="str">
        <v/>
      </c>
      <c r="AM87" s="13">
        <v>0.99999999999999989</v>
      </c>
      <c r="AN87" s="13">
        <v>0.16713633984352361</v>
      </c>
      <c r="AO87" s="13">
        <v>0.11502171496211674</v>
      </c>
      <c r="AP87" s="13"/>
      <c r="AQ87" s="13"/>
      <c r="AR87" s="13"/>
      <c r="AS87" s="13"/>
      <c r="AT87" s="13"/>
      <c r="AU87" s="13"/>
      <c r="AV87" s="13"/>
    </row>
    <row r="88" spans="1:48" ht="15">
      <c r="A88" s="17" t="s">
        <v>140</v>
      </c>
      <c r="B88" s="13" t="str">
        <v/>
      </c>
      <c r="C88" s="13" t="str">
        <v/>
      </c>
      <c r="D88" s="13" t="str">
        <v/>
      </c>
      <c r="E88" s="13" t="str">
        <v/>
      </c>
      <c r="F88" s="13" t="str">
        <v/>
      </c>
      <c r="G88" s="13" t="str">
        <v/>
      </c>
      <c r="H88" s="13" t="str">
        <v/>
      </c>
      <c r="I88" s="13" t="str">
        <v/>
      </c>
      <c r="J88" s="13" t="str">
        <v/>
      </c>
      <c r="K88" s="13" t="str">
        <v/>
      </c>
      <c r="L88" s="13" t="str">
        <v/>
      </c>
      <c r="M88" s="13" t="str">
        <v/>
      </c>
      <c r="N88" s="13" t="str">
        <v/>
      </c>
      <c r="O88" s="13" t="str">
        <v/>
      </c>
      <c r="P88" s="13" t="str">
        <v/>
      </c>
      <c r="Q88" s="13" t="str">
        <v/>
      </c>
      <c r="R88" s="13" t="str">
        <v/>
      </c>
      <c r="S88" s="13" t="str">
        <v/>
      </c>
      <c r="T88" s="13" t="str">
        <v/>
      </c>
      <c r="U88" s="13" t="str">
        <v/>
      </c>
      <c r="V88" s="13" t="str">
        <v/>
      </c>
      <c r="W88" s="13" t="str">
        <v/>
      </c>
      <c r="X88" s="13" t="str">
        <v/>
      </c>
      <c r="Y88" s="13" t="str">
        <v/>
      </c>
      <c r="Z88" s="13" t="str">
        <v/>
      </c>
      <c r="AA88" s="13" t="str">
        <v/>
      </c>
      <c r="AB88" s="13" t="str">
        <v/>
      </c>
      <c r="AC88" s="13" t="str">
        <v/>
      </c>
      <c r="AD88" s="13" t="str">
        <v/>
      </c>
      <c r="AE88" s="13" t="str">
        <v/>
      </c>
      <c r="AF88" s="13" t="str">
        <v/>
      </c>
      <c r="AG88" s="13" t="str">
        <v/>
      </c>
      <c r="AH88" s="13" t="str">
        <v/>
      </c>
      <c r="AI88" s="13" t="str">
        <v/>
      </c>
      <c r="AJ88" s="13" t="str">
        <v/>
      </c>
      <c r="AK88" s="13" t="str">
        <v/>
      </c>
      <c r="AL88" s="13" t="str">
        <v/>
      </c>
      <c r="AM88" s="13" t="str">
        <v/>
      </c>
      <c r="AN88" s="13">
        <v>1</v>
      </c>
      <c r="AO88" s="13">
        <v>0.13325283217248135</v>
      </c>
      <c r="AP88" s="13"/>
      <c r="AQ88" s="13"/>
      <c r="AR88" s="13"/>
      <c r="AS88" s="13"/>
      <c r="AT88" s="13"/>
      <c r="AU88" s="13"/>
      <c r="AV88" s="13"/>
    </row>
    <row r="89" spans="1:48" ht="15">
      <c r="A89" s="17" t="s">
        <v>142</v>
      </c>
      <c r="B89" s="13" t="str">
        <v/>
      </c>
      <c r="C89" s="13" t="str">
        <v/>
      </c>
      <c r="D89" s="13" t="str">
        <v/>
      </c>
      <c r="E89" s="13" t="str">
        <v/>
      </c>
      <c r="F89" s="13" t="str">
        <v/>
      </c>
      <c r="G89" s="13" t="str">
        <v/>
      </c>
      <c r="H89" s="13" t="str">
        <v/>
      </c>
      <c r="I89" s="13" t="str">
        <v/>
      </c>
      <c r="J89" s="13" t="str">
        <v/>
      </c>
      <c r="K89" s="13" t="str">
        <v/>
      </c>
      <c r="L89" s="13" t="str">
        <v/>
      </c>
      <c r="M89" s="13" t="str">
        <v/>
      </c>
      <c r="N89" s="13" t="str">
        <v/>
      </c>
      <c r="O89" s="13" t="str">
        <v/>
      </c>
      <c r="P89" s="13" t="str">
        <v/>
      </c>
      <c r="Q89" s="13" t="str">
        <v/>
      </c>
      <c r="R89" s="13" t="str">
        <v/>
      </c>
      <c r="S89" s="13" t="str">
        <v/>
      </c>
      <c r="T89" s="13" t="str">
        <v/>
      </c>
      <c r="U89" s="13" t="str">
        <v/>
      </c>
      <c r="V89" s="13" t="str">
        <v/>
      </c>
      <c r="W89" s="13" t="str">
        <v/>
      </c>
      <c r="X89" s="13" t="str">
        <v/>
      </c>
      <c r="Y89" s="13" t="str">
        <v/>
      </c>
      <c r="Z89" s="13" t="str">
        <v/>
      </c>
      <c r="AA89" s="13" t="str">
        <v/>
      </c>
      <c r="AB89" s="13" t="str">
        <v/>
      </c>
      <c r="AC89" s="13" t="str">
        <v/>
      </c>
      <c r="AD89" s="13" t="str">
        <v/>
      </c>
      <c r="AE89" s="13" t="str">
        <v/>
      </c>
      <c r="AF89" s="13" t="str">
        <v/>
      </c>
      <c r="AG89" s="13" t="str">
        <v/>
      </c>
      <c r="AH89" s="13" t="str">
        <v/>
      </c>
      <c r="AI89" s="13" t="str">
        <v/>
      </c>
      <c r="AJ89" s="13" t="str">
        <v/>
      </c>
      <c r="AK89" s="13" t="str">
        <v/>
      </c>
      <c r="AL89" s="13" t="str">
        <v/>
      </c>
      <c r="AM89" s="13" t="str">
        <v/>
      </c>
      <c r="AN89" s="13" t="str">
        <v/>
      </c>
      <c r="AO89" s="13">
        <v>1</v>
      </c>
      <c r="AP89" s="13"/>
      <c r="AQ89" s="13"/>
      <c r="AR89" s="13"/>
      <c r="AS89" s="13"/>
      <c r="AT89" s="13"/>
      <c r="AU89" s="13"/>
      <c r="AV89" s="13"/>
    </row>
    <row r="90" spans="1:48" ht="15">
      <c r="A90" s="7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</row>
    <row r="91" spans="1:48" ht="15">
      <c r="A91" s="7" t="s">
        <v>3</v>
      </c>
      <c r="B91" s="1">
        <f t="array" ref="B91">AVERAGEIF(B50:AO89,"&lt;1")</f>
        <v>0.22992159010926555</v>
      </c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</row>
    <row r="92" spans="1:48" ht="15">
      <c r="A92" s="7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</row>
    <row r="93" spans="1:48" ht="15">
      <c r="A93" s="7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</row>
    <row r="94" spans="1:48" ht="15">
      <c r="A94" s="7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</row>
    <row r="95" spans="1:48" ht="15">
      <c r="A95" s="7"/>
      <c r="AP95" s="13"/>
      <c r="AQ95" s="13"/>
      <c r="AR95" s="13"/>
      <c r="AS95" s="13"/>
      <c r="AT95" s="13"/>
      <c r="AU95" s="13"/>
      <c r="AV95" s="13"/>
    </row>
  </sheetData>
  <phoneticPr fontId="19" type="noConversion"/>
  <conditionalFormatting sqref="AP50:AV95 B50:AO94">
    <cfRule type="containsBlanks" dxfId="62" priority="25">
      <formula>LEN(TRIM(B50))=0</formula>
    </cfRule>
    <cfRule type="cellIs" dxfId="61" priority="26" operator="between">
      <formula>0.6</formula>
      <formula>0.99999</formula>
    </cfRule>
  </conditionalFormatting>
  <conditionalFormatting sqref="A90:A95">
    <cfRule type="duplicateValues" dxfId="60" priority="347"/>
  </conditionalFormatting>
  <conditionalFormatting sqref="AP49">
    <cfRule type="duplicateValues" dxfId="59" priority="387"/>
  </conditionalFormatting>
  <conditionalFormatting sqref="A3:A42">
    <cfRule type="duplicateValues" dxfId="58" priority="14"/>
  </conditionalFormatting>
  <conditionalFormatting sqref="A3:A42">
    <cfRule type="duplicateValues" dxfId="57" priority="13"/>
  </conditionalFormatting>
  <conditionalFormatting sqref="A3:A42">
    <cfRule type="duplicateValues" dxfId="56" priority="15"/>
  </conditionalFormatting>
  <conditionalFormatting sqref="B2:AO2">
    <cfRule type="duplicateValues" dxfId="55" priority="8"/>
  </conditionalFormatting>
  <conditionalFormatting sqref="B2:AO2">
    <cfRule type="duplicateValues" dxfId="54" priority="7"/>
  </conditionalFormatting>
  <conditionalFormatting sqref="B2:AO2">
    <cfRule type="duplicateValues" dxfId="53" priority="9"/>
  </conditionalFormatting>
  <conditionalFormatting sqref="A50:A89">
    <cfRule type="duplicateValues" dxfId="52" priority="5"/>
  </conditionalFormatting>
  <conditionalFormatting sqref="A50:A89">
    <cfRule type="duplicateValues" dxfId="51" priority="4"/>
  </conditionalFormatting>
  <conditionalFormatting sqref="A50:A89">
    <cfRule type="duplicateValues" dxfId="50" priority="6"/>
  </conditionalFormatting>
  <conditionalFormatting sqref="B49:AO49">
    <cfRule type="duplicateValues" dxfId="49" priority="2"/>
  </conditionalFormatting>
  <conditionalFormatting sqref="B49:AO49">
    <cfRule type="duplicateValues" dxfId="48" priority="1"/>
  </conditionalFormatting>
  <conditionalFormatting sqref="B49:AO49">
    <cfRule type="duplicateValues" dxfId="47" priority="3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42"/>
  <sheetViews>
    <sheetView zoomScale="50" workbookViewId="0">
      <selection activeCell="A2" sqref="A2:AO42"/>
    </sheetView>
  </sheetViews>
  <sheetFormatPr defaultColWidth="11" defaultRowHeight="14.25"/>
  <cols>
    <col min="2" max="17" width="11" bestFit="1" customWidth="1"/>
    <col min="18" max="18" width="13" bestFit="1" customWidth="1"/>
    <col min="19" max="41" width="11" bestFit="1" customWidth="1"/>
  </cols>
  <sheetData>
    <row r="1" spans="1:41" ht="27">
      <c r="A1" s="2" t="s">
        <v>6</v>
      </c>
    </row>
    <row r="2" spans="1:41" ht="15">
      <c r="B2" s="17" t="s">
        <v>15</v>
      </c>
      <c r="C2" s="17" t="s">
        <v>19</v>
      </c>
      <c r="D2" s="17" t="s">
        <v>17</v>
      </c>
      <c r="E2" s="17" t="s">
        <v>18</v>
      </c>
      <c r="F2" s="17" t="s">
        <v>20</v>
      </c>
      <c r="G2" s="17" t="s">
        <v>22</v>
      </c>
      <c r="H2" s="17" t="s">
        <v>23</v>
      </c>
      <c r="I2" s="17" t="s">
        <v>24</v>
      </c>
      <c r="J2" s="17" t="s">
        <v>29</v>
      </c>
      <c r="K2" s="17" t="s">
        <v>30</v>
      </c>
      <c r="L2" s="17" t="s">
        <v>32</v>
      </c>
      <c r="M2" s="17" t="s">
        <v>41</v>
      </c>
      <c r="N2" s="17" t="s">
        <v>43</v>
      </c>
      <c r="O2" s="17" t="s">
        <v>45</v>
      </c>
      <c r="P2" s="17" t="s">
        <v>47</v>
      </c>
      <c r="Q2" s="17" t="s">
        <v>50</v>
      </c>
      <c r="R2" s="17" t="s">
        <v>52</v>
      </c>
      <c r="S2" s="17" t="s">
        <v>53</v>
      </c>
      <c r="T2" s="17" t="s">
        <v>54</v>
      </c>
      <c r="U2" s="17" t="s">
        <v>57</v>
      </c>
      <c r="V2" s="17" t="s">
        <v>62</v>
      </c>
      <c r="W2" s="17" t="s">
        <v>66</v>
      </c>
      <c r="X2" s="17" t="s">
        <v>70</v>
      </c>
      <c r="Y2" s="17" t="s">
        <v>74</v>
      </c>
      <c r="Z2" s="17" t="s">
        <v>76</v>
      </c>
      <c r="AA2" s="17" t="s">
        <v>79</v>
      </c>
      <c r="AB2" s="17" t="s">
        <v>87</v>
      </c>
      <c r="AC2" s="17" t="s">
        <v>88</v>
      </c>
      <c r="AD2" s="17" t="s">
        <v>91</v>
      </c>
      <c r="AE2" s="17" t="s">
        <v>94</v>
      </c>
      <c r="AF2" s="17" t="s">
        <v>95</v>
      </c>
      <c r="AG2" s="17" t="s">
        <v>102</v>
      </c>
      <c r="AH2" s="17" t="s">
        <v>110</v>
      </c>
      <c r="AI2" s="17" t="s">
        <v>114</v>
      </c>
      <c r="AJ2" s="17" t="s">
        <v>120</v>
      </c>
      <c r="AK2" s="17" t="s">
        <v>123</v>
      </c>
      <c r="AL2" s="17" t="s">
        <v>127</v>
      </c>
      <c r="AM2" s="17" t="s">
        <v>139</v>
      </c>
      <c r="AN2" s="17" t="s">
        <v>140</v>
      </c>
      <c r="AO2" s="17" t="s">
        <v>142</v>
      </c>
    </row>
    <row r="3" spans="1:41" ht="15">
      <c r="A3" s="17" t="s">
        <v>15</v>
      </c>
      <c r="B3" s="1">
        <f t="array" ref="B3:AO42">VarCovar(Data!B132:AO189)</f>
        <v>2.399561424498947E-3</v>
      </c>
      <c r="C3" s="1">
        <v>1.0003862846105869E-3</v>
      </c>
      <c r="D3" s="1">
        <v>1.5625584458189223E-3</v>
      </c>
      <c r="E3" s="1">
        <v>6.4352155597142307E-4</v>
      </c>
      <c r="F3" s="1">
        <v>1.5828570029729385E-3</v>
      </c>
      <c r="G3" s="1">
        <v>1.3923353719089695E-3</v>
      </c>
      <c r="H3" s="1">
        <v>1.775245631961853E-3</v>
      </c>
      <c r="I3" s="1">
        <v>8.5272565906883361E-4</v>
      </c>
      <c r="J3" s="1">
        <v>1.4087415708384523E-3</v>
      </c>
      <c r="K3" s="1">
        <v>1.3986376931731234E-3</v>
      </c>
      <c r="L3" s="1">
        <v>5.8613313628618413E-4</v>
      </c>
      <c r="M3" s="1">
        <v>4.7600815293684349E-5</v>
      </c>
      <c r="N3" s="1">
        <v>1.2592392930008385E-3</v>
      </c>
      <c r="O3" s="1">
        <v>1.4286098549646481E-3</v>
      </c>
      <c r="P3" s="1">
        <v>1.5245843908652625E-3</v>
      </c>
      <c r="Q3" s="1">
        <v>2.863916255584369E-3</v>
      </c>
      <c r="R3" s="1">
        <v>1.4383419990591929E-3</v>
      </c>
      <c r="S3" s="1">
        <v>1.3406737397049762E-3</v>
      </c>
      <c r="T3" s="1">
        <v>1.3694784629303982E-3</v>
      </c>
      <c r="U3" s="1">
        <v>2.5824155051681671E-3</v>
      </c>
      <c r="V3" s="1">
        <v>1.158056789212489E-3</v>
      </c>
      <c r="W3" s="1">
        <v>7.4208032401625176E-4</v>
      </c>
      <c r="X3" s="1">
        <v>9.0324472732769535E-4</v>
      </c>
      <c r="Y3" s="1">
        <v>9.7907499278154678E-4</v>
      </c>
      <c r="Z3" s="1">
        <v>1.245856381618277E-3</v>
      </c>
      <c r="AA3" s="1">
        <v>1.1692185671606031E-3</v>
      </c>
      <c r="AB3" s="1">
        <v>6.1536582242836292E-4</v>
      </c>
      <c r="AC3" s="1">
        <v>2.034394236732141E-3</v>
      </c>
      <c r="AD3" s="1">
        <v>9.2261274358326761E-4</v>
      </c>
      <c r="AE3" s="1">
        <v>1.9658005138676747E-3</v>
      </c>
      <c r="AF3" s="1">
        <v>9.8904828522028876E-4</v>
      </c>
      <c r="AG3" s="1">
        <v>1.9110458371394056E-3</v>
      </c>
      <c r="AH3" s="1">
        <v>2.1966407692762401E-3</v>
      </c>
      <c r="AI3" s="1">
        <v>1.8480285576184087E-3</v>
      </c>
      <c r="AJ3" s="1">
        <v>6.0347755269844988E-4</v>
      </c>
      <c r="AK3" s="1">
        <v>1.245085138931684E-3</v>
      </c>
      <c r="AL3" s="1">
        <v>1.6411223758203061E-3</v>
      </c>
      <c r="AM3" s="1">
        <v>2.931852214482192E-3</v>
      </c>
      <c r="AN3" s="1">
        <v>1.1030023320838401E-3</v>
      </c>
      <c r="AO3" s="1">
        <v>1.2851903873514899E-3</v>
      </c>
    </row>
    <row r="4" spans="1:41" ht="15">
      <c r="A4" s="17" t="s">
        <v>19</v>
      </c>
      <c r="B4" s="1">
        <v>1.0003862846105869E-3</v>
      </c>
      <c r="C4" s="1">
        <v>2.5239939089386301E-3</v>
      </c>
      <c r="D4" s="1">
        <v>1.2146833371624584E-3</v>
      </c>
      <c r="E4" s="1">
        <v>3.7716854680880157E-4</v>
      </c>
      <c r="F4" s="1">
        <v>1.9184466371017428E-3</v>
      </c>
      <c r="G4" s="1">
        <v>1.1901475844933276E-3</v>
      </c>
      <c r="H4" s="1">
        <v>1.5164869137628532E-3</v>
      </c>
      <c r="I4" s="1">
        <v>5.6512324003727364E-4</v>
      </c>
      <c r="J4" s="1">
        <v>9.4237291873927424E-4</v>
      </c>
      <c r="K4" s="1">
        <v>1.8686758111190803E-3</v>
      </c>
      <c r="L4" s="1">
        <v>6.3968021380549393E-4</v>
      </c>
      <c r="M4" s="1">
        <v>6.2399299472693296E-4</v>
      </c>
      <c r="N4" s="1">
        <v>4.6861144437727859E-4</v>
      </c>
      <c r="O4" s="1">
        <v>5.1272779205103482E-4</v>
      </c>
      <c r="P4" s="1">
        <v>5.8899977861207747E-4</v>
      </c>
      <c r="Q4" s="1">
        <v>1.8937206684122244E-3</v>
      </c>
      <c r="R4" s="1">
        <v>3.0818971960339461E-4</v>
      </c>
      <c r="S4" s="1">
        <v>2.5911674959733921E-4</v>
      </c>
      <c r="T4" s="1">
        <v>3.9608101466055668E-4</v>
      </c>
      <c r="U4" s="1">
        <v>2.7075733469579073E-3</v>
      </c>
      <c r="V4" s="1">
        <v>7.4332650503897721E-4</v>
      </c>
      <c r="W4" s="1">
        <v>3.6938047030877987E-4</v>
      </c>
      <c r="X4" s="1">
        <v>-1.5506961714874017E-5</v>
      </c>
      <c r="Y4" s="1">
        <v>1.4825000069300812E-4</v>
      </c>
      <c r="Z4" s="1">
        <v>7.6500389556884586E-4</v>
      </c>
      <c r="AA4" s="1">
        <v>7.8195017523780301E-4</v>
      </c>
      <c r="AB4" s="1">
        <v>7.267774202207774E-4</v>
      </c>
      <c r="AC4" s="1">
        <v>-4.8716869517167284E-4</v>
      </c>
      <c r="AD4" s="1">
        <v>1.0692924851929133E-3</v>
      </c>
      <c r="AE4" s="1">
        <v>9.5782720552811283E-4</v>
      </c>
      <c r="AF4" s="1">
        <v>1.107133997783345E-3</v>
      </c>
      <c r="AG4" s="1">
        <v>2.4276170346381728E-4</v>
      </c>
      <c r="AH4" s="1">
        <v>1.0287976678004724E-3</v>
      </c>
      <c r="AI4" s="1">
        <v>1.1050635056198842E-3</v>
      </c>
      <c r="AJ4" s="1">
        <v>4.3732113743415033E-4</v>
      </c>
      <c r="AK4" s="1">
        <v>7.20858597532851E-4</v>
      </c>
      <c r="AL4" s="1">
        <v>1.2617161013877809E-3</v>
      </c>
      <c r="AM4" s="1">
        <v>1.8993498772348885E-3</v>
      </c>
      <c r="AN4" s="1">
        <v>5.2226896543385091E-4</v>
      </c>
      <c r="AO4" s="1">
        <v>1.1358567721405837E-4</v>
      </c>
    </row>
    <row r="5" spans="1:41" ht="15">
      <c r="A5" s="17" t="s">
        <v>17</v>
      </c>
      <c r="B5" s="1">
        <v>1.5625584458189223E-3</v>
      </c>
      <c r="C5" s="1">
        <v>1.2146833371624584E-3</v>
      </c>
      <c r="D5" s="1">
        <v>4.8172862830021135E-3</v>
      </c>
      <c r="E5" s="1">
        <v>7.7261970119435258E-4</v>
      </c>
      <c r="F5" s="1">
        <v>1.7980350201614005E-3</v>
      </c>
      <c r="G5" s="1">
        <v>6.6119601068862746E-4</v>
      </c>
      <c r="H5" s="1">
        <v>2.793776096763768E-3</v>
      </c>
      <c r="I5" s="1">
        <v>4.4702436102343025E-4</v>
      </c>
      <c r="J5" s="1">
        <v>5.7225809692670892E-4</v>
      </c>
      <c r="K5" s="1">
        <v>1.673044990839954E-3</v>
      </c>
      <c r="L5" s="1">
        <v>9.2731429142204952E-4</v>
      </c>
      <c r="M5" s="1">
        <v>6.8985150023547078E-4</v>
      </c>
      <c r="N5" s="1">
        <v>9.9503867293434145E-4</v>
      </c>
      <c r="O5" s="1">
        <v>2.7318322581879935E-4</v>
      </c>
      <c r="P5" s="1">
        <v>1.1365561774740944E-3</v>
      </c>
      <c r="Q5" s="1">
        <v>2.3625933679072672E-3</v>
      </c>
      <c r="R5" s="1">
        <v>4.4119213524319715E-5</v>
      </c>
      <c r="S5" s="1">
        <v>1.6296812995658121E-3</v>
      </c>
      <c r="T5" s="1">
        <v>7.1650472725270301E-4</v>
      </c>
      <c r="U5" s="1">
        <v>2.6530723854065056E-3</v>
      </c>
      <c r="V5" s="1">
        <v>6.4249541398555209E-4</v>
      </c>
      <c r="W5" s="1">
        <v>1.2684794787924189E-4</v>
      </c>
      <c r="X5" s="1">
        <v>-1.0751549185746446E-4</v>
      </c>
      <c r="Y5" s="1">
        <v>1.1949452059709965E-3</v>
      </c>
      <c r="Z5" s="1">
        <v>-1.6732022842624774E-4</v>
      </c>
      <c r="AA5" s="1">
        <v>9.1607705235460606E-4</v>
      </c>
      <c r="AB5" s="1">
        <v>-1.9395525701897516E-4</v>
      </c>
      <c r="AC5" s="1">
        <v>-1.7404408819257421E-3</v>
      </c>
      <c r="AD5" s="1">
        <v>1.7985926569350725E-4</v>
      </c>
      <c r="AE5" s="1">
        <v>4.8554302026110097E-4</v>
      </c>
      <c r="AF5" s="1">
        <v>2.0633674026275455E-4</v>
      </c>
      <c r="AG5" s="1">
        <v>1.002954915746786E-4</v>
      </c>
      <c r="AH5" s="1">
        <v>1.6916879370378114E-3</v>
      </c>
      <c r="AI5" s="1">
        <v>-5.7773069253003553E-4</v>
      </c>
      <c r="AJ5" s="1">
        <v>4.533007022813719E-5</v>
      </c>
      <c r="AK5" s="1">
        <v>4.2715904218126524E-4</v>
      </c>
      <c r="AL5" s="1">
        <v>1.013099297831782E-3</v>
      </c>
      <c r="AM5" s="1">
        <v>1.8704780394653586E-3</v>
      </c>
      <c r="AN5" s="1">
        <v>-4.1974062406284582E-4</v>
      </c>
      <c r="AO5" s="1">
        <v>4.8946081349817509E-5</v>
      </c>
    </row>
    <row r="6" spans="1:41" ht="15">
      <c r="A6" s="17" t="s">
        <v>18</v>
      </c>
      <c r="B6" s="1">
        <v>6.4352155597142307E-4</v>
      </c>
      <c r="C6" s="1">
        <v>3.7716854680880157E-4</v>
      </c>
      <c r="D6" s="1">
        <v>7.7261970119435258E-4</v>
      </c>
      <c r="E6" s="1">
        <v>7.0123970050019789E-3</v>
      </c>
      <c r="F6" s="1">
        <v>1.497665759208228E-3</v>
      </c>
      <c r="G6" s="1">
        <v>5.5064623740258166E-4</v>
      </c>
      <c r="H6" s="1">
        <v>2.9679530887892461E-3</v>
      </c>
      <c r="I6" s="1">
        <v>5.2557611905244806E-4</v>
      </c>
      <c r="J6" s="1">
        <v>1.7158437786861274E-3</v>
      </c>
      <c r="K6" s="1">
        <v>2.9738429544432631E-3</v>
      </c>
      <c r="L6" s="1">
        <v>9.6384843693359673E-4</v>
      </c>
      <c r="M6" s="1">
        <v>2.0054388384966523E-3</v>
      </c>
      <c r="N6" s="1">
        <v>1.322354084992232E-3</v>
      </c>
      <c r="O6" s="1">
        <v>1.2843180715427966E-3</v>
      </c>
      <c r="P6" s="1">
        <v>1.6377533484883803E-3</v>
      </c>
      <c r="Q6" s="1">
        <v>-9.5780908487313717E-4</v>
      </c>
      <c r="R6" s="1">
        <v>2.6377626142499457E-3</v>
      </c>
      <c r="S6" s="1">
        <v>1.0612857922208737E-3</v>
      </c>
      <c r="T6" s="1">
        <v>1.5508029721417733E-3</v>
      </c>
      <c r="U6" s="1">
        <v>4.3655823428054279E-3</v>
      </c>
      <c r="V6" s="1">
        <v>9.6003573644335631E-4</v>
      </c>
      <c r="W6" s="1">
        <v>7.7926072780710347E-4</v>
      </c>
      <c r="X6" s="1">
        <v>1.9345094082140525E-3</v>
      </c>
      <c r="Y6" s="1">
        <v>3.6418011125500813E-3</v>
      </c>
      <c r="Z6" s="1">
        <v>5.8186327139360355E-5</v>
      </c>
      <c r="AA6" s="1">
        <v>1.6608048103045497E-3</v>
      </c>
      <c r="AB6" s="1">
        <v>1.9907059922330715E-3</v>
      </c>
      <c r="AC6" s="1">
        <v>3.1136723985708088E-3</v>
      </c>
      <c r="AD6" s="1">
        <v>-4.4017562724195868E-4</v>
      </c>
      <c r="AE6" s="1">
        <v>1.672050959649415E-4</v>
      </c>
      <c r="AF6" s="1">
        <v>3.4211749547841927E-5</v>
      </c>
      <c r="AG6" s="1">
        <v>4.769640493911404E-4</v>
      </c>
      <c r="AH6" s="1">
        <v>1.6557464065726783E-3</v>
      </c>
      <c r="AI6" s="1">
        <v>2.0492923255494015E-3</v>
      </c>
      <c r="AJ6" s="1">
        <v>3.6540647837184207E-3</v>
      </c>
      <c r="AK6" s="1">
        <v>1.2411142344615253E-3</v>
      </c>
      <c r="AL6" s="1">
        <v>2.420454120566861E-3</v>
      </c>
      <c r="AM6" s="1">
        <v>2.7367962630821165E-3</v>
      </c>
      <c r="AN6" s="1">
        <v>9.1411807406567179E-4</v>
      </c>
      <c r="AO6" s="1">
        <v>7.424420018240876E-4</v>
      </c>
    </row>
    <row r="7" spans="1:41" ht="15">
      <c r="A7" s="17" t="s">
        <v>20</v>
      </c>
      <c r="B7" s="1">
        <v>1.5828570029729385E-3</v>
      </c>
      <c r="C7" s="1">
        <v>1.9184466371017428E-3</v>
      </c>
      <c r="D7" s="1">
        <v>1.7980350201614005E-3</v>
      </c>
      <c r="E7" s="1">
        <v>1.497665759208228E-3</v>
      </c>
      <c r="F7" s="1">
        <v>4.2330519953896707E-3</v>
      </c>
      <c r="G7" s="1">
        <v>1.7084379771604198E-3</v>
      </c>
      <c r="H7" s="1">
        <v>2.3104755021554945E-3</v>
      </c>
      <c r="I7" s="1">
        <v>6.4522735425572096E-4</v>
      </c>
      <c r="J7" s="1">
        <v>1.8023526272787011E-3</v>
      </c>
      <c r="K7" s="1">
        <v>2.5090579752582963E-3</v>
      </c>
      <c r="L7" s="1">
        <v>1.1925003046703775E-3</v>
      </c>
      <c r="M7" s="1">
        <v>1.0082034616399544E-3</v>
      </c>
      <c r="N7" s="1">
        <v>1.043212955858822E-3</v>
      </c>
      <c r="O7" s="1">
        <v>1.180665833352329E-3</v>
      </c>
      <c r="P7" s="1">
        <v>9.5406640203959047E-4</v>
      </c>
      <c r="Q7" s="1">
        <v>2.4928844964524897E-3</v>
      </c>
      <c r="R7" s="1">
        <v>1.1320895057651099E-3</v>
      </c>
      <c r="S7" s="1">
        <v>1.0078394186236914E-3</v>
      </c>
      <c r="T7" s="1">
        <v>1.4952466142051136E-3</v>
      </c>
      <c r="U7" s="1">
        <v>4.6946294764214974E-3</v>
      </c>
      <c r="V7" s="1">
        <v>5.614338540334109E-4</v>
      </c>
      <c r="W7" s="1">
        <v>2.0511612157790083E-4</v>
      </c>
      <c r="X7" s="1">
        <v>4.5444664383112709E-4</v>
      </c>
      <c r="Y7" s="1">
        <v>5.5403032416753131E-4</v>
      </c>
      <c r="Z7" s="1">
        <v>5.3796102889733472E-4</v>
      </c>
      <c r="AA7" s="1">
        <v>1.3602416076236709E-3</v>
      </c>
      <c r="AB7" s="1">
        <v>1.0281696922739001E-3</v>
      </c>
      <c r="AC7" s="1">
        <v>-1.1539804856844421E-3</v>
      </c>
      <c r="AD7" s="1">
        <v>9.050396777896334E-4</v>
      </c>
      <c r="AE7" s="1">
        <v>7.6846808382958706E-4</v>
      </c>
      <c r="AF7" s="1">
        <v>9.9663151995039393E-4</v>
      </c>
      <c r="AG7" s="1">
        <v>1.2370175660560063E-3</v>
      </c>
      <c r="AH7" s="1">
        <v>2.4348239572372118E-3</v>
      </c>
      <c r="AI7" s="1">
        <v>1.925101268135861E-3</v>
      </c>
      <c r="AJ7" s="1">
        <v>2.6965063487649267E-3</v>
      </c>
      <c r="AK7" s="1">
        <v>1.3449598897855789E-3</v>
      </c>
      <c r="AL7" s="1">
        <v>1.7507654423845715E-3</v>
      </c>
      <c r="AM7" s="1">
        <v>2.7057491325352574E-3</v>
      </c>
      <c r="AN7" s="1">
        <v>6.3251913789167985E-4</v>
      </c>
      <c r="AO7" s="1">
        <v>1.8646384571778846E-4</v>
      </c>
    </row>
    <row r="8" spans="1:41" ht="15">
      <c r="A8" s="17" t="s">
        <v>22</v>
      </c>
      <c r="B8" s="1">
        <v>1.3923353719089695E-3</v>
      </c>
      <c r="C8" s="1">
        <v>1.1901475844933276E-3</v>
      </c>
      <c r="D8" s="1">
        <v>6.6119601068862746E-4</v>
      </c>
      <c r="E8" s="1">
        <v>5.5064623740258166E-4</v>
      </c>
      <c r="F8" s="1">
        <v>1.7084379771604198E-3</v>
      </c>
      <c r="G8" s="1">
        <v>3.2902881245795183E-3</v>
      </c>
      <c r="H8" s="1">
        <v>2.5525498839865024E-3</v>
      </c>
      <c r="I8" s="1">
        <v>1.9277444098534876E-3</v>
      </c>
      <c r="J8" s="1">
        <v>1.3046888396884883E-3</v>
      </c>
      <c r="K8" s="1">
        <v>1.3938012654634501E-3</v>
      </c>
      <c r="L8" s="1">
        <v>1.1966547761541951E-3</v>
      </c>
      <c r="M8" s="1">
        <v>9.3607888297945238E-4</v>
      </c>
      <c r="N8" s="1">
        <v>1.4273043768064453E-3</v>
      </c>
      <c r="O8" s="1">
        <v>1.217328186983072E-3</v>
      </c>
      <c r="P8" s="1">
        <v>4.9541336312515277E-4</v>
      </c>
      <c r="Q8" s="1">
        <v>2.2373301404637657E-3</v>
      </c>
      <c r="R8" s="1">
        <v>2.3324303357593113E-3</v>
      </c>
      <c r="S8" s="1">
        <v>2.9064451873160575E-5</v>
      </c>
      <c r="T8" s="1">
        <v>1.1015169126080055E-3</v>
      </c>
      <c r="U8" s="1">
        <v>3.6958136458078491E-3</v>
      </c>
      <c r="V8" s="1">
        <v>2.2154527205951549E-3</v>
      </c>
      <c r="W8" s="1">
        <v>2.009253419239502E-3</v>
      </c>
      <c r="X8" s="1">
        <v>2.3789020409062189E-4</v>
      </c>
      <c r="Y8" s="1">
        <v>1.3961640813926317E-3</v>
      </c>
      <c r="Z8" s="1">
        <v>1.0406561149092536E-3</v>
      </c>
      <c r="AA8" s="1">
        <v>8.5488492232431228E-4</v>
      </c>
      <c r="AB8" s="1">
        <v>1.2240982082109401E-3</v>
      </c>
      <c r="AC8" s="1">
        <v>7.8861790440682203E-4</v>
      </c>
      <c r="AD8" s="1">
        <v>6.7748919596592261E-4</v>
      </c>
      <c r="AE8" s="1">
        <v>1.3472950686054591E-3</v>
      </c>
      <c r="AF8" s="1">
        <v>1.072501317125406E-3</v>
      </c>
      <c r="AG8" s="1">
        <v>1.3692044249588482E-3</v>
      </c>
      <c r="AH8" s="1">
        <v>2.1509463505463549E-3</v>
      </c>
      <c r="AI8" s="1">
        <v>2.0084198516966082E-3</v>
      </c>
      <c r="AJ8" s="1">
        <v>1.1530138948654125E-3</v>
      </c>
      <c r="AK8" s="1">
        <v>6.0111672451033569E-4</v>
      </c>
      <c r="AL8" s="1">
        <v>1.0634715544763549E-3</v>
      </c>
      <c r="AM8" s="1">
        <v>2.3982526250466282E-3</v>
      </c>
      <c r="AN8" s="1">
        <v>1.2422259618738293E-3</v>
      </c>
      <c r="AO8" s="1">
        <v>1.2956815744458903E-3</v>
      </c>
    </row>
    <row r="9" spans="1:41" ht="15">
      <c r="A9" s="17" t="s">
        <v>23</v>
      </c>
      <c r="B9" s="1">
        <v>1.775245631961853E-3</v>
      </c>
      <c r="C9" s="1">
        <v>1.5164869137628532E-3</v>
      </c>
      <c r="D9" s="1">
        <v>2.793776096763768E-3</v>
      </c>
      <c r="E9" s="1">
        <v>2.9679530887892461E-3</v>
      </c>
      <c r="F9" s="1">
        <v>2.3104755021554945E-3</v>
      </c>
      <c r="G9" s="1">
        <v>2.5525498839865024E-3</v>
      </c>
      <c r="H9" s="1">
        <v>8.9640850068638377E-3</v>
      </c>
      <c r="I9" s="1">
        <v>2.3663487825982018E-3</v>
      </c>
      <c r="J9" s="1">
        <v>1.3180924575567545E-3</v>
      </c>
      <c r="K9" s="1">
        <v>2.0863283115904368E-3</v>
      </c>
      <c r="L9" s="1">
        <v>1.4748423388518963E-3</v>
      </c>
      <c r="M9" s="1">
        <v>1.9914585554261237E-3</v>
      </c>
      <c r="N9" s="1">
        <v>2.1681105855060278E-3</v>
      </c>
      <c r="O9" s="1">
        <v>1.6580364117078062E-3</v>
      </c>
      <c r="P9" s="1">
        <v>3.6877941700016919E-3</v>
      </c>
      <c r="Q9" s="1">
        <v>2.5021284304731894E-3</v>
      </c>
      <c r="R9" s="1">
        <v>2.5568182438940471E-3</v>
      </c>
      <c r="S9" s="1">
        <v>1.2706644221077866E-3</v>
      </c>
      <c r="T9" s="1">
        <v>2.293596337070776E-3</v>
      </c>
      <c r="U9" s="1">
        <v>4.4526889796337029E-3</v>
      </c>
      <c r="V9" s="1">
        <v>2.114537074304877E-3</v>
      </c>
      <c r="W9" s="1">
        <v>2.2615803232984419E-3</v>
      </c>
      <c r="X9" s="1">
        <v>1.4307738149782053E-3</v>
      </c>
      <c r="Y9" s="1">
        <v>4.0730030057022559E-3</v>
      </c>
      <c r="Z9" s="1">
        <v>4.0876146592573583E-5</v>
      </c>
      <c r="AA9" s="1">
        <v>1.9921279906585762E-3</v>
      </c>
      <c r="AB9" s="1">
        <v>1.51855085400096E-3</v>
      </c>
      <c r="AC9" s="1">
        <v>3.6611813229084914E-4</v>
      </c>
      <c r="AD9" s="1">
        <v>8.3146887406036153E-5</v>
      </c>
      <c r="AE9" s="1">
        <v>1.0971940594041798E-3</v>
      </c>
      <c r="AF9" s="1">
        <v>5.4040585284522791E-4</v>
      </c>
      <c r="AG9" s="1">
        <v>1.4369054426761666E-3</v>
      </c>
      <c r="AH9" s="1">
        <v>1.2700384392090494E-3</v>
      </c>
      <c r="AI9" s="1">
        <v>7.6823645710396692E-4</v>
      </c>
      <c r="AJ9" s="1">
        <v>3.6757153383900399E-3</v>
      </c>
      <c r="AK9" s="1">
        <v>8.2184689739047832E-4</v>
      </c>
      <c r="AL9" s="1">
        <v>2.2739603680219981E-3</v>
      </c>
      <c r="AM9" s="1">
        <v>1.1534979334236351E-3</v>
      </c>
      <c r="AN9" s="1">
        <v>1.4090316659352781E-3</v>
      </c>
      <c r="AO9" s="1">
        <v>1.7344635285310272E-3</v>
      </c>
    </row>
    <row r="10" spans="1:41" ht="15">
      <c r="A10" s="17" t="s">
        <v>24</v>
      </c>
      <c r="B10" s="1">
        <v>8.5272565906883361E-4</v>
      </c>
      <c r="C10" s="1">
        <v>5.6512324003727364E-4</v>
      </c>
      <c r="D10" s="1">
        <v>4.4702436102343025E-4</v>
      </c>
      <c r="E10" s="1">
        <v>5.2557611905244806E-4</v>
      </c>
      <c r="F10" s="1">
        <v>6.4522735425572096E-4</v>
      </c>
      <c r="G10" s="1">
        <v>1.9277444098534876E-3</v>
      </c>
      <c r="H10" s="1">
        <v>2.3663487825982018E-3</v>
      </c>
      <c r="I10" s="1">
        <v>5.4733530102919169E-3</v>
      </c>
      <c r="J10" s="1">
        <v>1.2876500900791503E-3</v>
      </c>
      <c r="K10" s="1">
        <v>3.71442806597647E-4</v>
      </c>
      <c r="L10" s="1">
        <v>2.9000300296126653E-4</v>
      </c>
      <c r="M10" s="1">
        <v>1.8613727142550278E-3</v>
      </c>
      <c r="N10" s="1">
        <v>1.5465954476613706E-3</v>
      </c>
      <c r="O10" s="1">
        <v>1.5476019032399221E-3</v>
      </c>
      <c r="P10" s="1">
        <v>1.868432709292656E-3</v>
      </c>
      <c r="Q10" s="1">
        <v>7.2629803138317926E-4</v>
      </c>
      <c r="R10" s="1">
        <v>3.1790152859123254E-3</v>
      </c>
      <c r="S10" s="1">
        <v>-5.6396247322141485E-4</v>
      </c>
      <c r="T10" s="1">
        <v>1.0250713466552106E-3</v>
      </c>
      <c r="U10" s="1">
        <v>6.3506528131000127E-3</v>
      </c>
      <c r="V10" s="1">
        <v>2.340741263208687E-3</v>
      </c>
      <c r="W10" s="1">
        <v>2.2880521335642851E-3</v>
      </c>
      <c r="X10" s="1">
        <v>2.0014508292090726E-3</v>
      </c>
      <c r="Y10" s="1">
        <v>2.2212219263990415E-3</v>
      </c>
      <c r="Z10" s="1">
        <v>6.0256064447154767E-4</v>
      </c>
      <c r="AA10" s="1">
        <v>1.6868045564561326E-3</v>
      </c>
      <c r="AB10" s="1">
        <v>1.4895665475978632E-3</v>
      </c>
      <c r="AC10" s="1">
        <v>1.6676710020915332E-3</v>
      </c>
      <c r="AD10" s="1">
        <v>3.1956734607411716E-4</v>
      </c>
      <c r="AE10" s="1">
        <v>1.7178599878081577E-3</v>
      </c>
      <c r="AF10" s="1">
        <v>1.3522990663177514E-3</v>
      </c>
      <c r="AG10" s="1">
        <v>2.2250951166241347E-3</v>
      </c>
      <c r="AH10" s="1">
        <v>1.9500946117015361E-3</v>
      </c>
      <c r="AI10" s="1">
        <v>2.1272741221085851E-3</v>
      </c>
      <c r="AJ10" s="1">
        <v>1.4303633407626716E-3</v>
      </c>
      <c r="AK10" s="1">
        <v>6.9743991367846026E-4</v>
      </c>
      <c r="AL10" s="1">
        <v>1.313238359005023E-3</v>
      </c>
      <c r="AM10" s="1">
        <v>1.2190398764411266E-3</v>
      </c>
      <c r="AN10" s="1">
        <v>2.6865436009399345E-3</v>
      </c>
      <c r="AO10" s="1">
        <v>1.0470984970288671E-3</v>
      </c>
    </row>
    <row r="11" spans="1:41" ht="15">
      <c r="A11" s="17" t="s">
        <v>29</v>
      </c>
      <c r="B11" s="1">
        <v>1.4087415708384523E-3</v>
      </c>
      <c r="C11" s="1">
        <v>9.4237291873927424E-4</v>
      </c>
      <c r="D11" s="1">
        <v>5.7225809692670892E-4</v>
      </c>
      <c r="E11" s="1">
        <v>1.7158437786861274E-3</v>
      </c>
      <c r="F11" s="1">
        <v>1.8023526272787011E-3</v>
      </c>
      <c r="G11" s="1">
        <v>1.3046888396884883E-3</v>
      </c>
      <c r="H11" s="1">
        <v>1.3180924575567545E-3</v>
      </c>
      <c r="I11" s="1">
        <v>1.2876500900791503E-3</v>
      </c>
      <c r="J11" s="1">
        <v>3.6042788399399993E-3</v>
      </c>
      <c r="K11" s="1">
        <v>2.6848337524188509E-3</v>
      </c>
      <c r="L11" s="1">
        <v>8.9439016621896135E-4</v>
      </c>
      <c r="M11" s="1">
        <v>3.2826319795215903E-4</v>
      </c>
      <c r="N11" s="1">
        <v>9.8373832127290482E-4</v>
      </c>
      <c r="O11" s="1">
        <v>1.3483710295870103E-3</v>
      </c>
      <c r="P11" s="1">
        <v>1.4598675923733382E-3</v>
      </c>
      <c r="Q11" s="1">
        <v>1.0635799413278057E-3</v>
      </c>
      <c r="R11" s="1">
        <v>1.3371220302362096E-3</v>
      </c>
      <c r="S11" s="1">
        <v>6.0526979729970886E-4</v>
      </c>
      <c r="T11" s="1">
        <v>1.1620765519169559E-3</v>
      </c>
      <c r="U11" s="1">
        <v>3.7150611752850451E-3</v>
      </c>
      <c r="V11" s="1">
        <v>1.1845947234839229E-3</v>
      </c>
      <c r="W11" s="1">
        <v>8.7724252641293893E-4</v>
      </c>
      <c r="X11" s="1">
        <v>1.3038472704882617E-3</v>
      </c>
      <c r="Y11" s="1">
        <v>3.4132518900143149E-4</v>
      </c>
      <c r="Z11" s="1">
        <v>9.1939373339288322E-4</v>
      </c>
      <c r="AA11" s="1">
        <v>1.0131267201258574E-3</v>
      </c>
      <c r="AB11" s="1">
        <v>1.7148370696927521E-3</v>
      </c>
      <c r="AC11" s="1">
        <v>1.8970641414084314E-3</v>
      </c>
      <c r="AD11" s="1">
        <v>5.3182628113373771E-4</v>
      </c>
      <c r="AE11" s="1">
        <v>1.193196820326997E-3</v>
      </c>
      <c r="AF11" s="1">
        <v>6.9210328530892634E-4</v>
      </c>
      <c r="AG11" s="1">
        <v>3.0558850954461787E-3</v>
      </c>
      <c r="AH11" s="1">
        <v>1.8778542812219353E-3</v>
      </c>
      <c r="AI11" s="1">
        <v>2.5014071827525789E-3</v>
      </c>
      <c r="AJ11" s="1">
        <v>2.7832508229990345E-3</v>
      </c>
      <c r="AK11" s="1">
        <v>1.958890526277797E-3</v>
      </c>
      <c r="AL11" s="1">
        <v>1.863362213677076E-3</v>
      </c>
      <c r="AM11" s="1">
        <v>2.4103508752523419E-3</v>
      </c>
      <c r="AN11" s="1">
        <v>1.6870664501660935E-3</v>
      </c>
      <c r="AO11" s="1">
        <v>8.2775538598598634E-4</v>
      </c>
    </row>
    <row r="12" spans="1:41" ht="15">
      <c r="A12" s="17" t="s">
        <v>30</v>
      </c>
      <c r="B12" s="1">
        <v>1.3986376931731234E-3</v>
      </c>
      <c r="C12" s="1">
        <v>1.8686758111190803E-3</v>
      </c>
      <c r="D12" s="1">
        <v>1.673044990839954E-3</v>
      </c>
      <c r="E12" s="1">
        <v>2.9738429544432631E-3</v>
      </c>
      <c r="F12" s="1">
        <v>2.5090579752582963E-3</v>
      </c>
      <c r="G12" s="1">
        <v>1.3938012654634501E-3</v>
      </c>
      <c r="H12" s="1">
        <v>2.0863283115904368E-3</v>
      </c>
      <c r="I12" s="1">
        <v>3.71442806597647E-4</v>
      </c>
      <c r="J12" s="1">
        <v>2.6848337524188509E-3</v>
      </c>
      <c r="K12" s="1">
        <v>6.4475301889323567E-3</v>
      </c>
      <c r="L12" s="1">
        <v>1.0382864368205899E-3</v>
      </c>
      <c r="M12" s="1">
        <v>6.1867388350402366E-4</v>
      </c>
      <c r="N12" s="1">
        <v>8.7604730707230229E-4</v>
      </c>
      <c r="O12" s="1">
        <v>1.0044616734829956E-3</v>
      </c>
      <c r="P12" s="1">
        <v>2.2048548113249669E-3</v>
      </c>
      <c r="Q12" s="1">
        <v>3.6105492943225761E-3</v>
      </c>
      <c r="R12" s="1">
        <v>7.9266867277724858E-4</v>
      </c>
      <c r="S12" s="1">
        <v>3.6729277153288534E-4</v>
      </c>
      <c r="T12" s="1">
        <v>8.4758957983275336E-4</v>
      </c>
      <c r="U12" s="1">
        <v>5.3198037337852666E-3</v>
      </c>
      <c r="V12" s="1">
        <v>6.3836884071539481E-4</v>
      </c>
      <c r="W12" s="1">
        <v>-1.8141943508940287E-4</v>
      </c>
      <c r="X12" s="1">
        <v>1.3559786544268381E-3</v>
      </c>
      <c r="Y12" s="1">
        <v>-4.5130220523616611E-4</v>
      </c>
      <c r="Z12" s="1">
        <v>6.9273079687862495E-4</v>
      </c>
      <c r="AA12" s="1">
        <v>1.5534540027687697E-3</v>
      </c>
      <c r="AB12" s="1">
        <v>1.5578354493865378E-3</v>
      </c>
      <c r="AC12" s="1">
        <v>1.5319224785109501E-3</v>
      </c>
      <c r="AD12" s="1">
        <v>6.9843379561893612E-4</v>
      </c>
      <c r="AE12" s="1">
        <v>5.1783557531890115E-4</v>
      </c>
      <c r="AF12" s="1">
        <v>1.0136276633100172E-3</v>
      </c>
      <c r="AG12" s="1">
        <v>2.6626827274310173E-3</v>
      </c>
      <c r="AH12" s="1">
        <v>3.764631946025351E-3</v>
      </c>
      <c r="AI12" s="1">
        <v>2.3774982817917397E-3</v>
      </c>
      <c r="AJ12" s="1">
        <v>4.6349601181550236E-3</v>
      </c>
      <c r="AK12" s="1">
        <v>2.7264710098820525E-3</v>
      </c>
      <c r="AL12" s="1">
        <v>2.5014030351887965E-3</v>
      </c>
      <c r="AM12" s="1">
        <v>1.8455375564456885E-3</v>
      </c>
      <c r="AN12" s="1">
        <v>7.5413946571007296E-4</v>
      </c>
      <c r="AO12" s="1">
        <v>2.2203164818035744E-3</v>
      </c>
    </row>
    <row r="13" spans="1:41" ht="15">
      <c r="A13" s="17" t="s">
        <v>32</v>
      </c>
      <c r="B13" s="1">
        <v>5.8613313628618413E-4</v>
      </c>
      <c r="C13" s="1">
        <v>6.3968021380549393E-4</v>
      </c>
      <c r="D13" s="1">
        <v>9.2731429142204952E-4</v>
      </c>
      <c r="E13" s="1">
        <v>9.6384843693359673E-4</v>
      </c>
      <c r="F13" s="1">
        <v>1.1925003046703775E-3</v>
      </c>
      <c r="G13" s="1">
        <v>1.1966547761541951E-3</v>
      </c>
      <c r="H13" s="1">
        <v>1.4748423388518963E-3</v>
      </c>
      <c r="I13" s="1">
        <v>2.9000300296126653E-4</v>
      </c>
      <c r="J13" s="1">
        <v>8.9439016621896135E-4</v>
      </c>
      <c r="K13" s="1">
        <v>1.0382864368205899E-3</v>
      </c>
      <c r="L13" s="1">
        <v>8.9553439124222343E-3</v>
      </c>
      <c r="M13" s="1">
        <v>9.1321754519306888E-4</v>
      </c>
      <c r="N13" s="1">
        <v>3.7012084375855498E-4</v>
      </c>
      <c r="O13" s="1">
        <v>4.1601726471400606E-4</v>
      </c>
      <c r="P13" s="1">
        <v>2.085838982637968E-3</v>
      </c>
      <c r="Q13" s="1">
        <v>1.1346959916566921E-3</v>
      </c>
      <c r="R13" s="1">
        <v>4.0978637396861086E-3</v>
      </c>
      <c r="S13" s="1">
        <v>-8.9076908211305835E-4</v>
      </c>
      <c r="T13" s="1">
        <v>2.9854720838140976E-4</v>
      </c>
      <c r="U13" s="1">
        <v>4.0643875920952236E-3</v>
      </c>
      <c r="V13" s="1">
        <v>2.1116445768947639E-3</v>
      </c>
      <c r="W13" s="1">
        <v>1.1123199641463993E-3</v>
      </c>
      <c r="X13" s="1">
        <v>-3.9296808530925526E-4</v>
      </c>
      <c r="Y13" s="1">
        <v>3.1709065860982513E-3</v>
      </c>
      <c r="Z13" s="1">
        <v>-1.1655275554853795E-3</v>
      </c>
      <c r="AA13" s="1">
        <v>7.0335071211078076E-4</v>
      </c>
      <c r="AB13" s="1">
        <v>3.1428087887544688E-3</v>
      </c>
      <c r="AC13" s="1">
        <v>-1.4872550975322258E-3</v>
      </c>
      <c r="AD13" s="1">
        <v>3.1120224221526375E-4</v>
      </c>
      <c r="AE13" s="1">
        <v>1.3926053043520641E-3</v>
      </c>
      <c r="AF13" s="1">
        <v>1.7417121285220194E-4</v>
      </c>
      <c r="AG13" s="1">
        <v>6.4809045513709862E-4</v>
      </c>
      <c r="AH13" s="1">
        <v>1.7852270654966443E-3</v>
      </c>
      <c r="AI13" s="1">
        <v>7.1930201000000918E-4</v>
      </c>
      <c r="AJ13" s="1">
        <v>-8.1464034783007154E-4</v>
      </c>
      <c r="AK13" s="1">
        <v>-3.1194526596845445E-4</v>
      </c>
      <c r="AL13" s="1">
        <v>-4.7806633594719788E-4</v>
      </c>
      <c r="AM13" s="1">
        <v>8.4065656783524482E-4</v>
      </c>
      <c r="AN13" s="1">
        <v>1.0663592805973815E-3</v>
      </c>
      <c r="AO13" s="1">
        <v>-2.086691673850899E-3</v>
      </c>
    </row>
    <row r="14" spans="1:41" ht="15">
      <c r="A14" s="17" t="s">
        <v>41</v>
      </c>
      <c r="B14" s="1">
        <v>4.7600815293684349E-5</v>
      </c>
      <c r="C14" s="1">
        <v>6.2399299472693296E-4</v>
      </c>
      <c r="D14" s="1">
        <v>6.8985150023547078E-4</v>
      </c>
      <c r="E14" s="1">
        <v>2.0054388384966523E-3</v>
      </c>
      <c r="F14" s="1">
        <v>1.0082034616399544E-3</v>
      </c>
      <c r="G14" s="1">
        <v>9.3607888297945238E-4</v>
      </c>
      <c r="H14" s="1">
        <v>1.9914585554261237E-3</v>
      </c>
      <c r="I14" s="1">
        <v>1.8613727142550278E-3</v>
      </c>
      <c r="J14" s="1">
        <v>3.2826319795215903E-4</v>
      </c>
      <c r="K14" s="1">
        <v>6.1867388350402366E-4</v>
      </c>
      <c r="L14" s="1">
        <v>9.1321754519306888E-4</v>
      </c>
      <c r="M14" s="1">
        <v>4.8319003739602934E-3</v>
      </c>
      <c r="N14" s="1">
        <v>1.073941878439041E-3</v>
      </c>
      <c r="O14" s="1">
        <v>2.6210371453965777E-4</v>
      </c>
      <c r="P14" s="1">
        <v>9.8403640463026938E-4</v>
      </c>
      <c r="Q14" s="1">
        <v>-1.5214070596813079E-3</v>
      </c>
      <c r="R14" s="1">
        <v>1.5958600168658069E-3</v>
      </c>
      <c r="S14" s="1">
        <v>-4.0367406802052907E-4</v>
      </c>
      <c r="T14" s="1">
        <v>6.401139146061381E-4</v>
      </c>
      <c r="U14" s="1">
        <v>2.6088458045469671E-3</v>
      </c>
      <c r="V14" s="1">
        <v>7.058812328004483E-4</v>
      </c>
      <c r="W14" s="1">
        <v>8.1611507688215392E-4</v>
      </c>
      <c r="X14" s="1">
        <v>6.0731491633987479E-5</v>
      </c>
      <c r="Y14" s="1">
        <v>1.2883333920388658E-3</v>
      </c>
      <c r="Z14" s="1">
        <v>-5.762497659243778E-5</v>
      </c>
      <c r="AA14" s="1">
        <v>8.1187390636065641E-4</v>
      </c>
      <c r="AB14" s="1">
        <v>2.3957445598856141E-4</v>
      </c>
      <c r="AC14" s="1">
        <v>-1.2100072414244645E-3</v>
      </c>
      <c r="AD14" s="1">
        <v>2.6048940445147885E-4</v>
      </c>
      <c r="AE14" s="1">
        <v>-1.1855671378601633E-4</v>
      </c>
      <c r="AF14" s="1">
        <v>5.6650288984179224E-4</v>
      </c>
      <c r="AG14" s="1">
        <v>-4.2408940386868535E-4</v>
      </c>
      <c r="AH14" s="1">
        <v>6.4192682360627955E-4</v>
      </c>
      <c r="AI14" s="1">
        <v>2.6837799808549504E-4</v>
      </c>
      <c r="AJ14" s="1">
        <v>-1.9289662248330147E-4</v>
      </c>
      <c r="AK14" s="1">
        <v>1.3385211762632429E-4</v>
      </c>
      <c r="AL14" s="1">
        <v>4.5410492392380442E-4</v>
      </c>
      <c r="AM14" s="1">
        <v>7.679908050798593E-4</v>
      </c>
      <c r="AN14" s="1">
        <v>4.2871806813742915E-4</v>
      </c>
      <c r="AO14" s="1">
        <v>3.9293881165199717E-5</v>
      </c>
    </row>
    <row r="15" spans="1:41" ht="15">
      <c r="A15" s="17" t="s">
        <v>43</v>
      </c>
      <c r="B15" s="1">
        <v>1.2592392930008385E-3</v>
      </c>
      <c r="C15" s="1">
        <v>4.6861144437727859E-4</v>
      </c>
      <c r="D15" s="1">
        <v>9.9503867293434145E-4</v>
      </c>
      <c r="E15" s="1">
        <v>1.322354084992232E-3</v>
      </c>
      <c r="F15" s="1">
        <v>1.043212955858822E-3</v>
      </c>
      <c r="G15" s="1">
        <v>1.4273043768064453E-3</v>
      </c>
      <c r="H15" s="1">
        <v>2.1681105855060278E-3</v>
      </c>
      <c r="I15" s="1">
        <v>1.5465954476613706E-3</v>
      </c>
      <c r="J15" s="1">
        <v>9.8373832127290482E-4</v>
      </c>
      <c r="K15" s="1">
        <v>8.7604730707230229E-4</v>
      </c>
      <c r="L15" s="1">
        <v>3.7012084375855498E-4</v>
      </c>
      <c r="M15" s="1">
        <v>1.073941878439041E-3</v>
      </c>
      <c r="N15" s="1">
        <v>2.3098277956324635E-3</v>
      </c>
      <c r="O15" s="1">
        <v>1.3142165334546682E-3</v>
      </c>
      <c r="P15" s="1">
        <v>2.1669549187329946E-3</v>
      </c>
      <c r="Q15" s="1">
        <v>1.5440169828801551E-3</v>
      </c>
      <c r="R15" s="1">
        <v>3.3018939733964301E-3</v>
      </c>
      <c r="S15" s="1">
        <v>1.4155917997552788E-3</v>
      </c>
      <c r="T15" s="1">
        <v>1.6795707034900009E-3</v>
      </c>
      <c r="U15" s="1">
        <v>3.2417805772651251E-3</v>
      </c>
      <c r="V15" s="1">
        <v>1.2198572154884749E-3</v>
      </c>
      <c r="W15" s="1">
        <v>2.1326422337546377E-3</v>
      </c>
      <c r="X15" s="1">
        <v>1.7618594049873951E-3</v>
      </c>
      <c r="Y15" s="1">
        <v>2.3400884702639317E-3</v>
      </c>
      <c r="Z15" s="1">
        <v>9.0088109083003509E-4</v>
      </c>
      <c r="AA15" s="1">
        <v>1.2758990979610647E-3</v>
      </c>
      <c r="AB15" s="1">
        <v>5.7130792069765447E-4</v>
      </c>
      <c r="AC15" s="1">
        <v>1.0920711435637596E-3</v>
      </c>
      <c r="AD15" s="1">
        <v>3.9716440992778999E-4</v>
      </c>
      <c r="AE15" s="1">
        <v>1.151765181270634E-3</v>
      </c>
      <c r="AF15" s="1">
        <v>5.5506495671961355E-4</v>
      </c>
      <c r="AG15" s="1">
        <v>1.2768855711028455E-3</v>
      </c>
      <c r="AH15" s="1">
        <v>1.2518819363462766E-3</v>
      </c>
      <c r="AI15" s="1">
        <v>1.842434817596752E-3</v>
      </c>
      <c r="AJ15" s="1">
        <v>1.647347807089397E-3</v>
      </c>
      <c r="AK15" s="1">
        <v>8.0768296880582549E-4</v>
      </c>
      <c r="AL15" s="1">
        <v>1.346705119460387E-3</v>
      </c>
      <c r="AM15" s="1">
        <v>3.3551908835623605E-3</v>
      </c>
      <c r="AN15" s="1">
        <v>1.5309391747402555E-3</v>
      </c>
      <c r="AO15" s="1">
        <v>8.4115848076006159E-4</v>
      </c>
    </row>
    <row r="16" spans="1:41" ht="15">
      <c r="A16" s="17" t="s">
        <v>45</v>
      </c>
      <c r="B16" s="1">
        <v>1.4286098549646481E-3</v>
      </c>
      <c r="C16" s="1">
        <v>5.1272779205103482E-4</v>
      </c>
      <c r="D16" s="1">
        <v>2.7318322581879935E-4</v>
      </c>
      <c r="E16" s="1">
        <v>1.2843180715427966E-3</v>
      </c>
      <c r="F16" s="1">
        <v>1.180665833352329E-3</v>
      </c>
      <c r="G16" s="1">
        <v>1.217328186983072E-3</v>
      </c>
      <c r="H16" s="1">
        <v>1.6580364117078062E-3</v>
      </c>
      <c r="I16" s="1">
        <v>1.5476019032399221E-3</v>
      </c>
      <c r="J16" s="1">
        <v>1.3483710295870103E-3</v>
      </c>
      <c r="K16" s="1">
        <v>1.0044616734829956E-3</v>
      </c>
      <c r="L16" s="1">
        <v>4.1601726471400606E-4</v>
      </c>
      <c r="M16" s="1">
        <v>2.6210371453965777E-4</v>
      </c>
      <c r="N16" s="1">
        <v>1.3142165334546682E-3</v>
      </c>
      <c r="O16" s="1">
        <v>3.1210866711348173E-3</v>
      </c>
      <c r="P16" s="1">
        <v>2.4575549730021335E-3</v>
      </c>
      <c r="Q16" s="1">
        <v>1.7187329148835393E-3</v>
      </c>
      <c r="R16" s="1">
        <v>2.4365954692320058E-3</v>
      </c>
      <c r="S16" s="1">
        <v>9.4436516206840672E-4</v>
      </c>
      <c r="T16" s="1">
        <v>1.900474620205125E-3</v>
      </c>
      <c r="U16" s="1">
        <v>3.0078222275578834E-3</v>
      </c>
      <c r="V16" s="1">
        <v>1.5114868202443304E-3</v>
      </c>
      <c r="W16" s="1">
        <v>1.573633239849053E-3</v>
      </c>
      <c r="X16" s="1">
        <v>1.9807778208411663E-3</v>
      </c>
      <c r="Y16" s="1">
        <v>9.5938893998320709E-4</v>
      </c>
      <c r="Z16" s="1">
        <v>9.0905412578176322E-4</v>
      </c>
      <c r="AA16" s="1">
        <v>1.7106985883944522E-3</v>
      </c>
      <c r="AB16" s="1">
        <v>1.0534526895837554E-3</v>
      </c>
      <c r="AC16" s="1">
        <v>2.5759342066360223E-3</v>
      </c>
      <c r="AD16" s="1">
        <v>5.6820125276625297E-4</v>
      </c>
      <c r="AE16" s="1">
        <v>2.0550809974443892E-3</v>
      </c>
      <c r="AF16" s="1">
        <v>5.0193454227598128E-4</v>
      </c>
      <c r="AG16" s="1">
        <v>1.802712398850458E-3</v>
      </c>
      <c r="AH16" s="1">
        <v>1.3826957092114382E-3</v>
      </c>
      <c r="AI16" s="1">
        <v>2.4889317987475553E-3</v>
      </c>
      <c r="AJ16" s="1">
        <v>2.5457662641125093E-3</v>
      </c>
      <c r="AK16" s="1">
        <v>1.696301088236144E-3</v>
      </c>
      <c r="AL16" s="1">
        <v>1.1673453397809052E-3</v>
      </c>
      <c r="AM16" s="1">
        <v>1.3233270548635675E-3</v>
      </c>
      <c r="AN16" s="1">
        <v>1.9793650903887896E-3</v>
      </c>
      <c r="AO16" s="1">
        <v>6.582177547439029E-4</v>
      </c>
    </row>
    <row r="17" spans="1:41" ht="15">
      <c r="A17" s="17" t="s">
        <v>47</v>
      </c>
      <c r="B17" s="1">
        <v>1.5245843908652625E-3</v>
      </c>
      <c r="C17" s="1">
        <v>5.8899977861207747E-4</v>
      </c>
      <c r="D17" s="1">
        <v>1.1365561774740944E-3</v>
      </c>
      <c r="E17" s="1">
        <v>1.6377533484883803E-3</v>
      </c>
      <c r="F17" s="1">
        <v>9.5406640203959047E-4</v>
      </c>
      <c r="G17" s="1">
        <v>4.9541336312515277E-4</v>
      </c>
      <c r="H17" s="1">
        <v>3.6877941700016919E-3</v>
      </c>
      <c r="I17" s="1">
        <v>1.868432709292656E-3</v>
      </c>
      <c r="J17" s="1">
        <v>1.4598675923733382E-3</v>
      </c>
      <c r="K17" s="1">
        <v>2.2048548113249669E-3</v>
      </c>
      <c r="L17" s="1">
        <v>2.085838982637968E-3</v>
      </c>
      <c r="M17" s="1">
        <v>9.8403640463026938E-4</v>
      </c>
      <c r="N17" s="1">
        <v>2.1669549187329946E-3</v>
      </c>
      <c r="O17" s="1">
        <v>2.4575549730021335E-3</v>
      </c>
      <c r="P17" s="1">
        <v>9.3667336771177234E-3</v>
      </c>
      <c r="Q17" s="1">
        <v>3.298962116472084E-3</v>
      </c>
      <c r="R17" s="1">
        <v>4.7379185861798016E-3</v>
      </c>
      <c r="S17" s="1">
        <v>2.2358921092035218E-3</v>
      </c>
      <c r="T17" s="1">
        <v>3.1963143223926868E-3</v>
      </c>
      <c r="U17" s="1">
        <v>4.6843786218259999E-3</v>
      </c>
      <c r="V17" s="1">
        <v>1.7923049337166738E-3</v>
      </c>
      <c r="W17" s="1">
        <v>3.1915068814284552E-3</v>
      </c>
      <c r="X17" s="1">
        <v>3.1207494547511689E-3</v>
      </c>
      <c r="Y17" s="1">
        <v>3.3963986715389903E-3</v>
      </c>
      <c r="Z17" s="1">
        <v>1.9818012125073293E-4</v>
      </c>
      <c r="AA17" s="1">
        <v>2.8533795362528053E-3</v>
      </c>
      <c r="AB17" s="1">
        <v>1.4594530541089318E-3</v>
      </c>
      <c r="AC17" s="1">
        <v>2.7980887239197456E-3</v>
      </c>
      <c r="AD17" s="1">
        <v>2.6725585432006959E-4</v>
      </c>
      <c r="AE17" s="1">
        <v>2.0751493816276415E-3</v>
      </c>
      <c r="AF17" s="1">
        <v>4.8460349371267318E-4</v>
      </c>
      <c r="AG17" s="1">
        <v>1.7486394351864107E-3</v>
      </c>
      <c r="AH17" s="1">
        <v>-7.243436796641737E-4</v>
      </c>
      <c r="AI17" s="1">
        <v>1.776967938833268E-3</v>
      </c>
      <c r="AJ17" s="1">
        <v>3.3058178027841893E-3</v>
      </c>
      <c r="AK17" s="1">
        <v>3.0332083480278907E-3</v>
      </c>
      <c r="AL17" s="1">
        <v>1.3254085133657606E-3</v>
      </c>
      <c r="AM17" s="1">
        <v>1.5040066938497524E-3</v>
      </c>
      <c r="AN17" s="1">
        <v>2.2079718666711125E-3</v>
      </c>
      <c r="AO17" s="1">
        <v>1.8776870103898668E-3</v>
      </c>
    </row>
    <row r="18" spans="1:41" ht="15">
      <c r="A18" s="17" t="s">
        <v>50</v>
      </c>
      <c r="B18" s="1">
        <v>2.863916255584369E-3</v>
      </c>
      <c r="C18" s="1">
        <v>1.8937206684122244E-3</v>
      </c>
      <c r="D18" s="1">
        <v>2.3625933679072672E-3</v>
      </c>
      <c r="E18" s="1">
        <v>-9.5780908487313717E-4</v>
      </c>
      <c r="F18" s="1">
        <v>2.4928844964524897E-3</v>
      </c>
      <c r="G18" s="1">
        <v>2.2373301404637657E-3</v>
      </c>
      <c r="H18" s="1">
        <v>2.5021284304731894E-3</v>
      </c>
      <c r="I18" s="1">
        <v>7.2629803138317926E-4</v>
      </c>
      <c r="J18" s="1">
        <v>1.0635799413278057E-3</v>
      </c>
      <c r="K18" s="1">
        <v>3.6105492943225761E-3</v>
      </c>
      <c r="L18" s="1">
        <v>1.1346959916566921E-3</v>
      </c>
      <c r="M18" s="1">
        <v>-1.5214070596813079E-3</v>
      </c>
      <c r="N18" s="1">
        <v>1.5440169828801551E-3</v>
      </c>
      <c r="O18" s="1">
        <v>1.7187329148835393E-3</v>
      </c>
      <c r="P18" s="1">
        <v>3.298962116472084E-3</v>
      </c>
      <c r="Q18" s="1">
        <v>1.792080605705024E-2</v>
      </c>
      <c r="R18" s="1">
        <v>1.5106848357994702E-3</v>
      </c>
      <c r="S18" s="1">
        <v>2.0710590771528424E-3</v>
      </c>
      <c r="T18" s="1">
        <v>1.4691454831836722E-3</v>
      </c>
      <c r="U18" s="1">
        <v>3.0640867516736488E-3</v>
      </c>
      <c r="V18" s="1">
        <v>1.2093479542866965E-4</v>
      </c>
      <c r="W18" s="1">
        <v>7.0802442776021941E-4</v>
      </c>
      <c r="X18" s="1">
        <v>-1.2164242694314542E-3</v>
      </c>
      <c r="Y18" s="1">
        <v>-4.1189695416173813E-3</v>
      </c>
      <c r="Z18" s="1">
        <v>4.7257939066340401E-4</v>
      </c>
      <c r="AA18" s="1">
        <v>8.665817127874179E-4</v>
      </c>
      <c r="AB18" s="1">
        <v>-1.0740273972206242E-3</v>
      </c>
      <c r="AC18" s="1">
        <v>-3.1056674571681921E-3</v>
      </c>
      <c r="AD18" s="1">
        <v>1.1720907534114998E-3</v>
      </c>
      <c r="AE18" s="1">
        <v>9.9684815206287536E-4</v>
      </c>
      <c r="AF18" s="1">
        <v>1.2482809378441446E-3</v>
      </c>
      <c r="AG18" s="1">
        <v>2.7993337446486403E-3</v>
      </c>
      <c r="AH18" s="1">
        <v>5.262562110619054E-3</v>
      </c>
      <c r="AI18" s="1">
        <v>1.5208872734094226E-3</v>
      </c>
      <c r="AJ18" s="1">
        <v>8.2906017833246322E-4</v>
      </c>
      <c r="AK18" s="1">
        <v>1.7033674587029254E-3</v>
      </c>
      <c r="AL18" s="1">
        <v>6.0558116167757134E-5</v>
      </c>
      <c r="AM18" s="1">
        <v>5.1760693150007227E-4</v>
      </c>
      <c r="AN18" s="1">
        <v>1.5740575470682739E-3</v>
      </c>
      <c r="AO18" s="1">
        <v>2.0401699470755261E-4</v>
      </c>
    </row>
    <row r="19" spans="1:41" ht="15">
      <c r="A19" s="17" t="s">
        <v>52</v>
      </c>
      <c r="B19" s="1">
        <v>1.4383419990591929E-3</v>
      </c>
      <c r="C19" s="1">
        <v>3.0818971960339461E-4</v>
      </c>
      <c r="D19" s="1">
        <v>4.4119213524319715E-5</v>
      </c>
      <c r="E19" s="1">
        <v>2.6377626142499457E-3</v>
      </c>
      <c r="F19" s="1">
        <v>1.1320895057651099E-3</v>
      </c>
      <c r="G19" s="1">
        <v>2.3324303357593113E-3</v>
      </c>
      <c r="H19" s="1">
        <v>2.5568182438940471E-3</v>
      </c>
      <c r="I19" s="1">
        <v>3.1790152859123254E-3</v>
      </c>
      <c r="J19" s="1">
        <v>1.3371220302362096E-3</v>
      </c>
      <c r="K19" s="1">
        <v>7.9266867277724858E-4</v>
      </c>
      <c r="L19" s="1">
        <v>4.0978637396861086E-3</v>
      </c>
      <c r="M19" s="1">
        <v>1.5958600168658069E-3</v>
      </c>
      <c r="N19" s="1">
        <v>3.3018939733964301E-3</v>
      </c>
      <c r="O19" s="1">
        <v>2.4365954692320058E-3</v>
      </c>
      <c r="P19" s="1">
        <v>4.7379185861798016E-3</v>
      </c>
      <c r="Q19" s="1">
        <v>1.5106848357994702E-3</v>
      </c>
      <c r="R19" s="1">
        <v>1.4298404913751469E-2</v>
      </c>
      <c r="S19" s="1">
        <v>2.338424534283175E-3</v>
      </c>
      <c r="T19" s="1">
        <v>3.5930572070315661E-3</v>
      </c>
      <c r="U19" s="1">
        <v>6.9828071708588372E-3</v>
      </c>
      <c r="V19" s="1">
        <v>3.3915759391812367E-3</v>
      </c>
      <c r="W19" s="1">
        <v>3.65564013088015E-3</v>
      </c>
      <c r="X19" s="1">
        <v>3.0524431156242569E-3</v>
      </c>
      <c r="Y19" s="1">
        <v>3.5894881372312468E-3</v>
      </c>
      <c r="Z19" s="1">
        <v>2.8554869171667634E-4</v>
      </c>
      <c r="AA19" s="1">
        <v>3.0203188744959276E-3</v>
      </c>
      <c r="AB19" s="1">
        <v>3.1833713639209458E-3</v>
      </c>
      <c r="AC19" s="1">
        <v>3.2901893202155847E-3</v>
      </c>
      <c r="AD19" s="1">
        <v>-7.7853719134502044E-5</v>
      </c>
      <c r="AE19" s="1">
        <v>2.8755024457238648E-3</v>
      </c>
      <c r="AF19" s="1">
        <v>7.867264620085258E-4</v>
      </c>
      <c r="AG19" s="1">
        <v>3.1548117536701423E-3</v>
      </c>
      <c r="AH19" s="1">
        <v>-6.2227969009353646E-5</v>
      </c>
      <c r="AI19" s="1">
        <v>5.2882246721906905E-3</v>
      </c>
      <c r="AJ19" s="1">
        <v>2.1031888995727672E-3</v>
      </c>
      <c r="AK19" s="1">
        <v>1.2740115300839115E-3</v>
      </c>
      <c r="AL19" s="1">
        <v>1.3352033666431792E-3</v>
      </c>
      <c r="AM19" s="1">
        <v>5.3670429669066639E-3</v>
      </c>
      <c r="AN19" s="1">
        <v>4.4115068563911411E-3</v>
      </c>
      <c r="AO19" s="1">
        <v>1.020623959965547E-3</v>
      </c>
    </row>
    <row r="20" spans="1:41" ht="15">
      <c r="A20" s="17" t="s">
        <v>53</v>
      </c>
      <c r="B20" s="1">
        <v>1.3406737397049762E-3</v>
      </c>
      <c r="C20" s="1">
        <v>2.5911674959733921E-4</v>
      </c>
      <c r="D20" s="1">
        <v>1.6296812995658121E-3</v>
      </c>
      <c r="E20" s="1">
        <v>1.0612857922208737E-3</v>
      </c>
      <c r="F20" s="1">
        <v>1.0078394186236914E-3</v>
      </c>
      <c r="G20" s="1">
        <v>2.9064451873160575E-5</v>
      </c>
      <c r="H20" s="1">
        <v>1.2706644221077866E-3</v>
      </c>
      <c r="I20" s="1">
        <v>-5.6396247322141485E-4</v>
      </c>
      <c r="J20" s="1">
        <v>6.0526979729970886E-4</v>
      </c>
      <c r="K20" s="1">
        <v>3.6729277153288534E-4</v>
      </c>
      <c r="L20" s="1">
        <v>-8.9076908211305835E-4</v>
      </c>
      <c r="M20" s="1">
        <v>-4.0367406802052907E-4</v>
      </c>
      <c r="N20" s="1">
        <v>1.4155917997552788E-3</v>
      </c>
      <c r="O20" s="1">
        <v>9.4436516206840672E-4</v>
      </c>
      <c r="P20" s="1">
        <v>2.2358921092035218E-3</v>
      </c>
      <c r="Q20" s="1">
        <v>2.0710590771528424E-3</v>
      </c>
      <c r="R20" s="1">
        <v>2.338424534283175E-3</v>
      </c>
      <c r="S20" s="1">
        <v>5.4340767496654022E-3</v>
      </c>
      <c r="T20" s="1">
        <v>2.3300899899363907E-3</v>
      </c>
      <c r="U20" s="1">
        <v>-1.1201873054592364E-3</v>
      </c>
      <c r="V20" s="1">
        <v>6.2527718742899641E-4</v>
      </c>
      <c r="W20" s="1">
        <v>1.0128206040985039E-3</v>
      </c>
      <c r="X20" s="1">
        <v>1.27744439805276E-3</v>
      </c>
      <c r="Y20" s="1">
        <v>1.6541949035293144E-3</v>
      </c>
      <c r="Z20" s="1">
        <v>5.0272503119573608E-4</v>
      </c>
      <c r="AA20" s="1">
        <v>1.3159238213328183E-3</v>
      </c>
      <c r="AB20" s="1">
        <v>-7.5125908704584265E-4</v>
      </c>
      <c r="AC20" s="1">
        <v>1.0416861922084781E-3</v>
      </c>
      <c r="AD20" s="1">
        <v>-2.042361031036869E-5</v>
      </c>
      <c r="AE20" s="1">
        <v>8.1046865326426165E-4</v>
      </c>
      <c r="AF20" s="1">
        <v>-7.1387106820005992E-5</v>
      </c>
      <c r="AG20" s="1">
        <v>1.1247654273381276E-3</v>
      </c>
      <c r="AH20" s="1">
        <v>7.7129434355869197E-4</v>
      </c>
      <c r="AI20" s="1">
        <v>8.2780034671402713E-4</v>
      </c>
      <c r="AJ20" s="1">
        <v>2.2674103023238444E-3</v>
      </c>
      <c r="AK20" s="1">
        <v>1.0165915848284095E-3</v>
      </c>
      <c r="AL20" s="1">
        <v>2.4108011100732081E-3</v>
      </c>
      <c r="AM20" s="1">
        <v>2.327249237530471E-3</v>
      </c>
      <c r="AN20" s="1">
        <v>7.4163390719607846E-4</v>
      </c>
      <c r="AO20" s="1">
        <v>1.4477437737854036E-3</v>
      </c>
    </row>
    <row r="21" spans="1:41" ht="15">
      <c r="A21" s="17" t="s">
        <v>54</v>
      </c>
      <c r="B21" s="1">
        <v>1.3694784629303982E-3</v>
      </c>
      <c r="C21" s="1">
        <v>3.9608101466055668E-4</v>
      </c>
      <c r="D21" s="1">
        <v>7.1650472725270301E-4</v>
      </c>
      <c r="E21" s="1">
        <v>1.5508029721417733E-3</v>
      </c>
      <c r="F21" s="1">
        <v>1.4952466142051136E-3</v>
      </c>
      <c r="G21" s="1">
        <v>1.1015169126080055E-3</v>
      </c>
      <c r="H21" s="1">
        <v>2.293596337070776E-3</v>
      </c>
      <c r="I21" s="1">
        <v>1.0250713466552106E-3</v>
      </c>
      <c r="J21" s="1">
        <v>1.1620765519169559E-3</v>
      </c>
      <c r="K21" s="1">
        <v>8.4758957983275336E-4</v>
      </c>
      <c r="L21" s="1">
        <v>2.9854720838140976E-4</v>
      </c>
      <c r="M21" s="1">
        <v>6.401139146061381E-4</v>
      </c>
      <c r="N21" s="1">
        <v>1.6795707034900009E-3</v>
      </c>
      <c r="O21" s="1">
        <v>1.900474620205125E-3</v>
      </c>
      <c r="P21" s="1">
        <v>3.1963143223926868E-3</v>
      </c>
      <c r="Q21" s="1">
        <v>1.4691454831836722E-3</v>
      </c>
      <c r="R21" s="1">
        <v>3.5930572070315661E-3</v>
      </c>
      <c r="S21" s="1">
        <v>2.3300899899363907E-3</v>
      </c>
      <c r="T21" s="1">
        <v>5.1160501140516627E-3</v>
      </c>
      <c r="U21" s="1">
        <v>2.7496485785463106E-3</v>
      </c>
      <c r="V21" s="1">
        <v>2.0497480009859445E-3</v>
      </c>
      <c r="W21" s="1">
        <v>2.2494467297115642E-3</v>
      </c>
      <c r="X21" s="1">
        <v>2.1366638005584533E-3</v>
      </c>
      <c r="Y21" s="1">
        <v>3.2322140668601964E-3</v>
      </c>
      <c r="Z21" s="1">
        <v>1.1241438664002382E-3</v>
      </c>
      <c r="AA21" s="1">
        <v>2.2893180576692967E-3</v>
      </c>
      <c r="AB21" s="1">
        <v>2.7128804670149706E-4</v>
      </c>
      <c r="AC21" s="1">
        <v>3.8911429517364152E-3</v>
      </c>
      <c r="AD21" s="1">
        <v>8.6595317086659565E-4</v>
      </c>
      <c r="AE21" s="1">
        <v>1.4567197932731746E-3</v>
      </c>
      <c r="AF21" s="1">
        <v>9.1422423156169164E-4</v>
      </c>
      <c r="AG21" s="1">
        <v>2.6534212954307714E-3</v>
      </c>
      <c r="AH21" s="1">
        <v>2.4422594766829102E-3</v>
      </c>
      <c r="AI21" s="1">
        <v>2.2827801861742001E-3</v>
      </c>
      <c r="AJ21" s="1">
        <v>4.0201875508973344E-3</v>
      </c>
      <c r="AK21" s="1">
        <v>9.0543093715176844E-4</v>
      </c>
      <c r="AL21" s="1">
        <v>2.4224823722742736E-3</v>
      </c>
      <c r="AM21" s="1">
        <v>4.1272210254552459E-3</v>
      </c>
      <c r="AN21" s="1">
        <v>2.1007856406765751E-3</v>
      </c>
      <c r="AO21" s="1">
        <v>2.9335551554266277E-3</v>
      </c>
    </row>
    <row r="22" spans="1:41" ht="15">
      <c r="A22" s="17" t="s">
        <v>57</v>
      </c>
      <c r="B22" s="1">
        <v>2.5824155051681671E-3</v>
      </c>
      <c r="C22" s="1">
        <v>2.7075733469579073E-3</v>
      </c>
      <c r="D22" s="1">
        <v>2.6530723854065056E-3</v>
      </c>
      <c r="E22" s="1">
        <v>4.3655823428054279E-3</v>
      </c>
      <c r="F22" s="1">
        <v>4.6946294764214974E-3</v>
      </c>
      <c r="G22" s="1">
        <v>3.6958136458078491E-3</v>
      </c>
      <c r="H22" s="1">
        <v>4.4526889796337029E-3</v>
      </c>
      <c r="I22" s="1">
        <v>6.3506528131000127E-3</v>
      </c>
      <c r="J22" s="1">
        <v>3.7150611752850451E-3</v>
      </c>
      <c r="K22" s="1">
        <v>5.3198037337852666E-3</v>
      </c>
      <c r="L22" s="1">
        <v>4.0643875920952236E-3</v>
      </c>
      <c r="M22" s="1">
        <v>2.6088458045469671E-3</v>
      </c>
      <c r="N22" s="1">
        <v>3.2417805772651251E-3</v>
      </c>
      <c r="O22" s="1">
        <v>3.0078222275578834E-3</v>
      </c>
      <c r="P22" s="1">
        <v>4.6843786218259999E-3</v>
      </c>
      <c r="Q22" s="1">
        <v>3.0640867516736488E-3</v>
      </c>
      <c r="R22" s="1">
        <v>6.9828071708588372E-3</v>
      </c>
      <c r="S22" s="1">
        <v>-1.1201873054592364E-3</v>
      </c>
      <c r="T22" s="1">
        <v>2.7496485785463106E-3</v>
      </c>
      <c r="U22" s="1">
        <v>2.4006108625587851E-2</v>
      </c>
      <c r="V22" s="1">
        <v>4.0200526821922399E-3</v>
      </c>
      <c r="W22" s="1">
        <v>3.0201315650766726E-3</v>
      </c>
      <c r="X22" s="1">
        <v>3.8815362066708992E-3</v>
      </c>
      <c r="Y22" s="1">
        <v>2.7192030162687462E-3</v>
      </c>
      <c r="Z22" s="1">
        <v>5.4237535474735128E-4</v>
      </c>
      <c r="AA22" s="1">
        <v>4.5978682518781318E-3</v>
      </c>
      <c r="AB22" s="1">
        <v>4.137005531183062E-3</v>
      </c>
      <c r="AC22" s="1">
        <v>2.3394861810466928E-3</v>
      </c>
      <c r="AD22" s="1">
        <v>1.4780819247263892E-3</v>
      </c>
      <c r="AE22" s="1">
        <v>2.5778141236875688E-3</v>
      </c>
      <c r="AF22" s="1">
        <v>2.1047599518367573E-3</v>
      </c>
      <c r="AG22" s="1">
        <v>3.644324674180644E-3</v>
      </c>
      <c r="AH22" s="1">
        <v>3.0804081859874218E-3</v>
      </c>
      <c r="AI22" s="1">
        <v>5.1898600942923995E-3</v>
      </c>
      <c r="AJ22" s="1">
        <v>6.7968532054320423E-3</v>
      </c>
      <c r="AK22" s="1">
        <v>4.2455172499474862E-3</v>
      </c>
      <c r="AL22" s="1">
        <v>3.3238520333939191E-3</v>
      </c>
      <c r="AM22" s="1">
        <v>3.934432004494808E-3</v>
      </c>
      <c r="AN22" s="1">
        <v>4.9652982628498356E-3</v>
      </c>
      <c r="AO22" s="1">
        <v>6.1196813802961417E-4</v>
      </c>
    </row>
    <row r="23" spans="1:41" ht="15">
      <c r="A23" s="17" t="s">
        <v>62</v>
      </c>
      <c r="B23" s="1">
        <v>1.158056789212489E-3</v>
      </c>
      <c r="C23" s="1">
        <v>7.4332650503897721E-4</v>
      </c>
      <c r="D23" s="1">
        <v>6.4249541398555209E-4</v>
      </c>
      <c r="E23" s="1">
        <v>9.6003573644335631E-4</v>
      </c>
      <c r="F23" s="1">
        <v>5.614338540334109E-4</v>
      </c>
      <c r="G23" s="1">
        <v>2.2154527205951549E-3</v>
      </c>
      <c r="H23" s="1">
        <v>2.114537074304877E-3</v>
      </c>
      <c r="I23" s="1">
        <v>2.340741263208687E-3</v>
      </c>
      <c r="J23" s="1">
        <v>1.1845947234839229E-3</v>
      </c>
      <c r="K23" s="1">
        <v>6.3836884071539481E-4</v>
      </c>
      <c r="L23" s="1">
        <v>2.1116445768947639E-3</v>
      </c>
      <c r="M23" s="1">
        <v>7.058812328004483E-4</v>
      </c>
      <c r="N23" s="1">
        <v>1.2198572154884749E-3</v>
      </c>
      <c r="O23" s="1">
        <v>1.5114868202443304E-3</v>
      </c>
      <c r="P23" s="1">
        <v>1.7923049337166738E-3</v>
      </c>
      <c r="Q23" s="1">
        <v>1.2093479542866965E-4</v>
      </c>
      <c r="R23" s="1">
        <v>3.3915759391812367E-3</v>
      </c>
      <c r="S23" s="1">
        <v>6.2527718742899641E-4</v>
      </c>
      <c r="T23" s="1">
        <v>2.0497480009859445E-3</v>
      </c>
      <c r="U23" s="1">
        <v>4.0200526821922399E-3</v>
      </c>
      <c r="V23" s="1">
        <v>6.7326884987501763E-3</v>
      </c>
      <c r="W23" s="1">
        <v>2.3812397477533461E-3</v>
      </c>
      <c r="X23" s="1">
        <v>1.8495908406242635E-3</v>
      </c>
      <c r="Y23" s="1">
        <v>4.4583329455860415E-3</v>
      </c>
      <c r="Z23" s="1">
        <v>6.2736127696700239E-4</v>
      </c>
      <c r="AA23" s="1">
        <v>1.6042136340736332E-3</v>
      </c>
      <c r="AB23" s="1">
        <v>8.400194974704238E-4</v>
      </c>
      <c r="AC23" s="1">
        <v>2.9301688023127322E-3</v>
      </c>
      <c r="AD23" s="1">
        <v>9.67629766708741E-4</v>
      </c>
      <c r="AE23" s="1">
        <v>2.7906387555963579E-3</v>
      </c>
      <c r="AF23" s="1">
        <v>5.1757610051151605E-4</v>
      </c>
      <c r="AG23" s="1">
        <v>2.0666591941324373E-3</v>
      </c>
      <c r="AH23" s="1">
        <v>1.148735860253247E-3</v>
      </c>
      <c r="AI23" s="1">
        <v>2.8966073686548716E-3</v>
      </c>
      <c r="AJ23" s="1">
        <v>2.2219169984395428E-3</v>
      </c>
      <c r="AK23" s="1">
        <v>1.4857609514189055E-3</v>
      </c>
      <c r="AL23" s="1">
        <v>2.4735433505140799E-3</v>
      </c>
      <c r="AM23" s="1">
        <v>1.8600138436928491E-3</v>
      </c>
      <c r="AN23" s="1">
        <v>2.0907033514892402E-3</v>
      </c>
      <c r="AO23" s="1">
        <v>2.5183048277888668E-3</v>
      </c>
    </row>
    <row r="24" spans="1:41" ht="15">
      <c r="A24" s="17" t="s">
        <v>66</v>
      </c>
      <c r="B24" s="1">
        <v>7.4208032401625176E-4</v>
      </c>
      <c r="C24" s="1">
        <v>3.6938047030877987E-4</v>
      </c>
      <c r="D24" s="1">
        <v>1.2684794787924189E-4</v>
      </c>
      <c r="E24" s="1">
        <v>7.7926072780710347E-4</v>
      </c>
      <c r="F24" s="1">
        <v>2.0511612157790083E-4</v>
      </c>
      <c r="G24" s="1">
        <v>2.009253419239502E-3</v>
      </c>
      <c r="H24" s="1">
        <v>2.2615803232984419E-3</v>
      </c>
      <c r="I24" s="1">
        <v>2.2880521335642851E-3</v>
      </c>
      <c r="J24" s="1">
        <v>8.7724252641293893E-4</v>
      </c>
      <c r="K24" s="1">
        <v>-1.8141943508940287E-4</v>
      </c>
      <c r="L24" s="1">
        <v>1.1123199641463993E-3</v>
      </c>
      <c r="M24" s="1">
        <v>8.1611507688215392E-4</v>
      </c>
      <c r="N24" s="1">
        <v>2.1326422337546377E-3</v>
      </c>
      <c r="O24" s="1">
        <v>1.573633239849053E-3</v>
      </c>
      <c r="P24" s="1">
        <v>3.1915068814284552E-3</v>
      </c>
      <c r="Q24" s="1">
        <v>7.0802442776021941E-4</v>
      </c>
      <c r="R24" s="1">
        <v>3.65564013088015E-3</v>
      </c>
      <c r="S24" s="1">
        <v>1.0128206040985039E-3</v>
      </c>
      <c r="T24" s="1">
        <v>2.2494467297115642E-3</v>
      </c>
      <c r="U24" s="1">
        <v>3.0201315650766726E-3</v>
      </c>
      <c r="V24" s="1">
        <v>2.3812397477533461E-3</v>
      </c>
      <c r="W24" s="1">
        <v>5.6899989365956829E-3</v>
      </c>
      <c r="X24" s="1">
        <v>2.0989602212701289E-3</v>
      </c>
      <c r="Y24" s="1">
        <v>6.7080542424523375E-3</v>
      </c>
      <c r="Z24" s="1">
        <v>1.1195172367548427E-3</v>
      </c>
      <c r="AA24" s="1">
        <v>1.7961701173512174E-3</v>
      </c>
      <c r="AB24" s="1">
        <v>2.0067620814576597E-3</v>
      </c>
      <c r="AC24" s="1">
        <v>3.5973040403289467E-3</v>
      </c>
      <c r="AD24" s="1">
        <v>2.9711604887468738E-4</v>
      </c>
      <c r="AE24" s="1">
        <v>1.4716403151748254E-3</v>
      </c>
      <c r="AF24" s="1">
        <v>5.4766070868821071E-4</v>
      </c>
      <c r="AG24" s="1">
        <v>3.8050678565923517E-4</v>
      </c>
      <c r="AH24" s="1">
        <v>9.7838154393982673E-4</v>
      </c>
      <c r="AI24" s="1">
        <v>2.3669698330936141E-3</v>
      </c>
      <c r="AJ24" s="1">
        <v>1.1965334003614895E-3</v>
      </c>
      <c r="AK24" s="1">
        <v>1.0119801948071116E-3</v>
      </c>
      <c r="AL24" s="1">
        <v>9.7586228154326784E-4</v>
      </c>
      <c r="AM24" s="1">
        <v>4.3302852926951725E-3</v>
      </c>
      <c r="AN24" s="1">
        <v>2.4933542337127182E-3</v>
      </c>
      <c r="AO24" s="1">
        <v>1.7431099610316233E-3</v>
      </c>
    </row>
    <row r="25" spans="1:41" ht="15">
      <c r="A25" s="17" t="s">
        <v>70</v>
      </c>
      <c r="B25" s="1">
        <v>9.0324472732769535E-4</v>
      </c>
      <c r="C25" s="1">
        <v>-1.5506961714874017E-5</v>
      </c>
      <c r="D25" s="1">
        <v>-1.0751549185746446E-4</v>
      </c>
      <c r="E25" s="1">
        <v>1.9345094082140525E-3</v>
      </c>
      <c r="F25" s="1">
        <v>4.5444664383112709E-4</v>
      </c>
      <c r="G25" s="1">
        <v>2.3789020409062189E-4</v>
      </c>
      <c r="H25" s="1">
        <v>1.4307738149782053E-3</v>
      </c>
      <c r="I25" s="1">
        <v>2.0014508292090726E-3</v>
      </c>
      <c r="J25" s="1">
        <v>1.3038472704882617E-3</v>
      </c>
      <c r="K25" s="1">
        <v>1.3559786544268381E-3</v>
      </c>
      <c r="L25" s="1">
        <v>-3.9296808530925526E-4</v>
      </c>
      <c r="M25" s="1">
        <v>6.0731491633987479E-5</v>
      </c>
      <c r="N25" s="1">
        <v>1.7618594049873951E-3</v>
      </c>
      <c r="O25" s="1">
        <v>1.9807778208411663E-3</v>
      </c>
      <c r="P25" s="1">
        <v>3.1207494547511689E-3</v>
      </c>
      <c r="Q25" s="1">
        <v>-1.2164242694314542E-3</v>
      </c>
      <c r="R25" s="1">
        <v>3.0524431156242569E-3</v>
      </c>
      <c r="S25" s="1">
        <v>1.27744439805276E-3</v>
      </c>
      <c r="T25" s="1">
        <v>2.1366638005584533E-3</v>
      </c>
      <c r="U25" s="1">
        <v>3.8815362066708992E-3</v>
      </c>
      <c r="V25" s="1">
        <v>1.8495908406242635E-3</v>
      </c>
      <c r="W25" s="1">
        <v>2.0989602212701289E-3</v>
      </c>
      <c r="X25" s="1">
        <v>6.7319834912930301E-3</v>
      </c>
      <c r="Y25" s="1">
        <v>3.2130573272554971E-3</v>
      </c>
      <c r="Z25" s="1">
        <v>9.2157735964843379E-4</v>
      </c>
      <c r="AA25" s="1">
        <v>2.0109470454425966E-3</v>
      </c>
      <c r="AB25" s="1">
        <v>1.1959086252449408E-3</v>
      </c>
      <c r="AC25" s="1">
        <v>5.939280116344813E-3</v>
      </c>
      <c r="AD25" s="1">
        <v>2.4469543995515831E-4</v>
      </c>
      <c r="AE25" s="1">
        <v>2.4057529203155379E-3</v>
      </c>
      <c r="AF25" s="1">
        <v>6.308902634161081E-4</v>
      </c>
      <c r="AG25" s="1">
        <v>2.8656139103311064E-3</v>
      </c>
      <c r="AH25" s="1">
        <v>2.3690028725504627E-3</v>
      </c>
      <c r="AI25" s="1">
        <v>2.9793430851577582E-3</v>
      </c>
      <c r="AJ25" s="1">
        <v>4.0633819179504574E-3</v>
      </c>
      <c r="AK25" s="1">
        <v>2.311806103808935E-3</v>
      </c>
      <c r="AL25" s="1">
        <v>2.0781173958332828E-3</v>
      </c>
      <c r="AM25" s="1">
        <v>3.8527922828980651E-3</v>
      </c>
      <c r="AN25" s="1">
        <v>2.7156086847481184E-3</v>
      </c>
      <c r="AO25" s="1">
        <v>2.0938951853885159E-3</v>
      </c>
    </row>
    <row r="26" spans="1:41" ht="15">
      <c r="A26" s="17" t="s">
        <v>74</v>
      </c>
      <c r="B26" s="1">
        <v>9.7907499278154678E-4</v>
      </c>
      <c r="C26" s="1">
        <v>1.4825000069300812E-4</v>
      </c>
      <c r="D26" s="1">
        <v>1.1949452059709965E-3</v>
      </c>
      <c r="E26" s="1">
        <v>3.6418011125500813E-3</v>
      </c>
      <c r="F26" s="1">
        <v>5.5403032416753131E-4</v>
      </c>
      <c r="G26" s="1">
        <v>1.3961640813926317E-3</v>
      </c>
      <c r="H26" s="1">
        <v>4.0730030057022559E-3</v>
      </c>
      <c r="I26" s="1">
        <v>2.2212219263990415E-3</v>
      </c>
      <c r="J26" s="1">
        <v>3.4132518900143149E-4</v>
      </c>
      <c r="K26" s="1">
        <v>-4.5130220523616611E-4</v>
      </c>
      <c r="L26" s="1">
        <v>3.1709065860982513E-3</v>
      </c>
      <c r="M26" s="1">
        <v>1.2883333920388658E-3</v>
      </c>
      <c r="N26" s="1">
        <v>2.3400884702639317E-3</v>
      </c>
      <c r="O26" s="1">
        <v>9.5938893998320709E-4</v>
      </c>
      <c r="P26" s="1">
        <v>3.3963986715389903E-3</v>
      </c>
      <c r="Q26" s="1">
        <v>-4.1189695416173813E-3</v>
      </c>
      <c r="R26" s="1">
        <v>3.5894881372312468E-3</v>
      </c>
      <c r="S26" s="1">
        <v>1.6541949035293144E-3</v>
      </c>
      <c r="T26" s="1">
        <v>3.2322140668601964E-3</v>
      </c>
      <c r="U26" s="1">
        <v>2.7192030162687462E-3</v>
      </c>
      <c r="V26" s="1">
        <v>4.4583329455860415E-3</v>
      </c>
      <c r="W26" s="1">
        <v>6.7080542424523375E-3</v>
      </c>
      <c r="X26" s="1">
        <v>3.2130573272554971E-3</v>
      </c>
      <c r="Y26" s="1">
        <v>2.5203124615153279E-2</v>
      </c>
      <c r="Z26" s="1">
        <v>1.6229535243764571E-3</v>
      </c>
      <c r="AA26" s="1">
        <v>3.1446481390342757E-3</v>
      </c>
      <c r="AB26" s="1">
        <v>3.0609616314588662E-3</v>
      </c>
      <c r="AC26" s="1">
        <v>1.0609862400931697E-2</v>
      </c>
      <c r="AD26" s="1">
        <v>4.75577833526362E-4</v>
      </c>
      <c r="AE26" s="1">
        <v>2.5281501469582861E-3</v>
      </c>
      <c r="AF26" s="1">
        <v>-1.1785591644319015E-4</v>
      </c>
      <c r="AG26" s="1">
        <v>4.1877572979429019E-4</v>
      </c>
      <c r="AH26" s="1">
        <v>4.5791252135033902E-3</v>
      </c>
      <c r="AI26" s="1">
        <v>3.4839343826527699E-3</v>
      </c>
      <c r="AJ26" s="1">
        <v>4.2560438698398722E-3</v>
      </c>
      <c r="AK26" s="1">
        <v>1.3850564153923559E-3</v>
      </c>
      <c r="AL26" s="1">
        <v>5.1563275201398865E-3</v>
      </c>
      <c r="AM26" s="1">
        <v>8.8990055998371623E-3</v>
      </c>
      <c r="AN26" s="1">
        <v>1.1953264721574859E-3</v>
      </c>
      <c r="AO26" s="1">
        <v>4.5810949384917686E-3</v>
      </c>
    </row>
    <row r="27" spans="1:41" ht="15">
      <c r="A27" s="17" t="s">
        <v>76</v>
      </c>
      <c r="B27" s="1">
        <v>1.245856381618277E-3</v>
      </c>
      <c r="C27" s="1">
        <v>7.6500389556884586E-4</v>
      </c>
      <c r="D27" s="1">
        <v>-1.6732022842624774E-4</v>
      </c>
      <c r="E27" s="1">
        <v>5.8186327139360355E-5</v>
      </c>
      <c r="F27" s="1">
        <v>5.3796102889733472E-4</v>
      </c>
      <c r="G27" s="1">
        <v>1.0406561149092536E-3</v>
      </c>
      <c r="H27" s="1">
        <v>4.0876146592573583E-5</v>
      </c>
      <c r="I27" s="1">
        <v>6.0256064447154767E-4</v>
      </c>
      <c r="J27" s="1">
        <v>9.1939373339288322E-4</v>
      </c>
      <c r="K27" s="1">
        <v>6.9273079687862495E-4</v>
      </c>
      <c r="L27" s="1">
        <v>-1.1655275554853795E-3</v>
      </c>
      <c r="M27" s="1">
        <v>-5.762497659243778E-5</v>
      </c>
      <c r="N27" s="1">
        <v>9.0088109083003509E-4</v>
      </c>
      <c r="O27" s="1">
        <v>9.0905412578176322E-4</v>
      </c>
      <c r="P27" s="1">
        <v>1.9818012125073293E-4</v>
      </c>
      <c r="Q27" s="1">
        <v>4.7257939066340401E-4</v>
      </c>
      <c r="R27" s="1">
        <v>2.8554869171667634E-4</v>
      </c>
      <c r="S27" s="1">
        <v>5.0272503119573608E-4</v>
      </c>
      <c r="T27" s="1">
        <v>1.1241438664002382E-3</v>
      </c>
      <c r="U27" s="1">
        <v>5.4237535474735128E-4</v>
      </c>
      <c r="V27" s="1">
        <v>6.2736127696700239E-4</v>
      </c>
      <c r="W27" s="1">
        <v>1.1195172367548427E-3</v>
      </c>
      <c r="X27" s="1">
        <v>9.2157735964843379E-4</v>
      </c>
      <c r="Y27" s="1">
        <v>1.6229535243764571E-3</v>
      </c>
      <c r="Z27" s="1">
        <v>2.4044643688971804E-3</v>
      </c>
      <c r="AA27" s="1">
        <v>6.5386390797764671E-4</v>
      </c>
      <c r="AB27" s="1">
        <v>9.6189690092335039E-5</v>
      </c>
      <c r="AC27" s="1">
        <v>3.2767858453063969E-3</v>
      </c>
      <c r="AD27" s="1">
        <v>9.9628044709391115E-4</v>
      </c>
      <c r="AE27" s="1">
        <v>8.3389876173346517E-4</v>
      </c>
      <c r="AF27" s="1">
        <v>1.255599957804587E-3</v>
      </c>
      <c r="AG27" s="1">
        <v>7.3260577660101288E-4</v>
      </c>
      <c r="AH27" s="1">
        <v>1.5705804592565111E-3</v>
      </c>
      <c r="AI27" s="1">
        <v>1.76142475934398E-3</v>
      </c>
      <c r="AJ27" s="1">
        <v>4.3022322500328432E-4</v>
      </c>
      <c r="AK27" s="1">
        <v>6.7861659821150469E-4</v>
      </c>
      <c r="AL27" s="1">
        <v>1.6685383768161148E-3</v>
      </c>
      <c r="AM27" s="1">
        <v>2.8991282369343566E-3</v>
      </c>
      <c r="AN27" s="1">
        <v>7.0844652530667647E-4</v>
      </c>
      <c r="AO27" s="1">
        <v>1.7028769828900912E-3</v>
      </c>
    </row>
    <row r="28" spans="1:41" ht="15">
      <c r="A28" s="17" t="s">
        <v>79</v>
      </c>
      <c r="B28" s="1">
        <v>1.1692185671606031E-3</v>
      </c>
      <c r="C28" s="1">
        <v>7.8195017523780301E-4</v>
      </c>
      <c r="D28" s="1">
        <v>9.1607705235460606E-4</v>
      </c>
      <c r="E28" s="1">
        <v>1.6608048103045497E-3</v>
      </c>
      <c r="F28" s="1">
        <v>1.3602416076236709E-3</v>
      </c>
      <c r="G28" s="1">
        <v>8.5488492232431228E-4</v>
      </c>
      <c r="H28" s="1">
        <v>1.9921279906585762E-3</v>
      </c>
      <c r="I28" s="1">
        <v>1.6868045564561326E-3</v>
      </c>
      <c r="J28" s="1">
        <v>1.0131267201258574E-3</v>
      </c>
      <c r="K28" s="1">
        <v>1.5534540027687697E-3</v>
      </c>
      <c r="L28" s="1">
        <v>7.0335071211078076E-4</v>
      </c>
      <c r="M28" s="1">
        <v>8.1187390636065641E-4</v>
      </c>
      <c r="N28" s="1">
        <v>1.2758990979610647E-3</v>
      </c>
      <c r="O28" s="1">
        <v>1.7106985883944522E-3</v>
      </c>
      <c r="P28" s="1">
        <v>2.8533795362528053E-3</v>
      </c>
      <c r="Q28" s="1">
        <v>8.665817127874179E-4</v>
      </c>
      <c r="R28" s="1">
        <v>3.0203188744959276E-3</v>
      </c>
      <c r="S28" s="1">
        <v>1.3159238213328183E-3</v>
      </c>
      <c r="T28" s="1">
        <v>2.2893180576692967E-3</v>
      </c>
      <c r="U28" s="1">
        <v>4.5978682518781318E-3</v>
      </c>
      <c r="V28" s="1">
        <v>1.6042136340736332E-3</v>
      </c>
      <c r="W28" s="1">
        <v>1.7961701173512174E-3</v>
      </c>
      <c r="X28" s="1">
        <v>2.0109470454425966E-3</v>
      </c>
      <c r="Y28" s="1">
        <v>3.1446481390342757E-3</v>
      </c>
      <c r="Z28" s="1">
        <v>6.5386390797764671E-4</v>
      </c>
      <c r="AA28" s="1">
        <v>4.5144357569033679E-3</v>
      </c>
      <c r="AB28" s="1">
        <v>1.7071304178536758E-3</v>
      </c>
      <c r="AC28" s="1">
        <v>4.2750216574380766E-3</v>
      </c>
      <c r="AD28" s="1">
        <v>7.0312974656584781E-4</v>
      </c>
      <c r="AE28" s="1">
        <v>1.0909271902260667E-3</v>
      </c>
      <c r="AF28" s="1">
        <v>3.9473347635233055E-4</v>
      </c>
      <c r="AG28" s="1">
        <v>1.5428407902739391E-3</v>
      </c>
      <c r="AH28" s="1">
        <v>1.4347032202559975E-3</v>
      </c>
      <c r="AI28" s="1">
        <v>2.6081821251820333E-3</v>
      </c>
      <c r="AJ28" s="1">
        <v>2.3629353808357341E-3</v>
      </c>
      <c r="AK28" s="1">
        <v>1.6120137100456696E-3</v>
      </c>
      <c r="AL28" s="1">
        <v>1.7633436510728735E-3</v>
      </c>
      <c r="AM28" s="1">
        <v>2.2194252502162931E-3</v>
      </c>
      <c r="AN28" s="1">
        <v>1.3347429769108654E-3</v>
      </c>
      <c r="AO28" s="1">
        <v>1.6205914680580901E-3</v>
      </c>
    </row>
    <row r="29" spans="1:41" ht="15">
      <c r="A29" s="17" t="s">
        <v>87</v>
      </c>
      <c r="B29" s="1">
        <v>6.1536582242836292E-4</v>
      </c>
      <c r="C29" s="1">
        <v>7.267774202207774E-4</v>
      </c>
      <c r="D29" s="1">
        <v>-1.9395525701897516E-4</v>
      </c>
      <c r="E29" s="1">
        <v>1.9907059922330715E-3</v>
      </c>
      <c r="F29" s="1">
        <v>1.0281696922739001E-3</v>
      </c>
      <c r="G29" s="1">
        <v>1.2240982082109401E-3</v>
      </c>
      <c r="H29" s="1">
        <v>1.51855085400096E-3</v>
      </c>
      <c r="I29" s="1">
        <v>1.4895665475978632E-3</v>
      </c>
      <c r="J29" s="1">
        <v>1.7148370696927521E-3</v>
      </c>
      <c r="K29" s="1">
        <v>1.5578354493865378E-3</v>
      </c>
      <c r="L29" s="1">
        <v>3.1428087887544688E-3</v>
      </c>
      <c r="M29" s="1">
        <v>2.3957445598856141E-4</v>
      </c>
      <c r="N29" s="1">
        <v>5.7130792069765447E-4</v>
      </c>
      <c r="O29" s="1">
        <v>1.0534526895837554E-3</v>
      </c>
      <c r="P29" s="1">
        <v>1.4594530541089318E-3</v>
      </c>
      <c r="Q29" s="1">
        <v>-1.0740273972206242E-3</v>
      </c>
      <c r="R29" s="1">
        <v>3.1833713639209458E-3</v>
      </c>
      <c r="S29" s="1">
        <v>-7.5125908704584265E-4</v>
      </c>
      <c r="T29" s="1">
        <v>2.7128804670149706E-4</v>
      </c>
      <c r="U29" s="1">
        <v>4.137005531183062E-3</v>
      </c>
      <c r="V29" s="1">
        <v>8.400194974704238E-4</v>
      </c>
      <c r="W29" s="1">
        <v>2.0067620814576597E-3</v>
      </c>
      <c r="X29" s="1">
        <v>1.1959086252449408E-3</v>
      </c>
      <c r="Y29" s="1">
        <v>3.0609616314588662E-3</v>
      </c>
      <c r="Z29" s="1">
        <v>9.6189690092335039E-5</v>
      </c>
      <c r="AA29" s="1">
        <v>1.7071304178536758E-3</v>
      </c>
      <c r="AB29" s="1">
        <v>6.2537808421026572E-3</v>
      </c>
      <c r="AC29" s="1">
        <v>2.4107179977000738E-3</v>
      </c>
      <c r="AD29" s="1">
        <v>6.1542769897628737E-5</v>
      </c>
      <c r="AE29" s="1">
        <v>1.3100266788188481E-3</v>
      </c>
      <c r="AF29" s="1">
        <v>7.804170931732258E-4</v>
      </c>
      <c r="AG29" s="1">
        <v>1.8132014422965446E-3</v>
      </c>
      <c r="AH29" s="1">
        <v>1.2423272484505374E-3</v>
      </c>
      <c r="AI29" s="1">
        <v>1.9953666027375601E-3</v>
      </c>
      <c r="AJ29" s="1">
        <v>-7.3261230567131714E-4</v>
      </c>
      <c r="AK29" s="1">
        <v>1.3452424159860429E-3</v>
      </c>
      <c r="AL29" s="1">
        <v>3.1280305948992363E-4</v>
      </c>
      <c r="AM29" s="1">
        <v>1.8252007090284236E-3</v>
      </c>
      <c r="AN29" s="1">
        <v>1.3913286681657821E-3</v>
      </c>
      <c r="AO29" s="1">
        <v>-1.2852046869502731E-4</v>
      </c>
    </row>
    <row r="30" spans="1:41" ht="15">
      <c r="A30" s="17" t="s">
        <v>88</v>
      </c>
      <c r="B30" s="1">
        <v>2.034394236732141E-3</v>
      </c>
      <c r="C30" s="1">
        <v>-4.8716869517167284E-4</v>
      </c>
      <c r="D30" s="1">
        <v>-1.7404408819257421E-3</v>
      </c>
      <c r="E30" s="1">
        <v>3.1136723985708088E-3</v>
      </c>
      <c r="F30" s="1">
        <v>-1.1539804856844421E-3</v>
      </c>
      <c r="G30" s="1">
        <v>7.8861790440682203E-4</v>
      </c>
      <c r="H30" s="1">
        <v>3.6611813229084914E-4</v>
      </c>
      <c r="I30" s="1">
        <v>1.6676710020915332E-3</v>
      </c>
      <c r="J30" s="1">
        <v>1.8970641414084314E-3</v>
      </c>
      <c r="K30" s="1">
        <v>1.5319224785109501E-3</v>
      </c>
      <c r="L30" s="1">
        <v>-1.4872550975322258E-3</v>
      </c>
      <c r="M30" s="1">
        <v>-1.2100072414244645E-3</v>
      </c>
      <c r="N30" s="1">
        <v>1.0920711435637596E-3</v>
      </c>
      <c r="O30" s="1">
        <v>2.5759342066360223E-3</v>
      </c>
      <c r="P30" s="1">
        <v>2.7980887239197456E-3</v>
      </c>
      <c r="Q30" s="1">
        <v>-3.1056674571681921E-3</v>
      </c>
      <c r="R30" s="1">
        <v>3.2901893202155847E-3</v>
      </c>
      <c r="S30" s="1">
        <v>1.0416861922084781E-3</v>
      </c>
      <c r="T30" s="1">
        <v>3.8911429517364152E-3</v>
      </c>
      <c r="U30" s="1">
        <v>2.3394861810466928E-3</v>
      </c>
      <c r="V30" s="1">
        <v>2.9301688023127322E-3</v>
      </c>
      <c r="W30" s="1">
        <v>3.5973040403289467E-3</v>
      </c>
      <c r="X30" s="1">
        <v>5.939280116344813E-3</v>
      </c>
      <c r="Y30" s="1">
        <v>1.0609862400931697E-2</v>
      </c>
      <c r="Z30" s="1">
        <v>3.2767858453063969E-3</v>
      </c>
      <c r="AA30" s="1">
        <v>4.2750216574380766E-3</v>
      </c>
      <c r="AB30" s="1">
        <v>2.4107179977000738E-3</v>
      </c>
      <c r="AC30" s="1">
        <v>3.2101792062676451E-2</v>
      </c>
      <c r="AD30" s="1">
        <v>1.7320661546358159E-3</v>
      </c>
      <c r="AE30" s="1">
        <v>5.5184744901275356E-3</v>
      </c>
      <c r="AF30" s="1">
        <v>2.1886314462160925E-4</v>
      </c>
      <c r="AG30" s="1">
        <v>5.5129056456526852E-3</v>
      </c>
      <c r="AH30" s="1">
        <v>3.4618317941065334E-3</v>
      </c>
      <c r="AI30" s="1">
        <v>7.4770148673197227E-3</v>
      </c>
      <c r="AJ30" s="1">
        <v>6.5550150550750183E-3</v>
      </c>
      <c r="AK30" s="1">
        <v>3.8591826336859007E-3</v>
      </c>
      <c r="AL30" s="1">
        <v>5.0696183177307459E-3</v>
      </c>
      <c r="AM30" s="1">
        <v>1.0432772203474551E-2</v>
      </c>
      <c r="AN30" s="1">
        <v>6.0836709838926989E-4</v>
      </c>
      <c r="AO30" s="1">
        <v>9.2784341660445257E-3</v>
      </c>
    </row>
    <row r="31" spans="1:41" ht="15">
      <c r="A31" s="17" t="s">
        <v>91</v>
      </c>
      <c r="B31" s="1">
        <v>9.2261274358326761E-4</v>
      </c>
      <c r="C31" s="1">
        <v>1.0692924851929133E-3</v>
      </c>
      <c r="D31" s="1">
        <v>1.7985926569350725E-4</v>
      </c>
      <c r="E31" s="1">
        <v>-4.4017562724195868E-4</v>
      </c>
      <c r="F31" s="1">
        <v>9.050396777896334E-4</v>
      </c>
      <c r="G31" s="1">
        <v>6.7748919596592261E-4</v>
      </c>
      <c r="H31" s="1">
        <v>8.3146887406036153E-5</v>
      </c>
      <c r="I31" s="1">
        <v>3.1956734607411716E-4</v>
      </c>
      <c r="J31" s="1">
        <v>5.3182628113373771E-4</v>
      </c>
      <c r="K31" s="1">
        <v>6.9843379561893612E-4</v>
      </c>
      <c r="L31" s="1">
        <v>3.1120224221526375E-4</v>
      </c>
      <c r="M31" s="1">
        <v>2.6048940445147885E-4</v>
      </c>
      <c r="N31" s="1">
        <v>3.9716440992778999E-4</v>
      </c>
      <c r="O31" s="1">
        <v>5.6820125276625297E-4</v>
      </c>
      <c r="P31" s="1">
        <v>2.6725585432006959E-4</v>
      </c>
      <c r="Q31" s="1">
        <v>1.1720907534114998E-3</v>
      </c>
      <c r="R31" s="1">
        <v>-7.7853719134502044E-5</v>
      </c>
      <c r="S31" s="1">
        <v>-2.042361031036869E-5</v>
      </c>
      <c r="T31" s="1">
        <v>8.6595317086659565E-4</v>
      </c>
      <c r="U31" s="1">
        <v>1.4780819247263892E-3</v>
      </c>
      <c r="V31" s="1">
        <v>9.67629766708741E-4</v>
      </c>
      <c r="W31" s="1">
        <v>2.9711604887468738E-4</v>
      </c>
      <c r="X31" s="1">
        <v>2.4469543995515831E-4</v>
      </c>
      <c r="Y31" s="1">
        <v>4.75577833526362E-4</v>
      </c>
      <c r="Z31" s="1">
        <v>9.9628044709391115E-4</v>
      </c>
      <c r="AA31" s="1">
        <v>7.0312974656584781E-4</v>
      </c>
      <c r="AB31" s="1">
        <v>6.1542769897628737E-5</v>
      </c>
      <c r="AC31" s="1">
        <v>1.7320661546358159E-3</v>
      </c>
      <c r="AD31" s="1">
        <v>1.9239693733546644E-3</v>
      </c>
      <c r="AE31" s="1">
        <v>1.5178509550975309E-3</v>
      </c>
      <c r="AF31" s="1">
        <v>9.5935495892706714E-4</v>
      </c>
      <c r="AG31" s="1">
        <v>1.6170158525349468E-3</v>
      </c>
      <c r="AH31" s="1">
        <v>1.2548375163646223E-3</v>
      </c>
      <c r="AI31" s="1">
        <v>1.3774966399169837E-3</v>
      </c>
      <c r="AJ31" s="1">
        <v>1.3518378280969491E-3</v>
      </c>
      <c r="AK31" s="1">
        <v>1.46755929100466E-3</v>
      </c>
      <c r="AL31" s="1">
        <v>8.2984662190023505E-4</v>
      </c>
      <c r="AM31" s="1">
        <v>1.5704929541035279E-3</v>
      </c>
      <c r="AN31" s="1">
        <v>4.6759636489879149E-4</v>
      </c>
      <c r="AO31" s="1">
        <v>8.7394990168595946E-4</v>
      </c>
    </row>
    <row r="32" spans="1:41" ht="15">
      <c r="A32" s="17" t="s">
        <v>94</v>
      </c>
      <c r="B32" s="1">
        <v>1.9658005138676747E-3</v>
      </c>
      <c r="C32" s="1">
        <v>9.5782720552811283E-4</v>
      </c>
      <c r="D32" s="1">
        <v>4.8554302026110097E-4</v>
      </c>
      <c r="E32" s="1">
        <v>1.672050959649415E-4</v>
      </c>
      <c r="F32" s="1">
        <v>7.6846808382958706E-4</v>
      </c>
      <c r="G32" s="1">
        <v>1.3472950686054591E-3</v>
      </c>
      <c r="H32" s="1">
        <v>1.0971940594041798E-3</v>
      </c>
      <c r="I32" s="1">
        <v>1.7178599878081577E-3</v>
      </c>
      <c r="J32" s="1">
        <v>1.193196820326997E-3</v>
      </c>
      <c r="K32" s="1">
        <v>5.1783557531890115E-4</v>
      </c>
      <c r="L32" s="1">
        <v>1.3926053043520641E-3</v>
      </c>
      <c r="M32" s="1">
        <v>-1.1855671378601633E-4</v>
      </c>
      <c r="N32" s="1">
        <v>1.151765181270634E-3</v>
      </c>
      <c r="O32" s="1">
        <v>2.0550809974443892E-3</v>
      </c>
      <c r="P32" s="1">
        <v>2.0751493816276415E-3</v>
      </c>
      <c r="Q32" s="1">
        <v>9.9684815206287536E-4</v>
      </c>
      <c r="R32" s="1">
        <v>2.8755024457238648E-3</v>
      </c>
      <c r="S32" s="1">
        <v>8.1046865326426165E-4</v>
      </c>
      <c r="T32" s="1">
        <v>1.4567197932731746E-3</v>
      </c>
      <c r="U32" s="1">
        <v>2.5778141236875688E-3</v>
      </c>
      <c r="V32" s="1">
        <v>2.7906387555963579E-3</v>
      </c>
      <c r="W32" s="1">
        <v>1.4716403151748254E-3</v>
      </c>
      <c r="X32" s="1">
        <v>2.4057529203155379E-3</v>
      </c>
      <c r="Y32" s="1">
        <v>2.5281501469582861E-3</v>
      </c>
      <c r="Z32" s="1">
        <v>8.3389876173346517E-4</v>
      </c>
      <c r="AA32" s="1">
        <v>1.0909271902260667E-3</v>
      </c>
      <c r="AB32" s="1">
        <v>1.3100266788188481E-3</v>
      </c>
      <c r="AC32" s="1">
        <v>5.5184744901275356E-3</v>
      </c>
      <c r="AD32" s="1">
        <v>1.5178509550975309E-3</v>
      </c>
      <c r="AE32" s="1">
        <v>5.775861252510857E-3</v>
      </c>
      <c r="AF32" s="1">
        <v>7.9994788876137327E-4</v>
      </c>
      <c r="AG32" s="1">
        <v>3.0094292460371764E-3</v>
      </c>
      <c r="AH32" s="1">
        <v>1.2867313736381694E-3</v>
      </c>
      <c r="AI32" s="1">
        <v>3.5896241640939962E-3</v>
      </c>
      <c r="AJ32" s="1">
        <v>8.5045718141098844E-4</v>
      </c>
      <c r="AK32" s="1">
        <v>1.9111992062658199E-3</v>
      </c>
      <c r="AL32" s="1">
        <v>1.5497436307508898E-3</v>
      </c>
      <c r="AM32" s="1">
        <v>3.9311256398510868E-3</v>
      </c>
      <c r="AN32" s="1">
        <v>2.0279358730607481E-3</v>
      </c>
      <c r="AO32" s="1">
        <v>1.9534556611164027E-3</v>
      </c>
    </row>
    <row r="33" spans="1:41" ht="15">
      <c r="A33" s="17" t="s">
        <v>95</v>
      </c>
      <c r="B33" s="1">
        <v>9.8904828522028876E-4</v>
      </c>
      <c r="C33" s="1">
        <v>1.107133997783345E-3</v>
      </c>
      <c r="D33" s="1">
        <v>2.0633674026275455E-4</v>
      </c>
      <c r="E33" s="1">
        <v>3.4211749547841927E-5</v>
      </c>
      <c r="F33" s="1">
        <v>9.9663151995039393E-4</v>
      </c>
      <c r="G33" s="1">
        <v>1.072501317125406E-3</v>
      </c>
      <c r="H33" s="1">
        <v>5.4040585284522791E-4</v>
      </c>
      <c r="I33" s="1">
        <v>1.3522990663177514E-3</v>
      </c>
      <c r="J33" s="1">
        <v>6.9210328530892634E-4</v>
      </c>
      <c r="K33" s="1">
        <v>1.0136276633100172E-3</v>
      </c>
      <c r="L33" s="1">
        <v>1.7417121285220194E-4</v>
      </c>
      <c r="M33" s="1">
        <v>5.6650288984179224E-4</v>
      </c>
      <c r="N33" s="1">
        <v>5.5506495671961355E-4</v>
      </c>
      <c r="O33" s="1">
        <v>5.0193454227598128E-4</v>
      </c>
      <c r="P33" s="1">
        <v>4.8460349371267318E-4</v>
      </c>
      <c r="Q33" s="1">
        <v>1.2482809378441446E-3</v>
      </c>
      <c r="R33" s="1">
        <v>7.867264620085258E-4</v>
      </c>
      <c r="S33" s="1">
        <v>-7.1387106820005992E-5</v>
      </c>
      <c r="T33" s="1">
        <v>9.1422423156169164E-4</v>
      </c>
      <c r="U33" s="1">
        <v>2.1047599518367573E-3</v>
      </c>
      <c r="V33" s="1">
        <v>5.1757610051151605E-4</v>
      </c>
      <c r="W33" s="1">
        <v>5.4766070868821071E-4</v>
      </c>
      <c r="X33" s="1">
        <v>6.308902634161081E-4</v>
      </c>
      <c r="Y33" s="1">
        <v>-1.1785591644319015E-4</v>
      </c>
      <c r="Z33" s="1">
        <v>1.255599957804587E-3</v>
      </c>
      <c r="AA33" s="1">
        <v>3.9473347635233055E-4</v>
      </c>
      <c r="AB33" s="1">
        <v>7.804170931732258E-4</v>
      </c>
      <c r="AC33" s="1">
        <v>2.1886314462160925E-4</v>
      </c>
      <c r="AD33" s="1">
        <v>9.5935495892706714E-4</v>
      </c>
      <c r="AE33" s="1">
        <v>7.9994788876137327E-4</v>
      </c>
      <c r="AF33" s="1">
        <v>2.4382074727496181E-3</v>
      </c>
      <c r="AG33" s="1">
        <v>5.9463628261321403E-4</v>
      </c>
      <c r="AH33" s="1">
        <v>2.0538051142229277E-3</v>
      </c>
      <c r="AI33" s="1">
        <v>1.3569122634171072E-3</v>
      </c>
      <c r="AJ33" s="1">
        <v>1.6235072789663938E-4</v>
      </c>
      <c r="AK33" s="1">
        <v>4.7207207361243784E-4</v>
      </c>
      <c r="AL33" s="1">
        <v>7.5833433322033852E-4</v>
      </c>
      <c r="AM33" s="1">
        <v>7.8192092542521906E-4</v>
      </c>
      <c r="AN33" s="1">
        <v>1.5098336981650825E-3</v>
      </c>
      <c r="AO33" s="1">
        <v>9.8910131624592185E-4</v>
      </c>
    </row>
    <row r="34" spans="1:41" ht="15">
      <c r="A34" s="17" t="s">
        <v>102</v>
      </c>
      <c r="B34" s="1">
        <v>1.9110458371394056E-3</v>
      </c>
      <c r="C34" s="1">
        <v>2.4276170346381728E-4</v>
      </c>
      <c r="D34" s="1">
        <v>1.002954915746786E-4</v>
      </c>
      <c r="E34" s="1">
        <v>4.769640493911404E-4</v>
      </c>
      <c r="F34" s="1">
        <v>1.2370175660560063E-3</v>
      </c>
      <c r="G34" s="1">
        <v>1.3692044249588482E-3</v>
      </c>
      <c r="H34" s="1">
        <v>1.4369054426761666E-3</v>
      </c>
      <c r="I34" s="1">
        <v>2.2250951166241347E-3</v>
      </c>
      <c r="J34" s="1">
        <v>3.0558850954461787E-3</v>
      </c>
      <c r="K34" s="1">
        <v>2.6626827274310173E-3</v>
      </c>
      <c r="L34" s="1">
        <v>6.4809045513709862E-4</v>
      </c>
      <c r="M34" s="1">
        <v>-4.2408940386868535E-4</v>
      </c>
      <c r="N34" s="1">
        <v>1.2768855711028455E-3</v>
      </c>
      <c r="O34" s="1">
        <v>1.802712398850458E-3</v>
      </c>
      <c r="P34" s="1">
        <v>1.7486394351864107E-3</v>
      </c>
      <c r="Q34" s="1">
        <v>2.7993337446486403E-3</v>
      </c>
      <c r="R34" s="1">
        <v>3.1548117536701423E-3</v>
      </c>
      <c r="S34" s="1">
        <v>1.1247654273381276E-3</v>
      </c>
      <c r="T34" s="1">
        <v>2.6534212954307714E-3</v>
      </c>
      <c r="U34" s="1">
        <v>3.644324674180644E-3</v>
      </c>
      <c r="V34" s="1">
        <v>2.0666591941324373E-3</v>
      </c>
      <c r="W34" s="1">
        <v>3.8050678565923517E-4</v>
      </c>
      <c r="X34" s="1">
        <v>2.8656139103311064E-3</v>
      </c>
      <c r="Y34" s="1">
        <v>4.1877572979429019E-4</v>
      </c>
      <c r="Z34" s="1">
        <v>7.3260577660101288E-4</v>
      </c>
      <c r="AA34" s="1">
        <v>1.5428407902739391E-3</v>
      </c>
      <c r="AB34" s="1">
        <v>1.8132014422965446E-3</v>
      </c>
      <c r="AC34" s="1">
        <v>5.5129056456526852E-3</v>
      </c>
      <c r="AD34" s="1">
        <v>1.6170158525349468E-3</v>
      </c>
      <c r="AE34" s="1">
        <v>3.0094292460371764E-3</v>
      </c>
      <c r="AF34" s="1">
        <v>5.9463628261321403E-4</v>
      </c>
      <c r="AG34" s="1">
        <v>9.7318269862282022E-3</v>
      </c>
      <c r="AH34" s="1">
        <v>3.6726541777537644E-3</v>
      </c>
      <c r="AI34" s="1">
        <v>2.6785999509835725E-3</v>
      </c>
      <c r="AJ34" s="1">
        <v>5.4433286350503238E-3</v>
      </c>
      <c r="AK34" s="1">
        <v>3.5240155632869992E-3</v>
      </c>
      <c r="AL34" s="1">
        <v>3.2049113324286479E-3</v>
      </c>
      <c r="AM34" s="1">
        <v>5.5816883081560237E-3</v>
      </c>
      <c r="AN34" s="1">
        <v>2.0366277277461902E-3</v>
      </c>
      <c r="AO34" s="1">
        <v>3.0689365689111105E-3</v>
      </c>
    </row>
    <row r="35" spans="1:41" ht="15">
      <c r="A35" s="17" t="s">
        <v>110</v>
      </c>
      <c r="B35" s="1">
        <v>2.1966407692762401E-3</v>
      </c>
      <c r="C35" s="1">
        <v>1.0287976678004724E-3</v>
      </c>
      <c r="D35" s="1">
        <v>1.6916879370378114E-3</v>
      </c>
      <c r="E35" s="1">
        <v>1.6557464065726783E-3</v>
      </c>
      <c r="F35" s="1">
        <v>2.4348239572372118E-3</v>
      </c>
      <c r="G35" s="1">
        <v>2.1509463505463549E-3</v>
      </c>
      <c r="H35" s="1">
        <v>1.2700384392090494E-3</v>
      </c>
      <c r="I35" s="1">
        <v>1.9500946117015361E-3</v>
      </c>
      <c r="J35" s="1">
        <v>1.8778542812219353E-3</v>
      </c>
      <c r="K35" s="1">
        <v>3.764631946025351E-3</v>
      </c>
      <c r="L35" s="1">
        <v>1.7852270654966443E-3</v>
      </c>
      <c r="M35" s="1">
        <v>6.4192682360627955E-4</v>
      </c>
      <c r="N35" s="1">
        <v>1.2518819363462766E-3</v>
      </c>
      <c r="O35" s="1">
        <v>1.3826957092114382E-3</v>
      </c>
      <c r="P35" s="1">
        <v>-7.243436796641737E-4</v>
      </c>
      <c r="Q35" s="1">
        <v>5.262562110619054E-3</v>
      </c>
      <c r="R35" s="1">
        <v>-6.2227969009353646E-5</v>
      </c>
      <c r="S35" s="1">
        <v>7.7129434355869197E-4</v>
      </c>
      <c r="T35" s="1">
        <v>2.4422594766829102E-3</v>
      </c>
      <c r="U35" s="1">
        <v>3.0804081859874218E-3</v>
      </c>
      <c r="V35" s="1">
        <v>1.148735860253247E-3</v>
      </c>
      <c r="W35" s="1">
        <v>9.7838154393982673E-4</v>
      </c>
      <c r="X35" s="1">
        <v>2.3690028725504627E-3</v>
      </c>
      <c r="Y35" s="1">
        <v>4.5791252135033902E-3</v>
      </c>
      <c r="Z35" s="1">
        <v>1.5705804592565111E-3</v>
      </c>
      <c r="AA35" s="1">
        <v>1.4347032202559975E-3</v>
      </c>
      <c r="AB35" s="1">
        <v>1.2423272484505374E-3</v>
      </c>
      <c r="AC35" s="1">
        <v>3.4618317941065334E-3</v>
      </c>
      <c r="AD35" s="1">
        <v>1.2548375163646223E-3</v>
      </c>
      <c r="AE35" s="1">
        <v>1.2867313736381694E-3</v>
      </c>
      <c r="AF35" s="1">
        <v>2.0538051142229277E-3</v>
      </c>
      <c r="AG35" s="1">
        <v>3.6726541777537644E-3</v>
      </c>
      <c r="AH35" s="1">
        <v>1.5639900734640961E-2</v>
      </c>
      <c r="AI35" s="1">
        <v>3.6570565409058601E-3</v>
      </c>
      <c r="AJ35" s="1">
        <v>3.5875872641644331E-3</v>
      </c>
      <c r="AK35" s="1">
        <v>1.2650527547845157E-3</v>
      </c>
      <c r="AL35" s="1">
        <v>3.0212453137865706E-3</v>
      </c>
      <c r="AM35" s="1">
        <v>4.1254695469319889E-3</v>
      </c>
      <c r="AN35" s="1">
        <v>2.2008974196128326E-3</v>
      </c>
      <c r="AO35" s="1">
        <v>4.2602876482905781E-3</v>
      </c>
    </row>
    <row r="36" spans="1:41" ht="15">
      <c r="A36" s="17" t="s">
        <v>114</v>
      </c>
      <c r="B36" s="1">
        <v>1.8480285576184087E-3</v>
      </c>
      <c r="C36" s="1">
        <v>1.1050635056198842E-3</v>
      </c>
      <c r="D36" s="1">
        <v>-5.7773069253003553E-4</v>
      </c>
      <c r="E36" s="1">
        <v>2.0492923255494015E-3</v>
      </c>
      <c r="F36" s="1">
        <v>1.925101268135861E-3</v>
      </c>
      <c r="G36" s="1">
        <v>2.0084198516966082E-3</v>
      </c>
      <c r="H36" s="1">
        <v>7.6823645710396692E-4</v>
      </c>
      <c r="I36" s="1">
        <v>2.1272741221085851E-3</v>
      </c>
      <c r="J36" s="1">
        <v>2.5014071827525789E-3</v>
      </c>
      <c r="K36" s="1">
        <v>2.3774982817917397E-3</v>
      </c>
      <c r="L36" s="1">
        <v>7.1930201000000918E-4</v>
      </c>
      <c r="M36" s="1">
        <v>2.6837799808549504E-4</v>
      </c>
      <c r="N36" s="1">
        <v>1.842434817596752E-3</v>
      </c>
      <c r="O36" s="1">
        <v>2.4889317987475553E-3</v>
      </c>
      <c r="P36" s="1">
        <v>1.776967938833268E-3</v>
      </c>
      <c r="Q36" s="1">
        <v>1.5208872734094226E-3</v>
      </c>
      <c r="R36" s="1">
        <v>5.2882246721906905E-3</v>
      </c>
      <c r="S36" s="1">
        <v>8.2780034671402713E-4</v>
      </c>
      <c r="T36" s="1">
        <v>2.2827801861742001E-3</v>
      </c>
      <c r="U36" s="1">
        <v>5.1898600942923995E-3</v>
      </c>
      <c r="V36" s="1">
        <v>2.8966073686548716E-3</v>
      </c>
      <c r="W36" s="1">
        <v>2.3669698330936141E-3</v>
      </c>
      <c r="X36" s="1">
        <v>2.9793430851577582E-3</v>
      </c>
      <c r="Y36" s="1">
        <v>3.4839343826527699E-3</v>
      </c>
      <c r="Z36" s="1">
        <v>1.76142475934398E-3</v>
      </c>
      <c r="AA36" s="1">
        <v>2.6081821251820333E-3</v>
      </c>
      <c r="AB36" s="1">
        <v>1.9953666027375601E-3</v>
      </c>
      <c r="AC36" s="1">
        <v>7.4770148673197227E-3</v>
      </c>
      <c r="AD36" s="1">
        <v>1.3774966399169837E-3</v>
      </c>
      <c r="AE36" s="1">
        <v>3.5896241640939962E-3</v>
      </c>
      <c r="AF36" s="1">
        <v>1.3569122634171072E-3</v>
      </c>
      <c r="AG36" s="1">
        <v>2.6785999509835725E-3</v>
      </c>
      <c r="AH36" s="1">
        <v>3.6570565409058601E-3</v>
      </c>
      <c r="AI36" s="1">
        <v>9.1772687531205526E-3</v>
      </c>
      <c r="AJ36" s="1">
        <v>4.8604582323804697E-3</v>
      </c>
      <c r="AK36" s="1">
        <v>3.5259785539897615E-3</v>
      </c>
      <c r="AL36" s="1">
        <v>2.2763286244301944E-3</v>
      </c>
      <c r="AM36" s="1">
        <v>4.2645560945223145E-3</v>
      </c>
      <c r="AN36" s="1">
        <v>2.0989354809319654E-3</v>
      </c>
      <c r="AO36" s="1">
        <v>3.9597950102051175E-3</v>
      </c>
    </row>
    <row r="37" spans="1:41" ht="15">
      <c r="A37" s="17" t="s">
        <v>120</v>
      </c>
      <c r="B37" s="1">
        <v>6.0347755269844988E-4</v>
      </c>
      <c r="C37" s="1">
        <v>4.3732113743415033E-4</v>
      </c>
      <c r="D37" s="1">
        <v>4.533007022813719E-5</v>
      </c>
      <c r="E37" s="1">
        <v>3.6540647837184207E-3</v>
      </c>
      <c r="F37" s="1">
        <v>2.6965063487649267E-3</v>
      </c>
      <c r="G37" s="1">
        <v>1.1530138948654125E-3</v>
      </c>
      <c r="H37" s="1">
        <v>3.6757153383900399E-3</v>
      </c>
      <c r="I37" s="1">
        <v>1.4303633407626716E-3</v>
      </c>
      <c r="J37" s="1">
        <v>2.7832508229990345E-3</v>
      </c>
      <c r="K37" s="1">
        <v>4.6349601181550236E-3</v>
      </c>
      <c r="L37" s="1">
        <v>-8.1464034783007154E-4</v>
      </c>
      <c r="M37" s="1">
        <v>-1.9289662248330147E-4</v>
      </c>
      <c r="N37" s="1">
        <v>1.647347807089397E-3</v>
      </c>
      <c r="O37" s="1">
        <v>2.5457662641125093E-3</v>
      </c>
      <c r="P37" s="1">
        <v>3.3058178027841893E-3</v>
      </c>
      <c r="Q37" s="1">
        <v>8.2906017833246322E-4</v>
      </c>
      <c r="R37" s="1">
        <v>2.1031888995727672E-3</v>
      </c>
      <c r="S37" s="1">
        <v>2.2674103023238444E-3</v>
      </c>
      <c r="T37" s="1">
        <v>4.0201875508973344E-3</v>
      </c>
      <c r="U37" s="1">
        <v>6.7968532054320423E-3</v>
      </c>
      <c r="V37" s="1">
        <v>2.2219169984395428E-3</v>
      </c>
      <c r="W37" s="1">
        <v>1.1965334003614895E-3</v>
      </c>
      <c r="X37" s="1">
        <v>4.0633819179504574E-3</v>
      </c>
      <c r="Y37" s="1">
        <v>4.2560438698398722E-3</v>
      </c>
      <c r="Z37" s="1">
        <v>4.3022322500328432E-4</v>
      </c>
      <c r="AA37" s="1">
        <v>2.3629353808357341E-3</v>
      </c>
      <c r="AB37" s="1">
        <v>-7.3261230567131714E-4</v>
      </c>
      <c r="AC37" s="1">
        <v>6.5550150550750183E-3</v>
      </c>
      <c r="AD37" s="1">
        <v>1.3518378280969491E-3</v>
      </c>
      <c r="AE37" s="1">
        <v>8.5045718141098844E-4</v>
      </c>
      <c r="AF37" s="1">
        <v>1.6235072789663938E-4</v>
      </c>
      <c r="AG37" s="1">
        <v>5.4433286350503238E-3</v>
      </c>
      <c r="AH37" s="1">
        <v>3.5875872641644331E-3</v>
      </c>
      <c r="AI37" s="1">
        <v>4.8604582323804697E-3</v>
      </c>
      <c r="AJ37" s="1">
        <v>2.0397344755797461E-2</v>
      </c>
      <c r="AK37" s="1">
        <v>5.2972699523477339E-3</v>
      </c>
      <c r="AL37" s="1">
        <v>5.5798438737608095E-3</v>
      </c>
      <c r="AM37" s="1">
        <v>2.013881388693553E-3</v>
      </c>
      <c r="AN37" s="1">
        <v>2.3326247727004936E-3</v>
      </c>
      <c r="AO37" s="1">
        <v>5.8173924803234245E-3</v>
      </c>
    </row>
    <row r="38" spans="1:41" ht="15">
      <c r="A38" s="17" t="s">
        <v>123</v>
      </c>
      <c r="B38" s="1">
        <v>1.245085138931684E-3</v>
      </c>
      <c r="C38" s="1">
        <v>7.20858597532851E-4</v>
      </c>
      <c r="D38" s="1">
        <v>4.2715904218126524E-4</v>
      </c>
      <c r="E38" s="1">
        <v>1.2411142344615253E-3</v>
      </c>
      <c r="F38" s="1">
        <v>1.3449598897855789E-3</v>
      </c>
      <c r="G38" s="1">
        <v>6.0111672451033569E-4</v>
      </c>
      <c r="H38" s="1">
        <v>8.2184689739047832E-4</v>
      </c>
      <c r="I38" s="1">
        <v>6.9743991367846026E-4</v>
      </c>
      <c r="J38" s="1">
        <v>1.958890526277797E-3</v>
      </c>
      <c r="K38" s="1">
        <v>2.7264710098820525E-3</v>
      </c>
      <c r="L38" s="1">
        <v>-3.1194526596845445E-4</v>
      </c>
      <c r="M38" s="1">
        <v>1.3385211762632429E-4</v>
      </c>
      <c r="N38" s="1">
        <v>8.0768296880582549E-4</v>
      </c>
      <c r="O38" s="1">
        <v>1.696301088236144E-3</v>
      </c>
      <c r="P38" s="1">
        <v>3.0332083480278907E-3</v>
      </c>
      <c r="Q38" s="1">
        <v>1.7033674587029254E-3</v>
      </c>
      <c r="R38" s="1">
        <v>1.2740115300839115E-3</v>
      </c>
      <c r="S38" s="1">
        <v>1.0165915848284095E-3</v>
      </c>
      <c r="T38" s="1">
        <v>9.0543093715176844E-4</v>
      </c>
      <c r="U38" s="1">
        <v>4.2455172499474862E-3</v>
      </c>
      <c r="V38" s="1">
        <v>1.4857609514189055E-3</v>
      </c>
      <c r="W38" s="1">
        <v>1.0119801948071116E-3</v>
      </c>
      <c r="X38" s="1">
        <v>2.311806103808935E-3</v>
      </c>
      <c r="Y38" s="1">
        <v>1.3850564153923559E-3</v>
      </c>
      <c r="Z38" s="1">
        <v>6.7861659821150469E-4</v>
      </c>
      <c r="AA38" s="1">
        <v>1.6120137100456696E-3</v>
      </c>
      <c r="AB38" s="1">
        <v>1.3452424159860429E-3</v>
      </c>
      <c r="AC38" s="1">
        <v>3.8591826336859007E-3</v>
      </c>
      <c r="AD38" s="1">
        <v>1.46755929100466E-3</v>
      </c>
      <c r="AE38" s="1">
        <v>1.9111992062658199E-3</v>
      </c>
      <c r="AF38" s="1">
        <v>4.7207207361243784E-4</v>
      </c>
      <c r="AG38" s="1">
        <v>3.5240155632869992E-3</v>
      </c>
      <c r="AH38" s="1">
        <v>1.2650527547845157E-3</v>
      </c>
      <c r="AI38" s="1">
        <v>3.5259785539897615E-3</v>
      </c>
      <c r="AJ38" s="1">
        <v>5.2972699523477339E-3</v>
      </c>
      <c r="AK38" s="1">
        <v>6.8820118234713089E-3</v>
      </c>
      <c r="AL38" s="1">
        <v>2.1068971090685003E-3</v>
      </c>
      <c r="AM38" s="1">
        <v>2.5116648695684492E-3</v>
      </c>
      <c r="AN38" s="1">
        <v>1.1621836122910007E-3</v>
      </c>
      <c r="AO38" s="1">
        <v>3.1911083811324028E-3</v>
      </c>
    </row>
    <row r="39" spans="1:41" ht="15">
      <c r="A39" s="17" t="s">
        <v>127</v>
      </c>
      <c r="B39" s="1">
        <v>1.6411223758203061E-3</v>
      </c>
      <c r="C39" s="1">
        <v>1.2617161013877809E-3</v>
      </c>
      <c r="D39" s="1">
        <v>1.013099297831782E-3</v>
      </c>
      <c r="E39" s="1">
        <v>2.420454120566861E-3</v>
      </c>
      <c r="F39" s="1">
        <v>1.7507654423845715E-3</v>
      </c>
      <c r="G39" s="1">
        <v>1.0634715544763549E-3</v>
      </c>
      <c r="H39" s="1">
        <v>2.2739603680219981E-3</v>
      </c>
      <c r="I39" s="1">
        <v>1.313238359005023E-3</v>
      </c>
      <c r="J39" s="1">
        <v>1.863362213677076E-3</v>
      </c>
      <c r="K39" s="1">
        <v>2.5014030351887965E-3</v>
      </c>
      <c r="L39" s="1">
        <v>-4.7806633594719788E-4</v>
      </c>
      <c r="M39" s="1">
        <v>4.5410492392380442E-4</v>
      </c>
      <c r="N39" s="1">
        <v>1.346705119460387E-3</v>
      </c>
      <c r="O39" s="1">
        <v>1.1673453397809052E-3</v>
      </c>
      <c r="P39" s="1">
        <v>1.3254085133657606E-3</v>
      </c>
      <c r="Q39" s="1">
        <v>6.0558116167757134E-5</v>
      </c>
      <c r="R39" s="1">
        <v>1.3352033666431792E-3</v>
      </c>
      <c r="S39" s="1">
        <v>2.4108011100732081E-3</v>
      </c>
      <c r="T39" s="1">
        <v>2.4224823722742736E-3</v>
      </c>
      <c r="U39" s="1">
        <v>3.3238520333939191E-3</v>
      </c>
      <c r="V39" s="1">
        <v>2.4735433505140799E-3</v>
      </c>
      <c r="W39" s="1">
        <v>9.7586228154326784E-4</v>
      </c>
      <c r="X39" s="1">
        <v>2.0781173958332828E-3</v>
      </c>
      <c r="Y39" s="1">
        <v>5.1563275201398865E-3</v>
      </c>
      <c r="Z39" s="1">
        <v>1.6685383768161148E-3</v>
      </c>
      <c r="AA39" s="1">
        <v>1.7633436510728735E-3</v>
      </c>
      <c r="AB39" s="1">
        <v>3.1280305948992363E-4</v>
      </c>
      <c r="AC39" s="1">
        <v>5.0696183177307459E-3</v>
      </c>
      <c r="AD39" s="1">
        <v>8.2984662190023505E-4</v>
      </c>
      <c r="AE39" s="1">
        <v>1.5497436307508898E-3</v>
      </c>
      <c r="AF39" s="1">
        <v>7.5833433322033852E-4</v>
      </c>
      <c r="AG39" s="1">
        <v>3.2049113324286479E-3</v>
      </c>
      <c r="AH39" s="1">
        <v>3.0212453137865706E-3</v>
      </c>
      <c r="AI39" s="1">
        <v>2.2763286244301944E-3</v>
      </c>
      <c r="AJ39" s="1">
        <v>5.5798438737608095E-3</v>
      </c>
      <c r="AK39" s="1">
        <v>2.1068971090685003E-3</v>
      </c>
      <c r="AL39" s="1">
        <v>6.2923600474747302E-3</v>
      </c>
      <c r="AM39" s="1">
        <v>2.7631193364018309E-3</v>
      </c>
      <c r="AN39" s="1">
        <v>1.365688272536237E-3</v>
      </c>
      <c r="AO39" s="1">
        <v>4.3739670470682168E-3</v>
      </c>
    </row>
    <row r="40" spans="1:41" ht="15">
      <c r="A40" s="17" t="s">
        <v>139</v>
      </c>
      <c r="B40" s="1">
        <v>2.931852214482192E-3</v>
      </c>
      <c r="C40" s="1">
        <v>1.8993498772348885E-3</v>
      </c>
      <c r="D40" s="1">
        <v>1.8704780394653586E-3</v>
      </c>
      <c r="E40" s="1">
        <v>2.7367962630821165E-3</v>
      </c>
      <c r="F40" s="1">
        <v>2.7057491325352574E-3</v>
      </c>
      <c r="G40" s="1">
        <v>2.3982526250466282E-3</v>
      </c>
      <c r="H40" s="1">
        <v>1.1534979334236351E-3</v>
      </c>
      <c r="I40" s="1">
        <v>1.2190398764411266E-3</v>
      </c>
      <c r="J40" s="1">
        <v>2.4103508752523419E-3</v>
      </c>
      <c r="K40" s="1">
        <v>1.8455375564456885E-3</v>
      </c>
      <c r="L40" s="1">
        <v>8.4065656783524482E-4</v>
      </c>
      <c r="M40" s="1">
        <v>7.679908050798593E-4</v>
      </c>
      <c r="N40" s="1">
        <v>3.3551908835623605E-3</v>
      </c>
      <c r="O40" s="1">
        <v>1.3233270548635675E-3</v>
      </c>
      <c r="P40" s="1">
        <v>1.5040066938497524E-3</v>
      </c>
      <c r="Q40" s="1">
        <v>5.1760693150007227E-4</v>
      </c>
      <c r="R40" s="1">
        <v>5.3670429669066639E-3</v>
      </c>
      <c r="S40" s="1">
        <v>2.327249237530471E-3</v>
      </c>
      <c r="T40" s="1">
        <v>4.1272210254552459E-3</v>
      </c>
      <c r="U40" s="1">
        <v>3.934432004494808E-3</v>
      </c>
      <c r="V40" s="1">
        <v>1.8600138436928491E-3</v>
      </c>
      <c r="W40" s="1">
        <v>4.3302852926951725E-3</v>
      </c>
      <c r="X40" s="1">
        <v>3.8527922828980651E-3</v>
      </c>
      <c r="Y40" s="1">
        <v>8.8990055998371623E-3</v>
      </c>
      <c r="Z40" s="1">
        <v>2.8991282369343566E-3</v>
      </c>
      <c r="AA40" s="1">
        <v>2.2194252502162931E-3</v>
      </c>
      <c r="AB40" s="1">
        <v>1.8252007090284236E-3</v>
      </c>
      <c r="AC40" s="1">
        <v>1.0432772203474551E-2</v>
      </c>
      <c r="AD40" s="1">
        <v>1.5704929541035279E-3</v>
      </c>
      <c r="AE40" s="1">
        <v>3.9311256398510868E-3</v>
      </c>
      <c r="AF40" s="1">
        <v>7.8192092542521906E-4</v>
      </c>
      <c r="AG40" s="1">
        <v>5.5816883081560237E-3</v>
      </c>
      <c r="AH40" s="1">
        <v>4.1254695469319889E-3</v>
      </c>
      <c r="AI40" s="1">
        <v>4.2645560945223145E-3</v>
      </c>
      <c r="AJ40" s="1">
        <v>2.013881388693553E-3</v>
      </c>
      <c r="AK40" s="1">
        <v>2.5116648695684492E-3</v>
      </c>
      <c r="AL40" s="1">
        <v>2.7631193364018309E-3</v>
      </c>
      <c r="AM40" s="1">
        <v>2.885434416987875E-2</v>
      </c>
      <c r="AN40" s="1">
        <v>2.1247081408938529E-3</v>
      </c>
      <c r="AO40" s="1">
        <v>1.9176733922390125E-3</v>
      </c>
    </row>
    <row r="41" spans="1:41" ht="15">
      <c r="A41" s="17" t="s">
        <v>140</v>
      </c>
      <c r="B41" s="1">
        <v>1.1030023320838401E-3</v>
      </c>
      <c r="C41" s="1">
        <v>5.2226896543385091E-4</v>
      </c>
      <c r="D41" s="1">
        <v>-4.1974062406284582E-4</v>
      </c>
      <c r="E41" s="1">
        <v>9.1411807406567179E-4</v>
      </c>
      <c r="F41" s="1">
        <v>6.3251913789167985E-4</v>
      </c>
      <c r="G41" s="1">
        <v>1.2422259618738293E-3</v>
      </c>
      <c r="H41" s="1">
        <v>1.4090316659352781E-3</v>
      </c>
      <c r="I41" s="1">
        <v>2.6865436009399345E-3</v>
      </c>
      <c r="J41" s="1">
        <v>1.6870664501660935E-3</v>
      </c>
      <c r="K41" s="1">
        <v>7.5413946571007296E-4</v>
      </c>
      <c r="L41" s="1">
        <v>1.0663592805973815E-3</v>
      </c>
      <c r="M41" s="1">
        <v>4.2871806813742915E-4</v>
      </c>
      <c r="N41" s="1">
        <v>1.5309391747402555E-3</v>
      </c>
      <c r="O41" s="1">
        <v>1.9793650903887896E-3</v>
      </c>
      <c r="P41" s="1">
        <v>2.2079718666711125E-3</v>
      </c>
      <c r="Q41" s="1">
        <v>1.5740575470682739E-3</v>
      </c>
      <c r="R41" s="1">
        <v>4.4115068563911411E-3</v>
      </c>
      <c r="S41" s="1">
        <v>7.4163390719607846E-4</v>
      </c>
      <c r="T41" s="1">
        <v>2.1007856406765751E-3</v>
      </c>
      <c r="U41" s="1">
        <v>4.9652982628498356E-3</v>
      </c>
      <c r="V41" s="1">
        <v>2.0907033514892402E-3</v>
      </c>
      <c r="W41" s="1">
        <v>2.4933542337127182E-3</v>
      </c>
      <c r="X41" s="1">
        <v>2.7156086847481184E-3</v>
      </c>
      <c r="Y41" s="1">
        <v>1.1953264721574859E-3</v>
      </c>
      <c r="Z41" s="1">
        <v>7.0844652530667647E-4</v>
      </c>
      <c r="AA41" s="1">
        <v>1.3347429769108654E-3</v>
      </c>
      <c r="AB41" s="1">
        <v>1.3913286681657821E-3</v>
      </c>
      <c r="AC41" s="1">
        <v>6.0836709838926989E-4</v>
      </c>
      <c r="AD41" s="1">
        <v>4.6759636489879149E-4</v>
      </c>
      <c r="AE41" s="1">
        <v>2.0279358730607481E-3</v>
      </c>
      <c r="AF41" s="1">
        <v>1.5098336981650825E-3</v>
      </c>
      <c r="AG41" s="1">
        <v>2.0366277277461902E-3</v>
      </c>
      <c r="AH41" s="1">
        <v>2.2008974196128326E-3</v>
      </c>
      <c r="AI41" s="1">
        <v>2.0989354809319654E-3</v>
      </c>
      <c r="AJ41" s="1">
        <v>2.3326247727004936E-3</v>
      </c>
      <c r="AK41" s="1">
        <v>1.1621836122910007E-3</v>
      </c>
      <c r="AL41" s="1">
        <v>1.365688272536237E-3</v>
      </c>
      <c r="AM41" s="1">
        <v>2.1247081408938529E-3</v>
      </c>
      <c r="AN41" s="1">
        <v>5.6007421868388939E-3</v>
      </c>
      <c r="AO41" s="1">
        <v>9.7878755594260343E-4</v>
      </c>
    </row>
    <row r="42" spans="1:41" ht="15">
      <c r="A42" s="17" t="s">
        <v>142</v>
      </c>
      <c r="B42" s="1">
        <v>1.2851903873514899E-3</v>
      </c>
      <c r="C42" s="1">
        <v>1.1358567721405837E-4</v>
      </c>
      <c r="D42" s="1">
        <v>4.8946081349817509E-5</v>
      </c>
      <c r="E42" s="1">
        <v>7.424420018240876E-4</v>
      </c>
      <c r="F42" s="1">
        <v>1.8646384571778846E-4</v>
      </c>
      <c r="G42" s="1">
        <v>1.2956815744458903E-3</v>
      </c>
      <c r="H42" s="1">
        <v>1.7344635285310272E-3</v>
      </c>
      <c r="I42" s="1">
        <v>1.0470984970288671E-3</v>
      </c>
      <c r="J42" s="1">
        <v>8.2775538598598634E-4</v>
      </c>
      <c r="K42" s="1">
        <v>2.2203164818035744E-3</v>
      </c>
      <c r="L42" s="1">
        <v>-2.086691673850899E-3</v>
      </c>
      <c r="M42" s="1">
        <v>3.9293881165199717E-5</v>
      </c>
      <c r="N42" s="1">
        <v>8.4115848076006159E-4</v>
      </c>
      <c r="O42" s="1">
        <v>6.582177547439029E-4</v>
      </c>
      <c r="P42" s="1">
        <v>1.8776870103898668E-3</v>
      </c>
      <c r="Q42" s="1">
        <v>2.0401699470755261E-4</v>
      </c>
      <c r="R42" s="1">
        <v>1.020623959965547E-3</v>
      </c>
      <c r="S42" s="1">
        <v>1.4477437737854036E-3</v>
      </c>
      <c r="T42" s="1">
        <v>2.9335551554266277E-3</v>
      </c>
      <c r="U42" s="1">
        <v>6.1196813802961417E-4</v>
      </c>
      <c r="V42" s="1">
        <v>2.5183048277888668E-3</v>
      </c>
      <c r="W42" s="1">
        <v>1.7431099610316233E-3</v>
      </c>
      <c r="X42" s="1">
        <v>2.0938951853885159E-3</v>
      </c>
      <c r="Y42" s="1">
        <v>4.5810949384917686E-3</v>
      </c>
      <c r="Z42" s="1">
        <v>1.7028769828900912E-3</v>
      </c>
      <c r="AA42" s="1">
        <v>1.6205914680580901E-3</v>
      </c>
      <c r="AB42" s="1">
        <v>-1.2852046869502731E-4</v>
      </c>
      <c r="AC42" s="1">
        <v>9.2784341660445257E-3</v>
      </c>
      <c r="AD42" s="1">
        <v>8.7394990168595946E-4</v>
      </c>
      <c r="AE42" s="1">
        <v>1.9534556611164027E-3</v>
      </c>
      <c r="AF42" s="1">
        <v>9.8910131624592185E-4</v>
      </c>
      <c r="AG42" s="1">
        <v>3.0689365689111105E-3</v>
      </c>
      <c r="AH42" s="1">
        <v>4.2602876482905781E-3</v>
      </c>
      <c r="AI42" s="1">
        <v>3.9597950102051175E-3</v>
      </c>
      <c r="AJ42" s="1">
        <v>5.8173924803234245E-3</v>
      </c>
      <c r="AK42" s="1">
        <v>3.1911083811324028E-3</v>
      </c>
      <c r="AL42" s="1">
        <v>4.3739670470682168E-3</v>
      </c>
      <c r="AM42" s="1">
        <v>1.9176733922390125E-3</v>
      </c>
      <c r="AN42" s="1">
        <v>9.7878755594260343E-4</v>
      </c>
      <c r="AO42" s="1">
        <v>9.633373525950421E-3</v>
      </c>
    </row>
  </sheetData>
  <phoneticPr fontId="19" type="noConversion"/>
  <conditionalFormatting sqref="A3:A42">
    <cfRule type="duplicateValues" dxfId="46" priority="5"/>
  </conditionalFormatting>
  <conditionalFormatting sqref="A3:A42">
    <cfRule type="duplicateValues" dxfId="45" priority="4"/>
  </conditionalFormatting>
  <conditionalFormatting sqref="A3:A42">
    <cfRule type="duplicateValues" dxfId="44" priority="6"/>
  </conditionalFormatting>
  <conditionalFormatting sqref="B2:AO2">
    <cfRule type="duplicateValues" dxfId="43" priority="2"/>
  </conditionalFormatting>
  <conditionalFormatting sqref="B2:AO2">
    <cfRule type="duplicateValues" dxfId="42" priority="1"/>
  </conditionalFormatting>
  <conditionalFormatting sqref="B2:AO2">
    <cfRule type="duplicateValues" dxfId="41" priority="3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O42"/>
  <sheetViews>
    <sheetView zoomScale="50" workbookViewId="0">
      <selection activeCell="B2" sqref="B2:AO2"/>
    </sheetView>
  </sheetViews>
  <sheetFormatPr defaultColWidth="11" defaultRowHeight="14.25"/>
  <sheetData>
    <row r="1" spans="1:41" ht="27">
      <c r="A1" s="2" t="s">
        <v>5</v>
      </c>
    </row>
    <row r="2" spans="1:41" ht="15">
      <c r="B2" s="17" t="s">
        <v>15</v>
      </c>
      <c r="C2" s="17" t="s">
        <v>19</v>
      </c>
      <c r="D2" s="17" t="s">
        <v>17</v>
      </c>
      <c r="E2" s="17" t="s">
        <v>18</v>
      </c>
      <c r="F2" s="17" t="s">
        <v>20</v>
      </c>
      <c r="G2" s="17" t="s">
        <v>22</v>
      </c>
      <c r="H2" s="17" t="s">
        <v>23</v>
      </c>
      <c r="I2" s="17" t="s">
        <v>24</v>
      </c>
      <c r="J2" s="17" t="s">
        <v>29</v>
      </c>
      <c r="K2" s="17" t="s">
        <v>30</v>
      </c>
      <c r="L2" s="17" t="s">
        <v>32</v>
      </c>
      <c r="M2" s="17" t="s">
        <v>41</v>
      </c>
      <c r="N2" s="17" t="s">
        <v>43</v>
      </c>
      <c r="O2" s="17" t="s">
        <v>45</v>
      </c>
      <c r="P2" s="17" t="s">
        <v>47</v>
      </c>
      <c r="Q2" s="17" t="s">
        <v>50</v>
      </c>
      <c r="R2" s="17" t="s">
        <v>52</v>
      </c>
      <c r="S2" s="17" t="s">
        <v>53</v>
      </c>
      <c r="T2" s="17" t="s">
        <v>54</v>
      </c>
      <c r="U2" s="17" t="s">
        <v>57</v>
      </c>
      <c r="V2" s="17" t="s">
        <v>62</v>
      </c>
      <c r="W2" s="17" t="s">
        <v>66</v>
      </c>
      <c r="X2" s="17" t="s">
        <v>70</v>
      </c>
      <c r="Y2" s="17" t="s">
        <v>74</v>
      </c>
      <c r="Z2" s="17" t="s">
        <v>76</v>
      </c>
      <c r="AA2" s="17" t="s">
        <v>79</v>
      </c>
      <c r="AB2" s="17" t="s">
        <v>87</v>
      </c>
      <c r="AC2" s="17" t="s">
        <v>88</v>
      </c>
      <c r="AD2" s="17" t="s">
        <v>91</v>
      </c>
      <c r="AE2" s="17" t="s">
        <v>94</v>
      </c>
      <c r="AF2" s="17" t="s">
        <v>95</v>
      </c>
      <c r="AG2" s="17" t="s">
        <v>102</v>
      </c>
      <c r="AH2" s="17" t="s">
        <v>110</v>
      </c>
      <c r="AI2" s="17" t="s">
        <v>114</v>
      </c>
      <c r="AJ2" s="17" t="s">
        <v>120</v>
      </c>
      <c r="AK2" s="17" t="s">
        <v>123</v>
      </c>
      <c r="AL2" s="17" t="s">
        <v>127</v>
      </c>
      <c r="AM2" s="17" t="s">
        <v>139</v>
      </c>
      <c r="AN2" s="17" t="s">
        <v>140</v>
      </c>
      <c r="AO2" s="17" t="s">
        <v>142</v>
      </c>
    </row>
    <row r="3" spans="1:41" ht="15">
      <c r="A3" s="17" t="s">
        <v>15</v>
      </c>
      <c r="B3" s="1">
        <f t="array" ref="B3:AO42">sim(Data!B132:AO189,Data!AQ132:AQ189)</f>
        <v>2.399561424498947E-3</v>
      </c>
      <c r="C3" s="1">
        <v>5.8337916516675893E-4</v>
      </c>
      <c r="D3" s="1">
        <v>4.0526367981035119E-4</v>
      </c>
      <c r="E3" s="1">
        <v>1.1106901125950369E-3</v>
      </c>
      <c r="F3" s="1">
        <v>8.5795451428132669E-4</v>
      </c>
      <c r="G3" s="1">
        <v>9.8266373236781499E-4</v>
      </c>
      <c r="H3" s="1">
        <v>1.2370953123513448E-3</v>
      </c>
      <c r="I3" s="1">
        <v>1.2589121110271669E-3</v>
      </c>
      <c r="J3" s="1">
        <v>1.0626098658488847E-3</v>
      </c>
      <c r="K3" s="1">
        <v>1.1543280483588807E-3</v>
      </c>
      <c r="L3" s="1">
        <v>2.597355558791213E-4</v>
      </c>
      <c r="M3" s="1">
        <v>4.3520649080352021E-4</v>
      </c>
      <c r="N3" s="1">
        <v>1.1257215874438363E-3</v>
      </c>
      <c r="O3" s="1">
        <v>1.0779051211545982E-3</v>
      </c>
      <c r="P3" s="1">
        <v>1.5749700533397482E-3</v>
      </c>
      <c r="Q3" s="1">
        <v>6.6644878648681972E-4</v>
      </c>
      <c r="R3" s="1">
        <v>1.9324257662183999E-3</v>
      </c>
      <c r="S3" s="1">
        <v>7.8721776125934137E-4</v>
      </c>
      <c r="T3" s="1">
        <v>1.3874711743742433E-3</v>
      </c>
      <c r="U3" s="1">
        <v>2.711451557302908E-3</v>
      </c>
      <c r="V3" s="1">
        <v>1.2849432910710078E-3</v>
      </c>
      <c r="W3" s="1">
        <v>1.329602895441976E-3</v>
      </c>
      <c r="X3" s="1">
        <v>1.4581057427332327E-3</v>
      </c>
      <c r="Y3" s="1">
        <v>2.1486561245756034E-3</v>
      </c>
      <c r="Z3" s="1">
        <v>8.377032095190014E-4</v>
      </c>
      <c r="AA3" s="1">
        <v>1.2632496856414012E-3</v>
      </c>
      <c r="AB3" s="1">
        <v>7.7709144489234903E-4</v>
      </c>
      <c r="AC3" s="1">
        <v>2.711313880455118E-3</v>
      </c>
      <c r="AD3" s="1">
        <v>6.057952109322297E-4</v>
      </c>
      <c r="AE3" s="1">
        <v>1.3671543521117024E-3</v>
      </c>
      <c r="AF3" s="1">
        <v>6.3499646408793028E-4</v>
      </c>
      <c r="AG3" s="1">
        <v>1.5636224439726496E-3</v>
      </c>
      <c r="AH3" s="1">
        <v>1.3864377087441744E-3</v>
      </c>
      <c r="AI3" s="1">
        <v>1.9126587474446108E-3</v>
      </c>
      <c r="AJ3" s="1">
        <v>2.1464609689758095E-3</v>
      </c>
      <c r="AK3" s="1">
        <v>1.3044958488644875E-3</v>
      </c>
      <c r="AL3" s="1">
        <v>1.7086374185463229E-3</v>
      </c>
      <c r="AM3" s="1">
        <v>2.3721938740365049E-3</v>
      </c>
      <c r="AN3" s="1">
        <v>1.2299485869609193E-3</v>
      </c>
      <c r="AO3" s="1">
        <v>1.598771922899183E-3</v>
      </c>
    </row>
    <row r="4" spans="1:41" ht="15">
      <c r="A4" s="17" t="s">
        <v>19</v>
      </c>
      <c r="B4" s="1">
        <v>5.8337916516675893E-4</v>
      </c>
      <c r="C4" s="1">
        <v>2.5239939089386305E-3</v>
      </c>
      <c r="D4" s="1">
        <v>2.3559200434194089E-4</v>
      </c>
      <c r="E4" s="1">
        <v>6.456776732410187E-4</v>
      </c>
      <c r="F4" s="1">
        <v>4.987548446195385E-4</v>
      </c>
      <c r="G4" s="1">
        <v>5.7125207571278875E-4</v>
      </c>
      <c r="H4" s="1">
        <v>7.1916082964863955E-4</v>
      </c>
      <c r="I4" s="1">
        <v>7.3184359295663391E-4</v>
      </c>
      <c r="J4" s="1">
        <v>6.1772717517151032E-4</v>
      </c>
      <c r="K4" s="1">
        <v>6.7104572190691402E-4</v>
      </c>
      <c r="L4" s="1">
        <v>1.5099211515097E-4</v>
      </c>
      <c r="M4" s="1">
        <v>2.5299866378108369E-4</v>
      </c>
      <c r="N4" s="1">
        <v>6.5441592308739362E-4</v>
      </c>
      <c r="O4" s="1">
        <v>6.2661876855604705E-4</v>
      </c>
      <c r="P4" s="1">
        <v>9.1557761065211437E-4</v>
      </c>
      <c r="Q4" s="1">
        <v>3.8742678710601233E-4</v>
      </c>
      <c r="R4" s="1">
        <v>1.1233774013956813E-3</v>
      </c>
      <c r="S4" s="1">
        <v>4.5763343587921173E-4</v>
      </c>
      <c r="T4" s="1">
        <v>8.0657885525409353E-4</v>
      </c>
      <c r="U4" s="1">
        <v>1.5762485978511639E-3</v>
      </c>
      <c r="V4" s="1">
        <v>7.4697630330655804E-4</v>
      </c>
      <c r="W4" s="1">
        <v>7.7293827875868381E-4</v>
      </c>
      <c r="X4" s="1">
        <v>8.4764086096679285E-4</v>
      </c>
      <c r="Y4" s="1">
        <v>1.249078632625652E-3</v>
      </c>
      <c r="Z4" s="1">
        <v>4.8698215015619955E-4</v>
      </c>
      <c r="AA4" s="1">
        <v>7.3436515594946965E-4</v>
      </c>
      <c r="AB4" s="1">
        <v>4.5174670265254622E-4</v>
      </c>
      <c r="AC4" s="1">
        <v>1.5761685621456759E-3</v>
      </c>
      <c r="AD4" s="1">
        <v>3.5216703364846543E-4</v>
      </c>
      <c r="AE4" s="1">
        <v>7.9476807349114129E-4</v>
      </c>
      <c r="AF4" s="1">
        <v>3.691426031430407E-4</v>
      </c>
      <c r="AG4" s="1">
        <v>9.0898090295668218E-4</v>
      </c>
      <c r="AH4" s="1">
        <v>8.0597807050249593E-4</v>
      </c>
      <c r="AI4" s="1">
        <v>1.1118862369889398E-3</v>
      </c>
      <c r="AJ4" s="1">
        <v>1.2478025224451393E-3</v>
      </c>
      <c r="AK4" s="1">
        <v>7.5834279507491277E-4</v>
      </c>
      <c r="AL4" s="1">
        <v>9.9328248294380307E-4</v>
      </c>
      <c r="AM4" s="1">
        <v>1.3790278707765395E-3</v>
      </c>
      <c r="AN4" s="1">
        <v>7.1500622255431581E-4</v>
      </c>
      <c r="AO4" s="1">
        <v>9.2941435555660905E-4</v>
      </c>
    </row>
    <row r="5" spans="1:41" ht="15">
      <c r="A5" s="17" t="s">
        <v>17</v>
      </c>
      <c r="B5" s="1">
        <v>4.0526367981035119E-4</v>
      </c>
      <c r="C5" s="1">
        <v>2.3559200434194089E-4</v>
      </c>
      <c r="D5" s="1">
        <v>4.8172862830021135E-3</v>
      </c>
      <c r="E5" s="1">
        <v>4.4854140403564544E-4</v>
      </c>
      <c r="F5" s="1">
        <v>3.4647658970812925E-4</v>
      </c>
      <c r="G5" s="1">
        <v>3.9683919503105604E-4</v>
      </c>
      <c r="H5" s="1">
        <v>4.9958891506789041E-4</v>
      </c>
      <c r="I5" s="1">
        <v>5.0839941711400358E-4</v>
      </c>
      <c r="J5" s="1">
        <v>4.2912466381499811E-4</v>
      </c>
      <c r="K5" s="1">
        <v>4.6616416015346132E-4</v>
      </c>
      <c r="L5" s="1">
        <v>1.0489167913793897E-4</v>
      </c>
      <c r="M5" s="1">
        <v>1.7575391030928445E-4</v>
      </c>
      <c r="N5" s="1">
        <v>4.5461171901995214E-4</v>
      </c>
      <c r="O5" s="1">
        <v>4.3530150397240187E-4</v>
      </c>
      <c r="P5" s="1">
        <v>6.3603634445666239E-4</v>
      </c>
      <c r="Q5" s="1">
        <v>2.6913886332365463E-4</v>
      </c>
      <c r="R5" s="1">
        <v>7.8039135898051227E-4</v>
      </c>
      <c r="S5" s="1">
        <v>3.179102396905953E-4</v>
      </c>
      <c r="T5" s="1">
        <v>5.6031674501789367E-4</v>
      </c>
      <c r="U5" s="1">
        <v>1.0949933511569087E-3</v>
      </c>
      <c r="V5" s="1">
        <v>5.1891185610410942E-4</v>
      </c>
      <c r="W5" s="1">
        <v>5.3694720315642817E-4</v>
      </c>
      <c r="X5" s="1">
        <v>5.8884182875269819E-4</v>
      </c>
      <c r="Y5" s="1">
        <v>8.6771388704917911E-4</v>
      </c>
      <c r="Z5" s="1">
        <v>3.3829829715952253E-4</v>
      </c>
      <c r="AA5" s="1">
        <v>5.1015110445281708E-4</v>
      </c>
      <c r="AB5" s="1">
        <v>3.1382082527206979E-4</v>
      </c>
      <c r="AC5" s="1">
        <v>1.094937751700399E-3</v>
      </c>
      <c r="AD5" s="1">
        <v>2.4464450649943281E-4</v>
      </c>
      <c r="AE5" s="1">
        <v>5.5211199386377458E-4</v>
      </c>
      <c r="AF5" s="1">
        <v>2.5643714869686438E-4</v>
      </c>
      <c r="AG5" s="1">
        <v>6.3145372273324188E-4</v>
      </c>
      <c r="AH5" s="1">
        <v>5.5989938997036328E-4</v>
      </c>
      <c r="AI5" s="1">
        <v>7.7240864062023181E-4</v>
      </c>
      <c r="AJ5" s="1">
        <v>8.668273948011227E-4</v>
      </c>
      <c r="AK5" s="1">
        <v>5.2680796648244411E-4</v>
      </c>
      <c r="AL5" s="1">
        <v>6.9001661040448976E-4</v>
      </c>
      <c r="AM5" s="1">
        <v>9.5798743397389045E-4</v>
      </c>
      <c r="AN5" s="1">
        <v>4.9670277949818683E-4</v>
      </c>
      <c r="AO5" s="1">
        <v>6.4564849808060906E-4</v>
      </c>
    </row>
    <row r="6" spans="1:41" ht="15">
      <c r="A6" s="17" t="s">
        <v>18</v>
      </c>
      <c r="B6" s="1">
        <v>1.1106901125950369E-3</v>
      </c>
      <c r="C6" s="1">
        <v>6.456776732410187E-4</v>
      </c>
      <c r="D6" s="1">
        <v>4.4854140403564544E-4</v>
      </c>
      <c r="E6" s="1">
        <v>7.0123970050019815E-3</v>
      </c>
      <c r="F6" s="1">
        <v>9.4957466362283497E-4</v>
      </c>
      <c r="G6" s="1">
        <v>1.0876014608993084E-3</v>
      </c>
      <c r="H6" s="1">
        <v>1.3692035481384748E-3</v>
      </c>
      <c r="I6" s="1">
        <v>1.3933501420651635E-3</v>
      </c>
      <c r="J6" s="1">
        <v>1.1760849661954181E-3</v>
      </c>
      <c r="K6" s="1">
        <v>1.2775976464777542E-3</v>
      </c>
      <c r="L6" s="1">
        <v>2.8747246969311127E-4</v>
      </c>
      <c r="M6" s="1">
        <v>4.8168177943255997E-4</v>
      </c>
      <c r="N6" s="1">
        <v>1.2459363287171067E-3</v>
      </c>
      <c r="O6" s="1">
        <v>1.1930135873171501E-3</v>
      </c>
      <c r="P6" s="1">
        <v>1.7431596124520565E-3</v>
      </c>
      <c r="Q6" s="1">
        <v>7.376182206817513E-4</v>
      </c>
      <c r="R6" s="1">
        <v>2.1387876820836193E-3</v>
      </c>
      <c r="S6" s="1">
        <v>8.7128399979564041E-4</v>
      </c>
      <c r="T6" s="1">
        <v>1.535637905928409E-3</v>
      </c>
      <c r="U6" s="1">
        <v>3.0010048989744672E-3</v>
      </c>
      <c r="V6" s="1">
        <v>1.4221611671514311E-3</v>
      </c>
      <c r="W6" s="1">
        <v>1.4715899283411944E-3</v>
      </c>
      <c r="X6" s="1">
        <v>1.6138154728893052E-3</v>
      </c>
      <c r="Y6" s="1">
        <v>2.3781090754491879E-3</v>
      </c>
      <c r="Z6" s="1">
        <v>9.2716074122076348E-4</v>
      </c>
      <c r="AA6" s="1">
        <v>1.3981509221609484E-3</v>
      </c>
      <c r="AB6" s="1">
        <v>8.6007630370235762E-4</v>
      </c>
      <c r="AC6" s="1">
        <v>3.000852519746603E-3</v>
      </c>
      <c r="AD6" s="1">
        <v>6.7048750728604509E-4</v>
      </c>
      <c r="AE6" s="1">
        <v>1.5131514694743766E-3</v>
      </c>
      <c r="AF6" s="1">
        <v>7.0280713458693638E-4</v>
      </c>
      <c r="AG6" s="1">
        <v>1.7306002026368265E-3</v>
      </c>
      <c r="AH6" s="1">
        <v>1.5344940774833073E-3</v>
      </c>
      <c r="AI6" s="1">
        <v>2.1169097621117545E-3</v>
      </c>
      <c r="AJ6" s="1">
        <v>2.3756795012636373E-3</v>
      </c>
      <c r="AK6" s="1">
        <v>1.4438017240581828E-3</v>
      </c>
      <c r="AL6" s="1">
        <v>1.8911011888883148E-3</v>
      </c>
      <c r="AM6" s="1">
        <v>2.6255182092878825E-3</v>
      </c>
      <c r="AN6" s="1">
        <v>1.3612936307178492E-3</v>
      </c>
      <c r="AO6" s="1">
        <v>1.7695032611004084E-3</v>
      </c>
    </row>
    <row r="7" spans="1:41" ht="15">
      <c r="A7" s="17" t="s">
        <v>20</v>
      </c>
      <c r="B7" s="1">
        <v>8.5795451428132669E-4</v>
      </c>
      <c r="C7" s="1">
        <v>4.987548446195385E-4</v>
      </c>
      <c r="D7" s="1">
        <v>3.4647658970812925E-4</v>
      </c>
      <c r="E7" s="1">
        <v>9.4957466362283497E-4</v>
      </c>
      <c r="F7" s="1">
        <v>4.233051995389669E-3</v>
      </c>
      <c r="G7" s="1">
        <v>8.4011964501726406E-4</v>
      </c>
      <c r="H7" s="1">
        <v>1.0576436683592959E-3</v>
      </c>
      <c r="I7" s="1">
        <v>1.0762957469444899E-3</v>
      </c>
      <c r="J7" s="1">
        <v>9.0846888297965505E-4</v>
      </c>
      <c r="K7" s="1">
        <v>9.8688252988026609E-4</v>
      </c>
      <c r="L7" s="1">
        <v>2.2205861050527981E-4</v>
      </c>
      <c r="M7" s="1">
        <v>3.7207593047324091E-4</v>
      </c>
      <c r="N7" s="1">
        <v>9.6242568976545085E-4</v>
      </c>
      <c r="O7" s="1">
        <v>9.2154542588505103E-4</v>
      </c>
      <c r="P7" s="1">
        <v>1.3465066823381503E-3</v>
      </c>
      <c r="Q7" s="1">
        <v>5.6977448081488953E-4</v>
      </c>
      <c r="R7" s="1">
        <v>1.6521102746162464E-3</v>
      </c>
      <c r="S7" s="1">
        <v>6.7302484497609868E-4</v>
      </c>
      <c r="T7" s="1">
        <v>1.1862061782602466E-3</v>
      </c>
      <c r="U7" s="1">
        <v>2.3181314673269972E-3</v>
      </c>
      <c r="V7" s="1">
        <v>1.0985508735126765E-3</v>
      </c>
      <c r="W7" s="1">
        <v>1.136732206286954E-3</v>
      </c>
      <c r="X7" s="1">
        <v>1.2465945761842379E-3</v>
      </c>
      <c r="Y7" s="1">
        <v>1.8369745022470815E-3</v>
      </c>
      <c r="Z7" s="1">
        <v>7.1618693132708593E-4</v>
      </c>
      <c r="AA7" s="1">
        <v>1.0800041179010182E-3</v>
      </c>
      <c r="AB7" s="1">
        <v>6.6436744058500448E-4</v>
      </c>
      <c r="AC7" s="1">
        <v>2.3180137617267167E-3</v>
      </c>
      <c r="AD7" s="1">
        <v>5.1791924419069223E-4</v>
      </c>
      <c r="AE7" s="1">
        <v>1.1688364912097674E-3</v>
      </c>
      <c r="AF7" s="1">
        <v>5.4288459665782058E-4</v>
      </c>
      <c r="AG7" s="1">
        <v>1.3368051443254367E-3</v>
      </c>
      <c r="AH7" s="1">
        <v>1.1853226259832344E-3</v>
      </c>
      <c r="AI7" s="1">
        <v>1.6352106371835407E-3</v>
      </c>
      <c r="AJ7" s="1">
        <v>1.8350977734307924E-3</v>
      </c>
      <c r="AK7" s="1">
        <v>1.1152671594318246E-3</v>
      </c>
      <c r="AL7" s="1">
        <v>1.4607844110349772E-3</v>
      </c>
      <c r="AM7" s="1">
        <v>2.0280861191096814E-3</v>
      </c>
      <c r="AN7" s="1">
        <v>1.0515336388545204E-3</v>
      </c>
      <c r="AO7" s="1">
        <v>1.3668558796742893E-3</v>
      </c>
    </row>
    <row r="8" spans="1:41" ht="15">
      <c r="A8" s="17" t="s">
        <v>22</v>
      </c>
      <c r="B8" s="1">
        <v>9.8266373236781499E-4</v>
      </c>
      <c r="C8" s="1">
        <v>5.7125207571278875E-4</v>
      </c>
      <c r="D8" s="1">
        <v>3.9683919503105604E-4</v>
      </c>
      <c r="E8" s="1">
        <v>1.0876014608993084E-3</v>
      </c>
      <c r="F8" s="1">
        <v>8.4011964501726406E-4</v>
      </c>
      <c r="G8" s="1">
        <v>3.2902881245795187E-3</v>
      </c>
      <c r="H8" s="1">
        <v>1.211378991968728E-3</v>
      </c>
      <c r="I8" s="1">
        <v>1.2327422703871623E-3</v>
      </c>
      <c r="J8" s="1">
        <v>1.0405206901167739E-3</v>
      </c>
      <c r="K8" s="1">
        <v>1.1303322659629265E-3</v>
      </c>
      <c r="L8" s="1">
        <v>2.5433626068896415E-4</v>
      </c>
      <c r="M8" s="1">
        <v>4.2615956496170671E-4</v>
      </c>
      <c r="N8" s="1">
        <v>1.1023204665154013E-3</v>
      </c>
      <c r="O8" s="1">
        <v>1.0554979928105513E-3</v>
      </c>
      <c r="P8" s="1">
        <v>1.5422301067242127E-3</v>
      </c>
      <c r="Q8" s="1">
        <v>6.5259487374397219E-4</v>
      </c>
      <c r="R8" s="1">
        <v>1.8922551507261779E-3</v>
      </c>
      <c r="S8" s="1">
        <v>7.7085334377484437E-4</v>
      </c>
      <c r="T8" s="1">
        <v>1.3586288912569987E-3</v>
      </c>
      <c r="U8" s="1">
        <v>2.6550868162410297E-3</v>
      </c>
      <c r="V8" s="1">
        <v>1.2582323230342204E-3</v>
      </c>
      <c r="W8" s="1">
        <v>1.3019635586023178E-3</v>
      </c>
      <c r="X8" s="1">
        <v>1.4277951320167547E-3</v>
      </c>
      <c r="Y8" s="1">
        <v>2.1039905852756166E-3</v>
      </c>
      <c r="Z8" s="1">
        <v>8.2028931755251183E-4</v>
      </c>
      <c r="AA8" s="1">
        <v>1.2369896769623221E-3</v>
      </c>
      <c r="AB8" s="1">
        <v>7.6093752985935219E-4</v>
      </c>
      <c r="AC8" s="1">
        <v>2.6549520013731467E-3</v>
      </c>
      <c r="AD8" s="1">
        <v>5.9320214427435226E-4</v>
      </c>
      <c r="AE8" s="1">
        <v>1.3387344082477421E-3</v>
      </c>
      <c r="AF8" s="1">
        <v>6.2179637162191313E-4</v>
      </c>
      <c r="AG8" s="1">
        <v>1.5311183876358563E-3</v>
      </c>
      <c r="AH8" s="1">
        <v>1.3576169089621118E-3</v>
      </c>
      <c r="AI8" s="1">
        <v>1.8728990420760635E-3</v>
      </c>
      <c r="AJ8" s="1">
        <v>2.1018410618305408E-3</v>
      </c>
      <c r="AK8" s="1">
        <v>1.2773784288465984E-3</v>
      </c>
      <c r="AL8" s="1">
        <v>1.6731188397962763E-3</v>
      </c>
      <c r="AM8" s="1">
        <v>2.3228815073454909E-3</v>
      </c>
      <c r="AN8" s="1">
        <v>1.2043808302968711E-3</v>
      </c>
      <c r="AO8" s="1">
        <v>1.5655371910418116E-3</v>
      </c>
    </row>
    <row r="9" spans="1:41" ht="15">
      <c r="A9" s="17" t="s">
        <v>23</v>
      </c>
      <c r="B9" s="1">
        <v>1.2370953123513448E-3</v>
      </c>
      <c r="C9" s="1">
        <v>7.1916082964863955E-4</v>
      </c>
      <c r="D9" s="1">
        <v>4.9958891506789041E-4</v>
      </c>
      <c r="E9" s="1">
        <v>1.3692035481384748E-3</v>
      </c>
      <c r="F9" s="1">
        <v>1.0576436683592959E-3</v>
      </c>
      <c r="G9" s="1">
        <v>1.211378991968728E-3</v>
      </c>
      <c r="H9" s="1">
        <v>8.9640850068638377E-3</v>
      </c>
      <c r="I9" s="1">
        <v>1.5519242583204359E-3</v>
      </c>
      <c r="J9" s="1">
        <v>1.3099326104631633E-3</v>
      </c>
      <c r="K9" s="1">
        <v>1.4229982257031237E-3</v>
      </c>
      <c r="L9" s="1">
        <v>3.2018907943324489E-4</v>
      </c>
      <c r="M9" s="1">
        <v>5.3650092372645208E-4</v>
      </c>
      <c r="N9" s="1">
        <v>1.3877336029785635E-3</v>
      </c>
      <c r="O9" s="1">
        <v>1.3287878407355718E-3</v>
      </c>
      <c r="P9" s="1">
        <v>1.9415447754425809E-3</v>
      </c>
      <c r="Q9" s="1">
        <v>8.2156492865354046E-4</v>
      </c>
      <c r="R9" s="1">
        <v>2.382198405852872E-3</v>
      </c>
      <c r="S9" s="1">
        <v>9.7044291621141887E-4</v>
      </c>
      <c r="T9" s="1">
        <v>1.7104054797557394E-3</v>
      </c>
      <c r="U9" s="1">
        <v>3.3425426685312907E-3</v>
      </c>
      <c r="V9" s="1">
        <v>1.5840142028279854E-3</v>
      </c>
      <c r="W9" s="1">
        <v>1.6390683426549103E-3</v>
      </c>
      <c r="X9" s="1">
        <v>1.7974802637316187E-3</v>
      </c>
      <c r="Y9" s="1">
        <v>2.6487564408264695E-3</v>
      </c>
      <c r="Z9" s="1">
        <v>1.0326788667277904E-3</v>
      </c>
      <c r="AA9" s="1">
        <v>1.5572714046439493E-3</v>
      </c>
      <c r="AB9" s="1">
        <v>9.5795969686694824E-4</v>
      </c>
      <c r="AC9" s="1">
        <v>3.3423729473585234E-3</v>
      </c>
      <c r="AD9" s="1">
        <v>7.4679421635954427E-4</v>
      </c>
      <c r="AE9" s="1">
        <v>1.6853599114074484E-3</v>
      </c>
      <c r="AF9" s="1">
        <v>7.8279206938576713E-4</v>
      </c>
      <c r="AG9" s="1">
        <v>1.9275560068093397E-3</v>
      </c>
      <c r="AH9" s="1">
        <v>1.7091314747101165E-3</v>
      </c>
      <c r="AI9" s="1">
        <v>2.3578306079097022E-3</v>
      </c>
      <c r="AJ9" s="1">
        <v>2.6460503621445123E-3</v>
      </c>
      <c r="AK9" s="1">
        <v>1.6081176239374662E-3</v>
      </c>
      <c r="AL9" s="1">
        <v>2.1063232574293858E-3</v>
      </c>
      <c r="AM9" s="1">
        <v>2.924322664234771E-3</v>
      </c>
      <c r="AN9" s="1">
        <v>1.5162194658959809E-3</v>
      </c>
      <c r="AO9" s="1">
        <v>1.9708865368245781E-3</v>
      </c>
    </row>
    <row r="10" spans="1:41" ht="15">
      <c r="A10" s="17" t="s">
        <v>24</v>
      </c>
      <c r="B10" s="1">
        <v>1.2589121110271669E-3</v>
      </c>
      <c r="C10" s="1">
        <v>7.3184359295663391E-4</v>
      </c>
      <c r="D10" s="1">
        <v>5.0839941711400358E-4</v>
      </c>
      <c r="E10" s="1">
        <v>1.3933501420651635E-3</v>
      </c>
      <c r="F10" s="1">
        <v>1.0762957469444899E-3</v>
      </c>
      <c r="G10" s="1">
        <v>1.2327422703871623E-3</v>
      </c>
      <c r="H10" s="1">
        <v>1.5519242583204359E-3</v>
      </c>
      <c r="I10" s="1">
        <v>5.4733530102919169E-3</v>
      </c>
      <c r="J10" s="1">
        <v>1.3330339315627071E-3</v>
      </c>
      <c r="K10" s="1">
        <v>1.4480935158527641E-3</v>
      </c>
      <c r="L10" s="1">
        <v>3.2583577505519701E-4</v>
      </c>
      <c r="M10" s="1">
        <v>5.4596238762941141E-4</v>
      </c>
      <c r="N10" s="1">
        <v>1.4122069837517158E-3</v>
      </c>
      <c r="O10" s="1">
        <v>1.3522216833140445E-3</v>
      </c>
      <c r="P10" s="1">
        <v>1.9757848950704006E-3</v>
      </c>
      <c r="Q10" s="1">
        <v>8.3605363980505411E-4</v>
      </c>
      <c r="R10" s="1">
        <v>2.4242096741096185E-3</v>
      </c>
      <c r="S10" s="1">
        <v>9.8755716562937243E-4</v>
      </c>
      <c r="T10" s="1">
        <v>1.7405693415320223E-3</v>
      </c>
      <c r="U10" s="1">
        <v>3.4014900913665498E-3</v>
      </c>
      <c r="V10" s="1">
        <v>1.6119490908012137E-3</v>
      </c>
      <c r="W10" s="1">
        <v>1.667974138102189E-3</v>
      </c>
      <c r="X10" s="1">
        <v>1.8291797331630077E-3</v>
      </c>
      <c r="Y10" s="1">
        <v>2.6954685942344081E-3</v>
      </c>
      <c r="Z10" s="1">
        <v>1.0508906784671415E-3</v>
      </c>
      <c r="AA10" s="1">
        <v>1.5847346699069595E-3</v>
      </c>
      <c r="AB10" s="1">
        <v>9.7485379842681416E-4</v>
      </c>
      <c r="AC10" s="1">
        <v>3.4013173770754512E-3</v>
      </c>
      <c r="AD10" s="1">
        <v>7.5996430835481414E-4</v>
      </c>
      <c r="AE10" s="1">
        <v>1.7150820819761738E-3</v>
      </c>
      <c r="AF10" s="1">
        <v>7.965970016430555E-4</v>
      </c>
      <c r="AG10" s="1">
        <v>1.9615494274593625E-3</v>
      </c>
      <c r="AH10" s="1">
        <v>1.7392728687659945E-3</v>
      </c>
      <c r="AI10" s="1">
        <v>2.399412137781224E-3</v>
      </c>
      <c r="AJ10" s="1">
        <v>2.6927147924924607E-3</v>
      </c>
      <c r="AK10" s="1">
        <v>1.6364775878773513E-3</v>
      </c>
      <c r="AL10" s="1">
        <v>2.1434693285483481E-3</v>
      </c>
      <c r="AM10" s="1">
        <v>2.9758945667323158E-3</v>
      </c>
      <c r="AN10" s="1">
        <v>1.5429587595506807E-3</v>
      </c>
      <c r="AO10" s="1">
        <v>2.0056441131871164E-3</v>
      </c>
    </row>
    <row r="11" spans="1:41" ht="15">
      <c r="A11" s="17" t="s">
        <v>29</v>
      </c>
      <c r="B11" s="1">
        <v>1.0626098658488847E-3</v>
      </c>
      <c r="C11" s="1">
        <v>6.1772717517151032E-4</v>
      </c>
      <c r="D11" s="1">
        <v>4.2912466381499811E-4</v>
      </c>
      <c r="E11" s="1">
        <v>1.1760849661954181E-3</v>
      </c>
      <c r="F11" s="1">
        <v>9.0846888297965505E-4</v>
      </c>
      <c r="G11" s="1">
        <v>1.0405206901167739E-3</v>
      </c>
      <c r="H11" s="1">
        <v>1.3099326104631633E-3</v>
      </c>
      <c r="I11" s="1">
        <v>1.3330339315627071E-3</v>
      </c>
      <c r="J11" s="1">
        <v>3.6042788399399989E-3</v>
      </c>
      <c r="K11" s="1">
        <v>1.2222922022423373E-3</v>
      </c>
      <c r="L11" s="1">
        <v>2.7502818202111858E-4</v>
      </c>
      <c r="M11" s="1">
        <v>4.6083043795970471E-4</v>
      </c>
      <c r="N11" s="1">
        <v>1.1920014593638983E-3</v>
      </c>
      <c r="O11" s="1">
        <v>1.1413696706213375E-3</v>
      </c>
      <c r="P11" s="1">
        <v>1.6677006312887119E-3</v>
      </c>
      <c r="Q11" s="1">
        <v>7.0568774281697978E-4</v>
      </c>
      <c r="R11" s="1">
        <v>2.0462025061411151E-3</v>
      </c>
      <c r="S11" s="1">
        <v>8.3356731426733168E-4</v>
      </c>
      <c r="T11" s="1">
        <v>1.4691622539058341E-3</v>
      </c>
      <c r="U11" s="1">
        <v>2.8710955260603747E-3</v>
      </c>
      <c r="V11" s="1">
        <v>1.3605977670148462E-3</v>
      </c>
      <c r="W11" s="1">
        <v>1.4078868251430527E-3</v>
      </c>
      <c r="X11" s="1">
        <v>1.5439556215595879E-3</v>
      </c>
      <c r="Y11" s="1">
        <v>2.2751640056765626E-3</v>
      </c>
      <c r="Z11" s="1">
        <v>8.870252284384569E-4</v>
      </c>
      <c r="AA11" s="1">
        <v>1.3376268924936666E-3</v>
      </c>
      <c r="AB11" s="1">
        <v>8.2284478391695976E-4</v>
      </c>
      <c r="AC11" s="1">
        <v>2.8709497431196221E-3</v>
      </c>
      <c r="AD11" s="1">
        <v>6.4146302563723853E-4</v>
      </c>
      <c r="AE11" s="1">
        <v>1.4476492243462103E-3</v>
      </c>
      <c r="AF11" s="1">
        <v>6.7238358074170953E-4</v>
      </c>
      <c r="AG11" s="1">
        <v>1.655684901043557E-3</v>
      </c>
      <c r="AH11" s="1">
        <v>1.4680679402202968E-3</v>
      </c>
      <c r="AI11" s="1">
        <v>2.0252716512224197E-3</v>
      </c>
      <c r="AJ11" s="1">
        <v>2.2728396044145891E-3</v>
      </c>
      <c r="AK11" s="1">
        <v>1.3813015339889229E-3</v>
      </c>
      <c r="AL11" s="1">
        <v>1.809238020437797E-3</v>
      </c>
      <c r="AM11" s="1">
        <v>2.511863138528192E-3</v>
      </c>
      <c r="AN11" s="1">
        <v>1.3023651024842108E-3</v>
      </c>
      <c r="AO11" s="1">
        <v>1.6929038996340042E-3</v>
      </c>
    </row>
    <row r="12" spans="1:41" ht="15">
      <c r="A12" s="17" t="s">
        <v>30</v>
      </c>
      <c r="B12" s="1">
        <v>1.1543280483588807E-3</v>
      </c>
      <c r="C12" s="1">
        <v>6.7104572190691402E-4</v>
      </c>
      <c r="D12" s="1">
        <v>4.6616416015346132E-4</v>
      </c>
      <c r="E12" s="1">
        <v>1.2775976464777542E-3</v>
      </c>
      <c r="F12" s="1">
        <v>9.8688252988026609E-4</v>
      </c>
      <c r="G12" s="1">
        <v>1.1303322659629265E-3</v>
      </c>
      <c r="H12" s="1">
        <v>1.4229982257031237E-3</v>
      </c>
      <c r="I12" s="1">
        <v>1.4480935158527641E-3</v>
      </c>
      <c r="J12" s="1">
        <v>1.2222922022423373E-3</v>
      </c>
      <c r="K12" s="1">
        <v>6.4475301889323567E-3</v>
      </c>
      <c r="L12" s="1">
        <v>2.9876698381913679E-4</v>
      </c>
      <c r="M12" s="1">
        <v>5.0060658871206403E-4</v>
      </c>
      <c r="N12" s="1">
        <v>1.2948879569542259E-3</v>
      </c>
      <c r="O12" s="1">
        <v>1.2398859324459846E-3</v>
      </c>
      <c r="P12" s="1">
        <v>1.8116466605780034E-3</v>
      </c>
      <c r="Q12" s="1">
        <v>7.6659852415915061E-4</v>
      </c>
      <c r="R12" s="1">
        <v>2.2228185728108284E-3</v>
      </c>
      <c r="S12" s="1">
        <v>9.0551590191126656E-4</v>
      </c>
      <c r="T12" s="1">
        <v>1.5959716277609184E-3</v>
      </c>
      <c r="U12" s="1">
        <v>3.1189114667231044E-3</v>
      </c>
      <c r="V12" s="1">
        <v>1.4780364981319047E-3</v>
      </c>
      <c r="W12" s="1">
        <v>1.5294072673410295E-3</v>
      </c>
      <c r="X12" s="1">
        <v>1.6772207153975883E-3</v>
      </c>
      <c r="Y12" s="1">
        <v>2.4715426712803436E-3</v>
      </c>
      <c r="Z12" s="1">
        <v>9.6358798623658471E-4</v>
      </c>
      <c r="AA12" s="1">
        <v>1.4530829139357451E-3</v>
      </c>
      <c r="AB12" s="1">
        <v>8.9386786632397611E-4</v>
      </c>
      <c r="AC12" s="1">
        <v>3.1187531006633758E-3</v>
      </c>
      <c r="AD12" s="1">
        <v>6.9683031023496809E-4</v>
      </c>
      <c r="AE12" s="1">
        <v>1.572601721058604E-3</v>
      </c>
      <c r="AF12" s="1">
        <v>7.304197443020081E-4</v>
      </c>
      <c r="AG12" s="1">
        <v>1.798593803749485E-3</v>
      </c>
      <c r="AH12" s="1">
        <v>1.5947828594071543E-3</v>
      </c>
      <c r="AI12" s="1">
        <v>2.200081090612243E-3</v>
      </c>
      <c r="AJ12" s="1">
        <v>2.4690176414847716E-3</v>
      </c>
      <c r="AK12" s="1">
        <v>1.500527291501088E-3</v>
      </c>
      <c r="AL12" s="1">
        <v>1.9654007178638872E-3</v>
      </c>
      <c r="AM12" s="1">
        <v>2.7286722696909394E-3</v>
      </c>
      <c r="AN12" s="1">
        <v>1.4147775353095652E-3</v>
      </c>
      <c r="AO12" s="1">
        <v>1.8390253255954271E-3</v>
      </c>
    </row>
    <row r="13" spans="1:41" ht="15">
      <c r="A13" s="17" t="s">
        <v>32</v>
      </c>
      <c r="B13" s="1">
        <v>2.597355558791213E-4</v>
      </c>
      <c r="C13" s="1">
        <v>1.5099211515097E-4</v>
      </c>
      <c r="D13" s="1">
        <v>1.0489167913793897E-4</v>
      </c>
      <c r="E13" s="1">
        <v>2.8747246969311127E-4</v>
      </c>
      <c r="F13" s="1">
        <v>2.2205861050527981E-4</v>
      </c>
      <c r="G13" s="1">
        <v>2.5433626068896415E-4</v>
      </c>
      <c r="H13" s="1">
        <v>3.2018907943324489E-4</v>
      </c>
      <c r="I13" s="1">
        <v>3.2583577505519701E-4</v>
      </c>
      <c r="J13" s="1">
        <v>2.7502818202111858E-4</v>
      </c>
      <c r="K13" s="1">
        <v>2.9876698381913679E-4</v>
      </c>
      <c r="L13" s="1">
        <v>8.955343912422236E-3</v>
      </c>
      <c r="M13" s="1">
        <v>1.126415760066966E-4</v>
      </c>
      <c r="N13" s="1">
        <v>2.913629654748899E-4</v>
      </c>
      <c r="O13" s="1">
        <v>2.7898695032873135E-4</v>
      </c>
      <c r="P13" s="1">
        <v>4.0763893168044009E-4</v>
      </c>
      <c r="Q13" s="1">
        <v>1.7249246788352039E-4</v>
      </c>
      <c r="R13" s="1">
        <v>5.001567955039061E-4</v>
      </c>
      <c r="S13" s="1">
        <v>2.03750291327223E-4</v>
      </c>
      <c r="T13" s="1">
        <v>3.5910985485723088E-4</v>
      </c>
      <c r="U13" s="1">
        <v>7.0178681415461312E-4</v>
      </c>
      <c r="V13" s="1">
        <v>3.3257325073033831E-4</v>
      </c>
      <c r="W13" s="1">
        <v>3.4413219648708374E-4</v>
      </c>
      <c r="X13" s="1">
        <v>3.7739172626457011E-4</v>
      </c>
      <c r="Y13" s="1">
        <v>5.5612224836486593E-4</v>
      </c>
      <c r="Z13" s="1">
        <v>2.1681710116931244E-4</v>
      </c>
      <c r="AA13" s="1">
        <v>3.2695844038974184E-4</v>
      </c>
      <c r="AB13" s="1">
        <v>2.0112936480424202E-4</v>
      </c>
      <c r="AC13" s="1">
        <v>7.0175118017983928E-4</v>
      </c>
      <c r="AD13" s="1">
        <v>1.5679390987650133E-4</v>
      </c>
      <c r="AE13" s="1">
        <v>3.5385138806627087E-4</v>
      </c>
      <c r="AF13" s="1">
        <v>1.6435187430565232E-4</v>
      </c>
      <c r="AG13" s="1">
        <v>4.0470190608447903E-4</v>
      </c>
      <c r="AH13" s="1">
        <v>3.5884236988221411E-4</v>
      </c>
      <c r="AI13" s="1">
        <v>4.9504063066104572E-4</v>
      </c>
      <c r="AJ13" s="1">
        <v>5.5555409096931746E-4</v>
      </c>
      <c r="AK13" s="1">
        <v>3.3763390807658615E-4</v>
      </c>
      <c r="AL13" s="1">
        <v>4.4223515897873358E-4</v>
      </c>
      <c r="AM13" s="1">
        <v>6.1397902423642272E-4</v>
      </c>
      <c r="AN13" s="1">
        <v>3.1833934045123128E-4</v>
      </c>
      <c r="AO13" s="1">
        <v>4.1379940988041012E-4</v>
      </c>
    </row>
    <row r="14" spans="1:41" ht="15">
      <c r="A14" s="17" t="s">
        <v>41</v>
      </c>
      <c r="B14" s="1">
        <v>4.3520649080352021E-4</v>
      </c>
      <c r="C14" s="1">
        <v>2.5299866378108369E-4</v>
      </c>
      <c r="D14" s="1">
        <v>1.7575391030928445E-4</v>
      </c>
      <c r="E14" s="1">
        <v>4.8168177943255997E-4</v>
      </c>
      <c r="F14" s="1">
        <v>3.7207593047324091E-4</v>
      </c>
      <c r="G14" s="1">
        <v>4.2615956496170671E-4</v>
      </c>
      <c r="H14" s="1">
        <v>5.3650092372645208E-4</v>
      </c>
      <c r="I14" s="1">
        <v>5.4596238762941141E-4</v>
      </c>
      <c r="J14" s="1">
        <v>4.6083043795970471E-4</v>
      </c>
      <c r="K14" s="1">
        <v>5.0060658871206403E-4</v>
      </c>
      <c r="L14" s="1">
        <v>1.126415760066966E-4</v>
      </c>
      <c r="M14" s="1">
        <v>4.8319003739602916E-3</v>
      </c>
      <c r="N14" s="1">
        <v>4.8820059820168436E-4</v>
      </c>
      <c r="O14" s="1">
        <v>4.6746365248910918E-4</v>
      </c>
      <c r="P14" s="1">
        <v>6.8302973911705796E-4</v>
      </c>
      <c r="Q14" s="1">
        <v>2.890241244928464E-4</v>
      </c>
      <c r="R14" s="1">
        <v>8.3805038969747851E-4</v>
      </c>
      <c r="S14" s="1">
        <v>3.4139896245080707E-4</v>
      </c>
      <c r="T14" s="1">
        <v>6.0171561500848778E-4</v>
      </c>
      <c r="U14" s="1">
        <v>1.1758966755500823E-3</v>
      </c>
      <c r="V14" s="1">
        <v>5.5725153568435444E-4</v>
      </c>
      <c r="W14" s="1">
        <v>5.7661942008183206E-4</v>
      </c>
      <c r="X14" s="1">
        <v>6.3234826779866695E-4</v>
      </c>
      <c r="Y14" s="1">
        <v>9.3182472206952964E-4</v>
      </c>
      <c r="Z14" s="1">
        <v>3.6329338671676787E-4</v>
      </c>
      <c r="AA14" s="1">
        <v>5.4784349797235346E-4</v>
      </c>
      <c r="AB14" s="1">
        <v>3.3700740261657599E-4</v>
      </c>
      <c r="AC14" s="1">
        <v>1.1758369681408975E-3</v>
      </c>
      <c r="AD14" s="1">
        <v>2.6272000791633163E-4</v>
      </c>
      <c r="AE14" s="1">
        <v>5.9290465775870091E-4</v>
      </c>
      <c r="AF14" s="1">
        <v>2.7538394668934831E-4</v>
      </c>
      <c r="AG14" s="1">
        <v>6.781085314730294E-4</v>
      </c>
      <c r="AH14" s="1">
        <v>6.0126742378212414E-4</v>
      </c>
      <c r="AI14" s="1">
        <v>8.29477870081913E-4</v>
      </c>
      <c r="AJ14" s="1">
        <v>9.3087273155169771E-4</v>
      </c>
      <c r="AK14" s="1">
        <v>5.657310483077419E-4</v>
      </c>
      <c r="AL14" s="1">
        <v>7.4099832422882606E-4</v>
      </c>
      <c r="AM14" s="1">
        <v>1.0287681086268341E-3</v>
      </c>
      <c r="AN14" s="1">
        <v>5.3340154671378283E-4</v>
      </c>
      <c r="AO14" s="1">
        <v>6.9335208443480208E-4</v>
      </c>
    </row>
    <row r="15" spans="1:41" ht="15">
      <c r="A15" s="17" t="s">
        <v>43</v>
      </c>
      <c r="B15" s="1">
        <v>1.1257215874438363E-3</v>
      </c>
      <c r="C15" s="1">
        <v>6.5441592308739362E-4</v>
      </c>
      <c r="D15" s="1">
        <v>4.5461171901995214E-4</v>
      </c>
      <c r="E15" s="1">
        <v>1.2459363287171067E-3</v>
      </c>
      <c r="F15" s="1">
        <v>9.6242568976545085E-4</v>
      </c>
      <c r="G15" s="1">
        <v>1.1023204665154013E-3</v>
      </c>
      <c r="H15" s="1">
        <v>1.3877336029785635E-3</v>
      </c>
      <c r="I15" s="1">
        <v>1.4122069837517158E-3</v>
      </c>
      <c r="J15" s="1">
        <v>1.1920014593638983E-3</v>
      </c>
      <c r="K15" s="1">
        <v>1.2948879569542259E-3</v>
      </c>
      <c r="L15" s="1">
        <v>2.913629654748899E-4</v>
      </c>
      <c r="M15" s="1">
        <v>4.8820059820168436E-4</v>
      </c>
      <c r="N15" s="1">
        <v>2.3098277956324631E-3</v>
      </c>
      <c r="O15" s="1">
        <v>1.2091591832207051E-3</v>
      </c>
      <c r="P15" s="1">
        <v>1.7667505849248344E-3</v>
      </c>
      <c r="Q15" s="1">
        <v>7.4760074380540535E-4</v>
      </c>
      <c r="R15" s="1">
        <v>2.1677328693015447E-3</v>
      </c>
      <c r="S15" s="1">
        <v>8.8307548274896405E-4</v>
      </c>
      <c r="T15" s="1">
        <v>1.55642039268873E-3</v>
      </c>
      <c r="U15" s="1">
        <v>3.0416188642457195E-3</v>
      </c>
      <c r="V15" s="1">
        <v>1.441407921554448E-3</v>
      </c>
      <c r="W15" s="1">
        <v>1.4915056246679809E-3</v>
      </c>
      <c r="X15" s="1">
        <v>1.6356559722475483E-3</v>
      </c>
      <c r="Y15" s="1">
        <v>2.4102931080159287E-3</v>
      </c>
      <c r="Z15" s="1">
        <v>9.3970842954932204E-4</v>
      </c>
      <c r="AA15" s="1">
        <v>1.4170727349897179E-3</v>
      </c>
      <c r="AB15" s="1">
        <v>8.7171610780302131E-4</v>
      </c>
      <c r="AC15" s="1">
        <v>3.041464422800406E-3</v>
      </c>
      <c r="AD15" s="1">
        <v>6.7956151990929332E-4</v>
      </c>
      <c r="AE15" s="1">
        <v>1.5336296370549688E-3</v>
      </c>
      <c r="AF15" s="1">
        <v>7.1231854343743728E-4</v>
      </c>
      <c r="AG15" s="1">
        <v>1.7540212028998828E-3</v>
      </c>
      <c r="AH15" s="1">
        <v>1.5552610842926422E-3</v>
      </c>
      <c r="AI15" s="1">
        <v>2.1455588654804834E-3</v>
      </c>
      <c r="AJ15" s="1">
        <v>2.4078306532970511E-3</v>
      </c>
      <c r="AK15" s="1">
        <v>1.4633413499679944E-3</v>
      </c>
      <c r="AL15" s="1">
        <v>1.9166943220538691E-3</v>
      </c>
      <c r="AM15" s="1">
        <v>2.6610505422765751E-3</v>
      </c>
      <c r="AN15" s="1">
        <v>1.3797166370451116E-3</v>
      </c>
      <c r="AO15" s="1">
        <v>1.7934507541612359E-3</v>
      </c>
    </row>
    <row r="16" spans="1:41" ht="15">
      <c r="A16" s="17" t="s">
        <v>45</v>
      </c>
      <c r="B16" s="1">
        <v>1.0779051211545982E-3</v>
      </c>
      <c r="C16" s="1">
        <v>6.2661876855604705E-4</v>
      </c>
      <c r="D16" s="1">
        <v>4.3530150397240187E-4</v>
      </c>
      <c r="E16" s="1">
        <v>1.1930135873171501E-3</v>
      </c>
      <c r="F16" s="1">
        <v>9.2154542588505103E-4</v>
      </c>
      <c r="G16" s="1">
        <v>1.0554979928105513E-3</v>
      </c>
      <c r="H16" s="1">
        <v>1.3287878407355718E-3</v>
      </c>
      <c r="I16" s="1">
        <v>1.3522216833140445E-3</v>
      </c>
      <c r="J16" s="1">
        <v>1.1413696706213375E-3</v>
      </c>
      <c r="K16" s="1">
        <v>1.2398859324459846E-3</v>
      </c>
      <c r="L16" s="1">
        <v>2.7898695032873135E-4</v>
      </c>
      <c r="M16" s="1">
        <v>4.6746365248910918E-4</v>
      </c>
      <c r="N16" s="1">
        <v>1.2091591832207051E-3</v>
      </c>
      <c r="O16" s="1">
        <v>3.1210866711348178E-3</v>
      </c>
      <c r="P16" s="1">
        <v>1.6917055909158115E-3</v>
      </c>
      <c r="Q16" s="1">
        <v>7.158454446597681E-4</v>
      </c>
      <c r="R16" s="1">
        <v>2.07565563917185E-3</v>
      </c>
      <c r="S16" s="1">
        <v>8.4556572054603815E-4</v>
      </c>
      <c r="T16" s="1">
        <v>1.4903094429930118E-3</v>
      </c>
      <c r="U16" s="1">
        <v>2.9124222071778166E-3</v>
      </c>
      <c r="V16" s="1">
        <v>1.3801822738820496E-3</v>
      </c>
      <c r="W16" s="1">
        <v>1.4281520128889902E-3</v>
      </c>
      <c r="X16" s="1">
        <v>1.5661793898224393E-3</v>
      </c>
      <c r="Y16" s="1">
        <v>2.3079128210674233E-3</v>
      </c>
      <c r="Z16" s="1">
        <v>8.997931103936432E-4</v>
      </c>
      <c r="AA16" s="1">
        <v>1.3568807555359925E-3</v>
      </c>
      <c r="AB16" s="1">
        <v>8.346888496003987E-4</v>
      </c>
      <c r="AC16" s="1">
        <v>2.9122743258307065E-3</v>
      </c>
      <c r="AD16" s="1">
        <v>6.5069627394559947E-4</v>
      </c>
      <c r="AE16" s="1">
        <v>1.4684867538959708E-3</v>
      </c>
      <c r="AF16" s="1">
        <v>6.820619009430737E-4</v>
      </c>
      <c r="AG16" s="1">
        <v>1.6795169056965961E-3</v>
      </c>
      <c r="AH16" s="1">
        <v>1.4891993777059293E-3</v>
      </c>
      <c r="AI16" s="1">
        <v>2.0544235045643084E-3</v>
      </c>
      <c r="AJ16" s="1">
        <v>2.305554962266726E-3</v>
      </c>
      <c r="AK16" s="1">
        <v>1.4011840518306485E-3</v>
      </c>
      <c r="AL16" s="1">
        <v>1.8352802757572435E-3</v>
      </c>
      <c r="AM16" s="1">
        <v>2.5480190121291838E-3</v>
      </c>
      <c r="AN16" s="1">
        <v>1.3211114056985464E-3</v>
      </c>
      <c r="AO16" s="1">
        <v>1.7172716362654106E-3</v>
      </c>
    </row>
    <row r="17" spans="1:41" ht="15">
      <c r="A17" s="17" t="s">
        <v>47</v>
      </c>
      <c r="B17" s="1">
        <v>1.5749700533397482E-3</v>
      </c>
      <c r="C17" s="1">
        <v>9.1557761065211437E-4</v>
      </c>
      <c r="D17" s="1">
        <v>6.3603634445666239E-4</v>
      </c>
      <c r="E17" s="1">
        <v>1.7431596124520565E-3</v>
      </c>
      <c r="F17" s="1">
        <v>1.3465066823381503E-3</v>
      </c>
      <c r="G17" s="1">
        <v>1.5422301067242127E-3</v>
      </c>
      <c r="H17" s="1">
        <v>1.9415447754425809E-3</v>
      </c>
      <c r="I17" s="1">
        <v>1.9757848950704006E-3</v>
      </c>
      <c r="J17" s="1">
        <v>1.6677006312887119E-3</v>
      </c>
      <c r="K17" s="1">
        <v>1.8116466605780034E-3</v>
      </c>
      <c r="L17" s="1">
        <v>4.0763893168044009E-4</v>
      </c>
      <c r="M17" s="1">
        <v>6.8302973911705796E-4</v>
      </c>
      <c r="N17" s="1">
        <v>1.7667505849248344E-3</v>
      </c>
      <c r="O17" s="1">
        <v>1.6917055909158115E-3</v>
      </c>
      <c r="P17" s="1">
        <v>9.3667336771177234E-3</v>
      </c>
      <c r="Q17" s="1">
        <v>1.0459502566897156E-3</v>
      </c>
      <c r="R17" s="1">
        <v>3.0328230273548996E-3</v>
      </c>
      <c r="S17" s="1">
        <v>1.2354897122709299E-3</v>
      </c>
      <c r="T17" s="1">
        <v>2.1775504140932539E-3</v>
      </c>
      <c r="U17" s="1">
        <v>4.2554559478049162E-3</v>
      </c>
      <c r="V17" s="1">
        <v>2.0166392262671311E-3</v>
      </c>
      <c r="W17" s="1">
        <v>2.0867297202444941E-3</v>
      </c>
      <c r="X17" s="1">
        <v>2.2884070116357472E-3</v>
      </c>
      <c r="Y17" s="1">
        <v>3.3721832353913786E-3</v>
      </c>
      <c r="Z17" s="1">
        <v>1.3147235088311268E-3</v>
      </c>
      <c r="AA17" s="1">
        <v>1.9825924508393672E-3</v>
      </c>
      <c r="AB17" s="1">
        <v>1.2195970834326202E-3</v>
      </c>
      <c r="AC17" s="1">
        <v>4.2552398724856931E-3</v>
      </c>
      <c r="AD17" s="1">
        <v>9.5075821161915688E-4</v>
      </c>
      <c r="AE17" s="1">
        <v>2.1456644149114635E-3</v>
      </c>
      <c r="AF17" s="1">
        <v>9.9658777700087787E-4</v>
      </c>
      <c r="AG17" s="1">
        <v>2.454008964830395E-3</v>
      </c>
      <c r="AH17" s="1">
        <v>2.1759284535420934E-3</v>
      </c>
      <c r="AI17" s="1">
        <v>3.0017999108309353E-3</v>
      </c>
      <c r="AJ17" s="1">
        <v>3.3687380740982176E-3</v>
      </c>
      <c r="AK17" s="1">
        <v>2.0473257595127504E-3</v>
      </c>
      <c r="AL17" s="1">
        <v>2.6816010213464823E-3</v>
      </c>
      <c r="AM17" s="1">
        <v>3.7230119429669385E-3</v>
      </c>
      <c r="AN17" s="1">
        <v>1.9303284308288986E-3</v>
      </c>
      <c r="AO17" s="1">
        <v>2.5091739036091441E-3</v>
      </c>
    </row>
    <row r="18" spans="1:41" ht="15">
      <c r="A18" s="17" t="s">
        <v>50</v>
      </c>
      <c r="B18" s="1">
        <v>6.6644878648681972E-4</v>
      </c>
      <c r="C18" s="1">
        <v>3.8742678710601233E-4</v>
      </c>
      <c r="D18" s="1">
        <v>2.6913886332365463E-4</v>
      </c>
      <c r="E18" s="1">
        <v>7.376182206817513E-4</v>
      </c>
      <c r="F18" s="1">
        <v>5.6977448081488953E-4</v>
      </c>
      <c r="G18" s="1">
        <v>6.5259487374397219E-4</v>
      </c>
      <c r="H18" s="1">
        <v>8.2156492865354046E-4</v>
      </c>
      <c r="I18" s="1">
        <v>8.3605363980505411E-4</v>
      </c>
      <c r="J18" s="1">
        <v>7.0568774281697978E-4</v>
      </c>
      <c r="K18" s="1">
        <v>7.6659852415915061E-4</v>
      </c>
      <c r="L18" s="1">
        <v>1.7249246788352039E-4</v>
      </c>
      <c r="M18" s="1">
        <v>2.890241244928464E-4</v>
      </c>
      <c r="N18" s="1">
        <v>7.4760074380540535E-4</v>
      </c>
      <c r="O18" s="1">
        <v>7.158454446597681E-4</v>
      </c>
      <c r="P18" s="1">
        <v>1.0459502566897156E-3</v>
      </c>
      <c r="Q18" s="1">
        <v>1.7920806057050247E-2</v>
      </c>
      <c r="R18" s="1">
        <v>1.2833394653593096E-3</v>
      </c>
      <c r="S18" s="1">
        <v>5.2279763524004717E-4</v>
      </c>
      <c r="T18" s="1">
        <v>9.2143074587924649E-4</v>
      </c>
      <c r="U18" s="1">
        <v>1.8006967474389953E-3</v>
      </c>
      <c r="V18" s="1">
        <v>8.5334115545721261E-4</v>
      </c>
      <c r="W18" s="1">
        <v>8.8299995725882297E-4</v>
      </c>
      <c r="X18" s="1">
        <v>9.6833972979902842E-4</v>
      </c>
      <c r="Y18" s="1">
        <v>1.4269397822975504E-3</v>
      </c>
      <c r="Z18" s="1">
        <v>5.5632542673951881E-4</v>
      </c>
      <c r="AA18" s="1">
        <v>8.389342579295377E-4</v>
      </c>
      <c r="AB18" s="1">
        <v>5.1607266724404161E-4</v>
      </c>
      <c r="AC18" s="1">
        <v>1.8006053151390727E-3</v>
      </c>
      <c r="AD18" s="1">
        <v>4.0231346306067239E-4</v>
      </c>
      <c r="AE18" s="1">
        <v>9.0793818110599105E-4</v>
      </c>
      <c r="AF18" s="1">
        <v>4.2170624971658334E-4</v>
      </c>
      <c r="AG18" s="1">
        <v>1.0384142182074836E-3</v>
      </c>
      <c r="AH18" s="1">
        <v>9.2074441305738856E-4</v>
      </c>
      <c r="AI18" s="1">
        <v>1.2702120294968988E-3</v>
      </c>
      <c r="AJ18" s="1">
        <v>1.4254819618404505E-3</v>
      </c>
      <c r="AK18" s="1">
        <v>8.6632616606085165E-4</v>
      </c>
      <c r="AL18" s="1">
        <v>1.1347198270395687E-3</v>
      </c>
      <c r="AM18" s="1">
        <v>1.5753929963333822E-3</v>
      </c>
      <c r="AN18" s="1">
        <v>8.1681873094599955E-4</v>
      </c>
      <c r="AO18" s="1">
        <v>1.0617572693516987E-3</v>
      </c>
    </row>
    <row r="19" spans="1:41" ht="15">
      <c r="A19" s="17" t="s">
        <v>52</v>
      </c>
      <c r="B19" s="1">
        <v>1.9324257662183999E-3</v>
      </c>
      <c r="C19" s="1">
        <v>1.1233774013956813E-3</v>
      </c>
      <c r="D19" s="1">
        <v>7.8039135898051227E-4</v>
      </c>
      <c r="E19" s="1">
        <v>2.1387876820836193E-3</v>
      </c>
      <c r="F19" s="1">
        <v>1.6521102746162464E-3</v>
      </c>
      <c r="G19" s="1">
        <v>1.8922551507261779E-3</v>
      </c>
      <c r="H19" s="1">
        <v>2.382198405852872E-3</v>
      </c>
      <c r="I19" s="1">
        <v>2.4242096741096185E-3</v>
      </c>
      <c r="J19" s="1">
        <v>2.0462025061411151E-3</v>
      </c>
      <c r="K19" s="1">
        <v>2.2228185728108284E-3</v>
      </c>
      <c r="L19" s="1">
        <v>5.001567955039061E-4</v>
      </c>
      <c r="M19" s="1">
        <v>8.3805038969747851E-4</v>
      </c>
      <c r="N19" s="1">
        <v>2.1677328693015447E-3</v>
      </c>
      <c r="O19" s="1">
        <v>2.07565563917185E-3</v>
      </c>
      <c r="P19" s="1">
        <v>3.0328230273548996E-3</v>
      </c>
      <c r="Q19" s="1">
        <v>1.2833394653593096E-3</v>
      </c>
      <c r="R19" s="1">
        <v>1.4298404913751462E-2</v>
      </c>
      <c r="S19" s="1">
        <v>1.5158968571036564E-3</v>
      </c>
      <c r="T19" s="1">
        <v>2.6717679606099928E-3</v>
      </c>
      <c r="U19" s="1">
        <v>5.2212756065474495E-3</v>
      </c>
      <c r="V19" s="1">
        <v>2.4743363175329471E-3</v>
      </c>
      <c r="W19" s="1">
        <v>2.5603345727007957E-3</v>
      </c>
      <c r="X19" s="1">
        <v>2.807784607397756E-3</v>
      </c>
      <c r="Y19" s="1">
        <v>4.1375350335466398E-3</v>
      </c>
      <c r="Z19" s="1">
        <v>1.6131135817668029E-3</v>
      </c>
      <c r="AA19" s="1">
        <v>2.4325622749384566E-3</v>
      </c>
      <c r="AB19" s="1">
        <v>1.4963972320822336E-3</v>
      </c>
      <c r="AC19" s="1">
        <v>5.2210104907038654E-3</v>
      </c>
      <c r="AD19" s="1">
        <v>1.1665426029406885E-3</v>
      </c>
      <c r="AE19" s="1">
        <v>2.6326451047373679E-3</v>
      </c>
      <c r="AF19" s="1">
        <v>1.2227736613093421E-3</v>
      </c>
      <c r="AG19" s="1">
        <v>3.0109716334690375E-3</v>
      </c>
      <c r="AH19" s="1">
        <v>2.6697778793673644E-3</v>
      </c>
      <c r="AI19" s="1">
        <v>3.6830893898085258E-3</v>
      </c>
      <c r="AJ19" s="1">
        <v>4.1333079573317201E-3</v>
      </c>
      <c r="AK19" s="1">
        <v>2.5119874762924467E-3</v>
      </c>
      <c r="AL19" s="1">
        <v>3.2902180567681398E-3</v>
      </c>
      <c r="AM19" s="1">
        <v>4.5679879381021948E-3</v>
      </c>
      <c r="AN19" s="1">
        <v>2.3684363960366833E-3</v>
      </c>
      <c r="AO19" s="1">
        <v>3.0786568246013155E-3</v>
      </c>
    </row>
    <row r="20" spans="1:41" ht="15">
      <c r="A20" s="17" t="s">
        <v>53</v>
      </c>
      <c r="B20" s="1">
        <v>7.8721776125934137E-4</v>
      </c>
      <c r="C20" s="1">
        <v>4.5763343587921173E-4</v>
      </c>
      <c r="D20" s="1">
        <v>3.179102396905953E-4</v>
      </c>
      <c r="E20" s="1">
        <v>8.7128399979564041E-4</v>
      </c>
      <c r="F20" s="1">
        <v>6.7302484497609868E-4</v>
      </c>
      <c r="G20" s="1">
        <v>7.7085334377484437E-4</v>
      </c>
      <c r="H20" s="1">
        <v>9.7044291621141887E-4</v>
      </c>
      <c r="I20" s="1">
        <v>9.8755716562937243E-4</v>
      </c>
      <c r="J20" s="1">
        <v>8.3356731426733168E-4</v>
      </c>
      <c r="K20" s="1">
        <v>9.0551590191126656E-4</v>
      </c>
      <c r="L20" s="1">
        <v>2.03750291327223E-4</v>
      </c>
      <c r="M20" s="1">
        <v>3.4139896245080707E-4</v>
      </c>
      <c r="N20" s="1">
        <v>8.8307548274896405E-4</v>
      </c>
      <c r="O20" s="1">
        <v>8.4556572054603815E-4</v>
      </c>
      <c r="P20" s="1">
        <v>1.2354897122709299E-3</v>
      </c>
      <c r="Q20" s="1">
        <v>5.2279763524004717E-4</v>
      </c>
      <c r="R20" s="1">
        <v>1.5158968571036564E-3</v>
      </c>
      <c r="S20" s="1">
        <v>5.434076749665403E-3</v>
      </c>
      <c r="T20" s="1">
        <v>1.088405686429937E-3</v>
      </c>
      <c r="U20" s="1">
        <v>2.1270058419619285E-3</v>
      </c>
      <c r="V20" s="1">
        <v>1.007977398429507E-3</v>
      </c>
      <c r="W20" s="1">
        <v>1.0430107513732143E-3</v>
      </c>
      <c r="X20" s="1">
        <v>1.1438151733298152E-3</v>
      </c>
      <c r="Y20" s="1">
        <v>1.6855193732045084E-3</v>
      </c>
      <c r="Z20" s="1">
        <v>6.5713865168571812E-4</v>
      </c>
      <c r="AA20" s="1">
        <v>9.9095978830193092E-4</v>
      </c>
      <c r="AB20" s="1">
        <v>6.0959158151760863E-4</v>
      </c>
      <c r="AC20" s="1">
        <v>2.1268978409693371E-3</v>
      </c>
      <c r="AD20" s="1">
        <v>4.7521776637127802E-4</v>
      </c>
      <c r="AE20" s="1">
        <v>1.0724680977512323E-3</v>
      </c>
      <c r="AF20" s="1">
        <v>4.9812477198880292E-4</v>
      </c>
      <c r="AG20" s="1">
        <v>1.2265880480124953E-3</v>
      </c>
      <c r="AH20" s="1">
        <v>1.0875949813938456E-3</v>
      </c>
      <c r="AI20" s="1">
        <v>1.500390563326517E-3</v>
      </c>
      <c r="AJ20" s="1">
        <v>1.683797377186471E-3</v>
      </c>
      <c r="AK20" s="1">
        <v>1.0233154576841587E-3</v>
      </c>
      <c r="AL20" s="1">
        <v>1.340345454911174E-3</v>
      </c>
      <c r="AM20" s="1">
        <v>1.8608741929215559E-3</v>
      </c>
      <c r="AN20" s="1">
        <v>9.6483664726835377E-4</v>
      </c>
      <c r="AO20" s="1">
        <v>1.2541611561572047E-3</v>
      </c>
    </row>
    <row r="21" spans="1:41" ht="15">
      <c r="A21" s="17" t="s">
        <v>54</v>
      </c>
      <c r="B21" s="1">
        <v>1.3874711743742433E-3</v>
      </c>
      <c r="C21" s="1">
        <v>8.0657885525409353E-4</v>
      </c>
      <c r="D21" s="1">
        <v>5.6031674501789367E-4</v>
      </c>
      <c r="E21" s="1">
        <v>1.535637905928409E-3</v>
      </c>
      <c r="F21" s="1">
        <v>1.1862061782602466E-3</v>
      </c>
      <c r="G21" s="1">
        <v>1.3586288912569987E-3</v>
      </c>
      <c r="H21" s="1">
        <v>1.7104054797557394E-3</v>
      </c>
      <c r="I21" s="1">
        <v>1.7405693415320223E-3</v>
      </c>
      <c r="J21" s="1">
        <v>1.4691622539058341E-3</v>
      </c>
      <c r="K21" s="1">
        <v>1.5959716277609184E-3</v>
      </c>
      <c r="L21" s="1">
        <v>3.5910985485723088E-4</v>
      </c>
      <c r="M21" s="1">
        <v>6.0171561500848778E-4</v>
      </c>
      <c r="N21" s="1">
        <v>1.55642039268873E-3</v>
      </c>
      <c r="O21" s="1">
        <v>1.4903094429930118E-3</v>
      </c>
      <c r="P21" s="1">
        <v>2.1775504140932539E-3</v>
      </c>
      <c r="Q21" s="1">
        <v>9.2143074587924649E-4</v>
      </c>
      <c r="R21" s="1">
        <v>2.6717679606099928E-3</v>
      </c>
      <c r="S21" s="1">
        <v>1.088405686429937E-3</v>
      </c>
      <c r="T21" s="1">
        <v>5.1160501140516635E-3</v>
      </c>
      <c r="U21" s="1">
        <v>3.748847445625102E-3</v>
      </c>
      <c r="V21" s="1">
        <v>1.7765599984741033E-3</v>
      </c>
      <c r="W21" s="1">
        <v>1.8383062772589131E-3</v>
      </c>
      <c r="X21" s="1">
        <v>2.0159740543305295E-3</v>
      </c>
      <c r="Y21" s="1">
        <v>2.9707276172598516E-3</v>
      </c>
      <c r="Z21" s="1">
        <v>1.1582067652062529E-3</v>
      </c>
      <c r="AA21" s="1">
        <v>1.7465664634311708E-3</v>
      </c>
      <c r="AB21" s="1">
        <v>1.0744050618774733E-3</v>
      </c>
      <c r="AC21" s="1">
        <v>3.7486570938934736E-3</v>
      </c>
      <c r="AD21" s="1">
        <v>8.3757123484596414E-4</v>
      </c>
      <c r="AE21" s="1">
        <v>1.8902248453914134E-3</v>
      </c>
      <c r="AF21" s="1">
        <v>8.7794482846852227E-4</v>
      </c>
      <c r="AG21" s="1">
        <v>2.1618612323060218E-3</v>
      </c>
      <c r="AH21" s="1">
        <v>1.9168859753164594E-3</v>
      </c>
      <c r="AI21" s="1">
        <v>2.644438120385425E-3</v>
      </c>
      <c r="AJ21" s="1">
        <v>2.9676925995620902E-3</v>
      </c>
      <c r="AK21" s="1">
        <v>1.8035933253805353E-3</v>
      </c>
      <c r="AL21" s="1">
        <v>2.3623586432015586E-3</v>
      </c>
      <c r="AM21" s="1">
        <v>3.2797904580877568E-3</v>
      </c>
      <c r="AN21" s="1">
        <v>1.7005244316682967E-3</v>
      </c>
      <c r="AO21" s="1">
        <v>2.210458830863106E-3</v>
      </c>
    </row>
    <row r="22" spans="1:41" ht="15">
      <c r="A22" s="17" t="s">
        <v>57</v>
      </c>
      <c r="B22" s="1">
        <v>2.711451557302908E-3</v>
      </c>
      <c r="C22" s="1">
        <v>1.5762485978511639E-3</v>
      </c>
      <c r="D22" s="1">
        <v>1.0949933511569087E-3</v>
      </c>
      <c r="E22" s="1">
        <v>3.0010048989744672E-3</v>
      </c>
      <c r="F22" s="1">
        <v>2.3181314673269972E-3</v>
      </c>
      <c r="G22" s="1">
        <v>2.6550868162410297E-3</v>
      </c>
      <c r="H22" s="1">
        <v>3.3425426685312907E-3</v>
      </c>
      <c r="I22" s="1">
        <v>3.4014900913665498E-3</v>
      </c>
      <c r="J22" s="1">
        <v>2.8710955260603747E-3</v>
      </c>
      <c r="K22" s="1">
        <v>3.1189114667231044E-3</v>
      </c>
      <c r="L22" s="1">
        <v>7.0178681415461312E-4</v>
      </c>
      <c r="M22" s="1">
        <v>1.1758966755500823E-3</v>
      </c>
      <c r="N22" s="1">
        <v>3.0416188642457195E-3</v>
      </c>
      <c r="O22" s="1">
        <v>2.9124222071778166E-3</v>
      </c>
      <c r="P22" s="1">
        <v>4.2554559478049162E-3</v>
      </c>
      <c r="Q22" s="1">
        <v>1.8006967474389953E-3</v>
      </c>
      <c r="R22" s="1">
        <v>5.2212756065474495E-3</v>
      </c>
      <c r="S22" s="1">
        <v>2.1270058419619285E-3</v>
      </c>
      <c r="T22" s="1">
        <v>3.748847445625102E-3</v>
      </c>
      <c r="U22" s="1">
        <v>2.4006108625587851E-2</v>
      </c>
      <c r="V22" s="1">
        <v>3.4718244699225385E-3</v>
      </c>
      <c r="W22" s="1">
        <v>3.592491512857135E-3</v>
      </c>
      <c r="X22" s="1">
        <v>3.9396969753710837E-3</v>
      </c>
      <c r="Y22" s="1">
        <v>5.8055145021479971E-3</v>
      </c>
      <c r="Z22" s="1">
        <v>2.2634138965903954E-3</v>
      </c>
      <c r="AA22" s="1">
        <v>3.4132099063890961E-3</v>
      </c>
      <c r="AB22" s="1">
        <v>2.0996452625516126E-3</v>
      </c>
      <c r="AC22" s="1">
        <v>7.3257753406056926E-3</v>
      </c>
      <c r="AD22" s="1">
        <v>1.6368151432763691E-3</v>
      </c>
      <c r="AE22" s="1">
        <v>3.6939528513092981E-3</v>
      </c>
      <c r="AF22" s="1">
        <v>1.7157148316617311E-3</v>
      </c>
      <c r="AG22" s="1">
        <v>4.2247955224386131E-3</v>
      </c>
      <c r="AH22" s="1">
        <v>3.7460550957305735E-3</v>
      </c>
      <c r="AI22" s="1">
        <v>5.1678665417636965E-3</v>
      </c>
      <c r="AJ22" s="1">
        <v>5.7995833494040496E-3</v>
      </c>
      <c r="AK22" s="1">
        <v>3.5246540765430739E-3</v>
      </c>
      <c r="AL22" s="1">
        <v>4.6166155667383352E-3</v>
      </c>
      <c r="AM22" s="1">
        <v>6.4094974435919732E-3</v>
      </c>
      <c r="AN22" s="1">
        <v>3.3232327299038706E-3</v>
      </c>
      <c r="AO22" s="1">
        <v>4.3197668895722154E-3</v>
      </c>
    </row>
    <row r="23" spans="1:41" ht="15">
      <c r="A23" s="17" t="s">
        <v>62</v>
      </c>
      <c r="B23" s="1">
        <v>1.2849432910710078E-3</v>
      </c>
      <c r="C23" s="1">
        <v>7.4697630330655804E-4</v>
      </c>
      <c r="D23" s="1">
        <v>5.1891185610410942E-4</v>
      </c>
      <c r="E23" s="1">
        <v>1.4221611671514311E-3</v>
      </c>
      <c r="F23" s="1">
        <v>1.0985508735126765E-3</v>
      </c>
      <c r="G23" s="1">
        <v>1.2582323230342204E-3</v>
      </c>
      <c r="H23" s="1">
        <v>1.5840142028279854E-3</v>
      </c>
      <c r="I23" s="1">
        <v>1.6119490908012137E-3</v>
      </c>
      <c r="J23" s="1">
        <v>1.3605977670148462E-3</v>
      </c>
      <c r="K23" s="1">
        <v>1.4780364981319047E-3</v>
      </c>
      <c r="L23" s="1">
        <v>3.3257325073033831E-4</v>
      </c>
      <c r="M23" s="1">
        <v>5.5725153568435444E-4</v>
      </c>
      <c r="N23" s="1">
        <v>1.441407921554448E-3</v>
      </c>
      <c r="O23" s="1">
        <v>1.3801822738820496E-3</v>
      </c>
      <c r="P23" s="1">
        <v>2.0166392262671311E-3</v>
      </c>
      <c r="Q23" s="1">
        <v>8.5334115545721261E-4</v>
      </c>
      <c r="R23" s="1">
        <v>2.4743363175329471E-3</v>
      </c>
      <c r="S23" s="1">
        <v>1.007977398429507E-3</v>
      </c>
      <c r="T23" s="1">
        <v>1.7765599984741033E-3</v>
      </c>
      <c r="U23" s="1">
        <v>3.4718244699225385E-3</v>
      </c>
      <c r="V23" s="1">
        <v>6.7326884987501789E-3</v>
      </c>
      <c r="W23" s="1">
        <v>1.7024637062913314E-3</v>
      </c>
      <c r="X23" s="1">
        <v>1.8670026332284148E-3</v>
      </c>
      <c r="Y23" s="1">
        <v>2.7512041993369638E-3</v>
      </c>
      <c r="Z23" s="1">
        <v>1.0726204912300454E-3</v>
      </c>
      <c r="AA23" s="1">
        <v>1.6175030523482138E-3</v>
      </c>
      <c r="AB23" s="1">
        <v>9.9501135710068026E-4</v>
      </c>
      <c r="AC23" s="1">
        <v>3.4716481843282739E-3</v>
      </c>
      <c r="AD23" s="1">
        <v>7.7567848535287022E-4</v>
      </c>
      <c r="AE23" s="1">
        <v>1.7505457256053233E-3</v>
      </c>
      <c r="AF23" s="1">
        <v>8.130686518802076E-4</v>
      </c>
      <c r="AG23" s="1">
        <v>2.0021094044933639E-3</v>
      </c>
      <c r="AH23" s="1">
        <v>1.775236717866846E-3</v>
      </c>
      <c r="AI23" s="1">
        <v>2.449026029657281E-3</v>
      </c>
      <c r="AJ23" s="1">
        <v>2.7483934558050994E-3</v>
      </c>
      <c r="AK23" s="1">
        <v>1.6703158855270485E-3</v>
      </c>
      <c r="AL23" s="1">
        <v>2.1877909579306942E-3</v>
      </c>
      <c r="AM23" s="1">
        <v>3.0374286854206261E-3</v>
      </c>
      <c r="AN23" s="1">
        <v>1.5748633197803174E-3</v>
      </c>
      <c r="AO23" s="1">
        <v>2.0471158589562828E-3</v>
      </c>
    </row>
    <row r="24" spans="1:41" ht="15">
      <c r="A24" s="17" t="s">
        <v>66</v>
      </c>
      <c r="B24" s="1">
        <v>1.329602895441976E-3</v>
      </c>
      <c r="C24" s="1">
        <v>7.7293827875868381E-4</v>
      </c>
      <c r="D24" s="1">
        <v>5.3694720315642817E-4</v>
      </c>
      <c r="E24" s="1">
        <v>1.4715899283411944E-3</v>
      </c>
      <c r="F24" s="1">
        <v>1.136732206286954E-3</v>
      </c>
      <c r="G24" s="1">
        <v>1.3019635586023178E-3</v>
      </c>
      <c r="H24" s="1">
        <v>1.6390683426549103E-3</v>
      </c>
      <c r="I24" s="1">
        <v>1.667974138102189E-3</v>
      </c>
      <c r="J24" s="1">
        <v>1.4078868251430527E-3</v>
      </c>
      <c r="K24" s="1">
        <v>1.5294072673410295E-3</v>
      </c>
      <c r="L24" s="1">
        <v>3.4413219648708374E-4</v>
      </c>
      <c r="M24" s="1">
        <v>5.7661942008183206E-4</v>
      </c>
      <c r="N24" s="1">
        <v>1.4915056246679809E-3</v>
      </c>
      <c r="O24" s="1">
        <v>1.4281520128889902E-3</v>
      </c>
      <c r="P24" s="1">
        <v>2.0867297202444941E-3</v>
      </c>
      <c r="Q24" s="1">
        <v>8.8299995725882297E-4</v>
      </c>
      <c r="R24" s="1">
        <v>2.5603345727007957E-3</v>
      </c>
      <c r="S24" s="1">
        <v>1.0430107513732143E-3</v>
      </c>
      <c r="T24" s="1">
        <v>1.8383062772589131E-3</v>
      </c>
      <c r="U24" s="1">
        <v>3.592491512857135E-3</v>
      </c>
      <c r="V24" s="1">
        <v>1.7024637062913314E-3</v>
      </c>
      <c r="W24" s="1">
        <v>5.6899989365956829E-3</v>
      </c>
      <c r="X24" s="1">
        <v>1.9318923443455798E-3</v>
      </c>
      <c r="Y24" s="1">
        <v>2.8468252994586075E-3</v>
      </c>
      <c r="Z24" s="1">
        <v>1.109900585309995E-3</v>
      </c>
      <c r="AA24" s="1">
        <v>1.6737211336352836E-3</v>
      </c>
      <c r="AB24" s="1">
        <v>1.0295940611480302E-3</v>
      </c>
      <c r="AC24" s="1">
        <v>3.5923091002649315E-3</v>
      </c>
      <c r="AD24" s="1">
        <v>8.0263803642072879E-4</v>
      </c>
      <c r="AE24" s="1">
        <v>1.8113878499870621E-3</v>
      </c>
      <c r="AF24" s="1">
        <v>8.4132773893232245E-4</v>
      </c>
      <c r="AG24" s="1">
        <v>2.0716948986808478E-3</v>
      </c>
      <c r="AH24" s="1">
        <v>1.836937004592082E-3</v>
      </c>
      <c r="AI24" s="1">
        <v>2.5341445981876746E-3</v>
      </c>
      <c r="AJ24" s="1">
        <v>2.8439168654722353E-3</v>
      </c>
      <c r="AK24" s="1">
        <v>1.7283695343849725E-3</v>
      </c>
      <c r="AL24" s="1">
        <v>2.2638300168576668E-3</v>
      </c>
      <c r="AM24" s="1">
        <v>3.1429978294743297E-3</v>
      </c>
      <c r="AN24" s="1">
        <v>1.6295994106945832E-3</v>
      </c>
      <c r="AO24" s="1">
        <v>2.1182656015152099E-3</v>
      </c>
    </row>
    <row r="25" spans="1:41" ht="15">
      <c r="A25" s="17" t="s">
        <v>70</v>
      </c>
      <c r="B25" s="1">
        <v>1.4581057427332327E-3</v>
      </c>
      <c r="C25" s="1">
        <v>8.4764086096679285E-4</v>
      </c>
      <c r="D25" s="1">
        <v>5.8884182875269819E-4</v>
      </c>
      <c r="E25" s="1">
        <v>1.6138154728893052E-3</v>
      </c>
      <c r="F25" s="1">
        <v>1.2465945761842379E-3</v>
      </c>
      <c r="G25" s="1">
        <v>1.4277951320167547E-3</v>
      </c>
      <c r="H25" s="1">
        <v>1.7974802637316187E-3</v>
      </c>
      <c r="I25" s="1">
        <v>1.8291797331630077E-3</v>
      </c>
      <c r="J25" s="1">
        <v>1.5439556215595879E-3</v>
      </c>
      <c r="K25" s="1">
        <v>1.6772207153975883E-3</v>
      </c>
      <c r="L25" s="1">
        <v>3.7739172626457011E-4</v>
      </c>
      <c r="M25" s="1">
        <v>6.3234826779866695E-4</v>
      </c>
      <c r="N25" s="1">
        <v>1.6356559722475483E-3</v>
      </c>
      <c r="O25" s="1">
        <v>1.5661793898224393E-3</v>
      </c>
      <c r="P25" s="1">
        <v>2.2884070116357472E-3</v>
      </c>
      <c r="Q25" s="1">
        <v>9.6833972979902842E-4</v>
      </c>
      <c r="R25" s="1">
        <v>2.807784607397756E-3</v>
      </c>
      <c r="S25" s="1">
        <v>1.1438151733298152E-3</v>
      </c>
      <c r="T25" s="1">
        <v>2.0159740543305295E-3</v>
      </c>
      <c r="U25" s="1">
        <v>3.9396969753710837E-3</v>
      </c>
      <c r="V25" s="1">
        <v>1.8670026332284148E-3</v>
      </c>
      <c r="W25" s="1">
        <v>1.9318923443455798E-3</v>
      </c>
      <c r="X25" s="1">
        <v>6.7319834912930327E-3</v>
      </c>
      <c r="Y25" s="1">
        <v>3.1219639577567387E-3</v>
      </c>
      <c r="Z25" s="1">
        <v>1.2171697450805566E-3</v>
      </c>
      <c r="AA25" s="1">
        <v>1.8354821616692887E-3</v>
      </c>
      <c r="AB25" s="1">
        <v>1.1291017930168828E-3</v>
      </c>
      <c r="AC25" s="1">
        <v>3.9394969330508161E-3</v>
      </c>
      <c r="AD25" s="1">
        <v>8.8021102710682502E-4</v>
      </c>
      <c r="AE25" s="1">
        <v>1.9864540273172118E-3</v>
      </c>
      <c r="AF25" s="1">
        <v>9.2263999413915278E-4</v>
      </c>
      <c r="AG25" s="1">
        <v>2.2719191115731989E-3</v>
      </c>
      <c r="AH25" s="1">
        <v>2.0144724448306417E-3</v>
      </c>
      <c r="AI25" s="1">
        <v>2.7790634363093576E-3</v>
      </c>
      <c r="AJ25" s="1">
        <v>3.1187744307841158E-3</v>
      </c>
      <c r="AK25" s="1">
        <v>1.8954121958452603E-3</v>
      </c>
      <c r="AL25" s="1">
        <v>2.4826236160194093E-3</v>
      </c>
      <c r="AM25" s="1">
        <v>3.4467608338286755E-3</v>
      </c>
      <c r="AN25" s="1">
        <v>1.7870961828032196E-3</v>
      </c>
      <c r="AO25" s="1">
        <v>2.322990758211975E-3</v>
      </c>
    </row>
    <row r="26" spans="1:41" ht="15">
      <c r="A26" s="17" t="s">
        <v>74</v>
      </c>
      <c r="B26" s="1">
        <v>2.1486561245756034E-3</v>
      </c>
      <c r="C26" s="1">
        <v>1.249078632625652E-3</v>
      </c>
      <c r="D26" s="1">
        <v>8.6771388704917911E-4</v>
      </c>
      <c r="E26" s="1">
        <v>2.3781090754491879E-3</v>
      </c>
      <c r="F26" s="1">
        <v>1.8369745022470815E-3</v>
      </c>
      <c r="G26" s="1">
        <v>2.1039905852756166E-3</v>
      </c>
      <c r="H26" s="1">
        <v>2.6487564408264695E-3</v>
      </c>
      <c r="I26" s="1">
        <v>2.6954685942344081E-3</v>
      </c>
      <c r="J26" s="1">
        <v>2.2751640056765626E-3</v>
      </c>
      <c r="K26" s="1">
        <v>2.4715426712803436E-3</v>
      </c>
      <c r="L26" s="1">
        <v>5.5612224836486593E-4</v>
      </c>
      <c r="M26" s="1">
        <v>9.3182472206952964E-4</v>
      </c>
      <c r="N26" s="1">
        <v>2.4102931080159287E-3</v>
      </c>
      <c r="O26" s="1">
        <v>2.3079128210674233E-3</v>
      </c>
      <c r="P26" s="1">
        <v>3.3721832353913786E-3</v>
      </c>
      <c r="Q26" s="1">
        <v>1.4269397822975504E-3</v>
      </c>
      <c r="R26" s="1">
        <v>4.1375350335466398E-3</v>
      </c>
      <c r="S26" s="1">
        <v>1.6855193732045084E-3</v>
      </c>
      <c r="T26" s="1">
        <v>2.9707276172598516E-3</v>
      </c>
      <c r="U26" s="1">
        <v>5.8055145021479971E-3</v>
      </c>
      <c r="V26" s="1">
        <v>2.7512041993369638E-3</v>
      </c>
      <c r="W26" s="1">
        <v>2.8468252994586075E-3</v>
      </c>
      <c r="X26" s="1">
        <v>3.1219639577567387E-3</v>
      </c>
      <c r="Y26" s="1">
        <v>2.5203124615153279E-2</v>
      </c>
      <c r="Z26" s="1">
        <v>1.7936142426221427E-3</v>
      </c>
      <c r="AA26" s="1">
        <v>2.7047558161503826E-3</v>
      </c>
      <c r="AB26" s="1">
        <v>1.6638378217257168E-3</v>
      </c>
      <c r="AC26" s="1">
        <v>5.8052197209507075E-3</v>
      </c>
      <c r="AD26" s="1">
        <v>1.2970738396289815E-3</v>
      </c>
      <c r="AE26" s="1">
        <v>2.9272270774972787E-3</v>
      </c>
      <c r="AF26" s="1">
        <v>1.3595969181695935E-3</v>
      </c>
      <c r="AG26" s="1">
        <v>3.347886761951547E-3</v>
      </c>
      <c r="AH26" s="1">
        <v>2.968514854252275E-3</v>
      </c>
      <c r="AI26" s="1">
        <v>4.0952116832192543E-3</v>
      </c>
      <c r="AJ26" s="1">
        <v>4.5958078248239179E-3</v>
      </c>
      <c r="AK26" s="1">
        <v>2.793068365236739E-3</v>
      </c>
      <c r="AL26" s="1">
        <v>3.6583796917066744E-3</v>
      </c>
      <c r="AM26" s="1">
        <v>5.0791266768285687E-3</v>
      </c>
      <c r="AN26" s="1">
        <v>2.633454519689344E-3</v>
      </c>
      <c r="AO26" s="1">
        <v>3.4231456427902345E-3</v>
      </c>
    </row>
    <row r="27" spans="1:41" ht="15">
      <c r="A27" s="17" t="s">
        <v>76</v>
      </c>
      <c r="B27" s="1">
        <v>8.377032095190014E-4</v>
      </c>
      <c r="C27" s="1">
        <v>4.8698215015619955E-4</v>
      </c>
      <c r="D27" s="1">
        <v>3.3829829715952253E-4</v>
      </c>
      <c r="E27" s="1">
        <v>9.2716074122076348E-4</v>
      </c>
      <c r="F27" s="1">
        <v>7.1618693132708593E-4</v>
      </c>
      <c r="G27" s="1">
        <v>8.2028931755251183E-4</v>
      </c>
      <c r="H27" s="1">
        <v>1.0326788667277904E-3</v>
      </c>
      <c r="I27" s="1">
        <v>1.0508906784671415E-3</v>
      </c>
      <c r="J27" s="1">
        <v>8.870252284384569E-4</v>
      </c>
      <c r="K27" s="1">
        <v>9.6358798623658471E-4</v>
      </c>
      <c r="L27" s="1">
        <v>2.1681710116931244E-4</v>
      </c>
      <c r="M27" s="1">
        <v>3.6329338671676787E-4</v>
      </c>
      <c r="N27" s="1">
        <v>9.3970842954932204E-4</v>
      </c>
      <c r="O27" s="1">
        <v>8.997931103936432E-4</v>
      </c>
      <c r="P27" s="1">
        <v>1.3147235088311268E-3</v>
      </c>
      <c r="Q27" s="1">
        <v>5.5632542673951881E-4</v>
      </c>
      <c r="R27" s="1">
        <v>1.6131135817668029E-3</v>
      </c>
      <c r="S27" s="1">
        <v>6.5713865168571812E-4</v>
      </c>
      <c r="T27" s="1">
        <v>1.1582067652062529E-3</v>
      </c>
      <c r="U27" s="1">
        <v>2.2634138965903954E-3</v>
      </c>
      <c r="V27" s="1">
        <v>1.0726204912300454E-3</v>
      </c>
      <c r="W27" s="1">
        <v>1.109900585309995E-3</v>
      </c>
      <c r="X27" s="1">
        <v>1.2171697450805566E-3</v>
      </c>
      <c r="Y27" s="1">
        <v>1.7936142426221427E-3</v>
      </c>
      <c r="Z27" s="1">
        <v>2.40446436889718E-3</v>
      </c>
      <c r="AA27" s="1">
        <v>1.0545115164027901E-3</v>
      </c>
      <c r="AB27" s="1">
        <v>6.4868559814523004E-4</v>
      </c>
      <c r="AC27" s="1">
        <v>2.2632989693331901E-3</v>
      </c>
      <c r="AD27" s="1">
        <v>5.0569418996953143E-4</v>
      </c>
      <c r="AE27" s="1">
        <v>1.1412470752129955E-3</v>
      </c>
      <c r="AF27" s="1">
        <v>5.3007025599676719E-4</v>
      </c>
      <c r="AG27" s="1">
        <v>1.3052509675772022E-3</v>
      </c>
      <c r="AH27" s="1">
        <v>1.1573440684479626E-3</v>
      </c>
      <c r="AI27" s="1">
        <v>1.5966128462599285E-3</v>
      </c>
      <c r="AJ27" s="1">
        <v>1.7917818124330914E-3</v>
      </c>
      <c r="AK27" s="1">
        <v>1.0889422030837764E-3</v>
      </c>
      <c r="AL27" s="1">
        <v>1.4263038065186603E-3</v>
      </c>
      <c r="AM27" s="1">
        <v>1.980214828267724E-3</v>
      </c>
      <c r="AN27" s="1">
        <v>1.0267130594021029E-3</v>
      </c>
      <c r="AO27" s="1">
        <v>1.3345923802408172E-3</v>
      </c>
    </row>
    <row r="28" spans="1:41" ht="15">
      <c r="A28" s="17" t="s">
        <v>79</v>
      </c>
      <c r="B28" s="1">
        <v>1.2632496856414012E-3</v>
      </c>
      <c r="C28" s="1">
        <v>7.3436515594946965E-4</v>
      </c>
      <c r="D28" s="1">
        <v>5.1015110445281708E-4</v>
      </c>
      <c r="E28" s="1">
        <v>1.3981509221609484E-3</v>
      </c>
      <c r="F28" s="1">
        <v>1.0800041179010182E-3</v>
      </c>
      <c r="G28" s="1">
        <v>1.2369896769623221E-3</v>
      </c>
      <c r="H28" s="1">
        <v>1.5572714046439493E-3</v>
      </c>
      <c r="I28" s="1">
        <v>1.5847346699069595E-3</v>
      </c>
      <c r="J28" s="1">
        <v>1.3376268924936666E-3</v>
      </c>
      <c r="K28" s="1">
        <v>1.4530829139357451E-3</v>
      </c>
      <c r="L28" s="1">
        <v>3.2695844038974184E-4</v>
      </c>
      <c r="M28" s="1">
        <v>5.4784349797235346E-4</v>
      </c>
      <c r="N28" s="1">
        <v>1.4170727349897179E-3</v>
      </c>
      <c r="O28" s="1">
        <v>1.3568807555359925E-3</v>
      </c>
      <c r="P28" s="1">
        <v>1.9825924508393672E-3</v>
      </c>
      <c r="Q28" s="1">
        <v>8.389342579295377E-4</v>
      </c>
      <c r="R28" s="1">
        <v>2.4325622749384566E-3</v>
      </c>
      <c r="S28" s="1">
        <v>9.9095978830193092E-4</v>
      </c>
      <c r="T28" s="1">
        <v>1.7465664634311708E-3</v>
      </c>
      <c r="U28" s="1">
        <v>3.4132099063890961E-3</v>
      </c>
      <c r="V28" s="1">
        <v>1.6175030523482138E-3</v>
      </c>
      <c r="W28" s="1">
        <v>1.6737211336352836E-3</v>
      </c>
      <c r="X28" s="1">
        <v>1.8354821616692887E-3</v>
      </c>
      <c r="Y28" s="1">
        <v>2.7047558161503826E-3</v>
      </c>
      <c r="Z28" s="1">
        <v>1.0545115164027901E-3</v>
      </c>
      <c r="AA28" s="1">
        <v>4.5144357569033679E-3</v>
      </c>
      <c r="AB28" s="1">
        <v>9.7821265171896027E-4</v>
      </c>
      <c r="AC28" s="1">
        <v>3.4130365970118765E-3</v>
      </c>
      <c r="AD28" s="1">
        <v>7.6258276111475665E-4</v>
      </c>
      <c r="AE28" s="1">
        <v>1.7209913876655427E-3</v>
      </c>
      <c r="AF28" s="1">
        <v>7.9934167214216047E-4</v>
      </c>
      <c r="AG28" s="1">
        <v>1.9683079350045572E-3</v>
      </c>
      <c r="AH28" s="1">
        <v>1.7452655236755025E-3</v>
      </c>
      <c r="AI28" s="1">
        <v>2.4076792988377924E-3</v>
      </c>
      <c r="AJ28" s="1">
        <v>2.7019925261999862E-3</v>
      </c>
      <c r="AK28" s="1">
        <v>1.6421160622233869E-3</v>
      </c>
      <c r="AL28" s="1">
        <v>2.1508546400919124E-3</v>
      </c>
      <c r="AM28" s="1">
        <v>2.9861479947629384E-3</v>
      </c>
      <c r="AN28" s="1">
        <v>1.5482750152984921E-3</v>
      </c>
      <c r="AO28" s="1">
        <v>2.0125545487245512E-3</v>
      </c>
    </row>
    <row r="29" spans="1:41" ht="15">
      <c r="A29" s="17" t="s">
        <v>87</v>
      </c>
      <c r="B29" s="1">
        <v>7.7709144489234903E-4</v>
      </c>
      <c r="C29" s="1">
        <v>4.5174670265254622E-4</v>
      </c>
      <c r="D29" s="1">
        <v>3.1382082527206979E-4</v>
      </c>
      <c r="E29" s="1">
        <v>8.6007630370235762E-4</v>
      </c>
      <c r="F29" s="1">
        <v>6.6436744058500448E-4</v>
      </c>
      <c r="G29" s="1">
        <v>7.6093752985935219E-4</v>
      </c>
      <c r="H29" s="1">
        <v>9.5795969686694824E-4</v>
      </c>
      <c r="I29" s="1">
        <v>9.7485379842681416E-4</v>
      </c>
      <c r="J29" s="1">
        <v>8.2284478391695976E-4</v>
      </c>
      <c r="K29" s="1">
        <v>8.9386786632397611E-4</v>
      </c>
      <c r="L29" s="1">
        <v>2.0112936480424202E-4</v>
      </c>
      <c r="M29" s="1">
        <v>3.3700740261657599E-4</v>
      </c>
      <c r="N29" s="1">
        <v>8.7171610780302131E-4</v>
      </c>
      <c r="O29" s="1">
        <v>8.346888496003987E-4</v>
      </c>
      <c r="P29" s="1">
        <v>1.2195970834326202E-3</v>
      </c>
      <c r="Q29" s="1">
        <v>5.1607266724404161E-4</v>
      </c>
      <c r="R29" s="1">
        <v>1.4963972320822336E-3</v>
      </c>
      <c r="S29" s="1">
        <v>6.0959158151760863E-4</v>
      </c>
      <c r="T29" s="1">
        <v>1.0744050618774733E-3</v>
      </c>
      <c r="U29" s="1">
        <v>2.0996452625516126E-3</v>
      </c>
      <c r="V29" s="1">
        <v>9.9501135710068026E-4</v>
      </c>
      <c r="W29" s="1">
        <v>1.0295940611480302E-3</v>
      </c>
      <c r="X29" s="1">
        <v>1.1291017930168828E-3</v>
      </c>
      <c r="Y29" s="1">
        <v>1.6638378217257168E-3</v>
      </c>
      <c r="Z29" s="1">
        <v>6.4868559814523004E-4</v>
      </c>
      <c r="AA29" s="1">
        <v>9.7821265171896027E-4</v>
      </c>
      <c r="AB29" s="1">
        <v>6.253780842102658E-3</v>
      </c>
      <c r="AC29" s="1">
        <v>2.0995386508216533E-3</v>
      </c>
      <c r="AD29" s="1">
        <v>4.6910483843404151E-4</v>
      </c>
      <c r="AE29" s="1">
        <v>1.0586724851700806E-3</v>
      </c>
      <c r="AF29" s="1">
        <v>4.9171718151050218E-4</v>
      </c>
      <c r="AG29" s="1">
        <v>1.210809925061768E-3</v>
      </c>
      <c r="AH29" s="1">
        <v>1.0736047852845394E-3</v>
      </c>
      <c r="AI29" s="1">
        <v>1.4810904023469316E-3</v>
      </c>
      <c r="AJ29" s="1">
        <v>1.6621379764737308E-3</v>
      </c>
      <c r="AK29" s="1">
        <v>1.0101521163856006E-3</v>
      </c>
      <c r="AL29" s="1">
        <v>1.3231040221267079E-3</v>
      </c>
      <c r="AM29" s="1">
        <v>1.836936977929671E-3</v>
      </c>
      <c r="AN29" s="1">
        <v>9.5242554374208458E-4</v>
      </c>
      <c r="AO29" s="1">
        <v>1.238028348607075E-3</v>
      </c>
    </row>
    <row r="30" spans="1:41" ht="15">
      <c r="A30" s="17" t="s">
        <v>88</v>
      </c>
      <c r="B30" s="1">
        <v>2.711313880455118E-3</v>
      </c>
      <c r="C30" s="1">
        <v>1.5761685621456759E-3</v>
      </c>
      <c r="D30" s="1">
        <v>1.094937751700399E-3</v>
      </c>
      <c r="E30" s="1">
        <v>3.000852519746603E-3</v>
      </c>
      <c r="F30" s="1">
        <v>2.3180137617267167E-3</v>
      </c>
      <c r="G30" s="1">
        <v>2.6549520013731467E-3</v>
      </c>
      <c r="H30" s="1">
        <v>3.3423729473585234E-3</v>
      </c>
      <c r="I30" s="1">
        <v>3.4013173770754512E-3</v>
      </c>
      <c r="J30" s="1">
        <v>2.8709497431196221E-3</v>
      </c>
      <c r="K30" s="1">
        <v>3.1187531006633758E-3</v>
      </c>
      <c r="L30" s="1">
        <v>7.0175118017983928E-4</v>
      </c>
      <c r="M30" s="1">
        <v>1.1758369681408975E-3</v>
      </c>
      <c r="N30" s="1">
        <v>3.041464422800406E-3</v>
      </c>
      <c r="O30" s="1">
        <v>2.9122743258307065E-3</v>
      </c>
      <c r="P30" s="1">
        <v>4.2552398724856931E-3</v>
      </c>
      <c r="Q30" s="1">
        <v>1.8006053151390727E-3</v>
      </c>
      <c r="R30" s="1">
        <v>5.2210104907038654E-3</v>
      </c>
      <c r="S30" s="1">
        <v>2.1268978409693371E-3</v>
      </c>
      <c r="T30" s="1">
        <v>3.7486570938934736E-3</v>
      </c>
      <c r="U30" s="1">
        <v>7.3257753406056926E-3</v>
      </c>
      <c r="V30" s="1">
        <v>3.4716481843282739E-3</v>
      </c>
      <c r="W30" s="1">
        <v>3.5923091002649315E-3</v>
      </c>
      <c r="X30" s="1">
        <v>3.9394969330508161E-3</v>
      </c>
      <c r="Y30" s="1">
        <v>5.8052197209507075E-3</v>
      </c>
      <c r="Z30" s="1">
        <v>2.2632989693331901E-3</v>
      </c>
      <c r="AA30" s="1">
        <v>3.4130365970118765E-3</v>
      </c>
      <c r="AB30" s="1">
        <v>2.0995386508216533E-3</v>
      </c>
      <c r="AC30" s="1">
        <v>3.2101792062676451E-2</v>
      </c>
      <c r="AD30" s="1">
        <v>1.6367320322398713E-3</v>
      </c>
      <c r="AE30" s="1">
        <v>3.6937652869093061E-3</v>
      </c>
      <c r="AF30" s="1">
        <v>1.7156277144093157E-3</v>
      </c>
      <c r="AG30" s="1">
        <v>4.2245810039352235E-3</v>
      </c>
      <c r="AH30" s="1">
        <v>3.7458648857834924E-3</v>
      </c>
      <c r="AI30" s="1">
        <v>5.1676041378224012E-3</v>
      </c>
      <c r="AJ30" s="1">
        <v>5.7992888693673729E-3</v>
      </c>
      <c r="AK30" s="1">
        <v>3.5244751084691278E-3</v>
      </c>
      <c r="AL30" s="1">
        <v>4.6163811531538569E-3</v>
      </c>
      <c r="AM30" s="1">
        <v>6.4091719945159704E-3</v>
      </c>
      <c r="AN30" s="1">
        <v>3.3230639892138539E-3</v>
      </c>
      <c r="AO30" s="1">
        <v>4.3195475487962601E-3</v>
      </c>
    </row>
    <row r="31" spans="1:41" ht="15">
      <c r="A31" s="17" t="s">
        <v>91</v>
      </c>
      <c r="B31" s="1">
        <v>6.057952109322297E-4</v>
      </c>
      <c r="C31" s="1">
        <v>3.5216703364846543E-4</v>
      </c>
      <c r="D31" s="1">
        <v>2.4464450649943281E-4</v>
      </c>
      <c r="E31" s="1">
        <v>6.7048750728604509E-4</v>
      </c>
      <c r="F31" s="1">
        <v>5.1791924419069223E-4</v>
      </c>
      <c r="G31" s="1">
        <v>5.9320214427435226E-4</v>
      </c>
      <c r="H31" s="1">
        <v>7.4679421635954427E-4</v>
      </c>
      <c r="I31" s="1">
        <v>7.5996430835481414E-4</v>
      </c>
      <c r="J31" s="1">
        <v>6.4146302563723853E-4</v>
      </c>
      <c r="K31" s="1">
        <v>6.9683031023496809E-4</v>
      </c>
      <c r="L31" s="1">
        <v>1.5679390987650133E-4</v>
      </c>
      <c r="M31" s="1">
        <v>2.6272000791633163E-4</v>
      </c>
      <c r="N31" s="1">
        <v>6.7956151990929332E-4</v>
      </c>
      <c r="O31" s="1">
        <v>6.5069627394559947E-4</v>
      </c>
      <c r="P31" s="1">
        <v>9.5075821161915688E-4</v>
      </c>
      <c r="Q31" s="1">
        <v>4.0231346306067239E-4</v>
      </c>
      <c r="R31" s="1">
        <v>1.1665426029406885E-3</v>
      </c>
      <c r="S31" s="1">
        <v>4.7521776637127802E-4</v>
      </c>
      <c r="T31" s="1">
        <v>8.3757123484596414E-4</v>
      </c>
      <c r="U31" s="1">
        <v>1.6368151432763691E-3</v>
      </c>
      <c r="V31" s="1">
        <v>7.7567848535287022E-4</v>
      </c>
      <c r="W31" s="1">
        <v>8.0263803642072879E-4</v>
      </c>
      <c r="X31" s="1">
        <v>8.8021102710682502E-4</v>
      </c>
      <c r="Y31" s="1">
        <v>1.2970738396289815E-3</v>
      </c>
      <c r="Z31" s="1">
        <v>5.0569418996953143E-4</v>
      </c>
      <c r="AA31" s="1">
        <v>7.6258276111475665E-4</v>
      </c>
      <c r="AB31" s="1">
        <v>4.6910483843404151E-4</v>
      </c>
      <c r="AC31" s="1">
        <v>1.6367320322398713E-3</v>
      </c>
      <c r="AD31" s="1">
        <v>1.9239693733546636E-3</v>
      </c>
      <c r="AE31" s="1">
        <v>8.2530662984020098E-4</v>
      </c>
      <c r="AF31" s="1">
        <v>3.8332671868935794E-4</v>
      </c>
      <c r="AG31" s="1">
        <v>9.439080288076567E-4</v>
      </c>
      <c r="AH31" s="1">
        <v>8.3694736524785301E-4</v>
      </c>
      <c r="AI31" s="1">
        <v>1.154609896424423E-3</v>
      </c>
      <c r="AJ31" s="1">
        <v>1.2957486955680767E-3</v>
      </c>
      <c r="AK31" s="1">
        <v>7.87481728748444E-4</v>
      </c>
      <c r="AL31" s="1">
        <v>1.0314488538482971E-3</v>
      </c>
      <c r="AM31" s="1">
        <v>1.4320163107293964E-3</v>
      </c>
      <c r="AN31" s="1">
        <v>7.4247997061453741E-4</v>
      </c>
      <c r="AO31" s="1">
        <v>9.6512662636300147E-4</v>
      </c>
    </row>
    <row r="32" spans="1:41" ht="15">
      <c r="A32" s="17" t="s">
        <v>94</v>
      </c>
      <c r="B32" s="1">
        <v>1.3671543521117024E-3</v>
      </c>
      <c r="C32" s="1">
        <v>7.9476807349114129E-4</v>
      </c>
      <c r="D32" s="1">
        <v>5.5211199386377458E-4</v>
      </c>
      <c r="E32" s="1">
        <v>1.5131514694743766E-3</v>
      </c>
      <c r="F32" s="1">
        <v>1.1688364912097674E-3</v>
      </c>
      <c r="G32" s="1">
        <v>1.3387344082477421E-3</v>
      </c>
      <c r="H32" s="1">
        <v>1.6853599114074484E-3</v>
      </c>
      <c r="I32" s="1">
        <v>1.7150820819761738E-3</v>
      </c>
      <c r="J32" s="1">
        <v>1.4476492243462103E-3</v>
      </c>
      <c r="K32" s="1">
        <v>1.572601721058604E-3</v>
      </c>
      <c r="L32" s="1">
        <v>3.5385138806627087E-4</v>
      </c>
      <c r="M32" s="1">
        <v>5.9290465775870091E-4</v>
      </c>
      <c r="N32" s="1">
        <v>1.5336296370549688E-3</v>
      </c>
      <c r="O32" s="1">
        <v>1.4684867538959708E-3</v>
      </c>
      <c r="P32" s="1">
        <v>2.1456644149114635E-3</v>
      </c>
      <c r="Q32" s="1">
        <v>9.0793818110599105E-4</v>
      </c>
      <c r="R32" s="1">
        <v>2.6326451047373679E-3</v>
      </c>
      <c r="S32" s="1">
        <v>1.0724680977512323E-3</v>
      </c>
      <c r="T32" s="1">
        <v>1.8902248453914134E-3</v>
      </c>
      <c r="U32" s="1">
        <v>3.6939528513092981E-3</v>
      </c>
      <c r="V32" s="1">
        <v>1.7505457256053233E-3</v>
      </c>
      <c r="W32" s="1">
        <v>1.8113878499870621E-3</v>
      </c>
      <c r="X32" s="1">
        <v>1.9864540273172118E-3</v>
      </c>
      <c r="Y32" s="1">
        <v>2.9272270774972787E-3</v>
      </c>
      <c r="Z32" s="1">
        <v>1.1412470752129955E-3</v>
      </c>
      <c r="AA32" s="1">
        <v>1.7209913876655427E-3</v>
      </c>
      <c r="AB32" s="1">
        <v>1.0586724851700806E-3</v>
      </c>
      <c r="AC32" s="1">
        <v>3.6937652869093061E-3</v>
      </c>
      <c r="AD32" s="1">
        <v>8.2530662984020098E-4</v>
      </c>
      <c r="AE32" s="1">
        <v>5.7758612525108605E-3</v>
      </c>
      <c r="AF32" s="1">
        <v>8.6508903054943645E-4</v>
      </c>
      <c r="AG32" s="1">
        <v>2.1302049707387512E-3</v>
      </c>
      <c r="AH32" s="1">
        <v>1.8888169008900112E-3</v>
      </c>
      <c r="AI32" s="1">
        <v>2.6057154569755782E-3</v>
      </c>
      <c r="AJ32" s="1">
        <v>2.9242365017427214E-3</v>
      </c>
      <c r="AK32" s="1">
        <v>1.777183201910988E-3</v>
      </c>
      <c r="AL32" s="1">
        <v>2.3277664862178648E-3</v>
      </c>
      <c r="AM32" s="1">
        <v>3.2317642929132625E-3</v>
      </c>
      <c r="AN32" s="1">
        <v>1.6756235520900991E-3</v>
      </c>
      <c r="AO32" s="1">
        <v>2.1780909517930677E-3</v>
      </c>
    </row>
    <row r="33" spans="1:41" ht="15">
      <c r="A33" s="17" t="s">
        <v>95</v>
      </c>
      <c r="B33" s="1">
        <v>6.3499646408793028E-4</v>
      </c>
      <c r="C33" s="1">
        <v>3.691426031430407E-4</v>
      </c>
      <c r="D33" s="1">
        <v>2.5643714869686438E-4</v>
      </c>
      <c r="E33" s="1">
        <v>7.0280713458693638E-4</v>
      </c>
      <c r="F33" s="1">
        <v>5.4288459665782058E-4</v>
      </c>
      <c r="G33" s="1">
        <v>6.2179637162191313E-4</v>
      </c>
      <c r="H33" s="1">
        <v>7.8279206938576713E-4</v>
      </c>
      <c r="I33" s="1">
        <v>7.965970016430555E-4</v>
      </c>
      <c r="J33" s="1">
        <v>6.7238358074170953E-4</v>
      </c>
      <c r="K33" s="1">
        <v>7.304197443020081E-4</v>
      </c>
      <c r="L33" s="1">
        <v>1.6435187430565232E-4</v>
      </c>
      <c r="M33" s="1">
        <v>2.7538394668934831E-4</v>
      </c>
      <c r="N33" s="1">
        <v>7.1231854343743728E-4</v>
      </c>
      <c r="O33" s="1">
        <v>6.820619009430737E-4</v>
      </c>
      <c r="P33" s="1">
        <v>9.9658777700087787E-4</v>
      </c>
      <c r="Q33" s="1">
        <v>4.2170624971658334E-4</v>
      </c>
      <c r="R33" s="1">
        <v>1.2227736613093421E-3</v>
      </c>
      <c r="S33" s="1">
        <v>4.9812477198880292E-4</v>
      </c>
      <c r="T33" s="1">
        <v>8.7794482846852227E-4</v>
      </c>
      <c r="U33" s="1">
        <v>1.7157148316617311E-3</v>
      </c>
      <c r="V33" s="1">
        <v>8.130686518802076E-4</v>
      </c>
      <c r="W33" s="1">
        <v>8.4132773893232245E-4</v>
      </c>
      <c r="X33" s="1">
        <v>9.2263999413915278E-4</v>
      </c>
      <c r="Y33" s="1">
        <v>1.3595969181695935E-3</v>
      </c>
      <c r="Z33" s="1">
        <v>5.3007025599676719E-4</v>
      </c>
      <c r="AA33" s="1">
        <v>7.9934167214216047E-4</v>
      </c>
      <c r="AB33" s="1">
        <v>4.9171718151050218E-4</v>
      </c>
      <c r="AC33" s="1">
        <v>1.7156277144093157E-3</v>
      </c>
      <c r="AD33" s="1">
        <v>3.8332671868935794E-4</v>
      </c>
      <c r="AE33" s="1">
        <v>8.6508903054943645E-4</v>
      </c>
      <c r="AF33" s="1">
        <v>2.4382074727496181E-3</v>
      </c>
      <c r="AG33" s="1">
        <v>9.8940739362187325E-4</v>
      </c>
      <c r="AH33" s="1">
        <v>8.7729088637438966E-4</v>
      </c>
      <c r="AI33" s="1">
        <v>1.2102657604410479E-3</v>
      </c>
      <c r="AJ33" s="1">
        <v>1.3582078979563325E-3</v>
      </c>
      <c r="AK33" s="1">
        <v>8.2544084909422135E-4</v>
      </c>
      <c r="AL33" s="1">
        <v>1.0811679644567019E-3</v>
      </c>
      <c r="AM33" s="1">
        <v>1.5010440449505892E-3</v>
      </c>
      <c r="AN33" s="1">
        <v>7.782698632939262E-4</v>
      </c>
      <c r="AO33" s="1">
        <v>1.0116487949690621E-3</v>
      </c>
    </row>
    <row r="34" spans="1:41" ht="15">
      <c r="A34" s="17" t="s">
        <v>102</v>
      </c>
      <c r="B34" s="1">
        <v>1.5636224439726496E-3</v>
      </c>
      <c r="C34" s="1">
        <v>9.0898090295668218E-4</v>
      </c>
      <c r="D34" s="1">
        <v>6.3145372273324188E-4</v>
      </c>
      <c r="E34" s="1">
        <v>1.7306002026368265E-3</v>
      </c>
      <c r="F34" s="1">
        <v>1.3368051443254367E-3</v>
      </c>
      <c r="G34" s="1">
        <v>1.5311183876358563E-3</v>
      </c>
      <c r="H34" s="1">
        <v>1.9275560068093397E-3</v>
      </c>
      <c r="I34" s="1">
        <v>1.9615494274593625E-3</v>
      </c>
      <c r="J34" s="1">
        <v>1.655684901043557E-3</v>
      </c>
      <c r="K34" s="1">
        <v>1.798593803749485E-3</v>
      </c>
      <c r="L34" s="1">
        <v>4.0470190608447903E-4</v>
      </c>
      <c r="M34" s="1">
        <v>6.781085314730294E-4</v>
      </c>
      <c r="N34" s="1">
        <v>1.7540212028998828E-3</v>
      </c>
      <c r="O34" s="1">
        <v>1.6795169056965961E-3</v>
      </c>
      <c r="P34" s="1">
        <v>2.454008964830395E-3</v>
      </c>
      <c r="Q34" s="1">
        <v>1.0384142182074836E-3</v>
      </c>
      <c r="R34" s="1">
        <v>3.0109716334690375E-3</v>
      </c>
      <c r="S34" s="1">
        <v>1.2265880480124953E-3</v>
      </c>
      <c r="T34" s="1">
        <v>2.1618612323060218E-3</v>
      </c>
      <c r="U34" s="1">
        <v>4.2247955224386131E-3</v>
      </c>
      <c r="V34" s="1">
        <v>2.0021094044933639E-3</v>
      </c>
      <c r="W34" s="1">
        <v>2.0716948986808478E-3</v>
      </c>
      <c r="X34" s="1">
        <v>2.2719191115731989E-3</v>
      </c>
      <c r="Y34" s="1">
        <v>3.347886761951547E-3</v>
      </c>
      <c r="Z34" s="1">
        <v>1.3052509675772022E-3</v>
      </c>
      <c r="AA34" s="1">
        <v>1.9683079350045572E-3</v>
      </c>
      <c r="AB34" s="1">
        <v>1.210809925061768E-3</v>
      </c>
      <c r="AC34" s="1">
        <v>4.2245810039352235E-3</v>
      </c>
      <c r="AD34" s="1">
        <v>9.439080288076567E-4</v>
      </c>
      <c r="AE34" s="1">
        <v>2.1302049707387512E-3</v>
      </c>
      <c r="AF34" s="1">
        <v>9.8940739362187325E-4</v>
      </c>
      <c r="AG34" s="1">
        <v>9.7318269862282057E-3</v>
      </c>
      <c r="AH34" s="1">
        <v>2.1602509579292774E-3</v>
      </c>
      <c r="AI34" s="1">
        <v>2.9801720375173639E-3</v>
      </c>
      <c r="AJ34" s="1">
        <v>3.3444664229364215E-3</v>
      </c>
      <c r="AK34" s="1">
        <v>2.0325748422385555E-3</v>
      </c>
      <c r="AL34" s="1">
        <v>2.6622801708934048E-3</v>
      </c>
      <c r="AM34" s="1">
        <v>3.6961877597970773E-3</v>
      </c>
      <c r="AN34" s="1">
        <v>1.9164204756034636E-3</v>
      </c>
      <c r="AO34" s="1">
        <v>2.4910953850799211E-3</v>
      </c>
    </row>
    <row r="35" spans="1:41" ht="15">
      <c r="A35" s="17" t="s">
        <v>110</v>
      </c>
      <c r="B35" s="1">
        <v>1.3864377087441744E-3</v>
      </c>
      <c r="C35" s="1">
        <v>8.0597807050249593E-4</v>
      </c>
      <c r="D35" s="1">
        <v>5.5989938997036328E-4</v>
      </c>
      <c r="E35" s="1">
        <v>1.5344940774833073E-3</v>
      </c>
      <c r="F35" s="1">
        <v>1.1853226259832344E-3</v>
      </c>
      <c r="G35" s="1">
        <v>1.3576169089621118E-3</v>
      </c>
      <c r="H35" s="1">
        <v>1.7091314747101165E-3</v>
      </c>
      <c r="I35" s="1">
        <v>1.7392728687659945E-3</v>
      </c>
      <c r="J35" s="1">
        <v>1.4680679402202968E-3</v>
      </c>
      <c r="K35" s="1">
        <v>1.5947828594071543E-3</v>
      </c>
      <c r="L35" s="1">
        <v>3.5884236988221411E-4</v>
      </c>
      <c r="M35" s="1">
        <v>6.0126742378212414E-4</v>
      </c>
      <c r="N35" s="1">
        <v>1.5552610842926422E-3</v>
      </c>
      <c r="O35" s="1">
        <v>1.4891993777059293E-3</v>
      </c>
      <c r="P35" s="1">
        <v>2.1759284535420934E-3</v>
      </c>
      <c r="Q35" s="1">
        <v>9.2074441305738856E-4</v>
      </c>
      <c r="R35" s="1">
        <v>2.6697778793673644E-3</v>
      </c>
      <c r="S35" s="1">
        <v>1.0875949813938456E-3</v>
      </c>
      <c r="T35" s="1">
        <v>1.9168859753164594E-3</v>
      </c>
      <c r="U35" s="1">
        <v>3.7460550957305735E-3</v>
      </c>
      <c r="V35" s="1">
        <v>1.775236717866846E-3</v>
      </c>
      <c r="W35" s="1">
        <v>1.836937004592082E-3</v>
      </c>
      <c r="X35" s="1">
        <v>2.0144724448306417E-3</v>
      </c>
      <c r="Y35" s="1">
        <v>2.968514854252275E-3</v>
      </c>
      <c r="Z35" s="1">
        <v>1.1573440684479626E-3</v>
      </c>
      <c r="AA35" s="1">
        <v>1.7452655236755025E-3</v>
      </c>
      <c r="AB35" s="1">
        <v>1.0736047852845394E-3</v>
      </c>
      <c r="AC35" s="1">
        <v>3.7458648857834924E-3</v>
      </c>
      <c r="AD35" s="1">
        <v>8.3694736524785301E-4</v>
      </c>
      <c r="AE35" s="1">
        <v>1.8888169008900112E-3</v>
      </c>
      <c r="AF35" s="1">
        <v>8.7729088637438966E-4</v>
      </c>
      <c r="AG35" s="1">
        <v>2.1602509579292774E-3</v>
      </c>
      <c r="AH35" s="1">
        <v>1.5639900734640957E-2</v>
      </c>
      <c r="AI35" s="1">
        <v>2.6424683959264685E-3</v>
      </c>
      <c r="AJ35" s="1">
        <v>2.9654820972043455E-3</v>
      </c>
      <c r="AK35" s="1">
        <v>1.8022499088492024E-3</v>
      </c>
      <c r="AL35" s="1">
        <v>2.3605990272118813E-3</v>
      </c>
      <c r="AM35" s="1">
        <v>3.2773474879022389E-3</v>
      </c>
      <c r="AN35" s="1">
        <v>1.6992577865763624E-3</v>
      </c>
      <c r="AO35" s="1">
        <v>2.208812358294471E-3</v>
      </c>
    </row>
    <row r="36" spans="1:41" ht="15">
      <c r="A36" s="17" t="s">
        <v>114</v>
      </c>
      <c r="B36" s="1">
        <v>1.9126587474446108E-3</v>
      </c>
      <c r="C36" s="1">
        <v>1.1118862369889398E-3</v>
      </c>
      <c r="D36" s="1">
        <v>7.7240864062023181E-4</v>
      </c>
      <c r="E36" s="1">
        <v>2.1169097621117545E-3</v>
      </c>
      <c r="F36" s="1">
        <v>1.6352106371835407E-3</v>
      </c>
      <c r="G36" s="1">
        <v>1.8728990420760635E-3</v>
      </c>
      <c r="H36" s="1">
        <v>2.3578306079097022E-3</v>
      </c>
      <c r="I36" s="1">
        <v>2.399412137781224E-3</v>
      </c>
      <c r="J36" s="1">
        <v>2.0252716512224197E-3</v>
      </c>
      <c r="K36" s="1">
        <v>2.200081090612243E-3</v>
      </c>
      <c r="L36" s="1">
        <v>4.9504063066104572E-4</v>
      </c>
      <c r="M36" s="1">
        <v>8.29477870081913E-4</v>
      </c>
      <c r="N36" s="1">
        <v>2.1455588654804834E-3</v>
      </c>
      <c r="O36" s="1">
        <v>2.0544235045643084E-3</v>
      </c>
      <c r="P36" s="1">
        <v>3.0017999108309353E-3</v>
      </c>
      <c r="Q36" s="1">
        <v>1.2702120294968988E-3</v>
      </c>
      <c r="R36" s="1">
        <v>3.6830893898085258E-3</v>
      </c>
      <c r="S36" s="1">
        <v>1.500390563326517E-3</v>
      </c>
      <c r="T36" s="1">
        <v>2.644438120385425E-3</v>
      </c>
      <c r="U36" s="1">
        <v>5.1678665417636965E-3</v>
      </c>
      <c r="V36" s="1">
        <v>2.449026029657281E-3</v>
      </c>
      <c r="W36" s="1">
        <v>2.5341445981876746E-3</v>
      </c>
      <c r="X36" s="1">
        <v>2.7790634363093576E-3</v>
      </c>
      <c r="Y36" s="1">
        <v>4.0952116832192543E-3</v>
      </c>
      <c r="Z36" s="1">
        <v>1.5966128462599285E-3</v>
      </c>
      <c r="AA36" s="1">
        <v>2.4076792988377924E-3</v>
      </c>
      <c r="AB36" s="1">
        <v>1.4810904023469316E-3</v>
      </c>
      <c r="AC36" s="1">
        <v>5.1676041378224012E-3</v>
      </c>
      <c r="AD36" s="1">
        <v>1.154609896424423E-3</v>
      </c>
      <c r="AE36" s="1">
        <v>2.6057154569755782E-3</v>
      </c>
      <c r="AF36" s="1">
        <v>1.2102657604410479E-3</v>
      </c>
      <c r="AG36" s="1">
        <v>2.9801720375173639E-3</v>
      </c>
      <c r="AH36" s="1">
        <v>2.6424683959264685E-3</v>
      </c>
      <c r="AI36" s="1">
        <v>9.1772687531205561E-3</v>
      </c>
      <c r="AJ36" s="1">
        <v>4.0910278462823243E-3</v>
      </c>
      <c r="AK36" s="1">
        <v>2.4862920501232096E-3</v>
      </c>
      <c r="AL36" s="1">
        <v>3.256562015105401E-3</v>
      </c>
      <c r="AM36" s="1">
        <v>4.5212614325311111E-3</v>
      </c>
      <c r="AN36" s="1">
        <v>2.3442093713698575E-3</v>
      </c>
      <c r="AO36" s="1">
        <v>3.0471648685770287E-3</v>
      </c>
    </row>
    <row r="37" spans="1:41" ht="15">
      <c r="A37" s="17" t="s">
        <v>120</v>
      </c>
      <c r="B37" s="1">
        <v>2.1464609689758095E-3</v>
      </c>
      <c r="C37" s="1">
        <v>1.2478025224451393E-3</v>
      </c>
      <c r="D37" s="1">
        <v>8.668273948011227E-4</v>
      </c>
      <c r="E37" s="1">
        <v>2.3756795012636373E-3</v>
      </c>
      <c r="F37" s="1">
        <v>1.8350977734307924E-3</v>
      </c>
      <c r="G37" s="1">
        <v>2.1018410618305408E-3</v>
      </c>
      <c r="H37" s="1">
        <v>2.6460503621445123E-3</v>
      </c>
      <c r="I37" s="1">
        <v>2.6927147924924607E-3</v>
      </c>
      <c r="J37" s="1">
        <v>2.2728396044145891E-3</v>
      </c>
      <c r="K37" s="1">
        <v>2.4690176414847716E-3</v>
      </c>
      <c r="L37" s="1">
        <v>5.5555409096931746E-4</v>
      </c>
      <c r="M37" s="1">
        <v>9.3087273155169771E-4</v>
      </c>
      <c r="N37" s="1">
        <v>2.4078306532970511E-3</v>
      </c>
      <c r="O37" s="1">
        <v>2.305554962266726E-3</v>
      </c>
      <c r="P37" s="1">
        <v>3.3687380740982176E-3</v>
      </c>
      <c r="Q37" s="1">
        <v>1.4254819618404505E-3</v>
      </c>
      <c r="R37" s="1">
        <v>4.1333079573317201E-3</v>
      </c>
      <c r="S37" s="1">
        <v>1.683797377186471E-3</v>
      </c>
      <c r="T37" s="1">
        <v>2.9676925995620902E-3</v>
      </c>
      <c r="U37" s="1">
        <v>5.7995833494040496E-3</v>
      </c>
      <c r="V37" s="1">
        <v>2.7483934558050994E-3</v>
      </c>
      <c r="W37" s="1">
        <v>2.8439168654722353E-3</v>
      </c>
      <c r="X37" s="1">
        <v>3.1187744307841158E-3</v>
      </c>
      <c r="Y37" s="1">
        <v>4.5958078248239179E-3</v>
      </c>
      <c r="Z37" s="1">
        <v>1.7917818124330914E-3</v>
      </c>
      <c r="AA37" s="1">
        <v>2.7019925261999862E-3</v>
      </c>
      <c r="AB37" s="1">
        <v>1.6621379764737308E-3</v>
      </c>
      <c r="AC37" s="1">
        <v>5.7992888693673729E-3</v>
      </c>
      <c r="AD37" s="1">
        <v>1.2957486955680767E-3</v>
      </c>
      <c r="AE37" s="1">
        <v>2.9242365017427214E-3</v>
      </c>
      <c r="AF37" s="1">
        <v>1.3582078979563325E-3</v>
      </c>
      <c r="AG37" s="1">
        <v>3.3444664229364215E-3</v>
      </c>
      <c r="AH37" s="1">
        <v>2.9654820972043455E-3</v>
      </c>
      <c r="AI37" s="1">
        <v>4.0910278462823243E-3</v>
      </c>
      <c r="AJ37" s="1">
        <v>2.0397344755797461E-2</v>
      </c>
      <c r="AK37" s="1">
        <v>2.7902148515486108E-3</v>
      </c>
      <c r="AL37" s="1">
        <v>3.6546421403253386E-3</v>
      </c>
      <c r="AM37" s="1">
        <v>5.0739376318068088E-3</v>
      </c>
      <c r="AN37" s="1">
        <v>2.6307640740803051E-3</v>
      </c>
      <c r="AO37" s="1">
        <v>3.4196484162025385E-3</v>
      </c>
    </row>
    <row r="38" spans="1:41" ht="15">
      <c r="A38" s="17" t="s">
        <v>123</v>
      </c>
      <c r="B38" s="1">
        <v>1.3044958488644875E-3</v>
      </c>
      <c r="C38" s="1">
        <v>7.5834279507491277E-4</v>
      </c>
      <c r="D38" s="1">
        <v>5.2680796648244411E-4</v>
      </c>
      <c r="E38" s="1">
        <v>1.4438017240581828E-3</v>
      </c>
      <c r="F38" s="1">
        <v>1.1152671594318246E-3</v>
      </c>
      <c r="G38" s="1">
        <v>1.2773784288465984E-3</v>
      </c>
      <c r="H38" s="1">
        <v>1.6081176239374662E-3</v>
      </c>
      <c r="I38" s="1">
        <v>1.6364775878773513E-3</v>
      </c>
      <c r="J38" s="1">
        <v>1.3813015339889229E-3</v>
      </c>
      <c r="K38" s="1">
        <v>1.500527291501088E-3</v>
      </c>
      <c r="L38" s="1">
        <v>3.3763390807658615E-4</v>
      </c>
      <c r="M38" s="1">
        <v>5.657310483077419E-4</v>
      </c>
      <c r="N38" s="1">
        <v>1.4633413499679944E-3</v>
      </c>
      <c r="O38" s="1">
        <v>1.4011840518306485E-3</v>
      </c>
      <c r="P38" s="1">
        <v>2.0473257595127504E-3</v>
      </c>
      <c r="Q38" s="1">
        <v>8.6632616606085165E-4</v>
      </c>
      <c r="R38" s="1">
        <v>2.5119874762924467E-3</v>
      </c>
      <c r="S38" s="1">
        <v>1.0233154576841587E-3</v>
      </c>
      <c r="T38" s="1">
        <v>1.8035933253805353E-3</v>
      </c>
      <c r="U38" s="1">
        <v>3.5246540765430739E-3</v>
      </c>
      <c r="V38" s="1">
        <v>1.6703158855270485E-3</v>
      </c>
      <c r="W38" s="1">
        <v>1.7283695343849725E-3</v>
      </c>
      <c r="X38" s="1">
        <v>1.8954121958452603E-3</v>
      </c>
      <c r="Y38" s="1">
        <v>2.793068365236739E-3</v>
      </c>
      <c r="Z38" s="1">
        <v>1.0889422030837764E-3</v>
      </c>
      <c r="AA38" s="1">
        <v>1.6421160622233869E-3</v>
      </c>
      <c r="AB38" s="1">
        <v>1.0101521163856006E-3</v>
      </c>
      <c r="AC38" s="1">
        <v>3.5244751084691278E-3</v>
      </c>
      <c r="AD38" s="1">
        <v>7.87481728748444E-4</v>
      </c>
      <c r="AE38" s="1">
        <v>1.777183201910988E-3</v>
      </c>
      <c r="AF38" s="1">
        <v>8.2544084909422135E-4</v>
      </c>
      <c r="AG38" s="1">
        <v>2.0325748422385555E-3</v>
      </c>
      <c r="AH38" s="1">
        <v>1.8022499088492024E-3</v>
      </c>
      <c r="AI38" s="1">
        <v>2.4862920501232096E-3</v>
      </c>
      <c r="AJ38" s="1">
        <v>2.7902148515486108E-3</v>
      </c>
      <c r="AK38" s="1">
        <v>6.8820118234713071E-3</v>
      </c>
      <c r="AL38" s="1">
        <v>2.2210818505656038E-3</v>
      </c>
      <c r="AM38" s="1">
        <v>3.0836482348186064E-3</v>
      </c>
      <c r="AN38" s="1">
        <v>1.5988274949239301E-3</v>
      </c>
      <c r="AO38" s="1">
        <v>2.0782661450586596E-3</v>
      </c>
    </row>
    <row r="39" spans="1:41" ht="15">
      <c r="A39" s="17" t="s">
        <v>127</v>
      </c>
      <c r="B39" s="1">
        <v>1.7086374185463229E-3</v>
      </c>
      <c r="C39" s="1">
        <v>9.9328248294380307E-4</v>
      </c>
      <c r="D39" s="1">
        <v>6.9001661040448976E-4</v>
      </c>
      <c r="E39" s="1">
        <v>1.8911011888883148E-3</v>
      </c>
      <c r="F39" s="1">
        <v>1.4607844110349772E-3</v>
      </c>
      <c r="G39" s="1">
        <v>1.6731188397962763E-3</v>
      </c>
      <c r="H39" s="1">
        <v>2.1063232574293858E-3</v>
      </c>
      <c r="I39" s="1">
        <v>2.1434693285483481E-3</v>
      </c>
      <c r="J39" s="1">
        <v>1.809238020437797E-3</v>
      </c>
      <c r="K39" s="1">
        <v>1.9654007178638872E-3</v>
      </c>
      <c r="L39" s="1">
        <v>4.4223515897873358E-4</v>
      </c>
      <c r="M39" s="1">
        <v>7.4099832422882606E-4</v>
      </c>
      <c r="N39" s="1">
        <v>1.9166943220538691E-3</v>
      </c>
      <c r="O39" s="1">
        <v>1.8352802757572435E-3</v>
      </c>
      <c r="P39" s="1">
        <v>2.6816010213464823E-3</v>
      </c>
      <c r="Q39" s="1">
        <v>1.1347198270395687E-3</v>
      </c>
      <c r="R39" s="1">
        <v>3.2902180567681398E-3</v>
      </c>
      <c r="S39" s="1">
        <v>1.340345454911174E-3</v>
      </c>
      <c r="T39" s="1">
        <v>2.3623586432015586E-3</v>
      </c>
      <c r="U39" s="1">
        <v>4.6166155667383352E-3</v>
      </c>
      <c r="V39" s="1">
        <v>2.1877909579306942E-3</v>
      </c>
      <c r="W39" s="1">
        <v>2.2638300168576668E-3</v>
      </c>
      <c r="X39" s="1">
        <v>2.4826236160194093E-3</v>
      </c>
      <c r="Y39" s="1">
        <v>3.6583796917066744E-3</v>
      </c>
      <c r="Z39" s="1">
        <v>1.4263038065186603E-3</v>
      </c>
      <c r="AA39" s="1">
        <v>2.1508546400919124E-3</v>
      </c>
      <c r="AB39" s="1">
        <v>1.3231040221267079E-3</v>
      </c>
      <c r="AC39" s="1">
        <v>4.6163811531538569E-3</v>
      </c>
      <c r="AD39" s="1">
        <v>1.0314488538482971E-3</v>
      </c>
      <c r="AE39" s="1">
        <v>2.3277664862178648E-3</v>
      </c>
      <c r="AF39" s="1">
        <v>1.0811679644567019E-3</v>
      </c>
      <c r="AG39" s="1">
        <v>2.6622801708934048E-3</v>
      </c>
      <c r="AH39" s="1">
        <v>2.3605990272118813E-3</v>
      </c>
      <c r="AI39" s="1">
        <v>3.256562015105401E-3</v>
      </c>
      <c r="AJ39" s="1">
        <v>3.6546421403253386E-3</v>
      </c>
      <c r="AK39" s="1">
        <v>2.2210818505656038E-3</v>
      </c>
      <c r="AL39" s="1">
        <v>6.2923600474747302E-3</v>
      </c>
      <c r="AM39" s="1">
        <v>4.038983155240935E-3</v>
      </c>
      <c r="AN39" s="1">
        <v>2.0941549840926264E-3</v>
      </c>
      <c r="AO39" s="1">
        <v>2.7221269460046618E-3</v>
      </c>
    </row>
    <row r="40" spans="1:41" ht="15">
      <c r="A40" s="17" t="s">
        <v>139</v>
      </c>
      <c r="B40" s="1">
        <v>2.3721938740365049E-3</v>
      </c>
      <c r="C40" s="1">
        <v>1.3790278707765395E-3</v>
      </c>
      <c r="D40" s="1">
        <v>9.5798743397389045E-4</v>
      </c>
      <c r="E40" s="1">
        <v>2.6255182092878825E-3</v>
      </c>
      <c r="F40" s="1">
        <v>2.0280861191096814E-3</v>
      </c>
      <c r="G40" s="1">
        <v>2.3228815073454909E-3</v>
      </c>
      <c r="H40" s="1">
        <v>2.924322664234771E-3</v>
      </c>
      <c r="I40" s="1">
        <v>2.9758945667323158E-3</v>
      </c>
      <c r="J40" s="1">
        <v>2.511863138528192E-3</v>
      </c>
      <c r="K40" s="1">
        <v>2.7286722696909394E-3</v>
      </c>
      <c r="L40" s="1">
        <v>6.1397902423642272E-4</v>
      </c>
      <c r="M40" s="1">
        <v>1.0287681086268341E-3</v>
      </c>
      <c r="N40" s="1">
        <v>2.6610505422765751E-3</v>
      </c>
      <c r="O40" s="1">
        <v>2.5480190121291838E-3</v>
      </c>
      <c r="P40" s="1">
        <v>3.7230119429669385E-3</v>
      </c>
      <c r="Q40" s="1">
        <v>1.5753929963333822E-3</v>
      </c>
      <c r="R40" s="1">
        <v>4.5679879381021948E-3</v>
      </c>
      <c r="S40" s="1">
        <v>1.8608741929215559E-3</v>
      </c>
      <c r="T40" s="1">
        <v>3.2797904580877568E-3</v>
      </c>
      <c r="U40" s="1">
        <v>6.4094974435919732E-3</v>
      </c>
      <c r="V40" s="1">
        <v>3.0374286854206261E-3</v>
      </c>
      <c r="W40" s="1">
        <v>3.1429978294743297E-3</v>
      </c>
      <c r="X40" s="1">
        <v>3.4467608338286755E-3</v>
      </c>
      <c r="Y40" s="1">
        <v>5.0791266768285687E-3</v>
      </c>
      <c r="Z40" s="1">
        <v>1.980214828267724E-3</v>
      </c>
      <c r="AA40" s="1">
        <v>2.9861479947629384E-3</v>
      </c>
      <c r="AB40" s="1">
        <v>1.836936977929671E-3</v>
      </c>
      <c r="AC40" s="1">
        <v>6.4091719945159704E-3</v>
      </c>
      <c r="AD40" s="1">
        <v>1.4320163107293964E-3</v>
      </c>
      <c r="AE40" s="1">
        <v>3.2317642929132625E-3</v>
      </c>
      <c r="AF40" s="1">
        <v>1.5010440449505892E-3</v>
      </c>
      <c r="AG40" s="1">
        <v>3.6961877597970773E-3</v>
      </c>
      <c r="AH40" s="1">
        <v>3.2773474879022389E-3</v>
      </c>
      <c r="AI40" s="1">
        <v>4.5212614325311111E-3</v>
      </c>
      <c r="AJ40" s="1">
        <v>5.0739376318068088E-3</v>
      </c>
      <c r="AK40" s="1">
        <v>3.0836482348186064E-3</v>
      </c>
      <c r="AL40" s="1">
        <v>4.038983155240935E-3</v>
      </c>
      <c r="AM40" s="1">
        <v>2.8854344169878747E-2</v>
      </c>
      <c r="AN40" s="1">
        <v>2.9074287912844643E-3</v>
      </c>
      <c r="AO40" s="1">
        <v>3.7792762791978448E-3</v>
      </c>
    </row>
    <row r="41" spans="1:41" ht="15">
      <c r="A41" s="17" t="s">
        <v>140</v>
      </c>
      <c r="B41" s="1">
        <v>1.2299485869609193E-3</v>
      </c>
      <c r="C41" s="1">
        <v>7.1500622255431581E-4</v>
      </c>
      <c r="D41" s="1">
        <v>4.9670277949818683E-4</v>
      </c>
      <c r="E41" s="1">
        <v>1.3612936307178492E-3</v>
      </c>
      <c r="F41" s="1">
        <v>1.0515336388545204E-3</v>
      </c>
      <c r="G41" s="1">
        <v>1.2043808302968711E-3</v>
      </c>
      <c r="H41" s="1">
        <v>1.5162194658959809E-3</v>
      </c>
      <c r="I41" s="1">
        <v>1.5429587595506807E-3</v>
      </c>
      <c r="J41" s="1">
        <v>1.3023651024842108E-3</v>
      </c>
      <c r="K41" s="1">
        <v>1.4147775353095652E-3</v>
      </c>
      <c r="L41" s="1">
        <v>3.1833934045123128E-4</v>
      </c>
      <c r="M41" s="1">
        <v>5.3340154671378283E-4</v>
      </c>
      <c r="N41" s="1">
        <v>1.3797166370451116E-3</v>
      </c>
      <c r="O41" s="1">
        <v>1.3211114056985464E-3</v>
      </c>
      <c r="P41" s="1">
        <v>1.9303284308288986E-3</v>
      </c>
      <c r="Q41" s="1">
        <v>8.1681873094599955E-4</v>
      </c>
      <c r="R41" s="1">
        <v>2.3684363960366833E-3</v>
      </c>
      <c r="S41" s="1">
        <v>9.6483664726835377E-4</v>
      </c>
      <c r="T41" s="1">
        <v>1.7005244316682967E-3</v>
      </c>
      <c r="U41" s="1">
        <v>3.3232327299038706E-3</v>
      </c>
      <c r="V41" s="1">
        <v>1.5748633197803174E-3</v>
      </c>
      <c r="W41" s="1">
        <v>1.6295994106945832E-3</v>
      </c>
      <c r="X41" s="1">
        <v>1.7870961828032196E-3</v>
      </c>
      <c r="Y41" s="1">
        <v>2.633454519689344E-3</v>
      </c>
      <c r="Z41" s="1">
        <v>1.0267130594021029E-3</v>
      </c>
      <c r="AA41" s="1">
        <v>1.5482750152984921E-3</v>
      </c>
      <c r="AB41" s="1">
        <v>9.5242554374208458E-4</v>
      </c>
      <c r="AC41" s="1">
        <v>3.3230639892138539E-3</v>
      </c>
      <c r="AD41" s="1">
        <v>7.4247997061453741E-4</v>
      </c>
      <c r="AE41" s="1">
        <v>1.6756235520900991E-3</v>
      </c>
      <c r="AF41" s="1">
        <v>7.782698632939262E-4</v>
      </c>
      <c r="AG41" s="1">
        <v>1.9164204756034636E-3</v>
      </c>
      <c r="AH41" s="1">
        <v>1.6992577865763624E-3</v>
      </c>
      <c r="AI41" s="1">
        <v>2.3442093713698575E-3</v>
      </c>
      <c r="AJ41" s="1">
        <v>2.6307640740803051E-3</v>
      </c>
      <c r="AK41" s="1">
        <v>1.5988274949239301E-3</v>
      </c>
      <c r="AL41" s="1">
        <v>2.0941549840926264E-3</v>
      </c>
      <c r="AM41" s="1">
        <v>2.9074287912844643E-3</v>
      </c>
      <c r="AN41" s="1">
        <v>5.6007421868388913E-3</v>
      </c>
      <c r="AO41" s="1">
        <v>1.9595006842441491E-3</v>
      </c>
    </row>
    <row r="42" spans="1:41" ht="15">
      <c r="A42" s="17" t="s">
        <v>142</v>
      </c>
      <c r="B42" s="1">
        <v>1.598771922899183E-3</v>
      </c>
      <c r="C42" s="1">
        <v>9.2941435555660905E-4</v>
      </c>
      <c r="D42" s="1">
        <v>6.4564849808060906E-4</v>
      </c>
      <c r="E42" s="1">
        <v>1.7695032611004084E-3</v>
      </c>
      <c r="F42" s="1">
        <v>1.3668558796742893E-3</v>
      </c>
      <c r="G42" s="1">
        <v>1.5655371910418116E-3</v>
      </c>
      <c r="H42" s="1">
        <v>1.9708865368245781E-3</v>
      </c>
      <c r="I42" s="1">
        <v>2.0056441131871164E-3</v>
      </c>
      <c r="J42" s="1">
        <v>1.6929038996340042E-3</v>
      </c>
      <c r="K42" s="1">
        <v>1.8390253255954271E-3</v>
      </c>
      <c r="L42" s="1">
        <v>4.1379940988041012E-4</v>
      </c>
      <c r="M42" s="1">
        <v>6.9335208443480208E-4</v>
      </c>
      <c r="N42" s="1">
        <v>1.7934507541612359E-3</v>
      </c>
      <c r="O42" s="1">
        <v>1.7172716362654106E-3</v>
      </c>
      <c r="P42" s="1">
        <v>2.5091739036091441E-3</v>
      </c>
      <c r="Q42" s="1">
        <v>1.0617572693516987E-3</v>
      </c>
      <c r="R42" s="1">
        <v>3.0786568246013155E-3</v>
      </c>
      <c r="S42" s="1">
        <v>1.2541611561572047E-3</v>
      </c>
      <c r="T42" s="1">
        <v>2.210458830863106E-3</v>
      </c>
      <c r="U42" s="1">
        <v>4.3197668895722154E-3</v>
      </c>
      <c r="V42" s="1">
        <v>2.0471158589562828E-3</v>
      </c>
      <c r="W42" s="1">
        <v>2.1182656015152099E-3</v>
      </c>
      <c r="X42" s="1">
        <v>2.322990758211975E-3</v>
      </c>
      <c r="Y42" s="1">
        <v>3.4231456427902345E-3</v>
      </c>
      <c r="Z42" s="1">
        <v>1.3345923802408172E-3</v>
      </c>
      <c r="AA42" s="1">
        <v>2.0125545487245512E-3</v>
      </c>
      <c r="AB42" s="1">
        <v>1.238028348607075E-3</v>
      </c>
      <c r="AC42" s="1">
        <v>4.3195475487962601E-3</v>
      </c>
      <c r="AD42" s="1">
        <v>9.6512662636300147E-4</v>
      </c>
      <c r="AE42" s="1">
        <v>2.1780909517930677E-3</v>
      </c>
      <c r="AF42" s="1">
        <v>1.0116487949690621E-3</v>
      </c>
      <c r="AG42" s="1">
        <v>2.4910953850799211E-3</v>
      </c>
      <c r="AH42" s="1">
        <v>2.208812358294471E-3</v>
      </c>
      <c r="AI42" s="1">
        <v>3.0471648685770287E-3</v>
      </c>
      <c r="AJ42" s="1">
        <v>3.4196484162025385E-3</v>
      </c>
      <c r="AK42" s="1">
        <v>2.0782661450586596E-3</v>
      </c>
      <c r="AL42" s="1">
        <v>2.7221269460046618E-3</v>
      </c>
      <c r="AM42" s="1">
        <v>3.7792762791978448E-3</v>
      </c>
      <c r="AN42" s="1">
        <v>1.9595006842441491E-3</v>
      </c>
      <c r="AO42" s="1">
        <v>9.6333735259504227E-3</v>
      </c>
    </row>
  </sheetData>
  <phoneticPr fontId="19" type="noConversion"/>
  <conditionalFormatting sqref="A3:A42">
    <cfRule type="duplicateValues" dxfId="40" priority="5"/>
  </conditionalFormatting>
  <conditionalFormatting sqref="A3:A42">
    <cfRule type="duplicateValues" dxfId="39" priority="4"/>
  </conditionalFormatting>
  <conditionalFormatting sqref="A3:A42">
    <cfRule type="duplicateValues" dxfId="38" priority="6"/>
  </conditionalFormatting>
  <conditionalFormatting sqref="B2:AO2">
    <cfRule type="duplicateValues" dxfId="37" priority="2"/>
  </conditionalFormatting>
  <conditionalFormatting sqref="B2:AO2">
    <cfRule type="duplicateValues" dxfId="36" priority="1"/>
  </conditionalFormatting>
  <conditionalFormatting sqref="B2:AO2">
    <cfRule type="duplicateValues" dxfId="35" priority="3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O44"/>
  <sheetViews>
    <sheetView topLeftCell="J1" zoomScale="50" workbookViewId="0">
      <selection activeCell="L29" sqref="L29"/>
    </sheetView>
  </sheetViews>
  <sheetFormatPr defaultColWidth="11" defaultRowHeight="14.25"/>
  <cols>
    <col min="2" max="41" width="11.625" bestFit="1" customWidth="1"/>
  </cols>
  <sheetData>
    <row r="1" spans="1:41" ht="27">
      <c r="A1" s="2" t="s">
        <v>7</v>
      </c>
    </row>
    <row r="2" spans="1:41" ht="12.95" customHeight="1">
      <c r="A2" s="2"/>
    </row>
    <row r="3" spans="1:41" ht="15">
      <c r="A3" s="20" t="s">
        <v>145</v>
      </c>
      <c r="B3" s="1">
        <f>'Correlation Matrix(Selected)'!B91</f>
        <v>0.22992159010926555</v>
      </c>
    </row>
    <row r="4" spans="1:41" ht="15">
      <c r="B4" s="17" t="s">
        <v>15</v>
      </c>
      <c r="C4" s="17" t="s">
        <v>19</v>
      </c>
      <c r="D4" s="17" t="s">
        <v>17</v>
      </c>
      <c r="E4" s="17" t="s">
        <v>18</v>
      </c>
      <c r="F4" s="17" t="s">
        <v>20</v>
      </c>
      <c r="G4" s="17" t="s">
        <v>22</v>
      </c>
      <c r="H4" s="17" t="s">
        <v>23</v>
      </c>
      <c r="I4" s="17" t="s">
        <v>24</v>
      </c>
      <c r="J4" s="17" t="s">
        <v>29</v>
      </c>
      <c r="K4" s="17" t="s">
        <v>30</v>
      </c>
      <c r="L4" s="17" t="s">
        <v>32</v>
      </c>
      <c r="M4" s="17" t="s">
        <v>41</v>
      </c>
      <c r="N4" s="17" t="s">
        <v>43</v>
      </c>
      <c r="O4" s="17" t="s">
        <v>45</v>
      </c>
      <c r="P4" s="17" t="s">
        <v>47</v>
      </c>
      <c r="Q4" s="17" t="s">
        <v>50</v>
      </c>
      <c r="R4" s="17" t="s">
        <v>52</v>
      </c>
      <c r="S4" s="17" t="s">
        <v>53</v>
      </c>
      <c r="T4" s="17" t="s">
        <v>54</v>
      </c>
      <c r="U4" s="17" t="s">
        <v>57</v>
      </c>
      <c r="V4" s="17" t="s">
        <v>62</v>
      </c>
      <c r="W4" s="17" t="s">
        <v>66</v>
      </c>
      <c r="X4" s="17" t="s">
        <v>70</v>
      </c>
      <c r="Y4" s="17" t="s">
        <v>74</v>
      </c>
      <c r="Z4" s="17" t="s">
        <v>76</v>
      </c>
      <c r="AA4" s="17" t="s">
        <v>79</v>
      </c>
      <c r="AB4" s="17" t="s">
        <v>87</v>
      </c>
      <c r="AC4" s="17" t="s">
        <v>88</v>
      </c>
      <c r="AD4" s="17" t="s">
        <v>91</v>
      </c>
      <c r="AE4" s="17" t="s">
        <v>94</v>
      </c>
      <c r="AF4" s="17" t="s">
        <v>95</v>
      </c>
      <c r="AG4" s="17" t="s">
        <v>102</v>
      </c>
      <c r="AH4" s="17" t="s">
        <v>110</v>
      </c>
      <c r="AI4" s="17" t="s">
        <v>114</v>
      </c>
      <c r="AJ4" s="17" t="s">
        <v>120</v>
      </c>
      <c r="AK4" s="17" t="s">
        <v>123</v>
      </c>
      <c r="AL4" s="17" t="s">
        <v>127</v>
      </c>
      <c r="AM4" s="17" t="s">
        <v>139</v>
      </c>
      <c r="AN4" s="17" t="s">
        <v>140</v>
      </c>
      <c r="AO4" s="17" t="s">
        <v>142</v>
      </c>
    </row>
    <row r="5" spans="1:41" ht="15">
      <c r="A5" s="17" t="s">
        <v>15</v>
      </c>
      <c r="B5" s="1">
        <f t="array" ref="B5:AO44">constantcorr(Data!B132:AO189,'Constant Correlation Model'!B3)</f>
        <v>2.399561424498947E-3</v>
      </c>
      <c r="C5" s="1">
        <v>5.6583504419352112E-4</v>
      </c>
      <c r="D5" s="1">
        <v>7.8171225111672773E-4</v>
      </c>
      <c r="E5" s="1">
        <v>9.4314602328165347E-4</v>
      </c>
      <c r="F5" s="1">
        <v>7.3277811723726223E-4</v>
      </c>
      <c r="G5" s="1">
        <v>6.4604482961500465E-4</v>
      </c>
      <c r="H5" s="1">
        <v>1.0663472990832424E-3</v>
      </c>
      <c r="I5" s="1">
        <v>8.3324443114140688E-4</v>
      </c>
      <c r="J5" s="1">
        <v>6.7616841648472474E-4</v>
      </c>
      <c r="K5" s="1">
        <v>9.0436215958723863E-4</v>
      </c>
      <c r="L5" s="1">
        <v>1.0658272618544952E-3</v>
      </c>
      <c r="M5" s="1">
        <v>7.8289708446431581E-4</v>
      </c>
      <c r="N5" s="1">
        <v>5.4129683993457711E-4</v>
      </c>
      <c r="O5" s="1">
        <v>6.2921432961700015E-4</v>
      </c>
      <c r="P5" s="1">
        <v>1.0900333265318452E-3</v>
      </c>
      <c r="Q5" s="1">
        <v>1.5077330681076361E-3</v>
      </c>
      <c r="R5" s="1">
        <v>1.3467577578105633E-3</v>
      </c>
      <c r="S5" s="1">
        <v>8.3024940707202726E-4</v>
      </c>
      <c r="T5" s="1">
        <v>8.0558817941239725E-4</v>
      </c>
      <c r="U5" s="1">
        <v>1.7450447703635896E-3</v>
      </c>
      <c r="V5" s="1">
        <v>9.2414464396923905E-4</v>
      </c>
      <c r="W5" s="1">
        <v>8.4957511455986017E-4</v>
      </c>
      <c r="X5" s="1">
        <v>9.2409625721240633E-4</v>
      </c>
      <c r="Y5" s="1">
        <v>1.7880221046026018E-3</v>
      </c>
      <c r="Z5" s="1">
        <v>5.5227433704555635E-4</v>
      </c>
      <c r="AA5" s="1">
        <v>7.5674128599631085E-4</v>
      </c>
      <c r="AB5" s="1">
        <v>8.9067039898342104E-4</v>
      </c>
      <c r="AC5" s="1">
        <v>2.0179496632048515E-3</v>
      </c>
      <c r="AD5" s="1">
        <v>4.9402026845792512E-4</v>
      </c>
      <c r="AE5" s="1">
        <v>8.5596117484486431E-4</v>
      </c>
      <c r="AF5" s="1">
        <v>5.5613601307457716E-4</v>
      </c>
      <c r="AG5" s="1">
        <v>1.1110737311760611E-3</v>
      </c>
      <c r="AH5" s="1">
        <v>1.408518923957618E-3</v>
      </c>
      <c r="AI5" s="1">
        <v>1.0789527223449133E-3</v>
      </c>
      <c r="AJ5" s="1">
        <v>1.6085423823744799E-3</v>
      </c>
      <c r="AK5" s="1">
        <v>9.3433667719379292E-4</v>
      </c>
      <c r="AL5" s="1">
        <v>8.9341342169567287E-4</v>
      </c>
      <c r="AM5" s="1">
        <v>1.9131600079784136E-3</v>
      </c>
      <c r="AN5" s="1">
        <v>8.4288530232961071E-4</v>
      </c>
      <c r="AO5" s="1">
        <v>1.1054392740186608E-3</v>
      </c>
    </row>
    <row r="6" spans="1:41" ht="15">
      <c r="A6" s="17" t="s">
        <v>19</v>
      </c>
      <c r="B6" s="1">
        <v>5.6583504419352112E-4</v>
      </c>
      <c r="C6" s="1">
        <v>2.5239939089386305E-3</v>
      </c>
      <c r="D6" s="1">
        <v>8.0172446002739516E-4</v>
      </c>
      <c r="E6" s="1">
        <v>9.6729101426038563E-4</v>
      </c>
      <c r="F6" s="1">
        <v>7.5153758882846291E-4</v>
      </c>
      <c r="G6" s="1">
        <v>6.6258388740441819E-4</v>
      </c>
      <c r="H6" s="1">
        <v>1.093646301868595E-3</v>
      </c>
      <c r="I6" s="1">
        <v>8.5457588860012111E-4</v>
      </c>
      <c r="J6" s="1">
        <v>6.9347865255964464E-4</v>
      </c>
      <c r="K6" s="1">
        <v>9.2751426503615247E-4</v>
      </c>
      <c r="L6" s="1">
        <v>1.0931129514371342E-3</v>
      </c>
      <c r="M6" s="1">
        <v>8.029396256774928E-4</v>
      </c>
      <c r="N6" s="1">
        <v>5.551542989010701E-4</v>
      </c>
      <c r="O6" s="1">
        <v>6.4532251852652872E-4</v>
      </c>
      <c r="P6" s="1">
        <v>1.1179387029909994E-3</v>
      </c>
      <c r="Q6" s="1">
        <v>1.5463317584791731E-3</v>
      </c>
      <c r="R6" s="1">
        <v>1.3812354029579495E-3</v>
      </c>
      <c r="S6" s="1">
        <v>8.5150419047672304E-4</v>
      </c>
      <c r="T6" s="1">
        <v>8.2621162354971813E-4</v>
      </c>
      <c r="U6" s="1">
        <v>1.7897187542407712E-3</v>
      </c>
      <c r="V6" s="1">
        <v>9.4780319051544803E-4</v>
      </c>
      <c r="W6" s="1">
        <v>8.7132464535407241E-4</v>
      </c>
      <c r="X6" s="1">
        <v>9.4775356503441104E-4</v>
      </c>
      <c r="Y6" s="1">
        <v>1.8337963288687321E-3</v>
      </c>
      <c r="Z6" s="1">
        <v>5.6641282520813443E-4</v>
      </c>
      <c r="AA6" s="1">
        <v>7.761142262119095E-4</v>
      </c>
      <c r="AB6" s="1">
        <v>9.1347198878777758E-4</v>
      </c>
      <c r="AC6" s="1">
        <v>2.0696101433541341E-3</v>
      </c>
      <c r="AD6" s="1">
        <v>5.0666742449822079E-4</v>
      </c>
      <c r="AE6" s="1">
        <v>8.7787419184817337E-4</v>
      </c>
      <c r="AF6" s="1">
        <v>5.7037336199739993E-4</v>
      </c>
      <c r="AG6" s="1">
        <v>1.1395177520951217E-3</v>
      </c>
      <c r="AH6" s="1">
        <v>1.444577684608485E-3</v>
      </c>
      <c r="AI6" s="1">
        <v>1.1065744300173387E-3</v>
      </c>
      <c r="AJ6" s="1">
        <v>1.6497218395874823E-3</v>
      </c>
      <c r="AK6" s="1">
        <v>9.5825614468351126E-4</v>
      </c>
      <c r="AL6" s="1">
        <v>9.1628523419832531E-4</v>
      </c>
      <c r="AM6" s="1">
        <v>1.9621378226467954E-3</v>
      </c>
      <c r="AN6" s="1">
        <v>8.6446357071910348E-4</v>
      </c>
      <c r="AO6" s="1">
        <v>1.1337390501295185E-3</v>
      </c>
    </row>
    <row r="7" spans="1:41" ht="15">
      <c r="A7" s="17" t="s">
        <v>17</v>
      </c>
      <c r="B7" s="1">
        <v>7.8171225111672762E-4</v>
      </c>
      <c r="C7" s="1">
        <v>8.0172446002739516E-4</v>
      </c>
      <c r="D7" s="1">
        <v>4.8172862830021135E-3</v>
      </c>
      <c r="E7" s="1">
        <v>1.3363315757867064E-3</v>
      </c>
      <c r="F7" s="1">
        <v>1.0382639717892929E-3</v>
      </c>
      <c r="G7" s="1">
        <v>9.1537268235976593E-4</v>
      </c>
      <c r="H7" s="1">
        <v>1.5108938927204266E-3</v>
      </c>
      <c r="I7" s="1">
        <v>1.1806134110689773E-3</v>
      </c>
      <c r="J7" s="1">
        <v>9.5805440853605217E-4</v>
      </c>
      <c r="K7" s="1">
        <v>1.2813792137913501E-3</v>
      </c>
      <c r="L7" s="1">
        <v>1.5101570586012077E-3</v>
      </c>
      <c r="M7" s="1">
        <v>1.1092768974636132E-3</v>
      </c>
      <c r="N7" s="1">
        <v>7.6695659126171391E-4</v>
      </c>
      <c r="O7" s="1">
        <v>8.9152576149235442E-4</v>
      </c>
      <c r="P7" s="1">
        <v>1.5444543230283283E-3</v>
      </c>
      <c r="Q7" s="1">
        <v>2.1362877614215523E-3</v>
      </c>
      <c r="R7" s="1">
        <v>1.9082038966096654E-3</v>
      </c>
      <c r="S7" s="1">
        <v>1.1763697996500083E-3</v>
      </c>
      <c r="T7" s="1">
        <v>1.1414276205963768E-3</v>
      </c>
      <c r="U7" s="1">
        <v>2.4725316867523169E-3</v>
      </c>
      <c r="V7" s="1">
        <v>1.3094087636962429E-3</v>
      </c>
      <c r="W7" s="1">
        <v>1.2037521481972136E-3</v>
      </c>
      <c r="X7" s="1">
        <v>1.3093402051173918E-3</v>
      </c>
      <c r="Y7" s="1">
        <v>2.5334257236978349E-3</v>
      </c>
      <c r="Z7" s="1">
        <v>7.8251046696111673E-4</v>
      </c>
      <c r="AA7" s="1">
        <v>1.0722170800865638E-3</v>
      </c>
      <c r="AB7" s="1">
        <v>1.2619795327543342E-3</v>
      </c>
      <c r="AC7" s="1">
        <v>2.8592071500294996E-3</v>
      </c>
      <c r="AD7" s="1">
        <v>6.9997101988713097E-4</v>
      </c>
      <c r="AE7" s="1">
        <v>1.2128004755962254E-3</v>
      </c>
      <c r="AF7" s="1">
        <v>7.8798202649235801E-4</v>
      </c>
      <c r="AG7" s="1">
        <v>1.5742662041149521E-3</v>
      </c>
      <c r="AH7" s="1">
        <v>1.9957125055020037E-3</v>
      </c>
      <c r="AI7" s="1">
        <v>1.5287543562275674E-3</v>
      </c>
      <c r="AJ7" s="1">
        <v>2.2791231935420761E-3</v>
      </c>
      <c r="AK7" s="1">
        <v>1.3238497256292091E-3</v>
      </c>
      <c r="AL7" s="1">
        <v>1.2658660866632697E-3</v>
      </c>
      <c r="AM7" s="1">
        <v>2.7107320235505187E-3</v>
      </c>
      <c r="AN7" s="1">
        <v>1.1942734385396562E-3</v>
      </c>
      <c r="AO7" s="1">
        <v>1.5662828136049094E-3</v>
      </c>
    </row>
    <row r="8" spans="1:41" ht="15">
      <c r="A8" s="17" t="s">
        <v>18</v>
      </c>
      <c r="B8" s="1">
        <v>9.4314602328165347E-4</v>
      </c>
      <c r="C8" s="1">
        <v>9.6729101426038552E-4</v>
      </c>
      <c r="D8" s="1">
        <v>1.3363315757867064E-3</v>
      </c>
      <c r="E8" s="1">
        <v>7.0123970050019815E-3</v>
      </c>
      <c r="F8" s="1">
        <v>1.2526790193076612E-3</v>
      </c>
      <c r="G8" s="1">
        <v>1.1044090763000698E-3</v>
      </c>
      <c r="H8" s="1">
        <v>1.8229131812685677E-3</v>
      </c>
      <c r="I8" s="1">
        <v>1.4244254738134123E-3</v>
      </c>
      <c r="J8" s="1">
        <v>1.1559051354349417E-3</v>
      </c>
      <c r="K8" s="1">
        <v>1.5460007286269618E-3</v>
      </c>
      <c r="L8" s="1">
        <v>1.8220241812965617E-3</v>
      </c>
      <c r="M8" s="1">
        <v>1.3383570400315934E-3</v>
      </c>
      <c r="N8" s="1">
        <v>9.2534312727577414E-4</v>
      </c>
      <c r="O8" s="1">
        <v>1.0756374553468591E-3</v>
      </c>
      <c r="P8" s="1">
        <v>1.8634042780107526E-3</v>
      </c>
      <c r="Q8" s="1">
        <v>2.5774590380177398E-3</v>
      </c>
      <c r="R8" s="1">
        <v>2.3022728812641092E-3</v>
      </c>
      <c r="S8" s="1">
        <v>1.4193055013063478E-3</v>
      </c>
      <c r="T8" s="1">
        <v>1.37714730668659E-3</v>
      </c>
      <c r="U8" s="1">
        <v>2.9831417180259997E-3</v>
      </c>
      <c r="V8" s="1">
        <v>1.579818746048857E-3</v>
      </c>
      <c r="W8" s="1">
        <v>1.4523426618516958E-3</v>
      </c>
      <c r="X8" s="1">
        <v>1.579736029229576E-3</v>
      </c>
      <c r="Y8" s="1">
        <v>3.0566111675640949E-3</v>
      </c>
      <c r="Z8" s="1">
        <v>9.4410908110539936E-4</v>
      </c>
      <c r="AA8" s="1">
        <v>1.2936438871639286E-3</v>
      </c>
      <c r="AB8" s="1">
        <v>1.5225947605141991E-3</v>
      </c>
      <c r="AC8" s="1">
        <v>3.4496707061152615E-3</v>
      </c>
      <c r="AD8" s="1">
        <v>8.4452416202489766E-4</v>
      </c>
      <c r="AE8" s="1">
        <v>1.4632595868346895E-3</v>
      </c>
      <c r="AF8" s="1">
        <v>9.5071058902044983E-4</v>
      </c>
      <c r="AG8" s="1">
        <v>1.8993727012422269E-3</v>
      </c>
      <c r="AH8" s="1">
        <v>2.4078531588685777E-3</v>
      </c>
      <c r="AI8" s="1">
        <v>1.8444620633625388E-3</v>
      </c>
      <c r="AJ8" s="1">
        <v>2.7497918492225535E-3</v>
      </c>
      <c r="AK8" s="1">
        <v>1.5972419549086154E-3</v>
      </c>
      <c r="AL8" s="1">
        <v>1.527283938479935E-3</v>
      </c>
      <c r="AM8" s="1">
        <v>3.2705335301341462E-3</v>
      </c>
      <c r="AN8" s="1">
        <v>1.4409064750622533E-3</v>
      </c>
      <c r="AO8" s="1">
        <v>1.8897406365008915E-3</v>
      </c>
    </row>
    <row r="9" spans="1:41" ht="15">
      <c r="A9" s="17" t="s">
        <v>20</v>
      </c>
      <c r="B9" s="1">
        <v>7.3277811723726233E-4</v>
      </c>
      <c r="C9" s="1">
        <v>7.5153758882846281E-4</v>
      </c>
      <c r="D9" s="1">
        <v>1.0382639717892931E-3</v>
      </c>
      <c r="E9" s="1">
        <v>1.2526790193076612E-3</v>
      </c>
      <c r="F9" s="1">
        <v>4.233051995389669E-3</v>
      </c>
      <c r="G9" s="1">
        <v>8.5807158553774683E-4</v>
      </c>
      <c r="H9" s="1">
        <v>1.4163139703533049E-3</v>
      </c>
      <c r="I9" s="1">
        <v>1.1067086019341454E-3</v>
      </c>
      <c r="J9" s="1">
        <v>8.980814931517253E-4</v>
      </c>
      <c r="K9" s="1">
        <v>1.2011666011471779E-3</v>
      </c>
      <c r="L9" s="1">
        <v>1.4156232610573641E-3</v>
      </c>
      <c r="M9" s="1">
        <v>1.0398376579834365E-3</v>
      </c>
      <c r="N9" s="1">
        <v>7.1894614181190102E-4</v>
      </c>
      <c r="O9" s="1">
        <v>8.3571744979257421E-4</v>
      </c>
      <c r="P9" s="1">
        <v>1.4477735629330104E-3</v>
      </c>
      <c r="Q9" s="1">
        <v>2.0025590253385153E-3</v>
      </c>
      <c r="R9" s="1">
        <v>1.7887529032132837E-3</v>
      </c>
      <c r="S9" s="1">
        <v>1.1027306348734573E-3</v>
      </c>
      <c r="T9" s="1">
        <v>1.0699757891581584E-3</v>
      </c>
      <c r="U9" s="1">
        <v>2.317754533895989E-3</v>
      </c>
      <c r="V9" s="1">
        <v>1.227441538986483E-3</v>
      </c>
      <c r="W9" s="1">
        <v>1.1283988852882245E-3</v>
      </c>
      <c r="X9" s="1">
        <v>1.2273772720823128E-3</v>
      </c>
      <c r="Y9" s="1">
        <v>2.3748366861587526E-3</v>
      </c>
      <c r="Z9" s="1">
        <v>7.3352636584506493E-4</v>
      </c>
      <c r="AA9" s="1">
        <v>1.0050977352511062E-3</v>
      </c>
      <c r="AB9" s="1">
        <v>1.1829813140098713E-3</v>
      </c>
      <c r="AC9" s="1">
        <v>2.6802246340604926E-3</v>
      </c>
      <c r="AD9" s="1">
        <v>6.5615377696945777E-4</v>
      </c>
      <c r="AE9" s="1">
        <v>1.1368807995810121E-3</v>
      </c>
      <c r="AF9" s="1">
        <v>7.3865541312035949E-4</v>
      </c>
      <c r="AG9" s="1">
        <v>1.4757192604230392E-3</v>
      </c>
      <c r="AH9" s="1">
        <v>1.8707835910713462E-3</v>
      </c>
      <c r="AI9" s="1">
        <v>1.4330563929046349E-3</v>
      </c>
      <c r="AJ9" s="1">
        <v>2.1364531518211502E-3</v>
      </c>
      <c r="AK9" s="1">
        <v>1.2409785161557889E-3</v>
      </c>
      <c r="AL9" s="1">
        <v>1.1866245748796637E-3</v>
      </c>
      <c r="AM9" s="1">
        <v>2.5410438504890379E-3</v>
      </c>
      <c r="AN9" s="1">
        <v>1.1195135300865106E-3</v>
      </c>
      <c r="AO9" s="1">
        <v>1.4682356194045418E-3</v>
      </c>
    </row>
    <row r="10" spans="1:41" ht="15">
      <c r="A10" s="17" t="s">
        <v>22</v>
      </c>
      <c r="B10" s="1">
        <v>6.4604482961500465E-4</v>
      </c>
      <c r="C10" s="1">
        <v>6.6258388740441808E-4</v>
      </c>
      <c r="D10" s="1">
        <v>9.1537268235976593E-4</v>
      </c>
      <c r="E10" s="1">
        <v>1.1044090763000698E-3</v>
      </c>
      <c r="F10" s="1">
        <v>8.5807158553774683E-4</v>
      </c>
      <c r="G10" s="1">
        <v>3.2902881245795187E-3</v>
      </c>
      <c r="H10" s="1">
        <v>1.2486758216907669E-3</v>
      </c>
      <c r="I10" s="1">
        <v>9.7571605012667739E-4</v>
      </c>
      <c r="J10" s="1">
        <v>7.9178252130547068E-4</v>
      </c>
      <c r="K10" s="1">
        <v>1.0589937853262934E-3</v>
      </c>
      <c r="L10" s="1">
        <v>1.2480668663209041E-3</v>
      </c>
      <c r="M10" s="1">
        <v>9.1676010347025978E-4</v>
      </c>
      <c r="N10" s="1">
        <v>6.3385003831773249E-4</v>
      </c>
      <c r="O10" s="1">
        <v>7.3680002821742961E-4</v>
      </c>
      <c r="P10" s="1">
        <v>1.276411785210721E-3</v>
      </c>
      <c r="Q10" s="1">
        <v>1.765531576183677E-3</v>
      </c>
      <c r="R10" s="1">
        <v>1.5770320338395157E-3</v>
      </c>
      <c r="S10" s="1">
        <v>9.7220892431125927E-4</v>
      </c>
      <c r="T10" s="1">
        <v>9.4333101676812991E-4</v>
      </c>
      <c r="U10" s="1">
        <v>2.0434198261619378E-3</v>
      </c>
      <c r="V10" s="1">
        <v>1.0821587616543769E-3</v>
      </c>
      <c r="W10" s="1">
        <v>9.948390221207362E-4</v>
      </c>
      <c r="X10" s="1">
        <v>1.0821021015274192E-3</v>
      </c>
      <c r="Y10" s="1">
        <v>2.0937456048187729E-3</v>
      </c>
      <c r="Z10" s="1">
        <v>6.4670451381267156E-4</v>
      </c>
      <c r="AA10" s="1">
        <v>8.8613207714891722E-4</v>
      </c>
      <c r="AB10" s="1">
        <v>1.0429609502105074E-3</v>
      </c>
      <c r="AC10" s="1">
        <v>2.3629871393674564E-3</v>
      </c>
      <c r="AD10" s="1">
        <v>5.7848992085311041E-4</v>
      </c>
      <c r="AE10" s="1">
        <v>1.0023169977114276E-3</v>
      </c>
      <c r="AF10" s="1">
        <v>6.512264753657102E-4</v>
      </c>
      <c r="AG10" s="1">
        <v>1.3010497662703715E-3</v>
      </c>
      <c r="AH10" s="1">
        <v>1.6493533825722923E-3</v>
      </c>
      <c r="AI10" s="1">
        <v>1.2634365729606008E-3</v>
      </c>
      <c r="AJ10" s="1">
        <v>1.8835776887723746E-3</v>
      </c>
      <c r="AK10" s="1">
        <v>1.0940934713613462E-3</v>
      </c>
      <c r="AL10" s="1">
        <v>1.0461729864224265E-3</v>
      </c>
      <c r="AM10" s="1">
        <v>2.2402801104688445E-3</v>
      </c>
      <c r="AN10" s="1">
        <v>9.8700535780635616E-4</v>
      </c>
      <c r="AO10" s="1">
        <v>1.2944519060546172E-3</v>
      </c>
    </row>
    <row r="11" spans="1:41" ht="15">
      <c r="A11" s="17" t="s">
        <v>23</v>
      </c>
      <c r="B11" s="1">
        <v>1.0663472990832424E-3</v>
      </c>
      <c r="C11" s="1">
        <v>1.093646301868595E-3</v>
      </c>
      <c r="D11" s="1">
        <v>1.5108938927204266E-3</v>
      </c>
      <c r="E11" s="1">
        <v>1.8229131812685677E-3</v>
      </c>
      <c r="F11" s="1">
        <v>1.4163139703533049E-3</v>
      </c>
      <c r="G11" s="1">
        <v>1.2486758216907669E-3</v>
      </c>
      <c r="H11" s="1">
        <v>8.9640850068638377E-3</v>
      </c>
      <c r="I11" s="1">
        <v>1.6104953201851104E-3</v>
      </c>
      <c r="J11" s="1">
        <v>1.3068987078784585E-3</v>
      </c>
      <c r="K11" s="1">
        <v>1.7479517070070588E-3</v>
      </c>
      <c r="L11" s="1">
        <v>2.0600315503951708E-3</v>
      </c>
      <c r="M11" s="1">
        <v>1.5131839393024073E-3</v>
      </c>
      <c r="N11" s="1">
        <v>1.0462188464331694E-3</v>
      </c>
      <c r="O11" s="1">
        <v>1.2161458215249913E-3</v>
      </c>
      <c r="P11" s="1">
        <v>2.1068170462544937E-3</v>
      </c>
      <c r="Q11" s="1">
        <v>2.9141473492351557E-3</v>
      </c>
      <c r="R11" s="1">
        <v>2.6030141760513248E-3</v>
      </c>
      <c r="S11" s="1">
        <v>1.6047065359252859E-3</v>
      </c>
      <c r="T11" s="1">
        <v>1.5570413007896028E-3</v>
      </c>
      <c r="U11" s="1">
        <v>3.3728235451082433E-3</v>
      </c>
      <c r="V11" s="1">
        <v>1.7861873043037658E-3</v>
      </c>
      <c r="W11" s="1">
        <v>1.6420592745758E-3</v>
      </c>
      <c r="X11" s="1">
        <v>1.7860937823520725E-3</v>
      </c>
      <c r="Y11" s="1">
        <v>3.4558901616725418E-3</v>
      </c>
      <c r="Z11" s="1">
        <v>1.067436159221399E-3</v>
      </c>
      <c r="AA11" s="1">
        <v>1.4626299968407408E-3</v>
      </c>
      <c r="AB11" s="1">
        <v>1.7214882641643173E-3</v>
      </c>
      <c r="AC11" s="1">
        <v>3.9002942804054626E-3</v>
      </c>
      <c r="AD11" s="1">
        <v>9.5484266164037391E-4</v>
      </c>
      <c r="AE11" s="1">
        <v>1.6544022556015847E-3</v>
      </c>
      <c r="AF11" s="1">
        <v>1.0749000088918848E-3</v>
      </c>
      <c r="AG11" s="1">
        <v>2.1474839525641985E-3</v>
      </c>
      <c r="AH11" s="1">
        <v>2.7223861938309754E-3</v>
      </c>
      <c r="AI11" s="1">
        <v>2.0854004480500123E-3</v>
      </c>
      <c r="AJ11" s="1">
        <v>3.1089916503670881E-3</v>
      </c>
      <c r="AK11" s="1">
        <v>1.8058864720363727E-3</v>
      </c>
      <c r="AL11" s="1">
        <v>1.7267899800548054E-3</v>
      </c>
      <c r="AM11" s="1">
        <v>3.6977567739563508E-3</v>
      </c>
      <c r="AN11" s="1">
        <v>1.6291292016139256E-3</v>
      </c>
      <c r="AO11" s="1">
        <v>2.1365936704997308E-3</v>
      </c>
    </row>
    <row r="12" spans="1:41" ht="15">
      <c r="A12" s="17" t="s">
        <v>24</v>
      </c>
      <c r="B12" s="1">
        <v>8.3324443114140688E-4</v>
      </c>
      <c r="C12" s="1">
        <v>8.54575888600121E-4</v>
      </c>
      <c r="D12" s="1">
        <v>1.1806134110689773E-3</v>
      </c>
      <c r="E12" s="1">
        <v>1.4244254738134125E-3</v>
      </c>
      <c r="F12" s="1">
        <v>1.1067086019341454E-3</v>
      </c>
      <c r="G12" s="1">
        <v>9.757160501266775E-4</v>
      </c>
      <c r="H12" s="1">
        <v>1.6104953201851104E-3</v>
      </c>
      <c r="I12" s="1">
        <v>5.4733530102919169E-3</v>
      </c>
      <c r="J12" s="1">
        <v>1.0212114489733591E-3</v>
      </c>
      <c r="K12" s="1">
        <v>1.3658505320170097E-3</v>
      </c>
      <c r="L12" s="1">
        <v>1.6097099123504027E-3</v>
      </c>
      <c r="M12" s="1">
        <v>1.1824028548675695E-3</v>
      </c>
      <c r="N12" s="1">
        <v>8.1751604594027612E-4</v>
      </c>
      <c r="O12" s="1">
        <v>9.50297088118273E-4</v>
      </c>
      <c r="P12" s="1">
        <v>1.6462681274051838E-3</v>
      </c>
      <c r="Q12" s="1">
        <v>2.2771165195084662E-3</v>
      </c>
      <c r="R12" s="1">
        <v>2.0339968678512025E-3</v>
      </c>
      <c r="S12" s="1">
        <v>1.2539186677975385E-3</v>
      </c>
      <c r="T12" s="1">
        <v>1.2166730239346066E-3</v>
      </c>
      <c r="U12" s="1">
        <v>2.6355263792576778E-3</v>
      </c>
      <c r="V12" s="1">
        <v>1.3957278511101765E-3</v>
      </c>
      <c r="W12" s="1">
        <v>1.2831061206050611E-3</v>
      </c>
      <c r="X12" s="1">
        <v>1.3956547729999727E-3</v>
      </c>
      <c r="Y12" s="1">
        <v>2.7004346842024792E-3</v>
      </c>
      <c r="Z12" s="1">
        <v>8.3409526711875775E-4</v>
      </c>
      <c r="AA12" s="1">
        <v>1.1428999733348443E-3</v>
      </c>
      <c r="AB12" s="1">
        <v>1.345171981608057E-3</v>
      </c>
      <c r="AC12" s="1">
        <v>3.0476923341527925E-3</v>
      </c>
      <c r="AD12" s="1">
        <v>7.4611463930380519E-4</v>
      </c>
      <c r="AE12" s="1">
        <v>1.292750933521323E-3</v>
      </c>
      <c r="AF12" s="1">
        <v>8.3992752381238439E-4</v>
      </c>
      <c r="AG12" s="1">
        <v>1.6780452728468638E-3</v>
      </c>
      <c r="AH12" s="1">
        <v>2.1272742354916697E-3</v>
      </c>
      <c r="AI12" s="1">
        <v>1.6295331844806608E-3</v>
      </c>
      <c r="AJ12" s="1">
        <v>2.4293679754810184E-3</v>
      </c>
      <c r="AK12" s="1">
        <v>1.4111207928144663E-3</v>
      </c>
      <c r="AL12" s="1">
        <v>1.3493147456447279E-3</v>
      </c>
      <c r="AM12" s="1">
        <v>2.8894294028441298E-3</v>
      </c>
      <c r="AN12" s="1">
        <v>1.2730025536911707E-3</v>
      </c>
      <c r="AO12" s="1">
        <v>1.6695355997867097E-3</v>
      </c>
    </row>
    <row r="13" spans="1:41" ht="15">
      <c r="A13" s="17" t="s">
        <v>29</v>
      </c>
      <c r="B13" s="1">
        <v>6.7616841648472485E-4</v>
      </c>
      <c r="C13" s="1">
        <v>6.9347865255964464E-4</v>
      </c>
      <c r="D13" s="1">
        <v>9.5805440853605228E-4</v>
      </c>
      <c r="E13" s="1">
        <v>1.1559051354349417E-3</v>
      </c>
      <c r="F13" s="1">
        <v>8.980814931517253E-4</v>
      </c>
      <c r="G13" s="1">
        <v>7.9178252130547079E-4</v>
      </c>
      <c r="H13" s="1">
        <v>1.3068987078784585E-3</v>
      </c>
      <c r="I13" s="1">
        <v>1.0212114489733591E-3</v>
      </c>
      <c r="J13" s="1">
        <v>3.6042788399399989E-3</v>
      </c>
      <c r="K13" s="1">
        <v>1.1083722337317714E-3</v>
      </c>
      <c r="L13" s="1">
        <v>1.3062613583180642E-3</v>
      </c>
      <c r="M13" s="1">
        <v>9.5950652190694501E-4</v>
      </c>
      <c r="N13" s="1">
        <v>6.6340501007258453E-4</v>
      </c>
      <c r="O13" s="1">
        <v>7.7115532159365962E-4</v>
      </c>
      <c r="P13" s="1">
        <v>1.3359279356862895E-3</v>
      </c>
      <c r="Q13" s="1">
        <v>1.847854259329515E-3</v>
      </c>
      <c r="R13" s="1">
        <v>1.6505654161839052E-3</v>
      </c>
      <c r="S13" s="1">
        <v>1.0175407939347031E-3</v>
      </c>
      <c r="T13" s="1">
        <v>9.8731637587618176E-4</v>
      </c>
      <c r="U13" s="1">
        <v>2.138699800279802E-3</v>
      </c>
      <c r="V13" s="1">
        <v>1.1326173397114921E-3</v>
      </c>
      <c r="W13" s="1">
        <v>1.0412260812387546E-3</v>
      </c>
      <c r="X13" s="1">
        <v>1.1325580376529249E-3</v>
      </c>
      <c r="Y13" s="1">
        <v>2.1913721544305682E-3</v>
      </c>
      <c r="Z13" s="1">
        <v>6.7685886024167316E-4</v>
      </c>
      <c r="AA13" s="1">
        <v>9.27450381050441E-4</v>
      </c>
      <c r="AB13" s="1">
        <v>1.0915918243312936E-3</v>
      </c>
      <c r="AC13" s="1">
        <v>2.4731678034665503E-3</v>
      </c>
      <c r="AD13" s="1">
        <v>6.0546357745595164E-4</v>
      </c>
      <c r="AE13" s="1">
        <v>1.0490527376593045E-3</v>
      </c>
      <c r="AF13" s="1">
        <v>6.815916704779923E-4</v>
      </c>
      <c r="AG13" s="1">
        <v>1.3617147292256983E-3</v>
      </c>
      <c r="AH13" s="1">
        <v>1.7262589433340611E-3</v>
      </c>
      <c r="AI13" s="1">
        <v>1.322347719084378E-3</v>
      </c>
      <c r="AJ13" s="1">
        <v>1.9714045910748266E-3</v>
      </c>
      <c r="AK13" s="1">
        <v>1.1451085375260082E-3</v>
      </c>
      <c r="AL13" s="1">
        <v>1.0949536304158639E-3</v>
      </c>
      <c r="AM13" s="1">
        <v>2.3447392275868172E-3</v>
      </c>
      <c r="AN13" s="1">
        <v>1.0330271511461112E-3</v>
      </c>
      <c r="AO13" s="1">
        <v>1.3548092259389796E-3</v>
      </c>
    </row>
    <row r="14" spans="1:41" ht="15">
      <c r="A14" s="17" t="s">
        <v>30</v>
      </c>
      <c r="B14" s="1">
        <v>9.0436215958723874E-4</v>
      </c>
      <c r="C14" s="1">
        <v>9.2751426503615247E-4</v>
      </c>
      <c r="D14" s="1">
        <v>1.2813792137913501E-3</v>
      </c>
      <c r="E14" s="1">
        <v>1.5460007286269618E-3</v>
      </c>
      <c r="F14" s="1">
        <v>1.2011666011471779E-3</v>
      </c>
      <c r="G14" s="1">
        <v>1.0589937853262934E-3</v>
      </c>
      <c r="H14" s="1">
        <v>1.7479517070070588E-3</v>
      </c>
      <c r="I14" s="1">
        <v>1.3658505320170097E-3</v>
      </c>
      <c r="J14" s="1">
        <v>1.1083722337317714E-3</v>
      </c>
      <c r="K14" s="1">
        <v>6.4475301889323567E-3</v>
      </c>
      <c r="L14" s="1">
        <v>1.7470992643155668E-3</v>
      </c>
      <c r="M14" s="1">
        <v>1.2833213872973138E-3</v>
      </c>
      <c r="N14" s="1">
        <v>8.8729135073967169E-4</v>
      </c>
      <c r="O14" s="1">
        <v>1.03140530526301E-3</v>
      </c>
      <c r="P14" s="1">
        <v>1.7867777369005048E-3</v>
      </c>
      <c r="Q14" s="1">
        <v>2.47146927870073E-3</v>
      </c>
      <c r="R14" s="1">
        <v>2.2075992725013763E-3</v>
      </c>
      <c r="S14" s="1">
        <v>1.3609411020038234E-3</v>
      </c>
      <c r="T14" s="1">
        <v>1.3205165283010536E-3</v>
      </c>
      <c r="U14" s="1">
        <v>2.8604695560096927E-3</v>
      </c>
      <c r="V14" s="1">
        <v>1.5148537529341669E-3</v>
      </c>
      <c r="W14" s="1">
        <v>1.3926197149862151E-3</v>
      </c>
      <c r="X14" s="1">
        <v>1.5147744375795212E-3</v>
      </c>
      <c r="Y14" s="1">
        <v>2.9309178094167002E-3</v>
      </c>
      <c r="Z14" s="1">
        <v>9.0528561473818107E-4</v>
      </c>
      <c r="AA14" s="1">
        <v>1.2404469198329265E-3</v>
      </c>
      <c r="AB14" s="1">
        <v>1.4599829207821687E-3</v>
      </c>
      <c r="AC14" s="1">
        <v>3.307814031587742E-3</v>
      </c>
      <c r="AD14" s="1">
        <v>8.0979580694723211E-4</v>
      </c>
      <c r="AE14" s="1">
        <v>1.4030877163454529E-3</v>
      </c>
      <c r="AF14" s="1">
        <v>9.1161565675417161E-4</v>
      </c>
      <c r="AG14" s="1">
        <v>1.8212670737662658E-3</v>
      </c>
      <c r="AH14" s="1">
        <v>2.3088378988722616E-3</v>
      </c>
      <c r="AI14" s="1">
        <v>1.7686144602458273E-3</v>
      </c>
      <c r="AJ14" s="1">
        <v>2.6367154542257503E-3</v>
      </c>
      <c r="AK14" s="1">
        <v>1.5315604880551238E-3</v>
      </c>
      <c r="AL14" s="1">
        <v>1.4644792713017056E-3</v>
      </c>
      <c r="AM14" s="1">
        <v>3.136043299025091E-3</v>
      </c>
      <c r="AN14" s="1">
        <v>1.3816538048015367E-3</v>
      </c>
      <c r="AO14" s="1">
        <v>1.8120310968806836E-3</v>
      </c>
    </row>
    <row r="15" spans="1:41" ht="15">
      <c r="A15" s="17" t="s">
        <v>32</v>
      </c>
      <c r="B15" s="1">
        <v>1.0658272618544952E-3</v>
      </c>
      <c r="C15" s="1">
        <v>1.0931129514371342E-3</v>
      </c>
      <c r="D15" s="1">
        <v>1.5101570586012079E-3</v>
      </c>
      <c r="E15" s="1">
        <v>1.822024181296562E-3</v>
      </c>
      <c r="F15" s="1">
        <v>1.4156232610573641E-3</v>
      </c>
      <c r="G15" s="1">
        <v>1.2480668663209041E-3</v>
      </c>
      <c r="H15" s="1">
        <v>2.0600315503951708E-3</v>
      </c>
      <c r="I15" s="1">
        <v>1.6097099123504029E-3</v>
      </c>
      <c r="J15" s="1">
        <v>1.3062613583180642E-3</v>
      </c>
      <c r="K15" s="1">
        <v>1.7470992643155668E-3</v>
      </c>
      <c r="L15" s="1">
        <v>8.955343912422236E-3</v>
      </c>
      <c r="M15" s="1">
        <v>1.5124459883711714E-3</v>
      </c>
      <c r="N15" s="1">
        <v>1.0457086254666702E-3</v>
      </c>
      <c r="O15" s="1">
        <v>1.2155527304154421E-3</v>
      </c>
      <c r="P15" s="1">
        <v>2.1057895917852482E-3</v>
      </c>
      <c r="Q15" s="1">
        <v>2.9127261751833626E-3</v>
      </c>
      <c r="R15" s="1">
        <v>2.6017447357107653E-3</v>
      </c>
      <c r="S15" s="1">
        <v>1.6039239511701951E-3</v>
      </c>
      <c r="T15" s="1">
        <v>1.5562819614600959E-3</v>
      </c>
      <c r="U15" s="1">
        <v>3.3711786834286022E-3</v>
      </c>
      <c r="V15" s="1">
        <v>1.785316214841119E-3</v>
      </c>
      <c r="W15" s="1">
        <v>1.6412584736028686E-3</v>
      </c>
      <c r="X15" s="1">
        <v>1.7852227384982967E-3</v>
      </c>
      <c r="Y15" s="1">
        <v>3.4542047899891555E-3</v>
      </c>
      <c r="Z15" s="1">
        <v>1.0669155909763413E-3</v>
      </c>
      <c r="AA15" s="1">
        <v>1.4619167001025267E-3</v>
      </c>
      <c r="AB15" s="1">
        <v>1.7206487271889002E-3</v>
      </c>
      <c r="AC15" s="1">
        <v>3.8983921813138967E-3</v>
      </c>
      <c r="AD15" s="1">
        <v>9.5437700309547414E-4</v>
      </c>
      <c r="AE15" s="1">
        <v>1.6535954351923469E-3</v>
      </c>
      <c r="AF15" s="1">
        <v>1.0743758006697746E-3</v>
      </c>
      <c r="AG15" s="1">
        <v>2.1464366656207888E-3</v>
      </c>
      <c r="AH15" s="1">
        <v>2.7210585380353109E-3</v>
      </c>
      <c r="AI15" s="1">
        <v>2.0843834380470196E-3</v>
      </c>
      <c r="AJ15" s="1">
        <v>3.1074754544678303E-3</v>
      </c>
      <c r="AK15" s="1">
        <v>1.8050057756655404E-3</v>
      </c>
      <c r="AL15" s="1">
        <v>1.7259478575337207E-3</v>
      </c>
      <c r="AM15" s="1">
        <v>3.6959534485416739E-3</v>
      </c>
      <c r="AN15" s="1">
        <v>1.6283347063908342E-3</v>
      </c>
      <c r="AO15" s="1">
        <v>2.1355516945390654E-3</v>
      </c>
    </row>
    <row r="16" spans="1:41" ht="15">
      <c r="A16" s="17" t="s">
        <v>41</v>
      </c>
      <c r="B16" s="1">
        <v>7.8289708446431592E-4</v>
      </c>
      <c r="C16" s="1">
        <v>8.029396256774928E-4</v>
      </c>
      <c r="D16" s="1">
        <v>1.1092768974636134E-3</v>
      </c>
      <c r="E16" s="1">
        <v>1.3383570400315936E-3</v>
      </c>
      <c r="F16" s="1">
        <v>1.0398376579834367E-3</v>
      </c>
      <c r="G16" s="1">
        <v>9.1676010347025989E-4</v>
      </c>
      <c r="H16" s="1">
        <v>1.5131839393024075E-3</v>
      </c>
      <c r="I16" s="1">
        <v>1.1824028548675695E-3</v>
      </c>
      <c r="J16" s="1">
        <v>9.5950652190694512E-4</v>
      </c>
      <c r="K16" s="1">
        <v>1.283321387297314E-3</v>
      </c>
      <c r="L16" s="1">
        <v>1.5124459883711714E-3</v>
      </c>
      <c r="M16" s="1">
        <v>4.8319003739602916E-3</v>
      </c>
      <c r="N16" s="1">
        <v>7.6811905960499666E-4</v>
      </c>
      <c r="O16" s="1">
        <v>8.9287703806623575E-4</v>
      </c>
      <c r="P16" s="1">
        <v>1.5467952368148738E-3</v>
      </c>
      <c r="Q16" s="1">
        <v>2.1395257111609368E-3</v>
      </c>
      <c r="R16" s="1">
        <v>1.9110961419435092E-3</v>
      </c>
      <c r="S16" s="1">
        <v>1.1781528114497208E-3</v>
      </c>
      <c r="T16" s="1">
        <v>1.143157670888935E-3</v>
      </c>
      <c r="U16" s="1">
        <v>2.4762792780063207E-3</v>
      </c>
      <c r="V16" s="1">
        <v>1.3113934213073207E-3</v>
      </c>
      <c r="W16" s="1">
        <v>1.2055766631454922E-3</v>
      </c>
      <c r="X16" s="1">
        <v>1.3113247588149254E-3</v>
      </c>
      <c r="Y16" s="1">
        <v>2.5372656114273501E-3</v>
      </c>
      <c r="Z16" s="1">
        <v>7.8369651015638183E-4</v>
      </c>
      <c r="AA16" s="1">
        <v>1.0738422286633263E-3</v>
      </c>
      <c r="AB16" s="1">
        <v>1.2638923023600875E-3</v>
      </c>
      <c r="AC16" s="1">
        <v>2.8635408213697889E-3</v>
      </c>
      <c r="AD16" s="1">
        <v>7.0103195887781815E-4</v>
      </c>
      <c r="AE16" s="1">
        <v>1.2146387050027678E-3</v>
      </c>
      <c r="AF16" s="1">
        <v>7.891763628750289E-4</v>
      </c>
      <c r="AG16" s="1">
        <v>1.5766523034679454E-3</v>
      </c>
      <c r="AH16" s="1">
        <v>1.9987373867487025E-3</v>
      </c>
      <c r="AI16" s="1">
        <v>1.5310714737333268E-3</v>
      </c>
      <c r="AJ16" s="1">
        <v>2.2825776375003395E-3</v>
      </c>
      <c r="AK16" s="1">
        <v>1.3258562712601368E-3</v>
      </c>
      <c r="AL16" s="1">
        <v>1.2677847470794483E-3</v>
      </c>
      <c r="AM16" s="1">
        <v>2.7148406526442672E-3</v>
      </c>
      <c r="AN16" s="1">
        <v>1.1960835867036376E-3</v>
      </c>
      <c r="AO16" s="1">
        <v>1.5686568126137036E-3</v>
      </c>
    </row>
    <row r="17" spans="1:41" ht="15">
      <c r="A17" s="17" t="s">
        <v>43</v>
      </c>
      <c r="B17" s="1">
        <v>5.4129683993457711E-4</v>
      </c>
      <c r="C17" s="1">
        <v>5.551542989010701E-4</v>
      </c>
      <c r="D17" s="1">
        <v>7.6695659126171391E-4</v>
      </c>
      <c r="E17" s="1">
        <v>9.2534312727577414E-4</v>
      </c>
      <c r="F17" s="1">
        <v>7.1894614181190102E-4</v>
      </c>
      <c r="G17" s="1">
        <v>6.3385003831773249E-4</v>
      </c>
      <c r="H17" s="1">
        <v>1.0462188464331694E-3</v>
      </c>
      <c r="I17" s="1">
        <v>8.1751604594027612E-4</v>
      </c>
      <c r="J17" s="1">
        <v>6.6340501007258453E-4</v>
      </c>
      <c r="K17" s="1">
        <v>8.8729135073967169E-4</v>
      </c>
      <c r="L17" s="1">
        <v>1.0457086254666702E-3</v>
      </c>
      <c r="M17" s="1">
        <v>7.6811905960499655E-4</v>
      </c>
      <c r="N17" s="1">
        <v>2.3098277956324631E-3</v>
      </c>
      <c r="O17" s="1">
        <v>6.173372321166534E-4</v>
      </c>
      <c r="P17" s="1">
        <v>1.0694577746277324E-3</v>
      </c>
      <c r="Q17" s="1">
        <v>1.479272984140204E-3</v>
      </c>
      <c r="R17" s="1">
        <v>1.3213362560329401E-3</v>
      </c>
      <c r="S17" s="1">
        <v>8.145775561728243E-4</v>
      </c>
      <c r="T17" s="1">
        <v>7.9038183572052376E-4</v>
      </c>
      <c r="U17" s="1">
        <v>1.7121051726708694E-3</v>
      </c>
      <c r="V17" s="1">
        <v>9.0670041944319077E-4</v>
      </c>
      <c r="W17" s="1">
        <v>8.3353847013754108E-4</v>
      </c>
      <c r="X17" s="1">
        <v>9.0665294603845697E-4</v>
      </c>
      <c r="Y17" s="1">
        <v>1.7542712634829043E-3</v>
      </c>
      <c r="Z17" s="1">
        <v>5.4184956469171923E-4</v>
      </c>
      <c r="AA17" s="1">
        <v>7.4245697997647362E-4</v>
      </c>
      <c r="AB17" s="1">
        <v>8.738580368494595E-4</v>
      </c>
      <c r="AC17" s="1">
        <v>1.9798586920166004E-3</v>
      </c>
      <c r="AD17" s="1">
        <v>4.8469510432952104E-4</v>
      </c>
      <c r="AE17" s="1">
        <v>8.398039866633236E-4</v>
      </c>
      <c r="AF17" s="1">
        <v>5.4563834743056434E-4</v>
      </c>
      <c r="AG17" s="1">
        <v>1.090101018995007E-3</v>
      </c>
      <c r="AH17" s="1">
        <v>1.3819316137145231E-3</v>
      </c>
      <c r="AI17" s="1">
        <v>1.0585863287674569E-3</v>
      </c>
      <c r="AJ17" s="1">
        <v>1.578179414130367E-3</v>
      </c>
      <c r="AK17" s="1">
        <v>9.1670006707409725E-4</v>
      </c>
      <c r="AL17" s="1">
        <v>8.7654928205655033E-4</v>
      </c>
      <c r="AM17" s="1">
        <v>1.8770470542852657E-3</v>
      </c>
      <c r="AN17" s="1">
        <v>8.2697493531131393E-4</v>
      </c>
      <c r="AO17" s="1">
        <v>1.0845729182790767E-3</v>
      </c>
    </row>
    <row r="18" spans="1:41" ht="15">
      <c r="A18" s="17" t="s">
        <v>45</v>
      </c>
      <c r="B18" s="1">
        <v>6.2921432961700026E-4</v>
      </c>
      <c r="C18" s="1">
        <v>6.4532251852652872E-4</v>
      </c>
      <c r="D18" s="1">
        <v>8.9152576149235452E-4</v>
      </c>
      <c r="E18" s="1">
        <v>1.0756374553468593E-3</v>
      </c>
      <c r="F18" s="1">
        <v>8.3571744979257421E-4</v>
      </c>
      <c r="G18" s="1">
        <v>7.3680002821742971E-4</v>
      </c>
      <c r="H18" s="1">
        <v>1.2161458215249913E-3</v>
      </c>
      <c r="I18" s="1">
        <v>9.50297088118273E-4</v>
      </c>
      <c r="J18" s="1">
        <v>7.7115532159365962E-4</v>
      </c>
      <c r="K18" s="1">
        <v>1.03140530526301E-3</v>
      </c>
      <c r="L18" s="1">
        <v>1.2155527304154421E-3</v>
      </c>
      <c r="M18" s="1">
        <v>8.9287703806623575E-4</v>
      </c>
      <c r="N18" s="1">
        <v>6.173372321166534E-4</v>
      </c>
      <c r="O18" s="1">
        <v>3.1210866711348178E-3</v>
      </c>
      <c r="P18" s="1">
        <v>1.2431592188814711E-3</v>
      </c>
      <c r="Q18" s="1">
        <v>1.7195366578323546E-3</v>
      </c>
      <c r="R18" s="1">
        <v>1.5359478297321844E-3</v>
      </c>
      <c r="S18" s="1">
        <v>9.4688132853368529E-4</v>
      </c>
      <c r="T18" s="1">
        <v>9.1875573662031904E-4</v>
      </c>
      <c r="U18" s="1">
        <v>1.9901854749163196E-3</v>
      </c>
      <c r="V18" s="1">
        <v>1.0539667969470387E-3</v>
      </c>
      <c r="W18" s="1">
        <v>9.6892187613909311E-4</v>
      </c>
      <c r="X18" s="1">
        <v>1.0539116129069143E-3</v>
      </c>
      <c r="Y18" s="1">
        <v>2.0392001866335924E-3</v>
      </c>
      <c r="Z18" s="1">
        <v>6.2985682798733975E-4</v>
      </c>
      <c r="AA18" s="1">
        <v>8.6304692076499541E-4</v>
      </c>
      <c r="AB18" s="1">
        <v>1.0157901511176684E-3</v>
      </c>
      <c r="AC18" s="1">
        <v>2.3014275490397876E-3</v>
      </c>
      <c r="AD18" s="1">
        <v>5.6341933416090523E-4</v>
      </c>
      <c r="AE18" s="1">
        <v>9.7620503851807725E-4</v>
      </c>
      <c r="AF18" s="1">
        <v>6.3426098521717877E-4</v>
      </c>
      <c r="AG18" s="1">
        <v>1.2671553411703884E-3</v>
      </c>
      <c r="AH18" s="1">
        <v>1.6063850917825741E-3</v>
      </c>
      <c r="AI18" s="1">
        <v>1.2305220316409776E-3</v>
      </c>
      <c r="AJ18" s="1">
        <v>1.8345074805857129E-3</v>
      </c>
      <c r="AK18" s="1">
        <v>1.0655905883980429E-3</v>
      </c>
      <c r="AL18" s="1">
        <v>1.0189185086543933E-3</v>
      </c>
      <c r="AM18" s="1">
        <v>2.1819172342931389E-3</v>
      </c>
      <c r="AN18" s="1">
        <v>9.6129229129595696E-4</v>
      </c>
      <c r="AO18" s="1">
        <v>1.260729365754663E-3</v>
      </c>
    </row>
    <row r="19" spans="1:41" ht="15">
      <c r="A19" s="17" t="s">
        <v>47</v>
      </c>
      <c r="B19" s="1">
        <v>1.0900333265318452E-3</v>
      </c>
      <c r="C19" s="1">
        <v>1.1179387029909994E-3</v>
      </c>
      <c r="D19" s="1">
        <v>1.5444543230283283E-3</v>
      </c>
      <c r="E19" s="1">
        <v>1.8634042780107526E-3</v>
      </c>
      <c r="F19" s="1">
        <v>1.4477735629330104E-3</v>
      </c>
      <c r="G19" s="1">
        <v>1.276411785210721E-3</v>
      </c>
      <c r="H19" s="1">
        <v>2.1068170462544937E-3</v>
      </c>
      <c r="I19" s="1">
        <v>1.6462681274051838E-3</v>
      </c>
      <c r="J19" s="1">
        <v>1.3359279356862895E-3</v>
      </c>
      <c r="K19" s="1">
        <v>1.7867777369005046E-3</v>
      </c>
      <c r="L19" s="1">
        <v>2.1057895917852478E-3</v>
      </c>
      <c r="M19" s="1">
        <v>1.5467952368148736E-3</v>
      </c>
      <c r="N19" s="1">
        <v>1.0694577746277324E-3</v>
      </c>
      <c r="O19" s="1">
        <v>1.2431592188814711E-3</v>
      </c>
      <c r="P19" s="1">
        <v>9.3667336771177234E-3</v>
      </c>
      <c r="Q19" s="1">
        <v>2.9788772680548487E-3</v>
      </c>
      <c r="R19" s="1">
        <v>2.6608331110981524E-3</v>
      </c>
      <c r="S19" s="1">
        <v>1.6403507609254859E-3</v>
      </c>
      <c r="T19" s="1">
        <v>1.5916267712276272E-3</v>
      </c>
      <c r="U19" s="1">
        <v>3.4477417177686976E-3</v>
      </c>
      <c r="V19" s="1">
        <v>1.825862634802992E-3</v>
      </c>
      <c r="W19" s="1">
        <v>1.6785331898595665E-3</v>
      </c>
      <c r="X19" s="1">
        <v>1.8257670355135338E-3</v>
      </c>
      <c r="Y19" s="1">
        <v>3.5326534350442712E-3</v>
      </c>
      <c r="Z19" s="1">
        <v>1.0911463727594141E-3</v>
      </c>
      <c r="AA19" s="1">
        <v>1.4951183749536722E-3</v>
      </c>
      <c r="AB19" s="1">
        <v>1.7597264800931229E-3</v>
      </c>
      <c r="AC19" s="1">
        <v>3.9869287919409961E-3</v>
      </c>
      <c r="AD19" s="1">
        <v>9.7605191449088018E-4</v>
      </c>
      <c r="AE19" s="1">
        <v>1.691150336898268E-3</v>
      </c>
      <c r="AF19" s="1">
        <v>1.0987760117072952E-3</v>
      </c>
      <c r="AG19" s="1">
        <v>2.1951845130566377E-3</v>
      </c>
      <c r="AH19" s="1">
        <v>2.7828566560980199E-3</v>
      </c>
      <c r="AI19" s="1">
        <v>2.1317219910372801E-3</v>
      </c>
      <c r="AJ19" s="1">
        <v>3.1780495095011445E-3</v>
      </c>
      <c r="AK19" s="1">
        <v>1.8459993663837283E-3</v>
      </c>
      <c r="AL19" s="1">
        <v>1.7651459592941336E-3</v>
      </c>
      <c r="AM19" s="1">
        <v>3.7798924613834076E-3</v>
      </c>
      <c r="AN19" s="1">
        <v>1.6653159102218271E-3</v>
      </c>
      <c r="AO19" s="1">
        <v>2.1840523327662136E-3</v>
      </c>
    </row>
    <row r="20" spans="1:41" ht="15">
      <c r="A20" s="17" t="s">
        <v>50</v>
      </c>
      <c r="B20" s="1">
        <v>1.5077330681076363E-3</v>
      </c>
      <c r="C20" s="1">
        <v>1.5463317584791731E-3</v>
      </c>
      <c r="D20" s="1">
        <v>2.1362877614215527E-3</v>
      </c>
      <c r="E20" s="1">
        <v>2.5774590380177403E-3</v>
      </c>
      <c r="F20" s="1">
        <v>2.0025590253385157E-3</v>
      </c>
      <c r="G20" s="1">
        <v>1.7655315761836772E-3</v>
      </c>
      <c r="H20" s="1">
        <v>2.9141473492351562E-3</v>
      </c>
      <c r="I20" s="1">
        <v>2.2771165195084662E-3</v>
      </c>
      <c r="J20" s="1">
        <v>1.8478542593295152E-3</v>
      </c>
      <c r="K20" s="1">
        <v>2.47146927870073E-3</v>
      </c>
      <c r="L20" s="1">
        <v>2.9127261751833626E-3</v>
      </c>
      <c r="M20" s="1">
        <v>2.1395257111609363E-3</v>
      </c>
      <c r="N20" s="1">
        <v>1.479272984140204E-3</v>
      </c>
      <c r="O20" s="1">
        <v>1.7195366578323548E-3</v>
      </c>
      <c r="P20" s="1">
        <v>2.9788772680548487E-3</v>
      </c>
      <c r="Q20" s="1">
        <v>1.7920806057050247E-2</v>
      </c>
      <c r="R20" s="1">
        <v>3.6804618470545449E-3</v>
      </c>
      <c r="S20" s="1">
        <v>2.2689316237806093E-3</v>
      </c>
      <c r="T20" s="1">
        <v>2.2015366472331183E-3</v>
      </c>
      <c r="U20" s="1">
        <v>4.7689130888441912E-3</v>
      </c>
      <c r="V20" s="1">
        <v>2.5255314725775792E-3</v>
      </c>
      <c r="W20" s="1">
        <v>2.3217455234324207E-3</v>
      </c>
      <c r="X20" s="1">
        <v>2.52539923973066E-3</v>
      </c>
      <c r="Y20" s="1">
        <v>4.8863628960106598E-3</v>
      </c>
      <c r="Z20" s="1">
        <v>1.5092726325987309E-3</v>
      </c>
      <c r="AA20" s="1">
        <v>2.0680463246250539E-3</v>
      </c>
      <c r="AB20" s="1">
        <v>2.4340520058251107E-3</v>
      </c>
      <c r="AC20" s="1">
        <v>5.5147161407676955E-3</v>
      </c>
      <c r="AD20" s="1">
        <v>1.3500740865877313E-3</v>
      </c>
      <c r="AE20" s="1">
        <v>2.3391975493039169E-3</v>
      </c>
      <c r="AF20" s="1">
        <v>1.5198259419879425E-3</v>
      </c>
      <c r="AG20" s="1">
        <v>3.0363771458840425E-3</v>
      </c>
      <c r="AH20" s="1">
        <v>3.8492446992902515E-3</v>
      </c>
      <c r="AI20" s="1">
        <v>2.9485958453447877E-3</v>
      </c>
      <c r="AJ20" s="1">
        <v>4.3958750809974818E-3</v>
      </c>
      <c r="AK20" s="1">
        <v>2.5533845806880277E-3</v>
      </c>
      <c r="AL20" s="1">
        <v>2.4415482243391657E-3</v>
      </c>
      <c r="AM20" s="1">
        <v>5.2283436838130772E-3</v>
      </c>
      <c r="AN20" s="1">
        <v>2.3034633947165485E-3</v>
      </c>
      <c r="AO20" s="1">
        <v>3.0209791246167371E-3</v>
      </c>
    </row>
    <row r="21" spans="1:41" ht="15">
      <c r="A21" s="17" t="s">
        <v>52</v>
      </c>
      <c r="B21" s="1">
        <v>1.3467577578105633E-3</v>
      </c>
      <c r="C21" s="1">
        <v>1.3812354029579495E-3</v>
      </c>
      <c r="D21" s="1">
        <v>1.9082038966096654E-3</v>
      </c>
      <c r="E21" s="1">
        <v>2.3022728812641092E-3</v>
      </c>
      <c r="F21" s="1">
        <v>1.7887529032132837E-3</v>
      </c>
      <c r="G21" s="1">
        <v>1.5770320338395157E-3</v>
      </c>
      <c r="H21" s="1">
        <v>2.6030141760513248E-3</v>
      </c>
      <c r="I21" s="1">
        <v>2.0339968678512025E-3</v>
      </c>
      <c r="J21" s="1">
        <v>1.6505654161839052E-3</v>
      </c>
      <c r="K21" s="1">
        <v>2.2075992725013758E-3</v>
      </c>
      <c r="L21" s="1">
        <v>2.6017447357107653E-3</v>
      </c>
      <c r="M21" s="1">
        <v>1.911096141943509E-3</v>
      </c>
      <c r="N21" s="1">
        <v>1.3213362560329401E-3</v>
      </c>
      <c r="O21" s="1">
        <v>1.5359478297321844E-3</v>
      </c>
      <c r="P21" s="1">
        <v>2.6608331110981524E-3</v>
      </c>
      <c r="Q21" s="1">
        <v>3.6804618470545445E-3</v>
      </c>
      <c r="R21" s="1">
        <v>1.4298404913751462E-2</v>
      </c>
      <c r="S21" s="1">
        <v>2.0266858444004817E-3</v>
      </c>
      <c r="T21" s="1">
        <v>1.9664863903839204E-3</v>
      </c>
      <c r="U21" s="1">
        <v>4.2597531582869988E-3</v>
      </c>
      <c r="V21" s="1">
        <v>2.2558894377487878E-3</v>
      </c>
      <c r="W21" s="1">
        <v>2.0738609913683588E-3</v>
      </c>
      <c r="X21" s="1">
        <v>2.2557713229337767E-3</v>
      </c>
      <c r="Y21" s="1">
        <v>4.3646632662501569E-3</v>
      </c>
      <c r="Z21" s="1">
        <v>1.3481329484632651E-3</v>
      </c>
      <c r="AA21" s="1">
        <v>1.8472483559016713E-3</v>
      </c>
      <c r="AB21" s="1">
        <v>2.1741769090954963E-3</v>
      </c>
      <c r="AC21" s="1">
        <v>4.9259294644400644E-3</v>
      </c>
      <c r="AD21" s="1">
        <v>1.2059314663789248E-3</v>
      </c>
      <c r="AE21" s="1">
        <v>2.0894497263567392E-3</v>
      </c>
      <c r="AF21" s="1">
        <v>1.3575595184517673E-3</v>
      </c>
      <c r="AG21" s="1">
        <v>2.7121939309791006E-3</v>
      </c>
      <c r="AH21" s="1">
        <v>3.4382744997340947E-3</v>
      </c>
      <c r="AI21" s="1">
        <v>2.6337847284534041E-3</v>
      </c>
      <c r="AJ21" s="1">
        <v>3.9265430950121321E-3</v>
      </c>
      <c r="AK21" s="1">
        <v>2.2807687683281479E-3</v>
      </c>
      <c r="AL21" s="1">
        <v>2.1808727829551299E-3</v>
      </c>
      <c r="AM21" s="1">
        <v>4.6701319786749181E-3</v>
      </c>
      <c r="AN21" s="1">
        <v>2.0575307806711199E-3</v>
      </c>
      <c r="AO21" s="1">
        <v>2.698439901810859E-3</v>
      </c>
    </row>
    <row r="22" spans="1:41" ht="15">
      <c r="A22" s="17" t="s">
        <v>53</v>
      </c>
      <c r="B22" s="1">
        <v>8.3024940707202737E-4</v>
      </c>
      <c r="C22" s="1">
        <v>8.5150419047672315E-4</v>
      </c>
      <c r="D22" s="1">
        <v>1.1763697996500086E-3</v>
      </c>
      <c r="E22" s="1">
        <v>1.419305501306348E-3</v>
      </c>
      <c r="F22" s="1">
        <v>1.1027306348734573E-3</v>
      </c>
      <c r="G22" s="1">
        <v>9.7220892431125938E-4</v>
      </c>
      <c r="H22" s="1">
        <v>1.6047065359252862E-3</v>
      </c>
      <c r="I22" s="1">
        <v>1.2539186677975385E-3</v>
      </c>
      <c r="J22" s="1">
        <v>1.0175407939347033E-3</v>
      </c>
      <c r="K22" s="1">
        <v>1.3609411020038236E-3</v>
      </c>
      <c r="L22" s="1">
        <v>1.6039239511701953E-3</v>
      </c>
      <c r="M22" s="1">
        <v>1.1781528114497208E-3</v>
      </c>
      <c r="N22" s="1">
        <v>8.1457755617282441E-4</v>
      </c>
      <c r="O22" s="1">
        <v>9.4688132853368529E-4</v>
      </c>
      <c r="P22" s="1">
        <v>1.6403507609254861E-3</v>
      </c>
      <c r="Q22" s="1">
        <v>2.2689316237806097E-3</v>
      </c>
      <c r="R22" s="1">
        <v>2.0266858444004821E-3</v>
      </c>
      <c r="S22" s="1">
        <v>5.434076749665403E-3</v>
      </c>
      <c r="T22" s="1">
        <v>1.2122997993980113E-3</v>
      </c>
      <c r="U22" s="1">
        <v>2.6260532107055053E-3</v>
      </c>
      <c r="V22" s="1">
        <v>1.3907110296924178E-3</v>
      </c>
      <c r="W22" s="1">
        <v>1.2784941081257022E-3</v>
      </c>
      <c r="X22" s="1">
        <v>1.3906382142550753E-3</v>
      </c>
      <c r="Y22" s="1">
        <v>2.6907282084377448E-3</v>
      </c>
      <c r="Z22" s="1">
        <v>8.3109718479403797E-4</v>
      </c>
      <c r="AA22" s="1">
        <v>1.1387919195620249E-3</v>
      </c>
      <c r="AB22" s="1">
        <v>1.3403368788317297E-3</v>
      </c>
      <c r="AC22" s="1">
        <v>3.0367376712043138E-3</v>
      </c>
      <c r="AD22" s="1">
        <v>7.4343279563379087E-4</v>
      </c>
      <c r="AE22" s="1">
        <v>1.2881042536073565E-3</v>
      </c>
      <c r="AF22" s="1">
        <v>8.3690847795220801E-4</v>
      </c>
      <c r="AG22" s="1">
        <v>1.6720136862033138E-3</v>
      </c>
      <c r="AH22" s="1">
        <v>2.1196279347192289E-3</v>
      </c>
      <c r="AI22" s="1">
        <v>1.6236759702863974E-3</v>
      </c>
      <c r="AJ22" s="1">
        <v>2.4206358252403279E-3</v>
      </c>
      <c r="AK22" s="1">
        <v>1.4060486428170258E-3</v>
      </c>
      <c r="AL22" s="1">
        <v>1.3444647520662063E-3</v>
      </c>
      <c r="AM22" s="1">
        <v>2.8790436021296426E-3</v>
      </c>
      <c r="AN22" s="1">
        <v>1.2684268575974518E-3</v>
      </c>
      <c r="AO22" s="1">
        <v>1.6635346004170559E-3</v>
      </c>
    </row>
    <row r="23" spans="1:41" ht="15">
      <c r="A23" s="17" t="s">
        <v>54</v>
      </c>
      <c r="B23" s="1">
        <v>8.0558817941239725E-4</v>
      </c>
      <c r="C23" s="1">
        <v>8.2621162354971813E-4</v>
      </c>
      <c r="D23" s="1">
        <v>1.1414276205963768E-3</v>
      </c>
      <c r="E23" s="1">
        <v>1.37714730668659E-3</v>
      </c>
      <c r="F23" s="1">
        <v>1.0699757891581582E-3</v>
      </c>
      <c r="G23" s="1">
        <v>9.4333101676812991E-4</v>
      </c>
      <c r="H23" s="1">
        <v>1.5570413007896028E-3</v>
      </c>
      <c r="I23" s="1">
        <v>1.2166730239346066E-3</v>
      </c>
      <c r="J23" s="1">
        <v>9.8731637587618176E-4</v>
      </c>
      <c r="K23" s="1">
        <v>1.3205165283010536E-3</v>
      </c>
      <c r="L23" s="1">
        <v>1.5562819614600959E-3</v>
      </c>
      <c r="M23" s="1">
        <v>1.1431576708889348E-3</v>
      </c>
      <c r="N23" s="1">
        <v>7.9038183572052365E-4</v>
      </c>
      <c r="O23" s="1">
        <v>9.1875573662031894E-4</v>
      </c>
      <c r="P23" s="1">
        <v>1.5916267712276272E-3</v>
      </c>
      <c r="Q23" s="1">
        <v>2.2015366472331183E-3</v>
      </c>
      <c r="R23" s="1">
        <v>1.9664863903839204E-3</v>
      </c>
      <c r="S23" s="1">
        <v>1.2122997993980111E-3</v>
      </c>
      <c r="T23" s="1">
        <v>5.1160501140516635E-3</v>
      </c>
      <c r="U23" s="1">
        <v>2.5480505099220131E-3</v>
      </c>
      <c r="V23" s="1">
        <v>1.3494021880119948E-3</v>
      </c>
      <c r="W23" s="1">
        <v>1.2405184902048473E-3</v>
      </c>
      <c r="X23" s="1">
        <v>1.3493315354404878E-3</v>
      </c>
      <c r="Y23" s="1">
        <v>2.6108044405274652E-3</v>
      </c>
      <c r="Z23" s="1">
        <v>8.0641077525625267E-4</v>
      </c>
      <c r="AA23" s="1">
        <v>1.1049659311950981E-3</v>
      </c>
      <c r="AB23" s="1">
        <v>1.300524320547542E-3</v>
      </c>
      <c r="AC23" s="1">
        <v>2.9465362468922484E-3</v>
      </c>
      <c r="AD23" s="1">
        <v>7.2135031624074057E-4</v>
      </c>
      <c r="AE23" s="1">
        <v>1.2498431817210467E-3</v>
      </c>
      <c r="AF23" s="1">
        <v>8.1204945326727573E-4</v>
      </c>
      <c r="AG23" s="1">
        <v>1.6223492000690886E-3</v>
      </c>
      <c r="AH23" s="1">
        <v>2.056667784905731E-3</v>
      </c>
      <c r="AI23" s="1">
        <v>1.5754472785130232E-3</v>
      </c>
      <c r="AJ23" s="1">
        <v>2.3487347185863249E-3</v>
      </c>
      <c r="AK23" s="1">
        <v>1.3642842219265493E-3</v>
      </c>
      <c r="AL23" s="1">
        <v>1.3045295819250049E-3</v>
      </c>
      <c r="AM23" s="1">
        <v>2.7935262273392006E-3</v>
      </c>
      <c r="AN23" s="1">
        <v>1.2307502712146732E-3</v>
      </c>
      <c r="AO23" s="1">
        <v>1.6141219719332418E-3</v>
      </c>
    </row>
    <row r="24" spans="1:41" ht="15">
      <c r="A24" s="17" t="s">
        <v>57</v>
      </c>
      <c r="B24" s="1">
        <v>1.7450447703635896E-3</v>
      </c>
      <c r="C24" s="1">
        <v>1.789718754240771E-3</v>
      </c>
      <c r="D24" s="1">
        <v>2.4725316867523169E-3</v>
      </c>
      <c r="E24" s="1">
        <v>2.9831417180259997E-3</v>
      </c>
      <c r="F24" s="1">
        <v>2.3177545338959886E-3</v>
      </c>
      <c r="G24" s="1">
        <v>2.0434198261619378E-3</v>
      </c>
      <c r="H24" s="1">
        <v>3.3728235451082429E-3</v>
      </c>
      <c r="I24" s="1">
        <v>2.6355263792576774E-3</v>
      </c>
      <c r="J24" s="1">
        <v>2.1386998002798016E-3</v>
      </c>
      <c r="K24" s="1">
        <v>2.8604695560096927E-3</v>
      </c>
      <c r="L24" s="1">
        <v>3.3711786834286018E-3</v>
      </c>
      <c r="M24" s="1">
        <v>2.4762792780063203E-3</v>
      </c>
      <c r="N24" s="1">
        <v>1.7121051726708694E-3</v>
      </c>
      <c r="O24" s="1">
        <v>1.9901854749163196E-3</v>
      </c>
      <c r="P24" s="1">
        <v>3.4477417177686976E-3</v>
      </c>
      <c r="Q24" s="1">
        <v>4.7689130888441912E-3</v>
      </c>
      <c r="R24" s="1">
        <v>4.2597531582869988E-3</v>
      </c>
      <c r="S24" s="1">
        <v>2.6260532107055048E-3</v>
      </c>
      <c r="T24" s="1">
        <v>2.5480505099220131E-3</v>
      </c>
      <c r="U24" s="1">
        <v>2.4006108625587851E-2</v>
      </c>
      <c r="V24" s="1">
        <v>2.9230409426130159E-3</v>
      </c>
      <c r="W24" s="1">
        <v>2.68717982611202E-3</v>
      </c>
      <c r="X24" s="1">
        <v>2.9228878967968385E-3</v>
      </c>
      <c r="Y24" s="1">
        <v>5.6554586472552931E-3</v>
      </c>
      <c r="Z24" s="1">
        <v>1.7468266567071675E-3</v>
      </c>
      <c r="AA24" s="1">
        <v>2.3935492959546601E-3</v>
      </c>
      <c r="AB24" s="1">
        <v>2.8171629404462233E-3</v>
      </c>
      <c r="AC24" s="1">
        <v>6.3827124078168276E-3</v>
      </c>
      <c r="AD24" s="1">
        <v>1.5625708384576806E-3</v>
      </c>
      <c r="AE24" s="1">
        <v>2.7073787373937948E-3</v>
      </c>
      <c r="AF24" s="1">
        <v>1.7590410186185813E-3</v>
      </c>
      <c r="AG24" s="1">
        <v>3.5142918672777992E-3</v>
      </c>
      <c r="AH24" s="1">
        <v>4.4551018177089487E-3</v>
      </c>
      <c r="AI24" s="1">
        <v>3.4126941092383072E-3</v>
      </c>
      <c r="AJ24" s="1">
        <v>5.0877698337506031E-3</v>
      </c>
      <c r="AK24" s="1">
        <v>2.9552780286560476E-3</v>
      </c>
      <c r="AL24" s="1">
        <v>2.8258390364954223E-3</v>
      </c>
      <c r="AM24" s="1">
        <v>6.0512659674916537E-3</v>
      </c>
      <c r="AN24" s="1">
        <v>2.6660201568167192E-3</v>
      </c>
      <c r="AO24" s="1">
        <v>3.4964702534558091E-3</v>
      </c>
    </row>
    <row r="25" spans="1:41" ht="15">
      <c r="A25" s="17" t="s">
        <v>62</v>
      </c>
      <c r="B25" s="1">
        <v>9.2414464396923916E-4</v>
      </c>
      <c r="C25" s="1">
        <v>9.4780319051544803E-4</v>
      </c>
      <c r="D25" s="1">
        <v>1.3094087636962431E-3</v>
      </c>
      <c r="E25" s="1">
        <v>1.5798187460488572E-3</v>
      </c>
      <c r="F25" s="1">
        <v>1.227441538986483E-3</v>
      </c>
      <c r="G25" s="1">
        <v>1.0821587616543769E-3</v>
      </c>
      <c r="H25" s="1">
        <v>1.7861873043037658E-3</v>
      </c>
      <c r="I25" s="1">
        <v>1.3957278511101765E-3</v>
      </c>
      <c r="J25" s="1">
        <v>1.1326173397114921E-3</v>
      </c>
      <c r="K25" s="1">
        <v>1.5148537529341669E-3</v>
      </c>
      <c r="L25" s="1">
        <v>1.785316214841119E-3</v>
      </c>
      <c r="M25" s="1">
        <v>1.3113934213073207E-3</v>
      </c>
      <c r="N25" s="1">
        <v>9.0670041944319077E-4</v>
      </c>
      <c r="O25" s="1">
        <v>1.0539667969470387E-3</v>
      </c>
      <c r="P25" s="1">
        <v>1.8258626348029922E-3</v>
      </c>
      <c r="Q25" s="1">
        <v>2.5255314725775788E-3</v>
      </c>
      <c r="R25" s="1">
        <v>2.2558894377487878E-3</v>
      </c>
      <c r="S25" s="1">
        <v>1.3907110296924176E-3</v>
      </c>
      <c r="T25" s="1">
        <v>1.3494021880119951E-3</v>
      </c>
      <c r="U25" s="1">
        <v>2.9230409426130159E-3</v>
      </c>
      <c r="V25" s="1">
        <v>6.7326884987501789E-3</v>
      </c>
      <c r="W25" s="1">
        <v>1.4230825969961773E-3</v>
      </c>
      <c r="X25" s="1">
        <v>1.547909395003378E-3</v>
      </c>
      <c r="Y25" s="1">
        <v>2.9950302174548428E-3</v>
      </c>
      <c r="Z25" s="1">
        <v>9.250882992545052E-4</v>
      </c>
      <c r="AA25" s="1">
        <v>1.2675810956253937E-3</v>
      </c>
      <c r="AB25" s="1">
        <v>1.4919193403041251E-3</v>
      </c>
      <c r="AC25" s="1">
        <v>3.380170862006556E-3</v>
      </c>
      <c r="AD25" s="1">
        <v>8.2750969815079004E-4</v>
      </c>
      <c r="AE25" s="1">
        <v>1.4337795808169263E-3</v>
      </c>
      <c r="AF25" s="1">
        <v>9.3155680787482156E-4</v>
      </c>
      <c r="AG25" s="1">
        <v>1.8611064092142204E-3</v>
      </c>
      <c r="AH25" s="1">
        <v>2.3593426100555087E-3</v>
      </c>
      <c r="AI25" s="1">
        <v>1.8073020452654856E-3</v>
      </c>
      <c r="AJ25" s="1">
        <v>2.694392328186075E-3</v>
      </c>
      <c r="AK25" s="1">
        <v>1.5650626322059448E-3</v>
      </c>
      <c r="AL25" s="1">
        <v>1.4965140463143089E-3</v>
      </c>
      <c r="AM25" s="1">
        <v>3.204642727834182E-3</v>
      </c>
      <c r="AN25" s="1">
        <v>1.4118768128355001E-3</v>
      </c>
      <c r="AO25" s="1">
        <v>1.851668399805987E-3</v>
      </c>
    </row>
    <row r="26" spans="1:41" ht="15">
      <c r="A26" s="17" t="s">
        <v>66</v>
      </c>
      <c r="B26" s="1">
        <v>8.4957511455986028E-4</v>
      </c>
      <c r="C26" s="1">
        <v>8.7132464535407252E-4</v>
      </c>
      <c r="D26" s="1">
        <v>1.2037521481972136E-3</v>
      </c>
      <c r="E26" s="1">
        <v>1.452342661851696E-3</v>
      </c>
      <c r="F26" s="1">
        <v>1.1283988852882245E-3</v>
      </c>
      <c r="G26" s="1">
        <v>9.948390221207362E-4</v>
      </c>
      <c r="H26" s="1">
        <v>1.6420592745758002E-3</v>
      </c>
      <c r="I26" s="1">
        <v>1.2831061206050613E-3</v>
      </c>
      <c r="J26" s="1">
        <v>1.0412260812387548E-3</v>
      </c>
      <c r="K26" s="1">
        <v>1.3926197149862151E-3</v>
      </c>
      <c r="L26" s="1">
        <v>1.6412584736028686E-3</v>
      </c>
      <c r="M26" s="1">
        <v>1.2055766631454922E-3</v>
      </c>
      <c r="N26" s="1">
        <v>8.3353847013754108E-4</v>
      </c>
      <c r="O26" s="1">
        <v>9.6892187613909311E-4</v>
      </c>
      <c r="P26" s="1">
        <v>1.6785331898595667E-3</v>
      </c>
      <c r="Q26" s="1">
        <v>2.3217455234324207E-3</v>
      </c>
      <c r="R26" s="1">
        <v>2.0738609913683588E-3</v>
      </c>
      <c r="S26" s="1">
        <v>1.2784941081257022E-3</v>
      </c>
      <c r="T26" s="1">
        <v>1.2405184902048473E-3</v>
      </c>
      <c r="U26" s="1">
        <v>2.6871798261120204E-3</v>
      </c>
      <c r="V26" s="1">
        <v>1.4230825969961773E-3</v>
      </c>
      <c r="W26" s="1">
        <v>5.6899989365956829E-3</v>
      </c>
      <c r="X26" s="1">
        <v>1.4230080866345981E-3</v>
      </c>
      <c r="Y26" s="1">
        <v>2.7533602631463578E-3</v>
      </c>
      <c r="Z26" s="1">
        <v>8.5044262599577754E-4</v>
      </c>
      <c r="AA26" s="1">
        <v>1.1652995681547258E-3</v>
      </c>
      <c r="AB26" s="1">
        <v>1.3715358875089016E-3</v>
      </c>
      <c r="AC26" s="1">
        <v>3.1074237848601424E-3</v>
      </c>
      <c r="AD26" s="1">
        <v>7.607376736895894E-4</v>
      </c>
      <c r="AE26" s="1">
        <v>1.3180874439679966E-3</v>
      </c>
      <c r="AF26" s="1">
        <v>8.5638918856907056E-4</v>
      </c>
      <c r="AG26" s="1">
        <v>1.7109331327454962E-3</v>
      </c>
      <c r="AH26" s="1">
        <v>2.1689664938323093E-3</v>
      </c>
      <c r="AI26" s="1">
        <v>1.6614702602786528E-3</v>
      </c>
      <c r="AJ26" s="1">
        <v>2.4769809421349492E-3</v>
      </c>
      <c r="AK26" s="1">
        <v>1.4387772235944269E-3</v>
      </c>
      <c r="AL26" s="1">
        <v>1.3757598452090783E-3</v>
      </c>
      <c r="AM26" s="1">
        <v>2.9460590724516194E-3</v>
      </c>
      <c r="AN26" s="1">
        <v>1.2979520173998398E-3</v>
      </c>
      <c r="AO26" s="1">
        <v>1.7022566793606906E-3</v>
      </c>
    </row>
    <row r="27" spans="1:41" ht="15">
      <c r="A27" s="17" t="s">
        <v>70</v>
      </c>
      <c r="B27" s="1">
        <v>9.2409625721240644E-4</v>
      </c>
      <c r="C27" s="1">
        <v>9.4775356503441104E-4</v>
      </c>
      <c r="D27" s="1">
        <v>1.309340205117392E-3</v>
      </c>
      <c r="E27" s="1">
        <v>1.5797360292295762E-3</v>
      </c>
      <c r="F27" s="1">
        <v>1.227377272082313E-3</v>
      </c>
      <c r="G27" s="1">
        <v>1.0821021015274192E-3</v>
      </c>
      <c r="H27" s="1">
        <v>1.7860937823520725E-3</v>
      </c>
      <c r="I27" s="1">
        <v>1.3956547729999727E-3</v>
      </c>
      <c r="J27" s="1">
        <v>1.1325580376529249E-3</v>
      </c>
      <c r="K27" s="1">
        <v>1.5147744375795212E-3</v>
      </c>
      <c r="L27" s="1">
        <v>1.785222738498297E-3</v>
      </c>
      <c r="M27" s="1">
        <v>1.3113247588149254E-3</v>
      </c>
      <c r="N27" s="1">
        <v>9.0665294603845708E-4</v>
      </c>
      <c r="O27" s="1">
        <v>1.0539116129069143E-3</v>
      </c>
      <c r="P27" s="1">
        <v>1.825767035513534E-3</v>
      </c>
      <c r="Q27" s="1">
        <v>2.52539923973066E-3</v>
      </c>
      <c r="R27" s="1">
        <v>2.2557713229337771E-3</v>
      </c>
      <c r="S27" s="1">
        <v>1.3906382142550753E-3</v>
      </c>
      <c r="T27" s="1">
        <v>1.349331535440488E-3</v>
      </c>
      <c r="U27" s="1">
        <v>2.9228878967968389E-3</v>
      </c>
      <c r="V27" s="1">
        <v>1.547909395003378E-3</v>
      </c>
      <c r="W27" s="1">
        <v>1.4230080866345981E-3</v>
      </c>
      <c r="X27" s="1">
        <v>6.7319834912930327E-3</v>
      </c>
      <c r="Y27" s="1">
        <v>2.9948734023937111E-3</v>
      </c>
      <c r="Z27" s="1">
        <v>9.2503986308936929E-4</v>
      </c>
      <c r="AA27" s="1">
        <v>1.2675147270773098E-3</v>
      </c>
      <c r="AB27" s="1">
        <v>1.4918412257591733E-3</v>
      </c>
      <c r="AC27" s="1">
        <v>3.3799938815883713E-3</v>
      </c>
      <c r="AD27" s="1">
        <v>8.2746637104739507E-4</v>
      </c>
      <c r="AE27" s="1">
        <v>1.4337045103781356E-3</v>
      </c>
      <c r="AF27" s="1">
        <v>9.3150803302877053E-4</v>
      </c>
      <c r="AG27" s="1">
        <v>1.8610089646162887E-3</v>
      </c>
      <c r="AH27" s="1">
        <v>2.3592190785954683E-3</v>
      </c>
      <c r="AI27" s="1">
        <v>1.8072074177792386E-3</v>
      </c>
      <c r="AJ27" s="1">
        <v>2.6942512540509308E-3</v>
      </c>
      <c r="AK27" s="1">
        <v>1.5649806879935245E-3</v>
      </c>
      <c r="AL27" s="1">
        <v>1.4964356911977932E-3</v>
      </c>
      <c r="AM27" s="1">
        <v>3.2044749377924185E-3</v>
      </c>
      <c r="AN27" s="1">
        <v>1.4118028891911161E-3</v>
      </c>
      <c r="AO27" s="1">
        <v>1.8515714493673508E-3</v>
      </c>
    </row>
    <row r="28" spans="1:41" ht="15">
      <c r="A28" s="17" t="s">
        <v>74</v>
      </c>
      <c r="B28" s="1">
        <v>1.788022104602602E-3</v>
      </c>
      <c r="C28" s="1">
        <v>1.8337963288687321E-3</v>
      </c>
      <c r="D28" s="1">
        <v>2.5334257236978349E-3</v>
      </c>
      <c r="E28" s="1">
        <v>3.0566111675640953E-3</v>
      </c>
      <c r="F28" s="1">
        <v>2.3748366861587526E-3</v>
      </c>
      <c r="G28" s="1">
        <v>2.0937456048187733E-3</v>
      </c>
      <c r="H28" s="1">
        <v>3.4558901616725422E-3</v>
      </c>
      <c r="I28" s="1">
        <v>2.7004346842024792E-3</v>
      </c>
      <c r="J28" s="1">
        <v>2.1913721544305682E-3</v>
      </c>
      <c r="K28" s="1">
        <v>2.9309178094167002E-3</v>
      </c>
      <c r="L28" s="1">
        <v>3.4542047899891555E-3</v>
      </c>
      <c r="M28" s="1">
        <v>2.5372656114273501E-3</v>
      </c>
      <c r="N28" s="1">
        <v>1.7542712634829043E-3</v>
      </c>
      <c r="O28" s="1">
        <v>2.0392001866335924E-3</v>
      </c>
      <c r="P28" s="1">
        <v>3.5326534350442716E-3</v>
      </c>
      <c r="Q28" s="1">
        <v>4.8863628960106598E-3</v>
      </c>
      <c r="R28" s="1">
        <v>4.3646632662501569E-3</v>
      </c>
      <c r="S28" s="1">
        <v>2.6907282084377448E-3</v>
      </c>
      <c r="T28" s="1">
        <v>2.6108044405274656E-3</v>
      </c>
      <c r="U28" s="1">
        <v>5.655458647255294E-3</v>
      </c>
      <c r="V28" s="1">
        <v>2.9950302174548428E-3</v>
      </c>
      <c r="W28" s="1">
        <v>2.7533602631463574E-3</v>
      </c>
      <c r="X28" s="1">
        <v>2.9948734023937111E-3</v>
      </c>
      <c r="Y28" s="1">
        <v>2.5203124615153279E-2</v>
      </c>
      <c r="Z28" s="1">
        <v>1.78984787562253E-3</v>
      </c>
      <c r="AA28" s="1">
        <v>2.4524981377590815E-3</v>
      </c>
      <c r="AB28" s="1">
        <v>2.8865446293023151E-3</v>
      </c>
      <c r="AC28" s="1">
        <v>6.5399072082946864E-3</v>
      </c>
      <c r="AD28" s="1">
        <v>1.6010541658410446E-3</v>
      </c>
      <c r="AE28" s="1">
        <v>2.7740566375168531E-3</v>
      </c>
      <c r="AF28" s="1">
        <v>1.8023630554403368E-3</v>
      </c>
      <c r="AG28" s="1">
        <v>3.6008425958083752E-3</v>
      </c>
      <c r="AH28" s="1">
        <v>4.5648230140588946E-3</v>
      </c>
      <c r="AI28" s="1">
        <v>3.4967426665470595E-3</v>
      </c>
      <c r="AJ28" s="1">
        <v>5.2130725127361435E-3</v>
      </c>
      <c r="AK28" s="1">
        <v>3.0280612453183323E-3</v>
      </c>
      <c r="AL28" s="1">
        <v>2.8954344020927234E-3</v>
      </c>
      <c r="AM28" s="1">
        <v>6.2002978344504953E-3</v>
      </c>
      <c r="AN28" s="1">
        <v>2.7316794690093707E-3</v>
      </c>
      <c r="AO28" s="1">
        <v>3.5825820674857869E-3</v>
      </c>
    </row>
    <row r="29" spans="1:41" ht="15">
      <c r="A29" s="17" t="s">
        <v>76</v>
      </c>
      <c r="B29" s="1">
        <v>5.5227433704555645E-4</v>
      </c>
      <c r="C29" s="1">
        <v>5.6641282520813443E-4</v>
      </c>
      <c r="D29" s="1">
        <v>7.8251046696111684E-4</v>
      </c>
      <c r="E29" s="1">
        <v>9.4410908110539947E-4</v>
      </c>
      <c r="F29" s="1">
        <v>7.3352636584506504E-4</v>
      </c>
      <c r="G29" s="1">
        <v>6.4670451381267167E-4</v>
      </c>
      <c r="H29" s="1">
        <v>1.067436159221399E-3</v>
      </c>
      <c r="I29" s="1">
        <v>8.3409526711875786E-4</v>
      </c>
      <c r="J29" s="1">
        <v>6.7685886024167316E-4</v>
      </c>
      <c r="K29" s="1">
        <v>9.0528561473818107E-4</v>
      </c>
      <c r="L29" s="1">
        <v>1.0669155909763413E-3</v>
      </c>
      <c r="M29" s="1">
        <v>7.8369651015638183E-4</v>
      </c>
      <c r="N29" s="1">
        <v>5.4184956469171934E-4</v>
      </c>
      <c r="O29" s="1">
        <v>6.2985682798733975E-4</v>
      </c>
      <c r="P29" s="1">
        <v>1.0911463727594141E-3</v>
      </c>
      <c r="Q29" s="1">
        <v>1.5092726325987309E-3</v>
      </c>
      <c r="R29" s="1">
        <v>1.3481329484632653E-3</v>
      </c>
      <c r="S29" s="1">
        <v>8.3109718479403797E-4</v>
      </c>
      <c r="T29" s="1">
        <v>8.0641077525625277E-4</v>
      </c>
      <c r="U29" s="1">
        <v>1.7468266567071677E-3</v>
      </c>
      <c r="V29" s="1">
        <v>9.250882992545052E-4</v>
      </c>
      <c r="W29" s="1">
        <v>8.5044262599577743E-4</v>
      </c>
      <c r="X29" s="1">
        <v>9.2503986308936929E-4</v>
      </c>
      <c r="Y29" s="1">
        <v>1.78984787562253E-3</v>
      </c>
      <c r="Z29" s="1">
        <v>2.40446436889718E-3</v>
      </c>
      <c r="AA29" s="1">
        <v>7.5751400368587348E-4</v>
      </c>
      <c r="AB29" s="1">
        <v>8.9157987331183451E-4</v>
      </c>
      <c r="AC29" s="1">
        <v>2.0200102160387733E-3</v>
      </c>
      <c r="AD29" s="1">
        <v>4.945247185355197E-4</v>
      </c>
      <c r="AE29" s="1">
        <v>8.568352071642594E-4</v>
      </c>
      <c r="AF29" s="1">
        <v>5.567038902910815E-4</v>
      </c>
      <c r="AG29" s="1">
        <v>1.1122082620155641E-3</v>
      </c>
      <c r="AH29" s="1">
        <v>1.4099571796848615E-3</v>
      </c>
      <c r="AI29" s="1">
        <v>1.0800544540333858E-3</v>
      </c>
      <c r="AJ29" s="1">
        <v>1.6101848844769461E-3</v>
      </c>
      <c r="AK29" s="1">
        <v>9.352907396875873E-4</v>
      </c>
      <c r="AL29" s="1">
        <v>8.9432569695778962E-4</v>
      </c>
      <c r="AM29" s="1">
        <v>1.9151135588266171E-3</v>
      </c>
      <c r="AN29" s="1">
        <v>8.437459827172611E-4</v>
      </c>
      <c r="AO29" s="1">
        <v>1.1065680514457399E-3</v>
      </c>
    </row>
    <row r="30" spans="1:41" ht="15">
      <c r="A30" s="17" t="s">
        <v>79</v>
      </c>
      <c r="B30" s="1">
        <v>7.5674128599631095E-4</v>
      </c>
      <c r="C30" s="1">
        <v>7.761142262119095E-4</v>
      </c>
      <c r="D30" s="1">
        <v>1.0722170800865638E-3</v>
      </c>
      <c r="E30" s="1">
        <v>1.2936438871639288E-3</v>
      </c>
      <c r="F30" s="1">
        <v>1.0050977352511062E-3</v>
      </c>
      <c r="G30" s="1">
        <v>8.8613207714891722E-4</v>
      </c>
      <c r="H30" s="1">
        <v>1.4626299968407408E-3</v>
      </c>
      <c r="I30" s="1">
        <v>1.1428999733348443E-3</v>
      </c>
      <c r="J30" s="1">
        <v>9.2745038105044111E-4</v>
      </c>
      <c r="K30" s="1">
        <v>1.2404469198329265E-3</v>
      </c>
      <c r="L30" s="1">
        <v>1.4619167001025267E-3</v>
      </c>
      <c r="M30" s="1">
        <v>1.0738422286633261E-3</v>
      </c>
      <c r="N30" s="1">
        <v>7.4245697997647362E-4</v>
      </c>
      <c r="O30" s="1">
        <v>8.6304692076499541E-4</v>
      </c>
      <c r="P30" s="1">
        <v>1.4951183749536724E-3</v>
      </c>
      <c r="Q30" s="1">
        <v>2.0680463246250539E-3</v>
      </c>
      <c r="R30" s="1">
        <v>1.8472483559016713E-3</v>
      </c>
      <c r="S30" s="1">
        <v>1.1387919195620249E-3</v>
      </c>
      <c r="T30" s="1">
        <v>1.1049659311950981E-3</v>
      </c>
      <c r="U30" s="1">
        <v>2.3935492959546605E-3</v>
      </c>
      <c r="V30" s="1">
        <v>1.2675810956253937E-3</v>
      </c>
      <c r="W30" s="1">
        <v>1.1652995681547256E-3</v>
      </c>
      <c r="X30" s="1">
        <v>1.2675147270773098E-3</v>
      </c>
      <c r="Y30" s="1">
        <v>2.4524981377590815E-3</v>
      </c>
      <c r="Z30" s="1">
        <v>7.5751400368587337E-4</v>
      </c>
      <c r="AA30" s="1">
        <v>4.5144357569033679E-3</v>
      </c>
      <c r="AB30" s="1">
        <v>1.2216669409405689E-3</v>
      </c>
      <c r="AC30" s="1">
        <v>2.7678728234746359E-3</v>
      </c>
      <c r="AD30" s="1">
        <v>6.7761119132114106E-4</v>
      </c>
      <c r="AE30" s="1">
        <v>1.1740588563739676E-3</v>
      </c>
      <c r="AF30" s="1">
        <v>7.6281078007662563E-4</v>
      </c>
      <c r="AG30" s="1">
        <v>1.5239779472569497E-3</v>
      </c>
      <c r="AH30" s="1">
        <v>1.9319615955040118E-3</v>
      </c>
      <c r="AI30" s="1">
        <v>1.4799199268675197E-3</v>
      </c>
      <c r="AJ30" s="1">
        <v>2.2063190310260489E-3</v>
      </c>
      <c r="AK30" s="1">
        <v>1.2815607564130619E-3</v>
      </c>
      <c r="AL30" s="1">
        <v>1.225429343025147E-3</v>
      </c>
      <c r="AM30" s="1">
        <v>2.6241405767436182E-3</v>
      </c>
      <c r="AN30" s="1">
        <v>1.1561236457797105E-3</v>
      </c>
      <c r="AO30" s="1">
        <v>1.5162495776522133E-3</v>
      </c>
    </row>
    <row r="31" spans="1:41" ht="15">
      <c r="A31" s="17" t="s">
        <v>87</v>
      </c>
      <c r="B31" s="1">
        <v>8.9067039898342104E-4</v>
      </c>
      <c r="C31" s="1">
        <v>9.1347198878777758E-4</v>
      </c>
      <c r="D31" s="1">
        <v>1.2619795327543342E-3</v>
      </c>
      <c r="E31" s="1">
        <v>1.5225947605141993E-3</v>
      </c>
      <c r="F31" s="1">
        <v>1.1829813140098713E-3</v>
      </c>
      <c r="G31" s="1">
        <v>1.0429609502105074E-3</v>
      </c>
      <c r="H31" s="1">
        <v>1.7214882641643173E-3</v>
      </c>
      <c r="I31" s="1">
        <v>1.345171981608057E-3</v>
      </c>
      <c r="J31" s="1">
        <v>1.0915918243312936E-3</v>
      </c>
      <c r="K31" s="1">
        <v>1.4599829207821687E-3</v>
      </c>
      <c r="L31" s="1">
        <v>1.7206487271889E-3</v>
      </c>
      <c r="M31" s="1">
        <v>1.2638923023600875E-3</v>
      </c>
      <c r="N31" s="1">
        <v>8.738580368494595E-4</v>
      </c>
      <c r="O31" s="1">
        <v>1.0157901511176684E-3</v>
      </c>
      <c r="P31" s="1">
        <v>1.7597264800931229E-3</v>
      </c>
      <c r="Q31" s="1">
        <v>2.4340520058251107E-3</v>
      </c>
      <c r="R31" s="1">
        <v>2.1741769090954963E-3</v>
      </c>
      <c r="S31" s="1">
        <v>1.3403368788317295E-3</v>
      </c>
      <c r="T31" s="1">
        <v>1.300524320547542E-3</v>
      </c>
      <c r="U31" s="1">
        <v>2.8171629404462237E-3</v>
      </c>
      <c r="V31" s="1">
        <v>1.4919193403041251E-3</v>
      </c>
      <c r="W31" s="1">
        <v>1.3715358875089016E-3</v>
      </c>
      <c r="X31" s="1">
        <v>1.4918412257591733E-3</v>
      </c>
      <c r="Y31" s="1">
        <v>2.8865446293023147E-3</v>
      </c>
      <c r="Z31" s="1">
        <v>8.915798733118344E-4</v>
      </c>
      <c r="AA31" s="1">
        <v>1.2216669409405687E-3</v>
      </c>
      <c r="AB31" s="1">
        <v>6.253780842102658E-3</v>
      </c>
      <c r="AC31" s="1">
        <v>3.2577347603993953E-3</v>
      </c>
      <c r="AD31" s="1">
        <v>7.9753575138303493E-4</v>
      </c>
      <c r="AE31" s="1">
        <v>1.381845406597412E-3</v>
      </c>
      <c r="AF31" s="1">
        <v>8.9781408046899522E-4</v>
      </c>
      <c r="AG31" s="1">
        <v>1.7936936591720456E-3</v>
      </c>
      <c r="AH31" s="1">
        <v>2.2738828142866694E-3</v>
      </c>
      <c r="AI31" s="1">
        <v>1.7418381897734002E-3</v>
      </c>
      <c r="AJ31" s="1">
        <v>2.5967964058700313E-3</v>
      </c>
      <c r="AK31" s="1">
        <v>1.508373140673973E-3</v>
      </c>
      <c r="AL31" s="1">
        <v>1.4423075125882848E-3</v>
      </c>
      <c r="AM31" s="1">
        <v>3.0885645830723406E-3</v>
      </c>
      <c r="AN31" s="1">
        <v>1.3607359977790374E-3</v>
      </c>
      <c r="AO31" s="1">
        <v>1.7845975120915024E-3</v>
      </c>
    </row>
    <row r="32" spans="1:41" ht="15">
      <c r="A32" s="17" t="s">
        <v>88</v>
      </c>
      <c r="B32" s="1">
        <v>2.0179496632048515E-3</v>
      </c>
      <c r="C32" s="1">
        <v>2.0696101433541341E-3</v>
      </c>
      <c r="D32" s="1">
        <v>2.8592071500294996E-3</v>
      </c>
      <c r="E32" s="1">
        <v>3.4496707061152615E-3</v>
      </c>
      <c r="F32" s="1">
        <v>2.6802246340604926E-3</v>
      </c>
      <c r="G32" s="1">
        <v>2.3629871393674564E-3</v>
      </c>
      <c r="H32" s="1">
        <v>3.9002942804054626E-3</v>
      </c>
      <c r="I32" s="1">
        <v>3.0476923341527925E-3</v>
      </c>
      <c r="J32" s="1">
        <v>2.4731678034665503E-3</v>
      </c>
      <c r="K32" s="1">
        <v>3.307814031587742E-3</v>
      </c>
      <c r="L32" s="1">
        <v>3.8983921813138967E-3</v>
      </c>
      <c r="M32" s="1">
        <v>2.8635408213697885E-3</v>
      </c>
      <c r="N32" s="1">
        <v>1.9798586920166E-3</v>
      </c>
      <c r="O32" s="1">
        <v>2.3014275490397871E-3</v>
      </c>
      <c r="P32" s="1">
        <v>3.9869287919409961E-3</v>
      </c>
      <c r="Q32" s="1">
        <v>5.5147161407676955E-3</v>
      </c>
      <c r="R32" s="1">
        <v>4.9259294644400644E-3</v>
      </c>
      <c r="S32" s="1">
        <v>3.0367376712043133E-3</v>
      </c>
      <c r="T32" s="1">
        <v>2.9465362468922484E-3</v>
      </c>
      <c r="U32" s="1">
        <v>6.3827124078168276E-3</v>
      </c>
      <c r="V32" s="1">
        <v>3.380170862006556E-3</v>
      </c>
      <c r="W32" s="1">
        <v>3.1074237848601419E-3</v>
      </c>
      <c r="X32" s="1">
        <v>3.3799938815883713E-3</v>
      </c>
      <c r="Y32" s="1">
        <v>6.5399072082946855E-3</v>
      </c>
      <c r="Z32" s="1">
        <v>2.0200102160387728E-3</v>
      </c>
      <c r="AA32" s="1">
        <v>2.7678728234746359E-3</v>
      </c>
      <c r="AB32" s="1">
        <v>3.2577347603993949E-3</v>
      </c>
      <c r="AC32" s="1">
        <v>3.2101792062676451E-2</v>
      </c>
      <c r="AD32" s="1">
        <v>1.8069389111102375E-3</v>
      </c>
      <c r="AE32" s="1">
        <v>3.1307815731016833E-3</v>
      </c>
      <c r="AF32" s="1">
        <v>2.034134763399391E-3</v>
      </c>
      <c r="AG32" s="1">
        <v>4.0638866179342759E-3</v>
      </c>
      <c r="AH32" s="1">
        <v>5.1518284030706817E-3</v>
      </c>
      <c r="AI32" s="1">
        <v>3.9464001413119917E-3</v>
      </c>
      <c r="AJ32" s="1">
        <v>5.8834384061915365E-3</v>
      </c>
      <c r="AK32" s="1">
        <v>3.417449456818589E-3</v>
      </c>
      <c r="AL32" s="1">
        <v>3.2677676978906008E-3</v>
      </c>
      <c r="AM32" s="1">
        <v>6.9976142322804146E-3</v>
      </c>
      <c r="AN32" s="1">
        <v>3.082954987123175E-3</v>
      </c>
      <c r="AO32" s="1">
        <v>4.0432779090801424E-3</v>
      </c>
    </row>
    <row r="33" spans="1:41" ht="15">
      <c r="A33" s="17" t="s">
        <v>91</v>
      </c>
      <c r="B33" s="1">
        <v>4.9402026845792512E-4</v>
      </c>
      <c r="C33" s="1">
        <v>5.0666742449822079E-4</v>
      </c>
      <c r="D33" s="1">
        <v>6.9997101988713108E-4</v>
      </c>
      <c r="E33" s="1">
        <v>8.4452416202489766E-4</v>
      </c>
      <c r="F33" s="1">
        <v>6.5615377696945788E-4</v>
      </c>
      <c r="G33" s="1">
        <v>5.7848992085311041E-4</v>
      </c>
      <c r="H33" s="1">
        <v>9.5484266164037402E-4</v>
      </c>
      <c r="I33" s="1">
        <v>7.4611463930380529E-4</v>
      </c>
      <c r="J33" s="1">
        <v>6.0546357745595164E-4</v>
      </c>
      <c r="K33" s="1">
        <v>8.0979580694723211E-4</v>
      </c>
      <c r="L33" s="1">
        <v>9.5437700309547414E-4</v>
      </c>
      <c r="M33" s="1">
        <v>7.0103195887781815E-4</v>
      </c>
      <c r="N33" s="1">
        <v>4.8469510432952104E-4</v>
      </c>
      <c r="O33" s="1">
        <v>5.6341933416090523E-4</v>
      </c>
      <c r="P33" s="1">
        <v>9.7605191449088018E-4</v>
      </c>
      <c r="Q33" s="1">
        <v>1.3500740865877313E-3</v>
      </c>
      <c r="R33" s="1">
        <v>1.2059314663789248E-3</v>
      </c>
      <c r="S33" s="1">
        <v>7.4343279563379076E-4</v>
      </c>
      <c r="T33" s="1">
        <v>7.2135031624074068E-4</v>
      </c>
      <c r="U33" s="1">
        <v>1.5625708384576806E-3</v>
      </c>
      <c r="V33" s="1">
        <v>8.2750969815078993E-4</v>
      </c>
      <c r="W33" s="1">
        <v>7.607376736895894E-4</v>
      </c>
      <c r="X33" s="1">
        <v>8.2746637104739507E-4</v>
      </c>
      <c r="Y33" s="1">
        <v>1.6010541658410446E-3</v>
      </c>
      <c r="Z33" s="1">
        <v>4.945247185355197E-4</v>
      </c>
      <c r="AA33" s="1">
        <v>6.7761119132114106E-4</v>
      </c>
      <c r="AB33" s="1">
        <v>7.9753575138303493E-4</v>
      </c>
      <c r="AC33" s="1">
        <v>1.8069389111102375E-3</v>
      </c>
      <c r="AD33" s="1">
        <v>1.9239693733546636E-3</v>
      </c>
      <c r="AE33" s="1">
        <v>7.6645596341111952E-4</v>
      </c>
      <c r="AF33" s="1">
        <v>4.9798259105145615E-4</v>
      </c>
      <c r="AG33" s="1">
        <v>9.9489218912724451E-4</v>
      </c>
      <c r="AH33" s="1">
        <v>1.2612344584909381E-3</v>
      </c>
      <c r="AI33" s="1">
        <v>9.661299747968147E-4</v>
      </c>
      <c r="AJ33" s="1">
        <v>1.4403420827982041E-3</v>
      </c>
      <c r="AK33" s="1">
        <v>8.3663598199848835E-4</v>
      </c>
      <c r="AL33" s="1">
        <v>7.9999194469806305E-4</v>
      </c>
      <c r="AM33" s="1">
        <v>1.7131067858778576E-3</v>
      </c>
      <c r="AN33" s="1">
        <v>7.5474739442382168E-4</v>
      </c>
      <c r="AO33" s="1">
        <v>9.8984690971996685E-4</v>
      </c>
    </row>
    <row r="34" spans="1:41" ht="15">
      <c r="A34" s="17" t="s">
        <v>94</v>
      </c>
      <c r="B34" s="1">
        <v>8.5596117484486431E-4</v>
      </c>
      <c r="C34" s="1">
        <v>8.7787419184817337E-4</v>
      </c>
      <c r="D34" s="1">
        <v>1.2128004755962254E-3</v>
      </c>
      <c r="E34" s="1">
        <v>1.4632595868346897E-3</v>
      </c>
      <c r="F34" s="1">
        <v>1.1368807995810121E-3</v>
      </c>
      <c r="G34" s="1">
        <v>1.0023169977114276E-3</v>
      </c>
      <c r="H34" s="1">
        <v>1.6544022556015847E-3</v>
      </c>
      <c r="I34" s="1">
        <v>1.292750933521323E-3</v>
      </c>
      <c r="J34" s="1">
        <v>1.0490527376593045E-3</v>
      </c>
      <c r="K34" s="1">
        <v>1.4030877163454529E-3</v>
      </c>
      <c r="L34" s="1">
        <v>1.6535954351923469E-3</v>
      </c>
      <c r="M34" s="1">
        <v>1.2146387050027676E-3</v>
      </c>
      <c r="N34" s="1">
        <v>8.398039866633236E-4</v>
      </c>
      <c r="O34" s="1">
        <v>9.7620503851807725E-4</v>
      </c>
      <c r="P34" s="1">
        <v>1.691150336898268E-3</v>
      </c>
      <c r="Q34" s="1">
        <v>2.3391975493039165E-3</v>
      </c>
      <c r="R34" s="1">
        <v>2.0894497263567392E-3</v>
      </c>
      <c r="S34" s="1">
        <v>1.2881042536073565E-3</v>
      </c>
      <c r="T34" s="1">
        <v>1.2498431817210467E-3</v>
      </c>
      <c r="U34" s="1">
        <v>2.7073787373937952E-3</v>
      </c>
      <c r="V34" s="1">
        <v>1.4337795808169263E-3</v>
      </c>
      <c r="W34" s="1">
        <v>1.3180874439679964E-3</v>
      </c>
      <c r="X34" s="1">
        <v>1.4337045103781356E-3</v>
      </c>
      <c r="Y34" s="1">
        <v>2.7740566375168531E-3</v>
      </c>
      <c r="Z34" s="1">
        <v>8.568352071642594E-4</v>
      </c>
      <c r="AA34" s="1">
        <v>1.1740588563739676E-3</v>
      </c>
      <c r="AB34" s="1">
        <v>1.381845406597412E-3</v>
      </c>
      <c r="AC34" s="1">
        <v>3.1307815731016833E-3</v>
      </c>
      <c r="AD34" s="1">
        <v>7.6645596341111952E-4</v>
      </c>
      <c r="AE34" s="1">
        <v>5.7758612525108605E-3</v>
      </c>
      <c r="AF34" s="1">
        <v>8.6282646867756466E-4</v>
      </c>
      <c r="AG34" s="1">
        <v>1.723793822685766E-3</v>
      </c>
      <c r="AH34" s="1">
        <v>2.1852701149581975E-3</v>
      </c>
      <c r="AI34" s="1">
        <v>1.6739591492091835E-3</v>
      </c>
      <c r="AJ34" s="1">
        <v>2.4955998368626684E-3</v>
      </c>
      <c r="AK34" s="1">
        <v>1.4495921803052586E-3</v>
      </c>
      <c r="AL34" s="1">
        <v>1.3861011148138789E-3</v>
      </c>
      <c r="AM34" s="1">
        <v>2.968203919349125E-3</v>
      </c>
      <c r="AN34" s="1">
        <v>1.307708423499908E-3</v>
      </c>
      <c r="AO34" s="1">
        <v>1.7150521504010353E-3</v>
      </c>
    </row>
    <row r="35" spans="1:41" ht="15">
      <c r="A35" s="17" t="s">
        <v>95</v>
      </c>
      <c r="B35" s="1">
        <v>5.5613601307457716E-4</v>
      </c>
      <c r="C35" s="1">
        <v>5.7037336199739993E-4</v>
      </c>
      <c r="D35" s="1">
        <v>7.8798202649235801E-4</v>
      </c>
      <c r="E35" s="1">
        <v>9.5071058902044994E-4</v>
      </c>
      <c r="F35" s="1">
        <v>7.3865541312035938E-4</v>
      </c>
      <c r="G35" s="1">
        <v>6.512264753657102E-4</v>
      </c>
      <c r="H35" s="1">
        <v>1.0749000088918848E-3</v>
      </c>
      <c r="I35" s="1">
        <v>8.3992752381238439E-4</v>
      </c>
      <c r="J35" s="1">
        <v>6.8159167047799219E-4</v>
      </c>
      <c r="K35" s="1">
        <v>9.1161565675417161E-4</v>
      </c>
      <c r="L35" s="1">
        <v>1.0743758006697746E-3</v>
      </c>
      <c r="M35" s="1">
        <v>7.8917636287502879E-4</v>
      </c>
      <c r="N35" s="1">
        <v>5.4563834743056434E-4</v>
      </c>
      <c r="O35" s="1">
        <v>6.3426098521717877E-4</v>
      </c>
      <c r="P35" s="1">
        <v>1.0987760117072949E-3</v>
      </c>
      <c r="Q35" s="1">
        <v>1.5198259419879423E-3</v>
      </c>
      <c r="R35" s="1">
        <v>1.3575595184517673E-3</v>
      </c>
      <c r="S35" s="1">
        <v>8.369084779522079E-4</v>
      </c>
      <c r="T35" s="1">
        <v>8.1204945326727573E-4</v>
      </c>
      <c r="U35" s="1">
        <v>1.7590410186185813E-3</v>
      </c>
      <c r="V35" s="1">
        <v>9.3155680787482145E-4</v>
      </c>
      <c r="W35" s="1">
        <v>8.5638918856907045E-4</v>
      </c>
      <c r="X35" s="1">
        <v>9.3150803302877042E-4</v>
      </c>
      <c r="Y35" s="1">
        <v>1.8023630554403368E-3</v>
      </c>
      <c r="Z35" s="1">
        <v>5.567038902910815E-4</v>
      </c>
      <c r="AA35" s="1">
        <v>7.6281078007662563E-4</v>
      </c>
      <c r="AB35" s="1">
        <v>8.9781408046899522E-4</v>
      </c>
      <c r="AC35" s="1">
        <v>2.034134763399391E-3</v>
      </c>
      <c r="AD35" s="1">
        <v>4.9798259105145615E-4</v>
      </c>
      <c r="AE35" s="1">
        <v>8.6282646867756455E-4</v>
      </c>
      <c r="AF35" s="1">
        <v>2.4382074727496181E-3</v>
      </c>
      <c r="AG35" s="1">
        <v>1.1199851723237284E-3</v>
      </c>
      <c r="AH35" s="1">
        <v>1.4198160441612775E-3</v>
      </c>
      <c r="AI35" s="1">
        <v>1.0876065347936289E-3</v>
      </c>
      <c r="AJ35" s="1">
        <v>1.6214438041000086E-3</v>
      </c>
      <c r="AK35" s="1">
        <v>9.4183058698329579E-4</v>
      </c>
      <c r="AL35" s="1">
        <v>9.0057910377831015E-4</v>
      </c>
      <c r="AM35" s="1">
        <v>1.9285046357369374E-3</v>
      </c>
      <c r="AN35" s="1">
        <v>8.4964572025254511E-4</v>
      </c>
      <c r="AO35" s="1">
        <v>1.1143055236259756E-3</v>
      </c>
    </row>
    <row r="36" spans="1:41" ht="15">
      <c r="A36" s="17" t="s">
        <v>102</v>
      </c>
      <c r="B36" s="1">
        <v>1.1110737311760611E-3</v>
      </c>
      <c r="C36" s="1">
        <v>1.1395177520951217E-3</v>
      </c>
      <c r="D36" s="1">
        <v>1.5742662041149523E-3</v>
      </c>
      <c r="E36" s="1">
        <v>1.8993727012422269E-3</v>
      </c>
      <c r="F36" s="1">
        <v>1.4757192604230389E-3</v>
      </c>
      <c r="G36" s="1">
        <v>1.3010497662703715E-3</v>
      </c>
      <c r="H36" s="1">
        <v>2.1474839525641985E-3</v>
      </c>
      <c r="I36" s="1">
        <v>1.6780452728468638E-3</v>
      </c>
      <c r="J36" s="1">
        <v>1.361714729225698E-3</v>
      </c>
      <c r="K36" s="1">
        <v>1.8212670737662658E-3</v>
      </c>
      <c r="L36" s="1">
        <v>2.1464366656207884E-3</v>
      </c>
      <c r="M36" s="1">
        <v>1.5766523034679452E-3</v>
      </c>
      <c r="N36" s="1">
        <v>1.090101018995007E-3</v>
      </c>
      <c r="O36" s="1">
        <v>1.2671553411703882E-3</v>
      </c>
      <c r="P36" s="1">
        <v>2.1951845130566377E-3</v>
      </c>
      <c r="Q36" s="1">
        <v>3.0363771458840421E-3</v>
      </c>
      <c r="R36" s="1">
        <v>2.7121939309791006E-3</v>
      </c>
      <c r="S36" s="1">
        <v>1.6720136862033135E-3</v>
      </c>
      <c r="T36" s="1">
        <v>1.6223492000690886E-3</v>
      </c>
      <c r="U36" s="1">
        <v>3.5142918672777992E-3</v>
      </c>
      <c r="V36" s="1">
        <v>1.8611064092142204E-3</v>
      </c>
      <c r="W36" s="1">
        <v>1.710933132745496E-3</v>
      </c>
      <c r="X36" s="1">
        <v>1.8610089646162885E-3</v>
      </c>
      <c r="Y36" s="1">
        <v>3.6008425958083748E-3</v>
      </c>
      <c r="Z36" s="1">
        <v>1.1122082620155639E-3</v>
      </c>
      <c r="AA36" s="1">
        <v>1.5239779472569497E-3</v>
      </c>
      <c r="AB36" s="1">
        <v>1.7936936591720456E-3</v>
      </c>
      <c r="AC36" s="1">
        <v>4.0638866179342759E-3</v>
      </c>
      <c r="AD36" s="1">
        <v>9.9489218912724451E-4</v>
      </c>
      <c r="AE36" s="1">
        <v>1.723793822685766E-3</v>
      </c>
      <c r="AF36" s="1">
        <v>1.1199851723237284E-3</v>
      </c>
      <c r="AG36" s="1">
        <v>9.7318269862282057E-3</v>
      </c>
      <c r="AH36" s="1">
        <v>2.8365728395265098E-3</v>
      </c>
      <c r="AI36" s="1">
        <v>2.1728696258743762E-3</v>
      </c>
      <c r="AJ36" s="1">
        <v>3.2393939161643862E-3</v>
      </c>
      <c r="AK36" s="1">
        <v>1.8816318307279688E-3</v>
      </c>
      <c r="AL36" s="1">
        <v>1.7992177480511042E-3</v>
      </c>
      <c r="AM36" s="1">
        <v>3.8528539617002553E-3</v>
      </c>
      <c r="AN36" s="1">
        <v>1.6974607261266775E-3</v>
      </c>
      <c r="AO36" s="1">
        <v>2.2262100757700484E-3</v>
      </c>
    </row>
    <row r="37" spans="1:41" ht="15">
      <c r="A37" s="17" t="s">
        <v>110</v>
      </c>
      <c r="B37" s="1">
        <v>1.4085189239576182E-3</v>
      </c>
      <c r="C37" s="1">
        <v>1.444577684608485E-3</v>
      </c>
      <c r="D37" s="1">
        <v>1.9957125055020037E-3</v>
      </c>
      <c r="E37" s="1">
        <v>2.4078531588685782E-3</v>
      </c>
      <c r="F37" s="1">
        <v>1.8707835910713464E-3</v>
      </c>
      <c r="G37" s="1">
        <v>1.6493533825722925E-3</v>
      </c>
      <c r="H37" s="1">
        <v>2.7223861938309758E-3</v>
      </c>
      <c r="I37" s="1">
        <v>2.1272742354916697E-3</v>
      </c>
      <c r="J37" s="1">
        <v>1.7262589433340611E-3</v>
      </c>
      <c r="K37" s="1">
        <v>2.3088378988722616E-3</v>
      </c>
      <c r="L37" s="1">
        <v>2.7210585380353109E-3</v>
      </c>
      <c r="M37" s="1">
        <v>1.9987373867487021E-3</v>
      </c>
      <c r="N37" s="1">
        <v>1.3819316137145233E-3</v>
      </c>
      <c r="O37" s="1">
        <v>1.6063850917825741E-3</v>
      </c>
      <c r="P37" s="1">
        <v>2.7828566560980203E-3</v>
      </c>
      <c r="Q37" s="1">
        <v>3.8492446992902515E-3</v>
      </c>
      <c r="R37" s="1">
        <v>3.4382744997340947E-3</v>
      </c>
      <c r="S37" s="1">
        <v>2.1196279347192289E-3</v>
      </c>
      <c r="T37" s="1">
        <v>2.0566677849057314E-3</v>
      </c>
      <c r="U37" s="1">
        <v>4.4551018177089495E-3</v>
      </c>
      <c r="V37" s="1">
        <v>2.3593426100555087E-3</v>
      </c>
      <c r="W37" s="1">
        <v>2.1689664938323093E-3</v>
      </c>
      <c r="X37" s="1">
        <v>2.3592190785954683E-3</v>
      </c>
      <c r="Y37" s="1">
        <v>4.5648230140588946E-3</v>
      </c>
      <c r="Z37" s="1">
        <v>1.4099571796848615E-3</v>
      </c>
      <c r="AA37" s="1">
        <v>1.9319615955040118E-3</v>
      </c>
      <c r="AB37" s="1">
        <v>2.2738828142866698E-3</v>
      </c>
      <c r="AC37" s="1">
        <v>5.1518284030706817E-3</v>
      </c>
      <c r="AD37" s="1">
        <v>1.2612344584909381E-3</v>
      </c>
      <c r="AE37" s="1">
        <v>2.1852701149581975E-3</v>
      </c>
      <c r="AF37" s="1">
        <v>1.4198160441612775E-3</v>
      </c>
      <c r="AG37" s="1">
        <v>2.8365728395265103E-3</v>
      </c>
      <c r="AH37" s="1">
        <v>1.5639900734640957E-2</v>
      </c>
      <c r="AI37" s="1">
        <v>2.7545678576139398E-3</v>
      </c>
      <c r="AJ37" s="1">
        <v>4.1066110241316667E-3</v>
      </c>
      <c r="AK37" s="1">
        <v>2.3853628855899861E-3</v>
      </c>
      <c r="AL37" s="1">
        <v>2.2808857552305997E-3</v>
      </c>
      <c r="AM37" s="1">
        <v>4.8843002620138042E-3</v>
      </c>
      <c r="AN37" s="1">
        <v>2.151887393551744E-3</v>
      </c>
      <c r="AO37" s="1">
        <v>2.8221880622703328E-3</v>
      </c>
    </row>
    <row r="38" spans="1:41" ht="15">
      <c r="A38" s="17" t="s">
        <v>114</v>
      </c>
      <c r="B38" s="1">
        <v>1.0789527223449135E-3</v>
      </c>
      <c r="C38" s="1">
        <v>1.1065744300173387E-3</v>
      </c>
      <c r="D38" s="1">
        <v>1.5287543562275678E-3</v>
      </c>
      <c r="E38" s="1">
        <v>1.844462063362539E-3</v>
      </c>
      <c r="F38" s="1">
        <v>1.4330563929046351E-3</v>
      </c>
      <c r="G38" s="1">
        <v>1.263436572960601E-3</v>
      </c>
      <c r="H38" s="1">
        <v>2.0854004480500123E-3</v>
      </c>
      <c r="I38" s="1">
        <v>1.6295331844806611E-3</v>
      </c>
      <c r="J38" s="1">
        <v>1.322347719084378E-3</v>
      </c>
      <c r="K38" s="1">
        <v>1.7686144602458273E-3</v>
      </c>
      <c r="L38" s="1">
        <v>2.0843834380470196E-3</v>
      </c>
      <c r="M38" s="1">
        <v>1.5310714737333268E-3</v>
      </c>
      <c r="N38" s="1">
        <v>1.0585863287674571E-3</v>
      </c>
      <c r="O38" s="1">
        <v>1.2305220316409776E-3</v>
      </c>
      <c r="P38" s="1">
        <v>2.1317219910372801E-3</v>
      </c>
      <c r="Q38" s="1">
        <v>2.9485958453447881E-3</v>
      </c>
      <c r="R38" s="1">
        <v>2.6337847284534045E-3</v>
      </c>
      <c r="S38" s="1">
        <v>1.6236759702863974E-3</v>
      </c>
      <c r="T38" s="1">
        <v>1.5754472785130232E-3</v>
      </c>
      <c r="U38" s="1">
        <v>3.4126941092383076E-3</v>
      </c>
      <c r="V38" s="1">
        <v>1.8073020452654856E-3</v>
      </c>
      <c r="W38" s="1">
        <v>1.6614702602786528E-3</v>
      </c>
      <c r="X38" s="1">
        <v>1.8072074177792386E-3</v>
      </c>
      <c r="Y38" s="1">
        <v>3.4967426665470599E-3</v>
      </c>
      <c r="Z38" s="1">
        <v>1.0800544540333858E-3</v>
      </c>
      <c r="AA38" s="1">
        <v>1.4799199268675199E-3</v>
      </c>
      <c r="AB38" s="1">
        <v>1.7418381897734004E-3</v>
      </c>
      <c r="AC38" s="1">
        <v>3.9464001413119926E-3</v>
      </c>
      <c r="AD38" s="1">
        <v>9.6612997479681481E-4</v>
      </c>
      <c r="AE38" s="1">
        <v>1.6739591492091835E-3</v>
      </c>
      <c r="AF38" s="1">
        <v>1.0876065347936289E-3</v>
      </c>
      <c r="AG38" s="1">
        <v>2.1728696258743766E-3</v>
      </c>
      <c r="AH38" s="1">
        <v>2.7545678576139398E-3</v>
      </c>
      <c r="AI38" s="1">
        <v>9.1772687531205561E-3</v>
      </c>
      <c r="AJ38" s="1">
        <v>3.1457434250502245E-3</v>
      </c>
      <c r="AK38" s="1">
        <v>1.8272340792953915E-3</v>
      </c>
      <c r="AL38" s="1">
        <v>1.7472025779029143E-3</v>
      </c>
      <c r="AM38" s="1">
        <v>3.7414684139581629E-3</v>
      </c>
      <c r="AN38" s="1">
        <v>1.6483873393256701E-3</v>
      </c>
      <c r="AO38" s="1">
        <v>2.1618506084391913E-3</v>
      </c>
    </row>
    <row r="39" spans="1:41" ht="15">
      <c r="A39" s="17" t="s">
        <v>120</v>
      </c>
      <c r="B39" s="1">
        <v>1.6085423823744799E-3</v>
      </c>
      <c r="C39" s="1">
        <v>1.649721839587482E-3</v>
      </c>
      <c r="D39" s="1">
        <v>2.2791231935420761E-3</v>
      </c>
      <c r="E39" s="1">
        <v>2.7497918492225535E-3</v>
      </c>
      <c r="F39" s="1">
        <v>2.1364531518211502E-3</v>
      </c>
      <c r="G39" s="1">
        <v>1.8835776887723744E-3</v>
      </c>
      <c r="H39" s="1">
        <v>3.1089916503670881E-3</v>
      </c>
      <c r="I39" s="1">
        <v>2.429367975481018E-3</v>
      </c>
      <c r="J39" s="1">
        <v>1.9714045910748266E-3</v>
      </c>
      <c r="K39" s="1">
        <v>2.6367154542257503E-3</v>
      </c>
      <c r="L39" s="1">
        <v>3.1074754544678303E-3</v>
      </c>
      <c r="M39" s="1">
        <v>2.282577637500339E-3</v>
      </c>
      <c r="N39" s="1">
        <v>1.5781794141303668E-3</v>
      </c>
      <c r="O39" s="1">
        <v>1.8345074805857127E-3</v>
      </c>
      <c r="P39" s="1">
        <v>3.1780495095011445E-3</v>
      </c>
      <c r="Q39" s="1">
        <v>4.3958750809974809E-3</v>
      </c>
      <c r="R39" s="1">
        <v>3.9265430950121321E-3</v>
      </c>
      <c r="S39" s="1">
        <v>2.4206358252403274E-3</v>
      </c>
      <c r="T39" s="1">
        <v>2.3487347185863249E-3</v>
      </c>
      <c r="U39" s="1">
        <v>5.0877698337506031E-3</v>
      </c>
      <c r="V39" s="1">
        <v>2.6943923281860746E-3</v>
      </c>
      <c r="W39" s="1">
        <v>2.4769809421349488E-3</v>
      </c>
      <c r="X39" s="1">
        <v>2.6942512540509308E-3</v>
      </c>
      <c r="Y39" s="1">
        <v>5.2130725127361426E-3</v>
      </c>
      <c r="Z39" s="1">
        <v>1.6101848844769459E-3</v>
      </c>
      <c r="AA39" s="1">
        <v>2.2063190310260485E-3</v>
      </c>
      <c r="AB39" s="1">
        <v>2.5967964058700313E-3</v>
      </c>
      <c r="AC39" s="1">
        <v>5.8834384061915365E-3</v>
      </c>
      <c r="AD39" s="1">
        <v>1.4403420827982039E-3</v>
      </c>
      <c r="AE39" s="1">
        <v>2.495599836862668E-3</v>
      </c>
      <c r="AF39" s="1">
        <v>1.6214438041000086E-3</v>
      </c>
      <c r="AG39" s="1">
        <v>3.2393939161643862E-3</v>
      </c>
      <c r="AH39" s="1">
        <v>4.1066110241316659E-3</v>
      </c>
      <c r="AI39" s="1">
        <v>3.1457434250502241E-3</v>
      </c>
      <c r="AJ39" s="1">
        <v>2.0397344755797461E-2</v>
      </c>
      <c r="AK39" s="1">
        <v>2.7241077372489979E-3</v>
      </c>
      <c r="AL39" s="1">
        <v>2.6047938328963762E-3</v>
      </c>
      <c r="AM39" s="1">
        <v>5.5779186534581368E-3</v>
      </c>
      <c r="AN39" s="1">
        <v>2.4574764426306597E-3</v>
      </c>
      <c r="AO39" s="1">
        <v>3.2229663598965842E-3</v>
      </c>
    </row>
    <row r="40" spans="1:41" ht="15">
      <c r="A40" s="17" t="s">
        <v>123</v>
      </c>
      <c r="B40" s="1">
        <v>9.3433667719379303E-4</v>
      </c>
      <c r="C40" s="1">
        <v>9.5825614468351126E-4</v>
      </c>
      <c r="D40" s="1">
        <v>1.3238497256292091E-3</v>
      </c>
      <c r="E40" s="1">
        <v>1.5972419549086154E-3</v>
      </c>
      <c r="F40" s="1">
        <v>1.2409785161557889E-3</v>
      </c>
      <c r="G40" s="1">
        <v>1.0940934713613464E-3</v>
      </c>
      <c r="H40" s="1">
        <v>1.8058864720363729E-3</v>
      </c>
      <c r="I40" s="1">
        <v>1.4111207928144663E-3</v>
      </c>
      <c r="J40" s="1">
        <v>1.1451085375260082E-3</v>
      </c>
      <c r="K40" s="1">
        <v>1.5315604880551238E-3</v>
      </c>
      <c r="L40" s="1">
        <v>1.8050057756655404E-3</v>
      </c>
      <c r="M40" s="1">
        <v>1.3258562712601366E-3</v>
      </c>
      <c r="N40" s="1">
        <v>9.1670006707409725E-4</v>
      </c>
      <c r="O40" s="1">
        <v>1.0655905883980429E-3</v>
      </c>
      <c r="P40" s="1">
        <v>1.8459993663837283E-3</v>
      </c>
      <c r="Q40" s="1">
        <v>2.5533845806880273E-3</v>
      </c>
      <c r="R40" s="1">
        <v>2.2807687683281479E-3</v>
      </c>
      <c r="S40" s="1">
        <v>1.4060486428170255E-3</v>
      </c>
      <c r="T40" s="1">
        <v>1.3642842219265493E-3</v>
      </c>
      <c r="U40" s="1">
        <v>2.9552780286560476E-3</v>
      </c>
      <c r="V40" s="1">
        <v>1.5650626322059446E-3</v>
      </c>
      <c r="W40" s="1">
        <v>1.4387772235944269E-3</v>
      </c>
      <c r="X40" s="1">
        <v>1.5649806879935245E-3</v>
      </c>
      <c r="Y40" s="1">
        <v>3.0280612453183323E-3</v>
      </c>
      <c r="Z40" s="1">
        <v>9.352907396875873E-4</v>
      </c>
      <c r="AA40" s="1">
        <v>1.2815607564130619E-3</v>
      </c>
      <c r="AB40" s="1">
        <v>1.5083731406739733E-3</v>
      </c>
      <c r="AC40" s="1">
        <v>3.417449456818589E-3</v>
      </c>
      <c r="AD40" s="1">
        <v>8.3663598199848835E-4</v>
      </c>
      <c r="AE40" s="1">
        <v>1.4495921803052586E-3</v>
      </c>
      <c r="AF40" s="1">
        <v>9.4183058698329579E-4</v>
      </c>
      <c r="AG40" s="1">
        <v>1.8816318307279688E-3</v>
      </c>
      <c r="AH40" s="1">
        <v>2.3853628855899861E-3</v>
      </c>
      <c r="AI40" s="1">
        <v>1.8272340792953913E-3</v>
      </c>
      <c r="AJ40" s="1">
        <v>2.7241077372489983E-3</v>
      </c>
      <c r="AK40" s="1">
        <v>6.8820118234713071E-3</v>
      </c>
      <c r="AL40" s="1">
        <v>1.5130185199165548E-3</v>
      </c>
      <c r="AM40" s="1">
        <v>3.2399854908616529E-3</v>
      </c>
      <c r="AN40" s="1">
        <v>1.4274478551818493E-3</v>
      </c>
      <c r="AO40" s="1">
        <v>1.8720897331706669E-3</v>
      </c>
    </row>
    <row r="41" spans="1:41" ht="15">
      <c r="A41" s="17" t="s">
        <v>127</v>
      </c>
      <c r="B41" s="1">
        <v>8.9341342169567298E-4</v>
      </c>
      <c r="C41" s="1">
        <v>9.1628523419832531E-4</v>
      </c>
      <c r="D41" s="1">
        <v>1.2658660866632699E-3</v>
      </c>
      <c r="E41" s="1">
        <v>1.5272839384799352E-3</v>
      </c>
      <c r="F41" s="1">
        <v>1.1866245748796637E-3</v>
      </c>
      <c r="G41" s="1">
        <v>1.0461729864224265E-3</v>
      </c>
      <c r="H41" s="1">
        <v>1.7267899800548056E-3</v>
      </c>
      <c r="I41" s="1">
        <v>1.3493147456447279E-3</v>
      </c>
      <c r="J41" s="1">
        <v>1.0949536304158641E-3</v>
      </c>
      <c r="K41" s="1">
        <v>1.4644792713017058E-3</v>
      </c>
      <c r="L41" s="1">
        <v>1.7259478575337207E-3</v>
      </c>
      <c r="M41" s="1">
        <v>1.2677847470794483E-3</v>
      </c>
      <c r="N41" s="1">
        <v>8.7654928205655044E-4</v>
      </c>
      <c r="O41" s="1">
        <v>1.0189185086543933E-3</v>
      </c>
      <c r="P41" s="1">
        <v>1.7651459592941336E-3</v>
      </c>
      <c r="Q41" s="1">
        <v>2.4415482243391657E-3</v>
      </c>
      <c r="R41" s="1">
        <v>2.1808727829551299E-3</v>
      </c>
      <c r="S41" s="1">
        <v>1.3444647520662063E-3</v>
      </c>
      <c r="T41" s="1">
        <v>1.3045295819250052E-3</v>
      </c>
      <c r="U41" s="1">
        <v>2.8258390364954223E-3</v>
      </c>
      <c r="V41" s="1">
        <v>1.4965140463143092E-3</v>
      </c>
      <c r="W41" s="1">
        <v>1.3757598452090781E-3</v>
      </c>
      <c r="X41" s="1">
        <v>1.4964356911977932E-3</v>
      </c>
      <c r="Y41" s="1">
        <v>2.8954344020927234E-3</v>
      </c>
      <c r="Z41" s="1">
        <v>8.9432569695778962E-4</v>
      </c>
      <c r="AA41" s="1">
        <v>1.225429343025147E-3</v>
      </c>
      <c r="AB41" s="1">
        <v>1.4423075125882851E-3</v>
      </c>
      <c r="AC41" s="1">
        <v>3.2677676978906012E-3</v>
      </c>
      <c r="AD41" s="1">
        <v>7.9999194469806316E-4</v>
      </c>
      <c r="AE41" s="1">
        <v>1.3861011148138792E-3</v>
      </c>
      <c r="AF41" s="1">
        <v>9.0057910377831026E-4</v>
      </c>
      <c r="AG41" s="1">
        <v>1.7992177480511044E-3</v>
      </c>
      <c r="AH41" s="1">
        <v>2.2808857552305997E-3</v>
      </c>
      <c r="AI41" s="1">
        <v>1.7472025779029143E-3</v>
      </c>
      <c r="AJ41" s="1">
        <v>2.6047938328963766E-3</v>
      </c>
      <c r="AK41" s="1">
        <v>1.5130185199165548E-3</v>
      </c>
      <c r="AL41" s="1">
        <v>6.2923600474747302E-3</v>
      </c>
      <c r="AM41" s="1">
        <v>3.0980765224039881E-3</v>
      </c>
      <c r="AN41" s="1">
        <v>1.364926694754649E-3</v>
      </c>
      <c r="AO41" s="1">
        <v>1.7900935873102167E-3</v>
      </c>
    </row>
    <row r="42" spans="1:41" ht="15">
      <c r="A42" s="17" t="s">
        <v>139</v>
      </c>
      <c r="B42" s="1">
        <v>1.9131600079784138E-3</v>
      </c>
      <c r="C42" s="1">
        <v>1.9621378226467954E-3</v>
      </c>
      <c r="D42" s="1">
        <v>2.7107320235505192E-3</v>
      </c>
      <c r="E42" s="1">
        <v>3.2705335301341462E-3</v>
      </c>
      <c r="F42" s="1">
        <v>2.5410438504890379E-3</v>
      </c>
      <c r="G42" s="1">
        <v>2.2402801104688449E-3</v>
      </c>
      <c r="H42" s="1">
        <v>3.6977567739563512E-3</v>
      </c>
      <c r="I42" s="1">
        <v>2.8894294028441302E-3</v>
      </c>
      <c r="J42" s="1">
        <v>2.3447392275868172E-3</v>
      </c>
      <c r="K42" s="1">
        <v>3.136043299025091E-3</v>
      </c>
      <c r="L42" s="1">
        <v>3.6959534485416744E-3</v>
      </c>
      <c r="M42" s="1">
        <v>2.7148406526442672E-3</v>
      </c>
      <c r="N42" s="1">
        <v>1.8770470542852659E-3</v>
      </c>
      <c r="O42" s="1">
        <v>2.1819172342931389E-3</v>
      </c>
      <c r="P42" s="1">
        <v>3.779892461383408E-3</v>
      </c>
      <c r="Q42" s="1">
        <v>5.2283436838130772E-3</v>
      </c>
      <c r="R42" s="1">
        <v>4.6701319786749181E-3</v>
      </c>
      <c r="S42" s="1">
        <v>2.8790436021296421E-3</v>
      </c>
      <c r="T42" s="1">
        <v>2.793526227339201E-3</v>
      </c>
      <c r="U42" s="1">
        <v>6.0512659674916546E-3</v>
      </c>
      <c r="V42" s="1">
        <v>3.2046427278341824E-3</v>
      </c>
      <c r="W42" s="1">
        <v>2.9460590724516194E-3</v>
      </c>
      <c r="X42" s="1">
        <v>3.2044749377924185E-3</v>
      </c>
      <c r="Y42" s="1">
        <v>6.2002978344504961E-3</v>
      </c>
      <c r="Z42" s="1">
        <v>1.9151135588266171E-3</v>
      </c>
      <c r="AA42" s="1">
        <v>2.6241405767436182E-3</v>
      </c>
      <c r="AB42" s="1">
        <v>3.0885645830723411E-3</v>
      </c>
      <c r="AC42" s="1">
        <v>6.9976142322804155E-3</v>
      </c>
      <c r="AD42" s="1">
        <v>1.7131067858778576E-3</v>
      </c>
      <c r="AE42" s="1">
        <v>2.968203919349125E-3</v>
      </c>
      <c r="AF42" s="1">
        <v>1.9285046357369376E-3</v>
      </c>
      <c r="AG42" s="1">
        <v>3.8528539617002557E-3</v>
      </c>
      <c r="AH42" s="1">
        <v>4.8843002620138042E-3</v>
      </c>
      <c r="AI42" s="1">
        <v>3.7414684139581629E-3</v>
      </c>
      <c r="AJ42" s="1">
        <v>5.5779186534581377E-3</v>
      </c>
      <c r="AK42" s="1">
        <v>3.2399854908616529E-3</v>
      </c>
      <c r="AL42" s="1">
        <v>3.0980765224039881E-3</v>
      </c>
      <c r="AM42" s="1">
        <v>2.8854344169878747E-2</v>
      </c>
      <c r="AN42" s="1">
        <v>2.922860909421462E-3</v>
      </c>
      <c r="AO42" s="1">
        <v>3.8333154378635509E-3</v>
      </c>
    </row>
    <row r="43" spans="1:41" ht="15">
      <c r="A43" s="17" t="s">
        <v>140</v>
      </c>
      <c r="B43" s="1">
        <v>8.4288530232961081E-4</v>
      </c>
      <c r="C43" s="1">
        <v>8.6446357071910348E-4</v>
      </c>
      <c r="D43" s="1">
        <v>1.1942734385396564E-3</v>
      </c>
      <c r="E43" s="1">
        <v>1.4409064750622535E-3</v>
      </c>
      <c r="F43" s="1">
        <v>1.1195135300865106E-3</v>
      </c>
      <c r="G43" s="1">
        <v>9.8700535780635638E-4</v>
      </c>
      <c r="H43" s="1">
        <v>1.6291292016139259E-3</v>
      </c>
      <c r="I43" s="1">
        <v>1.2730025536911707E-3</v>
      </c>
      <c r="J43" s="1">
        <v>1.0330271511461114E-3</v>
      </c>
      <c r="K43" s="1">
        <v>1.3816538048015367E-3</v>
      </c>
      <c r="L43" s="1">
        <v>1.6283347063908342E-3</v>
      </c>
      <c r="M43" s="1">
        <v>1.1960835867036376E-3</v>
      </c>
      <c r="N43" s="1">
        <v>8.2697493531131393E-4</v>
      </c>
      <c r="O43" s="1">
        <v>9.6129229129595696E-4</v>
      </c>
      <c r="P43" s="1">
        <v>1.6653159102218271E-3</v>
      </c>
      <c r="Q43" s="1">
        <v>2.3034633947165485E-3</v>
      </c>
      <c r="R43" s="1">
        <v>2.0575307806711199E-3</v>
      </c>
      <c r="S43" s="1">
        <v>1.2684268575974516E-3</v>
      </c>
      <c r="T43" s="1">
        <v>1.2307502712146732E-3</v>
      </c>
      <c r="U43" s="1">
        <v>2.6660201568167196E-3</v>
      </c>
      <c r="V43" s="1">
        <v>1.4118768128355004E-3</v>
      </c>
      <c r="W43" s="1">
        <v>1.2979520173998398E-3</v>
      </c>
      <c r="X43" s="1">
        <v>1.4118028891911161E-3</v>
      </c>
      <c r="Y43" s="1">
        <v>2.7316794690093707E-3</v>
      </c>
      <c r="Z43" s="1">
        <v>8.437459827172611E-4</v>
      </c>
      <c r="AA43" s="1">
        <v>1.1561236457797105E-3</v>
      </c>
      <c r="AB43" s="1">
        <v>1.3607359977790374E-3</v>
      </c>
      <c r="AC43" s="1">
        <v>3.0829549871231755E-3</v>
      </c>
      <c r="AD43" s="1">
        <v>7.5474739442382168E-4</v>
      </c>
      <c r="AE43" s="1">
        <v>1.307708423499908E-3</v>
      </c>
      <c r="AF43" s="1">
        <v>8.4964572025254521E-4</v>
      </c>
      <c r="AG43" s="1">
        <v>1.6974607261266777E-3</v>
      </c>
      <c r="AH43" s="1">
        <v>2.151887393551744E-3</v>
      </c>
      <c r="AI43" s="1">
        <v>1.6483873393256701E-3</v>
      </c>
      <c r="AJ43" s="1">
        <v>2.4574764426306601E-3</v>
      </c>
      <c r="AK43" s="1">
        <v>1.4274478551818493E-3</v>
      </c>
      <c r="AL43" s="1">
        <v>1.364926694754649E-3</v>
      </c>
      <c r="AM43" s="1">
        <v>2.922860909421462E-3</v>
      </c>
      <c r="AN43" s="1">
        <v>5.6007421868388913E-3</v>
      </c>
      <c r="AO43" s="1">
        <v>1.6888525937684346E-3</v>
      </c>
    </row>
    <row r="44" spans="1:41" ht="15">
      <c r="A44" s="17" t="s">
        <v>142</v>
      </c>
      <c r="B44" s="1">
        <v>1.1054392740186608E-3</v>
      </c>
      <c r="C44" s="1">
        <v>1.1337390501295187E-3</v>
      </c>
      <c r="D44" s="1">
        <v>1.5662828136049096E-3</v>
      </c>
      <c r="E44" s="1">
        <v>1.8897406365008917E-3</v>
      </c>
      <c r="F44" s="1">
        <v>1.4682356194045418E-3</v>
      </c>
      <c r="G44" s="1">
        <v>1.2944519060546175E-3</v>
      </c>
      <c r="H44" s="1">
        <v>2.1365936704997313E-3</v>
      </c>
      <c r="I44" s="1">
        <v>1.6695355997867099E-3</v>
      </c>
      <c r="J44" s="1">
        <v>1.3548092259389796E-3</v>
      </c>
      <c r="K44" s="1">
        <v>1.8120310968806836E-3</v>
      </c>
      <c r="L44" s="1">
        <v>2.1355516945390659E-3</v>
      </c>
      <c r="M44" s="1">
        <v>1.5686568126137036E-3</v>
      </c>
      <c r="N44" s="1">
        <v>1.0845729182790767E-3</v>
      </c>
      <c r="O44" s="1">
        <v>1.2607293657546632E-3</v>
      </c>
      <c r="P44" s="1">
        <v>2.184052332766214E-3</v>
      </c>
      <c r="Q44" s="1">
        <v>3.0209791246167371E-3</v>
      </c>
      <c r="R44" s="1">
        <v>2.698439901810859E-3</v>
      </c>
      <c r="S44" s="1">
        <v>1.6635346004170559E-3</v>
      </c>
      <c r="T44" s="1">
        <v>1.6141219719332421E-3</v>
      </c>
      <c r="U44" s="1">
        <v>3.4964702534558095E-3</v>
      </c>
      <c r="V44" s="1">
        <v>1.8516683998059873E-3</v>
      </c>
      <c r="W44" s="1">
        <v>1.7022566793606906E-3</v>
      </c>
      <c r="X44" s="1">
        <v>1.8515714493673508E-3</v>
      </c>
      <c r="Y44" s="1">
        <v>3.5825820674857873E-3</v>
      </c>
      <c r="Z44" s="1">
        <v>1.1065680514457399E-3</v>
      </c>
      <c r="AA44" s="1">
        <v>1.5162495776522135E-3</v>
      </c>
      <c r="AB44" s="1">
        <v>1.7845975120915024E-3</v>
      </c>
      <c r="AC44" s="1">
        <v>4.0432779090801433E-3</v>
      </c>
      <c r="AD44" s="1">
        <v>9.8984690971996706E-4</v>
      </c>
      <c r="AE44" s="1">
        <v>1.7150521504010353E-3</v>
      </c>
      <c r="AF44" s="1">
        <v>1.1143055236259756E-3</v>
      </c>
      <c r="AG44" s="1">
        <v>2.2262100757700488E-3</v>
      </c>
      <c r="AH44" s="1">
        <v>2.8221880622703332E-3</v>
      </c>
      <c r="AI44" s="1">
        <v>2.1618506084391913E-3</v>
      </c>
      <c r="AJ44" s="1">
        <v>3.2229663598965846E-3</v>
      </c>
      <c r="AK44" s="1">
        <v>1.8720897331706669E-3</v>
      </c>
      <c r="AL44" s="1">
        <v>1.7900935873102167E-3</v>
      </c>
      <c r="AM44" s="1">
        <v>3.8333154378635509E-3</v>
      </c>
      <c r="AN44" s="1">
        <v>1.6888525937684346E-3</v>
      </c>
      <c r="AO44" s="1">
        <v>9.6333735259504227E-3</v>
      </c>
    </row>
  </sheetData>
  <phoneticPr fontId="19" type="noConversion"/>
  <conditionalFormatting sqref="A3">
    <cfRule type="duplicateValues" dxfId="34" priority="8"/>
  </conditionalFormatting>
  <conditionalFormatting sqref="A3">
    <cfRule type="duplicateValues" dxfId="33" priority="7"/>
  </conditionalFormatting>
  <conditionalFormatting sqref="A3">
    <cfRule type="duplicateValues" dxfId="32" priority="9"/>
  </conditionalFormatting>
  <conditionalFormatting sqref="A5:A44">
    <cfRule type="duplicateValues" dxfId="31" priority="5"/>
  </conditionalFormatting>
  <conditionalFormatting sqref="A5:A44">
    <cfRule type="duplicateValues" dxfId="30" priority="4"/>
  </conditionalFormatting>
  <conditionalFormatting sqref="A5:A44">
    <cfRule type="duplicateValues" dxfId="29" priority="6"/>
  </conditionalFormatting>
  <conditionalFormatting sqref="B4:AO4">
    <cfRule type="duplicateValues" dxfId="28" priority="2"/>
  </conditionalFormatting>
  <conditionalFormatting sqref="B4:AO4">
    <cfRule type="duplicateValues" dxfId="27" priority="1"/>
  </conditionalFormatting>
  <conditionalFormatting sqref="B4:AO4">
    <cfRule type="duplicateValues" dxfId="26" priority="3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O136"/>
  <sheetViews>
    <sheetView topLeftCell="N76" zoomScale="50" workbookViewId="0">
      <selection activeCell="B8" sqref="B8:AO47"/>
    </sheetView>
  </sheetViews>
  <sheetFormatPr defaultColWidth="11" defaultRowHeight="14.25"/>
  <cols>
    <col min="1" max="1" width="10.375" customWidth="1"/>
    <col min="2" max="7" width="12.625" bestFit="1" customWidth="1"/>
    <col min="8" max="8" width="11.375" bestFit="1" customWidth="1"/>
    <col min="9" max="9" width="12" bestFit="1" customWidth="1"/>
    <col min="10" max="10" width="11.375" bestFit="1" customWidth="1"/>
    <col min="11" max="13" width="12" bestFit="1" customWidth="1"/>
    <col min="14" max="15" width="11.375" bestFit="1" customWidth="1"/>
    <col min="16" max="17" width="12" bestFit="1" customWidth="1"/>
    <col min="18" max="18" width="14.125" bestFit="1" customWidth="1"/>
    <col min="19" max="19" width="12" bestFit="1" customWidth="1"/>
    <col min="20" max="20" width="11.375" bestFit="1" customWidth="1"/>
    <col min="21" max="21" width="12" bestFit="1" customWidth="1"/>
    <col min="22" max="22" width="11.375" bestFit="1" customWidth="1"/>
    <col min="23" max="23" width="13.875" bestFit="1" customWidth="1"/>
    <col min="24" max="26" width="12" bestFit="1" customWidth="1"/>
    <col min="27" max="27" width="11.375" bestFit="1" customWidth="1"/>
    <col min="28" max="30" width="12" bestFit="1" customWidth="1"/>
    <col min="31" max="31" width="13.875" bestFit="1" customWidth="1"/>
    <col min="32" max="32" width="12.875" bestFit="1" customWidth="1"/>
    <col min="33" max="38" width="12" bestFit="1" customWidth="1"/>
    <col min="39" max="39" width="11.375" bestFit="1" customWidth="1"/>
    <col min="40" max="41" width="12" bestFit="1" customWidth="1"/>
  </cols>
  <sheetData>
    <row r="1" spans="1:41" ht="27">
      <c r="A1" s="2" t="s">
        <v>8</v>
      </c>
    </row>
    <row r="3" spans="1:41">
      <c r="A3" t="s">
        <v>9</v>
      </c>
      <c r="C3" s="3">
        <v>0.5</v>
      </c>
    </row>
    <row r="4" spans="1:41" s="5" customFormat="1">
      <c r="A4"/>
    </row>
    <row r="5" spans="1:41" s="6" customFormat="1" ht="18"/>
    <row r="6" spans="1:41" ht="18">
      <c r="A6" s="6" t="s">
        <v>10</v>
      </c>
    </row>
    <row r="7" spans="1:41" ht="15">
      <c r="B7" s="17" t="s">
        <v>15</v>
      </c>
      <c r="C7" s="17" t="s">
        <v>19</v>
      </c>
      <c r="D7" s="17" t="s">
        <v>17</v>
      </c>
      <c r="E7" s="17" t="s">
        <v>18</v>
      </c>
      <c r="F7" s="17" t="s">
        <v>20</v>
      </c>
      <c r="G7" s="17" t="s">
        <v>22</v>
      </c>
      <c r="H7" s="17" t="s">
        <v>23</v>
      </c>
      <c r="I7" s="17" t="s">
        <v>24</v>
      </c>
      <c r="J7" s="17" t="s">
        <v>29</v>
      </c>
      <c r="K7" s="17" t="s">
        <v>30</v>
      </c>
      <c r="L7" s="17" t="s">
        <v>32</v>
      </c>
      <c r="M7" s="17" t="s">
        <v>41</v>
      </c>
      <c r="N7" s="17" t="s">
        <v>43</v>
      </c>
      <c r="O7" s="17" t="s">
        <v>45</v>
      </c>
      <c r="P7" s="17" t="s">
        <v>47</v>
      </c>
      <c r="Q7" s="17" t="s">
        <v>50</v>
      </c>
      <c r="R7" s="17" t="s">
        <v>52</v>
      </c>
      <c r="S7" s="17" t="s">
        <v>53</v>
      </c>
      <c r="T7" s="17" t="s">
        <v>54</v>
      </c>
      <c r="U7" s="17" t="s">
        <v>57</v>
      </c>
      <c r="V7" s="17" t="s">
        <v>62</v>
      </c>
      <c r="W7" s="17" t="s">
        <v>66</v>
      </c>
      <c r="X7" s="17" t="s">
        <v>70</v>
      </c>
      <c r="Y7" s="17" t="s">
        <v>74</v>
      </c>
      <c r="Z7" s="17" t="s">
        <v>76</v>
      </c>
      <c r="AA7" s="17" t="s">
        <v>79</v>
      </c>
      <c r="AB7" s="17" t="s">
        <v>87</v>
      </c>
      <c r="AC7" s="17" t="s">
        <v>88</v>
      </c>
      <c r="AD7" s="17" t="s">
        <v>91</v>
      </c>
      <c r="AE7" s="17" t="s">
        <v>94</v>
      </c>
      <c r="AF7" s="17" t="s">
        <v>95</v>
      </c>
      <c r="AG7" s="17" t="s">
        <v>102</v>
      </c>
      <c r="AH7" s="17" t="s">
        <v>110</v>
      </c>
      <c r="AI7" s="17" t="s">
        <v>114</v>
      </c>
      <c r="AJ7" s="17" t="s">
        <v>120</v>
      </c>
      <c r="AK7" s="17" t="s">
        <v>123</v>
      </c>
      <c r="AL7" s="17" t="s">
        <v>127</v>
      </c>
      <c r="AM7" s="17" t="s">
        <v>139</v>
      </c>
      <c r="AN7" s="17" t="s">
        <v>140</v>
      </c>
      <c r="AO7" s="17" t="s">
        <v>142</v>
      </c>
    </row>
    <row r="8" spans="1:41" ht="15">
      <c r="A8" s="17" t="s">
        <v>15</v>
      </c>
      <c r="B8" s="1">
        <f t="array" ref="B8:AO47">C3*B52:AO91+(1-C3)*B97:AO136</f>
        <v>2.399561424498947E-3</v>
      </c>
      <c r="C8" s="1">
        <v>5.0019314230529343E-4</v>
      </c>
      <c r="D8" s="1">
        <v>7.8127922290946114E-4</v>
      </c>
      <c r="E8" s="1">
        <v>3.2176077798571153E-4</v>
      </c>
      <c r="F8" s="1">
        <v>7.9142850148646927E-4</v>
      </c>
      <c r="G8" s="1">
        <v>6.9616768595448476E-4</v>
      </c>
      <c r="H8" s="1">
        <v>8.8762281598092651E-4</v>
      </c>
      <c r="I8" s="1">
        <v>4.2636282953441681E-4</v>
      </c>
      <c r="J8" s="1">
        <v>7.0437078541922614E-4</v>
      </c>
      <c r="K8" s="1">
        <v>6.9931884658656169E-4</v>
      </c>
      <c r="L8" s="1">
        <v>2.9306656814309206E-4</v>
      </c>
      <c r="M8" s="1">
        <v>2.3800407646842174E-5</v>
      </c>
      <c r="N8" s="1">
        <v>6.2961964650041927E-4</v>
      </c>
      <c r="O8" s="1">
        <v>7.1430492748232404E-4</v>
      </c>
      <c r="P8" s="1">
        <v>7.6229219543263126E-4</v>
      </c>
      <c r="Q8" s="1">
        <v>1.4319581277921845E-3</v>
      </c>
      <c r="R8" s="1">
        <v>7.1917099952959645E-4</v>
      </c>
      <c r="S8" s="1">
        <v>6.7033686985248811E-4</v>
      </c>
      <c r="T8" s="1">
        <v>6.8473923146519908E-4</v>
      </c>
      <c r="U8" s="1">
        <v>1.2912077525840835E-3</v>
      </c>
      <c r="V8" s="1">
        <v>5.7902839460624448E-4</v>
      </c>
      <c r="W8" s="1">
        <v>3.7104016200812588E-4</v>
      </c>
      <c r="X8" s="1">
        <v>4.5162236366384767E-4</v>
      </c>
      <c r="Y8" s="1">
        <v>4.8953749639077339E-4</v>
      </c>
      <c r="Z8" s="1">
        <v>6.2292819080913848E-4</v>
      </c>
      <c r="AA8" s="1">
        <v>5.8460928358030153E-4</v>
      </c>
      <c r="AB8" s="1">
        <v>3.0768291121418146E-4</v>
      </c>
      <c r="AC8" s="1">
        <v>1.0171971183660705E-3</v>
      </c>
      <c r="AD8" s="1">
        <v>4.6130637179163381E-4</v>
      </c>
      <c r="AE8" s="1">
        <v>9.8290025693383736E-4</v>
      </c>
      <c r="AF8" s="1">
        <v>4.9452414261014438E-4</v>
      </c>
      <c r="AG8" s="1">
        <v>9.5552291856970282E-4</v>
      </c>
      <c r="AH8" s="1">
        <v>1.09832038463812E-3</v>
      </c>
      <c r="AI8" s="1">
        <v>9.2401427880920437E-4</v>
      </c>
      <c r="AJ8" s="1">
        <v>3.0173877634922494E-4</v>
      </c>
      <c r="AK8" s="1">
        <v>6.2254256946584201E-4</v>
      </c>
      <c r="AL8" s="1">
        <v>8.2056118791015307E-4</v>
      </c>
      <c r="AM8" s="1">
        <v>1.465926107241096E-3</v>
      </c>
      <c r="AN8" s="1">
        <v>5.5150116604192004E-4</v>
      </c>
      <c r="AO8" s="1">
        <v>6.4259519367574497E-4</v>
      </c>
    </row>
    <row r="9" spans="1:41" ht="15">
      <c r="A9" s="17" t="s">
        <v>19</v>
      </c>
      <c r="B9" s="1">
        <v>5.0019314230529343E-4</v>
      </c>
      <c r="C9" s="1">
        <v>2.5239939089386301E-3</v>
      </c>
      <c r="D9" s="1">
        <v>6.0734166858122918E-4</v>
      </c>
      <c r="E9" s="1">
        <v>1.8858427340440079E-4</v>
      </c>
      <c r="F9" s="1">
        <v>9.5922331855087138E-4</v>
      </c>
      <c r="G9" s="1">
        <v>5.9507379224666378E-4</v>
      </c>
      <c r="H9" s="1">
        <v>7.582434568814266E-4</v>
      </c>
      <c r="I9" s="1">
        <v>2.8256162001863682E-4</v>
      </c>
      <c r="J9" s="1">
        <v>4.7118645936963712E-4</v>
      </c>
      <c r="K9" s="1">
        <v>9.3433790555954015E-4</v>
      </c>
      <c r="L9" s="1">
        <v>3.1984010690274696E-4</v>
      </c>
      <c r="M9" s="1">
        <v>3.1199649736346648E-4</v>
      </c>
      <c r="N9" s="1">
        <v>2.3430572218863929E-4</v>
      </c>
      <c r="O9" s="1">
        <v>2.5636389602551741E-4</v>
      </c>
      <c r="P9" s="1">
        <v>2.9449988930603874E-4</v>
      </c>
      <c r="Q9" s="1">
        <v>9.4686033420611222E-4</v>
      </c>
      <c r="R9" s="1">
        <v>1.5409485980169731E-4</v>
      </c>
      <c r="S9" s="1">
        <v>1.2955837479866961E-4</v>
      </c>
      <c r="T9" s="1">
        <v>1.9804050733027834E-4</v>
      </c>
      <c r="U9" s="1">
        <v>1.3537866734789536E-3</v>
      </c>
      <c r="V9" s="1">
        <v>3.716632525194886E-4</v>
      </c>
      <c r="W9" s="1">
        <v>1.8469023515438993E-4</v>
      </c>
      <c r="X9" s="1">
        <v>-7.7534808574370087E-6</v>
      </c>
      <c r="Y9" s="1">
        <v>7.4125000346504061E-5</v>
      </c>
      <c r="Z9" s="1">
        <v>3.8250194778442293E-4</v>
      </c>
      <c r="AA9" s="1">
        <v>3.909750876189015E-4</v>
      </c>
      <c r="AB9" s="1">
        <v>3.633887101103887E-4</v>
      </c>
      <c r="AC9" s="1">
        <v>-2.4358434758583642E-4</v>
      </c>
      <c r="AD9" s="1">
        <v>5.3464624259645665E-4</v>
      </c>
      <c r="AE9" s="1">
        <v>4.7891360276405641E-4</v>
      </c>
      <c r="AF9" s="1">
        <v>5.5356699889167252E-4</v>
      </c>
      <c r="AG9" s="1">
        <v>1.2138085173190864E-4</v>
      </c>
      <c r="AH9" s="1">
        <v>5.1439883390023619E-4</v>
      </c>
      <c r="AI9" s="1">
        <v>5.5253175280994208E-4</v>
      </c>
      <c r="AJ9" s="1">
        <v>2.1866056871707517E-4</v>
      </c>
      <c r="AK9" s="1">
        <v>3.604292987664255E-4</v>
      </c>
      <c r="AL9" s="1">
        <v>6.3085805069389047E-4</v>
      </c>
      <c r="AM9" s="1">
        <v>9.4967493861744425E-4</v>
      </c>
      <c r="AN9" s="1">
        <v>2.6113448271692546E-4</v>
      </c>
      <c r="AO9" s="1">
        <v>5.6792838607029184E-5</v>
      </c>
    </row>
    <row r="10" spans="1:41" ht="15">
      <c r="A10" s="17" t="s">
        <v>17</v>
      </c>
      <c r="B10" s="1">
        <v>7.8127922290946114E-4</v>
      </c>
      <c r="C10" s="1">
        <v>6.0734166858122918E-4</v>
      </c>
      <c r="D10" s="1">
        <v>4.8172862830021135E-3</v>
      </c>
      <c r="E10" s="1">
        <v>3.8630985059717629E-4</v>
      </c>
      <c r="F10" s="1">
        <v>8.9901751008070023E-4</v>
      </c>
      <c r="G10" s="1">
        <v>3.3059800534431373E-4</v>
      </c>
      <c r="H10" s="1">
        <v>1.396888048381884E-3</v>
      </c>
      <c r="I10" s="1">
        <v>2.2351218051171512E-4</v>
      </c>
      <c r="J10" s="1">
        <v>2.8612904846335446E-4</v>
      </c>
      <c r="K10" s="1">
        <v>8.3652249541997699E-4</v>
      </c>
      <c r="L10" s="1">
        <v>4.6365714571102476E-4</v>
      </c>
      <c r="M10" s="1">
        <v>3.4492575011773539E-4</v>
      </c>
      <c r="N10" s="1">
        <v>4.9751933646717073E-4</v>
      </c>
      <c r="O10" s="1">
        <v>1.3659161290939967E-4</v>
      </c>
      <c r="P10" s="1">
        <v>5.6827808873704719E-4</v>
      </c>
      <c r="Q10" s="1">
        <v>1.1812966839536336E-3</v>
      </c>
      <c r="R10" s="1">
        <v>2.2059606762159857E-5</v>
      </c>
      <c r="S10" s="1">
        <v>8.1484064978290603E-4</v>
      </c>
      <c r="T10" s="1">
        <v>3.5825236362635151E-4</v>
      </c>
      <c r="U10" s="1">
        <v>1.3265361927032528E-3</v>
      </c>
      <c r="V10" s="1">
        <v>3.2124770699277605E-4</v>
      </c>
      <c r="W10" s="1">
        <v>6.3423973939620947E-5</v>
      </c>
      <c r="X10" s="1">
        <v>-5.3757745928732228E-5</v>
      </c>
      <c r="Y10" s="1">
        <v>5.9747260298549827E-4</v>
      </c>
      <c r="Z10" s="1">
        <v>-8.3660114213123871E-5</v>
      </c>
      <c r="AA10" s="1">
        <v>4.5803852617730303E-4</v>
      </c>
      <c r="AB10" s="1">
        <v>-9.6977628509487581E-5</v>
      </c>
      <c r="AC10" s="1">
        <v>-8.7022044096287104E-4</v>
      </c>
      <c r="AD10" s="1">
        <v>8.9929632846753624E-5</v>
      </c>
      <c r="AE10" s="1">
        <v>2.4277151013055048E-4</v>
      </c>
      <c r="AF10" s="1">
        <v>1.0316837013137727E-4</v>
      </c>
      <c r="AG10" s="1">
        <v>5.0147745787339301E-5</v>
      </c>
      <c r="AH10" s="1">
        <v>8.4584396851890569E-4</v>
      </c>
      <c r="AI10" s="1">
        <v>-2.8886534626501776E-4</v>
      </c>
      <c r="AJ10" s="1">
        <v>2.2665035114068595E-5</v>
      </c>
      <c r="AK10" s="1">
        <v>2.1357952109063262E-4</v>
      </c>
      <c r="AL10" s="1">
        <v>5.0654964891589098E-4</v>
      </c>
      <c r="AM10" s="1">
        <v>9.3523901973267928E-4</v>
      </c>
      <c r="AN10" s="1">
        <v>-2.0987031203142291E-4</v>
      </c>
      <c r="AO10" s="1">
        <v>2.4473040674908755E-5</v>
      </c>
    </row>
    <row r="11" spans="1:41" ht="15">
      <c r="A11" s="17" t="s">
        <v>18</v>
      </c>
      <c r="B11" s="1">
        <v>3.2176077798571153E-4</v>
      </c>
      <c r="C11" s="1">
        <v>1.8858427340440079E-4</v>
      </c>
      <c r="D11" s="1">
        <v>3.8630985059717629E-4</v>
      </c>
      <c r="E11" s="1">
        <v>7.0123970050019789E-3</v>
      </c>
      <c r="F11" s="1">
        <v>7.4883287960411399E-4</v>
      </c>
      <c r="G11" s="1">
        <v>2.7532311870129083E-4</v>
      </c>
      <c r="H11" s="1">
        <v>1.483976544394623E-3</v>
      </c>
      <c r="I11" s="1">
        <v>2.6278805952622403E-4</v>
      </c>
      <c r="J11" s="1">
        <v>8.579218893430637E-4</v>
      </c>
      <c r="K11" s="1">
        <v>1.4869214772216316E-3</v>
      </c>
      <c r="L11" s="1">
        <v>4.8192421846679837E-4</v>
      </c>
      <c r="M11" s="1">
        <v>1.0027194192483262E-3</v>
      </c>
      <c r="N11" s="1">
        <v>6.6117704249611599E-4</v>
      </c>
      <c r="O11" s="1">
        <v>6.4215903577139832E-4</v>
      </c>
      <c r="P11" s="1">
        <v>8.1887667424419017E-4</v>
      </c>
      <c r="Q11" s="1">
        <v>-4.7890454243656858E-4</v>
      </c>
      <c r="R11" s="1">
        <v>1.3188813071249729E-3</v>
      </c>
      <c r="S11" s="1">
        <v>5.3064289611043684E-4</v>
      </c>
      <c r="T11" s="1">
        <v>7.7540148607088666E-4</v>
      </c>
      <c r="U11" s="1">
        <v>2.182791171402714E-3</v>
      </c>
      <c r="V11" s="1">
        <v>4.8001786822167815E-4</v>
      </c>
      <c r="W11" s="1">
        <v>3.8963036390355174E-4</v>
      </c>
      <c r="X11" s="1">
        <v>9.6725470410702623E-4</v>
      </c>
      <c r="Y11" s="1">
        <v>1.8209005562750406E-3</v>
      </c>
      <c r="Z11" s="1">
        <v>2.9093163569680177E-5</v>
      </c>
      <c r="AA11" s="1">
        <v>8.3040240515227484E-4</v>
      </c>
      <c r="AB11" s="1">
        <v>9.9535299611653574E-4</v>
      </c>
      <c r="AC11" s="1">
        <v>1.5568361992854044E-3</v>
      </c>
      <c r="AD11" s="1">
        <v>-2.2008781362097934E-4</v>
      </c>
      <c r="AE11" s="1">
        <v>8.3602547982470751E-5</v>
      </c>
      <c r="AF11" s="1">
        <v>1.7105874773920964E-5</v>
      </c>
      <c r="AG11" s="1">
        <v>2.384820246955702E-4</v>
      </c>
      <c r="AH11" s="1">
        <v>8.2787320328633917E-4</v>
      </c>
      <c r="AI11" s="1">
        <v>1.0246461627747008E-3</v>
      </c>
      <c r="AJ11" s="1">
        <v>1.8270323918592104E-3</v>
      </c>
      <c r="AK11" s="1">
        <v>6.2055711723076263E-4</v>
      </c>
      <c r="AL11" s="1">
        <v>1.2102270602834305E-3</v>
      </c>
      <c r="AM11" s="1">
        <v>1.3683981315410583E-3</v>
      </c>
      <c r="AN11" s="1">
        <v>4.5705903703283589E-4</v>
      </c>
      <c r="AO11" s="1">
        <v>3.712210009120438E-4</v>
      </c>
    </row>
    <row r="12" spans="1:41" ht="15">
      <c r="A12" s="17" t="s">
        <v>20</v>
      </c>
      <c r="B12" s="1">
        <v>7.9142850148646927E-4</v>
      </c>
      <c r="C12" s="1">
        <v>9.5922331855087138E-4</v>
      </c>
      <c r="D12" s="1">
        <v>8.9901751008070023E-4</v>
      </c>
      <c r="E12" s="1">
        <v>7.4883287960411399E-4</v>
      </c>
      <c r="F12" s="1">
        <v>4.2330519953896707E-3</v>
      </c>
      <c r="G12" s="1">
        <v>8.5421898858020989E-4</v>
      </c>
      <c r="H12" s="1">
        <v>1.1552377510777472E-3</v>
      </c>
      <c r="I12" s="1">
        <v>3.2261367712786048E-4</v>
      </c>
      <c r="J12" s="1">
        <v>9.0117631363935055E-4</v>
      </c>
      <c r="K12" s="1">
        <v>1.2545289876291481E-3</v>
      </c>
      <c r="L12" s="1">
        <v>5.9625015233518873E-4</v>
      </c>
      <c r="M12" s="1">
        <v>5.041017308199772E-4</v>
      </c>
      <c r="N12" s="1">
        <v>5.2160647792941098E-4</v>
      </c>
      <c r="O12" s="1">
        <v>5.903329166761645E-4</v>
      </c>
      <c r="P12" s="1">
        <v>4.7703320101979524E-4</v>
      </c>
      <c r="Q12" s="1">
        <v>1.2464422482262448E-3</v>
      </c>
      <c r="R12" s="1">
        <v>5.6604475288255494E-4</v>
      </c>
      <c r="S12" s="1">
        <v>5.0391970931184572E-4</v>
      </c>
      <c r="T12" s="1">
        <v>7.4762330710255681E-4</v>
      </c>
      <c r="U12" s="1">
        <v>2.3473147382107487E-3</v>
      </c>
      <c r="V12" s="1">
        <v>2.8071692701670545E-4</v>
      </c>
      <c r="W12" s="1">
        <v>1.0255806078895041E-4</v>
      </c>
      <c r="X12" s="1">
        <v>2.2722332191556354E-4</v>
      </c>
      <c r="Y12" s="1">
        <v>2.7701516208376566E-4</v>
      </c>
      <c r="Z12" s="1">
        <v>2.6898051444866736E-4</v>
      </c>
      <c r="AA12" s="1">
        <v>6.8012080381183544E-4</v>
      </c>
      <c r="AB12" s="1">
        <v>5.1408484613695005E-4</v>
      </c>
      <c r="AC12" s="1">
        <v>-5.7699024284222104E-4</v>
      </c>
      <c r="AD12" s="1">
        <v>4.525198388948167E-4</v>
      </c>
      <c r="AE12" s="1">
        <v>3.8423404191479353E-4</v>
      </c>
      <c r="AF12" s="1">
        <v>4.9831575997519697E-4</v>
      </c>
      <c r="AG12" s="1">
        <v>6.1850878302800315E-4</v>
      </c>
      <c r="AH12" s="1">
        <v>1.2174119786186059E-3</v>
      </c>
      <c r="AI12" s="1">
        <v>9.6255063406793049E-4</v>
      </c>
      <c r="AJ12" s="1">
        <v>1.3482531743824633E-3</v>
      </c>
      <c r="AK12" s="1">
        <v>6.7247994489278947E-4</v>
      </c>
      <c r="AL12" s="1">
        <v>8.7538272119228576E-4</v>
      </c>
      <c r="AM12" s="1">
        <v>1.3528745662676287E-3</v>
      </c>
      <c r="AN12" s="1">
        <v>3.1625956894583993E-4</v>
      </c>
      <c r="AO12" s="1">
        <v>9.3231922858894232E-5</v>
      </c>
    </row>
    <row r="13" spans="1:41" ht="15">
      <c r="A13" s="17" t="s">
        <v>22</v>
      </c>
      <c r="B13" s="1">
        <v>6.9616768595448476E-4</v>
      </c>
      <c r="C13" s="1">
        <v>5.9507379224666378E-4</v>
      </c>
      <c r="D13" s="1">
        <v>3.3059800534431373E-4</v>
      </c>
      <c r="E13" s="1">
        <v>2.7532311870129083E-4</v>
      </c>
      <c r="F13" s="1">
        <v>8.5421898858020989E-4</v>
      </c>
      <c r="G13" s="1">
        <v>3.2902881245795183E-3</v>
      </c>
      <c r="H13" s="1">
        <v>1.2762749419932512E-3</v>
      </c>
      <c r="I13" s="1">
        <v>9.6387220492674382E-4</v>
      </c>
      <c r="J13" s="1">
        <v>6.5234441984424413E-4</v>
      </c>
      <c r="K13" s="1">
        <v>6.9690063273172506E-4</v>
      </c>
      <c r="L13" s="1">
        <v>5.9832738807709754E-4</v>
      </c>
      <c r="M13" s="1">
        <v>4.6803944148972619E-4</v>
      </c>
      <c r="N13" s="1">
        <v>7.1365218840322266E-4</v>
      </c>
      <c r="O13" s="1">
        <v>6.0866409349153599E-4</v>
      </c>
      <c r="P13" s="1">
        <v>2.4770668156257639E-4</v>
      </c>
      <c r="Q13" s="1">
        <v>1.1186650702318828E-3</v>
      </c>
      <c r="R13" s="1">
        <v>1.1662151678796557E-3</v>
      </c>
      <c r="S13" s="1">
        <v>1.4532225936580287E-5</v>
      </c>
      <c r="T13" s="1">
        <v>5.5075845630400276E-4</v>
      </c>
      <c r="U13" s="1">
        <v>1.8479068229039245E-3</v>
      </c>
      <c r="V13" s="1">
        <v>1.1077263602975774E-3</v>
      </c>
      <c r="W13" s="1">
        <v>1.004626709619751E-3</v>
      </c>
      <c r="X13" s="1">
        <v>1.1894510204531094E-4</v>
      </c>
      <c r="Y13" s="1">
        <v>6.9808204069631583E-4</v>
      </c>
      <c r="Z13" s="1">
        <v>5.203280574546268E-4</v>
      </c>
      <c r="AA13" s="1">
        <v>4.2744246116215614E-4</v>
      </c>
      <c r="AB13" s="1">
        <v>6.1204910410547005E-4</v>
      </c>
      <c r="AC13" s="1">
        <v>3.9430895220341102E-4</v>
      </c>
      <c r="AD13" s="1">
        <v>3.3874459798296131E-4</v>
      </c>
      <c r="AE13" s="1">
        <v>6.7364753430272954E-4</v>
      </c>
      <c r="AF13" s="1">
        <v>5.3625065856270301E-4</v>
      </c>
      <c r="AG13" s="1">
        <v>6.8460221247942411E-4</v>
      </c>
      <c r="AH13" s="1">
        <v>1.0754731752731774E-3</v>
      </c>
      <c r="AI13" s="1">
        <v>1.0042099258483041E-3</v>
      </c>
      <c r="AJ13" s="1">
        <v>5.7650694743270625E-4</v>
      </c>
      <c r="AK13" s="1">
        <v>3.0055836225516784E-4</v>
      </c>
      <c r="AL13" s="1">
        <v>5.3173577723817744E-4</v>
      </c>
      <c r="AM13" s="1">
        <v>1.1991263125233141E-3</v>
      </c>
      <c r="AN13" s="1">
        <v>6.2111298093691465E-4</v>
      </c>
      <c r="AO13" s="1">
        <v>6.4784078722294515E-4</v>
      </c>
    </row>
    <row r="14" spans="1:41" ht="15">
      <c r="A14" s="17" t="s">
        <v>23</v>
      </c>
      <c r="B14" s="1">
        <v>8.8762281598092651E-4</v>
      </c>
      <c r="C14" s="1">
        <v>7.582434568814266E-4</v>
      </c>
      <c r="D14" s="1">
        <v>1.396888048381884E-3</v>
      </c>
      <c r="E14" s="1">
        <v>1.483976544394623E-3</v>
      </c>
      <c r="F14" s="1">
        <v>1.1552377510777472E-3</v>
      </c>
      <c r="G14" s="1">
        <v>1.2762749419932512E-3</v>
      </c>
      <c r="H14" s="1">
        <v>8.9640850068638377E-3</v>
      </c>
      <c r="I14" s="1">
        <v>1.1831743912991009E-3</v>
      </c>
      <c r="J14" s="1">
        <v>6.5904622877837726E-4</v>
      </c>
      <c r="K14" s="1">
        <v>1.0431641557952184E-3</v>
      </c>
      <c r="L14" s="1">
        <v>7.3742116942594814E-4</v>
      </c>
      <c r="M14" s="1">
        <v>9.9572927771306185E-4</v>
      </c>
      <c r="N14" s="1">
        <v>1.0840552927530139E-3</v>
      </c>
      <c r="O14" s="1">
        <v>8.2901820585390309E-4</v>
      </c>
      <c r="P14" s="1">
        <v>1.8438970850008459E-3</v>
      </c>
      <c r="Q14" s="1">
        <v>1.2510642152365947E-3</v>
      </c>
      <c r="R14" s="1">
        <v>1.2784091219470235E-3</v>
      </c>
      <c r="S14" s="1">
        <v>6.3533221105389328E-4</v>
      </c>
      <c r="T14" s="1">
        <v>1.146798168535388E-3</v>
      </c>
      <c r="U14" s="1">
        <v>2.2263444898168515E-3</v>
      </c>
      <c r="V14" s="1">
        <v>1.0572685371524385E-3</v>
      </c>
      <c r="W14" s="1">
        <v>1.1307901616492209E-3</v>
      </c>
      <c r="X14" s="1">
        <v>7.1538690748910267E-4</v>
      </c>
      <c r="Y14" s="1">
        <v>2.0365015028511279E-3</v>
      </c>
      <c r="Z14" s="1">
        <v>2.0438073296286792E-5</v>
      </c>
      <c r="AA14" s="1">
        <v>9.9606399532928811E-4</v>
      </c>
      <c r="AB14" s="1">
        <v>7.5927542700048002E-4</v>
      </c>
      <c r="AC14" s="1">
        <v>1.8305906614542457E-4</v>
      </c>
      <c r="AD14" s="1">
        <v>4.1573443703018076E-5</v>
      </c>
      <c r="AE14" s="1">
        <v>5.4859702970208991E-4</v>
      </c>
      <c r="AF14" s="1">
        <v>2.7020292642261396E-4</v>
      </c>
      <c r="AG14" s="1">
        <v>7.184527213380833E-4</v>
      </c>
      <c r="AH14" s="1">
        <v>6.3501921960452468E-4</v>
      </c>
      <c r="AI14" s="1">
        <v>3.8411822855198346E-4</v>
      </c>
      <c r="AJ14" s="1">
        <v>1.83785766919502E-3</v>
      </c>
      <c r="AK14" s="1">
        <v>4.1092344869523916E-4</v>
      </c>
      <c r="AL14" s="1">
        <v>1.136980184010999E-3</v>
      </c>
      <c r="AM14" s="1">
        <v>5.7674896671181756E-4</v>
      </c>
      <c r="AN14" s="1">
        <v>7.0451583296763905E-4</v>
      </c>
      <c r="AO14" s="1">
        <v>8.6723176426551361E-4</v>
      </c>
    </row>
    <row r="15" spans="1:41" ht="15">
      <c r="A15" s="17" t="s">
        <v>24</v>
      </c>
      <c r="B15" s="1">
        <v>4.2636282953441681E-4</v>
      </c>
      <c r="C15" s="1">
        <v>2.8256162001863682E-4</v>
      </c>
      <c r="D15" s="1">
        <v>2.2351218051171512E-4</v>
      </c>
      <c r="E15" s="1">
        <v>2.6278805952622403E-4</v>
      </c>
      <c r="F15" s="1">
        <v>3.2261367712786048E-4</v>
      </c>
      <c r="G15" s="1">
        <v>9.6387220492674382E-4</v>
      </c>
      <c r="H15" s="1">
        <v>1.1831743912991009E-3</v>
      </c>
      <c r="I15" s="1">
        <v>5.4733530102919169E-3</v>
      </c>
      <c r="J15" s="1">
        <v>6.4382504503957515E-4</v>
      </c>
      <c r="K15" s="1">
        <v>1.857214032988235E-4</v>
      </c>
      <c r="L15" s="1">
        <v>1.4500150148063327E-4</v>
      </c>
      <c r="M15" s="1">
        <v>9.3068635712751388E-4</v>
      </c>
      <c r="N15" s="1">
        <v>7.7329772383068532E-4</v>
      </c>
      <c r="O15" s="1">
        <v>7.7380095161996105E-4</v>
      </c>
      <c r="P15" s="1">
        <v>9.3421635464632801E-4</v>
      </c>
      <c r="Q15" s="1">
        <v>3.6314901569158963E-4</v>
      </c>
      <c r="R15" s="1">
        <v>1.5895076429561627E-3</v>
      </c>
      <c r="S15" s="1">
        <v>-2.8198123661070742E-4</v>
      </c>
      <c r="T15" s="1">
        <v>5.1253567332760531E-4</v>
      </c>
      <c r="U15" s="1">
        <v>3.1753264065500064E-3</v>
      </c>
      <c r="V15" s="1">
        <v>1.1703706316043435E-3</v>
      </c>
      <c r="W15" s="1">
        <v>1.1440260667821426E-3</v>
      </c>
      <c r="X15" s="1">
        <v>1.0007254146045363E-3</v>
      </c>
      <c r="Y15" s="1">
        <v>1.1106109631995207E-3</v>
      </c>
      <c r="Z15" s="1">
        <v>3.0128032223577383E-4</v>
      </c>
      <c r="AA15" s="1">
        <v>8.4340227822806628E-4</v>
      </c>
      <c r="AB15" s="1">
        <v>7.4478327379893161E-4</v>
      </c>
      <c r="AC15" s="1">
        <v>8.3383550104576662E-4</v>
      </c>
      <c r="AD15" s="1">
        <v>1.5978367303705858E-4</v>
      </c>
      <c r="AE15" s="1">
        <v>8.5892999390407886E-4</v>
      </c>
      <c r="AF15" s="1">
        <v>6.7614953315887568E-4</v>
      </c>
      <c r="AG15" s="1">
        <v>1.1125475583120673E-3</v>
      </c>
      <c r="AH15" s="1">
        <v>9.7504730585076804E-4</v>
      </c>
      <c r="AI15" s="1">
        <v>1.0636370610542926E-3</v>
      </c>
      <c r="AJ15" s="1">
        <v>7.1518167038133579E-4</v>
      </c>
      <c r="AK15" s="1">
        <v>3.4871995683923013E-4</v>
      </c>
      <c r="AL15" s="1">
        <v>6.5661917950251148E-4</v>
      </c>
      <c r="AM15" s="1">
        <v>6.095199382205633E-4</v>
      </c>
      <c r="AN15" s="1">
        <v>1.3432718004699673E-3</v>
      </c>
      <c r="AO15" s="1">
        <v>5.2354924851443353E-4</v>
      </c>
    </row>
    <row r="16" spans="1:41" ht="15">
      <c r="A16" s="17" t="s">
        <v>29</v>
      </c>
      <c r="B16" s="1">
        <v>7.0437078541922614E-4</v>
      </c>
      <c r="C16" s="1">
        <v>4.7118645936963712E-4</v>
      </c>
      <c r="D16" s="1">
        <v>2.8612904846335446E-4</v>
      </c>
      <c r="E16" s="1">
        <v>8.579218893430637E-4</v>
      </c>
      <c r="F16" s="1">
        <v>9.0117631363935055E-4</v>
      </c>
      <c r="G16" s="1">
        <v>6.5234441984424413E-4</v>
      </c>
      <c r="H16" s="1">
        <v>6.5904622877837726E-4</v>
      </c>
      <c r="I16" s="1">
        <v>6.4382504503957515E-4</v>
      </c>
      <c r="J16" s="1">
        <v>3.6042788399399993E-3</v>
      </c>
      <c r="K16" s="1">
        <v>1.3424168762094255E-3</v>
      </c>
      <c r="L16" s="1">
        <v>4.4719508310948067E-4</v>
      </c>
      <c r="M16" s="1">
        <v>1.6413159897607951E-4</v>
      </c>
      <c r="N16" s="1">
        <v>4.9186916063645241E-4</v>
      </c>
      <c r="O16" s="1">
        <v>6.7418551479350513E-4</v>
      </c>
      <c r="P16" s="1">
        <v>7.299337961866691E-4</v>
      </c>
      <c r="Q16" s="1">
        <v>5.3178997066390284E-4</v>
      </c>
      <c r="R16" s="1">
        <v>6.6856101511810482E-4</v>
      </c>
      <c r="S16" s="1">
        <v>3.0263489864985443E-4</v>
      </c>
      <c r="T16" s="1">
        <v>5.8103827595847794E-4</v>
      </c>
      <c r="U16" s="1">
        <v>1.8575305876425226E-3</v>
      </c>
      <c r="V16" s="1">
        <v>5.9229736174196146E-4</v>
      </c>
      <c r="W16" s="1">
        <v>4.3862126320646946E-4</v>
      </c>
      <c r="X16" s="1">
        <v>6.5192363524413084E-4</v>
      </c>
      <c r="Y16" s="1">
        <v>1.7066259450071575E-4</v>
      </c>
      <c r="Z16" s="1">
        <v>4.5969686669644161E-4</v>
      </c>
      <c r="AA16" s="1">
        <v>5.0656336006292871E-4</v>
      </c>
      <c r="AB16" s="1">
        <v>8.5741853484637605E-4</v>
      </c>
      <c r="AC16" s="1">
        <v>9.4853207070421568E-4</v>
      </c>
      <c r="AD16" s="1">
        <v>2.6591314056686885E-4</v>
      </c>
      <c r="AE16" s="1">
        <v>5.9659841016349848E-4</v>
      </c>
      <c r="AF16" s="1">
        <v>3.4605164265446317E-4</v>
      </c>
      <c r="AG16" s="1">
        <v>1.5279425477230893E-3</v>
      </c>
      <c r="AH16" s="1">
        <v>9.3892714061096763E-4</v>
      </c>
      <c r="AI16" s="1">
        <v>1.2507035913762894E-3</v>
      </c>
      <c r="AJ16" s="1">
        <v>1.3916254114995173E-3</v>
      </c>
      <c r="AK16" s="1">
        <v>9.7944526313889849E-4</v>
      </c>
      <c r="AL16" s="1">
        <v>9.3168110683853798E-4</v>
      </c>
      <c r="AM16" s="1">
        <v>1.2051754376261709E-3</v>
      </c>
      <c r="AN16" s="1">
        <v>8.4353322508304675E-4</v>
      </c>
      <c r="AO16" s="1">
        <v>4.1387769299299317E-4</v>
      </c>
    </row>
    <row r="17" spans="1:41" ht="15">
      <c r="A17" s="17" t="s">
        <v>30</v>
      </c>
      <c r="B17" s="1">
        <v>6.9931884658656169E-4</v>
      </c>
      <c r="C17" s="1">
        <v>9.3433790555954015E-4</v>
      </c>
      <c r="D17" s="1">
        <v>8.3652249541997699E-4</v>
      </c>
      <c r="E17" s="1">
        <v>1.4869214772216316E-3</v>
      </c>
      <c r="F17" s="1">
        <v>1.2545289876291481E-3</v>
      </c>
      <c r="G17" s="1">
        <v>6.9690063273172506E-4</v>
      </c>
      <c r="H17" s="1">
        <v>1.0431641557952184E-3</v>
      </c>
      <c r="I17" s="1">
        <v>1.857214032988235E-4</v>
      </c>
      <c r="J17" s="1">
        <v>1.3424168762094255E-3</v>
      </c>
      <c r="K17" s="1">
        <v>6.4475301889323567E-3</v>
      </c>
      <c r="L17" s="1">
        <v>5.1914321841029496E-4</v>
      </c>
      <c r="M17" s="1">
        <v>3.0933694175201183E-4</v>
      </c>
      <c r="N17" s="1">
        <v>4.3802365353615114E-4</v>
      </c>
      <c r="O17" s="1">
        <v>5.0223083674149781E-4</v>
      </c>
      <c r="P17" s="1">
        <v>1.1024274056624834E-3</v>
      </c>
      <c r="Q17" s="1">
        <v>1.805274647161288E-3</v>
      </c>
      <c r="R17" s="1">
        <v>3.9633433638862429E-4</v>
      </c>
      <c r="S17" s="1">
        <v>1.8364638576644267E-4</v>
      </c>
      <c r="T17" s="1">
        <v>4.2379478991637668E-4</v>
      </c>
      <c r="U17" s="1">
        <v>2.6599018668926333E-3</v>
      </c>
      <c r="V17" s="1">
        <v>3.1918442035769741E-4</v>
      </c>
      <c r="W17" s="1">
        <v>-9.0709717544701433E-5</v>
      </c>
      <c r="X17" s="1">
        <v>6.7798932721341906E-4</v>
      </c>
      <c r="Y17" s="1">
        <v>-2.2565110261808306E-4</v>
      </c>
      <c r="Z17" s="1">
        <v>3.4636539843931248E-4</v>
      </c>
      <c r="AA17" s="1">
        <v>7.7672700138438485E-4</v>
      </c>
      <c r="AB17" s="1">
        <v>7.7891772469326889E-4</v>
      </c>
      <c r="AC17" s="1">
        <v>7.6596123925547503E-4</v>
      </c>
      <c r="AD17" s="1">
        <v>3.4921689780946806E-4</v>
      </c>
      <c r="AE17" s="1">
        <v>2.5891778765945058E-4</v>
      </c>
      <c r="AF17" s="1">
        <v>5.0681383165500859E-4</v>
      </c>
      <c r="AG17" s="1">
        <v>1.3313413637155087E-3</v>
      </c>
      <c r="AH17" s="1">
        <v>1.8823159730126755E-3</v>
      </c>
      <c r="AI17" s="1">
        <v>1.1887491408958699E-3</v>
      </c>
      <c r="AJ17" s="1">
        <v>2.3174800590775118E-3</v>
      </c>
      <c r="AK17" s="1">
        <v>1.3632355049410262E-3</v>
      </c>
      <c r="AL17" s="1">
        <v>1.2507015175943982E-3</v>
      </c>
      <c r="AM17" s="1">
        <v>9.2276877822284427E-4</v>
      </c>
      <c r="AN17" s="1">
        <v>3.7706973285503648E-4</v>
      </c>
      <c r="AO17" s="1">
        <v>1.1101582409017872E-3</v>
      </c>
    </row>
    <row r="18" spans="1:41" ht="15">
      <c r="A18" s="17" t="s">
        <v>32</v>
      </c>
      <c r="B18" s="1">
        <v>2.9306656814309206E-4</v>
      </c>
      <c r="C18" s="1">
        <v>3.1984010690274696E-4</v>
      </c>
      <c r="D18" s="1">
        <v>4.6365714571102476E-4</v>
      </c>
      <c r="E18" s="1">
        <v>4.8192421846679837E-4</v>
      </c>
      <c r="F18" s="1">
        <v>5.9625015233518873E-4</v>
      </c>
      <c r="G18" s="1">
        <v>5.9832738807709754E-4</v>
      </c>
      <c r="H18" s="1">
        <v>7.3742116942594814E-4</v>
      </c>
      <c r="I18" s="1">
        <v>1.4500150148063327E-4</v>
      </c>
      <c r="J18" s="1">
        <v>4.4719508310948067E-4</v>
      </c>
      <c r="K18" s="1">
        <v>5.1914321841029496E-4</v>
      </c>
      <c r="L18" s="1">
        <v>8.9553439124222343E-3</v>
      </c>
      <c r="M18" s="1">
        <v>4.5660877259653444E-4</v>
      </c>
      <c r="N18" s="1">
        <v>1.8506042187927749E-4</v>
      </c>
      <c r="O18" s="1">
        <v>2.0800863235700303E-4</v>
      </c>
      <c r="P18" s="1">
        <v>1.042919491318984E-3</v>
      </c>
      <c r="Q18" s="1">
        <v>5.6734799582834605E-4</v>
      </c>
      <c r="R18" s="1">
        <v>2.0489318698430543E-3</v>
      </c>
      <c r="S18" s="1">
        <v>-4.4538454105652917E-4</v>
      </c>
      <c r="T18" s="1">
        <v>1.4927360419070488E-4</v>
      </c>
      <c r="U18" s="1">
        <v>2.0321937960476118E-3</v>
      </c>
      <c r="V18" s="1">
        <v>1.055822288447382E-3</v>
      </c>
      <c r="W18" s="1">
        <v>5.5615998207319964E-4</v>
      </c>
      <c r="X18" s="1">
        <v>-1.9648404265462763E-4</v>
      </c>
      <c r="Y18" s="1">
        <v>1.5854532930491257E-3</v>
      </c>
      <c r="Z18" s="1">
        <v>-5.8276377774268973E-4</v>
      </c>
      <c r="AA18" s="1">
        <v>3.5167535605539038E-4</v>
      </c>
      <c r="AB18" s="1">
        <v>1.5714043943772344E-3</v>
      </c>
      <c r="AC18" s="1">
        <v>-7.4362754876611291E-4</v>
      </c>
      <c r="AD18" s="1">
        <v>1.5560112110763187E-4</v>
      </c>
      <c r="AE18" s="1">
        <v>6.9630265217603203E-4</v>
      </c>
      <c r="AF18" s="1">
        <v>8.7085606426100969E-5</v>
      </c>
      <c r="AG18" s="1">
        <v>3.2404522756854931E-4</v>
      </c>
      <c r="AH18" s="1">
        <v>8.9261353274832213E-4</v>
      </c>
      <c r="AI18" s="1">
        <v>3.5965100500000459E-4</v>
      </c>
      <c r="AJ18" s="1">
        <v>-4.0732017391503577E-4</v>
      </c>
      <c r="AK18" s="1">
        <v>-1.5597263298422723E-4</v>
      </c>
      <c r="AL18" s="1">
        <v>-2.3903316797359894E-4</v>
      </c>
      <c r="AM18" s="1">
        <v>4.2032828391762241E-4</v>
      </c>
      <c r="AN18" s="1">
        <v>5.3317964029869075E-4</v>
      </c>
      <c r="AO18" s="1">
        <v>-1.0433458369254495E-3</v>
      </c>
    </row>
    <row r="19" spans="1:41" ht="15">
      <c r="A19" s="17" t="s">
        <v>41</v>
      </c>
      <c r="B19" s="1">
        <v>2.3800407646842174E-5</v>
      </c>
      <c r="C19" s="1">
        <v>3.1199649736346648E-4</v>
      </c>
      <c r="D19" s="1">
        <v>3.4492575011773539E-4</v>
      </c>
      <c r="E19" s="1">
        <v>1.0027194192483262E-3</v>
      </c>
      <c r="F19" s="1">
        <v>5.041017308199772E-4</v>
      </c>
      <c r="G19" s="1">
        <v>4.6803944148972619E-4</v>
      </c>
      <c r="H19" s="1">
        <v>9.9572927771306185E-4</v>
      </c>
      <c r="I19" s="1">
        <v>9.3068635712751388E-4</v>
      </c>
      <c r="J19" s="1">
        <v>1.6413159897607951E-4</v>
      </c>
      <c r="K19" s="1">
        <v>3.0933694175201183E-4</v>
      </c>
      <c r="L19" s="1">
        <v>4.5660877259653444E-4</v>
      </c>
      <c r="M19" s="1">
        <v>4.8319003739602934E-3</v>
      </c>
      <c r="N19" s="1">
        <v>5.3697093921952052E-4</v>
      </c>
      <c r="O19" s="1">
        <v>1.3105185726982888E-4</v>
      </c>
      <c r="P19" s="1">
        <v>4.9201820231513469E-4</v>
      </c>
      <c r="Q19" s="1">
        <v>-7.6070352984065393E-4</v>
      </c>
      <c r="R19" s="1">
        <v>7.9793000843290344E-4</v>
      </c>
      <c r="S19" s="1">
        <v>-2.0183703401026453E-4</v>
      </c>
      <c r="T19" s="1">
        <v>3.2005695730306905E-4</v>
      </c>
      <c r="U19" s="1">
        <v>1.3044229022734835E-3</v>
      </c>
      <c r="V19" s="1">
        <v>3.5294061640022415E-4</v>
      </c>
      <c r="W19" s="1">
        <v>4.0805753844107696E-4</v>
      </c>
      <c r="X19" s="1">
        <v>3.036574581699374E-5</v>
      </c>
      <c r="Y19" s="1">
        <v>6.441666960194329E-4</v>
      </c>
      <c r="Z19" s="1">
        <v>-2.881248829621889E-5</v>
      </c>
      <c r="AA19" s="1">
        <v>4.059369531803282E-4</v>
      </c>
      <c r="AB19" s="1">
        <v>1.1978722799428071E-4</v>
      </c>
      <c r="AC19" s="1">
        <v>-6.0500362071223227E-4</v>
      </c>
      <c r="AD19" s="1">
        <v>1.3024470222573943E-4</v>
      </c>
      <c r="AE19" s="1">
        <v>-5.9278356893008165E-5</v>
      </c>
      <c r="AF19" s="1">
        <v>2.8325144492089612E-4</v>
      </c>
      <c r="AG19" s="1">
        <v>-2.1204470193434267E-4</v>
      </c>
      <c r="AH19" s="1">
        <v>3.2096341180313978E-4</v>
      </c>
      <c r="AI19" s="1">
        <v>1.3418899904274752E-4</v>
      </c>
      <c r="AJ19" s="1">
        <v>-9.6448311241650734E-5</v>
      </c>
      <c r="AK19" s="1">
        <v>6.6926058813162147E-5</v>
      </c>
      <c r="AL19" s="1">
        <v>2.2705246196190221E-4</v>
      </c>
      <c r="AM19" s="1">
        <v>3.8399540253992965E-4</v>
      </c>
      <c r="AN19" s="1">
        <v>2.1435903406871458E-4</v>
      </c>
      <c r="AO19" s="1">
        <v>1.9646940582599858E-5</v>
      </c>
    </row>
    <row r="20" spans="1:41" ht="15">
      <c r="A20" s="17" t="s">
        <v>43</v>
      </c>
      <c r="B20" s="1">
        <v>6.2961964650041927E-4</v>
      </c>
      <c r="C20" s="1">
        <v>2.3430572218863929E-4</v>
      </c>
      <c r="D20" s="1">
        <v>4.9751933646717073E-4</v>
      </c>
      <c r="E20" s="1">
        <v>6.6117704249611599E-4</v>
      </c>
      <c r="F20" s="1">
        <v>5.2160647792941098E-4</v>
      </c>
      <c r="G20" s="1">
        <v>7.1365218840322266E-4</v>
      </c>
      <c r="H20" s="1">
        <v>1.0840552927530139E-3</v>
      </c>
      <c r="I20" s="1">
        <v>7.7329772383068532E-4</v>
      </c>
      <c r="J20" s="1">
        <v>4.9186916063645241E-4</v>
      </c>
      <c r="K20" s="1">
        <v>4.3802365353615114E-4</v>
      </c>
      <c r="L20" s="1">
        <v>1.8506042187927749E-4</v>
      </c>
      <c r="M20" s="1">
        <v>5.3697093921952052E-4</v>
      </c>
      <c r="N20" s="1">
        <v>2.3098277956324635E-3</v>
      </c>
      <c r="O20" s="1">
        <v>6.5710826672733412E-4</v>
      </c>
      <c r="P20" s="1">
        <v>1.0834774593664973E-3</v>
      </c>
      <c r="Q20" s="1">
        <v>7.7200849144007757E-4</v>
      </c>
      <c r="R20" s="1">
        <v>1.650946986698215E-3</v>
      </c>
      <c r="S20" s="1">
        <v>7.0779589987763941E-4</v>
      </c>
      <c r="T20" s="1">
        <v>8.3978535174500043E-4</v>
      </c>
      <c r="U20" s="1">
        <v>1.6208902886325626E-3</v>
      </c>
      <c r="V20" s="1">
        <v>6.0992860774423745E-4</v>
      </c>
      <c r="W20" s="1">
        <v>1.0663211168773189E-3</v>
      </c>
      <c r="X20" s="1">
        <v>8.8092970249369757E-4</v>
      </c>
      <c r="Y20" s="1">
        <v>1.1700442351319658E-3</v>
      </c>
      <c r="Z20" s="1">
        <v>4.5044054541501754E-4</v>
      </c>
      <c r="AA20" s="1">
        <v>6.3794954898053233E-4</v>
      </c>
      <c r="AB20" s="1">
        <v>2.8565396034882723E-4</v>
      </c>
      <c r="AC20" s="1">
        <v>5.4603557178187982E-4</v>
      </c>
      <c r="AD20" s="1">
        <v>1.9858220496389499E-4</v>
      </c>
      <c r="AE20" s="1">
        <v>5.7588259063531702E-4</v>
      </c>
      <c r="AF20" s="1">
        <v>2.7753247835980677E-4</v>
      </c>
      <c r="AG20" s="1">
        <v>6.3844278555142276E-4</v>
      </c>
      <c r="AH20" s="1">
        <v>6.259409681731383E-4</v>
      </c>
      <c r="AI20" s="1">
        <v>9.2121740879837601E-4</v>
      </c>
      <c r="AJ20" s="1">
        <v>8.2367390354469851E-4</v>
      </c>
      <c r="AK20" s="1">
        <v>4.0384148440291274E-4</v>
      </c>
      <c r="AL20" s="1">
        <v>6.7335255973019351E-4</v>
      </c>
      <c r="AM20" s="1">
        <v>1.6775954417811803E-3</v>
      </c>
      <c r="AN20" s="1">
        <v>7.6546958737012775E-4</v>
      </c>
      <c r="AO20" s="1">
        <v>4.2057924038003079E-4</v>
      </c>
    </row>
    <row r="21" spans="1:41" ht="15">
      <c r="A21" s="17" t="s">
        <v>45</v>
      </c>
      <c r="B21" s="1">
        <v>7.1430492748232404E-4</v>
      </c>
      <c r="C21" s="1">
        <v>2.5636389602551741E-4</v>
      </c>
      <c r="D21" s="1">
        <v>1.3659161290939967E-4</v>
      </c>
      <c r="E21" s="1">
        <v>6.4215903577139832E-4</v>
      </c>
      <c r="F21" s="1">
        <v>5.903329166761645E-4</v>
      </c>
      <c r="G21" s="1">
        <v>6.0866409349153599E-4</v>
      </c>
      <c r="H21" s="1">
        <v>8.2901820585390309E-4</v>
      </c>
      <c r="I21" s="1">
        <v>7.7380095161996105E-4</v>
      </c>
      <c r="J21" s="1">
        <v>6.7418551479350513E-4</v>
      </c>
      <c r="K21" s="1">
        <v>5.0223083674149781E-4</v>
      </c>
      <c r="L21" s="1">
        <v>2.0800863235700303E-4</v>
      </c>
      <c r="M21" s="1">
        <v>1.3105185726982888E-4</v>
      </c>
      <c r="N21" s="1">
        <v>6.5710826672733412E-4</v>
      </c>
      <c r="O21" s="1">
        <v>3.1210866711348173E-3</v>
      </c>
      <c r="P21" s="1">
        <v>1.2287774865010668E-3</v>
      </c>
      <c r="Q21" s="1">
        <v>8.5936645744176966E-4</v>
      </c>
      <c r="R21" s="1">
        <v>1.2182977346160029E-3</v>
      </c>
      <c r="S21" s="1">
        <v>4.7218258103420336E-4</v>
      </c>
      <c r="T21" s="1">
        <v>9.5023731010256249E-4</v>
      </c>
      <c r="U21" s="1">
        <v>1.5039111137789417E-3</v>
      </c>
      <c r="V21" s="1">
        <v>7.557434101221652E-4</v>
      </c>
      <c r="W21" s="1">
        <v>7.868166199245265E-4</v>
      </c>
      <c r="X21" s="1">
        <v>9.9038891042058314E-4</v>
      </c>
      <c r="Y21" s="1">
        <v>4.7969446999160354E-4</v>
      </c>
      <c r="Z21" s="1">
        <v>4.5452706289088161E-4</v>
      </c>
      <c r="AA21" s="1">
        <v>8.5534929419722608E-4</v>
      </c>
      <c r="AB21" s="1">
        <v>5.267263447918777E-4</v>
      </c>
      <c r="AC21" s="1">
        <v>1.2879671033180112E-3</v>
      </c>
      <c r="AD21" s="1">
        <v>2.8410062638312649E-4</v>
      </c>
      <c r="AE21" s="1">
        <v>1.0275404987221946E-3</v>
      </c>
      <c r="AF21" s="1">
        <v>2.5096727113799064E-4</v>
      </c>
      <c r="AG21" s="1">
        <v>9.0135619942522901E-4</v>
      </c>
      <c r="AH21" s="1">
        <v>6.9134785460571912E-4</v>
      </c>
      <c r="AI21" s="1">
        <v>1.2444658993737776E-3</v>
      </c>
      <c r="AJ21" s="1">
        <v>1.2728831320562546E-3</v>
      </c>
      <c r="AK21" s="1">
        <v>8.4815054411807199E-4</v>
      </c>
      <c r="AL21" s="1">
        <v>5.836726698904526E-4</v>
      </c>
      <c r="AM21" s="1">
        <v>6.6166352743178374E-4</v>
      </c>
      <c r="AN21" s="1">
        <v>9.8968254519439481E-4</v>
      </c>
      <c r="AO21" s="1">
        <v>3.2910887737195145E-4</v>
      </c>
    </row>
    <row r="22" spans="1:41" ht="15">
      <c r="A22" s="17" t="s">
        <v>47</v>
      </c>
      <c r="B22" s="1">
        <v>7.6229219543263126E-4</v>
      </c>
      <c r="C22" s="1">
        <v>2.9449988930603874E-4</v>
      </c>
      <c r="D22" s="1">
        <v>5.6827808873704719E-4</v>
      </c>
      <c r="E22" s="1">
        <v>8.1887667424419017E-4</v>
      </c>
      <c r="F22" s="1">
        <v>4.7703320101979524E-4</v>
      </c>
      <c r="G22" s="1">
        <v>2.4770668156257639E-4</v>
      </c>
      <c r="H22" s="1">
        <v>1.8438970850008459E-3</v>
      </c>
      <c r="I22" s="1">
        <v>9.3421635464632801E-4</v>
      </c>
      <c r="J22" s="1">
        <v>7.299337961866691E-4</v>
      </c>
      <c r="K22" s="1">
        <v>1.1024274056624834E-3</v>
      </c>
      <c r="L22" s="1">
        <v>1.042919491318984E-3</v>
      </c>
      <c r="M22" s="1">
        <v>4.9201820231513469E-4</v>
      </c>
      <c r="N22" s="1">
        <v>1.0834774593664973E-3</v>
      </c>
      <c r="O22" s="1">
        <v>1.2287774865010668E-3</v>
      </c>
      <c r="P22" s="1">
        <v>9.3667336771177234E-3</v>
      </c>
      <c r="Q22" s="1">
        <v>1.649481058236042E-3</v>
      </c>
      <c r="R22" s="1">
        <v>2.3689592930899008E-3</v>
      </c>
      <c r="S22" s="1">
        <v>1.1179460546017609E-3</v>
      </c>
      <c r="T22" s="1">
        <v>1.5981571611963434E-3</v>
      </c>
      <c r="U22" s="1">
        <v>2.3421893109129999E-3</v>
      </c>
      <c r="V22" s="1">
        <v>8.9615246685833692E-4</v>
      </c>
      <c r="W22" s="1">
        <v>1.5957534407142276E-3</v>
      </c>
      <c r="X22" s="1">
        <v>1.5603747273755845E-3</v>
      </c>
      <c r="Y22" s="1">
        <v>1.6981993357694952E-3</v>
      </c>
      <c r="Z22" s="1">
        <v>9.9090060625366464E-5</v>
      </c>
      <c r="AA22" s="1">
        <v>1.4266897681264026E-3</v>
      </c>
      <c r="AB22" s="1">
        <v>7.2972652705446592E-4</v>
      </c>
      <c r="AC22" s="1">
        <v>1.3990443619598728E-3</v>
      </c>
      <c r="AD22" s="1">
        <v>1.336279271600348E-4</v>
      </c>
      <c r="AE22" s="1">
        <v>1.0375746908138207E-3</v>
      </c>
      <c r="AF22" s="1">
        <v>2.4230174685633659E-4</v>
      </c>
      <c r="AG22" s="1">
        <v>8.7431971759320537E-4</v>
      </c>
      <c r="AH22" s="1">
        <v>-3.6217183983208685E-4</v>
      </c>
      <c r="AI22" s="1">
        <v>8.8848396941663401E-4</v>
      </c>
      <c r="AJ22" s="1">
        <v>1.6529089013920947E-3</v>
      </c>
      <c r="AK22" s="1">
        <v>1.5166041740139454E-3</v>
      </c>
      <c r="AL22" s="1">
        <v>6.6270425668288032E-4</v>
      </c>
      <c r="AM22" s="1">
        <v>7.520033469248762E-4</v>
      </c>
      <c r="AN22" s="1">
        <v>1.1039859333355562E-3</v>
      </c>
      <c r="AO22" s="1">
        <v>9.3884350519493338E-4</v>
      </c>
    </row>
    <row r="23" spans="1:41" ht="15">
      <c r="A23" s="17" t="s">
        <v>50</v>
      </c>
      <c r="B23" s="1">
        <v>1.4319581277921845E-3</v>
      </c>
      <c r="C23" s="1">
        <v>9.4686033420611222E-4</v>
      </c>
      <c r="D23" s="1">
        <v>1.1812966839536336E-3</v>
      </c>
      <c r="E23" s="1">
        <v>-4.7890454243656858E-4</v>
      </c>
      <c r="F23" s="1">
        <v>1.2464422482262448E-3</v>
      </c>
      <c r="G23" s="1">
        <v>1.1186650702318828E-3</v>
      </c>
      <c r="H23" s="1">
        <v>1.2510642152365947E-3</v>
      </c>
      <c r="I23" s="1">
        <v>3.6314901569158963E-4</v>
      </c>
      <c r="J23" s="1">
        <v>5.3178997066390284E-4</v>
      </c>
      <c r="K23" s="1">
        <v>1.805274647161288E-3</v>
      </c>
      <c r="L23" s="1">
        <v>5.6734799582834605E-4</v>
      </c>
      <c r="M23" s="1">
        <v>-7.6070352984065393E-4</v>
      </c>
      <c r="N23" s="1">
        <v>7.7200849144007757E-4</v>
      </c>
      <c r="O23" s="1">
        <v>8.5936645744176966E-4</v>
      </c>
      <c r="P23" s="1">
        <v>1.649481058236042E-3</v>
      </c>
      <c r="Q23" s="1">
        <v>1.792080605705024E-2</v>
      </c>
      <c r="R23" s="1">
        <v>7.553424178997351E-4</v>
      </c>
      <c r="S23" s="1">
        <v>1.0355295385764212E-3</v>
      </c>
      <c r="T23" s="1">
        <v>7.3457274159183608E-4</v>
      </c>
      <c r="U23" s="1">
        <v>1.5320433758368244E-3</v>
      </c>
      <c r="V23" s="1">
        <v>6.0467397714334823E-5</v>
      </c>
      <c r="W23" s="1">
        <v>3.5401221388010971E-4</v>
      </c>
      <c r="X23" s="1">
        <v>-6.0821213471572708E-4</v>
      </c>
      <c r="Y23" s="1">
        <v>-2.0594847708086906E-3</v>
      </c>
      <c r="Z23" s="1">
        <v>2.3628969533170201E-4</v>
      </c>
      <c r="AA23" s="1">
        <v>4.3329085639370895E-4</v>
      </c>
      <c r="AB23" s="1">
        <v>-5.370136986103121E-4</v>
      </c>
      <c r="AC23" s="1">
        <v>-1.552833728584096E-3</v>
      </c>
      <c r="AD23" s="1">
        <v>5.8604537670574992E-4</v>
      </c>
      <c r="AE23" s="1">
        <v>4.9842407603143768E-4</v>
      </c>
      <c r="AF23" s="1">
        <v>6.2414046892207231E-4</v>
      </c>
      <c r="AG23" s="1">
        <v>1.3996668723243201E-3</v>
      </c>
      <c r="AH23" s="1">
        <v>2.631281055309527E-3</v>
      </c>
      <c r="AI23" s="1">
        <v>7.6044363670471128E-4</v>
      </c>
      <c r="AJ23" s="1">
        <v>4.1453008916623161E-4</v>
      </c>
      <c r="AK23" s="1">
        <v>8.5168372935146269E-4</v>
      </c>
      <c r="AL23" s="1">
        <v>3.0279058083878567E-5</v>
      </c>
      <c r="AM23" s="1">
        <v>2.5880346575003614E-4</v>
      </c>
      <c r="AN23" s="1">
        <v>7.8702877353413697E-4</v>
      </c>
      <c r="AO23" s="1">
        <v>1.020084973537763E-4</v>
      </c>
    </row>
    <row r="24" spans="1:41" ht="15">
      <c r="A24" s="17" t="s">
        <v>52</v>
      </c>
      <c r="B24" s="1">
        <v>7.1917099952959645E-4</v>
      </c>
      <c r="C24" s="1">
        <v>1.5409485980169731E-4</v>
      </c>
      <c r="D24" s="1">
        <v>2.2059606762159857E-5</v>
      </c>
      <c r="E24" s="1">
        <v>1.3188813071249729E-3</v>
      </c>
      <c r="F24" s="1">
        <v>5.6604475288255494E-4</v>
      </c>
      <c r="G24" s="1">
        <v>1.1662151678796557E-3</v>
      </c>
      <c r="H24" s="1">
        <v>1.2784091219470235E-3</v>
      </c>
      <c r="I24" s="1">
        <v>1.5895076429561627E-3</v>
      </c>
      <c r="J24" s="1">
        <v>6.6856101511810482E-4</v>
      </c>
      <c r="K24" s="1">
        <v>3.9633433638862429E-4</v>
      </c>
      <c r="L24" s="1">
        <v>2.0489318698430543E-3</v>
      </c>
      <c r="M24" s="1">
        <v>7.9793000843290344E-4</v>
      </c>
      <c r="N24" s="1">
        <v>1.650946986698215E-3</v>
      </c>
      <c r="O24" s="1">
        <v>1.2182977346160029E-3</v>
      </c>
      <c r="P24" s="1">
        <v>2.3689592930899008E-3</v>
      </c>
      <c r="Q24" s="1">
        <v>7.553424178997351E-4</v>
      </c>
      <c r="R24" s="1">
        <v>1.4298404913751469E-2</v>
      </c>
      <c r="S24" s="1">
        <v>1.1692122671415875E-3</v>
      </c>
      <c r="T24" s="1">
        <v>1.7965286035157831E-3</v>
      </c>
      <c r="U24" s="1">
        <v>3.4914035854294186E-3</v>
      </c>
      <c r="V24" s="1">
        <v>1.6957879695906183E-3</v>
      </c>
      <c r="W24" s="1">
        <v>1.827820065440075E-3</v>
      </c>
      <c r="X24" s="1">
        <v>1.5262215578121284E-3</v>
      </c>
      <c r="Y24" s="1">
        <v>1.7947440686156234E-3</v>
      </c>
      <c r="Z24" s="1">
        <v>1.4277434585833817E-4</v>
      </c>
      <c r="AA24" s="1">
        <v>1.5101594372479638E-3</v>
      </c>
      <c r="AB24" s="1">
        <v>1.5916856819604729E-3</v>
      </c>
      <c r="AC24" s="1">
        <v>1.6450946601077924E-3</v>
      </c>
      <c r="AD24" s="1">
        <v>-3.8926859567251022E-5</v>
      </c>
      <c r="AE24" s="1">
        <v>1.4377512228619324E-3</v>
      </c>
      <c r="AF24" s="1">
        <v>3.933632310042629E-4</v>
      </c>
      <c r="AG24" s="1">
        <v>1.5774058768350712E-3</v>
      </c>
      <c r="AH24" s="1">
        <v>-3.1113984504676823E-5</v>
      </c>
      <c r="AI24" s="1">
        <v>2.6441123360953452E-3</v>
      </c>
      <c r="AJ24" s="1">
        <v>1.0515944497863836E-3</v>
      </c>
      <c r="AK24" s="1">
        <v>6.3700576504195573E-4</v>
      </c>
      <c r="AL24" s="1">
        <v>6.6760168332158961E-4</v>
      </c>
      <c r="AM24" s="1">
        <v>2.683521483453332E-3</v>
      </c>
      <c r="AN24" s="1">
        <v>2.2057534281955705E-3</v>
      </c>
      <c r="AO24" s="1">
        <v>5.1031197998277348E-4</v>
      </c>
    </row>
    <row r="25" spans="1:41" ht="15">
      <c r="A25" s="17" t="s">
        <v>53</v>
      </c>
      <c r="B25" s="1">
        <v>6.7033686985248811E-4</v>
      </c>
      <c r="C25" s="1">
        <v>1.2955837479866961E-4</v>
      </c>
      <c r="D25" s="1">
        <v>8.1484064978290603E-4</v>
      </c>
      <c r="E25" s="1">
        <v>5.3064289611043684E-4</v>
      </c>
      <c r="F25" s="1">
        <v>5.0391970931184572E-4</v>
      </c>
      <c r="G25" s="1">
        <v>1.4532225936580287E-5</v>
      </c>
      <c r="H25" s="1">
        <v>6.3533221105389328E-4</v>
      </c>
      <c r="I25" s="1">
        <v>-2.8198123661070742E-4</v>
      </c>
      <c r="J25" s="1">
        <v>3.0263489864985443E-4</v>
      </c>
      <c r="K25" s="1">
        <v>1.8364638576644267E-4</v>
      </c>
      <c r="L25" s="1">
        <v>-4.4538454105652917E-4</v>
      </c>
      <c r="M25" s="1">
        <v>-2.0183703401026453E-4</v>
      </c>
      <c r="N25" s="1">
        <v>7.0779589987763941E-4</v>
      </c>
      <c r="O25" s="1">
        <v>4.7218258103420336E-4</v>
      </c>
      <c r="P25" s="1">
        <v>1.1179460546017609E-3</v>
      </c>
      <c r="Q25" s="1">
        <v>1.0355295385764212E-3</v>
      </c>
      <c r="R25" s="1">
        <v>1.1692122671415875E-3</v>
      </c>
      <c r="S25" s="1">
        <v>5.4340767496654022E-3</v>
      </c>
      <c r="T25" s="1">
        <v>1.1650449949681954E-3</v>
      </c>
      <c r="U25" s="1">
        <v>-5.6009365272961819E-4</v>
      </c>
      <c r="V25" s="1">
        <v>3.126385937144982E-4</v>
      </c>
      <c r="W25" s="1">
        <v>5.0641030204925193E-4</v>
      </c>
      <c r="X25" s="1">
        <v>6.3872219902638E-4</v>
      </c>
      <c r="Y25" s="1">
        <v>8.270974517646572E-4</v>
      </c>
      <c r="Z25" s="1">
        <v>2.5136251559786804E-4</v>
      </c>
      <c r="AA25" s="1">
        <v>6.5796191066640913E-4</v>
      </c>
      <c r="AB25" s="1">
        <v>-3.7562954352292132E-4</v>
      </c>
      <c r="AC25" s="1">
        <v>5.2084309610423904E-4</v>
      </c>
      <c r="AD25" s="1">
        <v>-1.0211805155184345E-5</v>
      </c>
      <c r="AE25" s="1">
        <v>4.0523432663213082E-4</v>
      </c>
      <c r="AF25" s="1">
        <v>-3.5693553410002996E-5</v>
      </c>
      <c r="AG25" s="1">
        <v>5.6238271366906378E-4</v>
      </c>
      <c r="AH25" s="1">
        <v>3.8564717177934599E-4</v>
      </c>
      <c r="AI25" s="1">
        <v>4.1390017335701356E-4</v>
      </c>
      <c r="AJ25" s="1">
        <v>1.1337051511619222E-3</v>
      </c>
      <c r="AK25" s="1">
        <v>5.0829579241420475E-4</v>
      </c>
      <c r="AL25" s="1">
        <v>1.2054005550366041E-3</v>
      </c>
      <c r="AM25" s="1">
        <v>1.1636246187652355E-3</v>
      </c>
      <c r="AN25" s="1">
        <v>3.7081695359803923E-4</v>
      </c>
      <c r="AO25" s="1">
        <v>7.2387188689270181E-4</v>
      </c>
    </row>
    <row r="26" spans="1:41" ht="15">
      <c r="A26" s="17" t="s">
        <v>54</v>
      </c>
      <c r="B26" s="1">
        <v>6.8473923146519908E-4</v>
      </c>
      <c r="C26" s="1">
        <v>1.9804050733027834E-4</v>
      </c>
      <c r="D26" s="1">
        <v>3.5825236362635151E-4</v>
      </c>
      <c r="E26" s="1">
        <v>7.7540148607088666E-4</v>
      </c>
      <c r="F26" s="1">
        <v>7.4762330710255681E-4</v>
      </c>
      <c r="G26" s="1">
        <v>5.5075845630400276E-4</v>
      </c>
      <c r="H26" s="1">
        <v>1.146798168535388E-3</v>
      </c>
      <c r="I26" s="1">
        <v>5.1253567332760531E-4</v>
      </c>
      <c r="J26" s="1">
        <v>5.8103827595847794E-4</v>
      </c>
      <c r="K26" s="1">
        <v>4.2379478991637668E-4</v>
      </c>
      <c r="L26" s="1">
        <v>1.4927360419070488E-4</v>
      </c>
      <c r="M26" s="1">
        <v>3.2005695730306905E-4</v>
      </c>
      <c r="N26" s="1">
        <v>8.3978535174500043E-4</v>
      </c>
      <c r="O26" s="1">
        <v>9.5023731010256249E-4</v>
      </c>
      <c r="P26" s="1">
        <v>1.5981571611963434E-3</v>
      </c>
      <c r="Q26" s="1">
        <v>7.3457274159183608E-4</v>
      </c>
      <c r="R26" s="1">
        <v>1.7965286035157831E-3</v>
      </c>
      <c r="S26" s="1">
        <v>1.1650449949681954E-3</v>
      </c>
      <c r="T26" s="1">
        <v>5.1160501140516627E-3</v>
      </c>
      <c r="U26" s="1">
        <v>1.3748242892731553E-3</v>
      </c>
      <c r="V26" s="1">
        <v>1.0248740004929723E-3</v>
      </c>
      <c r="W26" s="1">
        <v>1.1247233648557821E-3</v>
      </c>
      <c r="X26" s="1">
        <v>1.0683319002792267E-3</v>
      </c>
      <c r="Y26" s="1">
        <v>1.6161070334300982E-3</v>
      </c>
      <c r="Z26" s="1">
        <v>5.620719332001191E-4</v>
      </c>
      <c r="AA26" s="1">
        <v>1.1446590288346483E-3</v>
      </c>
      <c r="AB26" s="1">
        <v>1.3564402335074853E-4</v>
      </c>
      <c r="AC26" s="1">
        <v>1.9455714758682076E-3</v>
      </c>
      <c r="AD26" s="1">
        <v>4.3297658543329782E-4</v>
      </c>
      <c r="AE26" s="1">
        <v>7.2835989663658728E-4</v>
      </c>
      <c r="AF26" s="1">
        <v>4.5711211578084582E-4</v>
      </c>
      <c r="AG26" s="1">
        <v>1.3267106477153857E-3</v>
      </c>
      <c r="AH26" s="1">
        <v>1.2211297383414551E-3</v>
      </c>
      <c r="AI26" s="1">
        <v>1.1413900930871E-3</v>
      </c>
      <c r="AJ26" s="1">
        <v>2.0100937754486672E-3</v>
      </c>
      <c r="AK26" s="1">
        <v>4.5271546857588422E-4</v>
      </c>
      <c r="AL26" s="1">
        <v>1.2112411861371368E-3</v>
      </c>
      <c r="AM26" s="1">
        <v>2.063610512727623E-3</v>
      </c>
      <c r="AN26" s="1">
        <v>1.0503928203382876E-3</v>
      </c>
      <c r="AO26" s="1">
        <v>1.4667775777133139E-3</v>
      </c>
    </row>
    <row r="27" spans="1:41" ht="15">
      <c r="A27" s="17" t="s">
        <v>57</v>
      </c>
      <c r="B27" s="1">
        <v>1.2912077525840835E-3</v>
      </c>
      <c r="C27" s="1">
        <v>1.3537866734789536E-3</v>
      </c>
      <c r="D27" s="1">
        <v>1.3265361927032528E-3</v>
      </c>
      <c r="E27" s="1">
        <v>2.182791171402714E-3</v>
      </c>
      <c r="F27" s="1">
        <v>2.3473147382107487E-3</v>
      </c>
      <c r="G27" s="1">
        <v>1.8479068229039245E-3</v>
      </c>
      <c r="H27" s="1">
        <v>2.2263444898168515E-3</v>
      </c>
      <c r="I27" s="1">
        <v>3.1753264065500064E-3</v>
      </c>
      <c r="J27" s="1">
        <v>1.8575305876425226E-3</v>
      </c>
      <c r="K27" s="1">
        <v>2.6599018668926333E-3</v>
      </c>
      <c r="L27" s="1">
        <v>2.0321937960476118E-3</v>
      </c>
      <c r="M27" s="1">
        <v>1.3044229022734835E-3</v>
      </c>
      <c r="N27" s="1">
        <v>1.6208902886325626E-3</v>
      </c>
      <c r="O27" s="1">
        <v>1.5039111137789417E-3</v>
      </c>
      <c r="P27" s="1">
        <v>2.3421893109129999E-3</v>
      </c>
      <c r="Q27" s="1">
        <v>1.5320433758368244E-3</v>
      </c>
      <c r="R27" s="1">
        <v>3.4914035854294186E-3</v>
      </c>
      <c r="S27" s="1">
        <v>-5.6009365272961819E-4</v>
      </c>
      <c r="T27" s="1">
        <v>1.3748242892731553E-3</v>
      </c>
      <c r="U27" s="1">
        <v>2.4006108625587851E-2</v>
      </c>
      <c r="V27" s="1">
        <v>2.0100263410961199E-3</v>
      </c>
      <c r="W27" s="1">
        <v>1.5100657825383363E-3</v>
      </c>
      <c r="X27" s="1">
        <v>1.9407681033354496E-3</v>
      </c>
      <c r="Y27" s="1">
        <v>1.3596015081343731E-3</v>
      </c>
      <c r="Z27" s="1">
        <v>2.7118767737367564E-4</v>
      </c>
      <c r="AA27" s="1">
        <v>2.2989341259390659E-3</v>
      </c>
      <c r="AB27" s="1">
        <v>2.068502765591531E-3</v>
      </c>
      <c r="AC27" s="1">
        <v>1.1697430905233464E-3</v>
      </c>
      <c r="AD27" s="1">
        <v>7.3904096236319461E-4</v>
      </c>
      <c r="AE27" s="1">
        <v>1.2889070618437844E-3</v>
      </c>
      <c r="AF27" s="1">
        <v>1.0523799759183786E-3</v>
      </c>
      <c r="AG27" s="1">
        <v>1.822162337090322E-3</v>
      </c>
      <c r="AH27" s="1">
        <v>1.5402040929937109E-3</v>
      </c>
      <c r="AI27" s="1">
        <v>2.5949300471461998E-3</v>
      </c>
      <c r="AJ27" s="1">
        <v>3.3984266027160212E-3</v>
      </c>
      <c r="AK27" s="1">
        <v>2.1227586249737431E-3</v>
      </c>
      <c r="AL27" s="1">
        <v>1.6619260166969596E-3</v>
      </c>
      <c r="AM27" s="1">
        <v>1.967216002247404E-3</v>
      </c>
      <c r="AN27" s="1">
        <v>2.4826491314249178E-3</v>
      </c>
      <c r="AO27" s="1">
        <v>3.0598406901480708E-4</v>
      </c>
    </row>
    <row r="28" spans="1:41" ht="15">
      <c r="A28" s="17" t="s">
        <v>62</v>
      </c>
      <c r="B28" s="1">
        <v>5.7902839460624448E-4</v>
      </c>
      <c r="C28" s="1">
        <v>3.716632525194886E-4</v>
      </c>
      <c r="D28" s="1">
        <v>3.2124770699277605E-4</v>
      </c>
      <c r="E28" s="1">
        <v>4.8001786822167815E-4</v>
      </c>
      <c r="F28" s="1">
        <v>2.8071692701670545E-4</v>
      </c>
      <c r="G28" s="1">
        <v>1.1077263602975774E-3</v>
      </c>
      <c r="H28" s="1">
        <v>1.0572685371524385E-3</v>
      </c>
      <c r="I28" s="1">
        <v>1.1703706316043435E-3</v>
      </c>
      <c r="J28" s="1">
        <v>5.9229736174196146E-4</v>
      </c>
      <c r="K28" s="1">
        <v>3.1918442035769741E-4</v>
      </c>
      <c r="L28" s="1">
        <v>1.055822288447382E-3</v>
      </c>
      <c r="M28" s="1">
        <v>3.5294061640022415E-4</v>
      </c>
      <c r="N28" s="1">
        <v>6.0992860774423745E-4</v>
      </c>
      <c r="O28" s="1">
        <v>7.557434101221652E-4</v>
      </c>
      <c r="P28" s="1">
        <v>8.9615246685833692E-4</v>
      </c>
      <c r="Q28" s="1">
        <v>6.0467397714334823E-5</v>
      </c>
      <c r="R28" s="1">
        <v>1.6957879695906183E-3</v>
      </c>
      <c r="S28" s="1">
        <v>3.126385937144982E-4</v>
      </c>
      <c r="T28" s="1">
        <v>1.0248740004929723E-3</v>
      </c>
      <c r="U28" s="1">
        <v>2.0100263410961199E-3</v>
      </c>
      <c r="V28" s="1">
        <v>6.7326884987501763E-3</v>
      </c>
      <c r="W28" s="1">
        <v>1.190619873876673E-3</v>
      </c>
      <c r="X28" s="1">
        <v>9.2479542031213174E-4</v>
      </c>
      <c r="Y28" s="1">
        <v>2.2291664727930208E-3</v>
      </c>
      <c r="Z28" s="1">
        <v>3.136806384835012E-4</v>
      </c>
      <c r="AA28" s="1">
        <v>8.0210681703681659E-4</v>
      </c>
      <c r="AB28" s="1">
        <v>4.200097487352119E-4</v>
      </c>
      <c r="AC28" s="1">
        <v>1.4650844011563661E-3</v>
      </c>
      <c r="AD28" s="1">
        <v>4.838148833543705E-4</v>
      </c>
      <c r="AE28" s="1">
        <v>1.3953193777981789E-3</v>
      </c>
      <c r="AF28" s="1">
        <v>2.5878805025575803E-4</v>
      </c>
      <c r="AG28" s="1">
        <v>1.0333295970662187E-3</v>
      </c>
      <c r="AH28" s="1">
        <v>5.7436793012662351E-4</v>
      </c>
      <c r="AI28" s="1">
        <v>1.4483036843274358E-3</v>
      </c>
      <c r="AJ28" s="1">
        <v>1.1109584992197714E-3</v>
      </c>
      <c r="AK28" s="1">
        <v>7.4288047570945275E-4</v>
      </c>
      <c r="AL28" s="1">
        <v>1.23677167525704E-3</v>
      </c>
      <c r="AM28" s="1">
        <v>9.3000692184642454E-4</v>
      </c>
      <c r="AN28" s="1">
        <v>1.0453516757446201E-3</v>
      </c>
      <c r="AO28" s="1">
        <v>1.2591524138944334E-3</v>
      </c>
    </row>
    <row r="29" spans="1:41" ht="15">
      <c r="A29" s="17" t="s">
        <v>66</v>
      </c>
      <c r="B29" s="1">
        <v>3.7104016200812588E-4</v>
      </c>
      <c r="C29" s="1">
        <v>1.8469023515438993E-4</v>
      </c>
      <c r="D29" s="1">
        <v>6.3423973939620947E-5</v>
      </c>
      <c r="E29" s="1">
        <v>3.8963036390355174E-4</v>
      </c>
      <c r="F29" s="1">
        <v>1.0255806078895041E-4</v>
      </c>
      <c r="G29" s="1">
        <v>1.004626709619751E-3</v>
      </c>
      <c r="H29" s="1">
        <v>1.1307901616492209E-3</v>
      </c>
      <c r="I29" s="1">
        <v>1.1440260667821426E-3</v>
      </c>
      <c r="J29" s="1">
        <v>4.3862126320646946E-4</v>
      </c>
      <c r="K29" s="1">
        <v>-9.0709717544701433E-5</v>
      </c>
      <c r="L29" s="1">
        <v>5.5615998207319964E-4</v>
      </c>
      <c r="M29" s="1">
        <v>4.0805753844107696E-4</v>
      </c>
      <c r="N29" s="1">
        <v>1.0663211168773189E-3</v>
      </c>
      <c r="O29" s="1">
        <v>7.868166199245265E-4</v>
      </c>
      <c r="P29" s="1">
        <v>1.5957534407142276E-3</v>
      </c>
      <c r="Q29" s="1">
        <v>3.5401221388010971E-4</v>
      </c>
      <c r="R29" s="1">
        <v>1.827820065440075E-3</v>
      </c>
      <c r="S29" s="1">
        <v>5.0641030204925193E-4</v>
      </c>
      <c r="T29" s="1">
        <v>1.1247233648557821E-3</v>
      </c>
      <c r="U29" s="1">
        <v>1.5100657825383363E-3</v>
      </c>
      <c r="V29" s="1">
        <v>1.190619873876673E-3</v>
      </c>
      <c r="W29" s="1">
        <v>5.6899989365956829E-3</v>
      </c>
      <c r="X29" s="1">
        <v>1.0494801106350645E-3</v>
      </c>
      <c r="Y29" s="1">
        <v>3.3540271212261687E-3</v>
      </c>
      <c r="Z29" s="1">
        <v>5.5975861837742136E-4</v>
      </c>
      <c r="AA29" s="1">
        <v>8.9808505867560872E-4</v>
      </c>
      <c r="AB29" s="1">
        <v>1.0033810407288298E-3</v>
      </c>
      <c r="AC29" s="1">
        <v>1.7986520201644734E-3</v>
      </c>
      <c r="AD29" s="1">
        <v>1.4855802443734369E-4</v>
      </c>
      <c r="AE29" s="1">
        <v>7.3582015758741272E-4</v>
      </c>
      <c r="AF29" s="1">
        <v>2.7383035434410535E-4</v>
      </c>
      <c r="AG29" s="1">
        <v>1.9025339282961759E-4</v>
      </c>
      <c r="AH29" s="1">
        <v>4.8919077196991336E-4</v>
      </c>
      <c r="AI29" s="1">
        <v>1.183484916546807E-3</v>
      </c>
      <c r="AJ29" s="1">
        <v>5.9826670018074473E-4</v>
      </c>
      <c r="AK29" s="1">
        <v>5.0599009740355581E-4</v>
      </c>
      <c r="AL29" s="1">
        <v>4.8793114077163392E-4</v>
      </c>
      <c r="AM29" s="1">
        <v>2.1651426463475862E-3</v>
      </c>
      <c r="AN29" s="1">
        <v>1.2466771168563591E-3</v>
      </c>
      <c r="AO29" s="1">
        <v>8.7155498051581163E-4</v>
      </c>
    </row>
    <row r="30" spans="1:41" ht="15">
      <c r="A30" s="17" t="s">
        <v>70</v>
      </c>
      <c r="B30" s="1">
        <v>4.5162236366384767E-4</v>
      </c>
      <c r="C30" s="1">
        <v>-7.7534808574370087E-6</v>
      </c>
      <c r="D30" s="1">
        <v>-5.3757745928732228E-5</v>
      </c>
      <c r="E30" s="1">
        <v>9.6725470410702623E-4</v>
      </c>
      <c r="F30" s="1">
        <v>2.2722332191556354E-4</v>
      </c>
      <c r="G30" s="1">
        <v>1.1894510204531094E-4</v>
      </c>
      <c r="H30" s="1">
        <v>7.1538690748910267E-4</v>
      </c>
      <c r="I30" s="1">
        <v>1.0007254146045363E-3</v>
      </c>
      <c r="J30" s="1">
        <v>6.5192363524413084E-4</v>
      </c>
      <c r="K30" s="1">
        <v>6.7798932721341906E-4</v>
      </c>
      <c r="L30" s="1">
        <v>-1.9648404265462763E-4</v>
      </c>
      <c r="M30" s="1">
        <v>3.036574581699374E-5</v>
      </c>
      <c r="N30" s="1">
        <v>8.8092970249369757E-4</v>
      </c>
      <c r="O30" s="1">
        <v>9.9038891042058314E-4</v>
      </c>
      <c r="P30" s="1">
        <v>1.5603747273755845E-3</v>
      </c>
      <c r="Q30" s="1">
        <v>-6.0821213471572708E-4</v>
      </c>
      <c r="R30" s="1">
        <v>1.5262215578121284E-3</v>
      </c>
      <c r="S30" s="1">
        <v>6.3872219902638E-4</v>
      </c>
      <c r="T30" s="1">
        <v>1.0683319002792267E-3</v>
      </c>
      <c r="U30" s="1">
        <v>1.9407681033354496E-3</v>
      </c>
      <c r="V30" s="1">
        <v>9.2479542031213174E-4</v>
      </c>
      <c r="W30" s="1">
        <v>1.0494801106350645E-3</v>
      </c>
      <c r="X30" s="1">
        <v>6.7319834912930301E-3</v>
      </c>
      <c r="Y30" s="1">
        <v>1.6065286636277485E-3</v>
      </c>
      <c r="Z30" s="1">
        <v>4.6078867982421689E-4</v>
      </c>
      <c r="AA30" s="1">
        <v>1.0054735227212983E-3</v>
      </c>
      <c r="AB30" s="1">
        <v>5.9795431262247038E-4</v>
      </c>
      <c r="AC30" s="1">
        <v>2.9696400581724065E-3</v>
      </c>
      <c r="AD30" s="1">
        <v>1.2234771997757916E-4</v>
      </c>
      <c r="AE30" s="1">
        <v>1.202876460157769E-3</v>
      </c>
      <c r="AF30" s="1">
        <v>3.1544513170805405E-4</v>
      </c>
      <c r="AG30" s="1">
        <v>1.4328069551655532E-3</v>
      </c>
      <c r="AH30" s="1">
        <v>1.1845014362752313E-3</v>
      </c>
      <c r="AI30" s="1">
        <v>1.4896715425788791E-3</v>
      </c>
      <c r="AJ30" s="1">
        <v>2.0316909589752287E-3</v>
      </c>
      <c r="AK30" s="1">
        <v>1.1559030519044675E-3</v>
      </c>
      <c r="AL30" s="1">
        <v>1.0390586979166414E-3</v>
      </c>
      <c r="AM30" s="1">
        <v>1.9263961414490325E-3</v>
      </c>
      <c r="AN30" s="1">
        <v>1.3578043423740592E-3</v>
      </c>
      <c r="AO30" s="1">
        <v>1.0469475926942579E-3</v>
      </c>
    </row>
    <row r="31" spans="1:41" ht="15">
      <c r="A31" s="17" t="s">
        <v>74</v>
      </c>
      <c r="B31" s="1">
        <v>4.8953749639077339E-4</v>
      </c>
      <c r="C31" s="1">
        <v>7.4125000346504061E-5</v>
      </c>
      <c r="D31" s="1">
        <v>5.9747260298549827E-4</v>
      </c>
      <c r="E31" s="1">
        <v>1.8209005562750406E-3</v>
      </c>
      <c r="F31" s="1">
        <v>2.7701516208376566E-4</v>
      </c>
      <c r="G31" s="1">
        <v>6.9808204069631583E-4</v>
      </c>
      <c r="H31" s="1">
        <v>2.0365015028511279E-3</v>
      </c>
      <c r="I31" s="1">
        <v>1.1106109631995207E-3</v>
      </c>
      <c r="J31" s="1">
        <v>1.7066259450071575E-4</v>
      </c>
      <c r="K31" s="1">
        <v>-2.2565110261808306E-4</v>
      </c>
      <c r="L31" s="1">
        <v>1.5854532930491257E-3</v>
      </c>
      <c r="M31" s="1">
        <v>6.441666960194329E-4</v>
      </c>
      <c r="N31" s="1">
        <v>1.1700442351319658E-3</v>
      </c>
      <c r="O31" s="1">
        <v>4.7969446999160354E-4</v>
      </c>
      <c r="P31" s="1">
        <v>1.6981993357694952E-3</v>
      </c>
      <c r="Q31" s="1">
        <v>-2.0594847708086906E-3</v>
      </c>
      <c r="R31" s="1">
        <v>1.7947440686156234E-3</v>
      </c>
      <c r="S31" s="1">
        <v>8.270974517646572E-4</v>
      </c>
      <c r="T31" s="1">
        <v>1.6161070334300982E-3</v>
      </c>
      <c r="U31" s="1">
        <v>1.3596015081343731E-3</v>
      </c>
      <c r="V31" s="1">
        <v>2.2291664727930208E-3</v>
      </c>
      <c r="W31" s="1">
        <v>3.3540271212261687E-3</v>
      </c>
      <c r="X31" s="1">
        <v>1.6065286636277485E-3</v>
      </c>
      <c r="Y31" s="1">
        <v>2.5203124615153279E-2</v>
      </c>
      <c r="Z31" s="1">
        <v>8.1147676218822854E-4</v>
      </c>
      <c r="AA31" s="1">
        <v>1.5723240695171379E-3</v>
      </c>
      <c r="AB31" s="1">
        <v>1.5304808157294331E-3</v>
      </c>
      <c r="AC31" s="1">
        <v>5.3049312004658485E-3</v>
      </c>
      <c r="AD31" s="1">
        <v>2.37788916763181E-4</v>
      </c>
      <c r="AE31" s="1">
        <v>1.264075073479143E-3</v>
      </c>
      <c r="AF31" s="1">
        <v>-5.8927958221595075E-5</v>
      </c>
      <c r="AG31" s="1">
        <v>2.0938786489714509E-4</v>
      </c>
      <c r="AH31" s="1">
        <v>2.2895626067516951E-3</v>
      </c>
      <c r="AI31" s="1">
        <v>1.7419671913263849E-3</v>
      </c>
      <c r="AJ31" s="1">
        <v>2.1280219349199361E-3</v>
      </c>
      <c r="AK31" s="1">
        <v>6.9252820769617794E-4</v>
      </c>
      <c r="AL31" s="1">
        <v>2.5781637600699433E-3</v>
      </c>
      <c r="AM31" s="1">
        <v>4.4495027999185812E-3</v>
      </c>
      <c r="AN31" s="1">
        <v>5.9766323607874294E-4</v>
      </c>
      <c r="AO31" s="1">
        <v>2.2905474692458843E-3</v>
      </c>
    </row>
    <row r="32" spans="1:41" ht="15">
      <c r="A32" s="17" t="s">
        <v>76</v>
      </c>
      <c r="B32" s="1">
        <v>6.2292819080913848E-4</v>
      </c>
      <c r="C32" s="1">
        <v>3.8250194778442293E-4</v>
      </c>
      <c r="D32" s="1">
        <v>-8.3660114213123871E-5</v>
      </c>
      <c r="E32" s="1">
        <v>2.9093163569680177E-5</v>
      </c>
      <c r="F32" s="1">
        <v>2.6898051444866736E-4</v>
      </c>
      <c r="G32" s="1">
        <v>5.203280574546268E-4</v>
      </c>
      <c r="H32" s="1">
        <v>2.0438073296286792E-5</v>
      </c>
      <c r="I32" s="1">
        <v>3.0128032223577383E-4</v>
      </c>
      <c r="J32" s="1">
        <v>4.5969686669644161E-4</v>
      </c>
      <c r="K32" s="1">
        <v>3.4636539843931248E-4</v>
      </c>
      <c r="L32" s="1">
        <v>-5.8276377774268973E-4</v>
      </c>
      <c r="M32" s="1">
        <v>-2.881248829621889E-5</v>
      </c>
      <c r="N32" s="1">
        <v>4.5044054541501754E-4</v>
      </c>
      <c r="O32" s="1">
        <v>4.5452706289088161E-4</v>
      </c>
      <c r="P32" s="1">
        <v>9.9090060625366464E-5</v>
      </c>
      <c r="Q32" s="1">
        <v>2.3628969533170201E-4</v>
      </c>
      <c r="R32" s="1">
        <v>1.4277434585833817E-4</v>
      </c>
      <c r="S32" s="1">
        <v>2.5136251559786804E-4</v>
      </c>
      <c r="T32" s="1">
        <v>5.620719332001191E-4</v>
      </c>
      <c r="U32" s="1">
        <v>2.7118767737367564E-4</v>
      </c>
      <c r="V32" s="1">
        <v>3.136806384835012E-4</v>
      </c>
      <c r="W32" s="1">
        <v>5.5975861837742136E-4</v>
      </c>
      <c r="X32" s="1">
        <v>4.6078867982421689E-4</v>
      </c>
      <c r="Y32" s="1">
        <v>8.1147676218822854E-4</v>
      </c>
      <c r="Z32" s="1">
        <v>2.4044643688971804E-3</v>
      </c>
      <c r="AA32" s="1">
        <v>3.2693195398882335E-4</v>
      </c>
      <c r="AB32" s="1">
        <v>4.8094845046167519E-5</v>
      </c>
      <c r="AC32" s="1">
        <v>1.6383929226531984E-3</v>
      </c>
      <c r="AD32" s="1">
        <v>4.9814022354695558E-4</v>
      </c>
      <c r="AE32" s="1">
        <v>4.1694938086673258E-4</v>
      </c>
      <c r="AF32" s="1">
        <v>6.2779997890229349E-4</v>
      </c>
      <c r="AG32" s="1">
        <v>3.6630288830050644E-4</v>
      </c>
      <c r="AH32" s="1">
        <v>7.8529022962825555E-4</v>
      </c>
      <c r="AI32" s="1">
        <v>8.8071237967198999E-4</v>
      </c>
      <c r="AJ32" s="1">
        <v>2.1511161250164216E-4</v>
      </c>
      <c r="AK32" s="1">
        <v>3.3930829910575234E-4</v>
      </c>
      <c r="AL32" s="1">
        <v>8.3426918840805739E-4</v>
      </c>
      <c r="AM32" s="1">
        <v>1.4495641184671783E-3</v>
      </c>
      <c r="AN32" s="1">
        <v>3.5422326265333823E-4</v>
      </c>
      <c r="AO32" s="1">
        <v>8.5143849144504562E-4</v>
      </c>
    </row>
    <row r="33" spans="1:41" ht="15">
      <c r="A33" s="17" t="s">
        <v>79</v>
      </c>
      <c r="B33" s="1">
        <v>5.8460928358030153E-4</v>
      </c>
      <c r="C33" s="1">
        <v>3.909750876189015E-4</v>
      </c>
      <c r="D33" s="1">
        <v>4.5803852617730303E-4</v>
      </c>
      <c r="E33" s="1">
        <v>8.3040240515227484E-4</v>
      </c>
      <c r="F33" s="1">
        <v>6.8012080381183544E-4</v>
      </c>
      <c r="G33" s="1">
        <v>4.2744246116215614E-4</v>
      </c>
      <c r="H33" s="1">
        <v>9.9606399532928811E-4</v>
      </c>
      <c r="I33" s="1">
        <v>8.4340227822806628E-4</v>
      </c>
      <c r="J33" s="1">
        <v>5.0656336006292871E-4</v>
      </c>
      <c r="K33" s="1">
        <v>7.7672700138438485E-4</v>
      </c>
      <c r="L33" s="1">
        <v>3.5167535605539038E-4</v>
      </c>
      <c r="M33" s="1">
        <v>4.059369531803282E-4</v>
      </c>
      <c r="N33" s="1">
        <v>6.3794954898053233E-4</v>
      </c>
      <c r="O33" s="1">
        <v>8.5534929419722608E-4</v>
      </c>
      <c r="P33" s="1">
        <v>1.4266897681264026E-3</v>
      </c>
      <c r="Q33" s="1">
        <v>4.3329085639370895E-4</v>
      </c>
      <c r="R33" s="1">
        <v>1.5101594372479638E-3</v>
      </c>
      <c r="S33" s="1">
        <v>6.5796191066640913E-4</v>
      </c>
      <c r="T33" s="1">
        <v>1.1446590288346483E-3</v>
      </c>
      <c r="U33" s="1">
        <v>2.2989341259390659E-3</v>
      </c>
      <c r="V33" s="1">
        <v>8.0210681703681659E-4</v>
      </c>
      <c r="W33" s="1">
        <v>8.9808505867560872E-4</v>
      </c>
      <c r="X33" s="1">
        <v>1.0054735227212983E-3</v>
      </c>
      <c r="Y33" s="1">
        <v>1.5723240695171379E-3</v>
      </c>
      <c r="Z33" s="1">
        <v>3.2693195398882335E-4</v>
      </c>
      <c r="AA33" s="1">
        <v>4.5144357569033679E-3</v>
      </c>
      <c r="AB33" s="1">
        <v>8.5356520892683788E-4</v>
      </c>
      <c r="AC33" s="1">
        <v>2.1375108287190383E-3</v>
      </c>
      <c r="AD33" s="1">
        <v>3.515648732829239E-4</v>
      </c>
      <c r="AE33" s="1">
        <v>5.4546359511303333E-4</v>
      </c>
      <c r="AF33" s="1">
        <v>1.9736673817616527E-4</v>
      </c>
      <c r="AG33" s="1">
        <v>7.7142039513696957E-4</v>
      </c>
      <c r="AH33" s="1">
        <v>7.1735161012799877E-4</v>
      </c>
      <c r="AI33" s="1">
        <v>1.3040910625910166E-3</v>
      </c>
      <c r="AJ33" s="1">
        <v>1.181467690417867E-3</v>
      </c>
      <c r="AK33" s="1">
        <v>8.0600685502283482E-4</v>
      </c>
      <c r="AL33" s="1">
        <v>8.8167182553643673E-4</v>
      </c>
      <c r="AM33" s="1">
        <v>1.1097126251081466E-3</v>
      </c>
      <c r="AN33" s="1">
        <v>6.6737148845543272E-4</v>
      </c>
      <c r="AO33" s="1">
        <v>8.1029573402904506E-4</v>
      </c>
    </row>
    <row r="34" spans="1:41" ht="15">
      <c r="A34" s="17" t="s">
        <v>87</v>
      </c>
      <c r="B34" s="1">
        <v>3.0768291121418146E-4</v>
      </c>
      <c r="C34" s="1">
        <v>3.633887101103887E-4</v>
      </c>
      <c r="D34" s="1">
        <v>-9.6977628509487581E-5</v>
      </c>
      <c r="E34" s="1">
        <v>9.9535299611653574E-4</v>
      </c>
      <c r="F34" s="1">
        <v>5.1408484613695005E-4</v>
      </c>
      <c r="G34" s="1">
        <v>6.1204910410547005E-4</v>
      </c>
      <c r="H34" s="1">
        <v>7.5927542700048002E-4</v>
      </c>
      <c r="I34" s="1">
        <v>7.4478327379893161E-4</v>
      </c>
      <c r="J34" s="1">
        <v>8.5741853484637605E-4</v>
      </c>
      <c r="K34" s="1">
        <v>7.7891772469326889E-4</v>
      </c>
      <c r="L34" s="1">
        <v>1.5714043943772344E-3</v>
      </c>
      <c r="M34" s="1">
        <v>1.1978722799428071E-4</v>
      </c>
      <c r="N34" s="1">
        <v>2.8565396034882723E-4</v>
      </c>
      <c r="O34" s="1">
        <v>5.267263447918777E-4</v>
      </c>
      <c r="P34" s="1">
        <v>7.2972652705446592E-4</v>
      </c>
      <c r="Q34" s="1">
        <v>-5.370136986103121E-4</v>
      </c>
      <c r="R34" s="1">
        <v>1.5916856819604729E-3</v>
      </c>
      <c r="S34" s="1">
        <v>-3.7562954352292132E-4</v>
      </c>
      <c r="T34" s="1">
        <v>1.3564402335074853E-4</v>
      </c>
      <c r="U34" s="1">
        <v>2.068502765591531E-3</v>
      </c>
      <c r="V34" s="1">
        <v>4.200097487352119E-4</v>
      </c>
      <c r="W34" s="1">
        <v>1.0033810407288298E-3</v>
      </c>
      <c r="X34" s="1">
        <v>5.9795431262247038E-4</v>
      </c>
      <c r="Y34" s="1">
        <v>1.5304808157294331E-3</v>
      </c>
      <c r="Z34" s="1">
        <v>4.8094845046167519E-5</v>
      </c>
      <c r="AA34" s="1">
        <v>8.5356520892683788E-4</v>
      </c>
      <c r="AB34" s="1">
        <v>6.2537808421026572E-3</v>
      </c>
      <c r="AC34" s="1">
        <v>1.2053589988500369E-3</v>
      </c>
      <c r="AD34" s="1">
        <v>3.0771384948814369E-5</v>
      </c>
      <c r="AE34" s="1">
        <v>6.5501333940942404E-4</v>
      </c>
      <c r="AF34" s="1">
        <v>3.902085465866129E-4</v>
      </c>
      <c r="AG34" s="1">
        <v>9.0660072114827231E-4</v>
      </c>
      <c r="AH34" s="1">
        <v>6.2116362422526869E-4</v>
      </c>
      <c r="AI34" s="1">
        <v>9.9768330136878005E-4</v>
      </c>
      <c r="AJ34" s="1">
        <v>-3.6630615283565857E-4</v>
      </c>
      <c r="AK34" s="1">
        <v>6.7262120799302144E-4</v>
      </c>
      <c r="AL34" s="1">
        <v>1.5640152974496181E-4</v>
      </c>
      <c r="AM34" s="1">
        <v>9.1260035451421178E-4</v>
      </c>
      <c r="AN34" s="1">
        <v>6.9566433408289104E-4</v>
      </c>
      <c r="AO34" s="1">
        <v>-6.4260234347513655E-5</v>
      </c>
    </row>
    <row r="35" spans="1:41" ht="15">
      <c r="A35" s="17" t="s">
        <v>88</v>
      </c>
      <c r="B35" s="1">
        <v>1.0171971183660705E-3</v>
      </c>
      <c r="C35" s="1">
        <v>-2.4358434758583642E-4</v>
      </c>
      <c r="D35" s="1">
        <v>-8.7022044096287104E-4</v>
      </c>
      <c r="E35" s="1">
        <v>1.5568361992854044E-3</v>
      </c>
      <c r="F35" s="1">
        <v>-5.7699024284222104E-4</v>
      </c>
      <c r="G35" s="1">
        <v>3.9430895220341102E-4</v>
      </c>
      <c r="H35" s="1">
        <v>1.8305906614542457E-4</v>
      </c>
      <c r="I35" s="1">
        <v>8.3383550104576662E-4</v>
      </c>
      <c r="J35" s="1">
        <v>9.4853207070421568E-4</v>
      </c>
      <c r="K35" s="1">
        <v>7.6596123925547503E-4</v>
      </c>
      <c r="L35" s="1">
        <v>-7.4362754876611291E-4</v>
      </c>
      <c r="M35" s="1">
        <v>-6.0500362071223227E-4</v>
      </c>
      <c r="N35" s="1">
        <v>5.4603557178187982E-4</v>
      </c>
      <c r="O35" s="1">
        <v>1.2879671033180112E-3</v>
      </c>
      <c r="P35" s="1">
        <v>1.3990443619598728E-3</v>
      </c>
      <c r="Q35" s="1">
        <v>-1.552833728584096E-3</v>
      </c>
      <c r="R35" s="1">
        <v>1.6450946601077924E-3</v>
      </c>
      <c r="S35" s="1">
        <v>5.2084309610423904E-4</v>
      </c>
      <c r="T35" s="1">
        <v>1.9455714758682076E-3</v>
      </c>
      <c r="U35" s="1">
        <v>1.1697430905233464E-3</v>
      </c>
      <c r="V35" s="1">
        <v>1.4650844011563661E-3</v>
      </c>
      <c r="W35" s="1">
        <v>1.7986520201644734E-3</v>
      </c>
      <c r="X35" s="1">
        <v>2.9696400581724065E-3</v>
      </c>
      <c r="Y35" s="1">
        <v>5.3049312004658485E-3</v>
      </c>
      <c r="Z35" s="1">
        <v>1.6383929226531984E-3</v>
      </c>
      <c r="AA35" s="1">
        <v>2.1375108287190383E-3</v>
      </c>
      <c r="AB35" s="1">
        <v>1.2053589988500369E-3</v>
      </c>
      <c r="AC35" s="1">
        <v>3.2101792062676451E-2</v>
      </c>
      <c r="AD35" s="1">
        <v>8.6603307731790793E-4</v>
      </c>
      <c r="AE35" s="1">
        <v>2.7592372450637678E-3</v>
      </c>
      <c r="AF35" s="1">
        <v>1.0943157231080463E-4</v>
      </c>
      <c r="AG35" s="1">
        <v>2.7564528228263426E-3</v>
      </c>
      <c r="AH35" s="1">
        <v>1.7309158970532667E-3</v>
      </c>
      <c r="AI35" s="1">
        <v>3.7385074336598613E-3</v>
      </c>
      <c r="AJ35" s="1">
        <v>3.2775075275375092E-3</v>
      </c>
      <c r="AK35" s="1">
        <v>1.9295913168429503E-3</v>
      </c>
      <c r="AL35" s="1">
        <v>2.534809158865373E-3</v>
      </c>
      <c r="AM35" s="1">
        <v>5.2163861017372757E-3</v>
      </c>
      <c r="AN35" s="1">
        <v>3.0418354919463494E-4</v>
      </c>
      <c r="AO35" s="1">
        <v>4.6392170830222628E-3</v>
      </c>
    </row>
    <row r="36" spans="1:41" ht="15">
      <c r="A36" s="17" t="s">
        <v>91</v>
      </c>
      <c r="B36" s="1">
        <v>4.6130637179163381E-4</v>
      </c>
      <c r="C36" s="1">
        <v>5.3464624259645665E-4</v>
      </c>
      <c r="D36" s="1">
        <v>8.9929632846753624E-5</v>
      </c>
      <c r="E36" s="1">
        <v>-2.2008781362097934E-4</v>
      </c>
      <c r="F36" s="1">
        <v>4.525198388948167E-4</v>
      </c>
      <c r="G36" s="1">
        <v>3.3874459798296131E-4</v>
      </c>
      <c r="H36" s="1">
        <v>4.1573443703018076E-5</v>
      </c>
      <c r="I36" s="1">
        <v>1.5978367303705858E-4</v>
      </c>
      <c r="J36" s="1">
        <v>2.6591314056686885E-4</v>
      </c>
      <c r="K36" s="1">
        <v>3.4921689780946806E-4</v>
      </c>
      <c r="L36" s="1">
        <v>1.5560112110763187E-4</v>
      </c>
      <c r="M36" s="1">
        <v>1.3024470222573943E-4</v>
      </c>
      <c r="N36" s="1">
        <v>1.9858220496389499E-4</v>
      </c>
      <c r="O36" s="1">
        <v>2.8410062638312649E-4</v>
      </c>
      <c r="P36" s="1">
        <v>1.336279271600348E-4</v>
      </c>
      <c r="Q36" s="1">
        <v>5.8604537670574992E-4</v>
      </c>
      <c r="R36" s="1">
        <v>-3.8926859567251022E-5</v>
      </c>
      <c r="S36" s="1">
        <v>-1.0211805155184345E-5</v>
      </c>
      <c r="T36" s="1">
        <v>4.3297658543329782E-4</v>
      </c>
      <c r="U36" s="1">
        <v>7.3904096236319461E-4</v>
      </c>
      <c r="V36" s="1">
        <v>4.838148833543705E-4</v>
      </c>
      <c r="W36" s="1">
        <v>1.4855802443734369E-4</v>
      </c>
      <c r="X36" s="1">
        <v>1.2234771997757916E-4</v>
      </c>
      <c r="Y36" s="1">
        <v>2.37788916763181E-4</v>
      </c>
      <c r="Z36" s="1">
        <v>4.9814022354695558E-4</v>
      </c>
      <c r="AA36" s="1">
        <v>3.515648732829239E-4</v>
      </c>
      <c r="AB36" s="1">
        <v>3.0771384948814369E-5</v>
      </c>
      <c r="AC36" s="1">
        <v>8.6603307731790793E-4</v>
      </c>
      <c r="AD36" s="1">
        <v>1.9239693733546644E-3</v>
      </c>
      <c r="AE36" s="1">
        <v>7.5892547754876543E-4</v>
      </c>
      <c r="AF36" s="1">
        <v>4.7967747946353357E-4</v>
      </c>
      <c r="AG36" s="1">
        <v>8.085079262674734E-4</v>
      </c>
      <c r="AH36" s="1">
        <v>6.2741875818231113E-4</v>
      </c>
      <c r="AI36" s="1">
        <v>6.8874831995849187E-4</v>
      </c>
      <c r="AJ36" s="1">
        <v>6.7591891404847457E-4</v>
      </c>
      <c r="AK36" s="1">
        <v>7.3377964550233002E-4</v>
      </c>
      <c r="AL36" s="1">
        <v>4.1492331095011753E-4</v>
      </c>
      <c r="AM36" s="1">
        <v>7.8524647705176395E-4</v>
      </c>
      <c r="AN36" s="1">
        <v>2.3379818244939575E-4</v>
      </c>
      <c r="AO36" s="1">
        <v>4.3697495084297973E-4</v>
      </c>
    </row>
    <row r="37" spans="1:41" ht="15">
      <c r="A37" s="17" t="s">
        <v>94</v>
      </c>
      <c r="B37" s="1">
        <v>9.8290025693383736E-4</v>
      </c>
      <c r="C37" s="1">
        <v>4.7891360276405641E-4</v>
      </c>
      <c r="D37" s="1">
        <v>2.4277151013055048E-4</v>
      </c>
      <c r="E37" s="1">
        <v>8.3602547982470751E-5</v>
      </c>
      <c r="F37" s="1">
        <v>3.8423404191479353E-4</v>
      </c>
      <c r="G37" s="1">
        <v>6.7364753430272954E-4</v>
      </c>
      <c r="H37" s="1">
        <v>5.4859702970208991E-4</v>
      </c>
      <c r="I37" s="1">
        <v>8.5892999390407886E-4</v>
      </c>
      <c r="J37" s="1">
        <v>5.9659841016349848E-4</v>
      </c>
      <c r="K37" s="1">
        <v>2.5891778765945058E-4</v>
      </c>
      <c r="L37" s="1">
        <v>6.9630265217603203E-4</v>
      </c>
      <c r="M37" s="1">
        <v>-5.9278356893008165E-5</v>
      </c>
      <c r="N37" s="1">
        <v>5.7588259063531702E-4</v>
      </c>
      <c r="O37" s="1">
        <v>1.0275404987221946E-3</v>
      </c>
      <c r="P37" s="1">
        <v>1.0375746908138207E-3</v>
      </c>
      <c r="Q37" s="1">
        <v>4.9842407603143768E-4</v>
      </c>
      <c r="R37" s="1">
        <v>1.4377512228619324E-3</v>
      </c>
      <c r="S37" s="1">
        <v>4.0523432663213082E-4</v>
      </c>
      <c r="T37" s="1">
        <v>7.2835989663658728E-4</v>
      </c>
      <c r="U37" s="1">
        <v>1.2889070618437844E-3</v>
      </c>
      <c r="V37" s="1">
        <v>1.3953193777981789E-3</v>
      </c>
      <c r="W37" s="1">
        <v>7.3582015758741272E-4</v>
      </c>
      <c r="X37" s="1">
        <v>1.202876460157769E-3</v>
      </c>
      <c r="Y37" s="1">
        <v>1.264075073479143E-3</v>
      </c>
      <c r="Z37" s="1">
        <v>4.1694938086673258E-4</v>
      </c>
      <c r="AA37" s="1">
        <v>5.4546359511303333E-4</v>
      </c>
      <c r="AB37" s="1">
        <v>6.5501333940942404E-4</v>
      </c>
      <c r="AC37" s="1">
        <v>2.7592372450637678E-3</v>
      </c>
      <c r="AD37" s="1">
        <v>7.5892547754876543E-4</v>
      </c>
      <c r="AE37" s="1">
        <v>5.775861252510857E-3</v>
      </c>
      <c r="AF37" s="1">
        <v>3.9997394438068664E-4</v>
      </c>
      <c r="AG37" s="1">
        <v>1.5047146230185882E-3</v>
      </c>
      <c r="AH37" s="1">
        <v>6.433656868190847E-4</v>
      </c>
      <c r="AI37" s="1">
        <v>1.7948120820469981E-3</v>
      </c>
      <c r="AJ37" s="1">
        <v>4.2522859070549422E-4</v>
      </c>
      <c r="AK37" s="1">
        <v>9.5559960313290994E-4</v>
      </c>
      <c r="AL37" s="1">
        <v>7.748718153754449E-4</v>
      </c>
      <c r="AM37" s="1">
        <v>1.9655628199255434E-3</v>
      </c>
      <c r="AN37" s="1">
        <v>1.013967936530374E-3</v>
      </c>
      <c r="AO37" s="1">
        <v>9.7672783055820136E-4</v>
      </c>
    </row>
    <row r="38" spans="1:41" ht="15">
      <c r="A38" s="17" t="s">
        <v>95</v>
      </c>
      <c r="B38" s="1">
        <v>4.9452414261014438E-4</v>
      </c>
      <c r="C38" s="1">
        <v>5.5356699889167252E-4</v>
      </c>
      <c r="D38" s="1">
        <v>1.0316837013137727E-4</v>
      </c>
      <c r="E38" s="1">
        <v>1.7105874773920964E-5</v>
      </c>
      <c r="F38" s="1">
        <v>4.9831575997519697E-4</v>
      </c>
      <c r="G38" s="1">
        <v>5.3625065856270301E-4</v>
      </c>
      <c r="H38" s="1">
        <v>2.7020292642261396E-4</v>
      </c>
      <c r="I38" s="1">
        <v>6.7614953315887568E-4</v>
      </c>
      <c r="J38" s="1">
        <v>3.4605164265446317E-4</v>
      </c>
      <c r="K38" s="1">
        <v>5.0681383165500859E-4</v>
      </c>
      <c r="L38" s="1">
        <v>8.7085606426100969E-5</v>
      </c>
      <c r="M38" s="1">
        <v>2.8325144492089612E-4</v>
      </c>
      <c r="N38" s="1">
        <v>2.7753247835980677E-4</v>
      </c>
      <c r="O38" s="1">
        <v>2.5096727113799064E-4</v>
      </c>
      <c r="P38" s="1">
        <v>2.4230174685633659E-4</v>
      </c>
      <c r="Q38" s="1">
        <v>6.2414046892207231E-4</v>
      </c>
      <c r="R38" s="1">
        <v>3.933632310042629E-4</v>
      </c>
      <c r="S38" s="1">
        <v>-3.5693553410002996E-5</v>
      </c>
      <c r="T38" s="1">
        <v>4.5711211578084582E-4</v>
      </c>
      <c r="U38" s="1">
        <v>1.0523799759183786E-3</v>
      </c>
      <c r="V38" s="1">
        <v>2.5878805025575803E-4</v>
      </c>
      <c r="W38" s="1">
        <v>2.7383035434410535E-4</v>
      </c>
      <c r="X38" s="1">
        <v>3.1544513170805405E-4</v>
      </c>
      <c r="Y38" s="1">
        <v>-5.8927958221595075E-5</v>
      </c>
      <c r="Z38" s="1">
        <v>6.2779997890229349E-4</v>
      </c>
      <c r="AA38" s="1">
        <v>1.9736673817616527E-4</v>
      </c>
      <c r="AB38" s="1">
        <v>3.902085465866129E-4</v>
      </c>
      <c r="AC38" s="1">
        <v>1.0943157231080463E-4</v>
      </c>
      <c r="AD38" s="1">
        <v>4.7967747946353357E-4</v>
      </c>
      <c r="AE38" s="1">
        <v>3.9997394438068664E-4</v>
      </c>
      <c r="AF38" s="1">
        <v>2.4382074727496181E-3</v>
      </c>
      <c r="AG38" s="1">
        <v>2.9731814130660702E-4</v>
      </c>
      <c r="AH38" s="1">
        <v>1.0269025571114638E-3</v>
      </c>
      <c r="AI38" s="1">
        <v>6.7845613170855359E-4</v>
      </c>
      <c r="AJ38" s="1">
        <v>8.1175363948319691E-5</v>
      </c>
      <c r="AK38" s="1">
        <v>2.3603603680621892E-4</v>
      </c>
      <c r="AL38" s="1">
        <v>3.7916716661016926E-4</v>
      </c>
      <c r="AM38" s="1">
        <v>3.9096046271260953E-4</v>
      </c>
      <c r="AN38" s="1">
        <v>7.5491684908254126E-4</v>
      </c>
      <c r="AO38" s="1">
        <v>4.9455065812296093E-4</v>
      </c>
    </row>
    <row r="39" spans="1:41" ht="15">
      <c r="A39" s="17" t="s">
        <v>102</v>
      </c>
      <c r="B39" s="1">
        <v>9.5552291856970282E-4</v>
      </c>
      <c r="C39" s="1">
        <v>1.2138085173190864E-4</v>
      </c>
      <c r="D39" s="1">
        <v>5.0147745787339301E-5</v>
      </c>
      <c r="E39" s="1">
        <v>2.384820246955702E-4</v>
      </c>
      <c r="F39" s="1">
        <v>6.1850878302800315E-4</v>
      </c>
      <c r="G39" s="1">
        <v>6.8460221247942411E-4</v>
      </c>
      <c r="H39" s="1">
        <v>7.184527213380833E-4</v>
      </c>
      <c r="I39" s="1">
        <v>1.1125475583120673E-3</v>
      </c>
      <c r="J39" s="1">
        <v>1.5279425477230893E-3</v>
      </c>
      <c r="K39" s="1">
        <v>1.3313413637155087E-3</v>
      </c>
      <c r="L39" s="1">
        <v>3.2404522756854931E-4</v>
      </c>
      <c r="M39" s="1">
        <v>-2.1204470193434267E-4</v>
      </c>
      <c r="N39" s="1">
        <v>6.3844278555142276E-4</v>
      </c>
      <c r="O39" s="1">
        <v>9.0135619942522901E-4</v>
      </c>
      <c r="P39" s="1">
        <v>8.7431971759320537E-4</v>
      </c>
      <c r="Q39" s="1">
        <v>1.3996668723243201E-3</v>
      </c>
      <c r="R39" s="1">
        <v>1.5774058768350712E-3</v>
      </c>
      <c r="S39" s="1">
        <v>5.6238271366906378E-4</v>
      </c>
      <c r="T39" s="1">
        <v>1.3267106477153857E-3</v>
      </c>
      <c r="U39" s="1">
        <v>1.822162337090322E-3</v>
      </c>
      <c r="V39" s="1">
        <v>1.0333295970662187E-3</v>
      </c>
      <c r="W39" s="1">
        <v>1.9025339282961759E-4</v>
      </c>
      <c r="X39" s="1">
        <v>1.4328069551655532E-3</v>
      </c>
      <c r="Y39" s="1">
        <v>2.0938786489714509E-4</v>
      </c>
      <c r="Z39" s="1">
        <v>3.6630288830050644E-4</v>
      </c>
      <c r="AA39" s="1">
        <v>7.7142039513696957E-4</v>
      </c>
      <c r="AB39" s="1">
        <v>9.0660072114827231E-4</v>
      </c>
      <c r="AC39" s="1">
        <v>2.7564528228263426E-3</v>
      </c>
      <c r="AD39" s="1">
        <v>8.085079262674734E-4</v>
      </c>
      <c r="AE39" s="1">
        <v>1.5047146230185882E-3</v>
      </c>
      <c r="AF39" s="1">
        <v>2.9731814130660702E-4</v>
      </c>
      <c r="AG39" s="1">
        <v>9.7318269862282022E-3</v>
      </c>
      <c r="AH39" s="1">
        <v>1.8363270888768822E-3</v>
      </c>
      <c r="AI39" s="1">
        <v>1.3392999754917863E-3</v>
      </c>
      <c r="AJ39" s="1">
        <v>2.7216643175251619E-3</v>
      </c>
      <c r="AK39" s="1">
        <v>1.7620077816434996E-3</v>
      </c>
      <c r="AL39" s="1">
        <v>1.602455666214324E-3</v>
      </c>
      <c r="AM39" s="1">
        <v>2.7908441540780119E-3</v>
      </c>
      <c r="AN39" s="1">
        <v>1.0183138638730951E-3</v>
      </c>
      <c r="AO39" s="1">
        <v>1.5344682844555552E-3</v>
      </c>
    </row>
    <row r="40" spans="1:41" ht="15">
      <c r="A40" s="17" t="s">
        <v>110</v>
      </c>
      <c r="B40" s="1">
        <v>1.09832038463812E-3</v>
      </c>
      <c r="C40" s="1">
        <v>5.1439883390023619E-4</v>
      </c>
      <c r="D40" s="1">
        <v>8.4584396851890569E-4</v>
      </c>
      <c r="E40" s="1">
        <v>8.2787320328633917E-4</v>
      </c>
      <c r="F40" s="1">
        <v>1.2174119786186059E-3</v>
      </c>
      <c r="G40" s="1">
        <v>1.0754731752731774E-3</v>
      </c>
      <c r="H40" s="1">
        <v>6.3501921960452468E-4</v>
      </c>
      <c r="I40" s="1">
        <v>9.7504730585076804E-4</v>
      </c>
      <c r="J40" s="1">
        <v>9.3892714061096763E-4</v>
      </c>
      <c r="K40" s="1">
        <v>1.8823159730126755E-3</v>
      </c>
      <c r="L40" s="1">
        <v>8.9261353274832213E-4</v>
      </c>
      <c r="M40" s="1">
        <v>3.2096341180313978E-4</v>
      </c>
      <c r="N40" s="1">
        <v>6.259409681731383E-4</v>
      </c>
      <c r="O40" s="1">
        <v>6.9134785460571912E-4</v>
      </c>
      <c r="P40" s="1">
        <v>-3.6217183983208685E-4</v>
      </c>
      <c r="Q40" s="1">
        <v>2.631281055309527E-3</v>
      </c>
      <c r="R40" s="1">
        <v>-3.1113984504676823E-5</v>
      </c>
      <c r="S40" s="1">
        <v>3.8564717177934599E-4</v>
      </c>
      <c r="T40" s="1">
        <v>1.2211297383414551E-3</v>
      </c>
      <c r="U40" s="1">
        <v>1.5402040929937109E-3</v>
      </c>
      <c r="V40" s="1">
        <v>5.7436793012662351E-4</v>
      </c>
      <c r="W40" s="1">
        <v>4.8919077196991336E-4</v>
      </c>
      <c r="X40" s="1">
        <v>1.1845014362752313E-3</v>
      </c>
      <c r="Y40" s="1">
        <v>2.2895626067516951E-3</v>
      </c>
      <c r="Z40" s="1">
        <v>7.8529022962825555E-4</v>
      </c>
      <c r="AA40" s="1">
        <v>7.1735161012799877E-4</v>
      </c>
      <c r="AB40" s="1">
        <v>6.2116362422526869E-4</v>
      </c>
      <c r="AC40" s="1">
        <v>1.7309158970532667E-3</v>
      </c>
      <c r="AD40" s="1">
        <v>6.2741875818231113E-4</v>
      </c>
      <c r="AE40" s="1">
        <v>6.433656868190847E-4</v>
      </c>
      <c r="AF40" s="1">
        <v>1.0269025571114638E-3</v>
      </c>
      <c r="AG40" s="1">
        <v>1.8363270888768822E-3</v>
      </c>
      <c r="AH40" s="1">
        <v>1.5639900734640961E-2</v>
      </c>
      <c r="AI40" s="1">
        <v>1.8285282704529301E-3</v>
      </c>
      <c r="AJ40" s="1">
        <v>1.7937936320822166E-3</v>
      </c>
      <c r="AK40" s="1">
        <v>6.3252637739225786E-4</v>
      </c>
      <c r="AL40" s="1">
        <v>1.5106226568932853E-3</v>
      </c>
      <c r="AM40" s="1">
        <v>2.0627347734659945E-3</v>
      </c>
      <c r="AN40" s="1">
        <v>1.1004487098064163E-3</v>
      </c>
      <c r="AO40" s="1">
        <v>2.130143824145289E-3</v>
      </c>
    </row>
    <row r="41" spans="1:41" ht="15">
      <c r="A41" s="17" t="s">
        <v>114</v>
      </c>
      <c r="B41" s="1">
        <v>9.2401427880920437E-4</v>
      </c>
      <c r="C41" s="1">
        <v>5.5253175280994208E-4</v>
      </c>
      <c r="D41" s="1">
        <v>-2.8886534626501776E-4</v>
      </c>
      <c r="E41" s="1">
        <v>1.0246461627747008E-3</v>
      </c>
      <c r="F41" s="1">
        <v>9.6255063406793049E-4</v>
      </c>
      <c r="G41" s="1">
        <v>1.0042099258483041E-3</v>
      </c>
      <c r="H41" s="1">
        <v>3.8411822855198346E-4</v>
      </c>
      <c r="I41" s="1">
        <v>1.0636370610542926E-3</v>
      </c>
      <c r="J41" s="1">
        <v>1.2507035913762894E-3</v>
      </c>
      <c r="K41" s="1">
        <v>1.1887491408958699E-3</v>
      </c>
      <c r="L41" s="1">
        <v>3.5965100500000459E-4</v>
      </c>
      <c r="M41" s="1">
        <v>1.3418899904274752E-4</v>
      </c>
      <c r="N41" s="1">
        <v>9.2121740879837601E-4</v>
      </c>
      <c r="O41" s="1">
        <v>1.2444658993737776E-3</v>
      </c>
      <c r="P41" s="1">
        <v>8.8848396941663401E-4</v>
      </c>
      <c r="Q41" s="1">
        <v>7.6044363670471128E-4</v>
      </c>
      <c r="R41" s="1">
        <v>2.6441123360953452E-3</v>
      </c>
      <c r="S41" s="1">
        <v>4.1390017335701356E-4</v>
      </c>
      <c r="T41" s="1">
        <v>1.1413900930871E-3</v>
      </c>
      <c r="U41" s="1">
        <v>2.5949300471461998E-3</v>
      </c>
      <c r="V41" s="1">
        <v>1.4483036843274358E-3</v>
      </c>
      <c r="W41" s="1">
        <v>1.183484916546807E-3</v>
      </c>
      <c r="X41" s="1">
        <v>1.4896715425788791E-3</v>
      </c>
      <c r="Y41" s="1">
        <v>1.7419671913263849E-3</v>
      </c>
      <c r="Z41" s="1">
        <v>8.8071237967198999E-4</v>
      </c>
      <c r="AA41" s="1">
        <v>1.3040910625910166E-3</v>
      </c>
      <c r="AB41" s="1">
        <v>9.9768330136878005E-4</v>
      </c>
      <c r="AC41" s="1">
        <v>3.7385074336598613E-3</v>
      </c>
      <c r="AD41" s="1">
        <v>6.8874831995849187E-4</v>
      </c>
      <c r="AE41" s="1">
        <v>1.7948120820469981E-3</v>
      </c>
      <c r="AF41" s="1">
        <v>6.7845613170855359E-4</v>
      </c>
      <c r="AG41" s="1">
        <v>1.3392999754917863E-3</v>
      </c>
      <c r="AH41" s="1">
        <v>1.8285282704529301E-3</v>
      </c>
      <c r="AI41" s="1">
        <v>9.1772687531205526E-3</v>
      </c>
      <c r="AJ41" s="1">
        <v>2.4302291161902348E-3</v>
      </c>
      <c r="AK41" s="1">
        <v>1.7629892769948808E-3</v>
      </c>
      <c r="AL41" s="1">
        <v>1.1381643122150972E-3</v>
      </c>
      <c r="AM41" s="1">
        <v>2.1322780472611573E-3</v>
      </c>
      <c r="AN41" s="1">
        <v>1.0494677404659827E-3</v>
      </c>
      <c r="AO41" s="1">
        <v>1.9798975051025587E-3</v>
      </c>
    </row>
    <row r="42" spans="1:41" ht="15">
      <c r="A42" s="17" t="s">
        <v>120</v>
      </c>
      <c r="B42" s="1">
        <v>3.0173877634922494E-4</v>
      </c>
      <c r="C42" s="1">
        <v>2.1866056871707517E-4</v>
      </c>
      <c r="D42" s="1">
        <v>2.2665035114068595E-5</v>
      </c>
      <c r="E42" s="1">
        <v>1.8270323918592104E-3</v>
      </c>
      <c r="F42" s="1">
        <v>1.3482531743824633E-3</v>
      </c>
      <c r="G42" s="1">
        <v>5.7650694743270625E-4</v>
      </c>
      <c r="H42" s="1">
        <v>1.83785766919502E-3</v>
      </c>
      <c r="I42" s="1">
        <v>7.1518167038133579E-4</v>
      </c>
      <c r="J42" s="1">
        <v>1.3916254114995173E-3</v>
      </c>
      <c r="K42" s="1">
        <v>2.3174800590775118E-3</v>
      </c>
      <c r="L42" s="1">
        <v>-4.0732017391503577E-4</v>
      </c>
      <c r="M42" s="1">
        <v>-9.6448311241650734E-5</v>
      </c>
      <c r="N42" s="1">
        <v>8.2367390354469851E-4</v>
      </c>
      <c r="O42" s="1">
        <v>1.2728831320562546E-3</v>
      </c>
      <c r="P42" s="1">
        <v>1.6529089013920947E-3</v>
      </c>
      <c r="Q42" s="1">
        <v>4.1453008916623161E-4</v>
      </c>
      <c r="R42" s="1">
        <v>1.0515944497863836E-3</v>
      </c>
      <c r="S42" s="1">
        <v>1.1337051511619222E-3</v>
      </c>
      <c r="T42" s="1">
        <v>2.0100937754486672E-3</v>
      </c>
      <c r="U42" s="1">
        <v>3.3984266027160212E-3</v>
      </c>
      <c r="V42" s="1">
        <v>1.1109584992197714E-3</v>
      </c>
      <c r="W42" s="1">
        <v>5.9826670018074473E-4</v>
      </c>
      <c r="X42" s="1">
        <v>2.0316909589752287E-3</v>
      </c>
      <c r="Y42" s="1">
        <v>2.1280219349199361E-3</v>
      </c>
      <c r="Z42" s="1">
        <v>2.1511161250164216E-4</v>
      </c>
      <c r="AA42" s="1">
        <v>1.181467690417867E-3</v>
      </c>
      <c r="AB42" s="1">
        <v>-3.6630615283565857E-4</v>
      </c>
      <c r="AC42" s="1">
        <v>3.2775075275375092E-3</v>
      </c>
      <c r="AD42" s="1">
        <v>6.7591891404847457E-4</v>
      </c>
      <c r="AE42" s="1">
        <v>4.2522859070549422E-4</v>
      </c>
      <c r="AF42" s="1">
        <v>8.1175363948319691E-5</v>
      </c>
      <c r="AG42" s="1">
        <v>2.7216643175251619E-3</v>
      </c>
      <c r="AH42" s="1">
        <v>1.7937936320822166E-3</v>
      </c>
      <c r="AI42" s="1">
        <v>2.4302291161902348E-3</v>
      </c>
      <c r="AJ42" s="1">
        <v>2.0397344755797461E-2</v>
      </c>
      <c r="AK42" s="1">
        <v>2.648634976173867E-3</v>
      </c>
      <c r="AL42" s="1">
        <v>2.7899219368804047E-3</v>
      </c>
      <c r="AM42" s="1">
        <v>1.0069406943467765E-3</v>
      </c>
      <c r="AN42" s="1">
        <v>1.1663123863502468E-3</v>
      </c>
      <c r="AO42" s="1">
        <v>2.9086962401617122E-3</v>
      </c>
    </row>
    <row r="43" spans="1:41" ht="15">
      <c r="A43" s="17" t="s">
        <v>123</v>
      </c>
      <c r="B43" s="1">
        <v>6.2254256946584201E-4</v>
      </c>
      <c r="C43" s="1">
        <v>3.604292987664255E-4</v>
      </c>
      <c r="D43" s="1">
        <v>2.1357952109063262E-4</v>
      </c>
      <c r="E43" s="1">
        <v>6.2055711723076263E-4</v>
      </c>
      <c r="F43" s="1">
        <v>6.7247994489278947E-4</v>
      </c>
      <c r="G43" s="1">
        <v>3.0055836225516784E-4</v>
      </c>
      <c r="H43" s="1">
        <v>4.1092344869523916E-4</v>
      </c>
      <c r="I43" s="1">
        <v>3.4871995683923013E-4</v>
      </c>
      <c r="J43" s="1">
        <v>9.7944526313889849E-4</v>
      </c>
      <c r="K43" s="1">
        <v>1.3632355049410262E-3</v>
      </c>
      <c r="L43" s="1">
        <v>-1.5597263298422723E-4</v>
      </c>
      <c r="M43" s="1">
        <v>6.6926058813162147E-5</v>
      </c>
      <c r="N43" s="1">
        <v>4.0384148440291274E-4</v>
      </c>
      <c r="O43" s="1">
        <v>8.4815054411807199E-4</v>
      </c>
      <c r="P43" s="1">
        <v>1.5166041740139454E-3</v>
      </c>
      <c r="Q43" s="1">
        <v>8.5168372935146269E-4</v>
      </c>
      <c r="R43" s="1">
        <v>6.3700576504195573E-4</v>
      </c>
      <c r="S43" s="1">
        <v>5.0829579241420475E-4</v>
      </c>
      <c r="T43" s="1">
        <v>4.5271546857588422E-4</v>
      </c>
      <c r="U43" s="1">
        <v>2.1227586249737431E-3</v>
      </c>
      <c r="V43" s="1">
        <v>7.4288047570945275E-4</v>
      </c>
      <c r="W43" s="1">
        <v>5.0599009740355581E-4</v>
      </c>
      <c r="X43" s="1">
        <v>1.1559030519044675E-3</v>
      </c>
      <c r="Y43" s="1">
        <v>6.9252820769617794E-4</v>
      </c>
      <c r="Z43" s="1">
        <v>3.3930829910575234E-4</v>
      </c>
      <c r="AA43" s="1">
        <v>8.0600685502283482E-4</v>
      </c>
      <c r="AB43" s="1">
        <v>6.7262120799302144E-4</v>
      </c>
      <c r="AC43" s="1">
        <v>1.9295913168429503E-3</v>
      </c>
      <c r="AD43" s="1">
        <v>7.3377964550233002E-4</v>
      </c>
      <c r="AE43" s="1">
        <v>9.5559960313290994E-4</v>
      </c>
      <c r="AF43" s="1">
        <v>2.3603603680621892E-4</v>
      </c>
      <c r="AG43" s="1">
        <v>1.7620077816434996E-3</v>
      </c>
      <c r="AH43" s="1">
        <v>6.3252637739225786E-4</v>
      </c>
      <c r="AI43" s="1">
        <v>1.7629892769948808E-3</v>
      </c>
      <c r="AJ43" s="1">
        <v>2.648634976173867E-3</v>
      </c>
      <c r="AK43" s="1">
        <v>6.8820118234713089E-3</v>
      </c>
      <c r="AL43" s="1">
        <v>1.0534485545342501E-3</v>
      </c>
      <c r="AM43" s="1">
        <v>1.2558324347842246E-3</v>
      </c>
      <c r="AN43" s="1">
        <v>5.8109180614550034E-4</v>
      </c>
      <c r="AO43" s="1">
        <v>1.5955541905662014E-3</v>
      </c>
    </row>
    <row r="44" spans="1:41" ht="15">
      <c r="A44" s="17" t="s">
        <v>127</v>
      </c>
      <c r="B44" s="1">
        <v>8.2056118791015307E-4</v>
      </c>
      <c r="C44" s="1">
        <v>6.3085805069389047E-4</v>
      </c>
      <c r="D44" s="1">
        <v>5.0654964891589098E-4</v>
      </c>
      <c r="E44" s="1">
        <v>1.2102270602834305E-3</v>
      </c>
      <c r="F44" s="1">
        <v>8.7538272119228576E-4</v>
      </c>
      <c r="G44" s="1">
        <v>5.3173577723817744E-4</v>
      </c>
      <c r="H44" s="1">
        <v>1.136980184010999E-3</v>
      </c>
      <c r="I44" s="1">
        <v>6.5661917950251148E-4</v>
      </c>
      <c r="J44" s="1">
        <v>9.3168110683853798E-4</v>
      </c>
      <c r="K44" s="1">
        <v>1.2507015175943982E-3</v>
      </c>
      <c r="L44" s="1">
        <v>-2.3903316797359894E-4</v>
      </c>
      <c r="M44" s="1">
        <v>2.2705246196190221E-4</v>
      </c>
      <c r="N44" s="1">
        <v>6.7335255973019351E-4</v>
      </c>
      <c r="O44" s="1">
        <v>5.836726698904526E-4</v>
      </c>
      <c r="P44" s="1">
        <v>6.6270425668288032E-4</v>
      </c>
      <c r="Q44" s="1">
        <v>3.0279058083878567E-5</v>
      </c>
      <c r="R44" s="1">
        <v>6.6760168332158961E-4</v>
      </c>
      <c r="S44" s="1">
        <v>1.2054005550366041E-3</v>
      </c>
      <c r="T44" s="1">
        <v>1.2112411861371368E-3</v>
      </c>
      <c r="U44" s="1">
        <v>1.6619260166969596E-3</v>
      </c>
      <c r="V44" s="1">
        <v>1.23677167525704E-3</v>
      </c>
      <c r="W44" s="1">
        <v>4.8793114077163392E-4</v>
      </c>
      <c r="X44" s="1">
        <v>1.0390586979166414E-3</v>
      </c>
      <c r="Y44" s="1">
        <v>2.5781637600699433E-3</v>
      </c>
      <c r="Z44" s="1">
        <v>8.3426918840805739E-4</v>
      </c>
      <c r="AA44" s="1">
        <v>8.8167182553643673E-4</v>
      </c>
      <c r="AB44" s="1">
        <v>1.5640152974496181E-4</v>
      </c>
      <c r="AC44" s="1">
        <v>2.534809158865373E-3</v>
      </c>
      <c r="AD44" s="1">
        <v>4.1492331095011753E-4</v>
      </c>
      <c r="AE44" s="1">
        <v>7.748718153754449E-4</v>
      </c>
      <c r="AF44" s="1">
        <v>3.7916716661016926E-4</v>
      </c>
      <c r="AG44" s="1">
        <v>1.602455666214324E-3</v>
      </c>
      <c r="AH44" s="1">
        <v>1.5106226568932853E-3</v>
      </c>
      <c r="AI44" s="1">
        <v>1.1381643122150972E-3</v>
      </c>
      <c r="AJ44" s="1">
        <v>2.7899219368804047E-3</v>
      </c>
      <c r="AK44" s="1">
        <v>1.0534485545342501E-3</v>
      </c>
      <c r="AL44" s="1">
        <v>6.2923600474747302E-3</v>
      </c>
      <c r="AM44" s="1">
        <v>1.3815596682009155E-3</v>
      </c>
      <c r="AN44" s="1">
        <v>6.8284413626811848E-4</v>
      </c>
      <c r="AO44" s="1">
        <v>2.1869835235341084E-3</v>
      </c>
    </row>
    <row r="45" spans="1:41" ht="15">
      <c r="A45" s="17" t="s">
        <v>139</v>
      </c>
      <c r="B45" s="1">
        <v>1.465926107241096E-3</v>
      </c>
      <c r="C45" s="1">
        <v>9.4967493861744425E-4</v>
      </c>
      <c r="D45" s="1">
        <v>9.3523901973267928E-4</v>
      </c>
      <c r="E45" s="1">
        <v>1.3683981315410583E-3</v>
      </c>
      <c r="F45" s="1">
        <v>1.3528745662676287E-3</v>
      </c>
      <c r="G45" s="1">
        <v>1.1991263125233141E-3</v>
      </c>
      <c r="H45" s="1">
        <v>5.7674896671181756E-4</v>
      </c>
      <c r="I45" s="1">
        <v>6.095199382205633E-4</v>
      </c>
      <c r="J45" s="1">
        <v>1.2051754376261709E-3</v>
      </c>
      <c r="K45" s="1">
        <v>9.2276877822284427E-4</v>
      </c>
      <c r="L45" s="1">
        <v>4.2032828391762241E-4</v>
      </c>
      <c r="M45" s="1">
        <v>3.8399540253992965E-4</v>
      </c>
      <c r="N45" s="1">
        <v>1.6775954417811803E-3</v>
      </c>
      <c r="O45" s="1">
        <v>6.6166352743178374E-4</v>
      </c>
      <c r="P45" s="1">
        <v>7.520033469248762E-4</v>
      </c>
      <c r="Q45" s="1">
        <v>2.5880346575003614E-4</v>
      </c>
      <c r="R45" s="1">
        <v>2.683521483453332E-3</v>
      </c>
      <c r="S45" s="1">
        <v>1.1636246187652355E-3</v>
      </c>
      <c r="T45" s="1">
        <v>2.063610512727623E-3</v>
      </c>
      <c r="U45" s="1">
        <v>1.967216002247404E-3</v>
      </c>
      <c r="V45" s="1">
        <v>9.3000692184642454E-4</v>
      </c>
      <c r="W45" s="1">
        <v>2.1651426463475862E-3</v>
      </c>
      <c r="X45" s="1">
        <v>1.9263961414490325E-3</v>
      </c>
      <c r="Y45" s="1">
        <v>4.4495027999185812E-3</v>
      </c>
      <c r="Z45" s="1">
        <v>1.4495641184671783E-3</v>
      </c>
      <c r="AA45" s="1">
        <v>1.1097126251081466E-3</v>
      </c>
      <c r="AB45" s="1">
        <v>9.1260035451421178E-4</v>
      </c>
      <c r="AC45" s="1">
        <v>5.2163861017372757E-3</v>
      </c>
      <c r="AD45" s="1">
        <v>7.8524647705176395E-4</v>
      </c>
      <c r="AE45" s="1">
        <v>1.9655628199255434E-3</v>
      </c>
      <c r="AF45" s="1">
        <v>3.9096046271260953E-4</v>
      </c>
      <c r="AG45" s="1">
        <v>2.7908441540780119E-3</v>
      </c>
      <c r="AH45" s="1">
        <v>2.0627347734659945E-3</v>
      </c>
      <c r="AI45" s="1">
        <v>2.1322780472611573E-3</v>
      </c>
      <c r="AJ45" s="1">
        <v>1.0069406943467765E-3</v>
      </c>
      <c r="AK45" s="1">
        <v>1.2558324347842246E-3</v>
      </c>
      <c r="AL45" s="1">
        <v>1.3815596682009155E-3</v>
      </c>
      <c r="AM45" s="1">
        <v>2.885434416987875E-2</v>
      </c>
      <c r="AN45" s="1">
        <v>1.0623540704469264E-3</v>
      </c>
      <c r="AO45" s="1">
        <v>9.5883669611950624E-4</v>
      </c>
    </row>
    <row r="46" spans="1:41" ht="15">
      <c r="A46" s="17" t="s">
        <v>140</v>
      </c>
      <c r="B46" s="1">
        <v>5.5150116604192004E-4</v>
      </c>
      <c r="C46" s="1">
        <v>2.6113448271692546E-4</v>
      </c>
      <c r="D46" s="1">
        <v>-2.0987031203142291E-4</v>
      </c>
      <c r="E46" s="1">
        <v>4.5705903703283589E-4</v>
      </c>
      <c r="F46" s="1">
        <v>3.1625956894583993E-4</v>
      </c>
      <c r="G46" s="1">
        <v>6.2111298093691465E-4</v>
      </c>
      <c r="H46" s="1">
        <v>7.0451583296763905E-4</v>
      </c>
      <c r="I46" s="1">
        <v>1.3432718004699673E-3</v>
      </c>
      <c r="J46" s="1">
        <v>8.4353322508304675E-4</v>
      </c>
      <c r="K46" s="1">
        <v>3.7706973285503648E-4</v>
      </c>
      <c r="L46" s="1">
        <v>5.3317964029869075E-4</v>
      </c>
      <c r="M46" s="1">
        <v>2.1435903406871458E-4</v>
      </c>
      <c r="N46" s="1">
        <v>7.6546958737012775E-4</v>
      </c>
      <c r="O46" s="1">
        <v>9.8968254519439481E-4</v>
      </c>
      <c r="P46" s="1">
        <v>1.1039859333355562E-3</v>
      </c>
      <c r="Q46" s="1">
        <v>7.8702877353413697E-4</v>
      </c>
      <c r="R46" s="1">
        <v>2.2057534281955705E-3</v>
      </c>
      <c r="S46" s="1">
        <v>3.7081695359803923E-4</v>
      </c>
      <c r="T46" s="1">
        <v>1.0503928203382876E-3</v>
      </c>
      <c r="U46" s="1">
        <v>2.4826491314249178E-3</v>
      </c>
      <c r="V46" s="1">
        <v>1.0453516757446201E-3</v>
      </c>
      <c r="W46" s="1">
        <v>1.2466771168563591E-3</v>
      </c>
      <c r="X46" s="1">
        <v>1.3578043423740592E-3</v>
      </c>
      <c r="Y46" s="1">
        <v>5.9766323607874294E-4</v>
      </c>
      <c r="Z46" s="1">
        <v>3.5422326265333823E-4</v>
      </c>
      <c r="AA46" s="1">
        <v>6.6737148845543272E-4</v>
      </c>
      <c r="AB46" s="1">
        <v>6.9566433408289104E-4</v>
      </c>
      <c r="AC46" s="1">
        <v>3.0418354919463494E-4</v>
      </c>
      <c r="AD46" s="1">
        <v>2.3379818244939575E-4</v>
      </c>
      <c r="AE46" s="1">
        <v>1.013967936530374E-3</v>
      </c>
      <c r="AF46" s="1">
        <v>7.5491684908254126E-4</v>
      </c>
      <c r="AG46" s="1">
        <v>1.0183138638730951E-3</v>
      </c>
      <c r="AH46" s="1">
        <v>1.1004487098064163E-3</v>
      </c>
      <c r="AI46" s="1">
        <v>1.0494677404659827E-3</v>
      </c>
      <c r="AJ46" s="1">
        <v>1.1663123863502468E-3</v>
      </c>
      <c r="AK46" s="1">
        <v>5.8109180614550034E-4</v>
      </c>
      <c r="AL46" s="1">
        <v>6.8284413626811848E-4</v>
      </c>
      <c r="AM46" s="1">
        <v>1.0623540704469264E-3</v>
      </c>
      <c r="AN46" s="1">
        <v>5.6007421868388939E-3</v>
      </c>
      <c r="AO46" s="1">
        <v>4.8939377797130171E-4</v>
      </c>
    </row>
    <row r="47" spans="1:41" ht="15">
      <c r="A47" s="17" t="s">
        <v>142</v>
      </c>
      <c r="B47" s="1">
        <v>6.4259519367574497E-4</v>
      </c>
      <c r="C47" s="1">
        <v>5.6792838607029184E-5</v>
      </c>
      <c r="D47" s="1">
        <v>2.4473040674908755E-5</v>
      </c>
      <c r="E47" s="1">
        <v>3.712210009120438E-4</v>
      </c>
      <c r="F47" s="1">
        <v>9.3231922858894232E-5</v>
      </c>
      <c r="G47" s="1">
        <v>6.4784078722294515E-4</v>
      </c>
      <c r="H47" s="1">
        <v>8.6723176426551361E-4</v>
      </c>
      <c r="I47" s="1">
        <v>5.2354924851443353E-4</v>
      </c>
      <c r="J47" s="1">
        <v>4.1387769299299317E-4</v>
      </c>
      <c r="K47" s="1">
        <v>1.1101582409017872E-3</v>
      </c>
      <c r="L47" s="1">
        <v>-1.0433458369254495E-3</v>
      </c>
      <c r="M47" s="1">
        <v>1.9646940582599858E-5</v>
      </c>
      <c r="N47" s="1">
        <v>4.2057924038003079E-4</v>
      </c>
      <c r="O47" s="1">
        <v>3.2910887737195145E-4</v>
      </c>
      <c r="P47" s="1">
        <v>9.3884350519493338E-4</v>
      </c>
      <c r="Q47" s="1">
        <v>1.020084973537763E-4</v>
      </c>
      <c r="R47" s="1">
        <v>5.1031197998277348E-4</v>
      </c>
      <c r="S47" s="1">
        <v>7.2387188689270181E-4</v>
      </c>
      <c r="T47" s="1">
        <v>1.4667775777133139E-3</v>
      </c>
      <c r="U47" s="1">
        <v>3.0598406901480708E-4</v>
      </c>
      <c r="V47" s="1">
        <v>1.2591524138944334E-3</v>
      </c>
      <c r="W47" s="1">
        <v>8.7155498051581163E-4</v>
      </c>
      <c r="X47" s="1">
        <v>1.0469475926942579E-3</v>
      </c>
      <c r="Y47" s="1">
        <v>2.2905474692458843E-3</v>
      </c>
      <c r="Z47" s="1">
        <v>8.5143849144504562E-4</v>
      </c>
      <c r="AA47" s="1">
        <v>8.1029573402904506E-4</v>
      </c>
      <c r="AB47" s="1">
        <v>-6.4260234347513655E-5</v>
      </c>
      <c r="AC47" s="1">
        <v>4.6392170830222628E-3</v>
      </c>
      <c r="AD47" s="1">
        <v>4.3697495084297973E-4</v>
      </c>
      <c r="AE47" s="1">
        <v>9.7672783055820136E-4</v>
      </c>
      <c r="AF47" s="1">
        <v>4.9455065812296093E-4</v>
      </c>
      <c r="AG47" s="1">
        <v>1.5344682844555552E-3</v>
      </c>
      <c r="AH47" s="1">
        <v>2.130143824145289E-3</v>
      </c>
      <c r="AI47" s="1">
        <v>1.9798975051025587E-3</v>
      </c>
      <c r="AJ47" s="1">
        <v>2.9086962401617122E-3</v>
      </c>
      <c r="AK47" s="1">
        <v>1.5955541905662014E-3</v>
      </c>
      <c r="AL47" s="1">
        <v>2.1869835235341084E-3</v>
      </c>
      <c r="AM47" s="1">
        <v>9.5883669611950624E-4</v>
      </c>
      <c r="AN47" s="1">
        <v>4.8939377797130171E-4</v>
      </c>
      <c r="AO47" s="1">
        <v>9.633373525950421E-3</v>
      </c>
    </row>
    <row r="49" spans="1:41" ht="18">
      <c r="A49" s="6" t="s">
        <v>11</v>
      </c>
    </row>
    <row r="51" spans="1:41" ht="15">
      <c r="B51" s="19" t="s">
        <v>15</v>
      </c>
      <c r="C51" s="19" t="s">
        <v>19</v>
      </c>
      <c r="D51" s="19" t="s">
        <v>17</v>
      </c>
      <c r="E51" s="19" t="s">
        <v>18</v>
      </c>
      <c r="F51" s="19" t="s">
        <v>20</v>
      </c>
      <c r="G51" s="19" t="s">
        <v>22</v>
      </c>
      <c r="H51" s="19" t="s">
        <v>23</v>
      </c>
      <c r="I51" s="19" t="s">
        <v>24</v>
      </c>
      <c r="J51" s="19" t="s">
        <v>29</v>
      </c>
      <c r="K51" s="19" t="s">
        <v>30</v>
      </c>
      <c r="L51" s="19" t="s">
        <v>32</v>
      </c>
      <c r="M51" s="19" t="s">
        <v>41</v>
      </c>
      <c r="N51" s="19" t="s">
        <v>43</v>
      </c>
      <c r="O51" s="19" t="s">
        <v>45</v>
      </c>
      <c r="P51" s="19" t="s">
        <v>47</v>
      </c>
      <c r="Q51" s="19" t="s">
        <v>50</v>
      </c>
      <c r="R51" s="19" t="s">
        <v>52</v>
      </c>
      <c r="S51" s="19" t="s">
        <v>53</v>
      </c>
      <c r="T51" s="19" t="s">
        <v>54</v>
      </c>
      <c r="U51" s="19" t="s">
        <v>57</v>
      </c>
      <c r="V51" s="19" t="s">
        <v>62</v>
      </c>
      <c r="W51" s="19" t="s">
        <v>66</v>
      </c>
      <c r="X51" s="19" t="s">
        <v>70</v>
      </c>
      <c r="Y51" s="19" t="s">
        <v>74</v>
      </c>
      <c r="Z51" s="19" t="s">
        <v>76</v>
      </c>
      <c r="AA51" s="19" t="s">
        <v>79</v>
      </c>
      <c r="AB51" s="19" t="s">
        <v>87</v>
      </c>
      <c r="AC51" s="19" t="s">
        <v>88</v>
      </c>
      <c r="AD51" s="19" t="s">
        <v>91</v>
      </c>
      <c r="AE51" s="19" t="s">
        <v>94</v>
      </c>
      <c r="AF51" s="19" t="s">
        <v>95</v>
      </c>
      <c r="AG51" s="19" t="s">
        <v>102</v>
      </c>
      <c r="AH51" s="19" t="s">
        <v>110</v>
      </c>
      <c r="AI51" s="19" t="s">
        <v>114</v>
      </c>
      <c r="AJ51" s="19" t="s">
        <v>120</v>
      </c>
      <c r="AK51" s="19" t="s">
        <v>123</v>
      </c>
      <c r="AL51" s="19" t="s">
        <v>127</v>
      </c>
      <c r="AM51" s="19" t="s">
        <v>139</v>
      </c>
      <c r="AN51" s="19" t="s">
        <v>140</v>
      </c>
      <c r="AO51" s="19" t="s">
        <v>142</v>
      </c>
    </row>
    <row r="52" spans="1:41" ht="15">
      <c r="A52" s="19" t="s">
        <v>15</v>
      </c>
      <c r="B52" s="1">
        <f t="array" ref="B52:AO91">MMULT(TRANSPOSE(Data!B132:AO189-Data!B191:AO191),Data!B132:AO189-Data!B191:AO191)/57</f>
        <v>2.399561424498947E-3</v>
      </c>
      <c r="C52" s="1">
        <v>1.0003862846105869E-3</v>
      </c>
      <c r="D52" s="1">
        <v>1.5625584458189223E-3</v>
      </c>
      <c r="E52" s="1">
        <v>6.4352155597142307E-4</v>
      </c>
      <c r="F52" s="1">
        <v>1.5828570029729385E-3</v>
      </c>
      <c r="G52" s="1">
        <v>1.3923353719089695E-3</v>
      </c>
      <c r="H52" s="1">
        <v>1.775245631961853E-3</v>
      </c>
      <c r="I52" s="1">
        <v>8.5272565906883361E-4</v>
      </c>
      <c r="J52" s="1">
        <v>1.4087415708384523E-3</v>
      </c>
      <c r="K52" s="1">
        <v>1.3986376931731234E-3</v>
      </c>
      <c r="L52" s="1">
        <v>5.8613313628618413E-4</v>
      </c>
      <c r="M52" s="1">
        <v>4.7600815293684349E-5</v>
      </c>
      <c r="N52" s="1">
        <v>1.2592392930008385E-3</v>
      </c>
      <c r="O52" s="1">
        <v>1.4286098549646481E-3</v>
      </c>
      <c r="P52" s="1">
        <v>1.5245843908652625E-3</v>
      </c>
      <c r="Q52" s="1">
        <v>2.863916255584369E-3</v>
      </c>
      <c r="R52" s="1">
        <v>1.4383419990591929E-3</v>
      </c>
      <c r="S52" s="1">
        <v>1.3406737397049762E-3</v>
      </c>
      <c r="T52" s="1">
        <v>1.3694784629303982E-3</v>
      </c>
      <c r="U52" s="1">
        <v>2.5824155051681671E-3</v>
      </c>
      <c r="V52" s="1">
        <v>1.158056789212489E-3</v>
      </c>
      <c r="W52" s="1">
        <v>7.4208032401625176E-4</v>
      </c>
      <c r="X52" s="1">
        <v>9.0324472732769535E-4</v>
      </c>
      <c r="Y52" s="1">
        <v>9.7907499278154678E-4</v>
      </c>
      <c r="Z52" s="1">
        <v>1.245856381618277E-3</v>
      </c>
      <c r="AA52" s="1">
        <v>1.1692185671606031E-3</v>
      </c>
      <c r="AB52" s="1">
        <v>6.1536582242836292E-4</v>
      </c>
      <c r="AC52" s="1">
        <v>2.034394236732141E-3</v>
      </c>
      <c r="AD52" s="1">
        <v>9.2261274358326761E-4</v>
      </c>
      <c r="AE52" s="1">
        <v>1.9658005138676747E-3</v>
      </c>
      <c r="AF52" s="1">
        <v>9.8904828522028876E-4</v>
      </c>
      <c r="AG52" s="1">
        <v>1.9110458371394056E-3</v>
      </c>
      <c r="AH52" s="1">
        <v>2.1966407692762401E-3</v>
      </c>
      <c r="AI52" s="1">
        <v>1.8480285576184087E-3</v>
      </c>
      <c r="AJ52" s="1">
        <v>6.0347755269844988E-4</v>
      </c>
      <c r="AK52" s="1">
        <v>1.245085138931684E-3</v>
      </c>
      <c r="AL52" s="1">
        <v>1.6411223758203061E-3</v>
      </c>
      <c r="AM52" s="1">
        <v>2.931852214482192E-3</v>
      </c>
      <c r="AN52" s="1">
        <v>1.1030023320838401E-3</v>
      </c>
      <c r="AO52" s="1">
        <v>1.2851903873514899E-3</v>
      </c>
    </row>
    <row r="53" spans="1:41" ht="15">
      <c r="A53" s="19" t="s">
        <v>19</v>
      </c>
      <c r="B53" s="1">
        <v>1.0003862846105869E-3</v>
      </c>
      <c r="C53" s="1">
        <v>2.5239939089386301E-3</v>
      </c>
      <c r="D53" s="1">
        <v>1.2146833371624584E-3</v>
      </c>
      <c r="E53" s="1">
        <v>3.7716854680880157E-4</v>
      </c>
      <c r="F53" s="1">
        <v>1.9184466371017428E-3</v>
      </c>
      <c r="G53" s="1">
        <v>1.1901475844933276E-3</v>
      </c>
      <c r="H53" s="1">
        <v>1.5164869137628532E-3</v>
      </c>
      <c r="I53" s="1">
        <v>5.6512324003727364E-4</v>
      </c>
      <c r="J53" s="1">
        <v>9.4237291873927424E-4</v>
      </c>
      <c r="K53" s="1">
        <v>1.8686758111190803E-3</v>
      </c>
      <c r="L53" s="1">
        <v>6.3968021380549393E-4</v>
      </c>
      <c r="M53" s="1">
        <v>6.2399299472693296E-4</v>
      </c>
      <c r="N53" s="1">
        <v>4.6861144437727859E-4</v>
      </c>
      <c r="O53" s="1">
        <v>5.1272779205103482E-4</v>
      </c>
      <c r="P53" s="1">
        <v>5.8899977861207747E-4</v>
      </c>
      <c r="Q53" s="1">
        <v>1.8937206684122244E-3</v>
      </c>
      <c r="R53" s="1">
        <v>3.0818971960339461E-4</v>
      </c>
      <c r="S53" s="1">
        <v>2.5911674959733921E-4</v>
      </c>
      <c r="T53" s="1">
        <v>3.9608101466055668E-4</v>
      </c>
      <c r="U53" s="1">
        <v>2.7075733469579073E-3</v>
      </c>
      <c r="V53" s="1">
        <v>7.4332650503897721E-4</v>
      </c>
      <c r="W53" s="1">
        <v>3.6938047030877987E-4</v>
      </c>
      <c r="X53" s="1">
        <v>-1.5506961714874017E-5</v>
      </c>
      <c r="Y53" s="1">
        <v>1.4825000069300812E-4</v>
      </c>
      <c r="Z53" s="1">
        <v>7.6500389556884586E-4</v>
      </c>
      <c r="AA53" s="1">
        <v>7.8195017523780301E-4</v>
      </c>
      <c r="AB53" s="1">
        <v>7.267774202207774E-4</v>
      </c>
      <c r="AC53" s="1">
        <v>-4.8716869517167284E-4</v>
      </c>
      <c r="AD53" s="1">
        <v>1.0692924851929133E-3</v>
      </c>
      <c r="AE53" s="1">
        <v>9.5782720552811283E-4</v>
      </c>
      <c r="AF53" s="1">
        <v>1.107133997783345E-3</v>
      </c>
      <c r="AG53" s="1">
        <v>2.4276170346381728E-4</v>
      </c>
      <c r="AH53" s="1">
        <v>1.0287976678004724E-3</v>
      </c>
      <c r="AI53" s="1">
        <v>1.1050635056198842E-3</v>
      </c>
      <c r="AJ53" s="1">
        <v>4.3732113743415033E-4</v>
      </c>
      <c r="AK53" s="1">
        <v>7.20858597532851E-4</v>
      </c>
      <c r="AL53" s="1">
        <v>1.2617161013877809E-3</v>
      </c>
      <c r="AM53" s="1">
        <v>1.8993498772348885E-3</v>
      </c>
      <c r="AN53" s="1">
        <v>5.2226896543385091E-4</v>
      </c>
      <c r="AO53" s="1">
        <v>1.1358567721405837E-4</v>
      </c>
    </row>
    <row r="54" spans="1:41" ht="15">
      <c r="A54" s="19" t="s">
        <v>17</v>
      </c>
      <c r="B54" s="1">
        <v>1.5625584458189223E-3</v>
      </c>
      <c r="C54" s="1">
        <v>1.2146833371624584E-3</v>
      </c>
      <c r="D54" s="1">
        <v>4.8172862830021135E-3</v>
      </c>
      <c r="E54" s="1">
        <v>7.7261970119435258E-4</v>
      </c>
      <c r="F54" s="1">
        <v>1.7980350201614005E-3</v>
      </c>
      <c r="G54" s="1">
        <v>6.6119601068862746E-4</v>
      </c>
      <c r="H54" s="1">
        <v>2.793776096763768E-3</v>
      </c>
      <c r="I54" s="1">
        <v>4.4702436102343025E-4</v>
      </c>
      <c r="J54" s="1">
        <v>5.7225809692670892E-4</v>
      </c>
      <c r="K54" s="1">
        <v>1.673044990839954E-3</v>
      </c>
      <c r="L54" s="1">
        <v>9.2731429142204952E-4</v>
      </c>
      <c r="M54" s="1">
        <v>6.8985150023547078E-4</v>
      </c>
      <c r="N54" s="1">
        <v>9.9503867293434145E-4</v>
      </c>
      <c r="O54" s="1">
        <v>2.7318322581879935E-4</v>
      </c>
      <c r="P54" s="1">
        <v>1.1365561774740944E-3</v>
      </c>
      <c r="Q54" s="1">
        <v>2.3625933679072672E-3</v>
      </c>
      <c r="R54" s="1">
        <v>4.4119213524319715E-5</v>
      </c>
      <c r="S54" s="1">
        <v>1.6296812995658121E-3</v>
      </c>
      <c r="T54" s="1">
        <v>7.1650472725270301E-4</v>
      </c>
      <c r="U54" s="1">
        <v>2.6530723854065056E-3</v>
      </c>
      <c r="V54" s="1">
        <v>6.4249541398555209E-4</v>
      </c>
      <c r="W54" s="1">
        <v>1.2684794787924189E-4</v>
      </c>
      <c r="X54" s="1">
        <v>-1.0751549185746446E-4</v>
      </c>
      <c r="Y54" s="1">
        <v>1.1949452059709965E-3</v>
      </c>
      <c r="Z54" s="1">
        <v>-1.6732022842624774E-4</v>
      </c>
      <c r="AA54" s="1">
        <v>9.1607705235460606E-4</v>
      </c>
      <c r="AB54" s="1">
        <v>-1.9395525701897516E-4</v>
      </c>
      <c r="AC54" s="1">
        <v>-1.7404408819257421E-3</v>
      </c>
      <c r="AD54" s="1">
        <v>1.7985926569350725E-4</v>
      </c>
      <c r="AE54" s="1">
        <v>4.8554302026110097E-4</v>
      </c>
      <c r="AF54" s="1">
        <v>2.0633674026275455E-4</v>
      </c>
      <c r="AG54" s="1">
        <v>1.002954915746786E-4</v>
      </c>
      <c r="AH54" s="1">
        <v>1.6916879370378114E-3</v>
      </c>
      <c r="AI54" s="1">
        <v>-5.7773069253003553E-4</v>
      </c>
      <c r="AJ54" s="1">
        <v>4.533007022813719E-5</v>
      </c>
      <c r="AK54" s="1">
        <v>4.2715904218126524E-4</v>
      </c>
      <c r="AL54" s="1">
        <v>1.013099297831782E-3</v>
      </c>
      <c r="AM54" s="1">
        <v>1.8704780394653586E-3</v>
      </c>
      <c r="AN54" s="1">
        <v>-4.1974062406284582E-4</v>
      </c>
      <c r="AO54" s="1">
        <v>4.8946081349817509E-5</v>
      </c>
    </row>
    <row r="55" spans="1:41" ht="15">
      <c r="A55" s="19" t="s">
        <v>18</v>
      </c>
      <c r="B55" s="1">
        <v>6.4352155597142307E-4</v>
      </c>
      <c r="C55" s="1">
        <v>3.7716854680880157E-4</v>
      </c>
      <c r="D55" s="1">
        <v>7.7261970119435258E-4</v>
      </c>
      <c r="E55" s="1">
        <v>7.0123970050019789E-3</v>
      </c>
      <c r="F55" s="1">
        <v>1.497665759208228E-3</v>
      </c>
      <c r="G55" s="1">
        <v>5.5064623740258166E-4</v>
      </c>
      <c r="H55" s="1">
        <v>2.9679530887892461E-3</v>
      </c>
      <c r="I55" s="1">
        <v>5.2557611905244806E-4</v>
      </c>
      <c r="J55" s="1">
        <v>1.7158437786861274E-3</v>
      </c>
      <c r="K55" s="1">
        <v>2.9738429544432631E-3</v>
      </c>
      <c r="L55" s="1">
        <v>9.6384843693359673E-4</v>
      </c>
      <c r="M55" s="1">
        <v>2.0054388384966523E-3</v>
      </c>
      <c r="N55" s="1">
        <v>1.322354084992232E-3</v>
      </c>
      <c r="O55" s="1">
        <v>1.2843180715427966E-3</v>
      </c>
      <c r="P55" s="1">
        <v>1.6377533484883803E-3</v>
      </c>
      <c r="Q55" s="1">
        <v>-9.5780908487313717E-4</v>
      </c>
      <c r="R55" s="1">
        <v>2.6377626142499457E-3</v>
      </c>
      <c r="S55" s="1">
        <v>1.0612857922208737E-3</v>
      </c>
      <c r="T55" s="1">
        <v>1.5508029721417733E-3</v>
      </c>
      <c r="U55" s="1">
        <v>4.3655823428054279E-3</v>
      </c>
      <c r="V55" s="1">
        <v>9.6003573644335631E-4</v>
      </c>
      <c r="W55" s="1">
        <v>7.7926072780710347E-4</v>
      </c>
      <c r="X55" s="1">
        <v>1.9345094082140525E-3</v>
      </c>
      <c r="Y55" s="1">
        <v>3.6418011125500813E-3</v>
      </c>
      <c r="Z55" s="1">
        <v>5.8186327139360355E-5</v>
      </c>
      <c r="AA55" s="1">
        <v>1.6608048103045497E-3</v>
      </c>
      <c r="AB55" s="1">
        <v>1.9907059922330715E-3</v>
      </c>
      <c r="AC55" s="1">
        <v>3.1136723985708088E-3</v>
      </c>
      <c r="AD55" s="1">
        <v>-4.4017562724195868E-4</v>
      </c>
      <c r="AE55" s="1">
        <v>1.672050959649415E-4</v>
      </c>
      <c r="AF55" s="1">
        <v>3.4211749547841927E-5</v>
      </c>
      <c r="AG55" s="1">
        <v>4.769640493911404E-4</v>
      </c>
      <c r="AH55" s="1">
        <v>1.6557464065726783E-3</v>
      </c>
      <c r="AI55" s="1">
        <v>2.0492923255494015E-3</v>
      </c>
      <c r="AJ55" s="1">
        <v>3.6540647837184207E-3</v>
      </c>
      <c r="AK55" s="1">
        <v>1.2411142344615253E-3</v>
      </c>
      <c r="AL55" s="1">
        <v>2.420454120566861E-3</v>
      </c>
      <c r="AM55" s="1">
        <v>2.7367962630821165E-3</v>
      </c>
      <c r="AN55" s="1">
        <v>9.1411807406567179E-4</v>
      </c>
      <c r="AO55" s="1">
        <v>7.424420018240876E-4</v>
      </c>
    </row>
    <row r="56" spans="1:41" ht="15">
      <c r="A56" s="19" t="s">
        <v>20</v>
      </c>
      <c r="B56" s="1">
        <v>1.5828570029729385E-3</v>
      </c>
      <c r="C56" s="1">
        <v>1.9184466371017428E-3</v>
      </c>
      <c r="D56" s="1">
        <v>1.7980350201614005E-3</v>
      </c>
      <c r="E56" s="1">
        <v>1.497665759208228E-3</v>
      </c>
      <c r="F56" s="1">
        <v>4.2330519953896707E-3</v>
      </c>
      <c r="G56" s="1">
        <v>1.7084379771604198E-3</v>
      </c>
      <c r="H56" s="1">
        <v>2.3104755021554945E-3</v>
      </c>
      <c r="I56" s="1">
        <v>6.4522735425572096E-4</v>
      </c>
      <c r="J56" s="1">
        <v>1.8023526272787011E-3</v>
      </c>
      <c r="K56" s="1">
        <v>2.5090579752582963E-3</v>
      </c>
      <c r="L56" s="1">
        <v>1.1925003046703775E-3</v>
      </c>
      <c r="M56" s="1">
        <v>1.0082034616399544E-3</v>
      </c>
      <c r="N56" s="1">
        <v>1.043212955858822E-3</v>
      </c>
      <c r="O56" s="1">
        <v>1.180665833352329E-3</v>
      </c>
      <c r="P56" s="1">
        <v>9.5406640203959047E-4</v>
      </c>
      <c r="Q56" s="1">
        <v>2.4928844964524897E-3</v>
      </c>
      <c r="R56" s="1">
        <v>1.1320895057651099E-3</v>
      </c>
      <c r="S56" s="1">
        <v>1.0078394186236914E-3</v>
      </c>
      <c r="T56" s="1">
        <v>1.4952466142051136E-3</v>
      </c>
      <c r="U56" s="1">
        <v>4.6946294764214974E-3</v>
      </c>
      <c r="V56" s="1">
        <v>5.614338540334109E-4</v>
      </c>
      <c r="W56" s="1">
        <v>2.0511612157790083E-4</v>
      </c>
      <c r="X56" s="1">
        <v>4.5444664383112709E-4</v>
      </c>
      <c r="Y56" s="1">
        <v>5.5403032416753131E-4</v>
      </c>
      <c r="Z56" s="1">
        <v>5.3796102889733472E-4</v>
      </c>
      <c r="AA56" s="1">
        <v>1.3602416076236709E-3</v>
      </c>
      <c r="AB56" s="1">
        <v>1.0281696922739001E-3</v>
      </c>
      <c r="AC56" s="1">
        <v>-1.1539804856844421E-3</v>
      </c>
      <c r="AD56" s="1">
        <v>9.050396777896334E-4</v>
      </c>
      <c r="AE56" s="1">
        <v>7.6846808382958706E-4</v>
      </c>
      <c r="AF56" s="1">
        <v>9.9663151995039393E-4</v>
      </c>
      <c r="AG56" s="1">
        <v>1.2370175660560063E-3</v>
      </c>
      <c r="AH56" s="1">
        <v>2.4348239572372118E-3</v>
      </c>
      <c r="AI56" s="1">
        <v>1.925101268135861E-3</v>
      </c>
      <c r="AJ56" s="1">
        <v>2.6965063487649267E-3</v>
      </c>
      <c r="AK56" s="1">
        <v>1.3449598897855789E-3</v>
      </c>
      <c r="AL56" s="1">
        <v>1.7507654423845715E-3</v>
      </c>
      <c r="AM56" s="1">
        <v>2.7057491325352574E-3</v>
      </c>
      <c r="AN56" s="1">
        <v>6.3251913789167985E-4</v>
      </c>
      <c r="AO56" s="1">
        <v>1.8646384571778846E-4</v>
      </c>
    </row>
    <row r="57" spans="1:41" ht="15">
      <c r="A57" s="19" t="s">
        <v>22</v>
      </c>
      <c r="B57" s="1">
        <v>1.3923353719089695E-3</v>
      </c>
      <c r="C57" s="1">
        <v>1.1901475844933276E-3</v>
      </c>
      <c r="D57" s="1">
        <v>6.6119601068862746E-4</v>
      </c>
      <c r="E57" s="1">
        <v>5.5064623740258166E-4</v>
      </c>
      <c r="F57" s="1">
        <v>1.7084379771604198E-3</v>
      </c>
      <c r="G57" s="1">
        <v>3.2902881245795183E-3</v>
      </c>
      <c r="H57" s="1">
        <v>2.5525498839865024E-3</v>
      </c>
      <c r="I57" s="1">
        <v>1.9277444098534876E-3</v>
      </c>
      <c r="J57" s="1">
        <v>1.3046888396884883E-3</v>
      </c>
      <c r="K57" s="1">
        <v>1.3938012654634501E-3</v>
      </c>
      <c r="L57" s="1">
        <v>1.1966547761541951E-3</v>
      </c>
      <c r="M57" s="1">
        <v>9.3607888297945238E-4</v>
      </c>
      <c r="N57" s="1">
        <v>1.4273043768064453E-3</v>
      </c>
      <c r="O57" s="1">
        <v>1.217328186983072E-3</v>
      </c>
      <c r="P57" s="1">
        <v>4.9541336312515277E-4</v>
      </c>
      <c r="Q57" s="1">
        <v>2.2373301404637657E-3</v>
      </c>
      <c r="R57" s="1">
        <v>2.3324303357593113E-3</v>
      </c>
      <c r="S57" s="1">
        <v>2.9064451873160575E-5</v>
      </c>
      <c r="T57" s="1">
        <v>1.1015169126080055E-3</v>
      </c>
      <c r="U57" s="1">
        <v>3.6958136458078491E-3</v>
      </c>
      <c r="V57" s="1">
        <v>2.2154527205951549E-3</v>
      </c>
      <c r="W57" s="1">
        <v>2.009253419239502E-3</v>
      </c>
      <c r="X57" s="1">
        <v>2.3789020409062189E-4</v>
      </c>
      <c r="Y57" s="1">
        <v>1.3961640813926317E-3</v>
      </c>
      <c r="Z57" s="1">
        <v>1.0406561149092536E-3</v>
      </c>
      <c r="AA57" s="1">
        <v>8.5488492232431228E-4</v>
      </c>
      <c r="AB57" s="1">
        <v>1.2240982082109401E-3</v>
      </c>
      <c r="AC57" s="1">
        <v>7.8861790440682203E-4</v>
      </c>
      <c r="AD57" s="1">
        <v>6.7748919596592261E-4</v>
      </c>
      <c r="AE57" s="1">
        <v>1.3472950686054591E-3</v>
      </c>
      <c r="AF57" s="1">
        <v>1.072501317125406E-3</v>
      </c>
      <c r="AG57" s="1">
        <v>1.3692044249588482E-3</v>
      </c>
      <c r="AH57" s="1">
        <v>2.1509463505463549E-3</v>
      </c>
      <c r="AI57" s="1">
        <v>2.0084198516966082E-3</v>
      </c>
      <c r="AJ57" s="1">
        <v>1.1530138948654125E-3</v>
      </c>
      <c r="AK57" s="1">
        <v>6.0111672451033569E-4</v>
      </c>
      <c r="AL57" s="1">
        <v>1.0634715544763549E-3</v>
      </c>
      <c r="AM57" s="1">
        <v>2.3982526250466282E-3</v>
      </c>
      <c r="AN57" s="1">
        <v>1.2422259618738293E-3</v>
      </c>
      <c r="AO57" s="1">
        <v>1.2956815744458903E-3</v>
      </c>
    </row>
    <row r="58" spans="1:41" ht="15">
      <c r="A58" s="19" t="s">
        <v>23</v>
      </c>
      <c r="B58" s="1">
        <v>1.775245631961853E-3</v>
      </c>
      <c r="C58" s="1">
        <v>1.5164869137628532E-3</v>
      </c>
      <c r="D58" s="1">
        <v>2.793776096763768E-3</v>
      </c>
      <c r="E58" s="1">
        <v>2.9679530887892461E-3</v>
      </c>
      <c r="F58" s="1">
        <v>2.3104755021554945E-3</v>
      </c>
      <c r="G58" s="1">
        <v>2.5525498839865024E-3</v>
      </c>
      <c r="H58" s="1">
        <v>8.9640850068638377E-3</v>
      </c>
      <c r="I58" s="1">
        <v>2.3663487825982018E-3</v>
      </c>
      <c r="J58" s="1">
        <v>1.3180924575567545E-3</v>
      </c>
      <c r="K58" s="1">
        <v>2.0863283115904368E-3</v>
      </c>
      <c r="L58" s="1">
        <v>1.4748423388518963E-3</v>
      </c>
      <c r="M58" s="1">
        <v>1.9914585554261237E-3</v>
      </c>
      <c r="N58" s="1">
        <v>2.1681105855060278E-3</v>
      </c>
      <c r="O58" s="1">
        <v>1.6580364117078062E-3</v>
      </c>
      <c r="P58" s="1">
        <v>3.6877941700016919E-3</v>
      </c>
      <c r="Q58" s="1">
        <v>2.5021284304731894E-3</v>
      </c>
      <c r="R58" s="1">
        <v>2.5568182438940471E-3</v>
      </c>
      <c r="S58" s="1">
        <v>1.2706644221077866E-3</v>
      </c>
      <c r="T58" s="1">
        <v>2.293596337070776E-3</v>
      </c>
      <c r="U58" s="1">
        <v>4.4526889796337029E-3</v>
      </c>
      <c r="V58" s="1">
        <v>2.114537074304877E-3</v>
      </c>
      <c r="W58" s="1">
        <v>2.2615803232984419E-3</v>
      </c>
      <c r="X58" s="1">
        <v>1.4307738149782053E-3</v>
      </c>
      <c r="Y58" s="1">
        <v>4.0730030057022559E-3</v>
      </c>
      <c r="Z58" s="1">
        <v>4.0876146592573583E-5</v>
      </c>
      <c r="AA58" s="1">
        <v>1.9921279906585762E-3</v>
      </c>
      <c r="AB58" s="1">
        <v>1.51855085400096E-3</v>
      </c>
      <c r="AC58" s="1">
        <v>3.6611813229084914E-4</v>
      </c>
      <c r="AD58" s="1">
        <v>8.3146887406036153E-5</v>
      </c>
      <c r="AE58" s="1">
        <v>1.0971940594041798E-3</v>
      </c>
      <c r="AF58" s="1">
        <v>5.4040585284522791E-4</v>
      </c>
      <c r="AG58" s="1">
        <v>1.4369054426761666E-3</v>
      </c>
      <c r="AH58" s="1">
        <v>1.2700384392090494E-3</v>
      </c>
      <c r="AI58" s="1">
        <v>7.6823645710396692E-4</v>
      </c>
      <c r="AJ58" s="1">
        <v>3.6757153383900399E-3</v>
      </c>
      <c r="AK58" s="1">
        <v>8.2184689739047832E-4</v>
      </c>
      <c r="AL58" s="1">
        <v>2.2739603680219981E-3</v>
      </c>
      <c r="AM58" s="1">
        <v>1.1534979334236351E-3</v>
      </c>
      <c r="AN58" s="1">
        <v>1.4090316659352781E-3</v>
      </c>
      <c r="AO58" s="1">
        <v>1.7344635285310272E-3</v>
      </c>
    </row>
    <row r="59" spans="1:41" ht="15">
      <c r="A59" s="19" t="s">
        <v>24</v>
      </c>
      <c r="B59" s="1">
        <v>8.5272565906883361E-4</v>
      </c>
      <c r="C59" s="1">
        <v>5.6512324003727364E-4</v>
      </c>
      <c r="D59" s="1">
        <v>4.4702436102343025E-4</v>
      </c>
      <c r="E59" s="1">
        <v>5.2557611905244806E-4</v>
      </c>
      <c r="F59" s="1">
        <v>6.4522735425572096E-4</v>
      </c>
      <c r="G59" s="1">
        <v>1.9277444098534876E-3</v>
      </c>
      <c r="H59" s="1">
        <v>2.3663487825982018E-3</v>
      </c>
      <c r="I59" s="1">
        <v>5.4733530102919169E-3</v>
      </c>
      <c r="J59" s="1">
        <v>1.2876500900791503E-3</v>
      </c>
      <c r="K59" s="1">
        <v>3.71442806597647E-4</v>
      </c>
      <c r="L59" s="1">
        <v>2.9000300296126653E-4</v>
      </c>
      <c r="M59" s="1">
        <v>1.8613727142550278E-3</v>
      </c>
      <c r="N59" s="1">
        <v>1.5465954476613706E-3</v>
      </c>
      <c r="O59" s="1">
        <v>1.5476019032399221E-3</v>
      </c>
      <c r="P59" s="1">
        <v>1.868432709292656E-3</v>
      </c>
      <c r="Q59" s="1">
        <v>7.2629803138317926E-4</v>
      </c>
      <c r="R59" s="1">
        <v>3.1790152859123254E-3</v>
      </c>
      <c r="S59" s="1">
        <v>-5.6396247322141485E-4</v>
      </c>
      <c r="T59" s="1">
        <v>1.0250713466552106E-3</v>
      </c>
      <c r="U59" s="1">
        <v>6.3506528131000127E-3</v>
      </c>
      <c r="V59" s="1">
        <v>2.340741263208687E-3</v>
      </c>
      <c r="W59" s="1">
        <v>2.2880521335642851E-3</v>
      </c>
      <c r="X59" s="1">
        <v>2.0014508292090726E-3</v>
      </c>
      <c r="Y59" s="1">
        <v>2.2212219263990415E-3</v>
      </c>
      <c r="Z59" s="1">
        <v>6.0256064447154767E-4</v>
      </c>
      <c r="AA59" s="1">
        <v>1.6868045564561326E-3</v>
      </c>
      <c r="AB59" s="1">
        <v>1.4895665475978632E-3</v>
      </c>
      <c r="AC59" s="1">
        <v>1.6676710020915332E-3</v>
      </c>
      <c r="AD59" s="1">
        <v>3.1956734607411716E-4</v>
      </c>
      <c r="AE59" s="1">
        <v>1.7178599878081577E-3</v>
      </c>
      <c r="AF59" s="1">
        <v>1.3522990663177514E-3</v>
      </c>
      <c r="AG59" s="1">
        <v>2.2250951166241347E-3</v>
      </c>
      <c r="AH59" s="1">
        <v>1.9500946117015361E-3</v>
      </c>
      <c r="AI59" s="1">
        <v>2.1272741221085851E-3</v>
      </c>
      <c r="AJ59" s="1">
        <v>1.4303633407626716E-3</v>
      </c>
      <c r="AK59" s="1">
        <v>6.9743991367846026E-4</v>
      </c>
      <c r="AL59" s="1">
        <v>1.313238359005023E-3</v>
      </c>
      <c r="AM59" s="1">
        <v>1.2190398764411266E-3</v>
      </c>
      <c r="AN59" s="1">
        <v>2.6865436009399345E-3</v>
      </c>
      <c r="AO59" s="1">
        <v>1.0470984970288671E-3</v>
      </c>
    </row>
    <row r="60" spans="1:41" ht="15">
      <c r="A60" s="19" t="s">
        <v>29</v>
      </c>
      <c r="B60" s="1">
        <v>1.4087415708384523E-3</v>
      </c>
      <c r="C60" s="1">
        <v>9.4237291873927424E-4</v>
      </c>
      <c r="D60" s="1">
        <v>5.7225809692670892E-4</v>
      </c>
      <c r="E60" s="1">
        <v>1.7158437786861274E-3</v>
      </c>
      <c r="F60" s="1">
        <v>1.8023526272787011E-3</v>
      </c>
      <c r="G60" s="1">
        <v>1.3046888396884883E-3</v>
      </c>
      <c r="H60" s="1">
        <v>1.3180924575567545E-3</v>
      </c>
      <c r="I60" s="1">
        <v>1.2876500900791503E-3</v>
      </c>
      <c r="J60" s="1">
        <v>3.6042788399399993E-3</v>
      </c>
      <c r="K60" s="1">
        <v>2.6848337524188509E-3</v>
      </c>
      <c r="L60" s="1">
        <v>8.9439016621896135E-4</v>
      </c>
      <c r="M60" s="1">
        <v>3.2826319795215903E-4</v>
      </c>
      <c r="N60" s="1">
        <v>9.8373832127290482E-4</v>
      </c>
      <c r="O60" s="1">
        <v>1.3483710295870103E-3</v>
      </c>
      <c r="P60" s="1">
        <v>1.4598675923733382E-3</v>
      </c>
      <c r="Q60" s="1">
        <v>1.0635799413278057E-3</v>
      </c>
      <c r="R60" s="1">
        <v>1.3371220302362096E-3</v>
      </c>
      <c r="S60" s="1">
        <v>6.0526979729970886E-4</v>
      </c>
      <c r="T60" s="1">
        <v>1.1620765519169559E-3</v>
      </c>
      <c r="U60" s="1">
        <v>3.7150611752850451E-3</v>
      </c>
      <c r="V60" s="1">
        <v>1.1845947234839229E-3</v>
      </c>
      <c r="W60" s="1">
        <v>8.7724252641293893E-4</v>
      </c>
      <c r="X60" s="1">
        <v>1.3038472704882617E-3</v>
      </c>
      <c r="Y60" s="1">
        <v>3.4132518900143149E-4</v>
      </c>
      <c r="Z60" s="1">
        <v>9.1939373339288322E-4</v>
      </c>
      <c r="AA60" s="1">
        <v>1.0131267201258574E-3</v>
      </c>
      <c r="AB60" s="1">
        <v>1.7148370696927521E-3</v>
      </c>
      <c r="AC60" s="1">
        <v>1.8970641414084314E-3</v>
      </c>
      <c r="AD60" s="1">
        <v>5.3182628113373771E-4</v>
      </c>
      <c r="AE60" s="1">
        <v>1.193196820326997E-3</v>
      </c>
      <c r="AF60" s="1">
        <v>6.9210328530892634E-4</v>
      </c>
      <c r="AG60" s="1">
        <v>3.0558850954461787E-3</v>
      </c>
      <c r="AH60" s="1">
        <v>1.8778542812219353E-3</v>
      </c>
      <c r="AI60" s="1">
        <v>2.5014071827525789E-3</v>
      </c>
      <c r="AJ60" s="1">
        <v>2.7832508229990345E-3</v>
      </c>
      <c r="AK60" s="1">
        <v>1.958890526277797E-3</v>
      </c>
      <c r="AL60" s="1">
        <v>1.863362213677076E-3</v>
      </c>
      <c r="AM60" s="1">
        <v>2.4103508752523419E-3</v>
      </c>
      <c r="AN60" s="1">
        <v>1.6870664501660935E-3</v>
      </c>
      <c r="AO60" s="1">
        <v>8.2775538598598634E-4</v>
      </c>
    </row>
    <row r="61" spans="1:41" ht="15">
      <c r="A61" s="19" t="s">
        <v>30</v>
      </c>
      <c r="B61" s="1">
        <v>1.3986376931731234E-3</v>
      </c>
      <c r="C61" s="1">
        <v>1.8686758111190803E-3</v>
      </c>
      <c r="D61" s="1">
        <v>1.673044990839954E-3</v>
      </c>
      <c r="E61" s="1">
        <v>2.9738429544432631E-3</v>
      </c>
      <c r="F61" s="1">
        <v>2.5090579752582963E-3</v>
      </c>
      <c r="G61" s="1">
        <v>1.3938012654634501E-3</v>
      </c>
      <c r="H61" s="1">
        <v>2.0863283115904368E-3</v>
      </c>
      <c r="I61" s="1">
        <v>3.71442806597647E-4</v>
      </c>
      <c r="J61" s="1">
        <v>2.6848337524188509E-3</v>
      </c>
      <c r="K61" s="1">
        <v>6.4475301889323567E-3</v>
      </c>
      <c r="L61" s="1">
        <v>1.0382864368205899E-3</v>
      </c>
      <c r="M61" s="1">
        <v>6.1867388350402366E-4</v>
      </c>
      <c r="N61" s="1">
        <v>8.7604730707230229E-4</v>
      </c>
      <c r="O61" s="1">
        <v>1.0044616734829956E-3</v>
      </c>
      <c r="P61" s="1">
        <v>2.2048548113249669E-3</v>
      </c>
      <c r="Q61" s="1">
        <v>3.6105492943225761E-3</v>
      </c>
      <c r="R61" s="1">
        <v>7.9266867277724858E-4</v>
      </c>
      <c r="S61" s="1">
        <v>3.6729277153288534E-4</v>
      </c>
      <c r="T61" s="1">
        <v>8.4758957983275336E-4</v>
      </c>
      <c r="U61" s="1">
        <v>5.3198037337852666E-3</v>
      </c>
      <c r="V61" s="1">
        <v>6.3836884071539481E-4</v>
      </c>
      <c r="W61" s="1">
        <v>-1.8141943508940287E-4</v>
      </c>
      <c r="X61" s="1">
        <v>1.3559786544268381E-3</v>
      </c>
      <c r="Y61" s="1">
        <v>-4.5130220523616611E-4</v>
      </c>
      <c r="Z61" s="1">
        <v>6.9273079687862495E-4</v>
      </c>
      <c r="AA61" s="1">
        <v>1.5534540027687697E-3</v>
      </c>
      <c r="AB61" s="1">
        <v>1.5578354493865378E-3</v>
      </c>
      <c r="AC61" s="1">
        <v>1.5319224785109501E-3</v>
      </c>
      <c r="AD61" s="1">
        <v>6.9843379561893612E-4</v>
      </c>
      <c r="AE61" s="1">
        <v>5.1783557531890115E-4</v>
      </c>
      <c r="AF61" s="1">
        <v>1.0136276633100172E-3</v>
      </c>
      <c r="AG61" s="1">
        <v>2.6626827274310173E-3</v>
      </c>
      <c r="AH61" s="1">
        <v>3.764631946025351E-3</v>
      </c>
      <c r="AI61" s="1">
        <v>2.3774982817917397E-3</v>
      </c>
      <c r="AJ61" s="1">
        <v>4.6349601181550236E-3</v>
      </c>
      <c r="AK61" s="1">
        <v>2.7264710098820525E-3</v>
      </c>
      <c r="AL61" s="1">
        <v>2.5014030351887965E-3</v>
      </c>
      <c r="AM61" s="1">
        <v>1.8455375564456885E-3</v>
      </c>
      <c r="AN61" s="1">
        <v>7.5413946571007296E-4</v>
      </c>
      <c r="AO61" s="1">
        <v>2.2203164818035744E-3</v>
      </c>
    </row>
    <row r="62" spans="1:41" ht="15">
      <c r="A62" s="19" t="s">
        <v>32</v>
      </c>
      <c r="B62" s="1">
        <v>5.8613313628618413E-4</v>
      </c>
      <c r="C62" s="1">
        <v>6.3968021380549393E-4</v>
      </c>
      <c r="D62" s="1">
        <v>9.2731429142204952E-4</v>
      </c>
      <c r="E62" s="1">
        <v>9.6384843693359673E-4</v>
      </c>
      <c r="F62" s="1">
        <v>1.1925003046703775E-3</v>
      </c>
      <c r="G62" s="1">
        <v>1.1966547761541951E-3</v>
      </c>
      <c r="H62" s="1">
        <v>1.4748423388518963E-3</v>
      </c>
      <c r="I62" s="1">
        <v>2.9000300296126653E-4</v>
      </c>
      <c r="J62" s="1">
        <v>8.9439016621896135E-4</v>
      </c>
      <c r="K62" s="1">
        <v>1.0382864368205899E-3</v>
      </c>
      <c r="L62" s="1">
        <v>8.9553439124222343E-3</v>
      </c>
      <c r="M62" s="1">
        <v>9.1321754519306888E-4</v>
      </c>
      <c r="N62" s="1">
        <v>3.7012084375855498E-4</v>
      </c>
      <c r="O62" s="1">
        <v>4.1601726471400606E-4</v>
      </c>
      <c r="P62" s="1">
        <v>2.085838982637968E-3</v>
      </c>
      <c r="Q62" s="1">
        <v>1.1346959916566921E-3</v>
      </c>
      <c r="R62" s="1">
        <v>4.0978637396861086E-3</v>
      </c>
      <c r="S62" s="1">
        <v>-8.9076908211305835E-4</v>
      </c>
      <c r="T62" s="1">
        <v>2.9854720838140976E-4</v>
      </c>
      <c r="U62" s="1">
        <v>4.0643875920952236E-3</v>
      </c>
      <c r="V62" s="1">
        <v>2.1116445768947639E-3</v>
      </c>
      <c r="W62" s="1">
        <v>1.1123199641463993E-3</v>
      </c>
      <c r="X62" s="1">
        <v>-3.9296808530925526E-4</v>
      </c>
      <c r="Y62" s="1">
        <v>3.1709065860982513E-3</v>
      </c>
      <c r="Z62" s="1">
        <v>-1.1655275554853795E-3</v>
      </c>
      <c r="AA62" s="1">
        <v>7.0335071211078076E-4</v>
      </c>
      <c r="AB62" s="1">
        <v>3.1428087887544688E-3</v>
      </c>
      <c r="AC62" s="1">
        <v>-1.4872550975322258E-3</v>
      </c>
      <c r="AD62" s="1">
        <v>3.1120224221526375E-4</v>
      </c>
      <c r="AE62" s="1">
        <v>1.3926053043520641E-3</v>
      </c>
      <c r="AF62" s="1">
        <v>1.7417121285220194E-4</v>
      </c>
      <c r="AG62" s="1">
        <v>6.4809045513709862E-4</v>
      </c>
      <c r="AH62" s="1">
        <v>1.7852270654966443E-3</v>
      </c>
      <c r="AI62" s="1">
        <v>7.1930201000000918E-4</v>
      </c>
      <c r="AJ62" s="1">
        <v>-8.1464034783007154E-4</v>
      </c>
      <c r="AK62" s="1">
        <v>-3.1194526596845445E-4</v>
      </c>
      <c r="AL62" s="1">
        <v>-4.7806633594719788E-4</v>
      </c>
      <c r="AM62" s="1">
        <v>8.4065656783524482E-4</v>
      </c>
      <c r="AN62" s="1">
        <v>1.0663592805973815E-3</v>
      </c>
      <c r="AO62" s="1">
        <v>-2.086691673850899E-3</v>
      </c>
    </row>
    <row r="63" spans="1:41" ht="15">
      <c r="A63" s="19" t="s">
        <v>41</v>
      </c>
      <c r="B63" s="1">
        <v>4.7600815293684349E-5</v>
      </c>
      <c r="C63" s="1">
        <v>6.2399299472693296E-4</v>
      </c>
      <c r="D63" s="1">
        <v>6.8985150023547078E-4</v>
      </c>
      <c r="E63" s="1">
        <v>2.0054388384966523E-3</v>
      </c>
      <c r="F63" s="1">
        <v>1.0082034616399544E-3</v>
      </c>
      <c r="G63" s="1">
        <v>9.3607888297945238E-4</v>
      </c>
      <c r="H63" s="1">
        <v>1.9914585554261237E-3</v>
      </c>
      <c r="I63" s="1">
        <v>1.8613727142550278E-3</v>
      </c>
      <c r="J63" s="1">
        <v>3.2826319795215903E-4</v>
      </c>
      <c r="K63" s="1">
        <v>6.1867388350402366E-4</v>
      </c>
      <c r="L63" s="1">
        <v>9.1321754519306888E-4</v>
      </c>
      <c r="M63" s="1">
        <v>4.8319003739602934E-3</v>
      </c>
      <c r="N63" s="1">
        <v>1.073941878439041E-3</v>
      </c>
      <c r="O63" s="1">
        <v>2.6210371453965777E-4</v>
      </c>
      <c r="P63" s="1">
        <v>9.8403640463026938E-4</v>
      </c>
      <c r="Q63" s="1">
        <v>-1.5214070596813079E-3</v>
      </c>
      <c r="R63" s="1">
        <v>1.5958600168658069E-3</v>
      </c>
      <c r="S63" s="1">
        <v>-4.0367406802052907E-4</v>
      </c>
      <c r="T63" s="1">
        <v>6.401139146061381E-4</v>
      </c>
      <c r="U63" s="1">
        <v>2.6088458045469671E-3</v>
      </c>
      <c r="V63" s="1">
        <v>7.058812328004483E-4</v>
      </c>
      <c r="W63" s="1">
        <v>8.1611507688215392E-4</v>
      </c>
      <c r="X63" s="1">
        <v>6.0731491633987479E-5</v>
      </c>
      <c r="Y63" s="1">
        <v>1.2883333920388658E-3</v>
      </c>
      <c r="Z63" s="1">
        <v>-5.762497659243778E-5</v>
      </c>
      <c r="AA63" s="1">
        <v>8.1187390636065641E-4</v>
      </c>
      <c r="AB63" s="1">
        <v>2.3957445598856141E-4</v>
      </c>
      <c r="AC63" s="1">
        <v>-1.2100072414244645E-3</v>
      </c>
      <c r="AD63" s="1">
        <v>2.6048940445147885E-4</v>
      </c>
      <c r="AE63" s="1">
        <v>-1.1855671378601633E-4</v>
      </c>
      <c r="AF63" s="1">
        <v>5.6650288984179224E-4</v>
      </c>
      <c r="AG63" s="1">
        <v>-4.2408940386868535E-4</v>
      </c>
      <c r="AH63" s="1">
        <v>6.4192682360627955E-4</v>
      </c>
      <c r="AI63" s="1">
        <v>2.6837799808549504E-4</v>
      </c>
      <c r="AJ63" s="1">
        <v>-1.9289662248330147E-4</v>
      </c>
      <c r="AK63" s="1">
        <v>1.3385211762632429E-4</v>
      </c>
      <c r="AL63" s="1">
        <v>4.5410492392380442E-4</v>
      </c>
      <c r="AM63" s="1">
        <v>7.679908050798593E-4</v>
      </c>
      <c r="AN63" s="1">
        <v>4.2871806813742915E-4</v>
      </c>
      <c r="AO63" s="1">
        <v>3.9293881165199717E-5</v>
      </c>
    </row>
    <row r="64" spans="1:41" ht="15">
      <c r="A64" s="19" t="s">
        <v>43</v>
      </c>
      <c r="B64" s="1">
        <v>1.2592392930008385E-3</v>
      </c>
      <c r="C64" s="1">
        <v>4.6861144437727859E-4</v>
      </c>
      <c r="D64" s="1">
        <v>9.9503867293434145E-4</v>
      </c>
      <c r="E64" s="1">
        <v>1.322354084992232E-3</v>
      </c>
      <c r="F64" s="1">
        <v>1.043212955858822E-3</v>
      </c>
      <c r="G64" s="1">
        <v>1.4273043768064453E-3</v>
      </c>
      <c r="H64" s="1">
        <v>2.1681105855060278E-3</v>
      </c>
      <c r="I64" s="1">
        <v>1.5465954476613706E-3</v>
      </c>
      <c r="J64" s="1">
        <v>9.8373832127290482E-4</v>
      </c>
      <c r="K64" s="1">
        <v>8.7604730707230229E-4</v>
      </c>
      <c r="L64" s="1">
        <v>3.7012084375855498E-4</v>
      </c>
      <c r="M64" s="1">
        <v>1.073941878439041E-3</v>
      </c>
      <c r="N64" s="1">
        <v>2.3098277956324635E-3</v>
      </c>
      <c r="O64" s="1">
        <v>1.3142165334546682E-3</v>
      </c>
      <c r="P64" s="1">
        <v>2.1669549187329946E-3</v>
      </c>
      <c r="Q64" s="1">
        <v>1.5440169828801551E-3</v>
      </c>
      <c r="R64" s="1">
        <v>3.3018939733964301E-3</v>
      </c>
      <c r="S64" s="1">
        <v>1.4155917997552788E-3</v>
      </c>
      <c r="T64" s="1">
        <v>1.6795707034900009E-3</v>
      </c>
      <c r="U64" s="1">
        <v>3.2417805772651251E-3</v>
      </c>
      <c r="V64" s="1">
        <v>1.2198572154884749E-3</v>
      </c>
      <c r="W64" s="1">
        <v>2.1326422337546377E-3</v>
      </c>
      <c r="X64" s="1">
        <v>1.7618594049873951E-3</v>
      </c>
      <c r="Y64" s="1">
        <v>2.3400884702639317E-3</v>
      </c>
      <c r="Z64" s="1">
        <v>9.0088109083003509E-4</v>
      </c>
      <c r="AA64" s="1">
        <v>1.2758990979610647E-3</v>
      </c>
      <c r="AB64" s="1">
        <v>5.7130792069765447E-4</v>
      </c>
      <c r="AC64" s="1">
        <v>1.0920711435637596E-3</v>
      </c>
      <c r="AD64" s="1">
        <v>3.9716440992778999E-4</v>
      </c>
      <c r="AE64" s="1">
        <v>1.151765181270634E-3</v>
      </c>
      <c r="AF64" s="1">
        <v>5.5506495671961355E-4</v>
      </c>
      <c r="AG64" s="1">
        <v>1.2768855711028455E-3</v>
      </c>
      <c r="AH64" s="1">
        <v>1.2518819363462766E-3</v>
      </c>
      <c r="AI64" s="1">
        <v>1.842434817596752E-3</v>
      </c>
      <c r="AJ64" s="1">
        <v>1.647347807089397E-3</v>
      </c>
      <c r="AK64" s="1">
        <v>8.0768296880582549E-4</v>
      </c>
      <c r="AL64" s="1">
        <v>1.346705119460387E-3</v>
      </c>
      <c r="AM64" s="1">
        <v>3.3551908835623605E-3</v>
      </c>
      <c r="AN64" s="1">
        <v>1.5309391747402555E-3</v>
      </c>
      <c r="AO64" s="1">
        <v>8.4115848076006159E-4</v>
      </c>
    </row>
    <row r="65" spans="1:41" ht="15">
      <c r="A65" s="19" t="s">
        <v>45</v>
      </c>
      <c r="B65" s="1">
        <v>1.4286098549646481E-3</v>
      </c>
      <c r="C65" s="1">
        <v>5.1272779205103482E-4</v>
      </c>
      <c r="D65" s="1">
        <v>2.7318322581879935E-4</v>
      </c>
      <c r="E65" s="1">
        <v>1.2843180715427966E-3</v>
      </c>
      <c r="F65" s="1">
        <v>1.180665833352329E-3</v>
      </c>
      <c r="G65" s="1">
        <v>1.217328186983072E-3</v>
      </c>
      <c r="H65" s="1">
        <v>1.6580364117078062E-3</v>
      </c>
      <c r="I65" s="1">
        <v>1.5476019032399221E-3</v>
      </c>
      <c r="J65" s="1">
        <v>1.3483710295870103E-3</v>
      </c>
      <c r="K65" s="1">
        <v>1.0044616734829956E-3</v>
      </c>
      <c r="L65" s="1">
        <v>4.1601726471400606E-4</v>
      </c>
      <c r="M65" s="1">
        <v>2.6210371453965777E-4</v>
      </c>
      <c r="N65" s="1">
        <v>1.3142165334546682E-3</v>
      </c>
      <c r="O65" s="1">
        <v>3.1210866711348173E-3</v>
      </c>
      <c r="P65" s="1">
        <v>2.4575549730021335E-3</v>
      </c>
      <c r="Q65" s="1">
        <v>1.7187329148835393E-3</v>
      </c>
      <c r="R65" s="1">
        <v>2.4365954692320058E-3</v>
      </c>
      <c r="S65" s="1">
        <v>9.4436516206840672E-4</v>
      </c>
      <c r="T65" s="1">
        <v>1.900474620205125E-3</v>
      </c>
      <c r="U65" s="1">
        <v>3.0078222275578834E-3</v>
      </c>
      <c r="V65" s="1">
        <v>1.5114868202443304E-3</v>
      </c>
      <c r="W65" s="1">
        <v>1.573633239849053E-3</v>
      </c>
      <c r="X65" s="1">
        <v>1.9807778208411663E-3</v>
      </c>
      <c r="Y65" s="1">
        <v>9.5938893998320709E-4</v>
      </c>
      <c r="Z65" s="1">
        <v>9.0905412578176322E-4</v>
      </c>
      <c r="AA65" s="1">
        <v>1.7106985883944522E-3</v>
      </c>
      <c r="AB65" s="1">
        <v>1.0534526895837554E-3</v>
      </c>
      <c r="AC65" s="1">
        <v>2.5759342066360223E-3</v>
      </c>
      <c r="AD65" s="1">
        <v>5.6820125276625297E-4</v>
      </c>
      <c r="AE65" s="1">
        <v>2.0550809974443892E-3</v>
      </c>
      <c r="AF65" s="1">
        <v>5.0193454227598128E-4</v>
      </c>
      <c r="AG65" s="1">
        <v>1.802712398850458E-3</v>
      </c>
      <c r="AH65" s="1">
        <v>1.3826957092114382E-3</v>
      </c>
      <c r="AI65" s="1">
        <v>2.4889317987475553E-3</v>
      </c>
      <c r="AJ65" s="1">
        <v>2.5457662641125093E-3</v>
      </c>
      <c r="AK65" s="1">
        <v>1.696301088236144E-3</v>
      </c>
      <c r="AL65" s="1">
        <v>1.1673453397809052E-3</v>
      </c>
      <c r="AM65" s="1">
        <v>1.3233270548635675E-3</v>
      </c>
      <c r="AN65" s="1">
        <v>1.9793650903887896E-3</v>
      </c>
      <c r="AO65" s="1">
        <v>6.582177547439029E-4</v>
      </c>
    </row>
    <row r="66" spans="1:41" ht="15">
      <c r="A66" s="19" t="s">
        <v>47</v>
      </c>
      <c r="B66" s="1">
        <v>1.5245843908652625E-3</v>
      </c>
      <c r="C66" s="1">
        <v>5.8899977861207747E-4</v>
      </c>
      <c r="D66" s="1">
        <v>1.1365561774740944E-3</v>
      </c>
      <c r="E66" s="1">
        <v>1.6377533484883803E-3</v>
      </c>
      <c r="F66" s="1">
        <v>9.5406640203959047E-4</v>
      </c>
      <c r="G66" s="1">
        <v>4.9541336312515277E-4</v>
      </c>
      <c r="H66" s="1">
        <v>3.6877941700016919E-3</v>
      </c>
      <c r="I66" s="1">
        <v>1.868432709292656E-3</v>
      </c>
      <c r="J66" s="1">
        <v>1.4598675923733382E-3</v>
      </c>
      <c r="K66" s="1">
        <v>2.2048548113249669E-3</v>
      </c>
      <c r="L66" s="1">
        <v>2.085838982637968E-3</v>
      </c>
      <c r="M66" s="1">
        <v>9.8403640463026938E-4</v>
      </c>
      <c r="N66" s="1">
        <v>2.1669549187329946E-3</v>
      </c>
      <c r="O66" s="1">
        <v>2.4575549730021335E-3</v>
      </c>
      <c r="P66" s="1">
        <v>9.3667336771177234E-3</v>
      </c>
      <c r="Q66" s="1">
        <v>3.298962116472084E-3</v>
      </c>
      <c r="R66" s="1">
        <v>4.7379185861798016E-3</v>
      </c>
      <c r="S66" s="1">
        <v>2.2358921092035218E-3</v>
      </c>
      <c r="T66" s="1">
        <v>3.1963143223926868E-3</v>
      </c>
      <c r="U66" s="1">
        <v>4.6843786218259999E-3</v>
      </c>
      <c r="V66" s="1">
        <v>1.7923049337166738E-3</v>
      </c>
      <c r="W66" s="1">
        <v>3.1915068814284552E-3</v>
      </c>
      <c r="X66" s="1">
        <v>3.1207494547511689E-3</v>
      </c>
      <c r="Y66" s="1">
        <v>3.3963986715389903E-3</v>
      </c>
      <c r="Z66" s="1">
        <v>1.9818012125073293E-4</v>
      </c>
      <c r="AA66" s="1">
        <v>2.8533795362528053E-3</v>
      </c>
      <c r="AB66" s="1">
        <v>1.4594530541089318E-3</v>
      </c>
      <c r="AC66" s="1">
        <v>2.7980887239197456E-3</v>
      </c>
      <c r="AD66" s="1">
        <v>2.6725585432006959E-4</v>
      </c>
      <c r="AE66" s="1">
        <v>2.0751493816276415E-3</v>
      </c>
      <c r="AF66" s="1">
        <v>4.8460349371267318E-4</v>
      </c>
      <c r="AG66" s="1">
        <v>1.7486394351864107E-3</v>
      </c>
      <c r="AH66" s="1">
        <v>-7.243436796641737E-4</v>
      </c>
      <c r="AI66" s="1">
        <v>1.776967938833268E-3</v>
      </c>
      <c r="AJ66" s="1">
        <v>3.3058178027841893E-3</v>
      </c>
      <c r="AK66" s="1">
        <v>3.0332083480278907E-3</v>
      </c>
      <c r="AL66" s="1">
        <v>1.3254085133657606E-3</v>
      </c>
      <c r="AM66" s="1">
        <v>1.5040066938497524E-3</v>
      </c>
      <c r="AN66" s="1">
        <v>2.2079718666711125E-3</v>
      </c>
      <c r="AO66" s="1">
        <v>1.8776870103898668E-3</v>
      </c>
    </row>
    <row r="67" spans="1:41" ht="15">
      <c r="A67" s="19" t="s">
        <v>50</v>
      </c>
      <c r="B67" s="1">
        <v>2.863916255584369E-3</v>
      </c>
      <c r="C67" s="1">
        <v>1.8937206684122244E-3</v>
      </c>
      <c r="D67" s="1">
        <v>2.3625933679072672E-3</v>
      </c>
      <c r="E67" s="1">
        <v>-9.5780908487313717E-4</v>
      </c>
      <c r="F67" s="1">
        <v>2.4928844964524897E-3</v>
      </c>
      <c r="G67" s="1">
        <v>2.2373301404637657E-3</v>
      </c>
      <c r="H67" s="1">
        <v>2.5021284304731894E-3</v>
      </c>
      <c r="I67" s="1">
        <v>7.2629803138317926E-4</v>
      </c>
      <c r="J67" s="1">
        <v>1.0635799413278057E-3</v>
      </c>
      <c r="K67" s="1">
        <v>3.6105492943225761E-3</v>
      </c>
      <c r="L67" s="1">
        <v>1.1346959916566921E-3</v>
      </c>
      <c r="M67" s="1">
        <v>-1.5214070596813079E-3</v>
      </c>
      <c r="N67" s="1">
        <v>1.5440169828801551E-3</v>
      </c>
      <c r="O67" s="1">
        <v>1.7187329148835393E-3</v>
      </c>
      <c r="P67" s="1">
        <v>3.298962116472084E-3</v>
      </c>
      <c r="Q67" s="1">
        <v>1.792080605705024E-2</v>
      </c>
      <c r="R67" s="1">
        <v>1.5106848357994702E-3</v>
      </c>
      <c r="S67" s="1">
        <v>2.0710590771528424E-3</v>
      </c>
      <c r="T67" s="1">
        <v>1.4691454831836722E-3</v>
      </c>
      <c r="U67" s="1">
        <v>3.0640867516736488E-3</v>
      </c>
      <c r="V67" s="1">
        <v>1.2093479542866965E-4</v>
      </c>
      <c r="W67" s="1">
        <v>7.0802442776021941E-4</v>
      </c>
      <c r="X67" s="1">
        <v>-1.2164242694314542E-3</v>
      </c>
      <c r="Y67" s="1">
        <v>-4.1189695416173813E-3</v>
      </c>
      <c r="Z67" s="1">
        <v>4.7257939066340401E-4</v>
      </c>
      <c r="AA67" s="1">
        <v>8.665817127874179E-4</v>
      </c>
      <c r="AB67" s="1">
        <v>-1.0740273972206242E-3</v>
      </c>
      <c r="AC67" s="1">
        <v>-3.1056674571681921E-3</v>
      </c>
      <c r="AD67" s="1">
        <v>1.1720907534114998E-3</v>
      </c>
      <c r="AE67" s="1">
        <v>9.9684815206287536E-4</v>
      </c>
      <c r="AF67" s="1">
        <v>1.2482809378441446E-3</v>
      </c>
      <c r="AG67" s="1">
        <v>2.7993337446486403E-3</v>
      </c>
      <c r="AH67" s="1">
        <v>5.262562110619054E-3</v>
      </c>
      <c r="AI67" s="1">
        <v>1.5208872734094226E-3</v>
      </c>
      <c r="AJ67" s="1">
        <v>8.2906017833246322E-4</v>
      </c>
      <c r="AK67" s="1">
        <v>1.7033674587029254E-3</v>
      </c>
      <c r="AL67" s="1">
        <v>6.0558116167757134E-5</v>
      </c>
      <c r="AM67" s="1">
        <v>5.1760693150007227E-4</v>
      </c>
      <c r="AN67" s="1">
        <v>1.5740575470682739E-3</v>
      </c>
      <c r="AO67" s="1">
        <v>2.0401699470755261E-4</v>
      </c>
    </row>
    <row r="68" spans="1:41" ht="15">
      <c r="A68" s="19" t="s">
        <v>52</v>
      </c>
      <c r="B68" s="1">
        <v>1.4383419990591929E-3</v>
      </c>
      <c r="C68" s="1">
        <v>3.0818971960339461E-4</v>
      </c>
      <c r="D68" s="1">
        <v>4.4119213524319715E-5</v>
      </c>
      <c r="E68" s="1">
        <v>2.6377626142499457E-3</v>
      </c>
      <c r="F68" s="1">
        <v>1.1320895057651099E-3</v>
      </c>
      <c r="G68" s="1">
        <v>2.3324303357593113E-3</v>
      </c>
      <c r="H68" s="1">
        <v>2.5568182438940471E-3</v>
      </c>
      <c r="I68" s="1">
        <v>3.1790152859123254E-3</v>
      </c>
      <c r="J68" s="1">
        <v>1.3371220302362096E-3</v>
      </c>
      <c r="K68" s="1">
        <v>7.9266867277724858E-4</v>
      </c>
      <c r="L68" s="1">
        <v>4.0978637396861086E-3</v>
      </c>
      <c r="M68" s="1">
        <v>1.5958600168658069E-3</v>
      </c>
      <c r="N68" s="1">
        <v>3.3018939733964301E-3</v>
      </c>
      <c r="O68" s="1">
        <v>2.4365954692320058E-3</v>
      </c>
      <c r="P68" s="1">
        <v>4.7379185861798016E-3</v>
      </c>
      <c r="Q68" s="1">
        <v>1.5106848357994702E-3</v>
      </c>
      <c r="R68" s="1">
        <v>1.4298404913751469E-2</v>
      </c>
      <c r="S68" s="1">
        <v>2.338424534283175E-3</v>
      </c>
      <c r="T68" s="1">
        <v>3.5930572070315661E-3</v>
      </c>
      <c r="U68" s="1">
        <v>6.9828071708588372E-3</v>
      </c>
      <c r="V68" s="1">
        <v>3.3915759391812367E-3</v>
      </c>
      <c r="W68" s="1">
        <v>3.65564013088015E-3</v>
      </c>
      <c r="X68" s="1">
        <v>3.0524431156242569E-3</v>
      </c>
      <c r="Y68" s="1">
        <v>3.5894881372312468E-3</v>
      </c>
      <c r="Z68" s="1">
        <v>2.8554869171667634E-4</v>
      </c>
      <c r="AA68" s="1">
        <v>3.0203188744959276E-3</v>
      </c>
      <c r="AB68" s="1">
        <v>3.1833713639209458E-3</v>
      </c>
      <c r="AC68" s="1">
        <v>3.2901893202155847E-3</v>
      </c>
      <c r="AD68" s="1">
        <v>-7.7853719134502044E-5</v>
      </c>
      <c r="AE68" s="1">
        <v>2.8755024457238648E-3</v>
      </c>
      <c r="AF68" s="1">
        <v>7.867264620085258E-4</v>
      </c>
      <c r="AG68" s="1">
        <v>3.1548117536701423E-3</v>
      </c>
      <c r="AH68" s="1">
        <v>-6.2227969009353646E-5</v>
      </c>
      <c r="AI68" s="1">
        <v>5.2882246721906905E-3</v>
      </c>
      <c r="AJ68" s="1">
        <v>2.1031888995727672E-3</v>
      </c>
      <c r="AK68" s="1">
        <v>1.2740115300839115E-3</v>
      </c>
      <c r="AL68" s="1">
        <v>1.3352033666431792E-3</v>
      </c>
      <c r="AM68" s="1">
        <v>5.3670429669066639E-3</v>
      </c>
      <c r="AN68" s="1">
        <v>4.4115068563911411E-3</v>
      </c>
      <c r="AO68" s="1">
        <v>1.020623959965547E-3</v>
      </c>
    </row>
    <row r="69" spans="1:41" ht="15">
      <c r="A69" s="19" t="s">
        <v>53</v>
      </c>
      <c r="B69" s="1">
        <v>1.3406737397049762E-3</v>
      </c>
      <c r="C69" s="1">
        <v>2.5911674959733921E-4</v>
      </c>
      <c r="D69" s="1">
        <v>1.6296812995658121E-3</v>
      </c>
      <c r="E69" s="1">
        <v>1.0612857922208737E-3</v>
      </c>
      <c r="F69" s="1">
        <v>1.0078394186236914E-3</v>
      </c>
      <c r="G69" s="1">
        <v>2.9064451873160575E-5</v>
      </c>
      <c r="H69" s="1">
        <v>1.2706644221077866E-3</v>
      </c>
      <c r="I69" s="1">
        <v>-5.6396247322141485E-4</v>
      </c>
      <c r="J69" s="1">
        <v>6.0526979729970886E-4</v>
      </c>
      <c r="K69" s="1">
        <v>3.6729277153288534E-4</v>
      </c>
      <c r="L69" s="1">
        <v>-8.9076908211305835E-4</v>
      </c>
      <c r="M69" s="1">
        <v>-4.0367406802052907E-4</v>
      </c>
      <c r="N69" s="1">
        <v>1.4155917997552788E-3</v>
      </c>
      <c r="O69" s="1">
        <v>9.4436516206840672E-4</v>
      </c>
      <c r="P69" s="1">
        <v>2.2358921092035218E-3</v>
      </c>
      <c r="Q69" s="1">
        <v>2.0710590771528424E-3</v>
      </c>
      <c r="R69" s="1">
        <v>2.338424534283175E-3</v>
      </c>
      <c r="S69" s="1">
        <v>5.4340767496654022E-3</v>
      </c>
      <c r="T69" s="1">
        <v>2.3300899899363907E-3</v>
      </c>
      <c r="U69" s="1">
        <v>-1.1201873054592364E-3</v>
      </c>
      <c r="V69" s="1">
        <v>6.2527718742899641E-4</v>
      </c>
      <c r="W69" s="1">
        <v>1.0128206040985039E-3</v>
      </c>
      <c r="X69" s="1">
        <v>1.27744439805276E-3</v>
      </c>
      <c r="Y69" s="1">
        <v>1.6541949035293144E-3</v>
      </c>
      <c r="Z69" s="1">
        <v>5.0272503119573608E-4</v>
      </c>
      <c r="AA69" s="1">
        <v>1.3159238213328183E-3</v>
      </c>
      <c r="AB69" s="1">
        <v>-7.5125908704584265E-4</v>
      </c>
      <c r="AC69" s="1">
        <v>1.0416861922084781E-3</v>
      </c>
      <c r="AD69" s="1">
        <v>-2.042361031036869E-5</v>
      </c>
      <c r="AE69" s="1">
        <v>8.1046865326426165E-4</v>
      </c>
      <c r="AF69" s="1">
        <v>-7.1387106820005992E-5</v>
      </c>
      <c r="AG69" s="1">
        <v>1.1247654273381276E-3</v>
      </c>
      <c r="AH69" s="1">
        <v>7.7129434355869197E-4</v>
      </c>
      <c r="AI69" s="1">
        <v>8.2780034671402713E-4</v>
      </c>
      <c r="AJ69" s="1">
        <v>2.2674103023238444E-3</v>
      </c>
      <c r="AK69" s="1">
        <v>1.0165915848284095E-3</v>
      </c>
      <c r="AL69" s="1">
        <v>2.4108011100732081E-3</v>
      </c>
      <c r="AM69" s="1">
        <v>2.327249237530471E-3</v>
      </c>
      <c r="AN69" s="1">
        <v>7.4163390719607846E-4</v>
      </c>
      <c r="AO69" s="1">
        <v>1.4477437737854036E-3</v>
      </c>
    </row>
    <row r="70" spans="1:41" ht="15">
      <c r="A70" s="19" t="s">
        <v>54</v>
      </c>
      <c r="B70" s="1">
        <v>1.3694784629303982E-3</v>
      </c>
      <c r="C70" s="1">
        <v>3.9608101466055668E-4</v>
      </c>
      <c r="D70" s="1">
        <v>7.1650472725270301E-4</v>
      </c>
      <c r="E70" s="1">
        <v>1.5508029721417733E-3</v>
      </c>
      <c r="F70" s="1">
        <v>1.4952466142051136E-3</v>
      </c>
      <c r="G70" s="1">
        <v>1.1015169126080055E-3</v>
      </c>
      <c r="H70" s="1">
        <v>2.293596337070776E-3</v>
      </c>
      <c r="I70" s="1">
        <v>1.0250713466552106E-3</v>
      </c>
      <c r="J70" s="1">
        <v>1.1620765519169559E-3</v>
      </c>
      <c r="K70" s="1">
        <v>8.4758957983275336E-4</v>
      </c>
      <c r="L70" s="1">
        <v>2.9854720838140976E-4</v>
      </c>
      <c r="M70" s="1">
        <v>6.401139146061381E-4</v>
      </c>
      <c r="N70" s="1">
        <v>1.6795707034900009E-3</v>
      </c>
      <c r="O70" s="1">
        <v>1.900474620205125E-3</v>
      </c>
      <c r="P70" s="1">
        <v>3.1963143223926868E-3</v>
      </c>
      <c r="Q70" s="1">
        <v>1.4691454831836722E-3</v>
      </c>
      <c r="R70" s="1">
        <v>3.5930572070315661E-3</v>
      </c>
      <c r="S70" s="1">
        <v>2.3300899899363907E-3</v>
      </c>
      <c r="T70" s="1">
        <v>5.1160501140516627E-3</v>
      </c>
      <c r="U70" s="1">
        <v>2.7496485785463106E-3</v>
      </c>
      <c r="V70" s="1">
        <v>2.0497480009859445E-3</v>
      </c>
      <c r="W70" s="1">
        <v>2.2494467297115642E-3</v>
      </c>
      <c r="X70" s="1">
        <v>2.1366638005584533E-3</v>
      </c>
      <c r="Y70" s="1">
        <v>3.2322140668601964E-3</v>
      </c>
      <c r="Z70" s="1">
        <v>1.1241438664002382E-3</v>
      </c>
      <c r="AA70" s="1">
        <v>2.2893180576692967E-3</v>
      </c>
      <c r="AB70" s="1">
        <v>2.7128804670149706E-4</v>
      </c>
      <c r="AC70" s="1">
        <v>3.8911429517364152E-3</v>
      </c>
      <c r="AD70" s="1">
        <v>8.6595317086659565E-4</v>
      </c>
      <c r="AE70" s="1">
        <v>1.4567197932731746E-3</v>
      </c>
      <c r="AF70" s="1">
        <v>9.1422423156169164E-4</v>
      </c>
      <c r="AG70" s="1">
        <v>2.6534212954307714E-3</v>
      </c>
      <c r="AH70" s="1">
        <v>2.4422594766829102E-3</v>
      </c>
      <c r="AI70" s="1">
        <v>2.2827801861742001E-3</v>
      </c>
      <c r="AJ70" s="1">
        <v>4.0201875508973344E-3</v>
      </c>
      <c r="AK70" s="1">
        <v>9.0543093715176844E-4</v>
      </c>
      <c r="AL70" s="1">
        <v>2.4224823722742736E-3</v>
      </c>
      <c r="AM70" s="1">
        <v>4.1272210254552459E-3</v>
      </c>
      <c r="AN70" s="1">
        <v>2.1007856406765751E-3</v>
      </c>
      <c r="AO70" s="1">
        <v>2.9335551554266277E-3</v>
      </c>
    </row>
    <row r="71" spans="1:41" ht="15">
      <c r="A71" s="19" t="s">
        <v>57</v>
      </c>
      <c r="B71" s="1">
        <v>2.5824155051681671E-3</v>
      </c>
      <c r="C71" s="1">
        <v>2.7075733469579073E-3</v>
      </c>
      <c r="D71" s="1">
        <v>2.6530723854065056E-3</v>
      </c>
      <c r="E71" s="1">
        <v>4.3655823428054279E-3</v>
      </c>
      <c r="F71" s="1">
        <v>4.6946294764214974E-3</v>
      </c>
      <c r="G71" s="1">
        <v>3.6958136458078491E-3</v>
      </c>
      <c r="H71" s="1">
        <v>4.4526889796337029E-3</v>
      </c>
      <c r="I71" s="1">
        <v>6.3506528131000127E-3</v>
      </c>
      <c r="J71" s="1">
        <v>3.7150611752850451E-3</v>
      </c>
      <c r="K71" s="1">
        <v>5.3198037337852666E-3</v>
      </c>
      <c r="L71" s="1">
        <v>4.0643875920952236E-3</v>
      </c>
      <c r="M71" s="1">
        <v>2.6088458045469671E-3</v>
      </c>
      <c r="N71" s="1">
        <v>3.2417805772651251E-3</v>
      </c>
      <c r="O71" s="1">
        <v>3.0078222275578834E-3</v>
      </c>
      <c r="P71" s="1">
        <v>4.6843786218259999E-3</v>
      </c>
      <c r="Q71" s="1">
        <v>3.0640867516736488E-3</v>
      </c>
      <c r="R71" s="1">
        <v>6.9828071708588372E-3</v>
      </c>
      <c r="S71" s="1">
        <v>-1.1201873054592364E-3</v>
      </c>
      <c r="T71" s="1">
        <v>2.7496485785463106E-3</v>
      </c>
      <c r="U71" s="1">
        <v>2.4006108625587851E-2</v>
      </c>
      <c r="V71" s="1">
        <v>4.0200526821922399E-3</v>
      </c>
      <c r="W71" s="1">
        <v>3.0201315650766726E-3</v>
      </c>
      <c r="X71" s="1">
        <v>3.8815362066708992E-3</v>
      </c>
      <c r="Y71" s="1">
        <v>2.7192030162687462E-3</v>
      </c>
      <c r="Z71" s="1">
        <v>5.4237535474735128E-4</v>
      </c>
      <c r="AA71" s="1">
        <v>4.5978682518781318E-3</v>
      </c>
      <c r="AB71" s="1">
        <v>4.137005531183062E-3</v>
      </c>
      <c r="AC71" s="1">
        <v>2.3394861810466928E-3</v>
      </c>
      <c r="AD71" s="1">
        <v>1.4780819247263892E-3</v>
      </c>
      <c r="AE71" s="1">
        <v>2.5778141236875688E-3</v>
      </c>
      <c r="AF71" s="1">
        <v>2.1047599518367573E-3</v>
      </c>
      <c r="AG71" s="1">
        <v>3.644324674180644E-3</v>
      </c>
      <c r="AH71" s="1">
        <v>3.0804081859874218E-3</v>
      </c>
      <c r="AI71" s="1">
        <v>5.1898600942923995E-3</v>
      </c>
      <c r="AJ71" s="1">
        <v>6.7968532054320423E-3</v>
      </c>
      <c r="AK71" s="1">
        <v>4.2455172499474862E-3</v>
      </c>
      <c r="AL71" s="1">
        <v>3.3238520333939191E-3</v>
      </c>
      <c r="AM71" s="1">
        <v>3.934432004494808E-3</v>
      </c>
      <c r="AN71" s="1">
        <v>4.9652982628498356E-3</v>
      </c>
      <c r="AO71" s="1">
        <v>6.1196813802961417E-4</v>
      </c>
    </row>
    <row r="72" spans="1:41" ht="15">
      <c r="A72" s="19" t="s">
        <v>62</v>
      </c>
      <c r="B72" s="1">
        <v>1.158056789212489E-3</v>
      </c>
      <c r="C72" s="1">
        <v>7.4332650503897721E-4</v>
      </c>
      <c r="D72" s="1">
        <v>6.4249541398555209E-4</v>
      </c>
      <c r="E72" s="1">
        <v>9.6003573644335631E-4</v>
      </c>
      <c r="F72" s="1">
        <v>5.614338540334109E-4</v>
      </c>
      <c r="G72" s="1">
        <v>2.2154527205951549E-3</v>
      </c>
      <c r="H72" s="1">
        <v>2.114537074304877E-3</v>
      </c>
      <c r="I72" s="1">
        <v>2.340741263208687E-3</v>
      </c>
      <c r="J72" s="1">
        <v>1.1845947234839229E-3</v>
      </c>
      <c r="K72" s="1">
        <v>6.3836884071539481E-4</v>
      </c>
      <c r="L72" s="1">
        <v>2.1116445768947639E-3</v>
      </c>
      <c r="M72" s="1">
        <v>7.058812328004483E-4</v>
      </c>
      <c r="N72" s="1">
        <v>1.2198572154884749E-3</v>
      </c>
      <c r="O72" s="1">
        <v>1.5114868202443304E-3</v>
      </c>
      <c r="P72" s="1">
        <v>1.7923049337166738E-3</v>
      </c>
      <c r="Q72" s="1">
        <v>1.2093479542866965E-4</v>
      </c>
      <c r="R72" s="1">
        <v>3.3915759391812367E-3</v>
      </c>
      <c r="S72" s="1">
        <v>6.2527718742899641E-4</v>
      </c>
      <c r="T72" s="1">
        <v>2.0497480009859445E-3</v>
      </c>
      <c r="U72" s="1">
        <v>4.0200526821922399E-3</v>
      </c>
      <c r="V72" s="1">
        <v>6.7326884987501763E-3</v>
      </c>
      <c r="W72" s="1">
        <v>2.3812397477533461E-3</v>
      </c>
      <c r="X72" s="1">
        <v>1.8495908406242635E-3</v>
      </c>
      <c r="Y72" s="1">
        <v>4.4583329455860415E-3</v>
      </c>
      <c r="Z72" s="1">
        <v>6.2736127696700239E-4</v>
      </c>
      <c r="AA72" s="1">
        <v>1.6042136340736332E-3</v>
      </c>
      <c r="AB72" s="1">
        <v>8.400194974704238E-4</v>
      </c>
      <c r="AC72" s="1">
        <v>2.9301688023127322E-3</v>
      </c>
      <c r="AD72" s="1">
        <v>9.67629766708741E-4</v>
      </c>
      <c r="AE72" s="1">
        <v>2.7906387555963579E-3</v>
      </c>
      <c r="AF72" s="1">
        <v>5.1757610051151605E-4</v>
      </c>
      <c r="AG72" s="1">
        <v>2.0666591941324373E-3</v>
      </c>
      <c r="AH72" s="1">
        <v>1.148735860253247E-3</v>
      </c>
      <c r="AI72" s="1">
        <v>2.8966073686548716E-3</v>
      </c>
      <c r="AJ72" s="1">
        <v>2.2219169984395428E-3</v>
      </c>
      <c r="AK72" s="1">
        <v>1.4857609514189055E-3</v>
      </c>
      <c r="AL72" s="1">
        <v>2.4735433505140799E-3</v>
      </c>
      <c r="AM72" s="1">
        <v>1.8600138436928491E-3</v>
      </c>
      <c r="AN72" s="1">
        <v>2.0907033514892402E-3</v>
      </c>
      <c r="AO72" s="1">
        <v>2.5183048277888668E-3</v>
      </c>
    </row>
    <row r="73" spans="1:41" ht="15">
      <c r="A73" s="19" t="s">
        <v>66</v>
      </c>
      <c r="B73" s="1">
        <v>7.4208032401625176E-4</v>
      </c>
      <c r="C73" s="1">
        <v>3.6938047030877987E-4</v>
      </c>
      <c r="D73" s="1">
        <v>1.2684794787924189E-4</v>
      </c>
      <c r="E73" s="1">
        <v>7.7926072780710347E-4</v>
      </c>
      <c r="F73" s="1">
        <v>2.0511612157790083E-4</v>
      </c>
      <c r="G73" s="1">
        <v>2.009253419239502E-3</v>
      </c>
      <c r="H73" s="1">
        <v>2.2615803232984419E-3</v>
      </c>
      <c r="I73" s="1">
        <v>2.2880521335642851E-3</v>
      </c>
      <c r="J73" s="1">
        <v>8.7724252641293893E-4</v>
      </c>
      <c r="K73" s="1">
        <v>-1.8141943508940287E-4</v>
      </c>
      <c r="L73" s="1">
        <v>1.1123199641463993E-3</v>
      </c>
      <c r="M73" s="1">
        <v>8.1611507688215392E-4</v>
      </c>
      <c r="N73" s="1">
        <v>2.1326422337546377E-3</v>
      </c>
      <c r="O73" s="1">
        <v>1.573633239849053E-3</v>
      </c>
      <c r="P73" s="1">
        <v>3.1915068814284552E-3</v>
      </c>
      <c r="Q73" s="1">
        <v>7.0802442776021941E-4</v>
      </c>
      <c r="R73" s="1">
        <v>3.65564013088015E-3</v>
      </c>
      <c r="S73" s="1">
        <v>1.0128206040985039E-3</v>
      </c>
      <c r="T73" s="1">
        <v>2.2494467297115642E-3</v>
      </c>
      <c r="U73" s="1">
        <v>3.0201315650766726E-3</v>
      </c>
      <c r="V73" s="1">
        <v>2.3812397477533461E-3</v>
      </c>
      <c r="W73" s="1">
        <v>5.6899989365956829E-3</v>
      </c>
      <c r="X73" s="1">
        <v>2.0989602212701289E-3</v>
      </c>
      <c r="Y73" s="1">
        <v>6.7080542424523375E-3</v>
      </c>
      <c r="Z73" s="1">
        <v>1.1195172367548427E-3</v>
      </c>
      <c r="AA73" s="1">
        <v>1.7961701173512174E-3</v>
      </c>
      <c r="AB73" s="1">
        <v>2.0067620814576597E-3</v>
      </c>
      <c r="AC73" s="1">
        <v>3.5973040403289467E-3</v>
      </c>
      <c r="AD73" s="1">
        <v>2.9711604887468738E-4</v>
      </c>
      <c r="AE73" s="1">
        <v>1.4716403151748254E-3</v>
      </c>
      <c r="AF73" s="1">
        <v>5.4766070868821071E-4</v>
      </c>
      <c r="AG73" s="1">
        <v>3.8050678565923517E-4</v>
      </c>
      <c r="AH73" s="1">
        <v>9.7838154393982673E-4</v>
      </c>
      <c r="AI73" s="1">
        <v>2.3669698330936141E-3</v>
      </c>
      <c r="AJ73" s="1">
        <v>1.1965334003614895E-3</v>
      </c>
      <c r="AK73" s="1">
        <v>1.0119801948071116E-3</v>
      </c>
      <c r="AL73" s="1">
        <v>9.7586228154326784E-4</v>
      </c>
      <c r="AM73" s="1">
        <v>4.3302852926951725E-3</v>
      </c>
      <c r="AN73" s="1">
        <v>2.4933542337127182E-3</v>
      </c>
      <c r="AO73" s="1">
        <v>1.7431099610316233E-3</v>
      </c>
    </row>
    <row r="74" spans="1:41" ht="15">
      <c r="A74" s="19" t="s">
        <v>70</v>
      </c>
      <c r="B74" s="1">
        <v>9.0324472732769535E-4</v>
      </c>
      <c r="C74" s="1">
        <v>-1.5506961714874017E-5</v>
      </c>
      <c r="D74" s="1">
        <v>-1.0751549185746446E-4</v>
      </c>
      <c r="E74" s="1">
        <v>1.9345094082140525E-3</v>
      </c>
      <c r="F74" s="1">
        <v>4.5444664383112709E-4</v>
      </c>
      <c r="G74" s="1">
        <v>2.3789020409062189E-4</v>
      </c>
      <c r="H74" s="1">
        <v>1.4307738149782053E-3</v>
      </c>
      <c r="I74" s="1">
        <v>2.0014508292090726E-3</v>
      </c>
      <c r="J74" s="1">
        <v>1.3038472704882617E-3</v>
      </c>
      <c r="K74" s="1">
        <v>1.3559786544268381E-3</v>
      </c>
      <c r="L74" s="1">
        <v>-3.9296808530925526E-4</v>
      </c>
      <c r="M74" s="1">
        <v>6.0731491633987479E-5</v>
      </c>
      <c r="N74" s="1">
        <v>1.7618594049873951E-3</v>
      </c>
      <c r="O74" s="1">
        <v>1.9807778208411663E-3</v>
      </c>
      <c r="P74" s="1">
        <v>3.1207494547511689E-3</v>
      </c>
      <c r="Q74" s="1">
        <v>-1.2164242694314542E-3</v>
      </c>
      <c r="R74" s="1">
        <v>3.0524431156242569E-3</v>
      </c>
      <c r="S74" s="1">
        <v>1.27744439805276E-3</v>
      </c>
      <c r="T74" s="1">
        <v>2.1366638005584533E-3</v>
      </c>
      <c r="U74" s="1">
        <v>3.8815362066708992E-3</v>
      </c>
      <c r="V74" s="1">
        <v>1.8495908406242635E-3</v>
      </c>
      <c r="W74" s="1">
        <v>2.0989602212701289E-3</v>
      </c>
      <c r="X74" s="1">
        <v>6.7319834912930301E-3</v>
      </c>
      <c r="Y74" s="1">
        <v>3.2130573272554971E-3</v>
      </c>
      <c r="Z74" s="1">
        <v>9.2157735964843379E-4</v>
      </c>
      <c r="AA74" s="1">
        <v>2.0109470454425966E-3</v>
      </c>
      <c r="AB74" s="1">
        <v>1.1959086252449408E-3</v>
      </c>
      <c r="AC74" s="1">
        <v>5.939280116344813E-3</v>
      </c>
      <c r="AD74" s="1">
        <v>2.4469543995515831E-4</v>
      </c>
      <c r="AE74" s="1">
        <v>2.4057529203155379E-3</v>
      </c>
      <c r="AF74" s="1">
        <v>6.308902634161081E-4</v>
      </c>
      <c r="AG74" s="1">
        <v>2.8656139103311064E-3</v>
      </c>
      <c r="AH74" s="1">
        <v>2.3690028725504627E-3</v>
      </c>
      <c r="AI74" s="1">
        <v>2.9793430851577582E-3</v>
      </c>
      <c r="AJ74" s="1">
        <v>4.0633819179504574E-3</v>
      </c>
      <c r="AK74" s="1">
        <v>2.311806103808935E-3</v>
      </c>
      <c r="AL74" s="1">
        <v>2.0781173958332828E-3</v>
      </c>
      <c r="AM74" s="1">
        <v>3.8527922828980651E-3</v>
      </c>
      <c r="AN74" s="1">
        <v>2.7156086847481184E-3</v>
      </c>
      <c r="AO74" s="1">
        <v>2.0938951853885159E-3</v>
      </c>
    </row>
    <row r="75" spans="1:41" ht="15">
      <c r="A75" s="19" t="s">
        <v>74</v>
      </c>
      <c r="B75" s="1">
        <v>9.7907499278154678E-4</v>
      </c>
      <c r="C75" s="1">
        <v>1.4825000069300812E-4</v>
      </c>
      <c r="D75" s="1">
        <v>1.1949452059709965E-3</v>
      </c>
      <c r="E75" s="1">
        <v>3.6418011125500813E-3</v>
      </c>
      <c r="F75" s="1">
        <v>5.5403032416753131E-4</v>
      </c>
      <c r="G75" s="1">
        <v>1.3961640813926317E-3</v>
      </c>
      <c r="H75" s="1">
        <v>4.0730030057022559E-3</v>
      </c>
      <c r="I75" s="1">
        <v>2.2212219263990415E-3</v>
      </c>
      <c r="J75" s="1">
        <v>3.4132518900143149E-4</v>
      </c>
      <c r="K75" s="1">
        <v>-4.5130220523616611E-4</v>
      </c>
      <c r="L75" s="1">
        <v>3.1709065860982513E-3</v>
      </c>
      <c r="M75" s="1">
        <v>1.2883333920388658E-3</v>
      </c>
      <c r="N75" s="1">
        <v>2.3400884702639317E-3</v>
      </c>
      <c r="O75" s="1">
        <v>9.5938893998320709E-4</v>
      </c>
      <c r="P75" s="1">
        <v>3.3963986715389903E-3</v>
      </c>
      <c r="Q75" s="1">
        <v>-4.1189695416173813E-3</v>
      </c>
      <c r="R75" s="1">
        <v>3.5894881372312468E-3</v>
      </c>
      <c r="S75" s="1">
        <v>1.6541949035293144E-3</v>
      </c>
      <c r="T75" s="1">
        <v>3.2322140668601964E-3</v>
      </c>
      <c r="U75" s="1">
        <v>2.7192030162687462E-3</v>
      </c>
      <c r="V75" s="1">
        <v>4.4583329455860415E-3</v>
      </c>
      <c r="W75" s="1">
        <v>6.7080542424523375E-3</v>
      </c>
      <c r="X75" s="1">
        <v>3.2130573272554971E-3</v>
      </c>
      <c r="Y75" s="1">
        <v>2.5203124615153279E-2</v>
      </c>
      <c r="Z75" s="1">
        <v>1.6229535243764571E-3</v>
      </c>
      <c r="AA75" s="1">
        <v>3.1446481390342757E-3</v>
      </c>
      <c r="AB75" s="1">
        <v>3.0609616314588662E-3</v>
      </c>
      <c r="AC75" s="1">
        <v>1.0609862400931697E-2</v>
      </c>
      <c r="AD75" s="1">
        <v>4.75577833526362E-4</v>
      </c>
      <c r="AE75" s="1">
        <v>2.5281501469582861E-3</v>
      </c>
      <c r="AF75" s="1">
        <v>-1.1785591644319015E-4</v>
      </c>
      <c r="AG75" s="1">
        <v>4.1877572979429019E-4</v>
      </c>
      <c r="AH75" s="1">
        <v>4.5791252135033902E-3</v>
      </c>
      <c r="AI75" s="1">
        <v>3.4839343826527699E-3</v>
      </c>
      <c r="AJ75" s="1">
        <v>4.2560438698398722E-3</v>
      </c>
      <c r="AK75" s="1">
        <v>1.3850564153923559E-3</v>
      </c>
      <c r="AL75" s="1">
        <v>5.1563275201398865E-3</v>
      </c>
      <c r="AM75" s="1">
        <v>8.8990055998371623E-3</v>
      </c>
      <c r="AN75" s="1">
        <v>1.1953264721574859E-3</v>
      </c>
      <c r="AO75" s="1">
        <v>4.5810949384917686E-3</v>
      </c>
    </row>
    <row r="76" spans="1:41" ht="15">
      <c r="A76" s="19" t="s">
        <v>76</v>
      </c>
      <c r="B76" s="1">
        <v>1.245856381618277E-3</v>
      </c>
      <c r="C76" s="1">
        <v>7.6500389556884586E-4</v>
      </c>
      <c r="D76" s="1">
        <v>-1.6732022842624774E-4</v>
      </c>
      <c r="E76" s="1">
        <v>5.8186327139360355E-5</v>
      </c>
      <c r="F76" s="1">
        <v>5.3796102889733472E-4</v>
      </c>
      <c r="G76" s="1">
        <v>1.0406561149092536E-3</v>
      </c>
      <c r="H76" s="1">
        <v>4.0876146592573583E-5</v>
      </c>
      <c r="I76" s="1">
        <v>6.0256064447154767E-4</v>
      </c>
      <c r="J76" s="1">
        <v>9.1939373339288322E-4</v>
      </c>
      <c r="K76" s="1">
        <v>6.9273079687862495E-4</v>
      </c>
      <c r="L76" s="1">
        <v>-1.1655275554853795E-3</v>
      </c>
      <c r="M76" s="1">
        <v>-5.762497659243778E-5</v>
      </c>
      <c r="N76" s="1">
        <v>9.0088109083003509E-4</v>
      </c>
      <c r="O76" s="1">
        <v>9.0905412578176322E-4</v>
      </c>
      <c r="P76" s="1">
        <v>1.9818012125073293E-4</v>
      </c>
      <c r="Q76" s="1">
        <v>4.7257939066340401E-4</v>
      </c>
      <c r="R76" s="1">
        <v>2.8554869171667634E-4</v>
      </c>
      <c r="S76" s="1">
        <v>5.0272503119573608E-4</v>
      </c>
      <c r="T76" s="1">
        <v>1.1241438664002382E-3</v>
      </c>
      <c r="U76" s="1">
        <v>5.4237535474735128E-4</v>
      </c>
      <c r="V76" s="1">
        <v>6.2736127696700239E-4</v>
      </c>
      <c r="W76" s="1">
        <v>1.1195172367548427E-3</v>
      </c>
      <c r="X76" s="1">
        <v>9.2157735964843379E-4</v>
      </c>
      <c r="Y76" s="1">
        <v>1.6229535243764571E-3</v>
      </c>
      <c r="Z76" s="1">
        <v>2.4044643688971804E-3</v>
      </c>
      <c r="AA76" s="1">
        <v>6.5386390797764671E-4</v>
      </c>
      <c r="AB76" s="1">
        <v>9.6189690092335039E-5</v>
      </c>
      <c r="AC76" s="1">
        <v>3.2767858453063969E-3</v>
      </c>
      <c r="AD76" s="1">
        <v>9.9628044709391115E-4</v>
      </c>
      <c r="AE76" s="1">
        <v>8.3389876173346517E-4</v>
      </c>
      <c r="AF76" s="1">
        <v>1.255599957804587E-3</v>
      </c>
      <c r="AG76" s="1">
        <v>7.3260577660101288E-4</v>
      </c>
      <c r="AH76" s="1">
        <v>1.5705804592565111E-3</v>
      </c>
      <c r="AI76" s="1">
        <v>1.76142475934398E-3</v>
      </c>
      <c r="AJ76" s="1">
        <v>4.3022322500328432E-4</v>
      </c>
      <c r="AK76" s="1">
        <v>6.7861659821150469E-4</v>
      </c>
      <c r="AL76" s="1">
        <v>1.6685383768161148E-3</v>
      </c>
      <c r="AM76" s="1">
        <v>2.8991282369343566E-3</v>
      </c>
      <c r="AN76" s="1">
        <v>7.0844652530667647E-4</v>
      </c>
      <c r="AO76" s="1">
        <v>1.7028769828900912E-3</v>
      </c>
    </row>
    <row r="77" spans="1:41" ht="15">
      <c r="A77" s="19" t="s">
        <v>79</v>
      </c>
      <c r="B77" s="1">
        <v>1.1692185671606031E-3</v>
      </c>
      <c r="C77" s="1">
        <v>7.8195017523780301E-4</v>
      </c>
      <c r="D77" s="1">
        <v>9.1607705235460606E-4</v>
      </c>
      <c r="E77" s="1">
        <v>1.6608048103045497E-3</v>
      </c>
      <c r="F77" s="1">
        <v>1.3602416076236709E-3</v>
      </c>
      <c r="G77" s="1">
        <v>8.5488492232431228E-4</v>
      </c>
      <c r="H77" s="1">
        <v>1.9921279906585762E-3</v>
      </c>
      <c r="I77" s="1">
        <v>1.6868045564561326E-3</v>
      </c>
      <c r="J77" s="1">
        <v>1.0131267201258574E-3</v>
      </c>
      <c r="K77" s="1">
        <v>1.5534540027687697E-3</v>
      </c>
      <c r="L77" s="1">
        <v>7.0335071211078076E-4</v>
      </c>
      <c r="M77" s="1">
        <v>8.1187390636065641E-4</v>
      </c>
      <c r="N77" s="1">
        <v>1.2758990979610647E-3</v>
      </c>
      <c r="O77" s="1">
        <v>1.7106985883944522E-3</v>
      </c>
      <c r="P77" s="1">
        <v>2.8533795362528053E-3</v>
      </c>
      <c r="Q77" s="1">
        <v>8.665817127874179E-4</v>
      </c>
      <c r="R77" s="1">
        <v>3.0203188744959276E-3</v>
      </c>
      <c r="S77" s="1">
        <v>1.3159238213328183E-3</v>
      </c>
      <c r="T77" s="1">
        <v>2.2893180576692967E-3</v>
      </c>
      <c r="U77" s="1">
        <v>4.5978682518781318E-3</v>
      </c>
      <c r="V77" s="1">
        <v>1.6042136340736332E-3</v>
      </c>
      <c r="W77" s="1">
        <v>1.7961701173512174E-3</v>
      </c>
      <c r="X77" s="1">
        <v>2.0109470454425966E-3</v>
      </c>
      <c r="Y77" s="1">
        <v>3.1446481390342757E-3</v>
      </c>
      <c r="Z77" s="1">
        <v>6.5386390797764671E-4</v>
      </c>
      <c r="AA77" s="1">
        <v>4.5144357569033679E-3</v>
      </c>
      <c r="AB77" s="1">
        <v>1.7071304178536758E-3</v>
      </c>
      <c r="AC77" s="1">
        <v>4.2750216574380766E-3</v>
      </c>
      <c r="AD77" s="1">
        <v>7.0312974656584781E-4</v>
      </c>
      <c r="AE77" s="1">
        <v>1.0909271902260667E-3</v>
      </c>
      <c r="AF77" s="1">
        <v>3.9473347635233055E-4</v>
      </c>
      <c r="AG77" s="1">
        <v>1.5428407902739391E-3</v>
      </c>
      <c r="AH77" s="1">
        <v>1.4347032202559975E-3</v>
      </c>
      <c r="AI77" s="1">
        <v>2.6081821251820333E-3</v>
      </c>
      <c r="AJ77" s="1">
        <v>2.3629353808357341E-3</v>
      </c>
      <c r="AK77" s="1">
        <v>1.6120137100456696E-3</v>
      </c>
      <c r="AL77" s="1">
        <v>1.7633436510728735E-3</v>
      </c>
      <c r="AM77" s="1">
        <v>2.2194252502162931E-3</v>
      </c>
      <c r="AN77" s="1">
        <v>1.3347429769108654E-3</v>
      </c>
      <c r="AO77" s="1">
        <v>1.6205914680580901E-3</v>
      </c>
    </row>
    <row r="78" spans="1:41" ht="15">
      <c r="A78" s="19" t="s">
        <v>87</v>
      </c>
      <c r="B78" s="1">
        <v>6.1536582242836292E-4</v>
      </c>
      <c r="C78" s="1">
        <v>7.267774202207774E-4</v>
      </c>
      <c r="D78" s="1">
        <v>-1.9395525701897516E-4</v>
      </c>
      <c r="E78" s="1">
        <v>1.9907059922330715E-3</v>
      </c>
      <c r="F78" s="1">
        <v>1.0281696922739001E-3</v>
      </c>
      <c r="G78" s="1">
        <v>1.2240982082109401E-3</v>
      </c>
      <c r="H78" s="1">
        <v>1.51855085400096E-3</v>
      </c>
      <c r="I78" s="1">
        <v>1.4895665475978632E-3</v>
      </c>
      <c r="J78" s="1">
        <v>1.7148370696927521E-3</v>
      </c>
      <c r="K78" s="1">
        <v>1.5578354493865378E-3</v>
      </c>
      <c r="L78" s="1">
        <v>3.1428087887544688E-3</v>
      </c>
      <c r="M78" s="1">
        <v>2.3957445598856141E-4</v>
      </c>
      <c r="N78" s="1">
        <v>5.7130792069765447E-4</v>
      </c>
      <c r="O78" s="1">
        <v>1.0534526895837554E-3</v>
      </c>
      <c r="P78" s="1">
        <v>1.4594530541089318E-3</v>
      </c>
      <c r="Q78" s="1">
        <v>-1.0740273972206242E-3</v>
      </c>
      <c r="R78" s="1">
        <v>3.1833713639209458E-3</v>
      </c>
      <c r="S78" s="1">
        <v>-7.5125908704584265E-4</v>
      </c>
      <c r="T78" s="1">
        <v>2.7128804670149706E-4</v>
      </c>
      <c r="U78" s="1">
        <v>4.137005531183062E-3</v>
      </c>
      <c r="V78" s="1">
        <v>8.400194974704238E-4</v>
      </c>
      <c r="W78" s="1">
        <v>2.0067620814576597E-3</v>
      </c>
      <c r="X78" s="1">
        <v>1.1959086252449408E-3</v>
      </c>
      <c r="Y78" s="1">
        <v>3.0609616314588662E-3</v>
      </c>
      <c r="Z78" s="1">
        <v>9.6189690092335039E-5</v>
      </c>
      <c r="AA78" s="1">
        <v>1.7071304178536758E-3</v>
      </c>
      <c r="AB78" s="1">
        <v>6.2537808421026572E-3</v>
      </c>
      <c r="AC78" s="1">
        <v>2.4107179977000738E-3</v>
      </c>
      <c r="AD78" s="1">
        <v>6.1542769897628737E-5</v>
      </c>
      <c r="AE78" s="1">
        <v>1.3100266788188481E-3</v>
      </c>
      <c r="AF78" s="1">
        <v>7.804170931732258E-4</v>
      </c>
      <c r="AG78" s="1">
        <v>1.8132014422965446E-3</v>
      </c>
      <c r="AH78" s="1">
        <v>1.2423272484505374E-3</v>
      </c>
      <c r="AI78" s="1">
        <v>1.9953666027375601E-3</v>
      </c>
      <c r="AJ78" s="1">
        <v>-7.3261230567131714E-4</v>
      </c>
      <c r="AK78" s="1">
        <v>1.3452424159860429E-3</v>
      </c>
      <c r="AL78" s="1">
        <v>3.1280305948992363E-4</v>
      </c>
      <c r="AM78" s="1">
        <v>1.8252007090284236E-3</v>
      </c>
      <c r="AN78" s="1">
        <v>1.3913286681657821E-3</v>
      </c>
      <c r="AO78" s="1">
        <v>-1.2852046869502731E-4</v>
      </c>
    </row>
    <row r="79" spans="1:41" ht="15">
      <c r="A79" s="19" t="s">
        <v>88</v>
      </c>
      <c r="B79" s="1">
        <v>2.034394236732141E-3</v>
      </c>
      <c r="C79" s="1">
        <v>-4.8716869517167284E-4</v>
      </c>
      <c r="D79" s="1">
        <v>-1.7404408819257421E-3</v>
      </c>
      <c r="E79" s="1">
        <v>3.1136723985708088E-3</v>
      </c>
      <c r="F79" s="1">
        <v>-1.1539804856844421E-3</v>
      </c>
      <c r="G79" s="1">
        <v>7.8861790440682203E-4</v>
      </c>
      <c r="H79" s="1">
        <v>3.6611813229084914E-4</v>
      </c>
      <c r="I79" s="1">
        <v>1.6676710020915332E-3</v>
      </c>
      <c r="J79" s="1">
        <v>1.8970641414084314E-3</v>
      </c>
      <c r="K79" s="1">
        <v>1.5319224785109501E-3</v>
      </c>
      <c r="L79" s="1">
        <v>-1.4872550975322258E-3</v>
      </c>
      <c r="M79" s="1">
        <v>-1.2100072414244645E-3</v>
      </c>
      <c r="N79" s="1">
        <v>1.0920711435637596E-3</v>
      </c>
      <c r="O79" s="1">
        <v>2.5759342066360223E-3</v>
      </c>
      <c r="P79" s="1">
        <v>2.7980887239197456E-3</v>
      </c>
      <c r="Q79" s="1">
        <v>-3.1056674571681921E-3</v>
      </c>
      <c r="R79" s="1">
        <v>3.2901893202155847E-3</v>
      </c>
      <c r="S79" s="1">
        <v>1.0416861922084781E-3</v>
      </c>
      <c r="T79" s="1">
        <v>3.8911429517364152E-3</v>
      </c>
      <c r="U79" s="1">
        <v>2.3394861810466928E-3</v>
      </c>
      <c r="V79" s="1">
        <v>2.9301688023127322E-3</v>
      </c>
      <c r="W79" s="1">
        <v>3.5973040403289467E-3</v>
      </c>
      <c r="X79" s="1">
        <v>5.939280116344813E-3</v>
      </c>
      <c r="Y79" s="1">
        <v>1.0609862400931697E-2</v>
      </c>
      <c r="Z79" s="1">
        <v>3.2767858453063969E-3</v>
      </c>
      <c r="AA79" s="1">
        <v>4.2750216574380766E-3</v>
      </c>
      <c r="AB79" s="1">
        <v>2.4107179977000738E-3</v>
      </c>
      <c r="AC79" s="1">
        <v>3.2101792062676451E-2</v>
      </c>
      <c r="AD79" s="1">
        <v>1.7320661546358159E-3</v>
      </c>
      <c r="AE79" s="1">
        <v>5.5184744901275356E-3</v>
      </c>
      <c r="AF79" s="1">
        <v>2.1886314462160925E-4</v>
      </c>
      <c r="AG79" s="1">
        <v>5.5129056456526852E-3</v>
      </c>
      <c r="AH79" s="1">
        <v>3.4618317941065334E-3</v>
      </c>
      <c r="AI79" s="1">
        <v>7.4770148673197227E-3</v>
      </c>
      <c r="AJ79" s="1">
        <v>6.5550150550750183E-3</v>
      </c>
      <c r="AK79" s="1">
        <v>3.8591826336859007E-3</v>
      </c>
      <c r="AL79" s="1">
        <v>5.0696183177307459E-3</v>
      </c>
      <c r="AM79" s="1">
        <v>1.0432772203474551E-2</v>
      </c>
      <c r="AN79" s="1">
        <v>6.0836709838926989E-4</v>
      </c>
      <c r="AO79" s="1">
        <v>9.2784341660445257E-3</v>
      </c>
    </row>
    <row r="80" spans="1:41" ht="15">
      <c r="A80" s="19" t="s">
        <v>91</v>
      </c>
      <c r="B80" s="1">
        <v>9.2261274358326761E-4</v>
      </c>
      <c r="C80" s="1">
        <v>1.0692924851929133E-3</v>
      </c>
      <c r="D80" s="1">
        <v>1.7985926569350725E-4</v>
      </c>
      <c r="E80" s="1">
        <v>-4.4017562724195868E-4</v>
      </c>
      <c r="F80" s="1">
        <v>9.050396777896334E-4</v>
      </c>
      <c r="G80" s="1">
        <v>6.7748919596592261E-4</v>
      </c>
      <c r="H80" s="1">
        <v>8.3146887406036153E-5</v>
      </c>
      <c r="I80" s="1">
        <v>3.1956734607411716E-4</v>
      </c>
      <c r="J80" s="1">
        <v>5.3182628113373771E-4</v>
      </c>
      <c r="K80" s="1">
        <v>6.9843379561893612E-4</v>
      </c>
      <c r="L80" s="1">
        <v>3.1120224221526375E-4</v>
      </c>
      <c r="M80" s="1">
        <v>2.6048940445147885E-4</v>
      </c>
      <c r="N80" s="1">
        <v>3.9716440992778999E-4</v>
      </c>
      <c r="O80" s="1">
        <v>5.6820125276625297E-4</v>
      </c>
      <c r="P80" s="1">
        <v>2.6725585432006959E-4</v>
      </c>
      <c r="Q80" s="1">
        <v>1.1720907534114998E-3</v>
      </c>
      <c r="R80" s="1">
        <v>-7.7853719134502044E-5</v>
      </c>
      <c r="S80" s="1">
        <v>-2.042361031036869E-5</v>
      </c>
      <c r="T80" s="1">
        <v>8.6595317086659565E-4</v>
      </c>
      <c r="U80" s="1">
        <v>1.4780819247263892E-3</v>
      </c>
      <c r="V80" s="1">
        <v>9.67629766708741E-4</v>
      </c>
      <c r="W80" s="1">
        <v>2.9711604887468738E-4</v>
      </c>
      <c r="X80" s="1">
        <v>2.4469543995515831E-4</v>
      </c>
      <c r="Y80" s="1">
        <v>4.75577833526362E-4</v>
      </c>
      <c r="Z80" s="1">
        <v>9.9628044709391115E-4</v>
      </c>
      <c r="AA80" s="1">
        <v>7.0312974656584781E-4</v>
      </c>
      <c r="AB80" s="1">
        <v>6.1542769897628737E-5</v>
      </c>
      <c r="AC80" s="1">
        <v>1.7320661546358159E-3</v>
      </c>
      <c r="AD80" s="1">
        <v>1.9239693733546644E-3</v>
      </c>
      <c r="AE80" s="1">
        <v>1.5178509550975309E-3</v>
      </c>
      <c r="AF80" s="1">
        <v>9.5935495892706714E-4</v>
      </c>
      <c r="AG80" s="1">
        <v>1.6170158525349468E-3</v>
      </c>
      <c r="AH80" s="1">
        <v>1.2548375163646223E-3</v>
      </c>
      <c r="AI80" s="1">
        <v>1.3774966399169837E-3</v>
      </c>
      <c r="AJ80" s="1">
        <v>1.3518378280969491E-3</v>
      </c>
      <c r="AK80" s="1">
        <v>1.46755929100466E-3</v>
      </c>
      <c r="AL80" s="1">
        <v>8.2984662190023505E-4</v>
      </c>
      <c r="AM80" s="1">
        <v>1.5704929541035279E-3</v>
      </c>
      <c r="AN80" s="1">
        <v>4.6759636489879149E-4</v>
      </c>
      <c r="AO80" s="1">
        <v>8.7394990168595946E-4</v>
      </c>
    </row>
    <row r="81" spans="1:41" ht="15">
      <c r="A81" s="19" t="s">
        <v>94</v>
      </c>
      <c r="B81" s="1">
        <v>1.9658005138676747E-3</v>
      </c>
      <c r="C81" s="1">
        <v>9.5782720552811283E-4</v>
      </c>
      <c r="D81" s="1">
        <v>4.8554302026110097E-4</v>
      </c>
      <c r="E81" s="1">
        <v>1.672050959649415E-4</v>
      </c>
      <c r="F81" s="1">
        <v>7.6846808382958706E-4</v>
      </c>
      <c r="G81" s="1">
        <v>1.3472950686054591E-3</v>
      </c>
      <c r="H81" s="1">
        <v>1.0971940594041798E-3</v>
      </c>
      <c r="I81" s="1">
        <v>1.7178599878081577E-3</v>
      </c>
      <c r="J81" s="1">
        <v>1.193196820326997E-3</v>
      </c>
      <c r="K81" s="1">
        <v>5.1783557531890115E-4</v>
      </c>
      <c r="L81" s="1">
        <v>1.3926053043520641E-3</v>
      </c>
      <c r="M81" s="1">
        <v>-1.1855671378601633E-4</v>
      </c>
      <c r="N81" s="1">
        <v>1.151765181270634E-3</v>
      </c>
      <c r="O81" s="1">
        <v>2.0550809974443892E-3</v>
      </c>
      <c r="P81" s="1">
        <v>2.0751493816276415E-3</v>
      </c>
      <c r="Q81" s="1">
        <v>9.9684815206287536E-4</v>
      </c>
      <c r="R81" s="1">
        <v>2.8755024457238648E-3</v>
      </c>
      <c r="S81" s="1">
        <v>8.1046865326426165E-4</v>
      </c>
      <c r="T81" s="1">
        <v>1.4567197932731746E-3</v>
      </c>
      <c r="U81" s="1">
        <v>2.5778141236875688E-3</v>
      </c>
      <c r="V81" s="1">
        <v>2.7906387555963579E-3</v>
      </c>
      <c r="W81" s="1">
        <v>1.4716403151748254E-3</v>
      </c>
      <c r="X81" s="1">
        <v>2.4057529203155379E-3</v>
      </c>
      <c r="Y81" s="1">
        <v>2.5281501469582861E-3</v>
      </c>
      <c r="Z81" s="1">
        <v>8.3389876173346517E-4</v>
      </c>
      <c r="AA81" s="1">
        <v>1.0909271902260667E-3</v>
      </c>
      <c r="AB81" s="1">
        <v>1.3100266788188481E-3</v>
      </c>
      <c r="AC81" s="1">
        <v>5.5184744901275356E-3</v>
      </c>
      <c r="AD81" s="1">
        <v>1.5178509550975309E-3</v>
      </c>
      <c r="AE81" s="1">
        <v>5.775861252510857E-3</v>
      </c>
      <c r="AF81" s="1">
        <v>7.9994788876137327E-4</v>
      </c>
      <c r="AG81" s="1">
        <v>3.0094292460371764E-3</v>
      </c>
      <c r="AH81" s="1">
        <v>1.2867313736381694E-3</v>
      </c>
      <c r="AI81" s="1">
        <v>3.5896241640939962E-3</v>
      </c>
      <c r="AJ81" s="1">
        <v>8.5045718141098844E-4</v>
      </c>
      <c r="AK81" s="1">
        <v>1.9111992062658199E-3</v>
      </c>
      <c r="AL81" s="1">
        <v>1.5497436307508898E-3</v>
      </c>
      <c r="AM81" s="1">
        <v>3.9311256398510868E-3</v>
      </c>
      <c r="AN81" s="1">
        <v>2.0279358730607481E-3</v>
      </c>
      <c r="AO81" s="1">
        <v>1.9534556611164027E-3</v>
      </c>
    </row>
    <row r="82" spans="1:41" ht="15">
      <c r="A82" s="19" t="s">
        <v>95</v>
      </c>
      <c r="B82" s="1">
        <v>9.8904828522028876E-4</v>
      </c>
      <c r="C82" s="1">
        <v>1.107133997783345E-3</v>
      </c>
      <c r="D82" s="1">
        <v>2.0633674026275455E-4</v>
      </c>
      <c r="E82" s="1">
        <v>3.4211749547841927E-5</v>
      </c>
      <c r="F82" s="1">
        <v>9.9663151995039393E-4</v>
      </c>
      <c r="G82" s="1">
        <v>1.072501317125406E-3</v>
      </c>
      <c r="H82" s="1">
        <v>5.4040585284522791E-4</v>
      </c>
      <c r="I82" s="1">
        <v>1.3522990663177514E-3</v>
      </c>
      <c r="J82" s="1">
        <v>6.9210328530892634E-4</v>
      </c>
      <c r="K82" s="1">
        <v>1.0136276633100172E-3</v>
      </c>
      <c r="L82" s="1">
        <v>1.7417121285220194E-4</v>
      </c>
      <c r="M82" s="1">
        <v>5.6650288984179224E-4</v>
      </c>
      <c r="N82" s="1">
        <v>5.5506495671961355E-4</v>
      </c>
      <c r="O82" s="1">
        <v>5.0193454227598128E-4</v>
      </c>
      <c r="P82" s="1">
        <v>4.8460349371267318E-4</v>
      </c>
      <c r="Q82" s="1">
        <v>1.2482809378441446E-3</v>
      </c>
      <c r="R82" s="1">
        <v>7.867264620085258E-4</v>
      </c>
      <c r="S82" s="1">
        <v>-7.1387106820005992E-5</v>
      </c>
      <c r="T82" s="1">
        <v>9.1422423156169164E-4</v>
      </c>
      <c r="U82" s="1">
        <v>2.1047599518367573E-3</v>
      </c>
      <c r="V82" s="1">
        <v>5.1757610051151605E-4</v>
      </c>
      <c r="W82" s="1">
        <v>5.4766070868821071E-4</v>
      </c>
      <c r="X82" s="1">
        <v>6.308902634161081E-4</v>
      </c>
      <c r="Y82" s="1">
        <v>-1.1785591644319015E-4</v>
      </c>
      <c r="Z82" s="1">
        <v>1.255599957804587E-3</v>
      </c>
      <c r="AA82" s="1">
        <v>3.9473347635233055E-4</v>
      </c>
      <c r="AB82" s="1">
        <v>7.804170931732258E-4</v>
      </c>
      <c r="AC82" s="1">
        <v>2.1886314462160925E-4</v>
      </c>
      <c r="AD82" s="1">
        <v>9.5935495892706714E-4</v>
      </c>
      <c r="AE82" s="1">
        <v>7.9994788876137327E-4</v>
      </c>
      <c r="AF82" s="1">
        <v>2.4382074727496181E-3</v>
      </c>
      <c r="AG82" s="1">
        <v>5.9463628261321403E-4</v>
      </c>
      <c r="AH82" s="1">
        <v>2.0538051142229277E-3</v>
      </c>
      <c r="AI82" s="1">
        <v>1.3569122634171072E-3</v>
      </c>
      <c r="AJ82" s="1">
        <v>1.6235072789663938E-4</v>
      </c>
      <c r="AK82" s="1">
        <v>4.7207207361243784E-4</v>
      </c>
      <c r="AL82" s="1">
        <v>7.5833433322033852E-4</v>
      </c>
      <c r="AM82" s="1">
        <v>7.8192092542521906E-4</v>
      </c>
      <c r="AN82" s="1">
        <v>1.5098336981650825E-3</v>
      </c>
      <c r="AO82" s="1">
        <v>9.8910131624592185E-4</v>
      </c>
    </row>
    <row r="83" spans="1:41" ht="15">
      <c r="A83" s="19" t="s">
        <v>102</v>
      </c>
      <c r="B83" s="1">
        <v>1.9110458371394056E-3</v>
      </c>
      <c r="C83" s="1">
        <v>2.4276170346381728E-4</v>
      </c>
      <c r="D83" s="1">
        <v>1.002954915746786E-4</v>
      </c>
      <c r="E83" s="1">
        <v>4.769640493911404E-4</v>
      </c>
      <c r="F83" s="1">
        <v>1.2370175660560063E-3</v>
      </c>
      <c r="G83" s="1">
        <v>1.3692044249588482E-3</v>
      </c>
      <c r="H83" s="1">
        <v>1.4369054426761666E-3</v>
      </c>
      <c r="I83" s="1">
        <v>2.2250951166241347E-3</v>
      </c>
      <c r="J83" s="1">
        <v>3.0558850954461787E-3</v>
      </c>
      <c r="K83" s="1">
        <v>2.6626827274310173E-3</v>
      </c>
      <c r="L83" s="1">
        <v>6.4809045513709862E-4</v>
      </c>
      <c r="M83" s="1">
        <v>-4.2408940386868535E-4</v>
      </c>
      <c r="N83" s="1">
        <v>1.2768855711028455E-3</v>
      </c>
      <c r="O83" s="1">
        <v>1.802712398850458E-3</v>
      </c>
      <c r="P83" s="1">
        <v>1.7486394351864107E-3</v>
      </c>
      <c r="Q83" s="1">
        <v>2.7993337446486403E-3</v>
      </c>
      <c r="R83" s="1">
        <v>3.1548117536701423E-3</v>
      </c>
      <c r="S83" s="1">
        <v>1.1247654273381276E-3</v>
      </c>
      <c r="T83" s="1">
        <v>2.6534212954307714E-3</v>
      </c>
      <c r="U83" s="1">
        <v>3.644324674180644E-3</v>
      </c>
      <c r="V83" s="1">
        <v>2.0666591941324373E-3</v>
      </c>
      <c r="W83" s="1">
        <v>3.8050678565923517E-4</v>
      </c>
      <c r="X83" s="1">
        <v>2.8656139103311064E-3</v>
      </c>
      <c r="Y83" s="1">
        <v>4.1877572979429019E-4</v>
      </c>
      <c r="Z83" s="1">
        <v>7.3260577660101288E-4</v>
      </c>
      <c r="AA83" s="1">
        <v>1.5428407902739391E-3</v>
      </c>
      <c r="AB83" s="1">
        <v>1.8132014422965446E-3</v>
      </c>
      <c r="AC83" s="1">
        <v>5.5129056456526852E-3</v>
      </c>
      <c r="AD83" s="1">
        <v>1.6170158525349468E-3</v>
      </c>
      <c r="AE83" s="1">
        <v>3.0094292460371764E-3</v>
      </c>
      <c r="AF83" s="1">
        <v>5.9463628261321403E-4</v>
      </c>
      <c r="AG83" s="1">
        <v>9.7318269862282022E-3</v>
      </c>
      <c r="AH83" s="1">
        <v>3.6726541777537644E-3</v>
      </c>
      <c r="AI83" s="1">
        <v>2.6785999509835725E-3</v>
      </c>
      <c r="AJ83" s="1">
        <v>5.4433286350503238E-3</v>
      </c>
      <c r="AK83" s="1">
        <v>3.5240155632869992E-3</v>
      </c>
      <c r="AL83" s="1">
        <v>3.2049113324286479E-3</v>
      </c>
      <c r="AM83" s="1">
        <v>5.5816883081560237E-3</v>
      </c>
      <c r="AN83" s="1">
        <v>2.0366277277461902E-3</v>
      </c>
      <c r="AO83" s="1">
        <v>3.0689365689111105E-3</v>
      </c>
    </row>
    <row r="84" spans="1:41" ht="15">
      <c r="A84" s="19" t="s">
        <v>110</v>
      </c>
      <c r="B84" s="1">
        <v>2.1966407692762401E-3</v>
      </c>
      <c r="C84" s="1">
        <v>1.0287976678004724E-3</v>
      </c>
      <c r="D84" s="1">
        <v>1.6916879370378114E-3</v>
      </c>
      <c r="E84" s="1">
        <v>1.6557464065726783E-3</v>
      </c>
      <c r="F84" s="1">
        <v>2.4348239572372118E-3</v>
      </c>
      <c r="G84" s="1">
        <v>2.1509463505463549E-3</v>
      </c>
      <c r="H84" s="1">
        <v>1.2700384392090494E-3</v>
      </c>
      <c r="I84" s="1">
        <v>1.9500946117015361E-3</v>
      </c>
      <c r="J84" s="1">
        <v>1.8778542812219353E-3</v>
      </c>
      <c r="K84" s="1">
        <v>3.764631946025351E-3</v>
      </c>
      <c r="L84" s="1">
        <v>1.7852270654966443E-3</v>
      </c>
      <c r="M84" s="1">
        <v>6.4192682360627955E-4</v>
      </c>
      <c r="N84" s="1">
        <v>1.2518819363462766E-3</v>
      </c>
      <c r="O84" s="1">
        <v>1.3826957092114382E-3</v>
      </c>
      <c r="P84" s="1">
        <v>-7.243436796641737E-4</v>
      </c>
      <c r="Q84" s="1">
        <v>5.262562110619054E-3</v>
      </c>
      <c r="R84" s="1">
        <v>-6.2227969009353646E-5</v>
      </c>
      <c r="S84" s="1">
        <v>7.7129434355869197E-4</v>
      </c>
      <c r="T84" s="1">
        <v>2.4422594766829102E-3</v>
      </c>
      <c r="U84" s="1">
        <v>3.0804081859874218E-3</v>
      </c>
      <c r="V84" s="1">
        <v>1.148735860253247E-3</v>
      </c>
      <c r="W84" s="1">
        <v>9.7838154393982673E-4</v>
      </c>
      <c r="X84" s="1">
        <v>2.3690028725504627E-3</v>
      </c>
      <c r="Y84" s="1">
        <v>4.5791252135033902E-3</v>
      </c>
      <c r="Z84" s="1">
        <v>1.5705804592565111E-3</v>
      </c>
      <c r="AA84" s="1">
        <v>1.4347032202559975E-3</v>
      </c>
      <c r="AB84" s="1">
        <v>1.2423272484505374E-3</v>
      </c>
      <c r="AC84" s="1">
        <v>3.4618317941065334E-3</v>
      </c>
      <c r="AD84" s="1">
        <v>1.2548375163646223E-3</v>
      </c>
      <c r="AE84" s="1">
        <v>1.2867313736381694E-3</v>
      </c>
      <c r="AF84" s="1">
        <v>2.0538051142229277E-3</v>
      </c>
      <c r="AG84" s="1">
        <v>3.6726541777537644E-3</v>
      </c>
      <c r="AH84" s="1">
        <v>1.5639900734640961E-2</v>
      </c>
      <c r="AI84" s="1">
        <v>3.6570565409058601E-3</v>
      </c>
      <c r="AJ84" s="1">
        <v>3.5875872641644331E-3</v>
      </c>
      <c r="AK84" s="1">
        <v>1.2650527547845157E-3</v>
      </c>
      <c r="AL84" s="1">
        <v>3.0212453137865706E-3</v>
      </c>
      <c r="AM84" s="1">
        <v>4.1254695469319889E-3</v>
      </c>
      <c r="AN84" s="1">
        <v>2.2008974196128326E-3</v>
      </c>
      <c r="AO84" s="1">
        <v>4.2602876482905781E-3</v>
      </c>
    </row>
    <row r="85" spans="1:41" ht="15">
      <c r="A85" s="19" t="s">
        <v>114</v>
      </c>
      <c r="B85" s="1">
        <v>1.8480285576184087E-3</v>
      </c>
      <c r="C85" s="1">
        <v>1.1050635056198842E-3</v>
      </c>
      <c r="D85" s="1">
        <v>-5.7773069253003553E-4</v>
      </c>
      <c r="E85" s="1">
        <v>2.0492923255494015E-3</v>
      </c>
      <c r="F85" s="1">
        <v>1.925101268135861E-3</v>
      </c>
      <c r="G85" s="1">
        <v>2.0084198516966082E-3</v>
      </c>
      <c r="H85" s="1">
        <v>7.6823645710396692E-4</v>
      </c>
      <c r="I85" s="1">
        <v>2.1272741221085851E-3</v>
      </c>
      <c r="J85" s="1">
        <v>2.5014071827525789E-3</v>
      </c>
      <c r="K85" s="1">
        <v>2.3774982817917397E-3</v>
      </c>
      <c r="L85" s="1">
        <v>7.1930201000000918E-4</v>
      </c>
      <c r="M85" s="1">
        <v>2.6837799808549504E-4</v>
      </c>
      <c r="N85" s="1">
        <v>1.842434817596752E-3</v>
      </c>
      <c r="O85" s="1">
        <v>2.4889317987475553E-3</v>
      </c>
      <c r="P85" s="1">
        <v>1.776967938833268E-3</v>
      </c>
      <c r="Q85" s="1">
        <v>1.5208872734094226E-3</v>
      </c>
      <c r="R85" s="1">
        <v>5.2882246721906905E-3</v>
      </c>
      <c r="S85" s="1">
        <v>8.2780034671402713E-4</v>
      </c>
      <c r="T85" s="1">
        <v>2.2827801861742001E-3</v>
      </c>
      <c r="U85" s="1">
        <v>5.1898600942923995E-3</v>
      </c>
      <c r="V85" s="1">
        <v>2.8966073686548716E-3</v>
      </c>
      <c r="W85" s="1">
        <v>2.3669698330936141E-3</v>
      </c>
      <c r="X85" s="1">
        <v>2.9793430851577582E-3</v>
      </c>
      <c r="Y85" s="1">
        <v>3.4839343826527699E-3</v>
      </c>
      <c r="Z85" s="1">
        <v>1.76142475934398E-3</v>
      </c>
      <c r="AA85" s="1">
        <v>2.6081821251820333E-3</v>
      </c>
      <c r="AB85" s="1">
        <v>1.9953666027375601E-3</v>
      </c>
      <c r="AC85" s="1">
        <v>7.4770148673197227E-3</v>
      </c>
      <c r="AD85" s="1">
        <v>1.3774966399169837E-3</v>
      </c>
      <c r="AE85" s="1">
        <v>3.5896241640939962E-3</v>
      </c>
      <c r="AF85" s="1">
        <v>1.3569122634171072E-3</v>
      </c>
      <c r="AG85" s="1">
        <v>2.6785999509835725E-3</v>
      </c>
      <c r="AH85" s="1">
        <v>3.6570565409058601E-3</v>
      </c>
      <c r="AI85" s="1">
        <v>9.1772687531205526E-3</v>
      </c>
      <c r="AJ85" s="1">
        <v>4.8604582323804697E-3</v>
      </c>
      <c r="AK85" s="1">
        <v>3.5259785539897615E-3</v>
      </c>
      <c r="AL85" s="1">
        <v>2.2763286244301944E-3</v>
      </c>
      <c r="AM85" s="1">
        <v>4.2645560945223145E-3</v>
      </c>
      <c r="AN85" s="1">
        <v>2.0989354809319654E-3</v>
      </c>
      <c r="AO85" s="1">
        <v>3.9597950102051175E-3</v>
      </c>
    </row>
    <row r="86" spans="1:41" ht="15">
      <c r="A86" s="19" t="s">
        <v>120</v>
      </c>
      <c r="B86" s="1">
        <v>6.0347755269844988E-4</v>
      </c>
      <c r="C86" s="1">
        <v>4.3732113743415033E-4</v>
      </c>
      <c r="D86" s="1">
        <v>4.533007022813719E-5</v>
      </c>
      <c r="E86" s="1">
        <v>3.6540647837184207E-3</v>
      </c>
      <c r="F86" s="1">
        <v>2.6965063487649267E-3</v>
      </c>
      <c r="G86" s="1">
        <v>1.1530138948654125E-3</v>
      </c>
      <c r="H86" s="1">
        <v>3.6757153383900399E-3</v>
      </c>
      <c r="I86" s="1">
        <v>1.4303633407626716E-3</v>
      </c>
      <c r="J86" s="1">
        <v>2.7832508229990345E-3</v>
      </c>
      <c r="K86" s="1">
        <v>4.6349601181550236E-3</v>
      </c>
      <c r="L86" s="1">
        <v>-8.1464034783007154E-4</v>
      </c>
      <c r="M86" s="1">
        <v>-1.9289662248330147E-4</v>
      </c>
      <c r="N86" s="1">
        <v>1.647347807089397E-3</v>
      </c>
      <c r="O86" s="1">
        <v>2.5457662641125093E-3</v>
      </c>
      <c r="P86" s="1">
        <v>3.3058178027841893E-3</v>
      </c>
      <c r="Q86" s="1">
        <v>8.2906017833246322E-4</v>
      </c>
      <c r="R86" s="1">
        <v>2.1031888995727672E-3</v>
      </c>
      <c r="S86" s="1">
        <v>2.2674103023238444E-3</v>
      </c>
      <c r="T86" s="1">
        <v>4.0201875508973344E-3</v>
      </c>
      <c r="U86" s="1">
        <v>6.7968532054320423E-3</v>
      </c>
      <c r="V86" s="1">
        <v>2.2219169984395428E-3</v>
      </c>
      <c r="W86" s="1">
        <v>1.1965334003614895E-3</v>
      </c>
      <c r="X86" s="1">
        <v>4.0633819179504574E-3</v>
      </c>
      <c r="Y86" s="1">
        <v>4.2560438698398722E-3</v>
      </c>
      <c r="Z86" s="1">
        <v>4.3022322500328432E-4</v>
      </c>
      <c r="AA86" s="1">
        <v>2.3629353808357341E-3</v>
      </c>
      <c r="AB86" s="1">
        <v>-7.3261230567131714E-4</v>
      </c>
      <c r="AC86" s="1">
        <v>6.5550150550750183E-3</v>
      </c>
      <c r="AD86" s="1">
        <v>1.3518378280969491E-3</v>
      </c>
      <c r="AE86" s="1">
        <v>8.5045718141098844E-4</v>
      </c>
      <c r="AF86" s="1">
        <v>1.6235072789663938E-4</v>
      </c>
      <c r="AG86" s="1">
        <v>5.4433286350503238E-3</v>
      </c>
      <c r="AH86" s="1">
        <v>3.5875872641644331E-3</v>
      </c>
      <c r="AI86" s="1">
        <v>4.8604582323804697E-3</v>
      </c>
      <c r="AJ86" s="1">
        <v>2.0397344755797461E-2</v>
      </c>
      <c r="AK86" s="1">
        <v>5.2972699523477339E-3</v>
      </c>
      <c r="AL86" s="1">
        <v>5.5798438737608095E-3</v>
      </c>
      <c r="AM86" s="1">
        <v>2.013881388693553E-3</v>
      </c>
      <c r="AN86" s="1">
        <v>2.3326247727004936E-3</v>
      </c>
      <c r="AO86" s="1">
        <v>5.8173924803234245E-3</v>
      </c>
    </row>
    <row r="87" spans="1:41" ht="15">
      <c r="A87" s="19" t="s">
        <v>123</v>
      </c>
      <c r="B87" s="1">
        <v>1.245085138931684E-3</v>
      </c>
      <c r="C87" s="1">
        <v>7.20858597532851E-4</v>
      </c>
      <c r="D87" s="1">
        <v>4.2715904218126524E-4</v>
      </c>
      <c r="E87" s="1">
        <v>1.2411142344615253E-3</v>
      </c>
      <c r="F87" s="1">
        <v>1.3449598897855789E-3</v>
      </c>
      <c r="G87" s="1">
        <v>6.0111672451033569E-4</v>
      </c>
      <c r="H87" s="1">
        <v>8.2184689739047832E-4</v>
      </c>
      <c r="I87" s="1">
        <v>6.9743991367846026E-4</v>
      </c>
      <c r="J87" s="1">
        <v>1.958890526277797E-3</v>
      </c>
      <c r="K87" s="1">
        <v>2.7264710098820525E-3</v>
      </c>
      <c r="L87" s="1">
        <v>-3.1194526596845445E-4</v>
      </c>
      <c r="M87" s="1">
        <v>1.3385211762632429E-4</v>
      </c>
      <c r="N87" s="1">
        <v>8.0768296880582549E-4</v>
      </c>
      <c r="O87" s="1">
        <v>1.696301088236144E-3</v>
      </c>
      <c r="P87" s="1">
        <v>3.0332083480278907E-3</v>
      </c>
      <c r="Q87" s="1">
        <v>1.7033674587029254E-3</v>
      </c>
      <c r="R87" s="1">
        <v>1.2740115300839115E-3</v>
      </c>
      <c r="S87" s="1">
        <v>1.0165915848284095E-3</v>
      </c>
      <c r="T87" s="1">
        <v>9.0543093715176844E-4</v>
      </c>
      <c r="U87" s="1">
        <v>4.2455172499474862E-3</v>
      </c>
      <c r="V87" s="1">
        <v>1.4857609514189055E-3</v>
      </c>
      <c r="W87" s="1">
        <v>1.0119801948071116E-3</v>
      </c>
      <c r="X87" s="1">
        <v>2.311806103808935E-3</v>
      </c>
      <c r="Y87" s="1">
        <v>1.3850564153923559E-3</v>
      </c>
      <c r="Z87" s="1">
        <v>6.7861659821150469E-4</v>
      </c>
      <c r="AA87" s="1">
        <v>1.6120137100456696E-3</v>
      </c>
      <c r="AB87" s="1">
        <v>1.3452424159860429E-3</v>
      </c>
      <c r="AC87" s="1">
        <v>3.8591826336859007E-3</v>
      </c>
      <c r="AD87" s="1">
        <v>1.46755929100466E-3</v>
      </c>
      <c r="AE87" s="1">
        <v>1.9111992062658199E-3</v>
      </c>
      <c r="AF87" s="1">
        <v>4.7207207361243784E-4</v>
      </c>
      <c r="AG87" s="1">
        <v>3.5240155632869992E-3</v>
      </c>
      <c r="AH87" s="1">
        <v>1.2650527547845157E-3</v>
      </c>
      <c r="AI87" s="1">
        <v>3.5259785539897615E-3</v>
      </c>
      <c r="AJ87" s="1">
        <v>5.2972699523477339E-3</v>
      </c>
      <c r="AK87" s="1">
        <v>6.8820118234713089E-3</v>
      </c>
      <c r="AL87" s="1">
        <v>2.1068971090685003E-3</v>
      </c>
      <c r="AM87" s="1">
        <v>2.5116648695684492E-3</v>
      </c>
      <c r="AN87" s="1">
        <v>1.1621836122910007E-3</v>
      </c>
      <c r="AO87" s="1">
        <v>3.1911083811324028E-3</v>
      </c>
    </row>
    <row r="88" spans="1:41" ht="15">
      <c r="A88" s="19" t="s">
        <v>127</v>
      </c>
      <c r="B88" s="1">
        <v>1.6411223758203061E-3</v>
      </c>
      <c r="C88" s="1">
        <v>1.2617161013877809E-3</v>
      </c>
      <c r="D88" s="1">
        <v>1.013099297831782E-3</v>
      </c>
      <c r="E88" s="1">
        <v>2.420454120566861E-3</v>
      </c>
      <c r="F88" s="1">
        <v>1.7507654423845715E-3</v>
      </c>
      <c r="G88" s="1">
        <v>1.0634715544763549E-3</v>
      </c>
      <c r="H88" s="1">
        <v>2.2739603680219981E-3</v>
      </c>
      <c r="I88" s="1">
        <v>1.313238359005023E-3</v>
      </c>
      <c r="J88" s="1">
        <v>1.863362213677076E-3</v>
      </c>
      <c r="K88" s="1">
        <v>2.5014030351887965E-3</v>
      </c>
      <c r="L88" s="1">
        <v>-4.7806633594719788E-4</v>
      </c>
      <c r="M88" s="1">
        <v>4.5410492392380442E-4</v>
      </c>
      <c r="N88" s="1">
        <v>1.346705119460387E-3</v>
      </c>
      <c r="O88" s="1">
        <v>1.1673453397809052E-3</v>
      </c>
      <c r="P88" s="1">
        <v>1.3254085133657606E-3</v>
      </c>
      <c r="Q88" s="1">
        <v>6.0558116167757134E-5</v>
      </c>
      <c r="R88" s="1">
        <v>1.3352033666431792E-3</v>
      </c>
      <c r="S88" s="1">
        <v>2.4108011100732081E-3</v>
      </c>
      <c r="T88" s="1">
        <v>2.4224823722742736E-3</v>
      </c>
      <c r="U88" s="1">
        <v>3.3238520333939191E-3</v>
      </c>
      <c r="V88" s="1">
        <v>2.4735433505140799E-3</v>
      </c>
      <c r="W88" s="1">
        <v>9.7586228154326784E-4</v>
      </c>
      <c r="X88" s="1">
        <v>2.0781173958332828E-3</v>
      </c>
      <c r="Y88" s="1">
        <v>5.1563275201398865E-3</v>
      </c>
      <c r="Z88" s="1">
        <v>1.6685383768161148E-3</v>
      </c>
      <c r="AA88" s="1">
        <v>1.7633436510728735E-3</v>
      </c>
      <c r="AB88" s="1">
        <v>3.1280305948992363E-4</v>
      </c>
      <c r="AC88" s="1">
        <v>5.0696183177307459E-3</v>
      </c>
      <c r="AD88" s="1">
        <v>8.2984662190023505E-4</v>
      </c>
      <c r="AE88" s="1">
        <v>1.5497436307508898E-3</v>
      </c>
      <c r="AF88" s="1">
        <v>7.5833433322033852E-4</v>
      </c>
      <c r="AG88" s="1">
        <v>3.2049113324286479E-3</v>
      </c>
      <c r="AH88" s="1">
        <v>3.0212453137865706E-3</v>
      </c>
      <c r="AI88" s="1">
        <v>2.2763286244301944E-3</v>
      </c>
      <c r="AJ88" s="1">
        <v>5.5798438737608095E-3</v>
      </c>
      <c r="AK88" s="1">
        <v>2.1068971090685003E-3</v>
      </c>
      <c r="AL88" s="1">
        <v>6.2923600474747302E-3</v>
      </c>
      <c r="AM88" s="1">
        <v>2.7631193364018309E-3</v>
      </c>
      <c r="AN88" s="1">
        <v>1.365688272536237E-3</v>
      </c>
      <c r="AO88" s="1">
        <v>4.3739670470682168E-3</v>
      </c>
    </row>
    <row r="89" spans="1:41" ht="15">
      <c r="A89" s="19" t="s">
        <v>139</v>
      </c>
      <c r="B89" s="1">
        <v>2.931852214482192E-3</v>
      </c>
      <c r="C89" s="1">
        <v>1.8993498772348885E-3</v>
      </c>
      <c r="D89" s="1">
        <v>1.8704780394653586E-3</v>
      </c>
      <c r="E89" s="1">
        <v>2.7367962630821165E-3</v>
      </c>
      <c r="F89" s="1">
        <v>2.7057491325352574E-3</v>
      </c>
      <c r="G89" s="1">
        <v>2.3982526250466282E-3</v>
      </c>
      <c r="H89" s="1">
        <v>1.1534979334236351E-3</v>
      </c>
      <c r="I89" s="1">
        <v>1.2190398764411266E-3</v>
      </c>
      <c r="J89" s="1">
        <v>2.4103508752523419E-3</v>
      </c>
      <c r="K89" s="1">
        <v>1.8455375564456885E-3</v>
      </c>
      <c r="L89" s="1">
        <v>8.4065656783524482E-4</v>
      </c>
      <c r="M89" s="1">
        <v>7.679908050798593E-4</v>
      </c>
      <c r="N89" s="1">
        <v>3.3551908835623605E-3</v>
      </c>
      <c r="O89" s="1">
        <v>1.3233270548635675E-3</v>
      </c>
      <c r="P89" s="1">
        <v>1.5040066938497524E-3</v>
      </c>
      <c r="Q89" s="1">
        <v>5.1760693150007227E-4</v>
      </c>
      <c r="R89" s="1">
        <v>5.3670429669066639E-3</v>
      </c>
      <c r="S89" s="1">
        <v>2.327249237530471E-3</v>
      </c>
      <c r="T89" s="1">
        <v>4.1272210254552459E-3</v>
      </c>
      <c r="U89" s="1">
        <v>3.934432004494808E-3</v>
      </c>
      <c r="V89" s="1">
        <v>1.8600138436928491E-3</v>
      </c>
      <c r="W89" s="1">
        <v>4.3302852926951725E-3</v>
      </c>
      <c r="X89" s="1">
        <v>3.8527922828980651E-3</v>
      </c>
      <c r="Y89" s="1">
        <v>8.8990055998371623E-3</v>
      </c>
      <c r="Z89" s="1">
        <v>2.8991282369343566E-3</v>
      </c>
      <c r="AA89" s="1">
        <v>2.2194252502162931E-3</v>
      </c>
      <c r="AB89" s="1">
        <v>1.8252007090284236E-3</v>
      </c>
      <c r="AC89" s="1">
        <v>1.0432772203474551E-2</v>
      </c>
      <c r="AD89" s="1">
        <v>1.5704929541035279E-3</v>
      </c>
      <c r="AE89" s="1">
        <v>3.9311256398510868E-3</v>
      </c>
      <c r="AF89" s="1">
        <v>7.8192092542521906E-4</v>
      </c>
      <c r="AG89" s="1">
        <v>5.5816883081560237E-3</v>
      </c>
      <c r="AH89" s="1">
        <v>4.1254695469319889E-3</v>
      </c>
      <c r="AI89" s="1">
        <v>4.2645560945223145E-3</v>
      </c>
      <c r="AJ89" s="1">
        <v>2.013881388693553E-3</v>
      </c>
      <c r="AK89" s="1">
        <v>2.5116648695684492E-3</v>
      </c>
      <c r="AL89" s="1">
        <v>2.7631193364018309E-3</v>
      </c>
      <c r="AM89" s="1">
        <v>2.885434416987875E-2</v>
      </c>
      <c r="AN89" s="1">
        <v>2.1247081408938529E-3</v>
      </c>
      <c r="AO89" s="1">
        <v>1.9176733922390125E-3</v>
      </c>
    </row>
    <row r="90" spans="1:41" ht="15">
      <c r="A90" s="19" t="s">
        <v>140</v>
      </c>
      <c r="B90" s="1">
        <v>1.1030023320838401E-3</v>
      </c>
      <c r="C90" s="1">
        <v>5.2226896543385091E-4</v>
      </c>
      <c r="D90" s="1">
        <v>-4.1974062406284582E-4</v>
      </c>
      <c r="E90" s="1">
        <v>9.1411807406567179E-4</v>
      </c>
      <c r="F90" s="1">
        <v>6.3251913789167985E-4</v>
      </c>
      <c r="G90" s="1">
        <v>1.2422259618738293E-3</v>
      </c>
      <c r="H90" s="1">
        <v>1.4090316659352781E-3</v>
      </c>
      <c r="I90" s="1">
        <v>2.6865436009399345E-3</v>
      </c>
      <c r="J90" s="1">
        <v>1.6870664501660935E-3</v>
      </c>
      <c r="K90" s="1">
        <v>7.5413946571007296E-4</v>
      </c>
      <c r="L90" s="1">
        <v>1.0663592805973815E-3</v>
      </c>
      <c r="M90" s="1">
        <v>4.2871806813742915E-4</v>
      </c>
      <c r="N90" s="1">
        <v>1.5309391747402555E-3</v>
      </c>
      <c r="O90" s="1">
        <v>1.9793650903887896E-3</v>
      </c>
      <c r="P90" s="1">
        <v>2.2079718666711125E-3</v>
      </c>
      <c r="Q90" s="1">
        <v>1.5740575470682739E-3</v>
      </c>
      <c r="R90" s="1">
        <v>4.4115068563911411E-3</v>
      </c>
      <c r="S90" s="1">
        <v>7.4163390719607846E-4</v>
      </c>
      <c r="T90" s="1">
        <v>2.1007856406765751E-3</v>
      </c>
      <c r="U90" s="1">
        <v>4.9652982628498356E-3</v>
      </c>
      <c r="V90" s="1">
        <v>2.0907033514892402E-3</v>
      </c>
      <c r="W90" s="1">
        <v>2.4933542337127182E-3</v>
      </c>
      <c r="X90" s="1">
        <v>2.7156086847481184E-3</v>
      </c>
      <c r="Y90" s="1">
        <v>1.1953264721574859E-3</v>
      </c>
      <c r="Z90" s="1">
        <v>7.0844652530667647E-4</v>
      </c>
      <c r="AA90" s="1">
        <v>1.3347429769108654E-3</v>
      </c>
      <c r="AB90" s="1">
        <v>1.3913286681657821E-3</v>
      </c>
      <c r="AC90" s="1">
        <v>6.0836709838926989E-4</v>
      </c>
      <c r="AD90" s="1">
        <v>4.6759636489879149E-4</v>
      </c>
      <c r="AE90" s="1">
        <v>2.0279358730607481E-3</v>
      </c>
      <c r="AF90" s="1">
        <v>1.5098336981650825E-3</v>
      </c>
      <c r="AG90" s="1">
        <v>2.0366277277461902E-3</v>
      </c>
      <c r="AH90" s="1">
        <v>2.2008974196128326E-3</v>
      </c>
      <c r="AI90" s="1">
        <v>2.0989354809319654E-3</v>
      </c>
      <c r="AJ90" s="1">
        <v>2.3326247727004936E-3</v>
      </c>
      <c r="AK90" s="1">
        <v>1.1621836122910007E-3</v>
      </c>
      <c r="AL90" s="1">
        <v>1.365688272536237E-3</v>
      </c>
      <c r="AM90" s="1">
        <v>2.1247081408938529E-3</v>
      </c>
      <c r="AN90" s="1">
        <v>5.6007421868388939E-3</v>
      </c>
      <c r="AO90" s="1">
        <v>9.7878755594260343E-4</v>
      </c>
    </row>
    <row r="91" spans="1:41" ht="15">
      <c r="A91" s="19" t="s">
        <v>142</v>
      </c>
      <c r="B91" s="1">
        <v>1.2851903873514899E-3</v>
      </c>
      <c r="C91" s="1">
        <v>1.1358567721405837E-4</v>
      </c>
      <c r="D91" s="1">
        <v>4.8946081349817509E-5</v>
      </c>
      <c r="E91" s="1">
        <v>7.424420018240876E-4</v>
      </c>
      <c r="F91" s="1">
        <v>1.8646384571778846E-4</v>
      </c>
      <c r="G91" s="1">
        <v>1.2956815744458903E-3</v>
      </c>
      <c r="H91" s="1">
        <v>1.7344635285310272E-3</v>
      </c>
      <c r="I91" s="1">
        <v>1.0470984970288671E-3</v>
      </c>
      <c r="J91" s="1">
        <v>8.2775538598598634E-4</v>
      </c>
      <c r="K91" s="1">
        <v>2.2203164818035744E-3</v>
      </c>
      <c r="L91" s="1">
        <v>-2.086691673850899E-3</v>
      </c>
      <c r="M91" s="1">
        <v>3.9293881165199717E-5</v>
      </c>
      <c r="N91" s="1">
        <v>8.4115848076006159E-4</v>
      </c>
      <c r="O91" s="1">
        <v>6.582177547439029E-4</v>
      </c>
      <c r="P91" s="1">
        <v>1.8776870103898668E-3</v>
      </c>
      <c r="Q91" s="1">
        <v>2.0401699470755261E-4</v>
      </c>
      <c r="R91" s="1">
        <v>1.020623959965547E-3</v>
      </c>
      <c r="S91" s="1">
        <v>1.4477437737854036E-3</v>
      </c>
      <c r="T91" s="1">
        <v>2.9335551554266277E-3</v>
      </c>
      <c r="U91" s="1">
        <v>6.1196813802961417E-4</v>
      </c>
      <c r="V91" s="1">
        <v>2.5183048277888668E-3</v>
      </c>
      <c r="W91" s="1">
        <v>1.7431099610316233E-3</v>
      </c>
      <c r="X91" s="1">
        <v>2.0938951853885159E-3</v>
      </c>
      <c r="Y91" s="1">
        <v>4.5810949384917686E-3</v>
      </c>
      <c r="Z91" s="1">
        <v>1.7028769828900912E-3</v>
      </c>
      <c r="AA91" s="1">
        <v>1.6205914680580901E-3</v>
      </c>
      <c r="AB91" s="1">
        <v>-1.2852046869502731E-4</v>
      </c>
      <c r="AC91" s="1">
        <v>9.2784341660445257E-3</v>
      </c>
      <c r="AD91" s="1">
        <v>8.7394990168595946E-4</v>
      </c>
      <c r="AE91" s="1">
        <v>1.9534556611164027E-3</v>
      </c>
      <c r="AF91" s="1">
        <v>9.8910131624592185E-4</v>
      </c>
      <c r="AG91" s="1">
        <v>3.0689365689111105E-3</v>
      </c>
      <c r="AH91" s="1">
        <v>4.2602876482905781E-3</v>
      </c>
      <c r="AI91" s="1">
        <v>3.9597950102051175E-3</v>
      </c>
      <c r="AJ91" s="1">
        <v>5.8173924803234245E-3</v>
      </c>
      <c r="AK91" s="1">
        <v>3.1911083811324028E-3</v>
      </c>
      <c r="AL91" s="1">
        <v>4.3739670470682168E-3</v>
      </c>
      <c r="AM91" s="1">
        <v>1.9176733922390125E-3</v>
      </c>
      <c r="AN91" s="1">
        <v>9.7878755594260343E-4</v>
      </c>
      <c r="AO91" s="1">
        <v>9.633373525950421E-3</v>
      </c>
    </row>
    <row r="92" spans="1:41" ht="15">
      <c r="A92" s="19"/>
    </row>
    <row r="93" spans="1:41" ht="15">
      <c r="A93" s="19"/>
    </row>
    <row r="94" spans="1:41" ht="18">
      <c r="A94" s="6" t="s">
        <v>12</v>
      </c>
    </row>
    <row r="95" spans="1:41" ht="18">
      <c r="A95" s="6"/>
    </row>
    <row r="96" spans="1:41" ht="15">
      <c r="B96" s="19" t="s">
        <v>15</v>
      </c>
      <c r="C96" s="19" t="s">
        <v>19</v>
      </c>
      <c r="D96" s="19" t="s">
        <v>17</v>
      </c>
      <c r="E96" s="19" t="s">
        <v>18</v>
      </c>
      <c r="F96" s="19" t="s">
        <v>20</v>
      </c>
      <c r="G96" s="19" t="s">
        <v>22</v>
      </c>
      <c r="H96" s="19" t="s">
        <v>23</v>
      </c>
      <c r="I96" s="19" t="s">
        <v>24</v>
      </c>
      <c r="J96" s="19" t="s">
        <v>29</v>
      </c>
      <c r="K96" s="19" t="s">
        <v>30</v>
      </c>
      <c r="L96" s="19" t="s">
        <v>32</v>
      </c>
      <c r="M96" s="19" t="s">
        <v>41</v>
      </c>
      <c r="N96" s="19" t="s">
        <v>43</v>
      </c>
      <c r="O96" s="19" t="s">
        <v>45</v>
      </c>
      <c r="P96" s="19" t="s">
        <v>47</v>
      </c>
      <c r="Q96" s="19" t="s">
        <v>50</v>
      </c>
      <c r="R96" s="19" t="s">
        <v>52</v>
      </c>
      <c r="S96" s="19" t="s">
        <v>53</v>
      </c>
      <c r="T96" s="19" t="s">
        <v>54</v>
      </c>
      <c r="U96" s="19" t="s">
        <v>57</v>
      </c>
      <c r="V96" s="19" t="s">
        <v>62</v>
      </c>
      <c r="W96" s="19" t="s">
        <v>66</v>
      </c>
      <c r="X96" s="19" t="s">
        <v>70</v>
      </c>
      <c r="Y96" s="19" t="s">
        <v>74</v>
      </c>
      <c r="Z96" s="19" t="s">
        <v>76</v>
      </c>
      <c r="AA96" s="19" t="s">
        <v>79</v>
      </c>
      <c r="AB96" s="19" t="s">
        <v>87</v>
      </c>
      <c r="AC96" s="19" t="s">
        <v>88</v>
      </c>
      <c r="AD96" s="19" t="s">
        <v>91</v>
      </c>
      <c r="AE96" s="19" t="s">
        <v>94</v>
      </c>
      <c r="AF96" s="19" t="s">
        <v>95</v>
      </c>
      <c r="AG96" s="19" t="s">
        <v>102</v>
      </c>
      <c r="AH96" s="19" t="s">
        <v>110</v>
      </c>
      <c r="AI96" s="19" t="s">
        <v>114</v>
      </c>
      <c r="AJ96" s="19" t="s">
        <v>120</v>
      </c>
      <c r="AK96" s="19" t="s">
        <v>123</v>
      </c>
      <c r="AL96" s="19" t="s">
        <v>127</v>
      </c>
      <c r="AM96" s="19" t="s">
        <v>139</v>
      </c>
      <c r="AN96" s="19" t="s">
        <v>140</v>
      </c>
      <c r="AO96" s="19" t="s">
        <v>142</v>
      </c>
    </row>
    <row r="97" spans="1:41" ht="15">
      <c r="A97" s="19" t="s">
        <v>15</v>
      </c>
      <c r="B97" s="1">
        <f t="array" ref="B97:AO136">MMULT(TRANSPOSE(Data!B132:AO189-Data!B191:AO191),Data!B132:AO189-Data!B191:AO191)/57*IF(B96:AO96=A97:A136,1,0)</f>
        <v>2.399561424498947E-3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3">
        <v>0</v>
      </c>
      <c r="T97" s="3">
        <v>0</v>
      </c>
      <c r="U97" s="3">
        <v>0</v>
      </c>
      <c r="V97" s="3">
        <v>0</v>
      </c>
      <c r="W97" s="3">
        <v>0</v>
      </c>
      <c r="X97" s="3">
        <v>0</v>
      </c>
      <c r="Y97" s="3">
        <v>0</v>
      </c>
      <c r="Z97" s="3">
        <v>0</v>
      </c>
      <c r="AA97" s="3">
        <v>0</v>
      </c>
      <c r="AB97" s="3">
        <v>0</v>
      </c>
      <c r="AC97" s="3">
        <v>0</v>
      </c>
      <c r="AD97" s="3">
        <v>0</v>
      </c>
      <c r="AE97" s="3">
        <v>0</v>
      </c>
      <c r="AF97" s="3">
        <v>0</v>
      </c>
      <c r="AG97" s="3">
        <v>0</v>
      </c>
      <c r="AH97" s="3">
        <v>0</v>
      </c>
      <c r="AI97" s="3">
        <v>0</v>
      </c>
      <c r="AJ97" s="3">
        <v>0</v>
      </c>
      <c r="AK97" s="3">
        <v>0</v>
      </c>
      <c r="AL97" s="3">
        <v>0</v>
      </c>
      <c r="AM97" s="3">
        <v>0</v>
      </c>
      <c r="AN97" s="3">
        <v>0</v>
      </c>
      <c r="AO97" s="3">
        <v>0</v>
      </c>
    </row>
    <row r="98" spans="1:41" ht="15">
      <c r="A98" s="19" t="s">
        <v>19</v>
      </c>
      <c r="B98" s="3">
        <v>0</v>
      </c>
      <c r="C98" s="1">
        <v>2.5239939089386301E-3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0</v>
      </c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3">
        <v>0</v>
      </c>
      <c r="T98" s="3">
        <v>0</v>
      </c>
      <c r="U98" s="3">
        <v>0</v>
      </c>
      <c r="V98" s="3">
        <v>0</v>
      </c>
      <c r="W98" s="3">
        <v>0</v>
      </c>
      <c r="X98" s="3">
        <v>0</v>
      </c>
      <c r="Y98" s="3">
        <v>0</v>
      </c>
      <c r="Z98" s="3">
        <v>0</v>
      </c>
      <c r="AA98" s="3">
        <v>0</v>
      </c>
      <c r="AB98" s="3">
        <v>0</v>
      </c>
      <c r="AC98" s="3">
        <v>0</v>
      </c>
      <c r="AD98" s="3">
        <v>0</v>
      </c>
      <c r="AE98" s="3">
        <v>0</v>
      </c>
      <c r="AF98" s="3">
        <v>0</v>
      </c>
      <c r="AG98" s="3">
        <v>0</v>
      </c>
      <c r="AH98" s="3">
        <v>0</v>
      </c>
      <c r="AI98" s="3">
        <v>0</v>
      </c>
      <c r="AJ98" s="3">
        <v>0</v>
      </c>
      <c r="AK98" s="3">
        <v>0</v>
      </c>
      <c r="AL98" s="3">
        <v>0</v>
      </c>
      <c r="AM98" s="3">
        <v>0</v>
      </c>
      <c r="AN98" s="3">
        <v>0</v>
      </c>
      <c r="AO98" s="3">
        <v>0</v>
      </c>
    </row>
    <row r="99" spans="1:41" ht="15">
      <c r="A99" s="19" t="s">
        <v>17</v>
      </c>
      <c r="B99" s="3">
        <v>0</v>
      </c>
      <c r="C99" s="3">
        <v>0</v>
      </c>
      <c r="D99" s="1">
        <v>4.8172862830021135E-3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  <c r="J99" s="3">
        <v>0</v>
      </c>
      <c r="K99" s="3">
        <v>0</v>
      </c>
      <c r="L99" s="3">
        <v>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0</v>
      </c>
      <c r="AB99" s="3">
        <v>0</v>
      </c>
      <c r="AC99" s="3">
        <v>0</v>
      </c>
      <c r="AD99" s="3">
        <v>0</v>
      </c>
      <c r="AE99" s="3">
        <v>0</v>
      </c>
      <c r="AF99" s="3">
        <v>0</v>
      </c>
      <c r="AG99" s="3">
        <v>0</v>
      </c>
      <c r="AH99" s="3">
        <v>0</v>
      </c>
      <c r="AI99" s="3">
        <v>0</v>
      </c>
      <c r="AJ99" s="3">
        <v>0</v>
      </c>
      <c r="AK99" s="3">
        <v>0</v>
      </c>
      <c r="AL99" s="3">
        <v>0</v>
      </c>
      <c r="AM99" s="3">
        <v>0</v>
      </c>
      <c r="AN99" s="3">
        <v>0</v>
      </c>
      <c r="AO99" s="3">
        <v>0</v>
      </c>
    </row>
    <row r="100" spans="1:41" ht="15">
      <c r="A100" s="19" t="s">
        <v>18</v>
      </c>
      <c r="B100" s="3">
        <v>0</v>
      </c>
      <c r="C100" s="3">
        <v>0</v>
      </c>
      <c r="D100" s="3">
        <v>0</v>
      </c>
      <c r="E100" s="1">
        <v>7.0123970050019789E-3</v>
      </c>
      <c r="F100" s="3">
        <v>0</v>
      </c>
      <c r="G100" s="3">
        <v>0</v>
      </c>
      <c r="H100" s="3">
        <v>0</v>
      </c>
      <c r="I100" s="3">
        <v>0</v>
      </c>
      <c r="J100" s="3">
        <v>0</v>
      </c>
      <c r="K100" s="3">
        <v>0</v>
      </c>
      <c r="L100" s="3">
        <v>0</v>
      </c>
      <c r="M100" s="3">
        <v>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3">
        <v>0</v>
      </c>
      <c r="T100" s="3">
        <v>0</v>
      </c>
      <c r="U100" s="3">
        <v>0</v>
      </c>
      <c r="V100" s="3">
        <v>0</v>
      </c>
      <c r="W100" s="3">
        <v>0</v>
      </c>
      <c r="X100" s="3">
        <v>0</v>
      </c>
      <c r="Y100" s="3">
        <v>0</v>
      </c>
      <c r="Z100" s="3">
        <v>0</v>
      </c>
      <c r="AA100" s="3">
        <v>0</v>
      </c>
      <c r="AB100" s="3">
        <v>0</v>
      </c>
      <c r="AC100" s="3">
        <v>0</v>
      </c>
      <c r="AD100" s="3">
        <v>0</v>
      </c>
      <c r="AE100" s="3">
        <v>0</v>
      </c>
      <c r="AF100" s="3">
        <v>0</v>
      </c>
      <c r="AG100" s="3">
        <v>0</v>
      </c>
      <c r="AH100" s="3">
        <v>0</v>
      </c>
      <c r="AI100" s="3">
        <v>0</v>
      </c>
      <c r="AJ100" s="3">
        <v>0</v>
      </c>
      <c r="AK100" s="3">
        <v>0</v>
      </c>
      <c r="AL100" s="3">
        <v>0</v>
      </c>
      <c r="AM100" s="3">
        <v>0</v>
      </c>
      <c r="AN100" s="3">
        <v>0</v>
      </c>
      <c r="AO100" s="3">
        <v>0</v>
      </c>
    </row>
    <row r="101" spans="1:41" ht="15">
      <c r="A101" s="19" t="s">
        <v>20</v>
      </c>
      <c r="B101" s="3">
        <v>0</v>
      </c>
      <c r="C101" s="3">
        <v>0</v>
      </c>
      <c r="D101" s="3">
        <v>0</v>
      </c>
      <c r="E101" s="3">
        <v>0</v>
      </c>
      <c r="F101" s="1">
        <v>4.2330519953896707E-3</v>
      </c>
      <c r="G101" s="3">
        <v>0</v>
      </c>
      <c r="H101" s="3">
        <v>0</v>
      </c>
      <c r="I101" s="3">
        <v>0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3">
        <v>0</v>
      </c>
      <c r="T101" s="3">
        <v>0</v>
      </c>
      <c r="U101" s="3">
        <v>0</v>
      </c>
      <c r="V101" s="3">
        <v>0</v>
      </c>
      <c r="W101" s="3">
        <v>0</v>
      </c>
      <c r="X101" s="3">
        <v>0</v>
      </c>
      <c r="Y101" s="3">
        <v>0</v>
      </c>
      <c r="Z101" s="3">
        <v>0</v>
      </c>
      <c r="AA101" s="3">
        <v>0</v>
      </c>
      <c r="AB101" s="3">
        <v>0</v>
      </c>
      <c r="AC101" s="3">
        <v>0</v>
      </c>
      <c r="AD101" s="3">
        <v>0</v>
      </c>
      <c r="AE101" s="3">
        <v>0</v>
      </c>
      <c r="AF101" s="3">
        <v>0</v>
      </c>
      <c r="AG101" s="3">
        <v>0</v>
      </c>
      <c r="AH101" s="3">
        <v>0</v>
      </c>
      <c r="AI101" s="3">
        <v>0</v>
      </c>
      <c r="AJ101" s="3">
        <v>0</v>
      </c>
      <c r="AK101" s="3">
        <v>0</v>
      </c>
      <c r="AL101" s="3">
        <v>0</v>
      </c>
      <c r="AM101" s="3">
        <v>0</v>
      </c>
      <c r="AN101" s="3">
        <v>0</v>
      </c>
      <c r="AO101" s="3">
        <v>0</v>
      </c>
    </row>
    <row r="102" spans="1:41" ht="15">
      <c r="A102" s="19" t="s">
        <v>22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1">
        <v>3.2902881245795183E-3</v>
      </c>
      <c r="H102" s="3">
        <v>0</v>
      </c>
      <c r="I102" s="3">
        <v>0</v>
      </c>
      <c r="J102" s="3">
        <v>0</v>
      </c>
      <c r="K102" s="3">
        <v>0</v>
      </c>
      <c r="L102" s="3">
        <v>0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3">
        <v>0</v>
      </c>
      <c r="T102" s="3">
        <v>0</v>
      </c>
      <c r="U102" s="3">
        <v>0</v>
      </c>
      <c r="V102" s="3">
        <v>0</v>
      </c>
      <c r="W102" s="3">
        <v>0</v>
      </c>
      <c r="X102" s="3">
        <v>0</v>
      </c>
      <c r="Y102" s="3">
        <v>0</v>
      </c>
      <c r="Z102" s="3">
        <v>0</v>
      </c>
      <c r="AA102" s="3">
        <v>0</v>
      </c>
      <c r="AB102" s="3">
        <v>0</v>
      </c>
      <c r="AC102" s="3">
        <v>0</v>
      </c>
      <c r="AD102" s="3">
        <v>0</v>
      </c>
      <c r="AE102" s="3">
        <v>0</v>
      </c>
      <c r="AF102" s="3">
        <v>0</v>
      </c>
      <c r="AG102" s="3">
        <v>0</v>
      </c>
      <c r="AH102" s="3">
        <v>0</v>
      </c>
      <c r="AI102" s="3">
        <v>0</v>
      </c>
      <c r="AJ102" s="3">
        <v>0</v>
      </c>
      <c r="AK102" s="3">
        <v>0</v>
      </c>
      <c r="AL102" s="3">
        <v>0</v>
      </c>
      <c r="AM102" s="3">
        <v>0</v>
      </c>
      <c r="AN102" s="3">
        <v>0</v>
      </c>
      <c r="AO102" s="3">
        <v>0</v>
      </c>
    </row>
    <row r="103" spans="1:41" ht="15">
      <c r="A103" s="19" t="s">
        <v>23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3">
        <v>0</v>
      </c>
      <c r="H103" s="1">
        <v>8.9640850068638377E-3</v>
      </c>
      <c r="I103" s="3">
        <v>0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3">
        <v>0</v>
      </c>
      <c r="T103" s="3">
        <v>0</v>
      </c>
      <c r="U103" s="3">
        <v>0</v>
      </c>
      <c r="V103" s="3">
        <v>0</v>
      </c>
      <c r="W103" s="3">
        <v>0</v>
      </c>
      <c r="X103" s="3">
        <v>0</v>
      </c>
      <c r="Y103" s="3">
        <v>0</v>
      </c>
      <c r="Z103" s="3">
        <v>0</v>
      </c>
      <c r="AA103" s="3">
        <v>0</v>
      </c>
      <c r="AB103" s="3">
        <v>0</v>
      </c>
      <c r="AC103" s="3">
        <v>0</v>
      </c>
      <c r="AD103" s="3">
        <v>0</v>
      </c>
      <c r="AE103" s="3">
        <v>0</v>
      </c>
      <c r="AF103" s="3">
        <v>0</v>
      </c>
      <c r="AG103" s="3">
        <v>0</v>
      </c>
      <c r="AH103" s="3">
        <v>0</v>
      </c>
      <c r="AI103" s="3">
        <v>0</v>
      </c>
      <c r="AJ103" s="3">
        <v>0</v>
      </c>
      <c r="AK103" s="3">
        <v>0</v>
      </c>
      <c r="AL103" s="3">
        <v>0</v>
      </c>
      <c r="AM103" s="3">
        <v>0</v>
      </c>
      <c r="AN103" s="3">
        <v>0</v>
      </c>
      <c r="AO103" s="3">
        <v>0</v>
      </c>
    </row>
    <row r="104" spans="1:41" ht="15">
      <c r="A104" s="19" t="s">
        <v>24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3">
        <v>0</v>
      </c>
      <c r="H104" s="3">
        <v>0</v>
      </c>
      <c r="I104" s="1">
        <v>5.4733530102919169E-3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>
        <v>0</v>
      </c>
      <c r="X104" s="3">
        <v>0</v>
      </c>
      <c r="Y104" s="3">
        <v>0</v>
      </c>
      <c r="Z104" s="3">
        <v>0</v>
      </c>
      <c r="AA104" s="3">
        <v>0</v>
      </c>
      <c r="AB104" s="3">
        <v>0</v>
      </c>
      <c r="AC104" s="3">
        <v>0</v>
      </c>
      <c r="AD104" s="3">
        <v>0</v>
      </c>
      <c r="AE104" s="3">
        <v>0</v>
      </c>
      <c r="AF104" s="3">
        <v>0</v>
      </c>
      <c r="AG104" s="3">
        <v>0</v>
      </c>
      <c r="AH104" s="3">
        <v>0</v>
      </c>
      <c r="AI104" s="3">
        <v>0</v>
      </c>
      <c r="AJ104" s="3">
        <v>0</v>
      </c>
      <c r="AK104" s="3">
        <v>0</v>
      </c>
      <c r="AL104" s="3">
        <v>0</v>
      </c>
      <c r="AM104" s="3">
        <v>0</v>
      </c>
      <c r="AN104" s="3">
        <v>0</v>
      </c>
      <c r="AO104" s="3">
        <v>0</v>
      </c>
    </row>
    <row r="105" spans="1:41" ht="15">
      <c r="A105" s="19" t="s">
        <v>29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3">
        <v>0</v>
      </c>
      <c r="H105" s="3">
        <v>0</v>
      </c>
      <c r="I105" s="3">
        <v>0</v>
      </c>
      <c r="J105" s="1">
        <v>3.6042788399399993E-3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3">
        <v>0</v>
      </c>
      <c r="T105" s="3">
        <v>0</v>
      </c>
      <c r="U105" s="3">
        <v>0</v>
      </c>
      <c r="V105" s="3">
        <v>0</v>
      </c>
      <c r="W105" s="3">
        <v>0</v>
      </c>
      <c r="X105" s="3">
        <v>0</v>
      </c>
      <c r="Y105" s="3">
        <v>0</v>
      </c>
      <c r="Z105" s="3">
        <v>0</v>
      </c>
      <c r="AA105" s="3">
        <v>0</v>
      </c>
      <c r="AB105" s="3">
        <v>0</v>
      </c>
      <c r="AC105" s="3">
        <v>0</v>
      </c>
      <c r="AD105" s="3">
        <v>0</v>
      </c>
      <c r="AE105" s="3">
        <v>0</v>
      </c>
      <c r="AF105" s="3">
        <v>0</v>
      </c>
      <c r="AG105" s="3">
        <v>0</v>
      </c>
      <c r="AH105" s="3">
        <v>0</v>
      </c>
      <c r="AI105" s="3">
        <v>0</v>
      </c>
      <c r="AJ105" s="3">
        <v>0</v>
      </c>
      <c r="AK105" s="3">
        <v>0</v>
      </c>
      <c r="AL105" s="3">
        <v>0</v>
      </c>
      <c r="AM105" s="3">
        <v>0</v>
      </c>
      <c r="AN105" s="3">
        <v>0</v>
      </c>
      <c r="AO105" s="3">
        <v>0</v>
      </c>
    </row>
    <row r="106" spans="1:41" ht="15">
      <c r="A106" s="19" t="s">
        <v>30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3">
        <v>0</v>
      </c>
      <c r="H106" s="3">
        <v>0</v>
      </c>
      <c r="I106" s="3">
        <v>0</v>
      </c>
      <c r="J106" s="3">
        <v>0</v>
      </c>
      <c r="K106" s="1">
        <v>6.4475301889323567E-3</v>
      </c>
      <c r="L106" s="3">
        <v>0</v>
      </c>
      <c r="M106" s="3">
        <v>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0</v>
      </c>
      <c r="U106" s="3">
        <v>0</v>
      </c>
      <c r="V106" s="3">
        <v>0</v>
      </c>
      <c r="W106" s="3">
        <v>0</v>
      </c>
      <c r="X106" s="3">
        <v>0</v>
      </c>
      <c r="Y106" s="3">
        <v>0</v>
      </c>
      <c r="Z106" s="3">
        <v>0</v>
      </c>
      <c r="AA106" s="3">
        <v>0</v>
      </c>
      <c r="AB106" s="3">
        <v>0</v>
      </c>
      <c r="AC106" s="3">
        <v>0</v>
      </c>
      <c r="AD106" s="3">
        <v>0</v>
      </c>
      <c r="AE106" s="3">
        <v>0</v>
      </c>
      <c r="AF106" s="3">
        <v>0</v>
      </c>
      <c r="AG106" s="3">
        <v>0</v>
      </c>
      <c r="AH106" s="3">
        <v>0</v>
      </c>
      <c r="AI106" s="3">
        <v>0</v>
      </c>
      <c r="AJ106" s="3">
        <v>0</v>
      </c>
      <c r="AK106" s="3">
        <v>0</v>
      </c>
      <c r="AL106" s="3">
        <v>0</v>
      </c>
      <c r="AM106" s="3">
        <v>0</v>
      </c>
      <c r="AN106" s="3">
        <v>0</v>
      </c>
      <c r="AO106" s="3">
        <v>0</v>
      </c>
    </row>
    <row r="107" spans="1:41" ht="15">
      <c r="A107" s="19" t="s">
        <v>32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3">
        <v>0</v>
      </c>
      <c r="H107" s="3">
        <v>0</v>
      </c>
      <c r="I107" s="3">
        <v>0</v>
      </c>
      <c r="J107" s="3">
        <v>0</v>
      </c>
      <c r="K107" s="3">
        <v>0</v>
      </c>
      <c r="L107" s="1">
        <v>8.9553439124222343E-3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3">
        <v>0</v>
      </c>
      <c r="Y107" s="3">
        <v>0</v>
      </c>
      <c r="Z107" s="3">
        <v>0</v>
      </c>
      <c r="AA107" s="3">
        <v>0</v>
      </c>
      <c r="AB107" s="3">
        <v>0</v>
      </c>
      <c r="AC107" s="3">
        <v>0</v>
      </c>
      <c r="AD107" s="3">
        <v>0</v>
      </c>
      <c r="AE107" s="3">
        <v>0</v>
      </c>
      <c r="AF107" s="3">
        <v>0</v>
      </c>
      <c r="AG107" s="3">
        <v>0</v>
      </c>
      <c r="AH107" s="3">
        <v>0</v>
      </c>
      <c r="AI107" s="3">
        <v>0</v>
      </c>
      <c r="AJ107" s="3">
        <v>0</v>
      </c>
      <c r="AK107" s="3">
        <v>0</v>
      </c>
      <c r="AL107" s="3">
        <v>0</v>
      </c>
      <c r="AM107" s="3">
        <v>0</v>
      </c>
      <c r="AN107" s="3">
        <v>0</v>
      </c>
      <c r="AO107" s="3">
        <v>0</v>
      </c>
    </row>
    <row r="108" spans="1:41" ht="15">
      <c r="A108" s="19" t="s">
        <v>41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3">
        <v>0</v>
      </c>
      <c r="H108" s="3">
        <v>0</v>
      </c>
      <c r="I108" s="3">
        <v>0</v>
      </c>
      <c r="J108" s="3">
        <v>0</v>
      </c>
      <c r="K108" s="3">
        <v>0</v>
      </c>
      <c r="L108" s="3">
        <v>0</v>
      </c>
      <c r="M108" s="1">
        <v>4.8319003739602934E-3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3">
        <v>0</v>
      </c>
      <c r="T108" s="3">
        <v>0</v>
      </c>
      <c r="U108" s="3">
        <v>0</v>
      </c>
      <c r="V108" s="3">
        <v>0</v>
      </c>
      <c r="W108" s="3">
        <v>0</v>
      </c>
      <c r="X108" s="3">
        <v>0</v>
      </c>
      <c r="Y108" s="3">
        <v>0</v>
      </c>
      <c r="Z108" s="3">
        <v>0</v>
      </c>
      <c r="AA108" s="3">
        <v>0</v>
      </c>
      <c r="AB108" s="3">
        <v>0</v>
      </c>
      <c r="AC108" s="3">
        <v>0</v>
      </c>
      <c r="AD108" s="3">
        <v>0</v>
      </c>
      <c r="AE108" s="3">
        <v>0</v>
      </c>
      <c r="AF108" s="3">
        <v>0</v>
      </c>
      <c r="AG108" s="3">
        <v>0</v>
      </c>
      <c r="AH108" s="3">
        <v>0</v>
      </c>
      <c r="AI108" s="3">
        <v>0</v>
      </c>
      <c r="AJ108" s="3">
        <v>0</v>
      </c>
      <c r="AK108" s="3">
        <v>0</v>
      </c>
      <c r="AL108" s="3">
        <v>0</v>
      </c>
      <c r="AM108" s="3">
        <v>0</v>
      </c>
      <c r="AN108" s="3">
        <v>0</v>
      </c>
      <c r="AO108" s="3">
        <v>0</v>
      </c>
    </row>
    <row r="109" spans="1:41" ht="15">
      <c r="A109" s="19" t="s">
        <v>43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  <c r="J109" s="3">
        <v>0</v>
      </c>
      <c r="K109" s="3">
        <v>0</v>
      </c>
      <c r="L109" s="3">
        <v>0</v>
      </c>
      <c r="M109" s="3">
        <v>0</v>
      </c>
      <c r="N109" s="1">
        <v>2.3098277956324635E-3</v>
      </c>
      <c r="O109" s="3">
        <v>0</v>
      </c>
      <c r="P109" s="3">
        <v>0</v>
      </c>
      <c r="Q109" s="3">
        <v>0</v>
      </c>
      <c r="R109" s="3">
        <v>0</v>
      </c>
      <c r="S109" s="3">
        <v>0</v>
      </c>
      <c r="T109" s="3">
        <v>0</v>
      </c>
      <c r="U109" s="3">
        <v>0</v>
      </c>
      <c r="V109" s="3">
        <v>0</v>
      </c>
      <c r="W109" s="3">
        <v>0</v>
      </c>
      <c r="X109" s="3">
        <v>0</v>
      </c>
      <c r="Y109" s="3">
        <v>0</v>
      </c>
      <c r="Z109" s="3">
        <v>0</v>
      </c>
      <c r="AA109" s="3">
        <v>0</v>
      </c>
      <c r="AB109" s="3">
        <v>0</v>
      </c>
      <c r="AC109" s="3">
        <v>0</v>
      </c>
      <c r="AD109" s="3">
        <v>0</v>
      </c>
      <c r="AE109" s="3">
        <v>0</v>
      </c>
      <c r="AF109" s="3">
        <v>0</v>
      </c>
      <c r="AG109" s="3">
        <v>0</v>
      </c>
      <c r="AH109" s="3">
        <v>0</v>
      </c>
      <c r="AI109" s="3">
        <v>0</v>
      </c>
      <c r="AJ109" s="3">
        <v>0</v>
      </c>
      <c r="AK109" s="3">
        <v>0</v>
      </c>
      <c r="AL109" s="3">
        <v>0</v>
      </c>
      <c r="AM109" s="3">
        <v>0</v>
      </c>
      <c r="AN109" s="3">
        <v>0</v>
      </c>
      <c r="AO109" s="3">
        <v>0</v>
      </c>
    </row>
    <row r="110" spans="1:41" ht="15">
      <c r="A110" s="19" t="s">
        <v>45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3">
        <v>0</v>
      </c>
      <c r="H110" s="3">
        <v>0</v>
      </c>
      <c r="I110" s="3">
        <v>0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1">
        <v>3.1210866711348173E-3</v>
      </c>
      <c r="P110" s="3">
        <v>0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>
        <v>0</v>
      </c>
      <c r="X110" s="3">
        <v>0</v>
      </c>
      <c r="Y110" s="3">
        <v>0</v>
      </c>
      <c r="Z110" s="3">
        <v>0</v>
      </c>
      <c r="AA110" s="3">
        <v>0</v>
      </c>
      <c r="AB110" s="3">
        <v>0</v>
      </c>
      <c r="AC110" s="3">
        <v>0</v>
      </c>
      <c r="AD110" s="3">
        <v>0</v>
      </c>
      <c r="AE110" s="3">
        <v>0</v>
      </c>
      <c r="AF110" s="3">
        <v>0</v>
      </c>
      <c r="AG110" s="3">
        <v>0</v>
      </c>
      <c r="AH110" s="3">
        <v>0</v>
      </c>
      <c r="AI110" s="3">
        <v>0</v>
      </c>
      <c r="AJ110" s="3">
        <v>0</v>
      </c>
      <c r="AK110" s="3">
        <v>0</v>
      </c>
      <c r="AL110" s="3">
        <v>0</v>
      </c>
      <c r="AM110" s="3">
        <v>0</v>
      </c>
      <c r="AN110" s="3">
        <v>0</v>
      </c>
      <c r="AO110" s="3">
        <v>0</v>
      </c>
    </row>
    <row r="111" spans="1:41" ht="15">
      <c r="A111" s="19" t="s">
        <v>47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3">
        <v>0</v>
      </c>
      <c r="H111" s="3">
        <v>0</v>
      </c>
      <c r="I111" s="3">
        <v>0</v>
      </c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>
        <v>0</v>
      </c>
      <c r="P111" s="1">
        <v>9.3667336771177234E-3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0</v>
      </c>
      <c r="W111" s="3">
        <v>0</v>
      </c>
      <c r="X111" s="3">
        <v>0</v>
      </c>
      <c r="Y111" s="3">
        <v>0</v>
      </c>
      <c r="Z111" s="3">
        <v>0</v>
      </c>
      <c r="AA111" s="3">
        <v>0</v>
      </c>
      <c r="AB111" s="3">
        <v>0</v>
      </c>
      <c r="AC111" s="3">
        <v>0</v>
      </c>
      <c r="AD111" s="3">
        <v>0</v>
      </c>
      <c r="AE111" s="3">
        <v>0</v>
      </c>
      <c r="AF111" s="3">
        <v>0</v>
      </c>
      <c r="AG111" s="3">
        <v>0</v>
      </c>
      <c r="AH111" s="3">
        <v>0</v>
      </c>
      <c r="AI111" s="3">
        <v>0</v>
      </c>
      <c r="AJ111" s="3">
        <v>0</v>
      </c>
      <c r="AK111" s="3">
        <v>0</v>
      </c>
      <c r="AL111" s="3">
        <v>0</v>
      </c>
      <c r="AM111" s="3">
        <v>0</v>
      </c>
      <c r="AN111" s="3">
        <v>0</v>
      </c>
      <c r="AO111" s="3">
        <v>0</v>
      </c>
    </row>
    <row r="112" spans="1:41" ht="15">
      <c r="A112" s="19" t="s">
        <v>50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3">
        <v>0</v>
      </c>
      <c r="H112" s="3">
        <v>0</v>
      </c>
      <c r="I112" s="3">
        <v>0</v>
      </c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1">
        <v>1.792080605705024E-2</v>
      </c>
      <c r="R112" s="3">
        <v>0</v>
      </c>
      <c r="S112" s="3">
        <v>0</v>
      </c>
      <c r="T112" s="3">
        <v>0</v>
      </c>
      <c r="U112" s="3">
        <v>0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  <c r="AB112" s="3">
        <v>0</v>
      </c>
      <c r="AC112" s="3">
        <v>0</v>
      </c>
      <c r="AD112" s="3">
        <v>0</v>
      </c>
      <c r="AE112" s="3">
        <v>0</v>
      </c>
      <c r="AF112" s="3">
        <v>0</v>
      </c>
      <c r="AG112" s="3">
        <v>0</v>
      </c>
      <c r="AH112" s="3">
        <v>0</v>
      </c>
      <c r="AI112" s="3">
        <v>0</v>
      </c>
      <c r="AJ112" s="3">
        <v>0</v>
      </c>
      <c r="AK112" s="3">
        <v>0</v>
      </c>
      <c r="AL112" s="3">
        <v>0</v>
      </c>
      <c r="AM112" s="3">
        <v>0</v>
      </c>
      <c r="AN112" s="3">
        <v>0</v>
      </c>
      <c r="AO112" s="3">
        <v>0</v>
      </c>
    </row>
    <row r="113" spans="1:41" ht="15">
      <c r="A113" s="19" t="s">
        <v>52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R113" s="1">
        <v>1.4298404913751469E-2</v>
      </c>
      <c r="S113" s="3">
        <v>0</v>
      </c>
      <c r="T113" s="3">
        <v>0</v>
      </c>
      <c r="U113" s="3">
        <v>0</v>
      </c>
      <c r="V113" s="3">
        <v>0</v>
      </c>
      <c r="W113" s="3">
        <v>0</v>
      </c>
      <c r="X113" s="3">
        <v>0</v>
      </c>
      <c r="Y113" s="3">
        <v>0</v>
      </c>
      <c r="Z113" s="3">
        <v>0</v>
      </c>
      <c r="AA113" s="3">
        <v>0</v>
      </c>
      <c r="AB113" s="3">
        <v>0</v>
      </c>
      <c r="AC113" s="3">
        <v>0</v>
      </c>
      <c r="AD113" s="3">
        <v>0</v>
      </c>
      <c r="AE113" s="3">
        <v>0</v>
      </c>
      <c r="AF113" s="3">
        <v>0</v>
      </c>
      <c r="AG113" s="3">
        <v>0</v>
      </c>
      <c r="AH113" s="3">
        <v>0</v>
      </c>
      <c r="AI113" s="3">
        <v>0</v>
      </c>
      <c r="AJ113" s="3">
        <v>0</v>
      </c>
      <c r="AK113" s="3">
        <v>0</v>
      </c>
      <c r="AL113" s="3">
        <v>0</v>
      </c>
      <c r="AM113" s="3">
        <v>0</v>
      </c>
      <c r="AN113" s="3">
        <v>0</v>
      </c>
      <c r="AO113" s="3">
        <v>0</v>
      </c>
    </row>
    <row r="114" spans="1:41" ht="15">
      <c r="A114" s="19" t="s">
        <v>53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3">
        <v>0</v>
      </c>
      <c r="H114" s="3">
        <v>0</v>
      </c>
      <c r="I114" s="3">
        <v>0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1">
        <v>5.4340767496654022E-3</v>
      </c>
      <c r="T114" s="3">
        <v>0</v>
      </c>
      <c r="U114" s="3">
        <v>0</v>
      </c>
      <c r="V114" s="3">
        <v>0</v>
      </c>
      <c r="W114" s="3">
        <v>0</v>
      </c>
      <c r="X114" s="3">
        <v>0</v>
      </c>
      <c r="Y114" s="3">
        <v>0</v>
      </c>
      <c r="Z114" s="3">
        <v>0</v>
      </c>
      <c r="AA114" s="3">
        <v>0</v>
      </c>
      <c r="AB114" s="3">
        <v>0</v>
      </c>
      <c r="AC114" s="3">
        <v>0</v>
      </c>
      <c r="AD114" s="3">
        <v>0</v>
      </c>
      <c r="AE114" s="3">
        <v>0</v>
      </c>
      <c r="AF114" s="3">
        <v>0</v>
      </c>
      <c r="AG114" s="3">
        <v>0</v>
      </c>
      <c r="AH114" s="3">
        <v>0</v>
      </c>
      <c r="AI114" s="3">
        <v>0</v>
      </c>
      <c r="AJ114" s="3">
        <v>0</v>
      </c>
      <c r="AK114" s="3">
        <v>0</v>
      </c>
      <c r="AL114" s="3">
        <v>0</v>
      </c>
      <c r="AM114" s="3">
        <v>0</v>
      </c>
      <c r="AN114" s="3">
        <v>0</v>
      </c>
      <c r="AO114" s="3">
        <v>0</v>
      </c>
    </row>
    <row r="115" spans="1:41" ht="15">
      <c r="A115" s="19" t="s">
        <v>54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3">
        <v>0</v>
      </c>
      <c r="H115" s="3">
        <v>0</v>
      </c>
      <c r="I115" s="3">
        <v>0</v>
      </c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3">
        <v>0</v>
      </c>
      <c r="T115" s="1">
        <v>5.1160501140516627E-3</v>
      </c>
      <c r="U115" s="3">
        <v>0</v>
      </c>
      <c r="V115" s="3">
        <v>0</v>
      </c>
      <c r="W115" s="3">
        <v>0</v>
      </c>
      <c r="X115" s="3">
        <v>0</v>
      </c>
      <c r="Y115" s="3">
        <v>0</v>
      </c>
      <c r="Z115" s="3">
        <v>0</v>
      </c>
      <c r="AA115" s="3">
        <v>0</v>
      </c>
      <c r="AB115" s="3">
        <v>0</v>
      </c>
      <c r="AC115" s="3">
        <v>0</v>
      </c>
      <c r="AD115" s="3">
        <v>0</v>
      </c>
      <c r="AE115" s="3">
        <v>0</v>
      </c>
      <c r="AF115" s="3">
        <v>0</v>
      </c>
      <c r="AG115" s="3">
        <v>0</v>
      </c>
      <c r="AH115" s="3">
        <v>0</v>
      </c>
      <c r="AI115" s="3">
        <v>0</v>
      </c>
      <c r="AJ115" s="3">
        <v>0</v>
      </c>
      <c r="AK115" s="3">
        <v>0</v>
      </c>
      <c r="AL115" s="3">
        <v>0</v>
      </c>
      <c r="AM115" s="3">
        <v>0</v>
      </c>
      <c r="AN115" s="3">
        <v>0</v>
      </c>
      <c r="AO115" s="3">
        <v>0</v>
      </c>
    </row>
    <row r="116" spans="1:41" ht="15">
      <c r="A116" s="19" t="s">
        <v>57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3">
        <v>0</v>
      </c>
      <c r="H116" s="3">
        <v>0</v>
      </c>
      <c r="I116" s="3">
        <v>0</v>
      </c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3">
        <v>0</v>
      </c>
      <c r="T116" s="3">
        <v>0</v>
      </c>
      <c r="U116" s="1">
        <v>2.4006108625587851E-2</v>
      </c>
      <c r="V116" s="3">
        <v>0</v>
      </c>
      <c r="W116" s="3">
        <v>0</v>
      </c>
      <c r="X116" s="3">
        <v>0</v>
      </c>
      <c r="Y116" s="3">
        <v>0</v>
      </c>
      <c r="Z116" s="3">
        <v>0</v>
      </c>
      <c r="AA116" s="3">
        <v>0</v>
      </c>
      <c r="AB116" s="3">
        <v>0</v>
      </c>
      <c r="AC116" s="3">
        <v>0</v>
      </c>
      <c r="AD116" s="3">
        <v>0</v>
      </c>
      <c r="AE116" s="3">
        <v>0</v>
      </c>
      <c r="AF116" s="3">
        <v>0</v>
      </c>
      <c r="AG116" s="3">
        <v>0</v>
      </c>
      <c r="AH116" s="3">
        <v>0</v>
      </c>
      <c r="AI116" s="3">
        <v>0</v>
      </c>
      <c r="AJ116" s="3">
        <v>0</v>
      </c>
      <c r="AK116" s="3">
        <v>0</v>
      </c>
      <c r="AL116" s="3">
        <v>0</v>
      </c>
      <c r="AM116" s="3">
        <v>0</v>
      </c>
      <c r="AN116" s="3">
        <v>0</v>
      </c>
      <c r="AO116" s="3">
        <v>0</v>
      </c>
    </row>
    <row r="117" spans="1:41" ht="15">
      <c r="A117" s="19" t="s">
        <v>62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3">
        <v>0</v>
      </c>
      <c r="H117" s="3">
        <v>0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3">
        <v>0</v>
      </c>
      <c r="T117" s="3">
        <v>0</v>
      </c>
      <c r="U117" s="3">
        <v>0</v>
      </c>
      <c r="V117" s="1">
        <v>6.7326884987501763E-3</v>
      </c>
      <c r="W117" s="3">
        <v>0</v>
      </c>
      <c r="X117" s="3">
        <v>0</v>
      </c>
      <c r="Y117" s="3">
        <v>0</v>
      </c>
      <c r="Z117" s="3">
        <v>0</v>
      </c>
      <c r="AA117" s="3">
        <v>0</v>
      </c>
      <c r="AB117" s="3">
        <v>0</v>
      </c>
      <c r="AC117" s="3">
        <v>0</v>
      </c>
      <c r="AD117" s="3">
        <v>0</v>
      </c>
      <c r="AE117" s="3">
        <v>0</v>
      </c>
      <c r="AF117" s="3">
        <v>0</v>
      </c>
      <c r="AG117" s="3">
        <v>0</v>
      </c>
      <c r="AH117" s="3">
        <v>0</v>
      </c>
      <c r="AI117" s="3">
        <v>0</v>
      </c>
      <c r="AJ117" s="3">
        <v>0</v>
      </c>
      <c r="AK117" s="3">
        <v>0</v>
      </c>
      <c r="AL117" s="3">
        <v>0</v>
      </c>
      <c r="AM117" s="3">
        <v>0</v>
      </c>
      <c r="AN117" s="3">
        <v>0</v>
      </c>
      <c r="AO117" s="3">
        <v>0</v>
      </c>
    </row>
    <row r="118" spans="1:41" ht="15">
      <c r="A118" s="19" t="s">
        <v>66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3">
        <v>0</v>
      </c>
      <c r="H118" s="3">
        <v>0</v>
      </c>
      <c r="I118" s="3">
        <v>0</v>
      </c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3">
        <v>0</v>
      </c>
      <c r="T118" s="3">
        <v>0</v>
      </c>
      <c r="U118" s="3">
        <v>0</v>
      </c>
      <c r="V118" s="3">
        <v>0</v>
      </c>
      <c r="W118" s="1">
        <v>5.6899989365956829E-3</v>
      </c>
      <c r="X118" s="3">
        <v>0</v>
      </c>
      <c r="Y118" s="3">
        <v>0</v>
      </c>
      <c r="Z118" s="3">
        <v>0</v>
      </c>
      <c r="AA118" s="3">
        <v>0</v>
      </c>
      <c r="AB118" s="3">
        <v>0</v>
      </c>
      <c r="AC118" s="3">
        <v>0</v>
      </c>
      <c r="AD118" s="3">
        <v>0</v>
      </c>
      <c r="AE118" s="3">
        <v>0</v>
      </c>
      <c r="AF118" s="3">
        <v>0</v>
      </c>
      <c r="AG118" s="3">
        <v>0</v>
      </c>
      <c r="AH118" s="3">
        <v>0</v>
      </c>
      <c r="AI118" s="3">
        <v>0</v>
      </c>
      <c r="AJ118" s="3">
        <v>0</v>
      </c>
      <c r="AK118" s="3">
        <v>0</v>
      </c>
      <c r="AL118" s="3">
        <v>0</v>
      </c>
      <c r="AM118" s="3">
        <v>0</v>
      </c>
      <c r="AN118" s="3">
        <v>0</v>
      </c>
      <c r="AO118" s="3">
        <v>0</v>
      </c>
    </row>
    <row r="119" spans="1:41" ht="15">
      <c r="A119" s="19" t="s">
        <v>70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3">
        <v>0</v>
      </c>
      <c r="H119" s="3">
        <v>0</v>
      </c>
      <c r="I119" s="3">
        <v>0</v>
      </c>
      <c r="J119" s="3">
        <v>0</v>
      </c>
      <c r="K119" s="3">
        <v>0</v>
      </c>
      <c r="L119" s="3">
        <v>0</v>
      </c>
      <c r="M119" s="3">
        <v>0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3">
        <v>0</v>
      </c>
      <c r="T119" s="3">
        <v>0</v>
      </c>
      <c r="U119" s="3">
        <v>0</v>
      </c>
      <c r="V119" s="3">
        <v>0</v>
      </c>
      <c r="W119" s="3">
        <v>0</v>
      </c>
      <c r="X119" s="1">
        <v>6.7319834912930301E-3</v>
      </c>
      <c r="Y119" s="3">
        <v>0</v>
      </c>
      <c r="Z119" s="3">
        <v>0</v>
      </c>
      <c r="AA119" s="3">
        <v>0</v>
      </c>
      <c r="AB119" s="3">
        <v>0</v>
      </c>
      <c r="AC119" s="3">
        <v>0</v>
      </c>
      <c r="AD119" s="3">
        <v>0</v>
      </c>
      <c r="AE119" s="3">
        <v>0</v>
      </c>
      <c r="AF119" s="3">
        <v>0</v>
      </c>
      <c r="AG119" s="3">
        <v>0</v>
      </c>
      <c r="AH119" s="3">
        <v>0</v>
      </c>
      <c r="AI119" s="3">
        <v>0</v>
      </c>
      <c r="AJ119" s="3">
        <v>0</v>
      </c>
      <c r="AK119" s="3">
        <v>0</v>
      </c>
      <c r="AL119" s="3">
        <v>0</v>
      </c>
      <c r="AM119" s="3">
        <v>0</v>
      </c>
      <c r="AN119" s="3">
        <v>0</v>
      </c>
      <c r="AO119" s="3">
        <v>0</v>
      </c>
    </row>
    <row r="120" spans="1:41" ht="15">
      <c r="A120" s="19" t="s">
        <v>74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3">
        <v>0</v>
      </c>
      <c r="H120" s="3">
        <v>0</v>
      </c>
      <c r="I120" s="3">
        <v>0</v>
      </c>
      <c r="J120" s="3">
        <v>0</v>
      </c>
      <c r="K120" s="3">
        <v>0</v>
      </c>
      <c r="L120" s="3">
        <v>0</v>
      </c>
      <c r="M120" s="3">
        <v>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3">
        <v>0</v>
      </c>
      <c r="T120" s="3">
        <v>0</v>
      </c>
      <c r="U120" s="3">
        <v>0</v>
      </c>
      <c r="V120" s="3">
        <v>0</v>
      </c>
      <c r="W120" s="3">
        <v>0</v>
      </c>
      <c r="X120" s="3">
        <v>0</v>
      </c>
      <c r="Y120" s="1">
        <v>2.5203124615153279E-2</v>
      </c>
      <c r="Z120" s="3">
        <v>0</v>
      </c>
      <c r="AA120" s="3">
        <v>0</v>
      </c>
      <c r="AB120" s="3">
        <v>0</v>
      </c>
      <c r="AC120" s="3">
        <v>0</v>
      </c>
      <c r="AD120" s="3">
        <v>0</v>
      </c>
      <c r="AE120" s="3">
        <v>0</v>
      </c>
      <c r="AF120" s="3">
        <v>0</v>
      </c>
      <c r="AG120" s="3">
        <v>0</v>
      </c>
      <c r="AH120" s="3">
        <v>0</v>
      </c>
      <c r="AI120" s="3">
        <v>0</v>
      </c>
      <c r="AJ120" s="3">
        <v>0</v>
      </c>
      <c r="AK120" s="3">
        <v>0</v>
      </c>
      <c r="AL120" s="3">
        <v>0</v>
      </c>
      <c r="AM120" s="3">
        <v>0</v>
      </c>
      <c r="AN120" s="3">
        <v>0</v>
      </c>
      <c r="AO120" s="3">
        <v>0</v>
      </c>
    </row>
    <row r="121" spans="1:41" ht="15">
      <c r="A121" s="19" t="s">
        <v>76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3">
        <v>0</v>
      </c>
      <c r="H121" s="3">
        <v>0</v>
      </c>
      <c r="I121" s="3">
        <v>0</v>
      </c>
      <c r="J121" s="3">
        <v>0</v>
      </c>
      <c r="K121" s="3">
        <v>0</v>
      </c>
      <c r="L121" s="3">
        <v>0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3">
        <v>0</v>
      </c>
      <c r="T121" s="3">
        <v>0</v>
      </c>
      <c r="U121" s="3">
        <v>0</v>
      </c>
      <c r="V121" s="3">
        <v>0</v>
      </c>
      <c r="W121" s="3">
        <v>0</v>
      </c>
      <c r="X121" s="3">
        <v>0</v>
      </c>
      <c r="Y121" s="3">
        <v>0</v>
      </c>
      <c r="Z121" s="1">
        <v>2.4044643688971804E-3</v>
      </c>
      <c r="AA121" s="3">
        <v>0</v>
      </c>
      <c r="AB121" s="3">
        <v>0</v>
      </c>
      <c r="AC121" s="3">
        <v>0</v>
      </c>
      <c r="AD121" s="3">
        <v>0</v>
      </c>
      <c r="AE121" s="3">
        <v>0</v>
      </c>
      <c r="AF121" s="3">
        <v>0</v>
      </c>
      <c r="AG121" s="3">
        <v>0</v>
      </c>
      <c r="AH121" s="3">
        <v>0</v>
      </c>
      <c r="AI121" s="3">
        <v>0</v>
      </c>
      <c r="AJ121" s="3">
        <v>0</v>
      </c>
      <c r="AK121" s="3">
        <v>0</v>
      </c>
      <c r="AL121" s="3">
        <v>0</v>
      </c>
      <c r="AM121" s="3">
        <v>0</v>
      </c>
      <c r="AN121" s="3">
        <v>0</v>
      </c>
      <c r="AO121" s="3">
        <v>0</v>
      </c>
    </row>
    <row r="122" spans="1:41" ht="15">
      <c r="A122" s="19" t="s">
        <v>79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3">
        <v>0</v>
      </c>
      <c r="H122" s="3">
        <v>0</v>
      </c>
      <c r="I122" s="3">
        <v>0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3">
        <v>0</v>
      </c>
      <c r="T122" s="3">
        <v>0</v>
      </c>
      <c r="U122" s="3">
        <v>0</v>
      </c>
      <c r="V122" s="3">
        <v>0</v>
      </c>
      <c r="W122" s="3">
        <v>0</v>
      </c>
      <c r="X122" s="3">
        <v>0</v>
      </c>
      <c r="Y122" s="3">
        <v>0</v>
      </c>
      <c r="Z122" s="3">
        <v>0</v>
      </c>
      <c r="AA122" s="1">
        <v>4.5144357569033679E-3</v>
      </c>
      <c r="AB122" s="3">
        <v>0</v>
      </c>
      <c r="AC122" s="3">
        <v>0</v>
      </c>
      <c r="AD122" s="3">
        <v>0</v>
      </c>
      <c r="AE122" s="3">
        <v>0</v>
      </c>
      <c r="AF122" s="3">
        <v>0</v>
      </c>
      <c r="AG122" s="3">
        <v>0</v>
      </c>
      <c r="AH122" s="3">
        <v>0</v>
      </c>
      <c r="AI122" s="3">
        <v>0</v>
      </c>
      <c r="AJ122" s="3">
        <v>0</v>
      </c>
      <c r="AK122" s="3">
        <v>0</v>
      </c>
      <c r="AL122" s="3">
        <v>0</v>
      </c>
      <c r="AM122" s="3">
        <v>0</v>
      </c>
      <c r="AN122" s="3">
        <v>0</v>
      </c>
      <c r="AO122" s="3">
        <v>0</v>
      </c>
    </row>
    <row r="123" spans="1:41" ht="15">
      <c r="A123" s="19" t="s">
        <v>87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3">
        <v>0</v>
      </c>
      <c r="H123" s="3">
        <v>0</v>
      </c>
      <c r="I123" s="3">
        <v>0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3">
        <v>0</v>
      </c>
      <c r="T123" s="3">
        <v>0</v>
      </c>
      <c r="U123" s="3">
        <v>0</v>
      </c>
      <c r="V123" s="3">
        <v>0</v>
      </c>
      <c r="W123" s="3">
        <v>0</v>
      </c>
      <c r="X123" s="3">
        <v>0</v>
      </c>
      <c r="Y123" s="3">
        <v>0</v>
      </c>
      <c r="Z123" s="3">
        <v>0</v>
      </c>
      <c r="AA123" s="3">
        <v>0</v>
      </c>
      <c r="AB123" s="1">
        <v>6.2537808421026572E-3</v>
      </c>
      <c r="AC123" s="3">
        <v>0</v>
      </c>
      <c r="AD123" s="3">
        <v>0</v>
      </c>
      <c r="AE123" s="3">
        <v>0</v>
      </c>
      <c r="AF123" s="3">
        <v>0</v>
      </c>
      <c r="AG123" s="3">
        <v>0</v>
      </c>
      <c r="AH123" s="3">
        <v>0</v>
      </c>
      <c r="AI123" s="3">
        <v>0</v>
      </c>
      <c r="AJ123" s="3">
        <v>0</v>
      </c>
      <c r="AK123" s="3">
        <v>0</v>
      </c>
      <c r="AL123" s="3">
        <v>0</v>
      </c>
      <c r="AM123" s="3">
        <v>0</v>
      </c>
      <c r="AN123" s="3">
        <v>0</v>
      </c>
      <c r="AO123" s="3">
        <v>0</v>
      </c>
    </row>
    <row r="124" spans="1:41" ht="15">
      <c r="A124" s="19" t="s">
        <v>88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3">
        <v>0</v>
      </c>
      <c r="H124" s="3">
        <v>0</v>
      </c>
      <c r="I124" s="3">
        <v>0</v>
      </c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3">
        <v>0</v>
      </c>
      <c r="T124" s="3">
        <v>0</v>
      </c>
      <c r="U124" s="3">
        <v>0</v>
      </c>
      <c r="V124" s="3">
        <v>0</v>
      </c>
      <c r="W124" s="3">
        <v>0</v>
      </c>
      <c r="X124" s="3">
        <v>0</v>
      </c>
      <c r="Y124" s="3">
        <v>0</v>
      </c>
      <c r="Z124" s="3">
        <v>0</v>
      </c>
      <c r="AA124" s="3">
        <v>0</v>
      </c>
      <c r="AB124" s="3">
        <v>0</v>
      </c>
      <c r="AC124" s="1">
        <v>3.2101792062676451E-2</v>
      </c>
      <c r="AD124" s="3">
        <v>0</v>
      </c>
      <c r="AE124" s="3">
        <v>0</v>
      </c>
      <c r="AF124" s="3">
        <v>0</v>
      </c>
      <c r="AG124" s="3">
        <v>0</v>
      </c>
      <c r="AH124" s="3">
        <v>0</v>
      </c>
      <c r="AI124" s="3">
        <v>0</v>
      </c>
      <c r="AJ124" s="3">
        <v>0</v>
      </c>
      <c r="AK124" s="3">
        <v>0</v>
      </c>
      <c r="AL124" s="3">
        <v>0</v>
      </c>
      <c r="AM124" s="3">
        <v>0</v>
      </c>
      <c r="AN124" s="3">
        <v>0</v>
      </c>
      <c r="AO124" s="3">
        <v>0</v>
      </c>
    </row>
    <row r="125" spans="1:41" ht="15">
      <c r="A125" s="19" t="s">
        <v>91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3">
        <v>0</v>
      </c>
      <c r="H125" s="3">
        <v>0</v>
      </c>
      <c r="I125" s="3">
        <v>0</v>
      </c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3">
        <v>0</v>
      </c>
      <c r="T125" s="3">
        <v>0</v>
      </c>
      <c r="U125" s="3">
        <v>0</v>
      </c>
      <c r="V125" s="3">
        <v>0</v>
      </c>
      <c r="W125" s="3">
        <v>0</v>
      </c>
      <c r="X125" s="3">
        <v>0</v>
      </c>
      <c r="Y125" s="3">
        <v>0</v>
      </c>
      <c r="Z125" s="3">
        <v>0</v>
      </c>
      <c r="AA125" s="3">
        <v>0</v>
      </c>
      <c r="AB125" s="3">
        <v>0</v>
      </c>
      <c r="AC125" s="3">
        <v>0</v>
      </c>
      <c r="AD125" s="1">
        <v>1.9239693733546644E-3</v>
      </c>
      <c r="AE125" s="3">
        <v>0</v>
      </c>
      <c r="AF125" s="3">
        <v>0</v>
      </c>
      <c r="AG125" s="3">
        <v>0</v>
      </c>
      <c r="AH125" s="3">
        <v>0</v>
      </c>
      <c r="AI125" s="3">
        <v>0</v>
      </c>
      <c r="AJ125" s="3">
        <v>0</v>
      </c>
      <c r="AK125" s="3">
        <v>0</v>
      </c>
      <c r="AL125" s="3">
        <v>0</v>
      </c>
      <c r="AM125" s="3">
        <v>0</v>
      </c>
      <c r="AN125" s="3">
        <v>0</v>
      </c>
      <c r="AO125" s="3">
        <v>0</v>
      </c>
    </row>
    <row r="126" spans="1:41" ht="15">
      <c r="A126" s="19" t="s">
        <v>94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3">
        <v>0</v>
      </c>
      <c r="H126" s="3">
        <v>0</v>
      </c>
      <c r="I126" s="3">
        <v>0</v>
      </c>
      <c r="J126" s="3">
        <v>0</v>
      </c>
      <c r="K126" s="3">
        <v>0</v>
      </c>
      <c r="L126" s="3">
        <v>0</v>
      </c>
      <c r="M126" s="3">
        <v>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3">
        <v>0</v>
      </c>
      <c r="T126" s="3">
        <v>0</v>
      </c>
      <c r="U126" s="3">
        <v>0</v>
      </c>
      <c r="V126" s="3">
        <v>0</v>
      </c>
      <c r="W126" s="3">
        <v>0</v>
      </c>
      <c r="X126" s="3">
        <v>0</v>
      </c>
      <c r="Y126" s="3">
        <v>0</v>
      </c>
      <c r="Z126" s="3">
        <v>0</v>
      </c>
      <c r="AA126" s="3">
        <v>0</v>
      </c>
      <c r="AB126" s="3">
        <v>0</v>
      </c>
      <c r="AC126" s="3">
        <v>0</v>
      </c>
      <c r="AD126" s="3">
        <v>0</v>
      </c>
      <c r="AE126" s="1">
        <v>5.775861252510857E-3</v>
      </c>
      <c r="AF126" s="3">
        <v>0</v>
      </c>
      <c r="AG126" s="3">
        <v>0</v>
      </c>
      <c r="AH126" s="3">
        <v>0</v>
      </c>
      <c r="AI126" s="3">
        <v>0</v>
      </c>
      <c r="AJ126" s="3">
        <v>0</v>
      </c>
      <c r="AK126" s="3">
        <v>0</v>
      </c>
      <c r="AL126" s="3">
        <v>0</v>
      </c>
      <c r="AM126" s="3">
        <v>0</v>
      </c>
      <c r="AN126" s="3">
        <v>0</v>
      </c>
      <c r="AO126" s="3">
        <v>0</v>
      </c>
    </row>
    <row r="127" spans="1:41" ht="15">
      <c r="A127" s="19" t="s">
        <v>95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3">
        <v>0</v>
      </c>
      <c r="T127" s="3">
        <v>0</v>
      </c>
      <c r="U127" s="3">
        <v>0</v>
      </c>
      <c r="V127" s="3">
        <v>0</v>
      </c>
      <c r="W127" s="3">
        <v>0</v>
      </c>
      <c r="X127" s="3">
        <v>0</v>
      </c>
      <c r="Y127" s="3">
        <v>0</v>
      </c>
      <c r="Z127" s="3">
        <v>0</v>
      </c>
      <c r="AA127" s="3">
        <v>0</v>
      </c>
      <c r="AB127" s="3">
        <v>0</v>
      </c>
      <c r="AC127" s="3">
        <v>0</v>
      </c>
      <c r="AD127" s="3">
        <v>0</v>
      </c>
      <c r="AE127" s="3">
        <v>0</v>
      </c>
      <c r="AF127" s="1">
        <v>2.4382074727496181E-3</v>
      </c>
      <c r="AG127" s="3">
        <v>0</v>
      </c>
      <c r="AH127" s="3">
        <v>0</v>
      </c>
      <c r="AI127" s="3">
        <v>0</v>
      </c>
      <c r="AJ127" s="3">
        <v>0</v>
      </c>
      <c r="AK127" s="3">
        <v>0</v>
      </c>
      <c r="AL127" s="3">
        <v>0</v>
      </c>
      <c r="AM127" s="3">
        <v>0</v>
      </c>
      <c r="AN127" s="3">
        <v>0</v>
      </c>
      <c r="AO127" s="3">
        <v>0</v>
      </c>
    </row>
    <row r="128" spans="1:41" ht="15">
      <c r="A128" s="19" t="s">
        <v>102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  <c r="L128" s="3">
        <v>0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3">
        <v>0</v>
      </c>
      <c r="T128" s="3">
        <v>0</v>
      </c>
      <c r="U128" s="3">
        <v>0</v>
      </c>
      <c r="V128" s="3">
        <v>0</v>
      </c>
      <c r="W128" s="3">
        <v>0</v>
      </c>
      <c r="X128" s="3">
        <v>0</v>
      </c>
      <c r="Y128" s="3">
        <v>0</v>
      </c>
      <c r="Z128" s="3">
        <v>0</v>
      </c>
      <c r="AA128" s="3">
        <v>0</v>
      </c>
      <c r="AB128" s="3">
        <v>0</v>
      </c>
      <c r="AC128" s="3">
        <v>0</v>
      </c>
      <c r="AD128" s="3">
        <v>0</v>
      </c>
      <c r="AE128" s="3">
        <v>0</v>
      </c>
      <c r="AF128" s="3">
        <v>0</v>
      </c>
      <c r="AG128" s="1">
        <v>9.7318269862282022E-3</v>
      </c>
      <c r="AH128" s="3">
        <v>0</v>
      </c>
      <c r="AI128" s="3">
        <v>0</v>
      </c>
      <c r="AJ128" s="3">
        <v>0</v>
      </c>
      <c r="AK128" s="3">
        <v>0</v>
      </c>
      <c r="AL128" s="3">
        <v>0</v>
      </c>
      <c r="AM128" s="3">
        <v>0</v>
      </c>
      <c r="AN128" s="3">
        <v>0</v>
      </c>
      <c r="AO128" s="3">
        <v>0</v>
      </c>
    </row>
    <row r="129" spans="1:41" ht="15">
      <c r="A129" s="19" t="s">
        <v>110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3">
        <v>0</v>
      </c>
      <c r="H129" s="3">
        <v>0</v>
      </c>
      <c r="I129" s="3">
        <v>0</v>
      </c>
      <c r="J129" s="3">
        <v>0</v>
      </c>
      <c r="K129" s="3">
        <v>0</v>
      </c>
      <c r="L129" s="3">
        <v>0</v>
      </c>
      <c r="M129" s="3">
        <v>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3">
        <v>0</v>
      </c>
      <c r="T129" s="3">
        <v>0</v>
      </c>
      <c r="U129" s="3">
        <v>0</v>
      </c>
      <c r="V129" s="3">
        <v>0</v>
      </c>
      <c r="W129" s="3">
        <v>0</v>
      </c>
      <c r="X129" s="3">
        <v>0</v>
      </c>
      <c r="Y129" s="3">
        <v>0</v>
      </c>
      <c r="Z129" s="3">
        <v>0</v>
      </c>
      <c r="AA129" s="3">
        <v>0</v>
      </c>
      <c r="AB129" s="3">
        <v>0</v>
      </c>
      <c r="AC129" s="3">
        <v>0</v>
      </c>
      <c r="AD129" s="3">
        <v>0</v>
      </c>
      <c r="AE129" s="3">
        <v>0</v>
      </c>
      <c r="AF129" s="3">
        <v>0</v>
      </c>
      <c r="AG129" s="3">
        <v>0</v>
      </c>
      <c r="AH129" s="1">
        <v>1.5639900734640961E-2</v>
      </c>
      <c r="AI129" s="3">
        <v>0</v>
      </c>
      <c r="AJ129" s="3">
        <v>0</v>
      </c>
      <c r="AK129" s="3">
        <v>0</v>
      </c>
      <c r="AL129" s="3">
        <v>0</v>
      </c>
      <c r="AM129" s="3">
        <v>0</v>
      </c>
      <c r="AN129" s="3">
        <v>0</v>
      </c>
      <c r="AO129" s="3">
        <v>0</v>
      </c>
    </row>
    <row r="130" spans="1:41" ht="15">
      <c r="A130" s="19" t="s">
        <v>114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3">
        <v>0</v>
      </c>
      <c r="H130" s="3">
        <v>0</v>
      </c>
      <c r="I130" s="3">
        <v>0</v>
      </c>
      <c r="J130" s="3">
        <v>0</v>
      </c>
      <c r="K130" s="3">
        <v>0</v>
      </c>
      <c r="L130" s="3">
        <v>0</v>
      </c>
      <c r="M130" s="3">
        <v>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3">
        <v>0</v>
      </c>
      <c r="T130" s="3">
        <v>0</v>
      </c>
      <c r="U130" s="3">
        <v>0</v>
      </c>
      <c r="V130" s="3">
        <v>0</v>
      </c>
      <c r="W130" s="3">
        <v>0</v>
      </c>
      <c r="X130" s="3">
        <v>0</v>
      </c>
      <c r="Y130" s="3">
        <v>0</v>
      </c>
      <c r="Z130" s="3">
        <v>0</v>
      </c>
      <c r="AA130" s="3">
        <v>0</v>
      </c>
      <c r="AB130" s="3">
        <v>0</v>
      </c>
      <c r="AC130" s="3">
        <v>0</v>
      </c>
      <c r="AD130" s="3">
        <v>0</v>
      </c>
      <c r="AE130" s="3">
        <v>0</v>
      </c>
      <c r="AF130" s="3">
        <v>0</v>
      </c>
      <c r="AG130" s="3">
        <v>0</v>
      </c>
      <c r="AH130" s="3">
        <v>0</v>
      </c>
      <c r="AI130" s="1">
        <v>9.1772687531205526E-3</v>
      </c>
      <c r="AJ130" s="3">
        <v>0</v>
      </c>
      <c r="AK130" s="3">
        <v>0</v>
      </c>
      <c r="AL130" s="3">
        <v>0</v>
      </c>
      <c r="AM130" s="3">
        <v>0</v>
      </c>
      <c r="AN130" s="3">
        <v>0</v>
      </c>
      <c r="AO130" s="3">
        <v>0</v>
      </c>
    </row>
    <row r="131" spans="1:41" ht="15">
      <c r="A131" s="19" t="s">
        <v>120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3">
        <v>0</v>
      </c>
      <c r="H131" s="3">
        <v>0</v>
      </c>
      <c r="I131" s="3">
        <v>0</v>
      </c>
      <c r="J131" s="3">
        <v>0</v>
      </c>
      <c r="K131" s="3">
        <v>0</v>
      </c>
      <c r="L131" s="3">
        <v>0</v>
      </c>
      <c r="M131" s="3">
        <v>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3">
        <v>0</v>
      </c>
      <c r="T131" s="3">
        <v>0</v>
      </c>
      <c r="U131" s="3">
        <v>0</v>
      </c>
      <c r="V131" s="3">
        <v>0</v>
      </c>
      <c r="W131" s="3">
        <v>0</v>
      </c>
      <c r="X131" s="3">
        <v>0</v>
      </c>
      <c r="Y131" s="3">
        <v>0</v>
      </c>
      <c r="Z131" s="3">
        <v>0</v>
      </c>
      <c r="AA131" s="3">
        <v>0</v>
      </c>
      <c r="AB131" s="3">
        <v>0</v>
      </c>
      <c r="AC131" s="3">
        <v>0</v>
      </c>
      <c r="AD131" s="3">
        <v>0</v>
      </c>
      <c r="AE131" s="3">
        <v>0</v>
      </c>
      <c r="AF131" s="3">
        <v>0</v>
      </c>
      <c r="AG131" s="3">
        <v>0</v>
      </c>
      <c r="AH131" s="3">
        <v>0</v>
      </c>
      <c r="AI131" s="3">
        <v>0</v>
      </c>
      <c r="AJ131" s="1">
        <v>2.0397344755797461E-2</v>
      </c>
      <c r="AK131" s="3">
        <v>0</v>
      </c>
      <c r="AL131" s="3">
        <v>0</v>
      </c>
      <c r="AM131" s="3">
        <v>0</v>
      </c>
      <c r="AN131" s="3">
        <v>0</v>
      </c>
      <c r="AO131" s="3">
        <v>0</v>
      </c>
    </row>
    <row r="132" spans="1:41" ht="15">
      <c r="A132" s="19" t="s">
        <v>123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3">
        <v>0</v>
      </c>
      <c r="H132" s="3">
        <v>0</v>
      </c>
      <c r="I132" s="3">
        <v>0</v>
      </c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3">
        <v>0</v>
      </c>
      <c r="T132" s="3">
        <v>0</v>
      </c>
      <c r="U132" s="3">
        <v>0</v>
      </c>
      <c r="V132" s="3">
        <v>0</v>
      </c>
      <c r="W132" s="3">
        <v>0</v>
      </c>
      <c r="X132" s="3">
        <v>0</v>
      </c>
      <c r="Y132" s="3">
        <v>0</v>
      </c>
      <c r="Z132" s="3">
        <v>0</v>
      </c>
      <c r="AA132" s="3">
        <v>0</v>
      </c>
      <c r="AB132" s="3">
        <v>0</v>
      </c>
      <c r="AC132" s="3">
        <v>0</v>
      </c>
      <c r="AD132" s="3">
        <v>0</v>
      </c>
      <c r="AE132" s="3">
        <v>0</v>
      </c>
      <c r="AF132" s="3">
        <v>0</v>
      </c>
      <c r="AG132" s="3">
        <v>0</v>
      </c>
      <c r="AH132" s="3">
        <v>0</v>
      </c>
      <c r="AI132" s="3">
        <v>0</v>
      </c>
      <c r="AJ132" s="3">
        <v>0</v>
      </c>
      <c r="AK132" s="1">
        <v>6.8820118234713089E-3</v>
      </c>
      <c r="AL132" s="3">
        <v>0</v>
      </c>
      <c r="AM132" s="3">
        <v>0</v>
      </c>
      <c r="AN132" s="3">
        <v>0</v>
      </c>
      <c r="AO132" s="3">
        <v>0</v>
      </c>
    </row>
    <row r="133" spans="1:41" ht="15">
      <c r="A133" s="19" t="s">
        <v>127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3">
        <v>0</v>
      </c>
      <c r="H133" s="3">
        <v>0</v>
      </c>
      <c r="I133" s="3">
        <v>0</v>
      </c>
      <c r="J133" s="3">
        <v>0</v>
      </c>
      <c r="K133" s="3">
        <v>0</v>
      </c>
      <c r="L133" s="3">
        <v>0</v>
      </c>
      <c r="M133" s="3">
        <v>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3">
        <v>0</v>
      </c>
      <c r="T133" s="3">
        <v>0</v>
      </c>
      <c r="U133" s="3">
        <v>0</v>
      </c>
      <c r="V133" s="3">
        <v>0</v>
      </c>
      <c r="W133" s="3">
        <v>0</v>
      </c>
      <c r="X133" s="3">
        <v>0</v>
      </c>
      <c r="Y133" s="3">
        <v>0</v>
      </c>
      <c r="Z133" s="3">
        <v>0</v>
      </c>
      <c r="AA133" s="3">
        <v>0</v>
      </c>
      <c r="AB133" s="3">
        <v>0</v>
      </c>
      <c r="AC133" s="3">
        <v>0</v>
      </c>
      <c r="AD133" s="3">
        <v>0</v>
      </c>
      <c r="AE133" s="3">
        <v>0</v>
      </c>
      <c r="AF133" s="3">
        <v>0</v>
      </c>
      <c r="AG133" s="3">
        <v>0</v>
      </c>
      <c r="AH133" s="3">
        <v>0</v>
      </c>
      <c r="AI133" s="3">
        <v>0</v>
      </c>
      <c r="AJ133" s="3">
        <v>0</v>
      </c>
      <c r="AK133" s="3">
        <v>0</v>
      </c>
      <c r="AL133" s="1">
        <v>6.2923600474747302E-3</v>
      </c>
      <c r="AM133" s="3">
        <v>0</v>
      </c>
      <c r="AN133" s="3">
        <v>0</v>
      </c>
      <c r="AO133" s="3">
        <v>0</v>
      </c>
    </row>
    <row r="134" spans="1:41" ht="15">
      <c r="A134" s="19" t="s">
        <v>139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3">
        <v>0</v>
      </c>
      <c r="H134" s="3">
        <v>0</v>
      </c>
      <c r="I134" s="3">
        <v>0</v>
      </c>
      <c r="J134" s="3">
        <v>0</v>
      </c>
      <c r="K134" s="3">
        <v>0</v>
      </c>
      <c r="L134" s="3">
        <v>0</v>
      </c>
      <c r="M134" s="3">
        <v>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3">
        <v>0</v>
      </c>
      <c r="T134" s="3">
        <v>0</v>
      </c>
      <c r="U134" s="3">
        <v>0</v>
      </c>
      <c r="V134" s="3">
        <v>0</v>
      </c>
      <c r="W134" s="3">
        <v>0</v>
      </c>
      <c r="X134" s="3">
        <v>0</v>
      </c>
      <c r="Y134" s="3">
        <v>0</v>
      </c>
      <c r="Z134" s="3">
        <v>0</v>
      </c>
      <c r="AA134" s="3">
        <v>0</v>
      </c>
      <c r="AB134" s="3">
        <v>0</v>
      </c>
      <c r="AC134" s="3">
        <v>0</v>
      </c>
      <c r="AD134" s="3">
        <v>0</v>
      </c>
      <c r="AE134" s="3">
        <v>0</v>
      </c>
      <c r="AF134" s="3">
        <v>0</v>
      </c>
      <c r="AG134" s="3">
        <v>0</v>
      </c>
      <c r="AH134" s="3">
        <v>0</v>
      </c>
      <c r="AI134" s="3">
        <v>0</v>
      </c>
      <c r="AJ134" s="3">
        <v>0</v>
      </c>
      <c r="AK134" s="3">
        <v>0</v>
      </c>
      <c r="AL134" s="3">
        <v>0</v>
      </c>
      <c r="AM134" s="1">
        <v>2.885434416987875E-2</v>
      </c>
      <c r="AN134" s="3">
        <v>0</v>
      </c>
      <c r="AO134" s="3">
        <v>0</v>
      </c>
    </row>
    <row r="135" spans="1:41" ht="15">
      <c r="A135" s="19" t="s">
        <v>140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3">
        <v>0</v>
      </c>
      <c r="H135" s="3">
        <v>0</v>
      </c>
      <c r="I135" s="3">
        <v>0</v>
      </c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3">
        <v>0</v>
      </c>
      <c r="T135" s="3">
        <v>0</v>
      </c>
      <c r="U135" s="3">
        <v>0</v>
      </c>
      <c r="V135" s="3">
        <v>0</v>
      </c>
      <c r="W135" s="3">
        <v>0</v>
      </c>
      <c r="X135" s="3">
        <v>0</v>
      </c>
      <c r="Y135" s="3">
        <v>0</v>
      </c>
      <c r="Z135" s="3">
        <v>0</v>
      </c>
      <c r="AA135" s="3">
        <v>0</v>
      </c>
      <c r="AB135" s="3">
        <v>0</v>
      </c>
      <c r="AC135" s="3">
        <v>0</v>
      </c>
      <c r="AD135" s="3">
        <v>0</v>
      </c>
      <c r="AE135" s="3">
        <v>0</v>
      </c>
      <c r="AF135" s="3">
        <v>0</v>
      </c>
      <c r="AG135" s="3">
        <v>0</v>
      </c>
      <c r="AH135" s="3">
        <v>0</v>
      </c>
      <c r="AI135" s="3">
        <v>0</v>
      </c>
      <c r="AJ135" s="3">
        <v>0</v>
      </c>
      <c r="AK135" s="3">
        <v>0</v>
      </c>
      <c r="AL135" s="3">
        <v>0</v>
      </c>
      <c r="AM135" s="3">
        <v>0</v>
      </c>
      <c r="AN135" s="1">
        <v>5.6007421868388939E-3</v>
      </c>
      <c r="AO135" s="3">
        <v>0</v>
      </c>
    </row>
    <row r="136" spans="1:41" ht="15">
      <c r="A136" s="19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3">
        <v>0</v>
      </c>
      <c r="H136" s="3">
        <v>0</v>
      </c>
      <c r="I136" s="3">
        <v>0</v>
      </c>
      <c r="J136" s="3">
        <v>0</v>
      </c>
      <c r="K136" s="3">
        <v>0</v>
      </c>
      <c r="L136" s="3">
        <v>0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3">
        <v>0</v>
      </c>
      <c r="T136" s="3">
        <v>0</v>
      </c>
      <c r="U136" s="3">
        <v>0</v>
      </c>
      <c r="V136" s="3">
        <v>0</v>
      </c>
      <c r="W136" s="3">
        <v>0</v>
      </c>
      <c r="X136" s="3">
        <v>0</v>
      </c>
      <c r="Y136" s="3">
        <v>0</v>
      </c>
      <c r="Z136" s="3">
        <v>0</v>
      </c>
      <c r="AA136" s="3">
        <v>0</v>
      </c>
      <c r="AB136" s="3">
        <v>0</v>
      </c>
      <c r="AC136" s="3">
        <v>0</v>
      </c>
      <c r="AD136" s="3">
        <v>0</v>
      </c>
      <c r="AE136" s="3">
        <v>0</v>
      </c>
      <c r="AF136" s="3">
        <v>0</v>
      </c>
      <c r="AG136" s="3">
        <v>0</v>
      </c>
      <c r="AH136" s="3">
        <v>0</v>
      </c>
      <c r="AI136" s="3">
        <v>0</v>
      </c>
      <c r="AJ136" s="3">
        <v>0</v>
      </c>
      <c r="AK136" s="3">
        <v>0</v>
      </c>
      <c r="AL136" s="3">
        <v>0</v>
      </c>
      <c r="AM136" s="3">
        <v>0</v>
      </c>
      <c r="AN136" s="3">
        <v>0</v>
      </c>
      <c r="AO136" s="1">
        <v>9.633373525950421E-3</v>
      </c>
    </row>
  </sheetData>
  <phoneticPr fontId="19" type="noConversion"/>
  <conditionalFormatting sqref="A52:A93">
    <cfRule type="duplicateValues" dxfId="25" priority="17"/>
  </conditionalFormatting>
  <conditionalFormatting sqref="A52:A93">
    <cfRule type="duplicateValues" dxfId="24" priority="16"/>
  </conditionalFormatting>
  <conditionalFormatting sqref="A52:A93">
    <cfRule type="duplicateValues" dxfId="23" priority="18"/>
  </conditionalFormatting>
  <conditionalFormatting sqref="B51:AO51">
    <cfRule type="duplicateValues" dxfId="22" priority="14"/>
  </conditionalFormatting>
  <conditionalFormatting sqref="B51:AO51">
    <cfRule type="duplicateValues" dxfId="21" priority="13"/>
  </conditionalFormatting>
  <conditionalFormatting sqref="B51:AO51">
    <cfRule type="duplicateValues" dxfId="20" priority="15"/>
  </conditionalFormatting>
  <conditionalFormatting sqref="A97:A136">
    <cfRule type="duplicateValues" dxfId="19" priority="11"/>
  </conditionalFormatting>
  <conditionalFormatting sqref="A97:A136">
    <cfRule type="duplicateValues" dxfId="18" priority="10"/>
  </conditionalFormatting>
  <conditionalFormatting sqref="A97:A136">
    <cfRule type="duplicateValues" dxfId="17" priority="12"/>
  </conditionalFormatting>
  <conditionalFormatting sqref="B96:AO96">
    <cfRule type="duplicateValues" dxfId="16" priority="8"/>
  </conditionalFormatting>
  <conditionalFormatting sqref="B96:AO96">
    <cfRule type="duplicateValues" dxfId="15" priority="7"/>
  </conditionalFormatting>
  <conditionalFormatting sqref="B96:AO96">
    <cfRule type="duplicateValues" dxfId="14" priority="9"/>
  </conditionalFormatting>
  <conditionalFormatting sqref="A8:A47">
    <cfRule type="duplicateValues" dxfId="13" priority="5"/>
  </conditionalFormatting>
  <conditionalFormatting sqref="A8:A47">
    <cfRule type="duplicateValues" dxfId="12" priority="4"/>
  </conditionalFormatting>
  <conditionalFormatting sqref="A8:A47">
    <cfRule type="duplicateValues" dxfId="11" priority="6"/>
  </conditionalFormatting>
  <conditionalFormatting sqref="B7:AO7">
    <cfRule type="duplicateValues" dxfId="10" priority="2"/>
  </conditionalFormatting>
  <conditionalFormatting sqref="B7:AO7">
    <cfRule type="duplicateValues" dxfId="9" priority="1"/>
  </conditionalFormatting>
  <conditionalFormatting sqref="B7:AO7">
    <cfRule type="duplicateValues" dxfId="8" priority="3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AQ94"/>
  <sheetViews>
    <sheetView topLeftCell="A58" zoomScale="75" workbookViewId="0">
      <selection activeCell="H52" sqref="H52"/>
    </sheetView>
  </sheetViews>
  <sheetFormatPr defaultColWidth="11" defaultRowHeight="14.25"/>
  <cols>
    <col min="2" max="2" width="12.625" bestFit="1" customWidth="1"/>
  </cols>
  <sheetData>
    <row r="2" spans="1:43" ht="18">
      <c r="A2" s="6" t="s">
        <v>147</v>
      </c>
    </row>
    <row r="3" spans="1:43" ht="15">
      <c r="B3" s="17" t="s">
        <v>15</v>
      </c>
      <c r="C3" s="17" t="s">
        <v>19</v>
      </c>
      <c r="D3" s="17" t="s">
        <v>17</v>
      </c>
      <c r="E3" s="17" t="s">
        <v>18</v>
      </c>
      <c r="F3" s="17" t="s">
        <v>20</v>
      </c>
      <c r="G3" s="17" t="s">
        <v>22</v>
      </c>
      <c r="H3" s="17" t="s">
        <v>23</v>
      </c>
      <c r="I3" s="17" t="s">
        <v>24</v>
      </c>
      <c r="J3" s="17" t="s">
        <v>29</v>
      </c>
      <c r="K3" s="17" t="s">
        <v>30</v>
      </c>
      <c r="L3" s="17" t="s">
        <v>32</v>
      </c>
      <c r="M3" s="17" t="s">
        <v>41</v>
      </c>
      <c r="N3" s="17" t="s">
        <v>43</v>
      </c>
      <c r="O3" s="17" t="s">
        <v>45</v>
      </c>
      <c r="P3" s="17" t="s">
        <v>47</v>
      </c>
      <c r="Q3" s="17" t="s">
        <v>50</v>
      </c>
      <c r="R3" s="17" t="s">
        <v>52</v>
      </c>
      <c r="S3" s="17" t="s">
        <v>53</v>
      </c>
      <c r="T3" s="17" t="s">
        <v>54</v>
      </c>
      <c r="U3" s="17" t="s">
        <v>57</v>
      </c>
      <c r="V3" s="17" t="s">
        <v>62</v>
      </c>
      <c r="W3" s="17" t="s">
        <v>66</v>
      </c>
      <c r="X3" s="17" t="s">
        <v>70</v>
      </c>
      <c r="Y3" s="17" t="s">
        <v>74</v>
      </c>
      <c r="Z3" s="17" t="s">
        <v>76</v>
      </c>
      <c r="AA3" s="17" t="s">
        <v>79</v>
      </c>
      <c r="AB3" s="17" t="s">
        <v>87</v>
      </c>
      <c r="AC3" s="17" t="s">
        <v>88</v>
      </c>
      <c r="AD3" s="17" t="s">
        <v>91</v>
      </c>
      <c r="AE3" s="17" t="s">
        <v>94</v>
      </c>
      <c r="AF3" s="17" t="s">
        <v>95</v>
      </c>
      <c r="AG3" s="17" t="s">
        <v>102</v>
      </c>
      <c r="AH3" s="17" t="s">
        <v>110</v>
      </c>
      <c r="AI3" s="17" t="s">
        <v>114</v>
      </c>
      <c r="AJ3" s="17" t="s">
        <v>120</v>
      </c>
      <c r="AK3" s="17" t="s">
        <v>123</v>
      </c>
      <c r="AL3" s="17" t="s">
        <v>127</v>
      </c>
      <c r="AM3" s="17" t="s">
        <v>139</v>
      </c>
      <c r="AN3" s="17" t="s">
        <v>140</v>
      </c>
      <c r="AO3" s="17" t="s">
        <v>142</v>
      </c>
      <c r="AQ3" s="17" t="s">
        <v>148</v>
      </c>
    </row>
    <row r="4" spans="1:43" ht="15">
      <c r="A4" s="17" t="s">
        <v>15</v>
      </c>
      <c r="B4" s="1">
        <v>2.399561424498947E-3</v>
      </c>
      <c r="C4" s="1">
        <v>5.0019314230529343E-4</v>
      </c>
      <c r="D4" s="1">
        <v>7.8127922290946114E-4</v>
      </c>
      <c r="E4" s="1">
        <v>3.2176077798571153E-4</v>
      </c>
      <c r="F4" s="1">
        <v>7.9142850148646927E-4</v>
      </c>
      <c r="G4" s="1">
        <v>6.9616768595448476E-4</v>
      </c>
      <c r="H4" s="1">
        <v>8.8762281598092651E-4</v>
      </c>
      <c r="I4" s="1">
        <v>4.2636282953441681E-4</v>
      </c>
      <c r="J4" s="1">
        <v>7.0437078541922614E-4</v>
      </c>
      <c r="K4" s="1">
        <v>6.9931884658656169E-4</v>
      </c>
      <c r="L4" s="1">
        <v>2.9306656814309206E-4</v>
      </c>
      <c r="M4" s="1">
        <v>2.3800407646842174E-5</v>
      </c>
      <c r="N4" s="1">
        <v>6.2961964650041927E-4</v>
      </c>
      <c r="O4" s="1">
        <v>7.1430492748232404E-4</v>
      </c>
      <c r="P4" s="1">
        <v>7.6229219543263126E-4</v>
      </c>
      <c r="Q4" s="1">
        <v>1.4319581277921845E-3</v>
      </c>
      <c r="R4" s="1">
        <v>7.1917099952959645E-4</v>
      </c>
      <c r="S4" s="1">
        <v>6.7033686985248811E-4</v>
      </c>
      <c r="T4" s="1">
        <v>6.8473923146519908E-4</v>
      </c>
      <c r="U4" s="1">
        <v>1.2912077525840835E-3</v>
      </c>
      <c r="V4" s="1">
        <v>5.7902839460624448E-4</v>
      </c>
      <c r="W4" s="1">
        <v>3.7104016200812588E-4</v>
      </c>
      <c r="X4" s="1">
        <v>4.5162236366384767E-4</v>
      </c>
      <c r="Y4" s="1">
        <v>4.8953749639077339E-4</v>
      </c>
      <c r="Z4" s="1">
        <v>6.2292819080913848E-4</v>
      </c>
      <c r="AA4" s="1">
        <v>5.8460928358030153E-4</v>
      </c>
      <c r="AB4" s="1">
        <v>3.0768291121418146E-4</v>
      </c>
      <c r="AC4" s="1">
        <v>1.0171971183660705E-3</v>
      </c>
      <c r="AD4" s="1">
        <v>4.6130637179163381E-4</v>
      </c>
      <c r="AE4" s="1">
        <v>9.8290025693383736E-4</v>
      </c>
      <c r="AF4" s="1">
        <v>4.9452414261014438E-4</v>
      </c>
      <c r="AG4" s="1">
        <v>9.5552291856970282E-4</v>
      </c>
      <c r="AH4" s="1">
        <v>1.09832038463812E-3</v>
      </c>
      <c r="AI4" s="1">
        <v>9.2401427880920437E-4</v>
      </c>
      <c r="AJ4" s="1">
        <v>3.0173877634922494E-4</v>
      </c>
      <c r="AK4" s="1">
        <v>6.2254256946584201E-4</v>
      </c>
      <c r="AL4" s="1">
        <v>8.2056118791015307E-4</v>
      </c>
      <c r="AM4" s="1">
        <v>1.465926107241096E-3</v>
      </c>
      <c r="AN4" s="1">
        <v>5.5150116604192004E-4</v>
      </c>
      <c r="AO4" s="1">
        <v>6.4259519367574497E-4</v>
      </c>
      <c r="AQ4" s="23">
        <v>8.699284701560504E-3</v>
      </c>
    </row>
    <row r="5" spans="1:43" ht="15">
      <c r="A5" s="17" t="s">
        <v>19</v>
      </c>
      <c r="B5" s="1">
        <v>5.0019314230529343E-4</v>
      </c>
      <c r="C5" s="1">
        <v>2.5239939089386301E-3</v>
      </c>
      <c r="D5" s="1">
        <v>6.0734166858122918E-4</v>
      </c>
      <c r="E5" s="1">
        <v>1.8858427340440079E-4</v>
      </c>
      <c r="F5" s="1">
        <v>9.5922331855087138E-4</v>
      </c>
      <c r="G5" s="1">
        <v>5.9507379224666378E-4</v>
      </c>
      <c r="H5" s="1">
        <v>7.582434568814266E-4</v>
      </c>
      <c r="I5" s="1">
        <v>2.8256162001863682E-4</v>
      </c>
      <c r="J5" s="1">
        <v>4.7118645936963712E-4</v>
      </c>
      <c r="K5" s="1">
        <v>9.3433790555954015E-4</v>
      </c>
      <c r="L5" s="1">
        <v>3.1984010690274696E-4</v>
      </c>
      <c r="M5" s="1">
        <v>3.1199649736346648E-4</v>
      </c>
      <c r="N5" s="1">
        <v>2.3430572218863929E-4</v>
      </c>
      <c r="O5" s="1">
        <v>2.5636389602551741E-4</v>
      </c>
      <c r="P5" s="1">
        <v>2.9449988930603874E-4</v>
      </c>
      <c r="Q5" s="1">
        <v>9.4686033420611222E-4</v>
      </c>
      <c r="R5" s="1">
        <v>1.5409485980169731E-4</v>
      </c>
      <c r="S5" s="1">
        <v>1.2955837479866961E-4</v>
      </c>
      <c r="T5" s="1">
        <v>1.9804050733027834E-4</v>
      </c>
      <c r="U5" s="1">
        <v>1.3537866734789536E-3</v>
      </c>
      <c r="V5" s="1">
        <v>3.716632525194886E-4</v>
      </c>
      <c r="W5" s="1">
        <v>1.8469023515438993E-4</v>
      </c>
      <c r="X5" s="1">
        <v>-7.7534808574370087E-6</v>
      </c>
      <c r="Y5" s="1">
        <v>7.4125000346504061E-5</v>
      </c>
      <c r="Z5" s="1">
        <v>3.8250194778442293E-4</v>
      </c>
      <c r="AA5" s="1">
        <v>3.909750876189015E-4</v>
      </c>
      <c r="AB5" s="1">
        <v>3.633887101103887E-4</v>
      </c>
      <c r="AC5" s="1">
        <v>-2.4358434758583642E-4</v>
      </c>
      <c r="AD5" s="1">
        <v>5.3464624259645665E-4</v>
      </c>
      <c r="AE5" s="1">
        <v>4.7891360276405641E-4</v>
      </c>
      <c r="AF5" s="1">
        <v>5.5356699889167252E-4</v>
      </c>
      <c r="AG5" s="1">
        <v>1.2138085173190864E-4</v>
      </c>
      <c r="AH5" s="1">
        <v>5.1439883390023619E-4</v>
      </c>
      <c r="AI5" s="1">
        <v>5.5253175280994208E-4</v>
      </c>
      <c r="AJ5" s="1">
        <v>2.1866056871707517E-4</v>
      </c>
      <c r="AK5" s="1">
        <v>3.604292987664255E-4</v>
      </c>
      <c r="AL5" s="1">
        <v>6.3085805069389047E-4</v>
      </c>
      <c r="AM5" s="1">
        <v>9.4967493861744425E-4</v>
      </c>
      <c r="AN5" s="1">
        <v>2.6113448271692546E-4</v>
      </c>
      <c r="AO5" s="1">
        <v>5.6792838607029184E-5</v>
      </c>
      <c r="AQ5" s="23">
        <v>6.8159147547803486E-3</v>
      </c>
    </row>
    <row r="6" spans="1:43" ht="15">
      <c r="A6" s="17" t="s">
        <v>17</v>
      </c>
      <c r="B6" s="1">
        <v>7.8127922290946114E-4</v>
      </c>
      <c r="C6" s="1">
        <v>6.0734166858122918E-4</v>
      </c>
      <c r="D6" s="1">
        <v>4.8172862830021135E-3</v>
      </c>
      <c r="E6" s="1">
        <v>3.8630985059717629E-4</v>
      </c>
      <c r="F6" s="1">
        <v>8.9901751008070023E-4</v>
      </c>
      <c r="G6" s="1">
        <v>3.3059800534431373E-4</v>
      </c>
      <c r="H6" s="1">
        <v>1.396888048381884E-3</v>
      </c>
      <c r="I6" s="1">
        <v>2.2351218051171512E-4</v>
      </c>
      <c r="J6" s="1">
        <v>2.8612904846335446E-4</v>
      </c>
      <c r="K6" s="1">
        <v>8.3652249541997699E-4</v>
      </c>
      <c r="L6" s="1">
        <v>4.6365714571102476E-4</v>
      </c>
      <c r="M6" s="1">
        <v>3.4492575011773539E-4</v>
      </c>
      <c r="N6" s="1">
        <v>4.9751933646717073E-4</v>
      </c>
      <c r="O6" s="1">
        <v>1.3659161290939967E-4</v>
      </c>
      <c r="P6" s="1">
        <v>5.6827808873704719E-4</v>
      </c>
      <c r="Q6" s="1">
        <v>1.1812966839536336E-3</v>
      </c>
      <c r="R6" s="1">
        <v>2.2059606762159857E-5</v>
      </c>
      <c r="S6" s="1">
        <v>8.1484064978290603E-4</v>
      </c>
      <c r="T6" s="1">
        <v>3.5825236362635151E-4</v>
      </c>
      <c r="U6" s="1">
        <v>1.3265361927032528E-3</v>
      </c>
      <c r="V6" s="1">
        <v>3.2124770699277605E-4</v>
      </c>
      <c r="W6" s="1">
        <v>6.3423973939620947E-5</v>
      </c>
      <c r="X6" s="1">
        <v>-5.3757745928732228E-5</v>
      </c>
      <c r="Y6" s="1">
        <v>5.9747260298549827E-4</v>
      </c>
      <c r="Z6" s="1">
        <v>-8.3660114213123871E-5</v>
      </c>
      <c r="AA6" s="1">
        <v>4.5803852617730303E-4</v>
      </c>
      <c r="AB6" s="1">
        <v>-9.6977628509487581E-5</v>
      </c>
      <c r="AC6" s="1">
        <v>-8.7022044096287104E-4</v>
      </c>
      <c r="AD6" s="1">
        <v>8.9929632846753624E-5</v>
      </c>
      <c r="AE6" s="1">
        <v>2.4277151013055048E-4</v>
      </c>
      <c r="AF6" s="1">
        <v>1.0316837013137727E-4</v>
      </c>
      <c r="AG6" s="1">
        <v>5.0147745787339301E-5</v>
      </c>
      <c r="AH6" s="1">
        <v>8.4584396851890569E-4</v>
      </c>
      <c r="AI6" s="1">
        <v>-2.8886534626501776E-4</v>
      </c>
      <c r="AJ6" s="1">
        <v>2.2665035114068595E-5</v>
      </c>
      <c r="AK6" s="1">
        <v>2.1357952109063262E-4</v>
      </c>
      <c r="AL6" s="1">
        <v>5.0654964891589098E-4</v>
      </c>
      <c r="AM6" s="1">
        <v>9.3523901973267928E-4</v>
      </c>
      <c r="AN6" s="1">
        <v>-2.0987031203142291E-4</v>
      </c>
      <c r="AO6" s="1">
        <v>2.4473040674908755E-5</v>
      </c>
      <c r="AQ6" s="23">
        <v>2.3228877988977967E-2</v>
      </c>
    </row>
    <row r="7" spans="1:43" ht="15">
      <c r="A7" s="17" t="s">
        <v>18</v>
      </c>
      <c r="B7" s="1">
        <v>3.2176077798571153E-4</v>
      </c>
      <c r="C7" s="1">
        <v>1.8858427340440079E-4</v>
      </c>
      <c r="D7" s="1">
        <v>3.8630985059717629E-4</v>
      </c>
      <c r="E7" s="1">
        <v>7.0123970050019789E-3</v>
      </c>
      <c r="F7" s="1">
        <v>7.4883287960411399E-4</v>
      </c>
      <c r="G7" s="1">
        <v>2.7532311870129083E-4</v>
      </c>
      <c r="H7" s="1">
        <v>1.483976544394623E-3</v>
      </c>
      <c r="I7" s="1">
        <v>2.6278805952622403E-4</v>
      </c>
      <c r="J7" s="1">
        <v>8.579218893430637E-4</v>
      </c>
      <c r="K7" s="1">
        <v>1.4869214772216316E-3</v>
      </c>
      <c r="L7" s="1">
        <v>4.8192421846679837E-4</v>
      </c>
      <c r="M7" s="1">
        <v>1.0027194192483262E-3</v>
      </c>
      <c r="N7" s="1">
        <v>6.6117704249611599E-4</v>
      </c>
      <c r="O7" s="1">
        <v>6.4215903577139832E-4</v>
      </c>
      <c r="P7" s="1">
        <v>8.1887667424419017E-4</v>
      </c>
      <c r="Q7" s="1">
        <v>-4.7890454243656858E-4</v>
      </c>
      <c r="R7" s="1">
        <v>1.3188813071249729E-3</v>
      </c>
      <c r="S7" s="1">
        <v>5.3064289611043684E-4</v>
      </c>
      <c r="T7" s="1">
        <v>7.7540148607088666E-4</v>
      </c>
      <c r="U7" s="1">
        <v>2.182791171402714E-3</v>
      </c>
      <c r="V7" s="1">
        <v>4.8001786822167815E-4</v>
      </c>
      <c r="W7" s="1">
        <v>3.8963036390355174E-4</v>
      </c>
      <c r="X7" s="1">
        <v>9.6725470410702623E-4</v>
      </c>
      <c r="Y7" s="1">
        <v>1.8209005562750406E-3</v>
      </c>
      <c r="Z7" s="1">
        <v>2.9093163569680177E-5</v>
      </c>
      <c r="AA7" s="1">
        <v>8.3040240515227484E-4</v>
      </c>
      <c r="AB7" s="1">
        <v>9.9535299611653574E-4</v>
      </c>
      <c r="AC7" s="1">
        <v>1.5568361992854044E-3</v>
      </c>
      <c r="AD7" s="1">
        <v>-2.2008781362097934E-4</v>
      </c>
      <c r="AE7" s="1">
        <v>8.3602547982470751E-5</v>
      </c>
      <c r="AF7" s="1">
        <v>1.7105874773920964E-5</v>
      </c>
      <c r="AG7" s="1">
        <v>2.384820246955702E-4</v>
      </c>
      <c r="AH7" s="1">
        <v>8.2787320328633917E-4</v>
      </c>
      <c r="AI7" s="1">
        <v>1.0246461627747008E-3</v>
      </c>
      <c r="AJ7" s="1">
        <v>1.8270323918592104E-3</v>
      </c>
      <c r="AK7" s="1">
        <v>6.2055711723076263E-4</v>
      </c>
      <c r="AL7" s="1">
        <v>1.2102270602834305E-3</v>
      </c>
      <c r="AM7" s="1">
        <v>1.3683981315410583E-3</v>
      </c>
      <c r="AN7" s="1">
        <v>4.5705903703283589E-4</v>
      </c>
      <c r="AO7" s="1">
        <v>3.712210009120438E-4</v>
      </c>
      <c r="AQ7" s="23">
        <v>1.3639382221731179E-2</v>
      </c>
    </row>
    <row r="8" spans="1:43" ht="15">
      <c r="A8" s="17" t="s">
        <v>20</v>
      </c>
      <c r="B8" s="1">
        <v>7.9142850148646927E-4</v>
      </c>
      <c r="C8" s="1">
        <v>9.5922331855087138E-4</v>
      </c>
      <c r="D8" s="1">
        <v>8.9901751008070023E-4</v>
      </c>
      <c r="E8" s="1">
        <v>7.4883287960411399E-4</v>
      </c>
      <c r="F8" s="1">
        <v>4.2330519953896707E-3</v>
      </c>
      <c r="G8" s="1">
        <v>8.5421898858020989E-4</v>
      </c>
      <c r="H8" s="1">
        <v>1.1552377510777472E-3</v>
      </c>
      <c r="I8" s="1">
        <v>3.2261367712786048E-4</v>
      </c>
      <c r="J8" s="1">
        <v>9.0117631363935055E-4</v>
      </c>
      <c r="K8" s="1">
        <v>1.2545289876291481E-3</v>
      </c>
      <c r="L8" s="1">
        <v>5.9625015233518873E-4</v>
      </c>
      <c r="M8" s="1">
        <v>5.041017308199772E-4</v>
      </c>
      <c r="N8" s="1">
        <v>5.2160647792941098E-4</v>
      </c>
      <c r="O8" s="1">
        <v>5.903329166761645E-4</v>
      </c>
      <c r="P8" s="1">
        <v>4.7703320101979524E-4</v>
      </c>
      <c r="Q8" s="1">
        <v>1.2464422482262448E-3</v>
      </c>
      <c r="R8" s="1">
        <v>5.6604475288255494E-4</v>
      </c>
      <c r="S8" s="1">
        <v>5.0391970931184572E-4</v>
      </c>
      <c r="T8" s="1">
        <v>7.4762330710255681E-4</v>
      </c>
      <c r="U8" s="1">
        <v>2.3473147382107487E-3</v>
      </c>
      <c r="V8" s="1">
        <v>2.8071692701670545E-4</v>
      </c>
      <c r="W8" s="1">
        <v>1.0255806078895041E-4</v>
      </c>
      <c r="X8" s="1">
        <v>2.2722332191556354E-4</v>
      </c>
      <c r="Y8" s="1">
        <v>2.7701516208376566E-4</v>
      </c>
      <c r="Z8" s="1">
        <v>2.6898051444866736E-4</v>
      </c>
      <c r="AA8" s="1">
        <v>6.8012080381183544E-4</v>
      </c>
      <c r="AB8" s="1">
        <v>5.1408484613695005E-4</v>
      </c>
      <c r="AC8" s="1">
        <v>-5.7699024284222104E-4</v>
      </c>
      <c r="AD8" s="1">
        <v>4.525198388948167E-4</v>
      </c>
      <c r="AE8" s="1">
        <v>3.8423404191479353E-4</v>
      </c>
      <c r="AF8" s="1">
        <v>4.9831575997519697E-4</v>
      </c>
      <c r="AG8" s="1">
        <v>6.1850878302800315E-4</v>
      </c>
      <c r="AH8" s="1">
        <v>1.2174119786186059E-3</v>
      </c>
      <c r="AI8" s="1">
        <v>9.6255063406793049E-4</v>
      </c>
      <c r="AJ8" s="1">
        <v>1.3482531743824633E-3</v>
      </c>
      <c r="AK8" s="1">
        <v>6.7247994489278947E-4</v>
      </c>
      <c r="AL8" s="1">
        <v>8.7538272119228576E-4</v>
      </c>
      <c r="AM8" s="1">
        <v>1.3528745662676287E-3</v>
      </c>
      <c r="AN8" s="1">
        <v>3.1625956894583993E-4</v>
      </c>
      <c r="AO8" s="1">
        <v>9.3231922858894232E-5</v>
      </c>
      <c r="AQ8" s="23">
        <v>9.172105076553189E-3</v>
      </c>
    </row>
    <row r="9" spans="1:43" ht="15">
      <c r="A9" s="17" t="s">
        <v>22</v>
      </c>
      <c r="B9" s="1">
        <v>6.9616768595448476E-4</v>
      </c>
      <c r="C9" s="1">
        <v>5.9507379224666378E-4</v>
      </c>
      <c r="D9" s="1">
        <v>3.3059800534431373E-4</v>
      </c>
      <c r="E9" s="1">
        <v>2.7532311870129083E-4</v>
      </c>
      <c r="F9" s="1">
        <v>8.5421898858020989E-4</v>
      </c>
      <c r="G9" s="1">
        <v>3.2902881245795183E-3</v>
      </c>
      <c r="H9" s="1">
        <v>1.2762749419932512E-3</v>
      </c>
      <c r="I9" s="1">
        <v>9.6387220492674382E-4</v>
      </c>
      <c r="J9" s="1">
        <v>6.5234441984424413E-4</v>
      </c>
      <c r="K9" s="1">
        <v>6.9690063273172506E-4</v>
      </c>
      <c r="L9" s="1">
        <v>5.9832738807709754E-4</v>
      </c>
      <c r="M9" s="1">
        <v>4.6803944148972619E-4</v>
      </c>
      <c r="N9" s="1">
        <v>7.1365218840322266E-4</v>
      </c>
      <c r="O9" s="1">
        <v>6.0866409349153599E-4</v>
      </c>
      <c r="P9" s="1">
        <v>2.4770668156257639E-4</v>
      </c>
      <c r="Q9" s="1">
        <v>1.1186650702318828E-3</v>
      </c>
      <c r="R9" s="1">
        <v>1.1662151678796557E-3</v>
      </c>
      <c r="S9" s="1">
        <v>1.4532225936580287E-5</v>
      </c>
      <c r="T9" s="1">
        <v>5.5075845630400276E-4</v>
      </c>
      <c r="U9" s="1">
        <v>1.8479068229039245E-3</v>
      </c>
      <c r="V9" s="1">
        <v>1.1077263602975774E-3</v>
      </c>
      <c r="W9" s="1">
        <v>1.004626709619751E-3</v>
      </c>
      <c r="X9" s="1">
        <v>1.1894510204531094E-4</v>
      </c>
      <c r="Y9" s="1">
        <v>6.9808204069631583E-4</v>
      </c>
      <c r="Z9" s="1">
        <v>5.203280574546268E-4</v>
      </c>
      <c r="AA9" s="1">
        <v>4.2744246116215614E-4</v>
      </c>
      <c r="AB9" s="1">
        <v>6.1204910410547005E-4</v>
      </c>
      <c r="AC9" s="1">
        <v>3.9430895220341102E-4</v>
      </c>
      <c r="AD9" s="1">
        <v>3.3874459798296131E-4</v>
      </c>
      <c r="AE9" s="1">
        <v>6.7364753430272954E-4</v>
      </c>
      <c r="AF9" s="1">
        <v>5.3625065856270301E-4</v>
      </c>
      <c r="AG9" s="1">
        <v>6.8460221247942411E-4</v>
      </c>
      <c r="AH9" s="1">
        <v>1.0754731752731774E-3</v>
      </c>
      <c r="AI9" s="1">
        <v>1.0042099258483041E-3</v>
      </c>
      <c r="AJ9" s="1">
        <v>5.7650694743270625E-4</v>
      </c>
      <c r="AK9" s="1">
        <v>3.0055836225516784E-4</v>
      </c>
      <c r="AL9" s="1">
        <v>5.3173577723817744E-4</v>
      </c>
      <c r="AM9" s="1">
        <v>1.1991263125233141E-3</v>
      </c>
      <c r="AN9" s="1">
        <v>6.2111298093691465E-4</v>
      </c>
      <c r="AO9" s="1">
        <v>6.4784078722294515E-4</v>
      </c>
      <c r="AQ9" s="23">
        <v>2.4467232968361646E-2</v>
      </c>
    </row>
    <row r="10" spans="1:43" ht="15">
      <c r="A10" s="17" t="s">
        <v>23</v>
      </c>
      <c r="B10" s="1">
        <v>8.8762281598092651E-4</v>
      </c>
      <c r="C10" s="1">
        <v>7.582434568814266E-4</v>
      </c>
      <c r="D10" s="1">
        <v>1.396888048381884E-3</v>
      </c>
      <c r="E10" s="1">
        <v>1.483976544394623E-3</v>
      </c>
      <c r="F10" s="1">
        <v>1.1552377510777472E-3</v>
      </c>
      <c r="G10" s="1">
        <v>1.2762749419932512E-3</v>
      </c>
      <c r="H10" s="1">
        <v>8.9640850068638377E-3</v>
      </c>
      <c r="I10" s="1">
        <v>1.1831743912991009E-3</v>
      </c>
      <c r="J10" s="1">
        <v>6.5904622877837726E-4</v>
      </c>
      <c r="K10" s="1">
        <v>1.0431641557952184E-3</v>
      </c>
      <c r="L10" s="1">
        <v>7.3742116942594814E-4</v>
      </c>
      <c r="M10" s="1">
        <v>9.9572927771306185E-4</v>
      </c>
      <c r="N10" s="1">
        <v>1.0840552927530139E-3</v>
      </c>
      <c r="O10" s="1">
        <v>8.2901820585390309E-4</v>
      </c>
      <c r="P10" s="1">
        <v>1.8438970850008459E-3</v>
      </c>
      <c r="Q10" s="1">
        <v>1.2510642152365947E-3</v>
      </c>
      <c r="R10" s="1">
        <v>1.2784091219470235E-3</v>
      </c>
      <c r="S10" s="1">
        <v>6.3533221105389328E-4</v>
      </c>
      <c r="T10" s="1">
        <v>1.146798168535388E-3</v>
      </c>
      <c r="U10" s="1">
        <v>2.2263444898168515E-3</v>
      </c>
      <c r="V10" s="1">
        <v>1.0572685371524385E-3</v>
      </c>
      <c r="W10" s="1">
        <v>1.1307901616492209E-3</v>
      </c>
      <c r="X10" s="1">
        <v>7.1538690748910267E-4</v>
      </c>
      <c r="Y10" s="1">
        <v>2.0365015028511279E-3</v>
      </c>
      <c r="Z10" s="1">
        <v>2.0438073296286792E-5</v>
      </c>
      <c r="AA10" s="1">
        <v>9.9606399532928811E-4</v>
      </c>
      <c r="AB10" s="1">
        <v>7.5927542700048002E-4</v>
      </c>
      <c r="AC10" s="1">
        <v>1.8305906614542457E-4</v>
      </c>
      <c r="AD10" s="1">
        <v>4.1573443703018076E-5</v>
      </c>
      <c r="AE10" s="1">
        <v>5.4859702970208991E-4</v>
      </c>
      <c r="AF10" s="1">
        <v>2.7020292642261396E-4</v>
      </c>
      <c r="AG10" s="1">
        <v>7.184527213380833E-4</v>
      </c>
      <c r="AH10" s="1">
        <v>6.3501921960452468E-4</v>
      </c>
      <c r="AI10" s="1">
        <v>3.8411822855198346E-4</v>
      </c>
      <c r="AJ10" s="1">
        <v>1.83785766919502E-3</v>
      </c>
      <c r="AK10" s="1">
        <v>4.1092344869523916E-4</v>
      </c>
      <c r="AL10" s="1">
        <v>1.136980184010999E-3</v>
      </c>
      <c r="AM10" s="1">
        <v>5.7674896671181756E-4</v>
      </c>
      <c r="AN10" s="1">
        <v>7.0451583296763905E-4</v>
      </c>
      <c r="AO10" s="1">
        <v>8.6723176426551361E-4</v>
      </c>
      <c r="AQ10" s="23">
        <v>1.9206739666083404E-2</v>
      </c>
    </row>
    <row r="11" spans="1:43" ht="15">
      <c r="A11" s="17" t="s">
        <v>24</v>
      </c>
      <c r="B11" s="1">
        <v>4.2636282953441681E-4</v>
      </c>
      <c r="C11" s="1">
        <v>2.8256162001863682E-4</v>
      </c>
      <c r="D11" s="1">
        <v>2.2351218051171512E-4</v>
      </c>
      <c r="E11" s="1">
        <v>2.6278805952622403E-4</v>
      </c>
      <c r="F11" s="1">
        <v>3.2261367712786048E-4</v>
      </c>
      <c r="G11" s="1">
        <v>9.6387220492674382E-4</v>
      </c>
      <c r="H11" s="1">
        <v>1.1831743912991009E-3</v>
      </c>
      <c r="I11" s="1">
        <v>5.4733530102919169E-3</v>
      </c>
      <c r="J11" s="1">
        <v>6.4382504503957515E-4</v>
      </c>
      <c r="K11" s="1">
        <v>1.857214032988235E-4</v>
      </c>
      <c r="L11" s="1">
        <v>1.4500150148063327E-4</v>
      </c>
      <c r="M11" s="1">
        <v>9.3068635712751388E-4</v>
      </c>
      <c r="N11" s="1">
        <v>7.7329772383068532E-4</v>
      </c>
      <c r="O11" s="1">
        <v>7.7380095161996105E-4</v>
      </c>
      <c r="P11" s="1">
        <v>9.3421635464632801E-4</v>
      </c>
      <c r="Q11" s="1">
        <v>3.6314901569158963E-4</v>
      </c>
      <c r="R11" s="1">
        <v>1.5895076429561627E-3</v>
      </c>
      <c r="S11" s="1">
        <v>-2.8198123661070742E-4</v>
      </c>
      <c r="T11" s="1">
        <v>5.1253567332760531E-4</v>
      </c>
      <c r="U11" s="1">
        <v>3.1753264065500064E-3</v>
      </c>
      <c r="V11" s="1">
        <v>1.1703706316043435E-3</v>
      </c>
      <c r="W11" s="1">
        <v>1.1440260667821426E-3</v>
      </c>
      <c r="X11" s="1">
        <v>1.0007254146045363E-3</v>
      </c>
      <c r="Y11" s="1">
        <v>1.1106109631995207E-3</v>
      </c>
      <c r="Z11" s="1">
        <v>3.0128032223577383E-4</v>
      </c>
      <c r="AA11" s="1">
        <v>8.4340227822806628E-4</v>
      </c>
      <c r="AB11" s="1">
        <v>7.4478327379893161E-4</v>
      </c>
      <c r="AC11" s="1">
        <v>8.3383550104576662E-4</v>
      </c>
      <c r="AD11" s="1">
        <v>1.5978367303705858E-4</v>
      </c>
      <c r="AE11" s="1">
        <v>8.5892999390407886E-4</v>
      </c>
      <c r="AF11" s="1">
        <v>6.7614953315887568E-4</v>
      </c>
      <c r="AG11" s="1">
        <v>1.1125475583120673E-3</v>
      </c>
      <c r="AH11" s="1">
        <v>9.7504730585076804E-4</v>
      </c>
      <c r="AI11" s="1">
        <v>1.0636370610542926E-3</v>
      </c>
      <c r="AJ11" s="1">
        <v>7.1518167038133579E-4</v>
      </c>
      <c r="AK11" s="1">
        <v>3.4871995683923013E-4</v>
      </c>
      <c r="AL11" s="1">
        <v>6.5661917950251148E-4</v>
      </c>
      <c r="AM11" s="1">
        <v>6.095199382205633E-4</v>
      </c>
      <c r="AN11" s="1">
        <v>1.3432718004699673E-3</v>
      </c>
      <c r="AO11" s="1">
        <v>5.2354924851443353E-4</v>
      </c>
      <c r="AQ11" s="23">
        <v>2.8708020567870193E-2</v>
      </c>
    </row>
    <row r="12" spans="1:43" ht="15">
      <c r="A12" s="17" t="s">
        <v>29</v>
      </c>
      <c r="B12" s="1">
        <v>7.0437078541922614E-4</v>
      </c>
      <c r="C12" s="1">
        <v>4.7118645936963712E-4</v>
      </c>
      <c r="D12" s="1">
        <v>2.8612904846335446E-4</v>
      </c>
      <c r="E12" s="1">
        <v>8.579218893430637E-4</v>
      </c>
      <c r="F12" s="1">
        <v>9.0117631363935055E-4</v>
      </c>
      <c r="G12" s="1">
        <v>6.5234441984424413E-4</v>
      </c>
      <c r="H12" s="1">
        <v>6.5904622877837726E-4</v>
      </c>
      <c r="I12" s="1">
        <v>6.4382504503957515E-4</v>
      </c>
      <c r="J12" s="1">
        <v>3.6042788399399993E-3</v>
      </c>
      <c r="K12" s="1">
        <v>1.3424168762094255E-3</v>
      </c>
      <c r="L12" s="1">
        <v>4.4719508310948067E-4</v>
      </c>
      <c r="M12" s="1">
        <v>1.6413159897607951E-4</v>
      </c>
      <c r="N12" s="1">
        <v>4.9186916063645241E-4</v>
      </c>
      <c r="O12" s="1">
        <v>6.7418551479350513E-4</v>
      </c>
      <c r="P12" s="1">
        <v>7.299337961866691E-4</v>
      </c>
      <c r="Q12" s="1">
        <v>5.3178997066390284E-4</v>
      </c>
      <c r="R12" s="1">
        <v>6.6856101511810482E-4</v>
      </c>
      <c r="S12" s="1">
        <v>3.0263489864985443E-4</v>
      </c>
      <c r="T12" s="1">
        <v>5.8103827595847794E-4</v>
      </c>
      <c r="U12" s="1">
        <v>1.8575305876425226E-3</v>
      </c>
      <c r="V12" s="1">
        <v>5.9229736174196146E-4</v>
      </c>
      <c r="W12" s="1">
        <v>4.3862126320646946E-4</v>
      </c>
      <c r="X12" s="1">
        <v>6.5192363524413084E-4</v>
      </c>
      <c r="Y12" s="1">
        <v>1.7066259450071575E-4</v>
      </c>
      <c r="Z12" s="1">
        <v>4.5969686669644161E-4</v>
      </c>
      <c r="AA12" s="1">
        <v>5.0656336006292871E-4</v>
      </c>
      <c r="AB12" s="1">
        <v>8.5741853484637605E-4</v>
      </c>
      <c r="AC12" s="1">
        <v>9.4853207070421568E-4</v>
      </c>
      <c r="AD12" s="1">
        <v>2.6591314056686885E-4</v>
      </c>
      <c r="AE12" s="1">
        <v>5.9659841016349848E-4</v>
      </c>
      <c r="AF12" s="1">
        <v>3.4605164265446317E-4</v>
      </c>
      <c r="AG12" s="1">
        <v>1.5279425477230893E-3</v>
      </c>
      <c r="AH12" s="1">
        <v>9.3892714061096763E-4</v>
      </c>
      <c r="AI12" s="1">
        <v>1.2507035913762894E-3</v>
      </c>
      <c r="AJ12" s="1">
        <v>1.3916254114995173E-3</v>
      </c>
      <c r="AK12" s="1">
        <v>9.7944526313889849E-4</v>
      </c>
      <c r="AL12" s="1">
        <v>9.3168110683853798E-4</v>
      </c>
      <c r="AM12" s="1">
        <v>1.2051754376261709E-3</v>
      </c>
      <c r="AN12" s="1">
        <v>8.4353322508304675E-4</v>
      </c>
      <c r="AO12" s="1">
        <v>4.1387769299299317E-4</v>
      </c>
      <c r="AQ12" s="23">
        <v>1.6829118169733068E-2</v>
      </c>
    </row>
    <row r="13" spans="1:43" ht="15">
      <c r="A13" s="17" t="s">
        <v>30</v>
      </c>
      <c r="B13" s="1">
        <v>6.9931884658656169E-4</v>
      </c>
      <c r="C13" s="1">
        <v>9.3433790555954015E-4</v>
      </c>
      <c r="D13" s="1">
        <v>8.3652249541997699E-4</v>
      </c>
      <c r="E13" s="1">
        <v>1.4869214772216316E-3</v>
      </c>
      <c r="F13" s="1">
        <v>1.2545289876291481E-3</v>
      </c>
      <c r="G13" s="1">
        <v>6.9690063273172506E-4</v>
      </c>
      <c r="H13" s="1">
        <v>1.0431641557952184E-3</v>
      </c>
      <c r="I13" s="1">
        <v>1.857214032988235E-4</v>
      </c>
      <c r="J13" s="1">
        <v>1.3424168762094255E-3</v>
      </c>
      <c r="K13" s="1">
        <v>6.4475301889323567E-3</v>
      </c>
      <c r="L13" s="1">
        <v>5.1914321841029496E-4</v>
      </c>
      <c r="M13" s="1">
        <v>3.0933694175201183E-4</v>
      </c>
      <c r="N13" s="1">
        <v>4.3802365353615114E-4</v>
      </c>
      <c r="O13" s="1">
        <v>5.0223083674149781E-4</v>
      </c>
      <c r="P13" s="1">
        <v>1.1024274056624834E-3</v>
      </c>
      <c r="Q13" s="1">
        <v>1.805274647161288E-3</v>
      </c>
      <c r="R13" s="1">
        <v>3.9633433638862429E-4</v>
      </c>
      <c r="S13" s="1">
        <v>1.8364638576644267E-4</v>
      </c>
      <c r="T13" s="1">
        <v>4.2379478991637668E-4</v>
      </c>
      <c r="U13" s="1">
        <v>2.6599018668926333E-3</v>
      </c>
      <c r="V13" s="1">
        <v>3.1918442035769741E-4</v>
      </c>
      <c r="W13" s="1">
        <v>-9.0709717544701433E-5</v>
      </c>
      <c r="X13" s="1">
        <v>6.7798932721341906E-4</v>
      </c>
      <c r="Y13" s="1">
        <v>-2.2565110261808306E-4</v>
      </c>
      <c r="Z13" s="1">
        <v>3.4636539843931248E-4</v>
      </c>
      <c r="AA13" s="1">
        <v>7.7672700138438485E-4</v>
      </c>
      <c r="AB13" s="1">
        <v>7.7891772469326889E-4</v>
      </c>
      <c r="AC13" s="1">
        <v>7.6596123925547503E-4</v>
      </c>
      <c r="AD13" s="1">
        <v>3.4921689780946806E-4</v>
      </c>
      <c r="AE13" s="1">
        <v>2.5891778765945058E-4</v>
      </c>
      <c r="AF13" s="1">
        <v>5.0681383165500859E-4</v>
      </c>
      <c r="AG13" s="1">
        <v>1.3313413637155087E-3</v>
      </c>
      <c r="AH13" s="1">
        <v>1.8823159730126755E-3</v>
      </c>
      <c r="AI13" s="1">
        <v>1.1887491408958699E-3</v>
      </c>
      <c r="AJ13" s="1">
        <v>2.3174800590775118E-3</v>
      </c>
      <c r="AK13" s="1">
        <v>1.3632355049410262E-3</v>
      </c>
      <c r="AL13" s="1">
        <v>1.2507015175943982E-3</v>
      </c>
      <c r="AM13" s="1">
        <v>9.2276877822284427E-4</v>
      </c>
      <c r="AN13" s="1">
        <v>3.7706973285503648E-4</v>
      </c>
      <c r="AO13" s="1">
        <v>1.1101582409017872E-3</v>
      </c>
      <c r="AQ13" s="23">
        <v>4.0777859299840511E-3</v>
      </c>
    </row>
    <row r="14" spans="1:43" ht="15">
      <c r="A14" s="17" t="s">
        <v>32</v>
      </c>
      <c r="B14" s="1">
        <v>2.9306656814309206E-4</v>
      </c>
      <c r="C14" s="1">
        <v>3.1984010690274696E-4</v>
      </c>
      <c r="D14" s="1">
        <v>4.6365714571102476E-4</v>
      </c>
      <c r="E14" s="1">
        <v>4.8192421846679837E-4</v>
      </c>
      <c r="F14" s="1">
        <v>5.9625015233518873E-4</v>
      </c>
      <c r="G14" s="1">
        <v>5.9832738807709754E-4</v>
      </c>
      <c r="H14" s="1">
        <v>7.3742116942594814E-4</v>
      </c>
      <c r="I14" s="1">
        <v>1.4500150148063327E-4</v>
      </c>
      <c r="J14" s="1">
        <v>4.4719508310948067E-4</v>
      </c>
      <c r="K14" s="1">
        <v>5.1914321841029496E-4</v>
      </c>
      <c r="L14" s="1">
        <v>8.9553439124222343E-3</v>
      </c>
      <c r="M14" s="1">
        <v>4.5660877259653444E-4</v>
      </c>
      <c r="N14" s="1">
        <v>1.8506042187927749E-4</v>
      </c>
      <c r="O14" s="1">
        <v>2.0800863235700303E-4</v>
      </c>
      <c r="P14" s="1">
        <v>1.042919491318984E-3</v>
      </c>
      <c r="Q14" s="1">
        <v>5.6734799582834605E-4</v>
      </c>
      <c r="R14" s="1">
        <v>2.0489318698430543E-3</v>
      </c>
      <c r="S14" s="1">
        <v>-4.4538454105652917E-4</v>
      </c>
      <c r="T14" s="1">
        <v>1.4927360419070488E-4</v>
      </c>
      <c r="U14" s="1">
        <v>2.0321937960476118E-3</v>
      </c>
      <c r="V14" s="1">
        <v>1.055822288447382E-3</v>
      </c>
      <c r="W14" s="1">
        <v>5.5615998207319964E-4</v>
      </c>
      <c r="X14" s="1">
        <v>-1.9648404265462763E-4</v>
      </c>
      <c r="Y14" s="1">
        <v>1.5854532930491257E-3</v>
      </c>
      <c r="Z14" s="1">
        <v>-5.8276377774268973E-4</v>
      </c>
      <c r="AA14" s="1">
        <v>3.5167535605539038E-4</v>
      </c>
      <c r="AB14" s="1">
        <v>1.5714043943772344E-3</v>
      </c>
      <c r="AC14" s="1">
        <v>-7.4362754876611291E-4</v>
      </c>
      <c r="AD14" s="1">
        <v>1.5560112110763187E-4</v>
      </c>
      <c r="AE14" s="1">
        <v>6.9630265217603203E-4</v>
      </c>
      <c r="AF14" s="1">
        <v>8.7085606426100969E-5</v>
      </c>
      <c r="AG14" s="1">
        <v>3.2404522756854931E-4</v>
      </c>
      <c r="AH14" s="1">
        <v>8.9261353274832213E-4</v>
      </c>
      <c r="AI14" s="1">
        <v>3.5965100500000459E-4</v>
      </c>
      <c r="AJ14" s="1">
        <v>-4.0732017391503577E-4</v>
      </c>
      <c r="AK14" s="1">
        <v>-1.5597263298422723E-4</v>
      </c>
      <c r="AL14" s="1">
        <v>-2.3903316797359894E-4</v>
      </c>
      <c r="AM14" s="1">
        <v>4.2032828391762241E-4</v>
      </c>
      <c r="AN14" s="1">
        <v>5.3317964029869075E-4</v>
      </c>
      <c r="AO14" s="1">
        <v>-1.0433458369254495E-3</v>
      </c>
      <c r="AQ14" s="23">
        <v>8.0578738688231958E-3</v>
      </c>
    </row>
    <row r="15" spans="1:43" ht="15">
      <c r="A15" s="17" t="s">
        <v>41</v>
      </c>
      <c r="B15" s="1">
        <v>2.3800407646842174E-5</v>
      </c>
      <c r="C15" s="1">
        <v>3.1199649736346648E-4</v>
      </c>
      <c r="D15" s="1">
        <v>3.4492575011773539E-4</v>
      </c>
      <c r="E15" s="1">
        <v>1.0027194192483262E-3</v>
      </c>
      <c r="F15" s="1">
        <v>5.041017308199772E-4</v>
      </c>
      <c r="G15" s="1">
        <v>4.6803944148972619E-4</v>
      </c>
      <c r="H15" s="1">
        <v>9.9572927771306185E-4</v>
      </c>
      <c r="I15" s="1">
        <v>9.3068635712751388E-4</v>
      </c>
      <c r="J15" s="1">
        <v>1.6413159897607951E-4</v>
      </c>
      <c r="K15" s="1">
        <v>3.0933694175201183E-4</v>
      </c>
      <c r="L15" s="1">
        <v>4.5660877259653444E-4</v>
      </c>
      <c r="M15" s="1">
        <v>4.8319003739602934E-3</v>
      </c>
      <c r="N15" s="1">
        <v>5.3697093921952052E-4</v>
      </c>
      <c r="O15" s="1">
        <v>1.3105185726982888E-4</v>
      </c>
      <c r="P15" s="1">
        <v>4.9201820231513469E-4</v>
      </c>
      <c r="Q15" s="1">
        <v>-7.6070352984065393E-4</v>
      </c>
      <c r="R15" s="1">
        <v>7.9793000843290344E-4</v>
      </c>
      <c r="S15" s="1">
        <v>-2.0183703401026453E-4</v>
      </c>
      <c r="T15" s="1">
        <v>3.2005695730306905E-4</v>
      </c>
      <c r="U15" s="1">
        <v>1.3044229022734835E-3</v>
      </c>
      <c r="V15" s="1">
        <v>3.5294061640022415E-4</v>
      </c>
      <c r="W15" s="1">
        <v>4.0805753844107696E-4</v>
      </c>
      <c r="X15" s="1">
        <v>3.036574581699374E-5</v>
      </c>
      <c r="Y15" s="1">
        <v>6.441666960194329E-4</v>
      </c>
      <c r="Z15" s="1">
        <v>-2.881248829621889E-5</v>
      </c>
      <c r="AA15" s="1">
        <v>4.059369531803282E-4</v>
      </c>
      <c r="AB15" s="1">
        <v>1.1978722799428071E-4</v>
      </c>
      <c r="AC15" s="1">
        <v>-6.0500362071223227E-4</v>
      </c>
      <c r="AD15" s="1">
        <v>1.3024470222573943E-4</v>
      </c>
      <c r="AE15" s="1">
        <v>-5.9278356893008165E-5</v>
      </c>
      <c r="AF15" s="1">
        <v>2.8325144492089612E-4</v>
      </c>
      <c r="AG15" s="1">
        <v>-2.1204470193434267E-4</v>
      </c>
      <c r="AH15" s="1">
        <v>3.2096341180313978E-4</v>
      </c>
      <c r="AI15" s="1">
        <v>1.3418899904274752E-4</v>
      </c>
      <c r="AJ15" s="1">
        <v>-9.6448311241650734E-5</v>
      </c>
      <c r="AK15" s="1">
        <v>6.6926058813162147E-5</v>
      </c>
      <c r="AL15" s="1">
        <v>2.2705246196190221E-4</v>
      </c>
      <c r="AM15" s="1">
        <v>3.8399540253992965E-4</v>
      </c>
      <c r="AN15" s="1">
        <v>2.1435903406871458E-4</v>
      </c>
      <c r="AO15" s="1">
        <v>1.9646940582599858E-5</v>
      </c>
      <c r="AQ15" s="23">
        <v>2.6221612595757216E-2</v>
      </c>
    </row>
    <row r="16" spans="1:43" ht="15">
      <c r="A16" s="17" t="s">
        <v>43</v>
      </c>
      <c r="B16" s="1">
        <v>6.2961964650041927E-4</v>
      </c>
      <c r="C16" s="1">
        <v>2.3430572218863929E-4</v>
      </c>
      <c r="D16" s="1">
        <v>4.9751933646717073E-4</v>
      </c>
      <c r="E16" s="1">
        <v>6.6117704249611599E-4</v>
      </c>
      <c r="F16" s="1">
        <v>5.2160647792941098E-4</v>
      </c>
      <c r="G16" s="1">
        <v>7.1365218840322266E-4</v>
      </c>
      <c r="H16" s="1">
        <v>1.0840552927530139E-3</v>
      </c>
      <c r="I16" s="1">
        <v>7.7329772383068532E-4</v>
      </c>
      <c r="J16" s="1">
        <v>4.9186916063645241E-4</v>
      </c>
      <c r="K16" s="1">
        <v>4.3802365353615114E-4</v>
      </c>
      <c r="L16" s="1">
        <v>1.8506042187927749E-4</v>
      </c>
      <c r="M16" s="1">
        <v>5.3697093921952052E-4</v>
      </c>
      <c r="N16" s="1">
        <v>2.3098277956324635E-3</v>
      </c>
      <c r="O16" s="1">
        <v>6.5710826672733412E-4</v>
      </c>
      <c r="P16" s="1">
        <v>1.0834774593664973E-3</v>
      </c>
      <c r="Q16" s="1">
        <v>7.7200849144007757E-4</v>
      </c>
      <c r="R16" s="1">
        <v>1.650946986698215E-3</v>
      </c>
      <c r="S16" s="1">
        <v>7.0779589987763941E-4</v>
      </c>
      <c r="T16" s="1">
        <v>8.3978535174500043E-4</v>
      </c>
      <c r="U16" s="1">
        <v>1.6208902886325626E-3</v>
      </c>
      <c r="V16" s="1">
        <v>6.0992860774423745E-4</v>
      </c>
      <c r="W16" s="1">
        <v>1.0663211168773189E-3</v>
      </c>
      <c r="X16" s="1">
        <v>8.8092970249369757E-4</v>
      </c>
      <c r="Y16" s="1">
        <v>1.1700442351319658E-3</v>
      </c>
      <c r="Z16" s="1">
        <v>4.5044054541501754E-4</v>
      </c>
      <c r="AA16" s="1">
        <v>6.3794954898053233E-4</v>
      </c>
      <c r="AB16" s="1">
        <v>2.8565396034882723E-4</v>
      </c>
      <c r="AC16" s="1">
        <v>5.4603557178187982E-4</v>
      </c>
      <c r="AD16" s="1">
        <v>1.9858220496389499E-4</v>
      </c>
      <c r="AE16" s="1">
        <v>5.7588259063531702E-4</v>
      </c>
      <c r="AF16" s="1">
        <v>2.7753247835980677E-4</v>
      </c>
      <c r="AG16" s="1">
        <v>6.3844278555142276E-4</v>
      </c>
      <c r="AH16" s="1">
        <v>6.259409681731383E-4</v>
      </c>
      <c r="AI16" s="1">
        <v>9.2121740879837601E-4</v>
      </c>
      <c r="AJ16" s="1">
        <v>8.2367390354469851E-4</v>
      </c>
      <c r="AK16" s="1">
        <v>4.0384148440291274E-4</v>
      </c>
      <c r="AL16" s="1">
        <v>6.7335255973019351E-4</v>
      </c>
      <c r="AM16" s="1">
        <v>1.6775954417811803E-3</v>
      </c>
      <c r="AN16" s="1">
        <v>7.6546958737012775E-4</v>
      </c>
      <c r="AO16" s="1">
        <v>4.2057924038003079E-4</v>
      </c>
      <c r="AQ16" s="23">
        <v>2.7942571794032822E-2</v>
      </c>
    </row>
    <row r="17" spans="1:43" ht="15">
      <c r="A17" s="17" t="s">
        <v>45</v>
      </c>
      <c r="B17" s="1">
        <v>7.1430492748232404E-4</v>
      </c>
      <c r="C17" s="1">
        <v>2.5636389602551741E-4</v>
      </c>
      <c r="D17" s="1">
        <v>1.3659161290939967E-4</v>
      </c>
      <c r="E17" s="1">
        <v>6.4215903577139832E-4</v>
      </c>
      <c r="F17" s="1">
        <v>5.903329166761645E-4</v>
      </c>
      <c r="G17" s="1">
        <v>6.0866409349153599E-4</v>
      </c>
      <c r="H17" s="1">
        <v>8.2901820585390309E-4</v>
      </c>
      <c r="I17" s="1">
        <v>7.7380095161996105E-4</v>
      </c>
      <c r="J17" s="1">
        <v>6.7418551479350513E-4</v>
      </c>
      <c r="K17" s="1">
        <v>5.0223083674149781E-4</v>
      </c>
      <c r="L17" s="1">
        <v>2.0800863235700303E-4</v>
      </c>
      <c r="M17" s="1">
        <v>1.3105185726982888E-4</v>
      </c>
      <c r="N17" s="1">
        <v>6.5710826672733412E-4</v>
      </c>
      <c r="O17" s="1">
        <v>3.1210866711348173E-3</v>
      </c>
      <c r="P17" s="1">
        <v>1.2287774865010668E-3</v>
      </c>
      <c r="Q17" s="1">
        <v>8.5936645744176966E-4</v>
      </c>
      <c r="R17" s="1">
        <v>1.2182977346160029E-3</v>
      </c>
      <c r="S17" s="1">
        <v>4.7218258103420336E-4</v>
      </c>
      <c r="T17" s="1">
        <v>9.5023731010256249E-4</v>
      </c>
      <c r="U17" s="1">
        <v>1.5039111137789417E-3</v>
      </c>
      <c r="V17" s="1">
        <v>7.557434101221652E-4</v>
      </c>
      <c r="W17" s="1">
        <v>7.868166199245265E-4</v>
      </c>
      <c r="X17" s="1">
        <v>9.9038891042058314E-4</v>
      </c>
      <c r="Y17" s="1">
        <v>4.7969446999160354E-4</v>
      </c>
      <c r="Z17" s="1">
        <v>4.5452706289088161E-4</v>
      </c>
      <c r="AA17" s="1">
        <v>8.5534929419722608E-4</v>
      </c>
      <c r="AB17" s="1">
        <v>5.267263447918777E-4</v>
      </c>
      <c r="AC17" s="1">
        <v>1.2879671033180112E-3</v>
      </c>
      <c r="AD17" s="1">
        <v>2.8410062638312649E-4</v>
      </c>
      <c r="AE17" s="1">
        <v>1.0275404987221946E-3</v>
      </c>
      <c r="AF17" s="1">
        <v>2.5096727113799064E-4</v>
      </c>
      <c r="AG17" s="1">
        <v>9.0135619942522901E-4</v>
      </c>
      <c r="AH17" s="1">
        <v>6.9134785460571912E-4</v>
      </c>
      <c r="AI17" s="1">
        <v>1.2444658993737776E-3</v>
      </c>
      <c r="AJ17" s="1">
        <v>1.2728831320562546E-3</v>
      </c>
      <c r="AK17" s="1">
        <v>8.4815054411807199E-4</v>
      </c>
      <c r="AL17" s="1">
        <v>5.836726698904526E-4</v>
      </c>
      <c r="AM17" s="1">
        <v>6.6166352743178374E-4</v>
      </c>
      <c r="AN17" s="1">
        <v>9.8968254519439481E-4</v>
      </c>
      <c r="AO17" s="1">
        <v>3.2910887737195145E-4</v>
      </c>
      <c r="AQ17" s="23">
        <v>1.4686420304713793E-2</v>
      </c>
    </row>
    <row r="18" spans="1:43" ht="15">
      <c r="A18" s="17" t="s">
        <v>47</v>
      </c>
      <c r="B18" s="1">
        <v>7.6229219543263126E-4</v>
      </c>
      <c r="C18" s="1">
        <v>2.9449988930603874E-4</v>
      </c>
      <c r="D18" s="1">
        <v>5.6827808873704719E-4</v>
      </c>
      <c r="E18" s="1">
        <v>8.1887667424419017E-4</v>
      </c>
      <c r="F18" s="1">
        <v>4.7703320101979524E-4</v>
      </c>
      <c r="G18" s="1">
        <v>2.4770668156257639E-4</v>
      </c>
      <c r="H18" s="1">
        <v>1.8438970850008459E-3</v>
      </c>
      <c r="I18" s="1">
        <v>9.3421635464632801E-4</v>
      </c>
      <c r="J18" s="1">
        <v>7.299337961866691E-4</v>
      </c>
      <c r="K18" s="1">
        <v>1.1024274056624834E-3</v>
      </c>
      <c r="L18" s="1">
        <v>1.042919491318984E-3</v>
      </c>
      <c r="M18" s="1">
        <v>4.9201820231513469E-4</v>
      </c>
      <c r="N18" s="1">
        <v>1.0834774593664973E-3</v>
      </c>
      <c r="O18" s="1">
        <v>1.2287774865010668E-3</v>
      </c>
      <c r="P18" s="1">
        <v>9.3667336771177234E-3</v>
      </c>
      <c r="Q18" s="1">
        <v>1.649481058236042E-3</v>
      </c>
      <c r="R18" s="1">
        <v>2.3689592930899008E-3</v>
      </c>
      <c r="S18" s="1">
        <v>1.1179460546017609E-3</v>
      </c>
      <c r="T18" s="1">
        <v>1.5981571611963434E-3</v>
      </c>
      <c r="U18" s="1">
        <v>2.3421893109129999E-3</v>
      </c>
      <c r="V18" s="1">
        <v>8.9615246685833692E-4</v>
      </c>
      <c r="W18" s="1">
        <v>1.5957534407142276E-3</v>
      </c>
      <c r="X18" s="1">
        <v>1.5603747273755845E-3</v>
      </c>
      <c r="Y18" s="1">
        <v>1.6981993357694952E-3</v>
      </c>
      <c r="Z18" s="1">
        <v>9.9090060625366464E-5</v>
      </c>
      <c r="AA18" s="1">
        <v>1.4266897681264026E-3</v>
      </c>
      <c r="AB18" s="1">
        <v>7.2972652705446592E-4</v>
      </c>
      <c r="AC18" s="1">
        <v>1.3990443619598728E-3</v>
      </c>
      <c r="AD18" s="1">
        <v>1.336279271600348E-4</v>
      </c>
      <c r="AE18" s="1">
        <v>1.0375746908138207E-3</v>
      </c>
      <c r="AF18" s="1">
        <v>2.4230174685633659E-4</v>
      </c>
      <c r="AG18" s="1">
        <v>8.7431971759320537E-4</v>
      </c>
      <c r="AH18" s="1">
        <v>-3.6217183983208685E-4</v>
      </c>
      <c r="AI18" s="1">
        <v>8.8848396941663401E-4</v>
      </c>
      <c r="AJ18" s="1">
        <v>1.6529089013920947E-3</v>
      </c>
      <c r="AK18" s="1">
        <v>1.5166041740139454E-3</v>
      </c>
      <c r="AL18" s="1">
        <v>6.6270425668288032E-4</v>
      </c>
      <c r="AM18" s="1">
        <v>7.520033469248762E-4</v>
      </c>
      <c r="AN18" s="1">
        <v>1.1039859333355562E-3</v>
      </c>
      <c r="AO18" s="1">
        <v>9.3884350519493338E-4</v>
      </c>
      <c r="AQ18" s="23">
        <v>3.9178717369535425E-2</v>
      </c>
    </row>
    <row r="19" spans="1:43" ht="15">
      <c r="A19" s="17" t="s">
        <v>50</v>
      </c>
      <c r="B19" s="1">
        <v>1.4319581277921845E-3</v>
      </c>
      <c r="C19" s="1">
        <v>9.4686033420611222E-4</v>
      </c>
      <c r="D19" s="1">
        <v>1.1812966839536336E-3</v>
      </c>
      <c r="E19" s="1">
        <v>-4.7890454243656858E-4</v>
      </c>
      <c r="F19" s="1">
        <v>1.2464422482262448E-3</v>
      </c>
      <c r="G19" s="1">
        <v>1.1186650702318828E-3</v>
      </c>
      <c r="H19" s="1">
        <v>1.2510642152365947E-3</v>
      </c>
      <c r="I19" s="1">
        <v>3.6314901569158963E-4</v>
      </c>
      <c r="J19" s="1">
        <v>5.3178997066390284E-4</v>
      </c>
      <c r="K19" s="1">
        <v>1.805274647161288E-3</v>
      </c>
      <c r="L19" s="1">
        <v>5.6734799582834605E-4</v>
      </c>
      <c r="M19" s="1">
        <v>-7.6070352984065393E-4</v>
      </c>
      <c r="N19" s="1">
        <v>7.7200849144007757E-4</v>
      </c>
      <c r="O19" s="1">
        <v>8.5936645744176966E-4</v>
      </c>
      <c r="P19" s="1">
        <v>1.649481058236042E-3</v>
      </c>
      <c r="Q19" s="1">
        <v>1.792080605705024E-2</v>
      </c>
      <c r="R19" s="1">
        <v>7.553424178997351E-4</v>
      </c>
      <c r="S19" s="1">
        <v>1.0355295385764212E-3</v>
      </c>
      <c r="T19" s="1">
        <v>7.3457274159183608E-4</v>
      </c>
      <c r="U19" s="1">
        <v>1.5320433758368244E-3</v>
      </c>
      <c r="V19" s="1">
        <v>6.0467397714334823E-5</v>
      </c>
      <c r="W19" s="1">
        <v>3.5401221388010971E-4</v>
      </c>
      <c r="X19" s="1">
        <v>-6.0821213471572708E-4</v>
      </c>
      <c r="Y19" s="1">
        <v>-2.0594847708086906E-3</v>
      </c>
      <c r="Z19" s="1">
        <v>2.3628969533170201E-4</v>
      </c>
      <c r="AA19" s="1">
        <v>4.3329085639370895E-4</v>
      </c>
      <c r="AB19" s="1">
        <v>-5.370136986103121E-4</v>
      </c>
      <c r="AC19" s="1">
        <v>-1.552833728584096E-3</v>
      </c>
      <c r="AD19" s="1">
        <v>5.8604537670574992E-4</v>
      </c>
      <c r="AE19" s="1">
        <v>4.9842407603143768E-4</v>
      </c>
      <c r="AF19" s="1">
        <v>6.2414046892207231E-4</v>
      </c>
      <c r="AG19" s="1">
        <v>1.3996668723243201E-3</v>
      </c>
      <c r="AH19" s="1">
        <v>2.631281055309527E-3</v>
      </c>
      <c r="AI19" s="1">
        <v>7.6044363670471128E-4</v>
      </c>
      <c r="AJ19" s="1">
        <v>4.1453008916623161E-4</v>
      </c>
      <c r="AK19" s="1">
        <v>8.5168372935146269E-4</v>
      </c>
      <c r="AL19" s="1">
        <v>3.0279058083878567E-5</v>
      </c>
      <c r="AM19" s="1">
        <v>2.5880346575003614E-4</v>
      </c>
      <c r="AN19" s="1">
        <v>7.8702877353413697E-4</v>
      </c>
      <c r="AO19" s="1">
        <v>1.020084973537763E-4</v>
      </c>
      <c r="AQ19" s="23">
        <v>1.149879709430437E-2</v>
      </c>
    </row>
    <row r="20" spans="1:43" ht="15">
      <c r="A20" s="17" t="s">
        <v>52</v>
      </c>
      <c r="B20" s="1">
        <v>7.1917099952959645E-4</v>
      </c>
      <c r="C20" s="1">
        <v>1.5409485980169731E-4</v>
      </c>
      <c r="D20" s="1">
        <v>2.2059606762159857E-5</v>
      </c>
      <c r="E20" s="1">
        <v>1.3188813071249729E-3</v>
      </c>
      <c r="F20" s="1">
        <v>5.6604475288255494E-4</v>
      </c>
      <c r="G20" s="1">
        <v>1.1662151678796557E-3</v>
      </c>
      <c r="H20" s="1">
        <v>1.2784091219470235E-3</v>
      </c>
      <c r="I20" s="1">
        <v>1.5895076429561627E-3</v>
      </c>
      <c r="J20" s="1">
        <v>6.6856101511810482E-4</v>
      </c>
      <c r="K20" s="1">
        <v>3.9633433638862429E-4</v>
      </c>
      <c r="L20" s="1">
        <v>2.0489318698430543E-3</v>
      </c>
      <c r="M20" s="1">
        <v>7.9793000843290344E-4</v>
      </c>
      <c r="N20" s="1">
        <v>1.650946986698215E-3</v>
      </c>
      <c r="O20" s="1">
        <v>1.2182977346160029E-3</v>
      </c>
      <c r="P20" s="1">
        <v>2.3689592930899008E-3</v>
      </c>
      <c r="Q20" s="1">
        <v>7.553424178997351E-4</v>
      </c>
      <c r="R20" s="1">
        <v>1.4298404913751469E-2</v>
      </c>
      <c r="S20" s="1">
        <v>1.1692122671415875E-3</v>
      </c>
      <c r="T20" s="1">
        <v>1.7965286035157831E-3</v>
      </c>
      <c r="U20" s="1">
        <v>3.4914035854294186E-3</v>
      </c>
      <c r="V20" s="1">
        <v>1.6957879695906183E-3</v>
      </c>
      <c r="W20" s="1">
        <v>1.827820065440075E-3</v>
      </c>
      <c r="X20" s="1">
        <v>1.5262215578121284E-3</v>
      </c>
      <c r="Y20" s="1">
        <v>1.7947440686156234E-3</v>
      </c>
      <c r="Z20" s="1">
        <v>1.4277434585833817E-4</v>
      </c>
      <c r="AA20" s="1">
        <v>1.5101594372479638E-3</v>
      </c>
      <c r="AB20" s="1">
        <v>1.5916856819604729E-3</v>
      </c>
      <c r="AC20" s="1">
        <v>1.6450946601077924E-3</v>
      </c>
      <c r="AD20" s="1">
        <v>-3.8926859567251022E-5</v>
      </c>
      <c r="AE20" s="1">
        <v>1.4377512228619324E-3</v>
      </c>
      <c r="AF20" s="1">
        <v>3.933632310042629E-4</v>
      </c>
      <c r="AG20" s="1">
        <v>1.5774058768350712E-3</v>
      </c>
      <c r="AH20" s="1">
        <v>-3.1113984504676823E-5</v>
      </c>
      <c r="AI20" s="1">
        <v>2.6441123360953452E-3</v>
      </c>
      <c r="AJ20" s="1">
        <v>1.0515944497863836E-3</v>
      </c>
      <c r="AK20" s="1">
        <v>6.3700576504195573E-4</v>
      </c>
      <c r="AL20" s="1">
        <v>6.6760168332158961E-4</v>
      </c>
      <c r="AM20" s="1">
        <v>2.683521483453332E-3</v>
      </c>
      <c r="AN20" s="1">
        <v>2.2057534281955705E-3</v>
      </c>
      <c r="AO20" s="1">
        <v>5.1031197998277348E-4</v>
      </c>
      <c r="AQ20" s="23">
        <v>3.8108514210443242E-2</v>
      </c>
    </row>
    <row r="21" spans="1:43" ht="15">
      <c r="A21" s="17" t="s">
        <v>53</v>
      </c>
      <c r="B21" s="1">
        <v>6.7033686985248811E-4</v>
      </c>
      <c r="C21" s="1">
        <v>1.2955837479866961E-4</v>
      </c>
      <c r="D21" s="1">
        <v>8.1484064978290603E-4</v>
      </c>
      <c r="E21" s="1">
        <v>5.3064289611043684E-4</v>
      </c>
      <c r="F21" s="1">
        <v>5.0391970931184572E-4</v>
      </c>
      <c r="G21" s="1">
        <v>1.4532225936580287E-5</v>
      </c>
      <c r="H21" s="1">
        <v>6.3533221105389328E-4</v>
      </c>
      <c r="I21" s="1">
        <v>-2.8198123661070742E-4</v>
      </c>
      <c r="J21" s="1">
        <v>3.0263489864985443E-4</v>
      </c>
      <c r="K21" s="1">
        <v>1.8364638576644267E-4</v>
      </c>
      <c r="L21" s="1">
        <v>-4.4538454105652917E-4</v>
      </c>
      <c r="M21" s="1">
        <v>-2.0183703401026453E-4</v>
      </c>
      <c r="N21" s="1">
        <v>7.0779589987763941E-4</v>
      </c>
      <c r="O21" s="1">
        <v>4.7218258103420336E-4</v>
      </c>
      <c r="P21" s="1">
        <v>1.1179460546017609E-3</v>
      </c>
      <c r="Q21" s="1">
        <v>1.0355295385764212E-3</v>
      </c>
      <c r="R21" s="1">
        <v>1.1692122671415875E-3</v>
      </c>
      <c r="S21" s="1">
        <v>5.4340767496654022E-3</v>
      </c>
      <c r="T21" s="1">
        <v>1.1650449949681954E-3</v>
      </c>
      <c r="U21" s="1">
        <v>-5.6009365272961819E-4</v>
      </c>
      <c r="V21" s="1">
        <v>3.126385937144982E-4</v>
      </c>
      <c r="W21" s="1">
        <v>5.0641030204925193E-4</v>
      </c>
      <c r="X21" s="1">
        <v>6.3872219902638E-4</v>
      </c>
      <c r="Y21" s="1">
        <v>8.270974517646572E-4</v>
      </c>
      <c r="Z21" s="1">
        <v>2.5136251559786804E-4</v>
      </c>
      <c r="AA21" s="1">
        <v>6.5796191066640913E-4</v>
      </c>
      <c r="AB21" s="1">
        <v>-3.7562954352292132E-4</v>
      </c>
      <c r="AC21" s="1">
        <v>5.2084309610423904E-4</v>
      </c>
      <c r="AD21" s="1">
        <v>-1.0211805155184345E-5</v>
      </c>
      <c r="AE21" s="1">
        <v>4.0523432663213082E-4</v>
      </c>
      <c r="AF21" s="1">
        <v>-3.5693553410002996E-5</v>
      </c>
      <c r="AG21" s="1">
        <v>5.6238271366906378E-4</v>
      </c>
      <c r="AH21" s="1">
        <v>3.8564717177934599E-4</v>
      </c>
      <c r="AI21" s="1">
        <v>4.1390017335701356E-4</v>
      </c>
      <c r="AJ21" s="1">
        <v>1.1337051511619222E-3</v>
      </c>
      <c r="AK21" s="1">
        <v>5.0829579241420475E-4</v>
      </c>
      <c r="AL21" s="1">
        <v>1.2054005550366041E-3</v>
      </c>
      <c r="AM21" s="1">
        <v>1.1636246187652355E-3</v>
      </c>
      <c r="AN21" s="1">
        <v>3.7081695359803923E-4</v>
      </c>
      <c r="AO21" s="1">
        <v>7.2387188689270181E-4</v>
      </c>
      <c r="AQ21" s="23">
        <v>9.6034810742778899E-3</v>
      </c>
    </row>
    <row r="22" spans="1:43" ht="15">
      <c r="A22" s="17" t="s">
        <v>54</v>
      </c>
      <c r="B22" s="1">
        <v>6.8473923146519908E-4</v>
      </c>
      <c r="C22" s="1">
        <v>1.9804050733027834E-4</v>
      </c>
      <c r="D22" s="1">
        <v>3.5825236362635151E-4</v>
      </c>
      <c r="E22" s="1">
        <v>7.7540148607088666E-4</v>
      </c>
      <c r="F22" s="1">
        <v>7.4762330710255681E-4</v>
      </c>
      <c r="G22" s="1">
        <v>5.5075845630400276E-4</v>
      </c>
      <c r="H22" s="1">
        <v>1.146798168535388E-3</v>
      </c>
      <c r="I22" s="1">
        <v>5.1253567332760531E-4</v>
      </c>
      <c r="J22" s="1">
        <v>5.8103827595847794E-4</v>
      </c>
      <c r="K22" s="1">
        <v>4.2379478991637668E-4</v>
      </c>
      <c r="L22" s="1">
        <v>1.4927360419070488E-4</v>
      </c>
      <c r="M22" s="1">
        <v>3.2005695730306905E-4</v>
      </c>
      <c r="N22" s="1">
        <v>8.3978535174500043E-4</v>
      </c>
      <c r="O22" s="1">
        <v>9.5023731010256249E-4</v>
      </c>
      <c r="P22" s="1">
        <v>1.5981571611963434E-3</v>
      </c>
      <c r="Q22" s="1">
        <v>7.3457274159183608E-4</v>
      </c>
      <c r="R22" s="1">
        <v>1.7965286035157831E-3</v>
      </c>
      <c r="S22" s="1">
        <v>1.1650449949681954E-3</v>
      </c>
      <c r="T22" s="1">
        <v>5.1160501140516627E-3</v>
      </c>
      <c r="U22" s="1">
        <v>1.3748242892731553E-3</v>
      </c>
      <c r="V22" s="1">
        <v>1.0248740004929723E-3</v>
      </c>
      <c r="W22" s="1">
        <v>1.1247233648557821E-3</v>
      </c>
      <c r="X22" s="1">
        <v>1.0683319002792267E-3</v>
      </c>
      <c r="Y22" s="1">
        <v>1.6161070334300982E-3</v>
      </c>
      <c r="Z22" s="1">
        <v>5.620719332001191E-4</v>
      </c>
      <c r="AA22" s="1">
        <v>1.1446590288346483E-3</v>
      </c>
      <c r="AB22" s="1">
        <v>1.3564402335074853E-4</v>
      </c>
      <c r="AC22" s="1">
        <v>1.9455714758682076E-3</v>
      </c>
      <c r="AD22" s="1">
        <v>4.3297658543329782E-4</v>
      </c>
      <c r="AE22" s="1">
        <v>7.2835989663658728E-4</v>
      </c>
      <c r="AF22" s="1">
        <v>4.5711211578084582E-4</v>
      </c>
      <c r="AG22" s="1">
        <v>1.3267106477153857E-3</v>
      </c>
      <c r="AH22" s="1">
        <v>1.2211297383414551E-3</v>
      </c>
      <c r="AI22" s="1">
        <v>1.1413900930871E-3</v>
      </c>
      <c r="AJ22" s="1">
        <v>2.0100937754486672E-3</v>
      </c>
      <c r="AK22" s="1">
        <v>4.5271546857588422E-4</v>
      </c>
      <c r="AL22" s="1">
        <v>1.2112411861371368E-3</v>
      </c>
      <c r="AM22" s="1">
        <v>2.063610512727623E-3</v>
      </c>
      <c r="AN22" s="1">
        <v>1.0503928203382876E-3</v>
      </c>
      <c r="AO22" s="1">
        <v>1.4667775777133139E-3</v>
      </c>
      <c r="AQ22" s="23">
        <v>2.0935191933320312E-2</v>
      </c>
    </row>
    <row r="23" spans="1:43" ht="15">
      <c r="A23" s="17" t="s">
        <v>57</v>
      </c>
      <c r="B23" s="1">
        <v>1.2912077525840835E-3</v>
      </c>
      <c r="C23" s="1">
        <v>1.3537866734789536E-3</v>
      </c>
      <c r="D23" s="1">
        <v>1.3265361927032528E-3</v>
      </c>
      <c r="E23" s="1">
        <v>2.182791171402714E-3</v>
      </c>
      <c r="F23" s="1">
        <v>2.3473147382107487E-3</v>
      </c>
      <c r="G23" s="1">
        <v>1.8479068229039245E-3</v>
      </c>
      <c r="H23" s="1">
        <v>2.2263444898168515E-3</v>
      </c>
      <c r="I23" s="1">
        <v>3.1753264065500064E-3</v>
      </c>
      <c r="J23" s="1">
        <v>1.8575305876425226E-3</v>
      </c>
      <c r="K23" s="1">
        <v>2.6599018668926333E-3</v>
      </c>
      <c r="L23" s="1">
        <v>2.0321937960476118E-3</v>
      </c>
      <c r="M23" s="1">
        <v>1.3044229022734835E-3</v>
      </c>
      <c r="N23" s="1">
        <v>1.6208902886325626E-3</v>
      </c>
      <c r="O23" s="1">
        <v>1.5039111137789417E-3</v>
      </c>
      <c r="P23" s="1">
        <v>2.3421893109129999E-3</v>
      </c>
      <c r="Q23" s="1">
        <v>1.5320433758368244E-3</v>
      </c>
      <c r="R23" s="1">
        <v>3.4914035854294186E-3</v>
      </c>
      <c r="S23" s="1">
        <v>-5.6009365272961819E-4</v>
      </c>
      <c r="T23" s="1">
        <v>1.3748242892731553E-3</v>
      </c>
      <c r="U23" s="1">
        <v>2.4006108625587851E-2</v>
      </c>
      <c r="V23" s="1">
        <v>2.0100263410961199E-3</v>
      </c>
      <c r="W23" s="1">
        <v>1.5100657825383363E-3</v>
      </c>
      <c r="X23" s="1">
        <v>1.9407681033354496E-3</v>
      </c>
      <c r="Y23" s="1">
        <v>1.3596015081343731E-3</v>
      </c>
      <c r="Z23" s="1">
        <v>2.7118767737367564E-4</v>
      </c>
      <c r="AA23" s="1">
        <v>2.2989341259390659E-3</v>
      </c>
      <c r="AB23" s="1">
        <v>2.068502765591531E-3</v>
      </c>
      <c r="AC23" s="1">
        <v>1.1697430905233464E-3</v>
      </c>
      <c r="AD23" s="1">
        <v>7.3904096236319461E-4</v>
      </c>
      <c r="AE23" s="1">
        <v>1.2889070618437844E-3</v>
      </c>
      <c r="AF23" s="1">
        <v>1.0523799759183786E-3</v>
      </c>
      <c r="AG23" s="1">
        <v>1.822162337090322E-3</v>
      </c>
      <c r="AH23" s="1">
        <v>1.5402040929937109E-3</v>
      </c>
      <c r="AI23" s="1">
        <v>2.5949300471461998E-3</v>
      </c>
      <c r="AJ23" s="1">
        <v>3.3984266027160212E-3</v>
      </c>
      <c r="AK23" s="1">
        <v>2.1227586249737431E-3</v>
      </c>
      <c r="AL23" s="1">
        <v>1.6619260166969596E-3</v>
      </c>
      <c r="AM23" s="1">
        <v>1.967216002247404E-3</v>
      </c>
      <c r="AN23" s="1">
        <v>2.4826491314249178E-3</v>
      </c>
      <c r="AO23" s="1">
        <v>3.0598406901480708E-4</v>
      </c>
      <c r="AQ23" s="23">
        <v>4.2182472437194571E-2</v>
      </c>
    </row>
    <row r="24" spans="1:43" ht="15">
      <c r="A24" s="17" t="s">
        <v>62</v>
      </c>
      <c r="B24" s="1">
        <v>5.7902839460624448E-4</v>
      </c>
      <c r="C24" s="1">
        <v>3.716632525194886E-4</v>
      </c>
      <c r="D24" s="1">
        <v>3.2124770699277605E-4</v>
      </c>
      <c r="E24" s="1">
        <v>4.8001786822167815E-4</v>
      </c>
      <c r="F24" s="1">
        <v>2.8071692701670545E-4</v>
      </c>
      <c r="G24" s="1">
        <v>1.1077263602975774E-3</v>
      </c>
      <c r="H24" s="1">
        <v>1.0572685371524385E-3</v>
      </c>
      <c r="I24" s="1">
        <v>1.1703706316043435E-3</v>
      </c>
      <c r="J24" s="1">
        <v>5.9229736174196146E-4</v>
      </c>
      <c r="K24" s="1">
        <v>3.1918442035769741E-4</v>
      </c>
      <c r="L24" s="1">
        <v>1.055822288447382E-3</v>
      </c>
      <c r="M24" s="1">
        <v>3.5294061640022415E-4</v>
      </c>
      <c r="N24" s="1">
        <v>6.0992860774423745E-4</v>
      </c>
      <c r="O24" s="1">
        <v>7.557434101221652E-4</v>
      </c>
      <c r="P24" s="1">
        <v>8.9615246685833692E-4</v>
      </c>
      <c r="Q24" s="1">
        <v>6.0467397714334823E-5</v>
      </c>
      <c r="R24" s="1">
        <v>1.6957879695906183E-3</v>
      </c>
      <c r="S24" s="1">
        <v>3.126385937144982E-4</v>
      </c>
      <c r="T24" s="1">
        <v>1.0248740004929723E-3</v>
      </c>
      <c r="U24" s="1">
        <v>2.0100263410961199E-3</v>
      </c>
      <c r="V24" s="1">
        <v>6.7326884987501763E-3</v>
      </c>
      <c r="W24" s="1">
        <v>1.190619873876673E-3</v>
      </c>
      <c r="X24" s="1">
        <v>9.2479542031213174E-4</v>
      </c>
      <c r="Y24" s="1">
        <v>2.2291664727930208E-3</v>
      </c>
      <c r="Z24" s="1">
        <v>3.136806384835012E-4</v>
      </c>
      <c r="AA24" s="1">
        <v>8.0210681703681659E-4</v>
      </c>
      <c r="AB24" s="1">
        <v>4.200097487352119E-4</v>
      </c>
      <c r="AC24" s="1">
        <v>1.4650844011563661E-3</v>
      </c>
      <c r="AD24" s="1">
        <v>4.838148833543705E-4</v>
      </c>
      <c r="AE24" s="1">
        <v>1.3953193777981789E-3</v>
      </c>
      <c r="AF24" s="1">
        <v>2.5878805025575803E-4</v>
      </c>
      <c r="AG24" s="1">
        <v>1.0333295970662187E-3</v>
      </c>
      <c r="AH24" s="1">
        <v>5.7436793012662351E-4</v>
      </c>
      <c r="AI24" s="1">
        <v>1.4483036843274358E-3</v>
      </c>
      <c r="AJ24" s="1">
        <v>1.1109584992197714E-3</v>
      </c>
      <c r="AK24" s="1">
        <v>7.4288047570945275E-4</v>
      </c>
      <c r="AL24" s="1">
        <v>1.23677167525704E-3</v>
      </c>
      <c r="AM24" s="1">
        <v>9.3000692184642454E-4</v>
      </c>
      <c r="AN24" s="1">
        <v>1.0453516757446201E-3</v>
      </c>
      <c r="AO24" s="1">
        <v>1.2591524138944334E-3</v>
      </c>
      <c r="AQ24" s="23">
        <v>1.9055769051659663E-2</v>
      </c>
    </row>
    <row r="25" spans="1:43" ht="15">
      <c r="A25" s="17" t="s">
        <v>66</v>
      </c>
      <c r="B25" s="1">
        <v>3.7104016200812588E-4</v>
      </c>
      <c r="C25" s="1">
        <v>1.8469023515438993E-4</v>
      </c>
      <c r="D25" s="1">
        <v>6.3423973939620947E-5</v>
      </c>
      <c r="E25" s="1">
        <v>3.8963036390355174E-4</v>
      </c>
      <c r="F25" s="1">
        <v>1.0255806078895041E-4</v>
      </c>
      <c r="G25" s="1">
        <v>1.004626709619751E-3</v>
      </c>
      <c r="H25" s="1">
        <v>1.1307901616492209E-3</v>
      </c>
      <c r="I25" s="1">
        <v>1.1440260667821426E-3</v>
      </c>
      <c r="J25" s="1">
        <v>4.3862126320646946E-4</v>
      </c>
      <c r="K25" s="1">
        <v>-9.0709717544701433E-5</v>
      </c>
      <c r="L25" s="1">
        <v>5.5615998207319964E-4</v>
      </c>
      <c r="M25" s="1">
        <v>4.0805753844107696E-4</v>
      </c>
      <c r="N25" s="1">
        <v>1.0663211168773189E-3</v>
      </c>
      <c r="O25" s="1">
        <v>7.868166199245265E-4</v>
      </c>
      <c r="P25" s="1">
        <v>1.5957534407142276E-3</v>
      </c>
      <c r="Q25" s="1">
        <v>3.5401221388010971E-4</v>
      </c>
      <c r="R25" s="1">
        <v>1.827820065440075E-3</v>
      </c>
      <c r="S25" s="1">
        <v>5.0641030204925193E-4</v>
      </c>
      <c r="T25" s="1">
        <v>1.1247233648557821E-3</v>
      </c>
      <c r="U25" s="1">
        <v>1.5100657825383363E-3</v>
      </c>
      <c r="V25" s="1">
        <v>1.190619873876673E-3</v>
      </c>
      <c r="W25" s="1">
        <v>5.6899989365956829E-3</v>
      </c>
      <c r="X25" s="1">
        <v>1.0494801106350645E-3</v>
      </c>
      <c r="Y25" s="1">
        <v>3.3540271212261687E-3</v>
      </c>
      <c r="Z25" s="1">
        <v>5.5975861837742136E-4</v>
      </c>
      <c r="AA25" s="1">
        <v>8.9808505867560872E-4</v>
      </c>
      <c r="AB25" s="1">
        <v>1.0033810407288298E-3</v>
      </c>
      <c r="AC25" s="1">
        <v>1.7986520201644734E-3</v>
      </c>
      <c r="AD25" s="1">
        <v>1.4855802443734369E-4</v>
      </c>
      <c r="AE25" s="1">
        <v>7.3582015758741272E-4</v>
      </c>
      <c r="AF25" s="1">
        <v>2.7383035434410535E-4</v>
      </c>
      <c r="AG25" s="1">
        <v>1.9025339282961759E-4</v>
      </c>
      <c r="AH25" s="1">
        <v>4.8919077196991336E-4</v>
      </c>
      <c r="AI25" s="1">
        <v>1.183484916546807E-3</v>
      </c>
      <c r="AJ25" s="1">
        <v>5.9826670018074473E-4</v>
      </c>
      <c r="AK25" s="1">
        <v>5.0599009740355581E-4</v>
      </c>
      <c r="AL25" s="1">
        <v>4.8793114077163392E-4</v>
      </c>
      <c r="AM25" s="1">
        <v>2.1651426463475862E-3</v>
      </c>
      <c r="AN25" s="1">
        <v>1.2466771168563591E-3</v>
      </c>
      <c r="AO25" s="1">
        <v>8.7155498051581163E-4</v>
      </c>
      <c r="AQ25" s="23">
        <v>3.4702204767491342E-2</v>
      </c>
    </row>
    <row r="26" spans="1:43" ht="15">
      <c r="A26" s="17" t="s">
        <v>70</v>
      </c>
      <c r="B26" s="1">
        <v>4.5162236366384767E-4</v>
      </c>
      <c r="C26" s="1">
        <v>-7.7534808574370087E-6</v>
      </c>
      <c r="D26" s="1">
        <v>-5.3757745928732228E-5</v>
      </c>
      <c r="E26" s="1">
        <v>9.6725470410702623E-4</v>
      </c>
      <c r="F26" s="1">
        <v>2.2722332191556354E-4</v>
      </c>
      <c r="G26" s="1">
        <v>1.1894510204531094E-4</v>
      </c>
      <c r="H26" s="1">
        <v>7.1538690748910267E-4</v>
      </c>
      <c r="I26" s="1">
        <v>1.0007254146045363E-3</v>
      </c>
      <c r="J26" s="1">
        <v>6.5192363524413084E-4</v>
      </c>
      <c r="K26" s="1">
        <v>6.7798932721341906E-4</v>
      </c>
      <c r="L26" s="1">
        <v>-1.9648404265462763E-4</v>
      </c>
      <c r="M26" s="1">
        <v>3.036574581699374E-5</v>
      </c>
      <c r="N26" s="1">
        <v>8.8092970249369757E-4</v>
      </c>
      <c r="O26" s="1">
        <v>9.9038891042058314E-4</v>
      </c>
      <c r="P26" s="1">
        <v>1.5603747273755845E-3</v>
      </c>
      <c r="Q26" s="1">
        <v>-6.0821213471572708E-4</v>
      </c>
      <c r="R26" s="1">
        <v>1.5262215578121284E-3</v>
      </c>
      <c r="S26" s="1">
        <v>6.3872219902638E-4</v>
      </c>
      <c r="T26" s="1">
        <v>1.0683319002792267E-3</v>
      </c>
      <c r="U26" s="1">
        <v>1.9407681033354496E-3</v>
      </c>
      <c r="V26" s="1">
        <v>9.2479542031213174E-4</v>
      </c>
      <c r="W26" s="1">
        <v>1.0494801106350645E-3</v>
      </c>
      <c r="X26" s="1">
        <v>6.7319834912930301E-3</v>
      </c>
      <c r="Y26" s="1">
        <v>1.6065286636277485E-3</v>
      </c>
      <c r="Z26" s="1">
        <v>4.6078867982421689E-4</v>
      </c>
      <c r="AA26" s="1">
        <v>1.0054735227212983E-3</v>
      </c>
      <c r="AB26" s="1">
        <v>5.9795431262247038E-4</v>
      </c>
      <c r="AC26" s="1">
        <v>2.9696400581724065E-3</v>
      </c>
      <c r="AD26" s="1">
        <v>1.2234771997757916E-4</v>
      </c>
      <c r="AE26" s="1">
        <v>1.202876460157769E-3</v>
      </c>
      <c r="AF26" s="1">
        <v>3.1544513170805405E-4</v>
      </c>
      <c r="AG26" s="1">
        <v>1.4328069551655532E-3</v>
      </c>
      <c r="AH26" s="1">
        <v>1.1845014362752313E-3</v>
      </c>
      <c r="AI26" s="1">
        <v>1.4896715425788791E-3</v>
      </c>
      <c r="AJ26" s="1">
        <v>2.0316909589752287E-3</v>
      </c>
      <c r="AK26" s="1">
        <v>1.1559030519044675E-3</v>
      </c>
      <c r="AL26" s="1">
        <v>1.0390586979166414E-3</v>
      </c>
      <c r="AM26" s="1">
        <v>1.9263961414490325E-3</v>
      </c>
      <c r="AN26" s="1">
        <v>1.3578043423740592E-3</v>
      </c>
      <c r="AO26" s="1">
        <v>1.0469475926942579E-3</v>
      </c>
      <c r="AQ26" s="23">
        <v>1.2399512632946736E-2</v>
      </c>
    </row>
    <row r="27" spans="1:43" ht="15">
      <c r="A27" s="17" t="s">
        <v>74</v>
      </c>
      <c r="B27" s="1">
        <v>4.8953749639077339E-4</v>
      </c>
      <c r="C27" s="1">
        <v>7.4125000346504061E-5</v>
      </c>
      <c r="D27" s="1">
        <v>5.9747260298549827E-4</v>
      </c>
      <c r="E27" s="1">
        <v>1.8209005562750406E-3</v>
      </c>
      <c r="F27" s="1">
        <v>2.7701516208376566E-4</v>
      </c>
      <c r="G27" s="1">
        <v>6.9808204069631583E-4</v>
      </c>
      <c r="H27" s="1">
        <v>2.0365015028511279E-3</v>
      </c>
      <c r="I27" s="1">
        <v>1.1106109631995207E-3</v>
      </c>
      <c r="J27" s="1">
        <v>1.7066259450071575E-4</v>
      </c>
      <c r="K27" s="1">
        <v>-2.2565110261808306E-4</v>
      </c>
      <c r="L27" s="1">
        <v>1.5854532930491257E-3</v>
      </c>
      <c r="M27" s="1">
        <v>6.441666960194329E-4</v>
      </c>
      <c r="N27" s="1">
        <v>1.1700442351319658E-3</v>
      </c>
      <c r="O27" s="1">
        <v>4.7969446999160354E-4</v>
      </c>
      <c r="P27" s="1">
        <v>1.6981993357694952E-3</v>
      </c>
      <c r="Q27" s="1">
        <v>-2.0594847708086906E-3</v>
      </c>
      <c r="R27" s="1">
        <v>1.7947440686156234E-3</v>
      </c>
      <c r="S27" s="1">
        <v>8.270974517646572E-4</v>
      </c>
      <c r="T27" s="1">
        <v>1.6161070334300982E-3</v>
      </c>
      <c r="U27" s="1">
        <v>1.3596015081343731E-3</v>
      </c>
      <c r="V27" s="1">
        <v>2.2291664727930208E-3</v>
      </c>
      <c r="W27" s="1">
        <v>3.3540271212261687E-3</v>
      </c>
      <c r="X27" s="1">
        <v>1.6065286636277485E-3</v>
      </c>
      <c r="Y27" s="1">
        <v>2.5203124615153279E-2</v>
      </c>
      <c r="Z27" s="1">
        <v>8.1147676218822854E-4</v>
      </c>
      <c r="AA27" s="1">
        <v>1.5723240695171379E-3</v>
      </c>
      <c r="AB27" s="1">
        <v>1.5304808157294331E-3</v>
      </c>
      <c r="AC27" s="1">
        <v>5.3049312004658485E-3</v>
      </c>
      <c r="AD27" s="1">
        <v>2.37788916763181E-4</v>
      </c>
      <c r="AE27" s="1">
        <v>1.264075073479143E-3</v>
      </c>
      <c r="AF27" s="1">
        <v>-5.8927958221595075E-5</v>
      </c>
      <c r="AG27" s="1">
        <v>2.0938786489714509E-4</v>
      </c>
      <c r="AH27" s="1">
        <v>2.2895626067516951E-3</v>
      </c>
      <c r="AI27" s="1">
        <v>1.7419671913263849E-3</v>
      </c>
      <c r="AJ27" s="1">
        <v>2.1280219349199361E-3</v>
      </c>
      <c r="AK27" s="1">
        <v>6.9252820769617794E-4</v>
      </c>
      <c r="AL27" s="1">
        <v>2.5781637600699433E-3</v>
      </c>
      <c r="AM27" s="1">
        <v>4.4495027999185812E-3</v>
      </c>
      <c r="AN27" s="1">
        <v>5.9766323607874294E-4</v>
      </c>
      <c r="AO27" s="1">
        <v>2.2905474692458843E-3</v>
      </c>
      <c r="AQ27" s="23">
        <v>4.8614642774215934E-2</v>
      </c>
    </row>
    <row r="28" spans="1:43" ht="15">
      <c r="A28" s="17" t="s">
        <v>76</v>
      </c>
      <c r="B28" s="1">
        <v>6.2292819080913848E-4</v>
      </c>
      <c r="C28" s="1">
        <v>3.8250194778442293E-4</v>
      </c>
      <c r="D28" s="1">
        <v>-8.3660114213123871E-5</v>
      </c>
      <c r="E28" s="1">
        <v>2.9093163569680177E-5</v>
      </c>
      <c r="F28" s="1">
        <v>2.6898051444866736E-4</v>
      </c>
      <c r="G28" s="1">
        <v>5.203280574546268E-4</v>
      </c>
      <c r="H28" s="1">
        <v>2.0438073296286792E-5</v>
      </c>
      <c r="I28" s="1">
        <v>3.0128032223577383E-4</v>
      </c>
      <c r="J28" s="1">
        <v>4.5969686669644161E-4</v>
      </c>
      <c r="K28" s="1">
        <v>3.4636539843931248E-4</v>
      </c>
      <c r="L28" s="1">
        <v>-5.8276377774268973E-4</v>
      </c>
      <c r="M28" s="1">
        <v>-2.881248829621889E-5</v>
      </c>
      <c r="N28" s="1">
        <v>4.5044054541501754E-4</v>
      </c>
      <c r="O28" s="1">
        <v>4.5452706289088161E-4</v>
      </c>
      <c r="P28" s="1">
        <v>9.9090060625366464E-5</v>
      </c>
      <c r="Q28" s="1">
        <v>2.3628969533170201E-4</v>
      </c>
      <c r="R28" s="1">
        <v>1.4277434585833817E-4</v>
      </c>
      <c r="S28" s="1">
        <v>2.5136251559786804E-4</v>
      </c>
      <c r="T28" s="1">
        <v>5.620719332001191E-4</v>
      </c>
      <c r="U28" s="1">
        <v>2.7118767737367564E-4</v>
      </c>
      <c r="V28" s="1">
        <v>3.136806384835012E-4</v>
      </c>
      <c r="W28" s="1">
        <v>5.5975861837742136E-4</v>
      </c>
      <c r="X28" s="1">
        <v>4.6078867982421689E-4</v>
      </c>
      <c r="Y28" s="1">
        <v>8.1147676218822854E-4</v>
      </c>
      <c r="Z28" s="1">
        <v>2.4044643688971804E-3</v>
      </c>
      <c r="AA28" s="1">
        <v>3.2693195398882335E-4</v>
      </c>
      <c r="AB28" s="1">
        <v>4.8094845046167519E-5</v>
      </c>
      <c r="AC28" s="1">
        <v>1.6383929226531984E-3</v>
      </c>
      <c r="AD28" s="1">
        <v>4.9814022354695558E-4</v>
      </c>
      <c r="AE28" s="1">
        <v>4.1694938086673258E-4</v>
      </c>
      <c r="AF28" s="1">
        <v>6.2779997890229349E-4</v>
      </c>
      <c r="AG28" s="1">
        <v>3.6630288830050644E-4</v>
      </c>
      <c r="AH28" s="1">
        <v>7.8529022962825555E-4</v>
      </c>
      <c r="AI28" s="1">
        <v>8.8071237967198999E-4</v>
      </c>
      <c r="AJ28" s="1">
        <v>2.1511161250164216E-4</v>
      </c>
      <c r="AK28" s="1">
        <v>3.3930829910575234E-4</v>
      </c>
      <c r="AL28" s="1">
        <v>8.3426918840805739E-4</v>
      </c>
      <c r="AM28" s="1">
        <v>1.4495641184671783E-3</v>
      </c>
      <c r="AN28" s="1">
        <v>3.5422326265333823E-4</v>
      </c>
      <c r="AO28" s="1">
        <v>8.5143849144504562E-4</v>
      </c>
      <c r="AQ28" s="23">
        <v>1.4270008076381051E-2</v>
      </c>
    </row>
    <row r="29" spans="1:43" ht="15">
      <c r="A29" s="17" t="s">
        <v>79</v>
      </c>
      <c r="B29" s="1">
        <v>5.8460928358030153E-4</v>
      </c>
      <c r="C29" s="1">
        <v>3.909750876189015E-4</v>
      </c>
      <c r="D29" s="1">
        <v>4.5803852617730303E-4</v>
      </c>
      <c r="E29" s="1">
        <v>8.3040240515227484E-4</v>
      </c>
      <c r="F29" s="1">
        <v>6.8012080381183544E-4</v>
      </c>
      <c r="G29" s="1">
        <v>4.2744246116215614E-4</v>
      </c>
      <c r="H29" s="1">
        <v>9.9606399532928811E-4</v>
      </c>
      <c r="I29" s="1">
        <v>8.4340227822806628E-4</v>
      </c>
      <c r="J29" s="1">
        <v>5.0656336006292871E-4</v>
      </c>
      <c r="K29" s="1">
        <v>7.7672700138438485E-4</v>
      </c>
      <c r="L29" s="1">
        <v>3.5167535605539038E-4</v>
      </c>
      <c r="M29" s="1">
        <v>4.059369531803282E-4</v>
      </c>
      <c r="N29" s="1">
        <v>6.3794954898053233E-4</v>
      </c>
      <c r="O29" s="1">
        <v>8.5534929419722608E-4</v>
      </c>
      <c r="P29" s="1">
        <v>1.4266897681264026E-3</v>
      </c>
      <c r="Q29" s="1">
        <v>4.3329085639370895E-4</v>
      </c>
      <c r="R29" s="1">
        <v>1.5101594372479638E-3</v>
      </c>
      <c r="S29" s="1">
        <v>6.5796191066640913E-4</v>
      </c>
      <c r="T29" s="1">
        <v>1.1446590288346483E-3</v>
      </c>
      <c r="U29" s="1">
        <v>2.2989341259390659E-3</v>
      </c>
      <c r="V29" s="1">
        <v>8.0210681703681659E-4</v>
      </c>
      <c r="W29" s="1">
        <v>8.9808505867560872E-4</v>
      </c>
      <c r="X29" s="1">
        <v>1.0054735227212983E-3</v>
      </c>
      <c r="Y29" s="1">
        <v>1.5723240695171379E-3</v>
      </c>
      <c r="Z29" s="1">
        <v>3.2693195398882335E-4</v>
      </c>
      <c r="AA29" s="1">
        <v>4.5144357569033679E-3</v>
      </c>
      <c r="AB29" s="1">
        <v>8.5356520892683788E-4</v>
      </c>
      <c r="AC29" s="1">
        <v>2.1375108287190383E-3</v>
      </c>
      <c r="AD29" s="1">
        <v>3.515648732829239E-4</v>
      </c>
      <c r="AE29" s="1">
        <v>5.4546359511303333E-4</v>
      </c>
      <c r="AF29" s="1">
        <v>1.9736673817616527E-4</v>
      </c>
      <c r="AG29" s="1">
        <v>7.7142039513696957E-4</v>
      </c>
      <c r="AH29" s="1">
        <v>7.1735161012799877E-4</v>
      </c>
      <c r="AI29" s="1">
        <v>1.3040910625910166E-3</v>
      </c>
      <c r="AJ29" s="1">
        <v>1.181467690417867E-3</v>
      </c>
      <c r="AK29" s="1">
        <v>8.0600685502283482E-4</v>
      </c>
      <c r="AL29" s="1">
        <v>8.8167182553643673E-4</v>
      </c>
      <c r="AM29" s="1">
        <v>1.1097126251081466E-3</v>
      </c>
      <c r="AN29" s="1">
        <v>6.6737148845543272E-4</v>
      </c>
      <c r="AO29" s="1">
        <v>8.1029573402904506E-4</v>
      </c>
      <c r="AQ29" s="23">
        <v>1.9288049471392552E-2</v>
      </c>
    </row>
    <row r="30" spans="1:43" ht="15">
      <c r="A30" s="17" t="s">
        <v>87</v>
      </c>
      <c r="B30" s="1">
        <v>3.0768291121418146E-4</v>
      </c>
      <c r="C30" s="1">
        <v>3.633887101103887E-4</v>
      </c>
      <c r="D30" s="1">
        <v>-9.6977628509487581E-5</v>
      </c>
      <c r="E30" s="1">
        <v>9.9535299611653574E-4</v>
      </c>
      <c r="F30" s="1">
        <v>5.1408484613695005E-4</v>
      </c>
      <c r="G30" s="1">
        <v>6.1204910410547005E-4</v>
      </c>
      <c r="H30" s="1">
        <v>7.5927542700048002E-4</v>
      </c>
      <c r="I30" s="1">
        <v>7.4478327379893161E-4</v>
      </c>
      <c r="J30" s="1">
        <v>8.5741853484637605E-4</v>
      </c>
      <c r="K30" s="1">
        <v>7.7891772469326889E-4</v>
      </c>
      <c r="L30" s="1">
        <v>1.5714043943772344E-3</v>
      </c>
      <c r="M30" s="1">
        <v>1.1978722799428071E-4</v>
      </c>
      <c r="N30" s="1">
        <v>2.8565396034882723E-4</v>
      </c>
      <c r="O30" s="1">
        <v>5.267263447918777E-4</v>
      </c>
      <c r="P30" s="1">
        <v>7.2972652705446592E-4</v>
      </c>
      <c r="Q30" s="1">
        <v>-5.370136986103121E-4</v>
      </c>
      <c r="R30" s="1">
        <v>1.5916856819604729E-3</v>
      </c>
      <c r="S30" s="1">
        <v>-3.7562954352292132E-4</v>
      </c>
      <c r="T30" s="1">
        <v>1.3564402335074853E-4</v>
      </c>
      <c r="U30" s="1">
        <v>2.068502765591531E-3</v>
      </c>
      <c r="V30" s="1">
        <v>4.200097487352119E-4</v>
      </c>
      <c r="W30" s="1">
        <v>1.0033810407288298E-3</v>
      </c>
      <c r="X30" s="1">
        <v>5.9795431262247038E-4</v>
      </c>
      <c r="Y30" s="1">
        <v>1.5304808157294331E-3</v>
      </c>
      <c r="Z30" s="1">
        <v>4.8094845046167519E-5</v>
      </c>
      <c r="AA30" s="1">
        <v>8.5356520892683788E-4</v>
      </c>
      <c r="AB30" s="1">
        <v>6.2537808421026572E-3</v>
      </c>
      <c r="AC30" s="1">
        <v>1.2053589988500369E-3</v>
      </c>
      <c r="AD30" s="1">
        <v>3.0771384948814369E-5</v>
      </c>
      <c r="AE30" s="1">
        <v>6.5501333940942404E-4</v>
      </c>
      <c r="AF30" s="1">
        <v>3.902085465866129E-4</v>
      </c>
      <c r="AG30" s="1">
        <v>9.0660072114827231E-4</v>
      </c>
      <c r="AH30" s="1">
        <v>6.2116362422526869E-4</v>
      </c>
      <c r="AI30" s="1">
        <v>9.9768330136878005E-4</v>
      </c>
      <c r="AJ30" s="1">
        <v>-3.6630615283565857E-4</v>
      </c>
      <c r="AK30" s="1">
        <v>6.7262120799302144E-4</v>
      </c>
      <c r="AL30" s="1">
        <v>1.5640152974496181E-4</v>
      </c>
      <c r="AM30" s="1">
        <v>9.1260035451421178E-4</v>
      </c>
      <c r="AN30" s="1">
        <v>6.9566433408289104E-4</v>
      </c>
      <c r="AO30" s="1">
        <v>-6.4260234347513655E-5</v>
      </c>
      <c r="AQ30" s="23">
        <v>1.8737471949686817E-2</v>
      </c>
    </row>
    <row r="31" spans="1:43" ht="15">
      <c r="A31" s="17" t="s">
        <v>88</v>
      </c>
      <c r="B31" s="1">
        <v>1.0171971183660705E-3</v>
      </c>
      <c r="C31" s="1">
        <v>-2.4358434758583642E-4</v>
      </c>
      <c r="D31" s="1">
        <v>-8.7022044096287104E-4</v>
      </c>
      <c r="E31" s="1">
        <v>1.5568361992854044E-3</v>
      </c>
      <c r="F31" s="1">
        <v>-5.7699024284222104E-4</v>
      </c>
      <c r="G31" s="1">
        <v>3.9430895220341102E-4</v>
      </c>
      <c r="H31" s="1">
        <v>1.8305906614542457E-4</v>
      </c>
      <c r="I31" s="1">
        <v>8.3383550104576662E-4</v>
      </c>
      <c r="J31" s="1">
        <v>9.4853207070421568E-4</v>
      </c>
      <c r="K31" s="1">
        <v>7.6596123925547503E-4</v>
      </c>
      <c r="L31" s="1">
        <v>-7.4362754876611291E-4</v>
      </c>
      <c r="M31" s="1">
        <v>-6.0500362071223227E-4</v>
      </c>
      <c r="N31" s="1">
        <v>5.4603557178187982E-4</v>
      </c>
      <c r="O31" s="1">
        <v>1.2879671033180112E-3</v>
      </c>
      <c r="P31" s="1">
        <v>1.3990443619598728E-3</v>
      </c>
      <c r="Q31" s="1">
        <v>-1.552833728584096E-3</v>
      </c>
      <c r="R31" s="1">
        <v>1.6450946601077924E-3</v>
      </c>
      <c r="S31" s="1">
        <v>5.2084309610423904E-4</v>
      </c>
      <c r="T31" s="1">
        <v>1.9455714758682076E-3</v>
      </c>
      <c r="U31" s="1">
        <v>1.1697430905233464E-3</v>
      </c>
      <c r="V31" s="1">
        <v>1.4650844011563661E-3</v>
      </c>
      <c r="W31" s="1">
        <v>1.7986520201644734E-3</v>
      </c>
      <c r="X31" s="1">
        <v>2.9696400581724065E-3</v>
      </c>
      <c r="Y31" s="1">
        <v>5.3049312004658485E-3</v>
      </c>
      <c r="Z31" s="1">
        <v>1.6383929226531984E-3</v>
      </c>
      <c r="AA31" s="1">
        <v>2.1375108287190383E-3</v>
      </c>
      <c r="AB31" s="1">
        <v>1.2053589988500369E-3</v>
      </c>
      <c r="AC31" s="1">
        <v>3.2101792062676451E-2</v>
      </c>
      <c r="AD31" s="1">
        <v>8.6603307731790793E-4</v>
      </c>
      <c r="AE31" s="1">
        <v>2.7592372450637678E-3</v>
      </c>
      <c r="AF31" s="1">
        <v>1.0943157231080463E-4</v>
      </c>
      <c r="AG31" s="1">
        <v>2.7564528228263426E-3</v>
      </c>
      <c r="AH31" s="1">
        <v>1.7309158970532667E-3</v>
      </c>
      <c r="AI31" s="1">
        <v>3.7385074336598613E-3</v>
      </c>
      <c r="AJ31" s="1">
        <v>3.2775075275375092E-3</v>
      </c>
      <c r="AK31" s="1">
        <v>1.9295913168429503E-3</v>
      </c>
      <c r="AL31" s="1">
        <v>2.534809158865373E-3</v>
      </c>
      <c r="AM31" s="1">
        <v>5.2163861017372757E-3</v>
      </c>
      <c r="AN31" s="1">
        <v>3.0418354919463494E-4</v>
      </c>
      <c r="AO31" s="1">
        <v>4.6392170830222628E-3</v>
      </c>
      <c r="AQ31" s="23">
        <v>5.3027655155198578E-3</v>
      </c>
    </row>
    <row r="32" spans="1:43" ht="15">
      <c r="A32" s="17" t="s">
        <v>91</v>
      </c>
      <c r="B32" s="1">
        <v>4.6130637179163381E-4</v>
      </c>
      <c r="C32" s="1">
        <v>5.3464624259645665E-4</v>
      </c>
      <c r="D32" s="1">
        <v>8.9929632846753624E-5</v>
      </c>
      <c r="E32" s="1">
        <v>-2.2008781362097934E-4</v>
      </c>
      <c r="F32" s="1">
        <v>4.525198388948167E-4</v>
      </c>
      <c r="G32" s="1">
        <v>3.3874459798296131E-4</v>
      </c>
      <c r="H32" s="1">
        <v>4.1573443703018076E-5</v>
      </c>
      <c r="I32" s="1">
        <v>1.5978367303705858E-4</v>
      </c>
      <c r="J32" s="1">
        <v>2.6591314056686885E-4</v>
      </c>
      <c r="K32" s="1">
        <v>3.4921689780946806E-4</v>
      </c>
      <c r="L32" s="1">
        <v>1.5560112110763187E-4</v>
      </c>
      <c r="M32" s="1">
        <v>1.3024470222573943E-4</v>
      </c>
      <c r="N32" s="1">
        <v>1.9858220496389499E-4</v>
      </c>
      <c r="O32" s="1">
        <v>2.8410062638312649E-4</v>
      </c>
      <c r="P32" s="1">
        <v>1.336279271600348E-4</v>
      </c>
      <c r="Q32" s="1">
        <v>5.8604537670574992E-4</v>
      </c>
      <c r="R32" s="1">
        <v>-3.8926859567251022E-5</v>
      </c>
      <c r="S32" s="1">
        <v>-1.0211805155184345E-5</v>
      </c>
      <c r="T32" s="1">
        <v>4.3297658543329782E-4</v>
      </c>
      <c r="U32" s="1">
        <v>7.3904096236319461E-4</v>
      </c>
      <c r="V32" s="1">
        <v>4.838148833543705E-4</v>
      </c>
      <c r="W32" s="1">
        <v>1.4855802443734369E-4</v>
      </c>
      <c r="X32" s="1">
        <v>1.2234771997757916E-4</v>
      </c>
      <c r="Y32" s="1">
        <v>2.37788916763181E-4</v>
      </c>
      <c r="Z32" s="1">
        <v>4.9814022354695558E-4</v>
      </c>
      <c r="AA32" s="1">
        <v>3.515648732829239E-4</v>
      </c>
      <c r="AB32" s="1">
        <v>3.0771384948814369E-5</v>
      </c>
      <c r="AC32" s="1">
        <v>8.6603307731790793E-4</v>
      </c>
      <c r="AD32" s="1">
        <v>1.9239693733546644E-3</v>
      </c>
      <c r="AE32" s="1">
        <v>7.5892547754876543E-4</v>
      </c>
      <c r="AF32" s="1">
        <v>4.7967747946353357E-4</v>
      </c>
      <c r="AG32" s="1">
        <v>8.085079262674734E-4</v>
      </c>
      <c r="AH32" s="1">
        <v>6.2741875818231113E-4</v>
      </c>
      <c r="AI32" s="1">
        <v>6.8874831995849187E-4</v>
      </c>
      <c r="AJ32" s="1">
        <v>6.7591891404847457E-4</v>
      </c>
      <c r="AK32" s="1">
        <v>7.3377964550233002E-4</v>
      </c>
      <c r="AL32" s="1">
        <v>4.1492331095011753E-4</v>
      </c>
      <c r="AM32" s="1">
        <v>7.8524647705176395E-4</v>
      </c>
      <c r="AN32" s="1">
        <v>2.3379818244939575E-4</v>
      </c>
      <c r="AO32" s="1">
        <v>4.3697495084297973E-4</v>
      </c>
      <c r="AQ32" s="23">
        <v>1.1450592817748314E-2</v>
      </c>
    </row>
    <row r="33" spans="1:43" ht="15">
      <c r="A33" s="17" t="s">
        <v>94</v>
      </c>
      <c r="B33" s="1">
        <v>9.8290025693383736E-4</v>
      </c>
      <c r="C33" s="1">
        <v>4.7891360276405641E-4</v>
      </c>
      <c r="D33" s="1">
        <v>2.4277151013055048E-4</v>
      </c>
      <c r="E33" s="1">
        <v>8.3602547982470751E-5</v>
      </c>
      <c r="F33" s="1">
        <v>3.8423404191479353E-4</v>
      </c>
      <c r="G33" s="1">
        <v>6.7364753430272954E-4</v>
      </c>
      <c r="H33" s="1">
        <v>5.4859702970208991E-4</v>
      </c>
      <c r="I33" s="1">
        <v>8.5892999390407886E-4</v>
      </c>
      <c r="J33" s="1">
        <v>5.9659841016349848E-4</v>
      </c>
      <c r="K33" s="1">
        <v>2.5891778765945058E-4</v>
      </c>
      <c r="L33" s="1">
        <v>6.9630265217603203E-4</v>
      </c>
      <c r="M33" s="1">
        <v>-5.9278356893008165E-5</v>
      </c>
      <c r="N33" s="1">
        <v>5.7588259063531702E-4</v>
      </c>
      <c r="O33" s="1">
        <v>1.0275404987221946E-3</v>
      </c>
      <c r="P33" s="1">
        <v>1.0375746908138207E-3</v>
      </c>
      <c r="Q33" s="1">
        <v>4.9842407603143768E-4</v>
      </c>
      <c r="R33" s="1">
        <v>1.4377512228619324E-3</v>
      </c>
      <c r="S33" s="1">
        <v>4.0523432663213082E-4</v>
      </c>
      <c r="T33" s="1">
        <v>7.2835989663658728E-4</v>
      </c>
      <c r="U33" s="1">
        <v>1.2889070618437844E-3</v>
      </c>
      <c r="V33" s="1">
        <v>1.3953193777981789E-3</v>
      </c>
      <c r="W33" s="1">
        <v>7.3582015758741272E-4</v>
      </c>
      <c r="X33" s="1">
        <v>1.202876460157769E-3</v>
      </c>
      <c r="Y33" s="1">
        <v>1.264075073479143E-3</v>
      </c>
      <c r="Z33" s="1">
        <v>4.1694938086673258E-4</v>
      </c>
      <c r="AA33" s="1">
        <v>5.4546359511303333E-4</v>
      </c>
      <c r="AB33" s="1">
        <v>6.5501333940942404E-4</v>
      </c>
      <c r="AC33" s="1">
        <v>2.7592372450637678E-3</v>
      </c>
      <c r="AD33" s="1">
        <v>7.5892547754876543E-4</v>
      </c>
      <c r="AE33" s="1">
        <v>5.775861252510857E-3</v>
      </c>
      <c r="AF33" s="1">
        <v>3.9997394438068664E-4</v>
      </c>
      <c r="AG33" s="1">
        <v>1.5047146230185882E-3</v>
      </c>
      <c r="AH33" s="1">
        <v>6.433656868190847E-4</v>
      </c>
      <c r="AI33" s="1">
        <v>1.7948120820469981E-3</v>
      </c>
      <c r="AJ33" s="1">
        <v>4.2522859070549422E-4</v>
      </c>
      <c r="AK33" s="1">
        <v>9.5559960313290994E-4</v>
      </c>
      <c r="AL33" s="1">
        <v>7.748718153754449E-4</v>
      </c>
      <c r="AM33" s="1">
        <v>1.9655628199255434E-3</v>
      </c>
      <c r="AN33" s="1">
        <v>1.013967936530374E-3</v>
      </c>
      <c r="AO33" s="1">
        <v>9.7672783055820136E-4</v>
      </c>
      <c r="AQ33" s="23">
        <v>5.5270400430000536E-3</v>
      </c>
    </row>
    <row r="34" spans="1:43" ht="15">
      <c r="A34" s="17" t="s">
        <v>95</v>
      </c>
      <c r="B34" s="1">
        <v>4.9452414261014438E-4</v>
      </c>
      <c r="C34" s="1">
        <v>5.5356699889167252E-4</v>
      </c>
      <c r="D34" s="1">
        <v>1.0316837013137727E-4</v>
      </c>
      <c r="E34" s="1">
        <v>1.7105874773920964E-5</v>
      </c>
      <c r="F34" s="1">
        <v>4.9831575997519697E-4</v>
      </c>
      <c r="G34" s="1">
        <v>5.3625065856270301E-4</v>
      </c>
      <c r="H34" s="1">
        <v>2.7020292642261396E-4</v>
      </c>
      <c r="I34" s="1">
        <v>6.7614953315887568E-4</v>
      </c>
      <c r="J34" s="1">
        <v>3.4605164265446317E-4</v>
      </c>
      <c r="K34" s="1">
        <v>5.0681383165500859E-4</v>
      </c>
      <c r="L34" s="1">
        <v>8.7085606426100969E-5</v>
      </c>
      <c r="M34" s="1">
        <v>2.8325144492089612E-4</v>
      </c>
      <c r="N34" s="1">
        <v>2.7753247835980677E-4</v>
      </c>
      <c r="O34" s="1">
        <v>2.5096727113799064E-4</v>
      </c>
      <c r="P34" s="1">
        <v>2.4230174685633659E-4</v>
      </c>
      <c r="Q34" s="1">
        <v>6.2414046892207231E-4</v>
      </c>
      <c r="R34" s="1">
        <v>3.933632310042629E-4</v>
      </c>
      <c r="S34" s="1">
        <v>-3.5693553410002996E-5</v>
      </c>
      <c r="T34" s="1">
        <v>4.5711211578084582E-4</v>
      </c>
      <c r="U34" s="1">
        <v>1.0523799759183786E-3</v>
      </c>
      <c r="V34" s="1">
        <v>2.5878805025575803E-4</v>
      </c>
      <c r="W34" s="1">
        <v>2.7383035434410535E-4</v>
      </c>
      <c r="X34" s="1">
        <v>3.1544513170805405E-4</v>
      </c>
      <c r="Y34" s="1">
        <v>-5.8927958221595075E-5</v>
      </c>
      <c r="Z34" s="1">
        <v>6.2779997890229349E-4</v>
      </c>
      <c r="AA34" s="1">
        <v>1.9736673817616527E-4</v>
      </c>
      <c r="AB34" s="1">
        <v>3.902085465866129E-4</v>
      </c>
      <c r="AC34" s="1">
        <v>1.0943157231080463E-4</v>
      </c>
      <c r="AD34" s="1">
        <v>4.7967747946353357E-4</v>
      </c>
      <c r="AE34" s="1">
        <v>3.9997394438068664E-4</v>
      </c>
      <c r="AF34" s="1">
        <v>2.4382074727496181E-3</v>
      </c>
      <c r="AG34" s="1">
        <v>2.9731814130660702E-4</v>
      </c>
      <c r="AH34" s="1">
        <v>1.0269025571114638E-3</v>
      </c>
      <c r="AI34" s="1">
        <v>6.7845613170855359E-4</v>
      </c>
      <c r="AJ34" s="1">
        <v>8.1175363948319691E-5</v>
      </c>
      <c r="AK34" s="1">
        <v>2.3603603680621892E-4</v>
      </c>
      <c r="AL34" s="1">
        <v>3.7916716661016926E-4</v>
      </c>
      <c r="AM34" s="1">
        <v>3.9096046271260953E-4</v>
      </c>
      <c r="AN34" s="1">
        <v>7.5491684908254126E-4</v>
      </c>
      <c r="AO34" s="1">
        <v>4.9455065812296093E-4</v>
      </c>
      <c r="AQ34" s="23">
        <v>7.9190648753141458E-3</v>
      </c>
    </row>
    <row r="35" spans="1:43" ht="15">
      <c r="A35" s="17" t="s">
        <v>102</v>
      </c>
      <c r="B35" s="1">
        <v>9.5552291856970282E-4</v>
      </c>
      <c r="C35" s="1">
        <v>1.2138085173190864E-4</v>
      </c>
      <c r="D35" s="1">
        <v>5.0147745787339301E-5</v>
      </c>
      <c r="E35" s="1">
        <v>2.384820246955702E-4</v>
      </c>
      <c r="F35" s="1">
        <v>6.1850878302800315E-4</v>
      </c>
      <c r="G35" s="1">
        <v>6.8460221247942411E-4</v>
      </c>
      <c r="H35" s="1">
        <v>7.184527213380833E-4</v>
      </c>
      <c r="I35" s="1">
        <v>1.1125475583120673E-3</v>
      </c>
      <c r="J35" s="1">
        <v>1.5279425477230893E-3</v>
      </c>
      <c r="K35" s="1">
        <v>1.3313413637155087E-3</v>
      </c>
      <c r="L35" s="1">
        <v>3.2404522756854931E-4</v>
      </c>
      <c r="M35" s="1">
        <v>-2.1204470193434267E-4</v>
      </c>
      <c r="N35" s="1">
        <v>6.3844278555142276E-4</v>
      </c>
      <c r="O35" s="1">
        <v>9.0135619942522901E-4</v>
      </c>
      <c r="P35" s="1">
        <v>8.7431971759320537E-4</v>
      </c>
      <c r="Q35" s="1">
        <v>1.3996668723243201E-3</v>
      </c>
      <c r="R35" s="1">
        <v>1.5774058768350712E-3</v>
      </c>
      <c r="S35" s="1">
        <v>5.6238271366906378E-4</v>
      </c>
      <c r="T35" s="1">
        <v>1.3267106477153857E-3</v>
      </c>
      <c r="U35" s="1">
        <v>1.822162337090322E-3</v>
      </c>
      <c r="V35" s="1">
        <v>1.0333295970662187E-3</v>
      </c>
      <c r="W35" s="1">
        <v>1.9025339282961759E-4</v>
      </c>
      <c r="X35" s="1">
        <v>1.4328069551655532E-3</v>
      </c>
      <c r="Y35" s="1">
        <v>2.0938786489714509E-4</v>
      </c>
      <c r="Z35" s="1">
        <v>3.6630288830050644E-4</v>
      </c>
      <c r="AA35" s="1">
        <v>7.7142039513696957E-4</v>
      </c>
      <c r="AB35" s="1">
        <v>9.0660072114827231E-4</v>
      </c>
      <c r="AC35" s="1">
        <v>2.7564528228263426E-3</v>
      </c>
      <c r="AD35" s="1">
        <v>8.085079262674734E-4</v>
      </c>
      <c r="AE35" s="1">
        <v>1.5047146230185882E-3</v>
      </c>
      <c r="AF35" s="1">
        <v>2.9731814130660702E-4</v>
      </c>
      <c r="AG35" s="1">
        <v>9.7318269862282022E-3</v>
      </c>
      <c r="AH35" s="1">
        <v>1.8363270888768822E-3</v>
      </c>
      <c r="AI35" s="1">
        <v>1.3392999754917863E-3</v>
      </c>
      <c r="AJ35" s="1">
        <v>2.7216643175251619E-3</v>
      </c>
      <c r="AK35" s="1">
        <v>1.7620077816434996E-3</v>
      </c>
      <c r="AL35" s="1">
        <v>1.602455666214324E-3</v>
      </c>
      <c r="AM35" s="1">
        <v>2.7908441540780119E-3</v>
      </c>
      <c r="AN35" s="1">
        <v>1.0183138638730951E-3</v>
      </c>
      <c r="AO35" s="1">
        <v>1.5344682844555552E-3</v>
      </c>
      <c r="AQ35" s="23">
        <v>-1.0007608052927218E-2</v>
      </c>
    </row>
    <row r="36" spans="1:43" ht="15">
      <c r="A36" s="17" t="s">
        <v>110</v>
      </c>
      <c r="B36" s="1">
        <v>1.09832038463812E-3</v>
      </c>
      <c r="C36" s="1">
        <v>5.1439883390023619E-4</v>
      </c>
      <c r="D36" s="1">
        <v>8.4584396851890569E-4</v>
      </c>
      <c r="E36" s="1">
        <v>8.2787320328633917E-4</v>
      </c>
      <c r="F36" s="1">
        <v>1.2174119786186059E-3</v>
      </c>
      <c r="G36" s="1">
        <v>1.0754731752731774E-3</v>
      </c>
      <c r="H36" s="1">
        <v>6.3501921960452468E-4</v>
      </c>
      <c r="I36" s="1">
        <v>9.7504730585076804E-4</v>
      </c>
      <c r="J36" s="1">
        <v>9.3892714061096763E-4</v>
      </c>
      <c r="K36" s="1">
        <v>1.8823159730126755E-3</v>
      </c>
      <c r="L36" s="1">
        <v>8.9261353274832213E-4</v>
      </c>
      <c r="M36" s="1">
        <v>3.2096341180313978E-4</v>
      </c>
      <c r="N36" s="1">
        <v>6.259409681731383E-4</v>
      </c>
      <c r="O36" s="1">
        <v>6.9134785460571912E-4</v>
      </c>
      <c r="P36" s="1">
        <v>-3.6217183983208685E-4</v>
      </c>
      <c r="Q36" s="1">
        <v>2.631281055309527E-3</v>
      </c>
      <c r="R36" s="1">
        <v>-3.1113984504676823E-5</v>
      </c>
      <c r="S36" s="1">
        <v>3.8564717177934599E-4</v>
      </c>
      <c r="T36" s="1">
        <v>1.2211297383414551E-3</v>
      </c>
      <c r="U36" s="1">
        <v>1.5402040929937109E-3</v>
      </c>
      <c r="V36" s="1">
        <v>5.7436793012662351E-4</v>
      </c>
      <c r="W36" s="1">
        <v>4.8919077196991336E-4</v>
      </c>
      <c r="X36" s="1">
        <v>1.1845014362752313E-3</v>
      </c>
      <c r="Y36" s="1">
        <v>2.2895626067516951E-3</v>
      </c>
      <c r="Z36" s="1">
        <v>7.8529022962825555E-4</v>
      </c>
      <c r="AA36" s="1">
        <v>7.1735161012799877E-4</v>
      </c>
      <c r="AB36" s="1">
        <v>6.2116362422526869E-4</v>
      </c>
      <c r="AC36" s="1">
        <v>1.7309158970532667E-3</v>
      </c>
      <c r="AD36" s="1">
        <v>6.2741875818231113E-4</v>
      </c>
      <c r="AE36" s="1">
        <v>6.433656868190847E-4</v>
      </c>
      <c r="AF36" s="1">
        <v>1.0269025571114638E-3</v>
      </c>
      <c r="AG36" s="1">
        <v>1.8363270888768822E-3</v>
      </c>
      <c r="AH36" s="1">
        <v>1.5639900734640961E-2</v>
      </c>
      <c r="AI36" s="1">
        <v>1.8285282704529301E-3</v>
      </c>
      <c r="AJ36" s="1">
        <v>1.7937936320822166E-3</v>
      </c>
      <c r="AK36" s="1">
        <v>6.3252637739225786E-4</v>
      </c>
      <c r="AL36" s="1">
        <v>1.5106226568932853E-3</v>
      </c>
      <c r="AM36" s="1">
        <v>2.0627347734659945E-3</v>
      </c>
      <c r="AN36" s="1">
        <v>1.1004487098064163E-3</v>
      </c>
      <c r="AO36" s="1">
        <v>2.130143824145289E-3</v>
      </c>
      <c r="AQ36" s="23">
        <v>-9.5177224774510676E-3</v>
      </c>
    </row>
    <row r="37" spans="1:43" ht="15">
      <c r="A37" s="17" t="s">
        <v>114</v>
      </c>
      <c r="B37" s="1">
        <v>9.2401427880920437E-4</v>
      </c>
      <c r="C37" s="1">
        <v>5.5253175280994208E-4</v>
      </c>
      <c r="D37" s="1">
        <v>-2.8886534626501776E-4</v>
      </c>
      <c r="E37" s="1">
        <v>1.0246461627747008E-3</v>
      </c>
      <c r="F37" s="1">
        <v>9.6255063406793049E-4</v>
      </c>
      <c r="G37" s="1">
        <v>1.0042099258483041E-3</v>
      </c>
      <c r="H37" s="1">
        <v>3.8411822855198346E-4</v>
      </c>
      <c r="I37" s="1">
        <v>1.0636370610542926E-3</v>
      </c>
      <c r="J37" s="1">
        <v>1.2507035913762894E-3</v>
      </c>
      <c r="K37" s="1">
        <v>1.1887491408958699E-3</v>
      </c>
      <c r="L37" s="1">
        <v>3.5965100500000459E-4</v>
      </c>
      <c r="M37" s="1">
        <v>1.3418899904274752E-4</v>
      </c>
      <c r="N37" s="1">
        <v>9.2121740879837601E-4</v>
      </c>
      <c r="O37" s="1">
        <v>1.2444658993737776E-3</v>
      </c>
      <c r="P37" s="1">
        <v>8.8848396941663401E-4</v>
      </c>
      <c r="Q37" s="1">
        <v>7.6044363670471128E-4</v>
      </c>
      <c r="R37" s="1">
        <v>2.6441123360953452E-3</v>
      </c>
      <c r="S37" s="1">
        <v>4.1390017335701356E-4</v>
      </c>
      <c r="T37" s="1">
        <v>1.1413900930871E-3</v>
      </c>
      <c r="U37" s="1">
        <v>2.5949300471461998E-3</v>
      </c>
      <c r="V37" s="1">
        <v>1.4483036843274358E-3</v>
      </c>
      <c r="W37" s="1">
        <v>1.183484916546807E-3</v>
      </c>
      <c r="X37" s="1">
        <v>1.4896715425788791E-3</v>
      </c>
      <c r="Y37" s="1">
        <v>1.7419671913263849E-3</v>
      </c>
      <c r="Z37" s="1">
        <v>8.8071237967198999E-4</v>
      </c>
      <c r="AA37" s="1">
        <v>1.3040910625910166E-3</v>
      </c>
      <c r="AB37" s="1">
        <v>9.9768330136878005E-4</v>
      </c>
      <c r="AC37" s="1">
        <v>3.7385074336598613E-3</v>
      </c>
      <c r="AD37" s="1">
        <v>6.8874831995849187E-4</v>
      </c>
      <c r="AE37" s="1">
        <v>1.7948120820469981E-3</v>
      </c>
      <c r="AF37" s="1">
        <v>6.7845613170855359E-4</v>
      </c>
      <c r="AG37" s="1">
        <v>1.3392999754917863E-3</v>
      </c>
      <c r="AH37" s="1">
        <v>1.8285282704529301E-3</v>
      </c>
      <c r="AI37" s="1">
        <v>9.1772687531205526E-3</v>
      </c>
      <c r="AJ37" s="1">
        <v>2.4302291161902348E-3</v>
      </c>
      <c r="AK37" s="1">
        <v>1.7629892769948808E-3</v>
      </c>
      <c r="AL37" s="1">
        <v>1.1381643122150972E-3</v>
      </c>
      <c r="AM37" s="1">
        <v>2.1322780472611573E-3</v>
      </c>
      <c r="AN37" s="1">
        <v>1.0494677404659827E-3</v>
      </c>
      <c r="AO37" s="1">
        <v>1.9798975051025587E-3</v>
      </c>
      <c r="AQ37" s="23">
        <v>3.3055965017125782E-3</v>
      </c>
    </row>
    <row r="38" spans="1:43" ht="15">
      <c r="A38" s="17" t="s">
        <v>120</v>
      </c>
      <c r="B38" s="1">
        <v>3.0173877634922494E-4</v>
      </c>
      <c r="C38" s="1">
        <v>2.1866056871707517E-4</v>
      </c>
      <c r="D38" s="1">
        <v>2.2665035114068595E-5</v>
      </c>
      <c r="E38" s="1">
        <v>1.8270323918592104E-3</v>
      </c>
      <c r="F38" s="1">
        <v>1.3482531743824633E-3</v>
      </c>
      <c r="G38" s="1">
        <v>5.7650694743270625E-4</v>
      </c>
      <c r="H38" s="1">
        <v>1.83785766919502E-3</v>
      </c>
      <c r="I38" s="1">
        <v>7.1518167038133579E-4</v>
      </c>
      <c r="J38" s="1">
        <v>1.3916254114995173E-3</v>
      </c>
      <c r="K38" s="1">
        <v>2.3174800590775118E-3</v>
      </c>
      <c r="L38" s="1">
        <v>-4.0732017391503577E-4</v>
      </c>
      <c r="M38" s="1">
        <v>-9.6448311241650734E-5</v>
      </c>
      <c r="N38" s="1">
        <v>8.2367390354469851E-4</v>
      </c>
      <c r="O38" s="1">
        <v>1.2728831320562546E-3</v>
      </c>
      <c r="P38" s="1">
        <v>1.6529089013920947E-3</v>
      </c>
      <c r="Q38" s="1">
        <v>4.1453008916623161E-4</v>
      </c>
      <c r="R38" s="1">
        <v>1.0515944497863836E-3</v>
      </c>
      <c r="S38" s="1">
        <v>1.1337051511619222E-3</v>
      </c>
      <c r="T38" s="1">
        <v>2.0100937754486672E-3</v>
      </c>
      <c r="U38" s="1">
        <v>3.3984266027160212E-3</v>
      </c>
      <c r="V38" s="1">
        <v>1.1109584992197714E-3</v>
      </c>
      <c r="W38" s="1">
        <v>5.9826670018074473E-4</v>
      </c>
      <c r="X38" s="1">
        <v>2.0316909589752287E-3</v>
      </c>
      <c r="Y38" s="1">
        <v>2.1280219349199361E-3</v>
      </c>
      <c r="Z38" s="1">
        <v>2.1511161250164216E-4</v>
      </c>
      <c r="AA38" s="1">
        <v>1.181467690417867E-3</v>
      </c>
      <c r="AB38" s="1">
        <v>-3.6630615283565857E-4</v>
      </c>
      <c r="AC38" s="1">
        <v>3.2775075275375092E-3</v>
      </c>
      <c r="AD38" s="1">
        <v>6.7591891404847457E-4</v>
      </c>
      <c r="AE38" s="1">
        <v>4.2522859070549422E-4</v>
      </c>
      <c r="AF38" s="1">
        <v>8.1175363948319691E-5</v>
      </c>
      <c r="AG38" s="1">
        <v>2.7216643175251619E-3</v>
      </c>
      <c r="AH38" s="1">
        <v>1.7937936320822166E-3</v>
      </c>
      <c r="AI38" s="1">
        <v>2.4302291161902348E-3</v>
      </c>
      <c r="AJ38" s="1">
        <v>2.0397344755797461E-2</v>
      </c>
      <c r="AK38" s="1">
        <v>2.648634976173867E-3</v>
      </c>
      <c r="AL38" s="1">
        <v>2.7899219368804047E-3</v>
      </c>
      <c r="AM38" s="1">
        <v>1.0069406943467765E-3</v>
      </c>
      <c r="AN38" s="1">
        <v>1.1663123863502468E-3</v>
      </c>
      <c r="AO38" s="1">
        <v>2.9086962401617122E-3</v>
      </c>
      <c r="AQ38" s="23">
        <v>1.7891290286332982E-2</v>
      </c>
    </row>
    <row r="39" spans="1:43" ht="15">
      <c r="A39" s="17" t="s">
        <v>123</v>
      </c>
      <c r="B39" s="1">
        <v>6.2254256946584201E-4</v>
      </c>
      <c r="C39" s="1">
        <v>3.604292987664255E-4</v>
      </c>
      <c r="D39" s="1">
        <v>2.1357952109063262E-4</v>
      </c>
      <c r="E39" s="1">
        <v>6.2055711723076263E-4</v>
      </c>
      <c r="F39" s="1">
        <v>6.7247994489278947E-4</v>
      </c>
      <c r="G39" s="1">
        <v>3.0055836225516784E-4</v>
      </c>
      <c r="H39" s="1">
        <v>4.1092344869523916E-4</v>
      </c>
      <c r="I39" s="1">
        <v>3.4871995683923013E-4</v>
      </c>
      <c r="J39" s="1">
        <v>9.7944526313889849E-4</v>
      </c>
      <c r="K39" s="1">
        <v>1.3632355049410262E-3</v>
      </c>
      <c r="L39" s="1">
        <v>-1.5597263298422723E-4</v>
      </c>
      <c r="M39" s="1">
        <v>6.6926058813162147E-5</v>
      </c>
      <c r="N39" s="1">
        <v>4.0384148440291274E-4</v>
      </c>
      <c r="O39" s="1">
        <v>8.4815054411807199E-4</v>
      </c>
      <c r="P39" s="1">
        <v>1.5166041740139454E-3</v>
      </c>
      <c r="Q39" s="1">
        <v>8.5168372935146269E-4</v>
      </c>
      <c r="R39" s="1">
        <v>6.3700576504195573E-4</v>
      </c>
      <c r="S39" s="1">
        <v>5.0829579241420475E-4</v>
      </c>
      <c r="T39" s="1">
        <v>4.5271546857588422E-4</v>
      </c>
      <c r="U39" s="1">
        <v>2.1227586249737431E-3</v>
      </c>
      <c r="V39" s="1">
        <v>7.4288047570945275E-4</v>
      </c>
      <c r="W39" s="1">
        <v>5.0599009740355581E-4</v>
      </c>
      <c r="X39" s="1">
        <v>1.1559030519044675E-3</v>
      </c>
      <c r="Y39" s="1">
        <v>6.9252820769617794E-4</v>
      </c>
      <c r="Z39" s="1">
        <v>3.3930829910575234E-4</v>
      </c>
      <c r="AA39" s="1">
        <v>8.0600685502283482E-4</v>
      </c>
      <c r="AB39" s="1">
        <v>6.7262120799302144E-4</v>
      </c>
      <c r="AC39" s="1">
        <v>1.9295913168429503E-3</v>
      </c>
      <c r="AD39" s="1">
        <v>7.3377964550233002E-4</v>
      </c>
      <c r="AE39" s="1">
        <v>9.5559960313290994E-4</v>
      </c>
      <c r="AF39" s="1">
        <v>2.3603603680621892E-4</v>
      </c>
      <c r="AG39" s="1">
        <v>1.7620077816434996E-3</v>
      </c>
      <c r="AH39" s="1">
        <v>6.3252637739225786E-4</v>
      </c>
      <c r="AI39" s="1">
        <v>1.7629892769948808E-3</v>
      </c>
      <c r="AJ39" s="1">
        <v>2.648634976173867E-3</v>
      </c>
      <c r="AK39" s="1">
        <v>6.8820118234713089E-3</v>
      </c>
      <c r="AL39" s="1">
        <v>1.0534485545342501E-3</v>
      </c>
      <c r="AM39" s="1">
        <v>1.2558324347842246E-3</v>
      </c>
      <c r="AN39" s="1">
        <v>5.8109180614550034E-4</v>
      </c>
      <c r="AO39" s="1">
        <v>1.5955541905662014E-3</v>
      </c>
      <c r="AQ39" s="23">
        <v>8.1512257155671019E-3</v>
      </c>
    </row>
    <row r="40" spans="1:43" ht="15">
      <c r="A40" s="17" t="s">
        <v>127</v>
      </c>
      <c r="B40" s="1">
        <v>8.2056118791015307E-4</v>
      </c>
      <c r="C40" s="1">
        <v>6.3085805069389047E-4</v>
      </c>
      <c r="D40" s="1">
        <v>5.0654964891589098E-4</v>
      </c>
      <c r="E40" s="1">
        <v>1.2102270602834305E-3</v>
      </c>
      <c r="F40" s="1">
        <v>8.7538272119228576E-4</v>
      </c>
      <c r="G40" s="1">
        <v>5.3173577723817744E-4</v>
      </c>
      <c r="H40" s="1">
        <v>1.136980184010999E-3</v>
      </c>
      <c r="I40" s="1">
        <v>6.5661917950251148E-4</v>
      </c>
      <c r="J40" s="1">
        <v>9.3168110683853798E-4</v>
      </c>
      <c r="K40" s="1">
        <v>1.2507015175943982E-3</v>
      </c>
      <c r="L40" s="1">
        <v>-2.3903316797359894E-4</v>
      </c>
      <c r="M40" s="1">
        <v>2.2705246196190221E-4</v>
      </c>
      <c r="N40" s="1">
        <v>6.7335255973019351E-4</v>
      </c>
      <c r="O40" s="1">
        <v>5.836726698904526E-4</v>
      </c>
      <c r="P40" s="1">
        <v>6.6270425668288032E-4</v>
      </c>
      <c r="Q40" s="1">
        <v>3.0279058083878567E-5</v>
      </c>
      <c r="R40" s="1">
        <v>6.6760168332158961E-4</v>
      </c>
      <c r="S40" s="1">
        <v>1.2054005550366041E-3</v>
      </c>
      <c r="T40" s="1">
        <v>1.2112411861371368E-3</v>
      </c>
      <c r="U40" s="1">
        <v>1.6619260166969596E-3</v>
      </c>
      <c r="V40" s="1">
        <v>1.23677167525704E-3</v>
      </c>
      <c r="W40" s="1">
        <v>4.8793114077163392E-4</v>
      </c>
      <c r="X40" s="1">
        <v>1.0390586979166414E-3</v>
      </c>
      <c r="Y40" s="1">
        <v>2.5781637600699433E-3</v>
      </c>
      <c r="Z40" s="1">
        <v>8.3426918840805739E-4</v>
      </c>
      <c r="AA40" s="1">
        <v>8.8167182553643673E-4</v>
      </c>
      <c r="AB40" s="1">
        <v>1.5640152974496181E-4</v>
      </c>
      <c r="AC40" s="1">
        <v>2.534809158865373E-3</v>
      </c>
      <c r="AD40" s="1">
        <v>4.1492331095011753E-4</v>
      </c>
      <c r="AE40" s="1">
        <v>7.748718153754449E-4</v>
      </c>
      <c r="AF40" s="1">
        <v>3.7916716661016926E-4</v>
      </c>
      <c r="AG40" s="1">
        <v>1.602455666214324E-3</v>
      </c>
      <c r="AH40" s="1">
        <v>1.5106226568932853E-3</v>
      </c>
      <c r="AI40" s="1">
        <v>1.1381643122150972E-3</v>
      </c>
      <c r="AJ40" s="1">
        <v>2.7899219368804047E-3</v>
      </c>
      <c r="AK40" s="1">
        <v>1.0534485545342501E-3</v>
      </c>
      <c r="AL40" s="1">
        <v>6.2923600474747302E-3</v>
      </c>
      <c r="AM40" s="1">
        <v>1.3815596682009155E-3</v>
      </c>
      <c r="AN40" s="1">
        <v>6.8284413626811848E-4</v>
      </c>
      <c r="AO40" s="1">
        <v>2.1869835235341084E-3</v>
      </c>
      <c r="AQ40" s="23">
        <v>2.1778963325167831E-3</v>
      </c>
    </row>
    <row r="41" spans="1:43" ht="15">
      <c r="A41" s="17" t="s">
        <v>139</v>
      </c>
      <c r="B41" s="1">
        <v>1.465926107241096E-3</v>
      </c>
      <c r="C41" s="1">
        <v>9.4967493861744425E-4</v>
      </c>
      <c r="D41" s="1">
        <v>9.3523901973267928E-4</v>
      </c>
      <c r="E41" s="1">
        <v>1.3683981315410583E-3</v>
      </c>
      <c r="F41" s="1">
        <v>1.3528745662676287E-3</v>
      </c>
      <c r="G41" s="1">
        <v>1.1991263125233141E-3</v>
      </c>
      <c r="H41" s="1">
        <v>5.7674896671181756E-4</v>
      </c>
      <c r="I41" s="1">
        <v>6.095199382205633E-4</v>
      </c>
      <c r="J41" s="1">
        <v>1.2051754376261709E-3</v>
      </c>
      <c r="K41" s="1">
        <v>9.2276877822284427E-4</v>
      </c>
      <c r="L41" s="1">
        <v>4.2032828391762241E-4</v>
      </c>
      <c r="M41" s="1">
        <v>3.8399540253992965E-4</v>
      </c>
      <c r="N41" s="1">
        <v>1.6775954417811803E-3</v>
      </c>
      <c r="O41" s="1">
        <v>6.6166352743178374E-4</v>
      </c>
      <c r="P41" s="1">
        <v>7.520033469248762E-4</v>
      </c>
      <c r="Q41" s="1">
        <v>2.5880346575003614E-4</v>
      </c>
      <c r="R41" s="1">
        <v>2.683521483453332E-3</v>
      </c>
      <c r="S41" s="1">
        <v>1.1636246187652355E-3</v>
      </c>
      <c r="T41" s="1">
        <v>2.063610512727623E-3</v>
      </c>
      <c r="U41" s="1">
        <v>1.967216002247404E-3</v>
      </c>
      <c r="V41" s="1">
        <v>9.3000692184642454E-4</v>
      </c>
      <c r="W41" s="1">
        <v>2.1651426463475862E-3</v>
      </c>
      <c r="X41" s="1">
        <v>1.9263961414490325E-3</v>
      </c>
      <c r="Y41" s="1">
        <v>4.4495027999185812E-3</v>
      </c>
      <c r="Z41" s="1">
        <v>1.4495641184671783E-3</v>
      </c>
      <c r="AA41" s="1">
        <v>1.1097126251081466E-3</v>
      </c>
      <c r="AB41" s="1">
        <v>9.1260035451421178E-4</v>
      </c>
      <c r="AC41" s="1">
        <v>5.2163861017372757E-3</v>
      </c>
      <c r="AD41" s="1">
        <v>7.8524647705176395E-4</v>
      </c>
      <c r="AE41" s="1">
        <v>1.9655628199255434E-3</v>
      </c>
      <c r="AF41" s="1">
        <v>3.9096046271260953E-4</v>
      </c>
      <c r="AG41" s="1">
        <v>2.7908441540780119E-3</v>
      </c>
      <c r="AH41" s="1">
        <v>2.0627347734659945E-3</v>
      </c>
      <c r="AI41" s="1">
        <v>2.1322780472611573E-3</v>
      </c>
      <c r="AJ41" s="1">
        <v>1.0069406943467765E-3</v>
      </c>
      <c r="AK41" s="1">
        <v>1.2558324347842246E-3</v>
      </c>
      <c r="AL41" s="1">
        <v>1.3815596682009155E-3</v>
      </c>
      <c r="AM41" s="1">
        <v>2.885434416987875E-2</v>
      </c>
      <c r="AN41" s="1">
        <v>1.0623540704469264E-3</v>
      </c>
      <c r="AO41" s="1">
        <v>9.5883669611950624E-4</v>
      </c>
      <c r="AQ41" s="23">
        <v>5.2052740071605687E-2</v>
      </c>
    </row>
    <row r="42" spans="1:43" ht="15">
      <c r="A42" s="17" t="s">
        <v>140</v>
      </c>
      <c r="B42" s="1">
        <v>5.5150116604192004E-4</v>
      </c>
      <c r="C42" s="1">
        <v>2.6113448271692546E-4</v>
      </c>
      <c r="D42" s="1">
        <v>-2.0987031203142291E-4</v>
      </c>
      <c r="E42" s="1">
        <v>4.5705903703283589E-4</v>
      </c>
      <c r="F42" s="1">
        <v>3.1625956894583993E-4</v>
      </c>
      <c r="G42" s="1">
        <v>6.2111298093691465E-4</v>
      </c>
      <c r="H42" s="1">
        <v>7.0451583296763905E-4</v>
      </c>
      <c r="I42" s="1">
        <v>1.3432718004699673E-3</v>
      </c>
      <c r="J42" s="1">
        <v>8.4353322508304675E-4</v>
      </c>
      <c r="K42" s="1">
        <v>3.7706973285503648E-4</v>
      </c>
      <c r="L42" s="1">
        <v>5.3317964029869075E-4</v>
      </c>
      <c r="M42" s="1">
        <v>2.1435903406871458E-4</v>
      </c>
      <c r="N42" s="1">
        <v>7.6546958737012775E-4</v>
      </c>
      <c r="O42" s="1">
        <v>9.8968254519439481E-4</v>
      </c>
      <c r="P42" s="1">
        <v>1.1039859333355562E-3</v>
      </c>
      <c r="Q42" s="1">
        <v>7.8702877353413697E-4</v>
      </c>
      <c r="R42" s="1">
        <v>2.2057534281955705E-3</v>
      </c>
      <c r="S42" s="1">
        <v>3.7081695359803923E-4</v>
      </c>
      <c r="T42" s="1">
        <v>1.0503928203382876E-3</v>
      </c>
      <c r="U42" s="1">
        <v>2.4826491314249178E-3</v>
      </c>
      <c r="V42" s="1">
        <v>1.0453516757446201E-3</v>
      </c>
      <c r="W42" s="1">
        <v>1.2466771168563591E-3</v>
      </c>
      <c r="X42" s="1">
        <v>1.3578043423740592E-3</v>
      </c>
      <c r="Y42" s="1">
        <v>5.9766323607874294E-4</v>
      </c>
      <c r="Z42" s="1">
        <v>3.5422326265333823E-4</v>
      </c>
      <c r="AA42" s="1">
        <v>6.6737148845543272E-4</v>
      </c>
      <c r="AB42" s="1">
        <v>6.9566433408289104E-4</v>
      </c>
      <c r="AC42" s="1">
        <v>3.0418354919463494E-4</v>
      </c>
      <c r="AD42" s="1">
        <v>2.3379818244939575E-4</v>
      </c>
      <c r="AE42" s="1">
        <v>1.013967936530374E-3</v>
      </c>
      <c r="AF42" s="1">
        <v>7.5491684908254126E-4</v>
      </c>
      <c r="AG42" s="1">
        <v>1.0183138638730951E-3</v>
      </c>
      <c r="AH42" s="1">
        <v>1.1004487098064163E-3</v>
      </c>
      <c r="AI42" s="1">
        <v>1.0494677404659827E-3</v>
      </c>
      <c r="AJ42" s="1">
        <v>1.1663123863502468E-3</v>
      </c>
      <c r="AK42" s="1">
        <v>5.8109180614550034E-4</v>
      </c>
      <c r="AL42" s="1">
        <v>6.8284413626811848E-4</v>
      </c>
      <c r="AM42" s="1">
        <v>1.0623540704469264E-3</v>
      </c>
      <c r="AN42" s="1">
        <v>5.6007421868388939E-3</v>
      </c>
      <c r="AO42" s="1">
        <v>4.8939377797130171E-4</v>
      </c>
      <c r="AQ42" s="23">
        <v>2.3955062933784157E-2</v>
      </c>
    </row>
    <row r="43" spans="1:43" ht="15">
      <c r="A43" s="17" t="s">
        <v>142</v>
      </c>
      <c r="B43" s="1">
        <v>6.4259519367574497E-4</v>
      </c>
      <c r="C43" s="1">
        <v>5.6792838607029184E-5</v>
      </c>
      <c r="D43" s="1">
        <v>2.4473040674908755E-5</v>
      </c>
      <c r="E43" s="1">
        <v>3.712210009120438E-4</v>
      </c>
      <c r="F43" s="1">
        <v>9.3231922858894232E-5</v>
      </c>
      <c r="G43" s="1">
        <v>6.4784078722294515E-4</v>
      </c>
      <c r="H43" s="1">
        <v>8.6723176426551361E-4</v>
      </c>
      <c r="I43" s="1">
        <v>5.2354924851443353E-4</v>
      </c>
      <c r="J43" s="1">
        <v>4.1387769299299317E-4</v>
      </c>
      <c r="K43" s="1">
        <v>1.1101582409017872E-3</v>
      </c>
      <c r="L43" s="1">
        <v>-1.0433458369254495E-3</v>
      </c>
      <c r="M43" s="1">
        <v>1.9646940582599858E-5</v>
      </c>
      <c r="N43" s="1">
        <v>4.2057924038003079E-4</v>
      </c>
      <c r="O43" s="1">
        <v>3.2910887737195145E-4</v>
      </c>
      <c r="P43" s="1">
        <v>9.3884350519493338E-4</v>
      </c>
      <c r="Q43" s="1">
        <v>1.020084973537763E-4</v>
      </c>
      <c r="R43" s="1">
        <v>5.1031197998277348E-4</v>
      </c>
      <c r="S43" s="1">
        <v>7.2387188689270181E-4</v>
      </c>
      <c r="T43" s="1">
        <v>1.4667775777133139E-3</v>
      </c>
      <c r="U43" s="1">
        <v>3.0598406901480708E-4</v>
      </c>
      <c r="V43" s="1">
        <v>1.2591524138944334E-3</v>
      </c>
      <c r="W43" s="1">
        <v>8.7155498051581163E-4</v>
      </c>
      <c r="X43" s="1">
        <v>1.0469475926942579E-3</v>
      </c>
      <c r="Y43" s="1">
        <v>2.2905474692458843E-3</v>
      </c>
      <c r="Z43" s="1">
        <v>8.5143849144504562E-4</v>
      </c>
      <c r="AA43" s="1">
        <v>8.1029573402904506E-4</v>
      </c>
      <c r="AB43" s="1">
        <v>-6.4260234347513655E-5</v>
      </c>
      <c r="AC43" s="1">
        <v>4.6392170830222628E-3</v>
      </c>
      <c r="AD43" s="1">
        <v>4.3697495084297973E-4</v>
      </c>
      <c r="AE43" s="1">
        <v>9.7672783055820136E-4</v>
      </c>
      <c r="AF43" s="1">
        <v>4.9455065812296093E-4</v>
      </c>
      <c r="AG43" s="1">
        <v>1.5344682844555552E-3</v>
      </c>
      <c r="AH43" s="1">
        <v>2.130143824145289E-3</v>
      </c>
      <c r="AI43" s="1">
        <v>1.9798975051025587E-3</v>
      </c>
      <c r="AJ43" s="1">
        <v>2.9086962401617122E-3</v>
      </c>
      <c r="AK43" s="1">
        <v>1.5955541905662014E-3</v>
      </c>
      <c r="AL43" s="1">
        <v>2.1869835235341084E-3</v>
      </c>
      <c r="AM43" s="1">
        <v>9.5883669611950624E-4</v>
      </c>
      <c r="AN43" s="1">
        <v>4.8939377797130171E-4</v>
      </c>
      <c r="AO43" s="1">
        <v>9.633373525950421E-3</v>
      </c>
      <c r="AQ43" s="23">
        <v>6.446444297773221E-3</v>
      </c>
    </row>
    <row r="45" spans="1:43">
      <c r="A45" s="1" t="s">
        <v>149</v>
      </c>
      <c r="B45" s="23">
        <f>0.02/100</f>
        <v>2.0000000000000001E-4</v>
      </c>
    </row>
    <row r="47" spans="1:43" s="37" customFormat="1" ht="18">
      <c r="A47" s="6" t="s">
        <v>173</v>
      </c>
      <c r="E47" s="6" t="s">
        <v>174</v>
      </c>
    </row>
    <row r="48" spans="1:43" ht="30">
      <c r="A48" s="21" t="s">
        <v>150</v>
      </c>
      <c r="E48" s="21" t="s">
        <v>150</v>
      </c>
    </row>
    <row r="49" spans="1:7" ht="15">
      <c r="A49" s="17" t="s">
        <v>15</v>
      </c>
      <c r="B49" s="23">
        <f t="array" ref="B49:B88">MMULT(MINVERSE(B4:AO43),AQ4:AQ43-B45)/SUM(MMULT(MINVERSE(B4:AO43),AQ4:AQ43-B45))</f>
        <v>-7.3092357206831923E-2</v>
      </c>
      <c r="E49" s="17" t="s">
        <v>15</v>
      </c>
      <c r="F49" s="23">
        <v>5.0000000000000001E-3</v>
      </c>
      <c r="G49" s="23">
        <v>3.415225590083168E-2</v>
      </c>
    </row>
    <row r="50" spans="1:7" ht="15">
      <c r="A50" s="17" t="s">
        <v>19</v>
      </c>
      <c r="B50" s="23">
        <v>-4.6960182846247756E-2</v>
      </c>
      <c r="E50" s="17" t="s">
        <v>19</v>
      </c>
      <c r="F50" s="23">
        <v>5.0000000000000001E-3</v>
      </c>
      <c r="G50" s="23">
        <v>0.18660436569762134</v>
      </c>
    </row>
    <row r="51" spans="1:7" ht="15">
      <c r="A51" s="17" t="s">
        <v>17</v>
      </c>
      <c r="B51" s="23">
        <v>0.14831350690032172</v>
      </c>
      <c r="E51" s="17" t="s">
        <v>17</v>
      </c>
      <c r="F51" s="23">
        <v>0.1033460752438058</v>
      </c>
      <c r="G51" s="23">
        <v>1.7755560852574927E-2</v>
      </c>
    </row>
    <row r="52" spans="1:7" ht="15">
      <c r="A52" s="17" t="s">
        <v>18</v>
      </c>
      <c r="B52" s="23">
        <v>7.5646270660951007E-3</v>
      </c>
      <c r="E52" s="17" t="s">
        <v>18</v>
      </c>
      <c r="F52" s="23">
        <v>5.0000000000000001E-3</v>
      </c>
      <c r="G52" s="23">
        <v>1.558572510042798E-2</v>
      </c>
    </row>
    <row r="53" spans="1:7" ht="15">
      <c r="A53" s="17" t="s">
        <v>20</v>
      </c>
      <c r="B53" s="23">
        <v>-3.4708630154408067E-2</v>
      </c>
      <c r="E53" s="17" t="s">
        <v>20</v>
      </c>
      <c r="F53" s="23">
        <v>5.0000000000000001E-3</v>
      </c>
      <c r="G53" s="23">
        <v>9.8208129211984786E-3</v>
      </c>
    </row>
    <row r="54" spans="1:7" ht="15">
      <c r="A54" s="17" t="s">
        <v>22</v>
      </c>
      <c r="B54" s="23">
        <v>0.1444363939534761</v>
      </c>
      <c r="E54" s="17" t="s">
        <v>22</v>
      </c>
      <c r="F54" s="23">
        <v>9.9468962296960214E-2</v>
      </c>
      <c r="G54" s="23">
        <v>1.8216223474719542E-2</v>
      </c>
    </row>
    <row r="55" spans="1:7" ht="15">
      <c r="A55" s="17" t="s">
        <v>23</v>
      </c>
      <c r="B55" s="23">
        <v>-4.3299299311842065E-2</v>
      </c>
      <c r="E55" s="17" t="s">
        <v>23</v>
      </c>
      <c r="F55" s="23">
        <v>5.0000000000000001E-3</v>
      </c>
      <c r="G55" s="23">
        <v>4.995658958853167E-3</v>
      </c>
    </row>
    <row r="56" spans="1:7" ht="15">
      <c r="A56" s="17" t="s">
        <v>24</v>
      </c>
      <c r="B56" s="23">
        <v>8.3153989449893675E-2</v>
      </c>
      <c r="E56" s="17" t="s">
        <v>24</v>
      </c>
      <c r="F56" s="23">
        <v>3.8186557793377846E-2</v>
      </c>
      <c r="G56" s="23">
        <v>4.2918104526423698E-3</v>
      </c>
    </row>
    <row r="57" spans="1:7" ht="15">
      <c r="A57" s="17" t="s">
        <v>29</v>
      </c>
      <c r="B57" s="23">
        <v>0.1131075555834683</v>
      </c>
      <c r="E57" s="17" t="s">
        <v>29</v>
      </c>
      <c r="F57" s="23">
        <v>6.8140123926952498E-2</v>
      </c>
      <c r="G57" s="23">
        <v>2.9915501826862541E-2</v>
      </c>
    </row>
    <row r="58" spans="1:7" ht="15">
      <c r="A58" s="17" t="s">
        <v>30</v>
      </c>
      <c r="B58" s="23">
        <v>-2.9630145455234461E-2</v>
      </c>
      <c r="E58" s="17" t="s">
        <v>30</v>
      </c>
      <c r="F58" s="23">
        <v>5.0000000000000001E-3</v>
      </c>
      <c r="G58" s="23">
        <v>8.9687730168847325E-3</v>
      </c>
    </row>
    <row r="59" spans="1:7" ht="15">
      <c r="A59" s="17" t="s">
        <v>32</v>
      </c>
      <c r="B59" s="23">
        <v>-1.5998060404830677E-2</v>
      </c>
      <c r="E59" s="17" t="s">
        <v>32</v>
      </c>
      <c r="F59" s="23">
        <v>5.0000000000000001E-3</v>
      </c>
      <c r="G59" s="23">
        <v>4.9355901051759254E-3</v>
      </c>
    </row>
    <row r="60" spans="1:7" ht="15">
      <c r="A60" s="17" t="s">
        <v>41</v>
      </c>
      <c r="B60" s="23">
        <v>0.11010798782413628</v>
      </c>
      <c r="E60" s="17" t="s">
        <v>41</v>
      </c>
      <c r="F60" s="23">
        <v>6.5140556167620475E-2</v>
      </c>
      <c r="G60" s="23">
        <v>3.0881696807074565E-3</v>
      </c>
    </row>
    <row r="61" spans="1:7" ht="15">
      <c r="A61" s="17" t="s">
        <v>43</v>
      </c>
      <c r="B61" s="23">
        <v>0.20880758827534135</v>
      </c>
      <c r="E61" s="17" t="s">
        <v>43</v>
      </c>
      <c r="F61" s="23">
        <v>0.16384015661882548</v>
      </c>
      <c r="G61" s="23">
        <v>0.31175175045008197</v>
      </c>
    </row>
    <row r="62" spans="1:7" ht="15">
      <c r="A62" s="17" t="s">
        <v>45</v>
      </c>
      <c r="B62" s="23">
        <v>2.1796433230421779E-2</v>
      </c>
      <c r="E62" s="17" t="s">
        <v>45</v>
      </c>
      <c r="F62" s="23">
        <v>5.0000000000000001E-3</v>
      </c>
      <c r="G62" s="23">
        <v>1.9833312588115295E-2</v>
      </c>
    </row>
    <row r="63" spans="1:7" ht="15">
      <c r="A63" s="17" t="s">
        <v>47</v>
      </c>
      <c r="B63" s="23">
        <v>7.609964682525254E-2</v>
      </c>
      <c r="E63" s="17" t="s">
        <v>47</v>
      </c>
      <c r="F63" s="23">
        <v>3.1132215168736696E-2</v>
      </c>
      <c r="G63" s="23">
        <v>3.9347120317910428E-3</v>
      </c>
    </row>
    <row r="64" spans="1:7" ht="15">
      <c r="A64" s="17" t="s">
        <v>50</v>
      </c>
      <c r="B64" s="23">
        <v>1.4522870953831998E-2</v>
      </c>
      <c r="E64" s="17" t="s">
        <v>50</v>
      </c>
      <c r="F64" s="23">
        <v>5.0000000000000001E-3</v>
      </c>
      <c r="G64" s="23">
        <v>1.201134534432987E-3</v>
      </c>
    </row>
    <row r="65" spans="1:7" ht="15">
      <c r="A65" s="17" t="s">
        <v>52</v>
      </c>
      <c r="B65" s="23">
        <v>2.3325000134920115E-2</v>
      </c>
      <c r="E65" s="17" t="s">
        <v>52</v>
      </c>
      <c r="F65" s="23">
        <v>5.0000000000000001E-3</v>
      </c>
      <c r="G65" s="23">
        <v>4.1788761569468591E-2</v>
      </c>
    </row>
    <row r="66" spans="1:7" ht="15">
      <c r="A66" s="17" t="s">
        <v>53</v>
      </c>
      <c r="B66" s="23">
        <v>9.1718788895846174E-3</v>
      </c>
      <c r="E66" s="17" t="s">
        <v>53</v>
      </c>
      <c r="F66" s="23">
        <v>5.0000000000000001E-3</v>
      </c>
      <c r="G66" s="23">
        <v>1.7665740534357481E-2</v>
      </c>
    </row>
    <row r="67" spans="1:7" ht="15">
      <c r="A67" s="17" t="s">
        <v>54</v>
      </c>
      <c r="B67" s="23">
        <v>2.7678203961300277E-2</v>
      </c>
      <c r="E67" s="17" t="s">
        <v>54</v>
      </c>
      <c r="F67" s="23">
        <v>5.0000000000000001E-3</v>
      </c>
      <c r="G67" s="23">
        <v>1.6217862875532844E-2</v>
      </c>
    </row>
    <row r="68" spans="1:7" ht="15">
      <c r="A68" s="17" t="s">
        <v>57</v>
      </c>
      <c r="B68" s="23">
        <v>2.325813288342076E-4</v>
      </c>
      <c r="E68" s="17" t="s">
        <v>57</v>
      </c>
      <c r="F68" s="23">
        <v>5.0000000000000001E-3</v>
      </c>
      <c r="G68" s="23">
        <v>1.0046697681863817E-2</v>
      </c>
    </row>
    <row r="69" spans="1:7" ht="15">
      <c r="A69" s="17" t="s">
        <v>62</v>
      </c>
      <c r="B69" s="23">
        <v>1.2447187676589436E-2</v>
      </c>
      <c r="E69" s="17" t="s">
        <v>62</v>
      </c>
      <c r="F69" s="23">
        <v>5.0000000000000001E-3</v>
      </c>
      <c r="G69" s="23">
        <v>3.0384491625224308E-3</v>
      </c>
    </row>
    <row r="70" spans="1:7" ht="15">
      <c r="A70" s="17" t="s">
        <v>66</v>
      </c>
      <c r="B70" s="23">
        <v>4.3977596906855307E-2</v>
      </c>
      <c r="E70" s="17" t="s">
        <v>66</v>
      </c>
      <c r="F70" s="23">
        <v>5.000000000000001E-3</v>
      </c>
      <c r="G70" s="23">
        <v>1.0134739379918472E-2</v>
      </c>
    </row>
    <row r="71" spans="1:7" ht="15">
      <c r="A71" s="17" t="s">
        <v>70</v>
      </c>
      <c r="B71" s="23">
        <v>-3.6162740534753319E-3</v>
      </c>
      <c r="E71" s="17" t="s">
        <v>70</v>
      </c>
      <c r="F71" s="23">
        <v>5.0000000000000001E-3</v>
      </c>
      <c r="G71" s="23">
        <v>2.6154609492791462E-3</v>
      </c>
    </row>
    <row r="72" spans="1:7" ht="15">
      <c r="A72" s="17" t="s">
        <v>74</v>
      </c>
      <c r="B72" s="23">
        <v>3.4374154305117581E-2</v>
      </c>
      <c r="E72" s="17" t="s">
        <v>74</v>
      </c>
      <c r="F72" s="23">
        <v>5.0000000000000001E-3</v>
      </c>
      <c r="G72" s="23">
        <v>2.0914147722451582E-3</v>
      </c>
    </row>
    <row r="73" spans="1:7" ht="15">
      <c r="A73" s="17" t="s">
        <v>76</v>
      </c>
      <c r="B73" s="23">
        <v>0.12510746346938403</v>
      </c>
      <c r="E73" s="17" t="s">
        <v>76</v>
      </c>
      <c r="F73" s="23">
        <v>8.0140031812868232E-2</v>
      </c>
      <c r="G73" s="23">
        <v>1.4667148632754238E-2</v>
      </c>
    </row>
    <row r="74" spans="1:7" ht="15">
      <c r="A74" s="17" t="s">
        <v>79</v>
      </c>
      <c r="B74" s="23">
        <v>2.7571358904840339E-2</v>
      </c>
      <c r="E74" s="17" t="s">
        <v>79</v>
      </c>
      <c r="F74" s="23">
        <v>5.0000000000000001E-3</v>
      </c>
      <c r="G74" s="23">
        <v>5.5681314813678641E-2</v>
      </c>
    </row>
    <row r="75" spans="1:7" ht="15">
      <c r="A75" s="17" t="s">
        <v>87</v>
      </c>
      <c r="B75" s="23">
        <v>7.2556588042723594E-2</v>
      </c>
      <c r="E75" s="17" t="s">
        <v>87</v>
      </c>
      <c r="F75" s="23">
        <v>2.758915638620775E-2</v>
      </c>
      <c r="G75" s="23">
        <v>1.4154582640407373E-3</v>
      </c>
    </row>
    <row r="76" spans="1:7" ht="15">
      <c r="A76" s="17" t="s">
        <v>88</v>
      </c>
      <c r="B76" s="23">
        <v>-8.2577687350918541E-3</v>
      </c>
      <c r="E76" s="17" t="s">
        <v>88</v>
      </c>
      <c r="F76" s="23">
        <v>5.0000000000000001E-3</v>
      </c>
      <c r="G76" s="23">
        <v>1.3679205978734672E-3</v>
      </c>
    </row>
    <row r="77" spans="1:7" ht="15">
      <c r="A77" s="17" t="s">
        <v>91</v>
      </c>
      <c r="B77" s="23">
        <v>0.20504289825028968</v>
      </c>
      <c r="E77" s="17" t="s">
        <v>91</v>
      </c>
      <c r="F77" s="23">
        <v>0.16007546659377378</v>
      </c>
      <c r="G77" s="23">
        <v>2.7402473229681937E-2</v>
      </c>
    </row>
    <row r="78" spans="1:7" ht="15">
      <c r="A78" s="17" t="s">
        <v>94</v>
      </c>
      <c r="B78" s="23">
        <v>-5.3714360678759503E-2</v>
      </c>
      <c r="E78" s="17" t="s">
        <v>94</v>
      </c>
      <c r="F78" s="23">
        <v>5.0000000000000001E-3</v>
      </c>
      <c r="G78" s="23">
        <v>1.2106339830293194E-2</v>
      </c>
    </row>
    <row r="79" spans="1:7" ht="15">
      <c r="A79" s="17" t="s">
        <v>95</v>
      </c>
      <c r="B79" s="23">
        <v>-2.1457027519326065E-2</v>
      </c>
      <c r="E79" s="17" t="s">
        <v>95</v>
      </c>
      <c r="F79" s="23">
        <v>5.0000000000000001E-3</v>
      </c>
      <c r="G79" s="23">
        <v>1.1325363886117249E-2</v>
      </c>
    </row>
    <row r="80" spans="1:7" ht="15">
      <c r="A80" s="17" t="s">
        <v>102</v>
      </c>
      <c r="B80" s="23">
        <v>-0.10087283585292851</v>
      </c>
      <c r="E80" s="17" t="s">
        <v>102</v>
      </c>
      <c r="F80" s="23">
        <v>5.0000000000000001E-3</v>
      </c>
      <c r="G80" s="23">
        <v>3.6279000537218402E-3</v>
      </c>
    </row>
    <row r="81" spans="1:7" ht="15">
      <c r="A81" s="17" t="s">
        <v>110</v>
      </c>
      <c r="B81" s="23">
        <v>-5.7696001047794543E-2</v>
      </c>
      <c r="E81" s="17" t="s">
        <v>110</v>
      </c>
      <c r="F81" s="23">
        <v>5.0000000000000001E-3</v>
      </c>
      <c r="G81" s="23">
        <v>7.7588262280091998E-4</v>
      </c>
    </row>
    <row r="82" spans="1:7" ht="15">
      <c r="A82" s="17" t="s">
        <v>114</v>
      </c>
      <c r="B82" s="23">
        <v>-7.5161736922875505E-2</v>
      </c>
      <c r="E82" s="17" t="s">
        <v>114</v>
      </c>
      <c r="F82" s="23">
        <v>5.0000000000000001E-3</v>
      </c>
      <c r="G82" s="23">
        <v>4.7792332235986534E-3</v>
      </c>
    </row>
    <row r="83" spans="1:7" ht="15">
      <c r="A83" s="17" t="s">
        <v>120</v>
      </c>
      <c r="B83" s="23">
        <v>2.603219718395618E-2</v>
      </c>
      <c r="E83" s="17" t="s">
        <v>120</v>
      </c>
      <c r="F83" s="23">
        <v>5.0000000000000001E-3</v>
      </c>
      <c r="G83" s="23">
        <v>1.7551747151203168E-4</v>
      </c>
    </row>
    <row r="84" spans="1:7" ht="15">
      <c r="A84" s="17" t="s">
        <v>123</v>
      </c>
      <c r="B84" s="23">
        <v>-8.2727114722029871E-3</v>
      </c>
      <c r="E84" s="17" t="s">
        <v>123</v>
      </c>
      <c r="F84" s="23">
        <v>5.0000000000000001E-3</v>
      </c>
      <c r="G84" s="23">
        <v>1.9241436305784468E-4</v>
      </c>
    </row>
    <row r="85" spans="1:7" ht="15">
      <c r="A85" s="17" t="s">
        <v>127</v>
      </c>
      <c r="B85" s="23">
        <v>-7.3815876682111509E-2</v>
      </c>
      <c r="E85" s="17" t="s">
        <v>127</v>
      </c>
      <c r="F85" s="23">
        <v>5.0000000000000001E-3</v>
      </c>
      <c r="G85" s="23">
        <v>1.6311968051414771E-2</v>
      </c>
    </row>
    <row r="86" spans="1:7" ht="15">
      <c r="A86" s="17" t="s">
        <v>139</v>
      </c>
      <c r="B86" s="23">
        <v>3.5040636754762766E-2</v>
      </c>
      <c r="E86" s="17" t="s">
        <v>139</v>
      </c>
      <c r="F86" s="23">
        <v>5.0000000000000001E-3</v>
      </c>
      <c r="G86" s="23">
        <v>6.2784644973034598E-2</v>
      </c>
    </row>
    <row r="87" spans="1:7" ht="15">
      <c r="A87" s="17" t="s">
        <v>140</v>
      </c>
      <c r="B87" s="23">
        <v>6.2907129647387636E-2</v>
      </c>
      <c r="E87" s="17" t="s">
        <v>140</v>
      </c>
      <c r="F87" s="23">
        <v>1.7939697990871785E-2</v>
      </c>
      <c r="G87" s="23">
        <v>4.1627796444742519E-3</v>
      </c>
    </row>
    <row r="88" spans="1:7" ht="15">
      <c r="A88" s="17" t="s">
        <v>142</v>
      </c>
      <c r="B88" s="23">
        <v>1.3177792825176258E-2</v>
      </c>
      <c r="E88" s="17" t="s">
        <v>142</v>
      </c>
      <c r="F88" s="23">
        <v>5.0000000000000001E-3</v>
      </c>
      <c r="G88" s="23">
        <v>4.5731558238363201E-3</v>
      </c>
    </row>
    <row r="89" spans="1:7" ht="15">
      <c r="A89" s="23"/>
      <c r="B89" s="17"/>
      <c r="D89" s="22"/>
      <c r="F89" s="22">
        <f>SUM(F49:F88)</f>
        <v>0.99999900000000075</v>
      </c>
      <c r="G89" s="22">
        <f>SUM(G49:G88)</f>
        <v>0.99999999999999978</v>
      </c>
    </row>
    <row r="90" spans="1:7" ht="15">
      <c r="A90" s="23"/>
      <c r="B90" s="17"/>
    </row>
    <row r="91" spans="1:7">
      <c r="B91" t="s">
        <v>175</v>
      </c>
      <c r="C91" t="s">
        <v>176</v>
      </c>
    </row>
    <row r="92" spans="1:7" ht="28.5">
      <c r="A92" s="24" t="s">
        <v>151</v>
      </c>
      <c r="B92" s="23">
        <f t="array" ref="B92">MMULT(TRANSPOSE(B49:B88),AQ4:AQ43)</f>
        <v>3.6640996247732274E-2</v>
      </c>
      <c r="C92" s="23">
        <f t="array" ref="C92">MMULT(TRANSPOSE(G49:G88),AQ4:AQ43)</f>
        <v>2.1046373024475082E-2</v>
      </c>
      <c r="D92" s="23"/>
    </row>
    <row r="93" spans="1:7" ht="28.5">
      <c r="A93" s="24" t="s">
        <v>152</v>
      </c>
      <c r="B93" s="23">
        <f t="array" ref="B93">SQRT(MMULT(MMULT(TRANSPOSE(B49:B88),B4:AO43),B49:B88))</f>
        <v>3.5850535269346034E-2</v>
      </c>
      <c r="C93" s="22">
        <f t="array" ref="C93">SQRT(MMULT(MMULT(TRANSPOSE(G49:G88),B4:AO43),G49:G88))</f>
        <v>3.289917882829408E-2</v>
      </c>
      <c r="D93" s="23"/>
    </row>
    <row r="94" spans="1:7" ht="51">
      <c r="A94" s="26" t="s">
        <v>153</v>
      </c>
      <c r="B94" s="23">
        <f>(B92-B45)/B93</f>
        <v>1.0164700742666768</v>
      </c>
      <c r="C94" s="22">
        <f>(C92-B45)/C93</f>
        <v>0.63364417492836334</v>
      </c>
      <c r="D94" s="23"/>
    </row>
  </sheetData>
  <phoneticPr fontId="19" type="noConversion"/>
  <conditionalFormatting sqref="A4:A43">
    <cfRule type="duplicateValues" dxfId="7" priority="9"/>
  </conditionalFormatting>
  <conditionalFormatting sqref="A4:A43">
    <cfRule type="duplicateValues" dxfId="6" priority="8"/>
  </conditionalFormatting>
  <conditionalFormatting sqref="A4:A43">
    <cfRule type="duplicateValues" dxfId="5" priority="10"/>
  </conditionalFormatting>
  <conditionalFormatting sqref="B3:AO3 AQ3">
    <cfRule type="duplicateValues" dxfId="4" priority="6"/>
  </conditionalFormatting>
  <conditionalFormatting sqref="B3:AO3 AQ3">
    <cfRule type="duplicateValues" dxfId="3" priority="5"/>
  </conditionalFormatting>
  <conditionalFormatting sqref="B3:AO3 AQ3">
    <cfRule type="duplicateValues" dxfId="2" priority="7"/>
  </conditionalFormatting>
  <conditionalFormatting sqref="B89:B90 A49:A88">
    <cfRule type="duplicateValues" dxfId="1" priority="3"/>
  </conditionalFormatting>
  <conditionalFormatting sqref="E49:E88">
    <cfRule type="duplicateValues" dxfId="0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Q96"/>
  <sheetViews>
    <sheetView tabSelected="1" zoomScale="62" workbookViewId="0">
      <selection activeCell="D7" sqref="D7"/>
    </sheetView>
  </sheetViews>
  <sheetFormatPr defaultColWidth="11" defaultRowHeight="14.25"/>
  <cols>
    <col min="1" max="1" width="25.375" bestFit="1" customWidth="1"/>
    <col min="2" max="2" width="11.625" customWidth="1"/>
    <col min="3" max="17" width="11" bestFit="1" customWidth="1"/>
    <col min="18" max="18" width="13" bestFit="1" customWidth="1"/>
    <col min="19" max="41" width="11" bestFit="1" customWidth="1"/>
  </cols>
  <sheetData>
    <row r="1" spans="1:43" ht="44.1" customHeight="1">
      <c r="A1" s="31" t="s">
        <v>166</v>
      </c>
    </row>
    <row r="2" spans="1:43">
      <c r="A2" s="27" t="s">
        <v>156</v>
      </c>
      <c r="B2" s="23">
        <f>Data!AQ191</f>
        <v>1.1593977078903689E-2</v>
      </c>
      <c r="C2" t="s">
        <v>158</v>
      </c>
    </row>
    <row r="3" spans="1:43">
      <c r="A3" s="27" t="s">
        <v>159</v>
      </c>
      <c r="B3" s="23">
        <v>2.0000000000000001E-4</v>
      </c>
    </row>
    <row r="4" spans="1:43">
      <c r="A4" s="27" t="s">
        <v>157</v>
      </c>
      <c r="B4" s="13">
        <f t="array" ref="B4">(B2-B3)/MMULT(MMULT(B8:AO8,B13:AO52),TRANSPOSE(B8:AO8))</f>
        <v>8.6555835853393557</v>
      </c>
    </row>
    <row r="6" spans="1:43">
      <c r="B6" s="3" t="s">
        <v>15</v>
      </c>
      <c r="C6" s="3" t="s">
        <v>19</v>
      </c>
      <c r="D6" s="3" t="s">
        <v>17</v>
      </c>
      <c r="E6" s="3" t="s">
        <v>18</v>
      </c>
      <c r="F6" s="3" t="s">
        <v>20</v>
      </c>
      <c r="G6" s="3" t="s">
        <v>22</v>
      </c>
      <c r="H6" s="3" t="s">
        <v>23</v>
      </c>
      <c r="I6" s="3" t="s">
        <v>24</v>
      </c>
      <c r="J6" s="3" t="s">
        <v>29</v>
      </c>
      <c r="K6" s="3" t="s">
        <v>30</v>
      </c>
      <c r="L6" s="3" t="s">
        <v>32</v>
      </c>
      <c r="M6" s="3" t="s">
        <v>41</v>
      </c>
      <c r="N6" s="3" t="s">
        <v>43</v>
      </c>
      <c r="O6" s="3" t="s">
        <v>45</v>
      </c>
      <c r="P6" s="3" t="s">
        <v>47</v>
      </c>
      <c r="Q6" s="3" t="s">
        <v>50</v>
      </c>
      <c r="R6" s="3" t="s">
        <v>52</v>
      </c>
      <c r="S6" s="3" t="s">
        <v>53</v>
      </c>
      <c r="T6" s="3" t="s">
        <v>54</v>
      </c>
      <c r="U6" s="3" t="s">
        <v>57</v>
      </c>
      <c r="V6" s="3" t="s">
        <v>62</v>
      </c>
      <c r="W6" s="3" t="s">
        <v>66</v>
      </c>
      <c r="X6" s="3" t="s">
        <v>70</v>
      </c>
      <c r="Y6" s="3" t="s">
        <v>74</v>
      </c>
      <c r="Z6" s="3" t="s">
        <v>76</v>
      </c>
      <c r="AA6" s="3" t="s">
        <v>79</v>
      </c>
      <c r="AB6" s="3" t="s">
        <v>87</v>
      </c>
      <c r="AC6" s="3" t="s">
        <v>88</v>
      </c>
      <c r="AD6" s="3" t="s">
        <v>91</v>
      </c>
      <c r="AE6" s="3" t="s">
        <v>94</v>
      </c>
      <c r="AF6" s="3" t="s">
        <v>95</v>
      </c>
      <c r="AG6" s="3" t="s">
        <v>102</v>
      </c>
      <c r="AH6" s="3" t="s">
        <v>110</v>
      </c>
      <c r="AI6" s="3" t="s">
        <v>114</v>
      </c>
      <c r="AJ6" s="3" t="s">
        <v>120</v>
      </c>
      <c r="AK6" s="3" t="s">
        <v>123</v>
      </c>
      <c r="AL6" s="3" t="s">
        <v>127</v>
      </c>
      <c r="AM6" s="3" t="s">
        <v>139</v>
      </c>
      <c r="AN6" s="3" t="s">
        <v>140</v>
      </c>
      <c r="AO6" s="3" t="s">
        <v>142</v>
      </c>
    </row>
    <row r="7" spans="1:43">
      <c r="A7" t="s">
        <v>161</v>
      </c>
      <c r="B7" s="11">
        <v>422.43400000000003</v>
      </c>
      <c r="C7" s="11">
        <v>206.054</v>
      </c>
      <c r="D7" s="11">
        <v>219.62100000000001</v>
      </c>
      <c r="E7" s="11">
        <v>192.78200000000001</v>
      </c>
      <c r="F7" s="11">
        <v>121.47499999999999</v>
      </c>
      <c r="G7" s="11">
        <v>225.31899999999999</v>
      </c>
      <c r="H7" s="11">
        <v>61.792000000000002</v>
      </c>
      <c r="I7" s="11">
        <v>53.085999999999999</v>
      </c>
      <c r="J7" s="11">
        <v>370.029</v>
      </c>
      <c r="K7" s="11">
        <v>110.93600000000001</v>
      </c>
      <c r="L7" s="11">
        <v>61.048999999999999</v>
      </c>
      <c r="M7" s="11">
        <v>38.198</v>
      </c>
      <c r="N7" s="11">
        <v>2173</v>
      </c>
      <c r="O7" s="11">
        <v>245.321</v>
      </c>
      <c r="P7" s="11">
        <v>48.668999999999997</v>
      </c>
      <c r="Q7" s="11">
        <v>14.856999999999999</v>
      </c>
      <c r="R7" s="11">
        <v>516.89099999999996</v>
      </c>
      <c r="S7" s="11">
        <v>218.51</v>
      </c>
      <c r="T7" s="11">
        <v>200.601</v>
      </c>
      <c r="U7" s="11">
        <v>124.26900000000001</v>
      </c>
      <c r="V7" s="11">
        <v>37.582999999999998</v>
      </c>
      <c r="W7" s="11">
        <v>125.358</v>
      </c>
      <c r="X7" s="11">
        <v>32.350999999999999</v>
      </c>
      <c r="Y7" s="11">
        <v>25.869</v>
      </c>
      <c r="Z7" s="11">
        <v>181.42</v>
      </c>
      <c r="AA7" s="11">
        <v>232.81100000000001</v>
      </c>
      <c r="AB7" s="11">
        <v>17.507999999999999</v>
      </c>
      <c r="AC7" s="11">
        <v>16.920000000000002</v>
      </c>
      <c r="AD7" s="11">
        <v>338.94499999999999</v>
      </c>
      <c r="AE7" s="11">
        <v>149.745</v>
      </c>
      <c r="AF7" s="11">
        <v>140.08500000000001</v>
      </c>
      <c r="AG7" s="11">
        <v>44.874000000000002</v>
      </c>
      <c r="AH7" s="11">
        <v>9.5969999999999995</v>
      </c>
      <c r="AI7" s="11">
        <v>59.115000000000002</v>
      </c>
      <c r="AJ7" s="11">
        <v>2.1709999999999998</v>
      </c>
      <c r="AK7" s="11">
        <v>2.38</v>
      </c>
      <c r="AL7" s="11">
        <v>201.76499999999999</v>
      </c>
      <c r="AM7" s="11">
        <v>776.59199999999998</v>
      </c>
      <c r="AN7" s="11">
        <v>51.49</v>
      </c>
      <c r="AO7" s="11">
        <v>56.566000000000003</v>
      </c>
    </row>
    <row r="8" spans="1:43">
      <c r="A8" t="s">
        <v>162</v>
      </c>
      <c r="B8" s="23">
        <f>B7/SUM($B$7:$AO$7)</f>
        <v>5.1972444026467418E-2</v>
      </c>
      <c r="C8" s="23">
        <f>C7/SUM($B$7:$AO$7)</f>
        <v>2.5351013368785934E-2</v>
      </c>
      <c r="D8" s="23">
        <f t="shared" ref="D8:AO8" si="0">D7/SUM($B$7:$AO$7)</f>
        <v>2.7020173872218622E-2</v>
      </c>
      <c r="E8" s="23">
        <f t="shared" si="0"/>
        <v>2.3718146987009667E-2</v>
      </c>
      <c r="F8" s="23">
        <f t="shared" si="0"/>
        <v>1.4945181112588307E-2</v>
      </c>
      <c r="G8" s="23">
        <f t="shared" si="0"/>
        <v>2.7721204059331424E-2</v>
      </c>
      <c r="H8" s="23">
        <f t="shared" si="0"/>
        <v>7.602326662350745E-3</v>
      </c>
      <c r="I8" s="23">
        <f t="shared" si="0"/>
        <v>6.5312194652633292E-3</v>
      </c>
      <c r="J8" s="23">
        <f t="shared" si="0"/>
        <v>4.5525008618316022E-2</v>
      </c>
      <c r="K8" s="23">
        <f t="shared" si="0"/>
        <v>1.3648558237547617E-2</v>
      </c>
      <c r="L8" s="23">
        <f t="shared" si="0"/>
        <v>7.5109146881449157E-3</v>
      </c>
      <c r="M8" s="23">
        <f t="shared" si="0"/>
        <v>4.6995351153624057E-3</v>
      </c>
      <c r="N8" s="23">
        <f t="shared" si="0"/>
        <v>0.26734619104881163</v>
      </c>
      <c r="O8" s="23">
        <f t="shared" si="0"/>
        <v>3.0182068538557531E-2</v>
      </c>
      <c r="P8" s="23">
        <f t="shared" si="0"/>
        <v>5.9877918877839914E-3</v>
      </c>
      <c r="Q8" s="23">
        <f t="shared" si="0"/>
        <v>1.827870391353978E-3</v>
      </c>
      <c r="R8" s="23">
        <f t="shared" si="0"/>
        <v>6.3593575719011183E-2</v>
      </c>
      <c r="S8" s="23">
        <f t="shared" si="0"/>
        <v>2.6883486519132915E-2</v>
      </c>
      <c r="T8" s="23">
        <f t="shared" si="0"/>
        <v>2.4680125757286085E-2</v>
      </c>
      <c r="U8" s="23">
        <f t="shared" si="0"/>
        <v>1.5288929505496904E-2</v>
      </c>
      <c r="V8" s="23">
        <f t="shared" si="0"/>
        <v>4.6238710990278362E-3</v>
      </c>
      <c r="W8" s="23">
        <f t="shared" si="0"/>
        <v>1.5422910178323484E-2</v>
      </c>
      <c r="X8" s="23">
        <f t="shared" si="0"/>
        <v>3.9801733210400852E-3</v>
      </c>
      <c r="Y8" s="23">
        <f t="shared" si="0"/>
        <v>3.1826868919658112E-3</v>
      </c>
      <c r="Z8" s="23">
        <f t="shared" si="0"/>
        <v>2.2320269664093607E-2</v>
      </c>
      <c r="AA8" s="23">
        <f t="shared" si="0"/>
        <v>2.8642951718483613E-2</v>
      </c>
      <c r="AB8" s="23">
        <f t="shared" si="0"/>
        <v>2.1540253625782759E-3</v>
      </c>
      <c r="AC8" s="23">
        <f t="shared" si="0"/>
        <v>2.0816831811071761E-3</v>
      </c>
      <c r="AD8" s="23">
        <f t="shared" si="0"/>
        <v>4.1700715474017241E-2</v>
      </c>
      <c r="AE8" s="23">
        <f t="shared" si="0"/>
        <v>1.8423265245561114E-2</v>
      </c>
      <c r="AF8" s="23">
        <f t="shared" si="0"/>
        <v>1.7234786549964465E-2</v>
      </c>
      <c r="AG8" s="23">
        <f t="shared" si="0"/>
        <v>5.5208895430853078E-3</v>
      </c>
      <c r="AH8" s="23">
        <f t="shared" si="0"/>
        <v>1.1807277475818891E-3</v>
      </c>
      <c r="AI8" s="23">
        <f t="shared" si="0"/>
        <v>7.2729728871838472E-3</v>
      </c>
      <c r="AJ8" s="23">
        <f t="shared" si="0"/>
        <v>2.671001292070732E-4</v>
      </c>
      <c r="AK8" s="23">
        <f t="shared" si="0"/>
        <v>2.9281359166873983E-4</v>
      </c>
      <c r="AL8" s="23">
        <f t="shared" si="0"/>
        <v>2.4823333749177855E-2</v>
      </c>
      <c r="AM8" s="23">
        <f t="shared" si="0"/>
        <v>9.5544828899668074E-2</v>
      </c>
      <c r="AN8" s="23">
        <f t="shared" si="0"/>
        <v>6.334862115556057E-3</v>
      </c>
      <c r="AO8" s="23">
        <f t="shared" si="0"/>
        <v>6.95936706988821E-3</v>
      </c>
      <c r="AP8" s="23"/>
    </row>
    <row r="11" spans="1:43">
      <c r="A11" s="28" t="s">
        <v>160</v>
      </c>
    </row>
    <row r="12" spans="1:43" ht="45">
      <c r="A12" s="3"/>
      <c r="B12" s="3" t="s">
        <v>15</v>
      </c>
      <c r="C12" s="3" t="s">
        <v>19</v>
      </c>
      <c r="D12" s="3" t="s">
        <v>17</v>
      </c>
      <c r="E12" s="3" t="s">
        <v>18</v>
      </c>
      <c r="F12" s="3" t="s">
        <v>20</v>
      </c>
      <c r="G12" s="3" t="s">
        <v>22</v>
      </c>
      <c r="H12" s="3" t="s">
        <v>23</v>
      </c>
      <c r="I12" s="3" t="s">
        <v>24</v>
      </c>
      <c r="J12" s="3" t="s">
        <v>29</v>
      </c>
      <c r="K12" s="3" t="s">
        <v>30</v>
      </c>
      <c r="L12" s="3" t="s">
        <v>32</v>
      </c>
      <c r="M12" s="3" t="s">
        <v>41</v>
      </c>
      <c r="N12" s="3" t="s">
        <v>43</v>
      </c>
      <c r="O12" s="3" t="s">
        <v>45</v>
      </c>
      <c r="P12" s="3" t="s">
        <v>47</v>
      </c>
      <c r="Q12" s="3" t="s">
        <v>50</v>
      </c>
      <c r="R12" s="3" t="s">
        <v>52</v>
      </c>
      <c r="S12" s="3" t="s">
        <v>53</v>
      </c>
      <c r="T12" s="3" t="s">
        <v>54</v>
      </c>
      <c r="U12" s="3" t="s">
        <v>57</v>
      </c>
      <c r="V12" s="3" t="s">
        <v>62</v>
      </c>
      <c r="W12" s="3" t="s">
        <v>66</v>
      </c>
      <c r="X12" s="3" t="s">
        <v>70</v>
      </c>
      <c r="Y12" s="3" t="s">
        <v>74</v>
      </c>
      <c r="Z12" s="3" t="s">
        <v>76</v>
      </c>
      <c r="AA12" s="3" t="s">
        <v>79</v>
      </c>
      <c r="AB12" s="3" t="s">
        <v>87</v>
      </c>
      <c r="AC12" s="3" t="s">
        <v>88</v>
      </c>
      <c r="AD12" s="3" t="s">
        <v>91</v>
      </c>
      <c r="AE12" s="3" t="s">
        <v>94</v>
      </c>
      <c r="AF12" s="3" t="s">
        <v>95</v>
      </c>
      <c r="AG12" s="3" t="s">
        <v>102</v>
      </c>
      <c r="AH12" s="3" t="s">
        <v>110</v>
      </c>
      <c r="AI12" s="3" t="s">
        <v>114</v>
      </c>
      <c r="AJ12" s="3" t="s">
        <v>120</v>
      </c>
      <c r="AK12" s="3" t="s">
        <v>123</v>
      </c>
      <c r="AL12" s="3" t="s">
        <v>127</v>
      </c>
      <c r="AM12" s="3" t="s">
        <v>139</v>
      </c>
      <c r="AN12" s="3" t="s">
        <v>140</v>
      </c>
      <c r="AO12" s="3" t="s">
        <v>142</v>
      </c>
      <c r="AQ12" s="30" t="s">
        <v>163</v>
      </c>
    </row>
    <row r="13" spans="1:43">
      <c r="A13" s="3" t="s">
        <v>15</v>
      </c>
      <c r="B13" s="1">
        <f t="array" ref="B13:AO52">'Shrinkage Matrix'!C3*'Shrinkage Matrix'!B52:AO91+(1-'Shrinkage Matrix'!C3)*'Shrinkage Matrix'!B97:AO136</f>
        <v>2.399561424498947E-3</v>
      </c>
      <c r="C13" s="1">
        <v>5.0019314230529343E-4</v>
      </c>
      <c r="D13" s="1">
        <v>7.8127922290946114E-4</v>
      </c>
      <c r="E13" s="1">
        <v>3.2176077798571153E-4</v>
      </c>
      <c r="F13" s="1">
        <v>7.9142850148646927E-4</v>
      </c>
      <c r="G13" s="1">
        <v>6.9616768595448476E-4</v>
      </c>
      <c r="H13" s="1">
        <v>8.8762281598092651E-4</v>
      </c>
      <c r="I13" s="1">
        <v>4.2636282953441681E-4</v>
      </c>
      <c r="J13" s="1">
        <v>7.0437078541922614E-4</v>
      </c>
      <c r="K13" s="1">
        <v>6.9931884658656169E-4</v>
      </c>
      <c r="L13" s="1">
        <v>2.9306656814309206E-4</v>
      </c>
      <c r="M13" s="1">
        <v>2.3800407646842174E-5</v>
      </c>
      <c r="N13" s="1">
        <v>6.2961964650041927E-4</v>
      </c>
      <c r="O13" s="1">
        <v>7.1430492748232404E-4</v>
      </c>
      <c r="P13" s="1">
        <v>7.6229219543263126E-4</v>
      </c>
      <c r="Q13" s="1">
        <v>1.4319581277921845E-3</v>
      </c>
      <c r="R13" s="1">
        <v>7.1917099952959645E-4</v>
      </c>
      <c r="S13" s="1">
        <v>6.7033686985248811E-4</v>
      </c>
      <c r="T13" s="1">
        <v>6.8473923146519908E-4</v>
      </c>
      <c r="U13" s="1">
        <v>1.2912077525840835E-3</v>
      </c>
      <c r="V13" s="1">
        <v>5.7902839460624448E-4</v>
      </c>
      <c r="W13" s="1">
        <v>3.7104016200812588E-4</v>
      </c>
      <c r="X13" s="1">
        <v>4.5162236366384767E-4</v>
      </c>
      <c r="Y13" s="1">
        <v>4.8953749639077339E-4</v>
      </c>
      <c r="Z13" s="1">
        <v>6.2292819080913848E-4</v>
      </c>
      <c r="AA13" s="1">
        <v>5.8460928358030153E-4</v>
      </c>
      <c r="AB13" s="1">
        <v>3.0768291121418146E-4</v>
      </c>
      <c r="AC13" s="1">
        <v>1.0171971183660705E-3</v>
      </c>
      <c r="AD13" s="1">
        <v>4.6130637179163381E-4</v>
      </c>
      <c r="AE13" s="1">
        <v>9.8290025693383736E-4</v>
      </c>
      <c r="AF13" s="1">
        <v>4.9452414261014438E-4</v>
      </c>
      <c r="AG13" s="1">
        <v>9.5552291856970282E-4</v>
      </c>
      <c r="AH13" s="1">
        <v>1.09832038463812E-3</v>
      </c>
      <c r="AI13" s="1">
        <v>9.2401427880920437E-4</v>
      </c>
      <c r="AJ13" s="1">
        <v>3.0173877634922494E-4</v>
      </c>
      <c r="AK13" s="1">
        <v>6.2254256946584201E-4</v>
      </c>
      <c r="AL13" s="1">
        <v>8.2056118791015307E-4</v>
      </c>
      <c r="AM13" s="1">
        <v>1.465926107241096E-3</v>
      </c>
      <c r="AN13" s="1">
        <v>5.5150116604192004E-4</v>
      </c>
      <c r="AO13" s="1">
        <v>6.4259519367574497E-4</v>
      </c>
      <c r="AQ13" s="29">
        <f t="array" ref="AQ13:AQ52">(MMULT(B13:AO52,TRANSPOSE(B8:AO8))*B4)+B3</f>
        <v>7.3078363254697448E-3</v>
      </c>
    </row>
    <row r="14" spans="1:43">
      <c r="A14" s="3" t="s">
        <v>19</v>
      </c>
      <c r="B14" s="1">
        <v>5.0019314230529343E-4</v>
      </c>
      <c r="C14" s="1">
        <v>2.5239939089386301E-3</v>
      </c>
      <c r="D14" s="1">
        <v>6.0734166858122918E-4</v>
      </c>
      <c r="E14" s="1">
        <v>1.8858427340440079E-4</v>
      </c>
      <c r="F14" s="1">
        <v>9.5922331855087138E-4</v>
      </c>
      <c r="G14" s="1">
        <v>5.9507379224666378E-4</v>
      </c>
      <c r="H14" s="1">
        <v>7.582434568814266E-4</v>
      </c>
      <c r="I14" s="1">
        <v>2.8256162001863682E-4</v>
      </c>
      <c r="J14" s="1">
        <v>4.7118645936963712E-4</v>
      </c>
      <c r="K14" s="1">
        <v>9.3433790555954015E-4</v>
      </c>
      <c r="L14" s="1">
        <v>3.1984010690274696E-4</v>
      </c>
      <c r="M14" s="1">
        <v>3.1199649736346648E-4</v>
      </c>
      <c r="N14" s="1">
        <v>2.3430572218863929E-4</v>
      </c>
      <c r="O14" s="1">
        <v>2.5636389602551741E-4</v>
      </c>
      <c r="P14" s="1">
        <v>2.9449988930603874E-4</v>
      </c>
      <c r="Q14" s="1">
        <v>9.4686033420611222E-4</v>
      </c>
      <c r="R14" s="1">
        <v>1.5409485980169731E-4</v>
      </c>
      <c r="S14" s="1">
        <v>1.2955837479866961E-4</v>
      </c>
      <c r="T14" s="1">
        <v>1.9804050733027834E-4</v>
      </c>
      <c r="U14" s="1">
        <v>1.3537866734789536E-3</v>
      </c>
      <c r="V14" s="1">
        <v>3.716632525194886E-4</v>
      </c>
      <c r="W14" s="1">
        <v>1.8469023515438993E-4</v>
      </c>
      <c r="X14" s="1">
        <v>-7.7534808574370087E-6</v>
      </c>
      <c r="Y14" s="1">
        <v>7.4125000346504061E-5</v>
      </c>
      <c r="Z14" s="1">
        <v>3.8250194778442293E-4</v>
      </c>
      <c r="AA14" s="1">
        <v>3.909750876189015E-4</v>
      </c>
      <c r="AB14" s="1">
        <v>3.633887101103887E-4</v>
      </c>
      <c r="AC14" s="1">
        <v>-2.4358434758583642E-4</v>
      </c>
      <c r="AD14" s="1">
        <v>5.3464624259645665E-4</v>
      </c>
      <c r="AE14" s="1">
        <v>4.7891360276405641E-4</v>
      </c>
      <c r="AF14" s="1">
        <v>5.5356699889167252E-4</v>
      </c>
      <c r="AG14" s="1">
        <v>1.2138085173190864E-4</v>
      </c>
      <c r="AH14" s="1">
        <v>5.1439883390023619E-4</v>
      </c>
      <c r="AI14" s="1">
        <v>5.5253175280994208E-4</v>
      </c>
      <c r="AJ14" s="1">
        <v>2.1866056871707517E-4</v>
      </c>
      <c r="AK14" s="1">
        <v>3.604292987664255E-4</v>
      </c>
      <c r="AL14" s="1">
        <v>6.3085805069389047E-4</v>
      </c>
      <c r="AM14" s="1">
        <v>9.4967493861744425E-4</v>
      </c>
      <c r="AN14" s="1">
        <v>2.6113448271692546E-4</v>
      </c>
      <c r="AO14" s="1">
        <v>5.6792838607029184E-5</v>
      </c>
      <c r="AQ14" s="29">
        <v>4.3500775571882503E-3</v>
      </c>
    </row>
    <row r="15" spans="1:43">
      <c r="A15" s="3" t="s">
        <v>17</v>
      </c>
      <c r="B15" s="1">
        <v>7.8127922290946114E-4</v>
      </c>
      <c r="C15" s="1">
        <v>6.0734166858122918E-4</v>
      </c>
      <c r="D15" s="1">
        <v>4.8172862830021135E-3</v>
      </c>
      <c r="E15" s="1">
        <v>3.8630985059717629E-4</v>
      </c>
      <c r="F15" s="1">
        <v>8.9901751008070023E-4</v>
      </c>
      <c r="G15" s="1">
        <v>3.3059800534431373E-4</v>
      </c>
      <c r="H15" s="1">
        <v>1.396888048381884E-3</v>
      </c>
      <c r="I15" s="1">
        <v>2.2351218051171512E-4</v>
      </c>
      <c r="J15" s="1">
        <v>2.8612904846335446E-4</v>
      </c>
      <c r="K15" s="1">
        <v>8.3652249541997699E-4</v>
      </c>
      <c r="L15" s="1">
        <v>4.6365714571102476E-4</v>
      </c>
      <c r="M15" s="1">
        <v>3.4492575011773539E-4</v>
      </c>
      <c r="N15" s="1">
        <v>4.9751933646717073E-4</v>
      </c>
      <c r="O15" s="1">
        <v>1.3659161290939967E-4</v>
      </c>
      <c r="P15" s="1">
        <v>5.6827808873704719E-4</v>
      </c>
      <c r="Q15" s="1">
        <v>1.1812966839536336E-3</v>
      </c>
      <c r="R15" s="1">
        <v>2.2059606762159857E-5</v>
      </c>
      <c r="S15" s="1">
        <v>8.1484064978290603E-4</v>
      </c>
      <c r="T15" s="1">
        <v>3.5825236362635151E-4</v>
      </c>
      <c r="U15" s="1">
        <v>1.3265361927032528E-3</v>
      </c>
      <c r="V15" s="1">
        <v>3.2124770699277605E-4</v>
      </c>
      <c r="W15" s="1">
        <v>6.3423973939620947E-5</v>
      </c>
      <c r="X15" s="1">
        <v>-5.3757745928732228E-5</v>
      </c>
      <c r="Y15" s="1">
        <v>5.9747260298549827E-4</v>
      </c>
      <c r="Z15" s="1">
        <v>-8.3660114213123871E-5</v>
      </c>
      <c r="AA15" s="1">
        <v>4.5803852617730303E-4</v>
      </c>
      <c r="AB15" s="1">
        <v>-9.6977628509487581E-5</v>
      </c>
      <c r="AC15" s="1">
        <v>-8.7022044096287104E-4</v>
      </c>
      <c r="AD15" s="1">
        <v>8.9929632846753624E-5</v>
      </c>
      <c r="AE15" s="1">
        <v>2.4277151013055048E-4</v>
      </c>
      <c r="AF15" s="1">
        <v>1.0316837013137727E-4</v>
      </c>
      <c r="AG15" s="1">
        <v>5.0147745787339301E-5</v>
      </c>
      <c r="AH15" s="1">
        <v>8.4584396851890569E-4</v>
      </c>
      <c r="AI15" s="1">
        <v>-2.8886534626501776E-4</v>
      </c>
      <c r="AJ15" s="1">
        <v>2.2665035114068595E-5</v>
      </c>
      <c r="AK15" s="1">
        <v>2.1357952109063262E-4</v>
      </c>
      <c r="AL15" s="1">
        <v>5.0654964891589098E-4</v>
      </c>
      <c r="AM15" s="1">
        <v>9.3523901973267928E-4</v>
      </c>
      <c r="AN15" s="1">
        <v>-2.0987031203142291E-4</v>
      </c>
      <c r="AO15" s="1">
        <v>2.4473040674908755E-5</v>
      </c>
      <c r="AQ15" s="29">
        <v>5.2036248895098143E-3</v>
      </c>
    </row>
    <row r="16" spans="1:43">
      <c r="A16" s="3" t="s">
        <v>18</v>
      </c>
      <c r="B16" s="1">
        <v>3.2176077798571153E-4</v>
      </c>
      <c r="C16" s="1">
        <v>1.8858427340440079E-4</v>
      </c>
      <c r="D16" s="1">
        <v>3.8630985059717629E-4</v>
      </c>
      <c r="E16" s="1">
        <v>7.0123970050019789E-3</v>
      </c>
      <c r="F16" s="1">
        <v>7.4883287960411399E-4</v>
      </c>
      <c r="G16" s="1">
        <v>2.7532311870129083E-4</v>
      </c>
      <c r="H16" s="1">
        <v>1.483976544394623E-3</v>
      </c>
      <c r="I16" s="1">
        <v>2.6278805952622403E-4</v>
      </c>
      <c r="J16" s="1">
        <v>8.579218893430637E-4</v>
      </c>
      <c r="K16" s="1">
        <v>1.4869214772216316E-3</v>
      </c>
      <c r="L16" s="1">
        <v>4.8192421846679837E-4</v>
      </c>
      <c r="M16" s="1">
        <v>1.0027194192483262E-3</v>
      </c>
      <c r="N16" s="1">
        <v>6.6117704249611599E-4</v>
      </c>
      <c r="O16" s="1">
        <v>6.4215903577139832E-4</v>
      </c>
      <c r="P16" s="1">
        <v>8.1887667424419017E-4</v>
      </c>
      <c r="Q16" s="1">
        <v>-4.7890454243656858E-4</v>
      </c>
      <c r="R16" s="1">
        <v>1.3188813071249729E-3</v>
      </c>
      <c r="S16" s="1">
        <v>5.3064289611043684E-4</v>
      </c>
      <c r="T16" s="1">
        <v>7.7540148607088666E-4</v>
      </c>
      <c r="U16" s="1">
        <v>2.182791171402714E-3</v>
      </c>
      <c r="V16" s="1">
        <v>4.8001786822167815E-4</v>
      </c>
      <c r="W16" s="1">
        <v>3.8963036390355174E-4</v>
      </c>
      <c r="X16" s="1">
        <v>9.6725470410702623E-4</v>
      </c>
      <c r="Y16" s="1">
        <v>1.8209005562750406E-3</v>
      </c>
      <c r="Z16" s="1">
        <v>2.9093163569680177E-5</v>
      </c>
      <c r="AA16" s="1">
        <v>8.3040240515227484E-4</v>
      </c>
      <c r="AB16" s="1">
        <v>9.9535299611653574E-4</v>
      </c>
      <c r="AC16" s="1">
        <v>1.5568361992854044E-3</v>
      </c>
      <c r="AD16" s="1">
        <v>-2.2008781362097934E-4</v>
      </c>
      <c r="AE16" s="1">
        <v>8.3602547982470751E-5</v>
      </c>
      <c r="AF16" s="1">
        <v>1.7105874773920964E-5</v>
      </c>
      <c r="AG16" s="1">
        <v>2.384820246955702E-4</v>
      </c>
      <c r="AH16" s="1">
        <v>8.2787320328633917E-4</v>
      </c>
      <c r="AI16" s="1">
        <v>1.0246461627747008E-3</v>
      </c>
      <c r="AJ16" s="1">
        <v>1.8270323918592104E-3</v>
      </c>
      <c r="AK16" s="1">
        <v>6.2055711723076263E-4</v>
      </c>
      <c r="AL16" s="1">
        <v>1.2102270602834305E-3</v>
      </c>
      <c r="AM16" s="1">
        <v>1.3683981315410583E-3</v>
      </c>
      <c r="AN16" s="1">
        <v>4.5705903703283589E-4</v>
      </c>
      <c r="AO16" s="1">
        <v>3.712210009120438E-4</v>
      </c>
      <c r="AQ16" s="29">
        <v>7.6924345907840672E-3</v>
      </c>
    </row>
    <row r="17" spans="1:43">
      <c r="A17" s="3" t="s">
        <v>20</v>
      </c>
      <c r="B17" s="1">
        <v>7.9142850148646927E-4</v>
      </c>
      <c r="C17" s="1">
        <v>9.5922331855087138E-4</v>
      </c>
      <c r="D17" s="1">
        <v>8.9901751008070023E-4</v>
      </c>
      <c r="E17" s="1">
        <v>7.4883287960411399E-4</v>
      </c>
      <c r="F17" s="1">
        <v>4.2330519953896707E-3</v>
      </c>
      <c r="G17" s="1">
        <v>8.5421898858020989E-4</v>
      </c>
      <c r="H17" s="1">
        <v>1.1552377510777472E-3</v>
      </c>
      <c r="I17" s="1">
        <v>3.2261367712786048E-4</v>
      </c>
      <c r="J17" s="1">
        <v>9.0117631363935055E-4</v>
      </c>
      <c r="K17" s="1">
        <v>1.2545289876291481E-3</v>
      </c>
      <c r="L17" s="1">
        <v>5.9625015233518873E-4</v>
      </c>
      <c r="M17" s="1">
        <v>5.041017308199772E-4</v>
      </c>
      <c r="N17" s="1">
        <v>5.2160647792941098E-4</v>
      </c>
      <c r="O17" s="1">
        <v>5.903329166761645E-4</v>
      </c>
      <c r="P17" s="1">
        <v>4.7703320101979524E-4</v>
      </c>
      <c r="Q17" s="1">
        <v>1.2464422482262448E-3</v>
      </c>
      <c r="R17" s="1">
        <v>5.6604475288255494E-4</v>
      </c>
      <c r="S17" s="1">
        <v>5.0391970931184572E-4</v>
      </c>
      <c r="T17" s="1">
        <v>7.4762330710255681E-4</v>
      </c>
      <c r="U17" s="1">
        <v>2.3473147382107487E-3</v>
      </c>
      <c r="V17" s="1">
        <v>2.8071692701670545E-4</v>
      </c>
      <c r="W17" s="1">
        <v>1.0255806078895041E-4</v>
      </c>
      <c r="X17" s="1">
        <v>2.2722332191556354E-4</v>
      </c>
      <c r="Y17" s="1">
        <v>2.7701516208376566E-4</v>
      </c>
      <c r="Z17" s="1">
        <v>2.6898051444866736E-4</v>
      </c>
      <c r="AA17" s="1">
        <v>6.8012080381183544E-4</v>
      </c>
      <c r="AB17" s="1">
        <v>5.1408484613695005E-4</v>
      </c>
      <c r="AC17" s="1">
        <v>-5.7699024284222104E-4</v>
      </c>
      <c r="AD17" s="1">
        <v>4.525198388948167E-4</v>
      </c>
      <c r="AE17" s="1">
        <v>3.8423404191479353E-4</v>
      </c>
      <c r="AF17" s="1">
        <v>4.9831575997519697E-4</v>
      </c>
      <c r="AG17" s="1">
        <v>6.1850878302800315E-4</v>
      </c>
      <c r="AH17" s="1">
        <v>1.2174119786186059E-3</v>
      </c>
      <c r="AI17" s="1">
        <v>9.6255063406793049E-4</v>
      </c>
      <c r="AJ17" s="1">
        <v>1.3482531743824633E-3</v>
      </c>
      <c r="AK17" s="1">
        <v>6.7247994489278947E-4</v>
      </c>
      <c r="AL17" s="1">
        <v>8.7538272119228576E-4</v>
      </c>
      <c r="AM17" s="1">
        <v>1.3528745662676287E-3</v>
      </c>
      <c r="AN17" s="1">
        <v>3.1625956894583993E-4</v>
      </c>
      <c r="AO17" s="1">
        <v>9.3231922858894232E-5</v>
      </c>
      <c r="AQ17" s="29">
        <v>6.8411066526735623E-3</v>
      </c>
    </row>
    <row r="18" spans="1:43">
      <c r="A18" s="3" t="s">
        <v>22</v>
      </c>
      <c r="B18" s="1">
        <v>6.9616768595448476E-4</v>
      </c>
      <c r="C18" s="1">
        <v>5.9507379224666378E-4</v>
      </c>
      <c r="D18" s="1">
        <v>3.3059800534431373E-4</v>
      </c>
      <c r="E18" s="1">
        <v>2.7532311870129083E-4</v>
      </c>
      <c r="F18" s="1">
        <v>8.5421898858020989E-4</v>
      </c>
      <c r="G18" s="1">
        <v>3.2902881245795183E-3</v>
      </c>
      <c r="H18" s="1">
        <v>1.2762749419932512E-3</v>
      </c>
      <c r="I18" s="1">
        <v>9.6387220492674382E-4</v>
      </c>
      <c r="J18" s="1">
        <v>6.5234441984424413E-4</v>
      </c>
      <c r="K18" s="1">
        <v>6.9690063273172506E-4</v>
      </c>
      <c r="L18" s="1">
        <v>5.9832738807709754E-4</v>
      </c>
      <c r="M18" s="1">
        <v>4.6803944148972619E-4</v>
      </c>
      <c r="N18" s="1">
        <v>7.1365218840322266E-4</v>
      </c>
      <c r="O18" s="1">
        <v>6.0866409349153599E-4</v>
      </c>
      <c r="P18" s="1">
        <v>2.4770668156257639E-4</v>
      </c>
      <c r="Q18" s="1">
        <v>1.1186650702318828E-3</v>
      </c>
      <c r="R18" s="1">
        <v>1.1662151678796557E-3</v>
      </c>
      <c r="S18" s="1">
        <v>1.4532225936580287E-5</v>
      </c>
      <c r="T18" s="1">
        <v>5.5075845630400276E-4</v>
      </c>
      <c r="U18" s="1">
        <v>1.8479068229039245E-3</v>
      </c>
      <c r="V18" s="1">
        <v>1.1077263602975774E-3</v>
      </c>
      <c r="W18" s="1">
        <v>1.004626709619751E-3</v>
      </c>
      <c r="X18" s="1">
        <v>1.1894510204531094E-4</v>
      </c>
      <c r="Y18" s="1">
        <v>6.9808204069631583E-4</v>
      </c>
      <c r="Z18" s="1">
        <v>5.203280574546268E-4</v>
      </c>
      <c r="AA18" s="1">
        <v>4.2744246116215614E-4</v>
      </c>
      <c r="AB18" s="1">
        <v>6.1204910410547005E-4</v>
      </c>
      <c r="AC18" s="1">
        <v>3.9430895220341102E-4</v>
      </c>
      <c r="AD18" s="1">
        <v>3.3874459798296131E-4</v>
      </c>
      <c r="AE18" s="1">
        <v>6.7364753430272954E-4</v>
      </c>
      <c r="AF18" s="1">
        <v>5.3625065856270301E-4</v>
      </c>
      <c r="AG18" s="1">
        <v>6.8460221247942411E-4</v>
      </c>
      <c r="AH18" s="1">
        <v>1.0754731752731774E-3</v>
      </c>
      <c r="AI18" s="1">
        <v>1.0042099258483041E-3</v>
      </c>
      <c r="AJ18" s="1">
        <v>5.7650694743270625E-4</v>
      </c>
      <c r="AK18" s="1">
        <v>3.0055836225516784E-4</v>
      </c>
      <c r="AL18" s="1">
        <v>5.3173577723817744E-4</v>
      </c>
      <c r="AM18" s="1">
        <v>1.1991263125233141E-3</v>
      </c>
      <c r="AN18" s="1">
        <v>6.2111298093691465E-4</v>
      </c>
      <c r="AO18" s="1">
        <v>6.4784078722294515E-4</v>
      </c>
      <c r="AQ18" s="29">
        <v>7.0863294140865044E-3</v>
      </c>
    </row>
    <row r="19" spans="1:43">
      <c r="A19" s="3" t="s">
        <v>23</v>
      </c>
      <c r="B19" s="1">
        <v>8.8762281598092651E-4</v>
      </c>
      <c r="C19" s="1">
        <v>7.582434568814266E-4</v>
      </c>
      <c r="D19" s="1">
        <v>1.396888048381884E-3</v>
      </c>
      <c r="E19" s="1">
        <v>1.483976544394623E-3</v>
      </c>
      <c r="F19" s="1">
        <v>1.1552377510777472E-3</v>
      </c>
      <c r="G19" s="1">
        <v>1.2762749419932512E-3</v>
      </c>
      <c r="H19" s="1">
        <v>8.9640850068638377E-3</v>
      </c>
      <c r="I19" s="1">
        <v>1.1831743912991009E-3</v>
      </c>
      <c r="J19" s="1">
        <v>6.5904622877837726E-4</v>
      </c>
      <c r="K19" s="1">
        <v>1.0431641557952184E-3</v>
      </c>
      <c r="L19" s="1">
        <v>7.3742116942594814E-4</v>
      </c>
      <c r="M19" s="1">
        <v>9.9572927771306185E-4</v>
      </c>
      <c r="N19" s="1">
        <v>1.0840552927530139E-3</v>
      </c>
      <c r="O19" s="1">
        <v>8.2901820585390309E-4</v>
      </c>
      <c r="P19" s="1">
        <v>1.8438970850008459E-3</v>
      </c>
      <c r="Q19" s="1">
        <v>1.2510642152365947E-3</v>
      </c>
      <c r="R19" s="1">
        <v>1.2784091219470235E-3</v>
      </c>
      <c r="S19" s="1">
        <v>6.3533221105389328E-4</v>
      </c>
      <c r="T19" s="1">
        <v>1.146798168535388E-3</v>
      </c>
      <c r="U19" s="1">
        <v>2.2263444898168515E-3</v>
      </c>
      <c r="V19" s="1">
        <v>1.0572685371524385E-3</v>
      </c>
      <c r="W19" s="1">
        <v>1.1307901616492209E-3</v>
      </c>
      <c r="X19" s="1">
        <v>7.1538690748910267E-4</v>
      </c>
      <c r="Y19" s="1">
        <v>2.0365015028511279E-3</v>
      </c>
      <c r="Z19" s="1">
        <v>2.0438073296286792E-5</v>
      </c>
      <c r="AA19" s="1">
        <v>9.9606399532928811E-4</v>
      </c>
      <c r="AB19" s="1">
        <v>7.5927542700048002E-4</v>
      </c>
      <c r="AC19" s="1">
        <v>1.8305906614542457E-4</v>
      </c>
      <c r="AD19" s="1">
        <v>4.1573443703018076E-5</v>
      </c>
      <c r="AE19" s="1">
        <v>5.4859702970208991E-4</v>
      </c>
      <c r="AF19" s="1">
        <v>2.7020292642261396E-4</v>
      </c>
      <c r="AG19" s="1">
        <v>7.184527213380833E-4</v>
      </c>
      <c r="AH19" s="1">
        <v>6.3501921960452468E-4</v>
      </c>
      <c r="AI19" s="1">
        <v>3.8411822855198346E-4</v>
      </c>
      <c r="AJ19" s="1">
        <v>1.83785766919502E-3</v>
      </c>
      <c r="AK19" s="1">
        <v>4.1092344869523916E-4</v>
      </c>
      <c r="AL19" s="1">
        <v>1.136980184010999E-3</v>
      </c>
      <c r="AM19" s="1">
        <v>5.7674896671181756E-4</v>
      </c>
      <c r="AN19" s="1">
        <v>7.0451583296763905E-4</v>
      </c>
      <c r="AO19" s="1">
        <v>8.6723176426551361E-4</v>
      </c>
      <c r="AQ19" s="29">
        <v>8.7800119052534389E-3</v>
      </c>
    </row>
    <row r="20" spans="1:43">
      <c r="A20" s="3" t="s">
        <v>24</v>
      </c>
      <c r="B20" s="1">
        <v>4.2636282953441681E-4</v>
      </c>
      <c r="C20" s="1">
        <v>2.8256162001863682E-4</v>
      </c>
      <c r="D20" s="1">
        <v>2.2351218051171512E-4</v>
      </c>
      <c r="E20" s="1">
        <v>2.6278805952622403E-4</v>
      </c>
      <c r="F20" s="1">
        <v>3.2261367712786048E-4</v>
      </c>
      <c r="G20" s="1">
        <v>9.6387220492674382E-4</v>
      </c>
      <c r="H20" s="1">
        <v>1.1831743912991009E-3</v>
      </c>
      <c r="I20" s="1">
        <v>5.4733530102919169E-3</v>
      </c>
      <c r="J20" s="1">
        <v>6.4382504503957515E-4</v>
      </c>
      <c r="K20" s="1">
        <v>1.857214032988235E-4</v>
      </c>
      <c r="L20" s="1">
        <v>1.4500150148063327E-4</v>
      </c>
      <c r="M20" s="1">
        <v>9.3068635712751388E-4</v>
      </c>
      <c r="N20" s="1">
        <v>7.7329772383068532E-4</v>
      </c>
      <c r="O20" s="1">
        <v>7.7380095161996105E-4</v>
      </c>
      <c r="P20" s="1">
        <v>9.3421635464632801E-4</v>
      </c>
      <c r="Q20" s="1">
        <v>3.6314901569158963E-4</v>
      </c>
      <c r="R20" s="1">
        <v>1.5895076429561627E-3</v>
      </c>
      <c r="S20" s="1">
        <v>-2.8198123661070742E-4</v>
      </c>
      <c r="T20" s="1">
        <v>5.1253567332760531E-4</v>
      </c>
      <c r="U20" s="1">
        <v>3.1753264065500064E-3</v>
      </c>
      <c r="V20" s="1">
        <v>1.1703706316043435E-3</v>
      </c>
      <c r="W20" s="1">
        <v>1.1440260667821426E-3</v>
      </c>
      <c r="X20" s="1">
        <v>1.0007254146045363E-3</v>
      </c>
      <c r="Y20" s="1">
        <v>1.1106109631995207E-3</v>
      </c>
      <c r="Z20" s="1">
        <v>3.0128032223577383E-4</v>
      </c>
      <c r="AA20" s="1">
        <v>8.4340227822806628E-4</v>
      </c>
      <c r="AB20" s="1">
        <v>7.4478327379893161E-4</v>
      </c>
      <c r="AC20" s="1">
        <v>8.3383550104576662E-4</v>
      </c>
      <c r="AD20" s="1">
        <v>1.5978367303705858E-4</v>
      </c>
      <c r="AE20" s="1">
        <v>8.5892999390407886E-4</v>
      </c>
      <c r="AF20" s="1">
        <v>6.7614953315887568E-4</v>
      </c>
      <c r="AG20" s="1">
        <v>1.1125475583120673E-3</v>
      </c>
      <c r="AH20" s="1">
        <v>9.7504730585076804E-4</v>
      </c>
      <c r="AI20" s="1">
        <v>1.0636370610542926E-3</v>
      </c>
      <c r="AJ20" s="1">
        <v>7.1518167038133579E-4</v>
      </c>
      <c r="AK20" s="1">
        <v>3.4871995683923013E-4</v>
      </c>
      <c r="AL20" s="1">
        <v>6.5661917950251148E-4</v>
      </c>
      <c r="AM20" s="1">
        <v>6.095199382205633E-4</v>
      </c>
      <c r="AN20" s="1">
        <v>1.3432718004699673E-3</v>
      </c>
      <c r="AO20" s="1">
        <v>5.2354924851443353E-4</v>
      </c>
      <c r="AQ20" s="29">
        <v>6.6673098228519764E-3</v>
      </c>
    </row>
    <row r="21" spans="1:43">
      <c r="A21" s="3" t="s">
        <v>29</v>
      </c>
      <c r="B21" s="1">
        <v>7.0437078541922614E-4</v>
      </c>
      <c r="C21" s="1">
        <v>4.7118645936963712E-4</v>
      </c>
      <c r="D21" s="1">
        <v>2.8612904846335446E-4</v>
      </c>
      <c r="E21" s="1">
        <v>8.579218893430637E-4</v>
      </c>
      <c r="F21" s="1">
        <v>9.0117631363935055E-4</v>
      </c>
      <c r="G21" s="1">
        <v>6.5234441984424413E-4</v>
      </c>
      <c r="H21" s="1">
        <v>6.5904622877837726E-4</v>
      </c>
      <c r="I21" s="1">
        <v>6.4382504503957515E-4</v>
      </c>
      <c r="J21" s="1">
        <v>3.6042788399399993E-3</v>
      </c>
      <c r="K21" s="1">
        <v>1.3424168762094255E-3</v>
      </c>
      <c r="L21" s="1">
        <v>4.4719508310948067E-4</v>
      </c>
      <c r="M21" s="1">
        <v>1.6413159897607951E-4</v>
      </c>
      <c r="N21" s="1">
        <v>4.9186916063645241E-4</v>
      </c>
      <c r="O21" s="1">
        <v>6.7418551479350513E-4</v>
      </c>
      <c r="P21" s="1">
        <v>7.299337961866691E-4</v>
      </c>
      <c r="Q21" s="1">
        <v>5.3178997066390284E-4</v>
      </c>
      <c r="R21" s="1">
        <v>6.6856101511810482E-4</v>
      </c>
      <c r="S21" s="1">
        <v>3.0263489864985443E-4</v>
      </c>
      <c r="T21" s="1">
        <v>5.8103827595847794E-4</v>
      </c>
      <c r="U21" s="1">
        <v>1.8575305876425226E-3</v>
      </c>
      <c r="V21" s="1">
        <v>5.9229736174196146E-4</v>
      </c>
      <c r="W21" s="1">
        <v>4.3862126320646946E-4</v>
      </c>
      <c r="X21" s="1">
        <v>6.5192363524413084E-4</v>
      </c>
      <c r="Y21" s="1">
        <v>1.7066259450071575E-4</v>
      </c>
      <c r="Z21" s="1">
        <v>4.5969686669644161E-4</v>
      </c>
      <c r="AA21" s="1">
        <v>5.0656336006292871E-4</v>
      </c>
      <c r="AB21" s="1">
        <v>8.5741853484637605E-4</v>
      </c>
      <c r="AC21" s="1">
        <v>9.4853207070421568E-4</v>
      </c>
      <c r="AD21" s="1">
        <v>2.6591314056686885E-4</v>
      </c>
      <c r="AE21" s="1">
        <v>5.9659841016349848E-4</v>
      </c>
      <c r="AF21" s="1">
        <v>3.4605164265446317E-4</v>
      </c>
      <c r="AG21" s="1">
        <v>1.5279425477230893E-3</v>
      </c>
      <c r="AH21" s="1">
        <v>9.3892714061096763E-4</v>
      </c>
      <c r="AI21" s="1">
        <v>1.2507035913762894E-3</v>
      </c>
      <c r="AJ21" s="1">
        <v>1.3916254114995173E-3</v>
      </c>
      <c r="AK21" s="1">
        <v>9.7944526313889849E-4</v>
      </c>
      <c r="AL21" s="1">
        <v>9.3168110683853798E-4</v>
      </c>
      <c r="AM21" s="1">
        <v>1.2051754376261709E-3</v>
      </c>
      <c r="AN21" s="1">
        <v>8.4353322508304675E-4</v>
      </c>
      <c r="AO21" s="1">
        <v>4.1387769299299317E-4</v>
      </c>
      <c r="AQ21" s="29">
        <v>7.0344047816899534E-3</v>
      </c>
    </row>
    <row r="22" spans="1:43">
      <c r="A22" s="3" t="s">
        <v>30</v>
      </c>
      <c r="B22" s="1">
        <v>6.9931884658656169E-4</v>
      </c>
      <c r="C22" s="1">
        <v>9.3433790555954015E-4</v>
      </c>
      <c r="D22" s="1">
        <v>8.3652249541997699E-4</v>
      </c>
      <c r="E22" s="1">
        <v>1.4869214772216316E-3</v>
      </c>
      <c r="F22" s="1">
        <v>1.2545289876291481E-3</v>
      </c>
      <c r="G22" s="1">
        <v>6.9690063273172506E-4</v>
      </c>
      <c r="H22" s="1">
        <v>1.0431641557952184E-3</v>
      </c>
      <c r="I22" s="1">
        <v>1.857214032988235E-4</v>
      </c>
      <c r="J22" s="1">
        <v>1.3424168762094255E-3</v>
      </c>
      <c r="K22" s="1">
        <v>6.4475301889323567E-3</v>
      </c>
      <c r="L22" s="1">
        <v>5.1914321841029496E-4</v>
      </c>
      <c r="M22" s="1">
        <v>3.0933694175201183E-4</v>
      </c>
      <c r="N22" s="1">
        <v>4.3802365353615114E-4</v>
      </c>
      <c r="O22" s="1">
        <v>5.0223083674149781E-4</v>
      </c>
      <c r="P22" s="1">
        <v>1.1024274056624834E-3</v>
      </c>
      <c r="Q22" s="1">
        <v>1.805274647161288E-3</v>
      </c>
      <c r="R22" s="1">
        <v>3.9633433638862429E-4</v>
      </c>
      <c r="S22" s="1">
        <v>1.8364638576644267E-4</v>
      </c>
      <c r="T22" s="1">
        <v>4.2379478991637668E-4</v>
      </c>
      <c r="U22" s="1">
        <v>2.6599018668926333E-3</v>
      </c>
      <c r="V22" s="1">
        <v>3.1918442035769741E-4</v>
      </c>
      <c r="W22" s="1">
        <v>-9.0709717544701433E-5</v>
      </c>
      <c r="X22" s="1">
        <v>6.7798932721341906E-4</v>
      </c>
      <c r="Y22" s="1">
        <v>-2.2565110261808306E-4</v>
      </c>
      <c r="Z22" s="1">
        <v>3.4636539843931248E-4</v>
      </c>
      <c r="AA22" s="1">
        <v>7.7672700138438485E-4</v>
      </c>
      <c r="AB22" s="1">
        <v>7.7891772469326889E-4</v>
      </c>
      <c r="AC22" s="1">
        <v>7.6596123925547503E-4</v>
      </c>
      <c r="AD22" s="1">
        <v>3.4921689780946806E-4</v>
      </c>
      <c r="AE22" s="1">
        <v>2.5891778765945058E-4</v>
      </c>
      <c r="AF22" s="1">
        <v>5.0681383165500859E-4</v>
      </c>
      <c r="AG22" s="1">
        <v>1.3313413637155087E-3</v>
      </c>
      <c r="AH22" s="1">
        <v>1.8823159730126755E-3</v>
      </c>
      <c r="AI22" s="1">
        <v>1.1887491408958699E-3</v>
      </c>
      <c r="AJ22" s="1">
        <v>2.3174800590775118E-3</v>
      </c>
      <c r="AK22" s="1">
        <v>1.3632355049410262E-3</v>
      </c>
      <c r="AL22" s="1">
        <v>1.2507015175943982E-3</v>
      </c>
      <c r="AM22" s="1">
        <v>9.2276877822284427E-4</v>
      </c>
      <c r="AN22" s="1">
        <v>3.7706973285503648E-4</v>
      </c>
      <c r="AO22" s="1">
        <v>1.1101582409017872E-3</v>
      </c>
      <c r="AQ22" s="29">
        <v>6.7345299155943585E-3</v>
      </c>
    </row>
    <row r="23" spans="1:43">
      <c r="A23" s="3" t="s">
        <v>32</v>
      </c>
      <c r="B23" s="1">
        <v>2.9306656814309206E-4</v>
      </c>
      <c r="C23" s="1">
        <v>3.1984010690274696E-4</v>
      </c>
      <c r="D23" s="1">
        <v>4.6365714571102476E-4</v>
      </c>
      <c r="E23" s="1">
        <v>4.8192421846679837E-4</v>
      </c>
      <c r="F23" s="1">
        <v>5.9625015233518873E-4</v>
      </c>
      <c r="G23" s="1">
        <v>5.9832738807709754E-4</v>
      </c>
      <c r="H23" s="1">
        <v>7.3742116942594814E-4</v>
      </c>
      <c r="I23" s="1">
        <v>1.4500150148063327E-4</v>
      </c>
      <c r="J23" s="1">
        <v>4.4719508310948067E-4</v>
      </c>
      <c r="K23" s="1">
        <v>5.1914321841029496E-4</v>
      </c>
      <c r="L23" s="1">
        <v>8.9553439124222343E-3</v>
      </c>
      <c r="M23" s="1">
        <v>4.5660877259653444E-4</v>
      </c>
      <c r="N23" s="1">
        <v>1.8506042187927749E-4</v>
      </c>
      <c r="O23" s="1">
        <v>2.0800863235700303E-4</v>
      </c>
      <c r="P23" s="1">
        <v>1.042919491318984E-3</v>
      </c>
      <c r="Q23" s="1">
        <v>5.6734799582834605E-4</v>
      </c>
      <c r="R23" s="1">
        <v>2.0489318698430543E-3</v>
      </c>
      <c r="S23" s="1">
        <v>-4.4538454105652917E-4</v>
      </c>
      <c r="T23" s="1">
        <v>1.4927360419070488E-4</v>
      </c>
      <c r="U23" s="1">
        <v>2.0321937960476118E-3</v>
      </c>
      <c r="V23" s="1">
        <v>1.055822288447382E-3</v>
      </c>
      <c r="W23" s="1">
        <v>5.5615998207319964E-4</v>
      </c>
      <c r="X23" s="1">
        <v>-1.9648404265462763E-4</v>
      </c>
      <c r="Y23" s="1">
        <v>1.5854532930491257E-3</v>
      </c>
      <c r="Z23" s="1">
        <v>-5.8276377774268973E-4</v>
      </c>
      <c r="AA23" s="1">
        <v>3.5167535605539038E-4</v>
      </c>
      <c r="AB23" s="1">
        <v>1.5714043943772344E-3</v>
      </c>
      <c r="AC23" s="1">
        <v>-7.4362754876611291E-4</v>
      </c>
      <c r="AD23" s="1">
        <v>1.5560112110763187E-4</v>
      </c>
      <c r="AE23" s="1">
        <v>6.9630265217603203E-4</v>
      </c>
      <c r="AF23" s="1">
        <v>8.7085606426100969E-5</v>
      </c>
      <c r="AG23" s="1">
        <v>3.2404522756854931E-4</v>
      </c>
      <c r="AH23" s="1">
        <v>8.9261353274832213E-4</v>
      </c>
      <c r="AI23" s="1">
        <v>3.5965100500000459E-4</v>
      </c>
      <c r="AJ23" s="1">
        <v>-4.0732017391503577E-4</v>
      </c>
      <c r="AK23" s="1">
        <v>-1.5597263298422723E-4</v>
      </c>
      <c r="AL23" s="1">
        <v>-2.3903316797359894E-4</v>
      </c>
      <c r="AM23" s="1">
        <v>4.2032828391762241E-4</v>
      </c>
      <c r="AN23" s="1">
        <v>5.3317964029869075E-4</v>
      </c>
      <c r="AO23" s="1">
        <v>-1.0433458369254495E-3</v>
      </c>
      <c r="AQ23" s="29">
        <v>4.2283719854556067E-3</v>
      </c>
    </row>
    <row r="24" spans="1:43">
      <c r="A24" s="3" t="s">
        <v>41</v>
      </c>
      <c r="B24" s="1">
        <v>2.3800407646842174E-5</v>
      </c>
      <c r="C24" s="1">
        <v>3.1199649736346648E-4</v>
      </c>
      <c r="D24" s="1">
        <v>3.4492575011773539E-4</v>
      </c>
      <c r="E24" s="1">
        <v>1.0027194192483262E-3</v>
      </c>
      <c r="F24" s="1">
        <v>5.041017308199772E-4</v>
      </c>
      <c r="G24" s="1">
        <v>4.6803944148972619E-4</v>
      </c>
      <c r="H24" s="1">
        <v>9.9572927771306185E-4</v>
      </c>
      <c r="I24" s="1">
        <v>9.3068635712751388E-4</v>
      </c>
      <c r="J24" s="1">
        <v>1.6413159897607951E-4</v>
      </c>
      <c r="K24" s="1">
        <v>3.0933694175201183E-4</v>
      </c>
      <c r="L24" s="1">
        <v>4.5660877259653444E-4</v>
      </c>
      <c r="M24" s="1">
        <v>4.8319003739602934E-3</v>
      </c>
      <c r="N24" s="1">
        <v>5.3697093921952052E-4</v>
      </c>
      <c r="O24" s="1">
        <v>1.3105185726982888E-4</v>
      </c>
      <c r="P24" s="1">
        <v>4.9201820231513469E-4</v>
      </c>
      <c r="Q24" s="1">
        <v>-7.6070352984065393E-4</v>
      </c>
      <c r="R24" s="1">
        <v>7.9793000843290344E-4</v>
      </c>
      <c r="S24" s="1">
        <v>-2.0183703401026453E-4</v>
      </c>
      <c r="T24" s="1">
        <v>3.2005695730306905E-4</v>
      </c>
      <c r="U24" s="1">
        <v>1.3044229022734835E-3</v>
      </c>
      <c r="V24" s="1">
        <v>3.5294061640022415E-4</v>
      </c>
      <c r="W24" s="1">
        <v>4.0805753844107696E-4</v>
      </c>
      <c r="X24" s="1">
        <v>3.036574581699374E-5</v>
      </c>
      <c r="Y24" s="1">
        <v>6.441666960194329E-4</v>
      </c>
      <c r="Z24" s="1">
        <v>-2.881248829621889E-5</v>
      </c>
      <c r="AA24" s="1">
        <v>4.059369531803282E-4</v>
      </c>
      <c r="AB24" s="1">
        <v>1.1978722799428071E-4</v>
      </c>
      <c r="AC24" s="1">
        <v>-6.0500362071223227E-4</v>
      </c>
      <c r="AD24" s="1">
        <v>1.3024470222573943E-4</v>
      </c>
      <c r="AE24" s="1">
        <v>-5.9278356893008165E-5</v>
      </c>
      <c r="AF24" s="1">
        <v>2.8325144492089612E-4</v>
      </c>
      <c r="AG24" s="1">
        <v>-2.1204470193434267E-4</v>
      </c>
      <c r="AH24" s="1">
        <v>3.2096341180313978E-4</v>
      </c>
      <c r="AI24" s="1">
        <v>1.3418899904274752E-4</v>
      </c>
      <c r="AJ24" s="1">
        <v>-9.6448311241650734E-5</v>
      </c>
      <c r="AK24" s="1">
        <v>6.6926058813162147E-5</v>
      </c>
      <c r="AL24" s="1">
        <v>2.2705246196190221E-4</v>
      </c>
      <c r="AM24" s="1">
        <v>3.8399540253992965E-4</v>
      </c>
      <c r="AN24" s="1">
        <v>2.1435903406871458E-4</v>
      </c>
      <c r="AO24" s="1">
        <v>1.9646940582599858E-5</v>
      </c>
      <c r="AQ24" s="29">
        <v>3.746734994563791E-3</v>
      </c>
    </row>
    <row r="25" spans="1:43">
      <c r="A25" s="3" t="s">
        <v>43</v>
      </c>
      <c r="B25" s="1">
        <v>6.2961964650041927E-4</v>
      </c>
      <c r="C25" s="1">
        <v>2.3430572218863929E-4</v>
      </c>
      <c r="D25" s="1">
        <v>4.9751933646717073E-4</v>
      </c>
      <c r="E25" s="1">
        <v>6.6117704249611599E-4</v>
      </c>
      <c r="F25" s="1">
        <v>5.2160647792941098E-4</v>
      </c>
      <c r="G25" s="1">
        <v>7.1365218840322266E-4</v>
      </c>
      <c r="H25" s="1">
        <v>1.0840552927530139E-3</v>
      </c>
      <c r="I25" s="1">
        <v>7.7329772383068532E-4</v>
      </c>
      <c r="J25" s="1">
        <v>4.9186916063645241E-4</v>
      </c>
      <c r="K25" s="1">
        <v>4.3802365353615114E-4</v>
      </c>
      <c r="L25" s="1">
        <v>1.8506042187927749E-4</v>
      </c>
      <c r="M25" s="1">
        <v>5.3697093921952052E-4</v>
      </c>
      <c r="N25" s="1">
        <v>2.3098277956324635E-3</v>
      </c>
      <c r="O25" s="1">
        <v>6.5710826672733412E-4</v>
      </c>
      <c r="P25" s="1">
        <v>1.0834774593664973E-3</v>
      </c>
      <c r="Q25" s="1">
        <v>7.7200849144007757E-4</v>
      </c>
      <c r="R25" s="1">
        <v>1.650946986698215E-3</v>
      </c>
      <c r="S25" s="1">
        <v>7.0779589987763941E-4</v>
      </c>
      <c r="T25" s="1">
        <v>8.3978535174500043E-4</v>
      </c>
      <c r="U25" s="1">
        <v>1.6208902886325626E-3</v>
      </c>
      <c r="V25" s="1">
        <v>6.0992860774423745E-4</v>
      </c>
      <c r="W25" s="1">
        <v>1.0663211168773189E-3</v>
      </c>
      <c r="X25" s="1">
        <v>8.8092970249369757E-4</v>
      </c>
      <c r="Y25" s="1">
        <v>1.1700442351319658E-3</v>
      </c>
      <c r="Z25" s="1">
        <v>4.5044054541501754E-4</v>
      </c>
      <c r="AA25" s="1">
        <v>6.3794954898053233E-4</v>
      </c>
      <c r="AB25" s="1">
        <v>2.8565396034882723E-4</v>
      </c>
      <c r="AC25" s="1">
        <v>5.4603557178187982E-4</v>
      </c>
      <c r="AD25" s="1">
        <v>1.9858220496389499E-4</v>
      </c>
      <c r="AE25" s="1">
        <v>5.7588259063531702E-4</v>
      </c>
      <c r="AF25" s="1">
        <v>2.7753247835980677E-4</v>
      </c>
      <c r="AG25" s="1">
        <v>6.3844278555142276E-4</v>
      </c>
      <c r="AH25" s="1">
        <v>6.259409681731383E-4</v>
      </c>
      <c r="AI25" s="1">
        <v>9.2121740879837601E-4</v>
      </c>
      <c r="AJ25" s="1">
        <v>8.2367390354469851E-4</v>
      </c>
      <c r="AK25" s="1">
        <v>4.0384148440291274E-4</v>
      </c>
      <c r="AL25" s="1">
        <v>6.7335255973019351E-4</v>
      </c>
      <c r="AM25" s="1">
        <v>1.6775954417811803E-3</v>
      </c>
      <c r="AN25" s="1">
        <v>7.6546958737012775E-4</v>
      </c>
      <c r="AO25" s="1">
        <v>4.2057924038003079E-4</v>
      </c>
      <c r="AQ25" s="29">
        <v>1.0864117195493711E-2</v>
      </c>
    </row>
    <row r="26" spans="1:43">
      <c r="A26" s="3" t="s">
        <v>45</v>
      </c>
      <c r="B26" s="1">
        <v>7.1430492748232404E-4</v>
      </c>
      <c r="C26" s="1">
        <v>2.5636389602551741E-4</v>
      </c>
      <c r="D26" s="1">
        <v>1.3659161290939967E-4</v>
      </c>
      <c r="E26" s="1">
        <v>6.4215903577139832E-4</v>
      </c>
      <c r="F26" s="1">
        <v>5.903329166761645E-4</v>
      </c>
      <c r="G26" s="1">
        <v>6.0866409349153599E-4</v>
      </c>
      <c r="H26" s="1">
        <v>8.2901820585390309E-4</v>
      </c>
      <c r="I26" s="1">
        <v>7.7380095161996105E-4</v>
      </c>
      <c r="J26" s="1">
        <v>6.7418551479350513E-4</v>
      </c>
      <c r="K26" s="1">
        <v>5.0223083674149781E-4</v>
      </c>
      <c r="L26" s="1">
        <v>2.0800863235700303E-4</v>
      </c>
      <c r="M26" s="1">
        <v>1.3105185726982888E-4</v>
      </c>
      <c r="N26" s="1">
        <v>6.5710826672733412E-4</v>
      </c>
      <c r="O26" s="1">
        <v>3.1210866711348173E-3</v>
      </c>
      <c r="P26" s="1">
        <v>1.2287774865010668E-3</v>
      </c>
      <c r="Q26" s="1">
        <v>8.5936645744176966E-4</v>
      </c>
      <c r="R26" s="1">
        <v>1.2182977346160029E-3</v>
      </c>
      <c r="S26" s="1">
        <v>4.7218258103420336E-4</v>
      </c>
      <c r="T26" s="1">
        <v>9.5023731010256249E-4</v>
      </c>
      <c r="U26" s="1">
        <v>1.5039111137789417E-3</v>
      </c>
      <c r="V26" s="1">
        <v>7.557434101221652E-4</v>
      </c>
      <c r="W26" s="1">
        <v>7.868166199245265E-4</v>
      </c>
      <c r="X26" s="1">
        <v>9.9038891042058314E-4</v>
      </c>
      <c r="Y26" s="1">
        <v>4.7969446999160354E-4</v>
      </c>
      <c r="Z26" s="1">
        <v>4.5452706289088161E-4</v>
      </c>
      <c r="AA26" s="1">
        <v>8.5534929419722608E-4</v>
      </c>
      <c r="AB26" s="1">
        <v>5.267263447918777E-4</v>
      </c>
      <c r="AC26" s="1">
        <v>1.2879671033180112E-3</v>
      </c>
      <c r="AD26" s="1">
        <v>2.8410062638312649E-4</v>
      </c>
      <c r="AE26" s="1">
        <v>1.0275404987221946E-3</v>
      </c>
      <c r="AF26" s="1">
        <v>2.5096727113799064E-4</v>
      </c>
      <c r="AG26" s="1">
        <v>9.0135619942522901E-4</v>
      </c>
      <c r="AH26" s="1">
        <v>6.9134785460571912E-4</v>
      </c>
      <c r="AI26" s="1">
        <v>1.2444658993737776E-3</v>
      </c>
      <c r="AJ26" s="1">
        <v>1.2728831320562546E-3</v>
      </c>
      <c r="AK26" s="1">
        <v>8.4815054411807199E-4</v>
      </c>
      <c r="AL26" s="1">
        <v>5.836726698904526E-4</v>
      </c>
      <c r="AM26" s="1">
        <v>6.6166352743178374E-4</v>
      </c>
      <c r="AN26" s="1">
        <v>9.8968254519439481E-4</v>
      </c>
      <c r="AO26" s="1">
        <v>3.2910887737195145E-4</v>
      </c>
      <c r="AQ26" s="29">
        <v>6.7012310753291329E-3</v>
      </c>
    </row>
    <row r="27" spans="1:43">
      <c r="A27" s="3" t="s">
        <v>47</v>
      </c>
      <c r="B27" s="1">
        <v>7.6229219543263126E-4</v>
      </c>
      <c r="C27" s="1">
        <v>2.9449988930603874E-4</v>
      </c>
      <c r="D27" s="1">
        <v>5.6827808873704719E-4</v>
      </c>
      <c r="E27" s="1">
        <v>8.1887667424419017E-4</v>
      </c>
      <c r="F27" s="1">
        <v>4.7703320101979524E-4</v>
      </c>
      <c r="G27" s="1">
        <v>2.4770668156257639E-4</v>
      </c>
      <c r="H27" s="1">
        <v>1.8438970850008459E-3</v>
      </c>
      <c r="I27" s="1">
        <v>9.3421635464632801E-4</v>
      </c>
      <c r="J27" s="1">
        <v>7.299337961866691E-4</v>
      </c>
      <c r="K27" s="1">
        <v>1.1024274056624834E-3</v>
      </c>
      <c r="L27" s="1">
        <v>1.042919491318984E-3</v>
      </c>
      <c r="M27" s="1">
        <v>4.9201820231513469E-4</v>
      </c>
      <c r="N27" s="1">
        <v>1.0834774593664973E-3</v>
      </c>
      <c r="O27" s="1">
        <v>1.2287774865010668E-3</v>
      </c>
      <c r="P27" s="1">
        <v>9.3667336771177234E-3</v>
      </c>
      <c r="Q27" s="1">
        <v>1.649481058236042E-3</v>
      </c>
      <c r="R27" s="1">
        <v>2.3689592930899008E-3</v>
      </c>
      <c r="S27" s="1">
        <v>1.1179460546017609E-3</v>
      </c>
      <c r="T27" s="1">
        <v>1.5981571611963434E-3</v>
      </c>
      <c r="U27" s="1">
        <v>2.3421893109129999E-3</v>
      </c>
      <c r="V27" s="1">
        <v>8.9615246685833692E-4</v>
      </c>
      <c r="W27" s="1">
        <v>1.5957534407142276E-3</v>
      </c>
      <c r="X27" s="1">
        <v>1.5603747273755845E-3</v>
      </c>
      <c r="Y27" s="1">
        <v>1.6981993357694952E-3</v>
      </c>
      <c r="Z27" s="1">
        <v>9.9090060625366464E-5</v>
      </c>
      <c r="AA27" s="1">
        <v>1.4266897681264026E-3</v>
      </c>
      <c r="AB27" s="1">
        <v>7.2972652705446592E-4</v>
      </c>
      <c r="AC27" s="1">
        <v>1.3990443619598728E-3</v>
      </c>
      <c r="AD27" s="1">
        <v>1.336279271600348E-4</v>
      </c>
      <c r="AE27" s="1">
        <v>1.0375746908138207E-3</v>
      </c>
      <c r="AF27" s="1">
        <v>2.4230174685633659E-4</v>
      </c>
      <c r="AG27" s="1">
        <v>8.7431971759320537E-4</v>
      </c>
      <c r="AH27" s="1">
        <v>-3.6217183983208685E-4</v>
      </c>
      <c r="AI27" s="1">
        <v>8.8848396941663401E-4</v>
      </c>
      <c r="AJ27" s="1">
        <v>1.6529089013920947E-3</v>
      </c>
      <c r="AK27" s="1">
        <v>1.5166041740139454E-3</v>
      </c>
      <c r="AL27" s="1">
        <v>6.6270425668288032E-4</v>
      </c>
      <c r="AM27" s="1">
        <v>7.520033469248762E-4</v>
      </c>
      <c r="AN27" s="1">
        <v>1.1039859333355562E-3</v>
      </c>
      <c r="AO27" s="1">
        <v>9.3884350519493338E-4</v>
      </c>
      <c r="AQ27" s="29">
        <v>9.2587393264088377E-3</v>
      </c>
    </row>
    <row r="28" spans="1:43">
      <c r="A28" s="3" t="s">
        <v>50</v>
      </c>
      <c r="B28" s="1">
        <v>1.4319581277921845E-3</v>
      </c>
      <c r="C28" s="1">
        <v>9.4686033420611222E-4</v>
      </c>
      <c r="D28" s="1">
        <v>1.1812966839536336E-3</v>
      </c>
      <c r="E28" s="1">
        <v>-4.7890454243656858E-4</v>
      </c>
      <c r="F28" s="1">
        <v>1.2464422482262448E-3</v>
      </c>
      <c r="G28" s="1">
        <v>1.1186650702318828E-3</v>
      </c>
      <c r="H28" s="1">
        <v>1.2510642152365947E-3</v>
      </c>
      <c r="I28" s="1">
        <v>3.6314901569158963E-4</v>
      </c>
      <c r="J28" s="1">
        <v>5.3178997066390284E-4</v>
      </c>
      <c r="K28" s="1">
        <v>1.805274647161288E-3</v>
      </c>
      <c r="L28" s="1">
        <v>5.6734799582834605E-4</v>
      </c>
      <c r="M28" s="1">
        <v>-7.6070352984065393E-4</v>
      </c>
      <c r="N28" s="1">
        <v>7.7200849144007757E-4</v>
      </c>
      <c r="O28" s="1">
        <v>8.5936645744176966E-4</v>
      </c>
      <c r="P28" s="1">
        <v>1.649481058236042E-3</v>
      </c>
      <c r="Q28" s="1">
        <v>1.792080605705024E-2</v>
      </c>
      <c r="R28" s="1">
        <v>7.553424178997351E-4</v>
      </c>
      <c r="S28" s="1">
        <v>1.0355295385764212E-3</v>
      </c>
      <c r="T28" s="1">
        <v>7.3457274159183608E-4</v>
      </c>
      <c r="U28" s="1">
        <v>1.5320433758368244E-3</v>
      </c>
      <c r="V28" s="1">
        <v>6.0467397714334823E-5</v>
      </c>
      <c r="W28" s="1">
        <v>3.5401221388010971E-4</v>
      </c>
      <c r="X28" s="1">
        <v>-6.0821213471572708E-4</v>
      </c>
      <c r="Y28" s="1">
        <v>-2.0594847708086906E-3</v>
      </c>
      <c r="Z28" s="1">
        <v>2.3628969533170201E-4</v>
      </c>
      <c r="AA28" s="1">
        <v>4.3329085639370895E-4</v>
      </c>
      <c r="AB28" s="1">
        <v>-5.370136986103121E-4</v>
      </c>
      <c r="AC28" s="1">
        <v>-1.552833728584096E-3</v>
      </c>
      <c r="AD28" s="1">
        <v>5.8604537670574992E-4</v>
      </c>
      <c r="AE28" s="1">
        <v>4.9842407603143768E-4</v>
      </c>
      <c r="AF28" s="1">
        <v>6.2414046892207231E-4</v>
      </c>
      <c r="AG28" s="1">
        <v>1.3996668723243201E-3</v>
      </c>
      <c r="AH28" s="1">
        <v>2.631281055309527E-3</v>
      </c>
      <c r="AI28" s="1">
        <v>7.6044363670471128E-4</v>
      </c>
      <c r="AJ28" s="1">
        <v>4.1453008916623161E-4</v>
      </c>
      <c r="AK28" s="1">
        <v>8.5168372935146269E-4</v>
      </c>
      <c r="AL28" s="1">
        <v>3.0279058083878567E-5</v>
      </c>
      <c r="AM28" s="1">
        <v>2.5880346575003614E-4</v>
      </c>
      <c r="AN28" s="1">
        <v>7.8702877353413697E-4</v>
      </c>
      <c r="AO28" s="1">
        <v>1.020084973537763E-4</v>
      </c>
      <c r="AQ28" s="29">
        <v>6.4733224419159545E-3</v>
      </c>
    </row>
    <row r="29" spans="1:43">
      <c r="A29" s="3" t="s">
        <v>52</v>
      </c>
      <c r="B29" s="1">
        <v>7.1917099952959645E-4</v>
      </c>
      <c r="C29" s="1">
        <v>1.5409485980169731E-4</v>
      </c>
      <c r="D29" s="1">
        <v>2.2059606762159857E-5</v>
      </c>
      <c r="E29" s="1">
        <v>1.3188813071249729E-3</v>
      </c>
      <c r="F29" s="1">
        <v>5.6604475288255494E-4</v>
      </c>
      <c r="G29" s="1">
        <v>1.1662151678796557E-3</v>
      </c>
      <c r="H29" s="1">
        <v>1.2784091219470235E-3</v>
      </c>
      <c r="I29" s="1">
        <v>1.5895076429561627E-3</v>
      </c>
      <c r="J29" s="1">
        <v>6.6856101511810482E-4</v>
      </c>
      <c r="K29" s="1">
        <v>3.9633433638862429E-4</v>
      </c>
      <c r="L29" s="1">
        <v>2.0489318698430543E-3</v>
      </c>
      <c r="M29" s="1">
        <v>7.9793000843290344E-4</v>
      </c>
      <c r="N29" s="1">
        <v>1.650946986698215E-3</v>
      </c>
      <c r="O29" s="1">
        <v>1.2182977346160029E-3</v>
      </c>
      <c r="P29" s="1">
        <v>2.3689592930899008E-3</v>
      </c>
      <c r="Q29" s="1">
        <v>7.553424178997351E-4</v>
      </c>
      <c r="R29" s="1">
        <v>1.4298404913751469E-2</v>
      </c>
      <c r="S29" s="1">
        <v>1.1692122671415875E-3</v>
      </c>
      <c r="T29" s="1">
        <v>1.7965286035157831E-3</v>
      </c>
      <c r="U29" s="1">
        <v>3.4914035854294186E-3</v>
      </c>
      <c r="V29" s="1">
        <v>1.6957879695906183E-3</v>
      </c>
      <c r="W29" s="1">
        <v>1.827820065440075E-3</v>
      </c>
      <c r="X29" s="1">
        <v>1.5262215578121284E-3</v>
      </c>
      <c r="Y29" s="1">
        <v>1.7947440686156234E-3</v>
      </c>
      <c r="Z29" s="1">
        <v>1.4277434585833817E-4</v>
      </c>
      <c r="AA29" s="1">
        <v>1.5101594372479638E-3</v>
      </c>
      <c r="AB29" s="1">
        <v>1.5916856819604729E-3</v>
      </c>
      <c r="AC29" s="1">
        <v>1.6450946601077924E-3</v>
      </c>
      <c r="AD29" s="1">
        <v>-3.8926859567251022E-5</v>
      </c>
      <c r="AE29" s="1">
        <v>1.4377512228619324E-3</v>
      </c>
      <c r="AF29" s="1">
        <v>3.933632310042629E-4</v>
      </c>
      <c r="AG29" s="1">
        <v>1.5774058768350712E-3</v>
      </c>
      <c r="AH29" s="1">
        <v>-3.1113984504676823E-5</v>
      </c>
      <c r="AI29" s="1">
        <v>2.6441123360953452E-3</v>
      </c>
      <c r="AJ29" s="1">
        <v>1.0515944497863836E-3</v>
      </c>
      <c r="AK29" s="1">
        <v>6.3700576504195573E-4</v>
      </c>
      <c r="AL29" s="1">
        <v>6.6760168332158961E-4</v>
      </c>
      <c r="AM29" s="1">
        <v>2.683521483453332E-3</v>
      </c>
      <c r="AN29" s="1">
        <v>2.2057534281955705E-3</v>
      </c>
      <c r="AO29" s="1">
        <v>5.1031197998277348E-4</v>
      </c>
      <c r="AQ29" s="29">
        <v>1.9006885797402635E-2</v>
      </c>
    </row>
    <row r="30" spans="1:43">
      <c r="A30" s="3" t="s">
        <v>53</v>
      </c>
      <c r="B30" s="1">
        <v>6.7033686985248811E-4</v>
      </c>
      <c r="C30" s="1">
        <v>1.2955837479866961E-4</v>
      </c>
      <c r="D30" s="1">
        <v>8.1484064978290603E-4</v>
      </c>
      <c r="E30" s="1">
        <v>5.3064289611043684E-4</v>
      </c>
      <c r="F30" s="1">
        <v>5.0391970931184572E-4</v>
      </c>
      <c r="G30" s="1">
        <v>1.4532225936580287E-5</v>
      </c>
      <c r="H30" s="1">
        <v>6.3533221105389328E-4</v>
      </c>
      <c r="I30" s="1">
        <v>-2.8198123661070742E-4</v>
      </c>
      <c r="J30" s="1">
        <v>3.0263489864985443E-4</v>
      </c>
      <c r="K30" s="1">
        <v>1.8364638576644267E-4</v>
      </c>
      <c r="L30" s="1">
        <v>-4.4538454105652917E-4</v>
      </c>
      <c r="M30" s="1">
        <v>-2.0183703401026453E-4</v>
      </c>
      <c r="N30" s="1">
        <v>7.0779589987763941E-4</v>
      </c>
      <c r="O30" s="1">
        <v>4.7218258103420336E-4</v>
      </c>
      <c r="P30" s="1">
        <v>1.1179460546017609E-3</v>
      </c>
      <c r="Q30" s="1">
        <v>1.0355295385764212E-3</v>
      </c>
      <c r="R30" s="1">
        <v>1.1692122671415875E-3</v>
      </c>
      <c r="S30" s="1">
        <v>5.4340767496654022E-3</v>
      </c>
      <c r="T30" s="1">
        <v>1.1650449949681954E-3</v>
      </c>
      <c r="U30" s="1">
        <v>-5.6009365272961819E-4</v>
      </c>
      <c r="V30" s="1">
        <v>3.126385937144982E-4</v>
      </c>
      <c r="W30" s="1">
        <v>5.0641030204925193E-4</v>
      </c>
      <c r="X30" s="1">
        <v>6.3872219902638E-4</v>
      </c>
      <c r="Y30" s="1">
        <v>8.270974517646572E-4</v>
      </c>
      <c r="Z30" s="1">
        <v>2.5136251559786804E-4</v>
      </c>
      <c r="AA30" s="1">
        <v>6.5796191066640913E-4</v>
      </c>
      <c r="AB30" s="1">
        <v>-3.7562954352292132E-4</v>
      </c>
      <c r="AC30" s="1">
        <v>5.2084309610423904E-4</v>
      </c>
      <c r="AD30" s="1">
        <v>-1.0211805155184345E-5</v>
      </c>
      <c r="AE30" s="1">
        <v>4.0523432663213082E-4</v>
      </c>
      <c r="AF30" s="1">
        <v>-3.5693553410002996E-5</v>
      </c>
      <c r="AG30" s="1">
        <v>5.6238271366906378E-4</v>
      </c>
      <c r="AH30" s="1">
        <v>3.8564717177934599E-4</v>
      </c>
      <c r="AI30" s="1">
        <v>4.1390017335701356E-4</v>
      </c>
      <c r="AJ30" s="1">
        <v>1.1337051511619222E-3</v>
      </c>
      <c r="AK30" s="1">
        <v>5.0829579241420475E-4</v>
      </c>
      <c r="AL30" s="1">
        <v>1.2054005550366041E-3</v>
      </c>
      <c r="AM30" s="1">
        <v>1.1636246187652355E-3</v>
      </c>
      <c r="AN30" s="1">
        <v>3.7081695359803923E-4</v>
      </c>
      <c r="AO30" s="1">
        <v>7.2387188689270181E-4</v>
      </c>
      <c r="AQ30" s="29">
        <v>6.6867668116594933E-3</v>
      </c>
    </row>
    <row r="31" spans="1:43">
      <c r="A31" s="3" t="s">
        <v>54</v>
      </c>
      <c r="B31" s="1">
        <v>6.8473923146519908E-4</v>
      </c>
      <c r="C31" s="1">
        <v>1.9804050733027834E-4</v>
      </c>
      <c r="D31" s="1">
        <v>3.5825236362635151E-4</v>
      </c>
      <c r="E31" s="1">
        <v>7.7540148607088666E-4</v>
      </c>
      <c r="F31" s="1">
        <v>7.4762330710255681E-4</v>
      </c>
      <c r="G31" s="1">
        <v>5.5075845630400276E-4</v>
      </c>
      <c r="H31" s="1">
        <v>1.146798168535388E-3</v>
      </c>
      <c r="I31" s="1">
        <v>5.1253567332760531E-4</v>
      </c>
      <c r="J31" s="1">
        <v>5.8103827595847794E-4</v>
      </c>
      <c r="K31" s="1">
        <v>4.2379478991637668E-4</v>
      </c>
      <c r="L31" s="1">
        <v>1.4927360419070488E-4</v>
      </c>
      <c r="M31" s="1">
        <v>3.2005695730306905E-4</v>
      </c>
      <c r="N31" s="1">
        <v>8.3978535174500043E-4</v>
      </c>
      <c r="O31" s="1">
        <v>9.5023731010256249E-4</v>
      </c>
      <c r="P31" s="1">
        <v>1.5981571611963434E-3</v>
      </c>
      <c r="Q31" s="1">
        <v>7.3457274159183608E-4</v>
      </c>
      <c r="R31" s="1">
        <v>1.7965286035157831E-3</v>
      </c>
      <c r="S31" s="1">
        <v>1.1650449949681954E-3</v>
      </c>
      <c r="T31" s="1">
        <v>5.1160501140516627E-3</v>
      </c>
      <c r="U31" s="1">
        <v>1.3748242892731553E-3</v>
      </c>
      <c r="V31" s="1">
        <v>1.0248740004929723E-3</v>
      </c>
      <c r="W31" s="1">
        <v>1.1247233648557821E-3</v>
      </c>
      <c r="X31" s="1">
        <v>1.0683319002792267E-3</v>
      </c>
      <c r="Y31" s="1">
        <v>1.6161070334300982E-3</v>
      </c>
      <c r="Z31" s="1">
        <v>5.620719332001191E-4</v>
      </c>
      <c r="AA31" s="1">
        <v>1.1446590288346483E-3</v>
      </c>
      <c r="AB31" s="1">
        <v>1.3564402335074853E-4</v>
      </c>
      <c r="AC31" s="1">
        <v>1.9455714758682076E-3</v>
      </c>
      <c r="AD31" s="1">
        <v>4.3297658543329782E-4</v>
      </c>
      <c r="AE31" s="1">
        <v>7.2835989663658728E-4</v>
      </c>
      <c r="AF31" s="1">
        <v>4.5711211578084582E-4</v>
      </c>
      <c r="AG31" s="1">
        <v>1.3267106477153857E-3</v>
      </c>
      <c r="AH31" s="1">
        <v>1.2211297383414551E-3</v>
      </c>
      <c r="AI31" s="1">
        <v>1.1413900930871E-3</v>
      </c>
      <c r="AJ31" s="1">
        <v>2.0100937754486672E-3</v>
      </c>
      <c r="AK31" s="1">
        <v>4.5271546857588422E-4</v>
      </c>
      <c r="AL31" s="1">
        <v>1.2112411861371368E-3</v>
      </c>
      <c r="AM31" s="1">
        <v>2.063610512727623E-3</v>
      </c>
      <c r="AN31" s="1">
        <v>1.0503928203382876E-3</v>
      </c>
      <c r="AO31" s="1">
        <v>1.4667775777133139E-3</v>
      </c>
      <c r="AQ31" s="29">
        <v>9.5596877908188972E-3</v>
      </c>
    </row>
    <row r="32" spans="1:43">
      <c r="A32" s="3" t="s">
        <v>57</v>
      </c>
      <c r="B32" s="1">
        <v>1.2912077525840835E-3</v>
      </c>
      <c r="C32" s="1">
        <v>1.3537866734789536E-3</v>
      </c>
      <c r="D32" s="1">
        <v>1.3265361927032528E-3</v>
      </c>
      <c r="E32" s="1">
        <v>2.182791171402714E-3</v>
      </c>
      <c r="F32" s="1">
        <v>2.3473147382107487E-3</v>
      </c>
      <c r="G32" s="1">
        <v>1.8479068229039245E-3</v>
      </c>
      <c r="H32" s="1">
        <v>2.2263444898168515E-3</v>
      </c>
      <c r="I32" s="1">
        <v>3.1753264065500064E-3</v>
      </c>
      <c r="J32" s="1">
        <v>1.8575305876425226E-3</v>
      </c>
      <c r="K32" s="1">
        <v>2.6599018668926333E-3</v>
      </c>
      <c r="L32" s="1">
        <v>2.0321937960476118E-3</v>
      </c>
      <c r="M32" s="1">
        <v>1.3044229022734835E-3</v>
      </c>
      <c r="N32" s="1">
        <v>1.6208902886325626E-3</v>
      </c>
      <c r="O32" s="1">
        <v>1.5039111137789417E-3</v>
      </c>
      <c r="P32" s="1">
        <v>2.3421893109129999E-3</v>
      </c>
      <c r="Q32" s="1">
        <v>1.5320433758368244E-3</v>
      </c>
      <c r="R32" s="1">
        <v>3.4914035854294186E-3</v>
      </c>
      <c r="S32" s="1">
        <v>-5.6009365272961819E-4</v>
      </c>
      <c r="T32" s="1">
        <v>1.3748242892731553E-3</v>
      </c>
      <c r="U32" s="1">
        <v>2.4006108625587851E-2</v>
      </c>
      <c r="V32" s="1">
        <v>2.0100263410961199E-3</v>
      </c>
      <c r="W32" s="1">
        <v>1.5100657825383363E-3</v>
      </c>
      <c r="X32" s="1">
        <v>1.9407681033354496E-3</v>
      </c>
      <c r="Y32" s="1">
        <v>1.3596015081343731E-3</v>
      </c>
      <c r="Z32" s="1">
        <v>2.7118767737367564E-4</v>
      </c>
      <c r="AA32" s="1">
        <v>2.2989341259390659E-3</v>
      </c>
      <c r="AB32" s="1">
        <v>2.068502765591531E-3</v>
      </c>
      <c r="AC32" s="1">
        <v>1.1697430905233464E-3</v>
      </c>
      <c r="AD32" s="1">
        <v>7.3904096236319461E-4</v>
      </c>
      <c r="AE32" s="1">
        <v>1.2889070618437844E-3</v>
      </c>
      <c r="AF32" s="1">
        <v>1.0523799759183786E-3</v>
      </c>
      <c r="AG32" s="1">
        <v>1.822162337090322E-3</v>
      </c>
      <c r="AH32" s="1">
        <v>1.5402040929937109E-3</v>
      </c>
      <c r="AI32" s="1">
        <v>2.5949300471461998E-3</v>
      </c>
      <c r="AJ32" s="1">
        <v>3.3984266027160212E-3</v>
      </c>
      <c r="AK32" s="1">
        <v>2.1227586249737431E-3</v>
      </c>
      <c r="AL32" s="1">
        <v>1.6619260166969596E-3</v>
      </c>
      <c r="AM32" s="1">
        <v>1.967216002247404E-3</v>
      </c>
      <c r="AN32" s="1">
        <v>2.4826491314249178E-3</v>
      </c>
      <c r="AO32" s="1">
        <v>3.0598406901480708E-4</v>
      </c>
      <c r="AQ32" s="29">
        <v>1.7807541242510702E-2</v>
      </c>
    </row>
    <row r="33" spans="1:43">
      <c r="A33" s="3" t="s">
        <v>62</v>
      </c>
      <c r="B33" s="1">
        <v>5.7902839460624448E-4</v>
      </c>
      <c r="C33" s="1">
        <v>3.716632525194886E-4</v>
      </c>
      <c r="D33" s="1">
        <v>3.2124770699277605E-4</v>
      </c>
      <c r="E33" s="1">
        <v>4.8001786822167815E-4</v>
      </c>
      <c r="F33" s="1">
        <v>2.8071692701670545E-4</v>
      </c>
      <c r="G33" s="1">
        <v>1.1077263602975774E-3</v>
      </c>
      <c r="H33" s="1">
        <v>1.0572685371524385E-3</v>
      </c>
      <c r="I33" s="1">
        <v>1.1703706316043435E-3</v>
      </c>
      <c r="J33" s="1">
        <v>5.9229736174196146E-4</v>
      </c>
      <c r="K33" s="1">
        <v>3.1918442035769741E-4</v>
      </c>
      <c r="L33" s="1">
        <v>1.055822288447382E-3</v>
      </c>
      <c r="M33" s="1">
        <v>3.5294061640022415E-4</v>
      </c>
      <c r="N33" s="1">
        <v>6.0992860774423745E-4</v>
      </c>
      <c r="O33" s="1">
        <v>7.557434101221652E-4</v>
      </c>
      <c r="P33" s="1">
        <v>8.9615246685833692E-4</v>
      </c>
      <c r="Q33" s="1">
        <v>6.0467397714334823E-5</v>
      </c>
      <c r="R33" s="1">
        <v>1.6957879695906183E-3</v>
      </c>
      <c r="S33" s="1">
        <v>3.126385937144982E-4</v>
      </c>
      <c r="T33" s="1">
        <v>1.0248740004929723E-3</v>
      </c>
      <c r="U33" s="1">
        <v>2.0100263410961199E-3</v>
      </c>
      <c r="V33" s="1">
        <v>6.7326884987501763E-3</v>
      </c>
      <c r="W33" s="1">
        <v>1.190619873876673E-3</v>
      </c>
      <c r="X33" s="1">
        <v>9.2479542031213174E-4</v>
      </c>
      <c r="Y33" s="1">
        <v>2.2291664727930208E-3</v>
      </c>
      <c r="Z33" s="1">
        <v>3.136806384835012E-4</v>
      </c>
      <c r="AA33" s="1">
        <v>8.0210681703681659E-4</v>
      </c>
      <c r="AB33" s="1">
        <v>4.200097487352119E-4</v>
      </c>
      <c r="AC33" s="1">
        <v>1.4650844011563661E-3</v>
      </c>
      <c r="AD33" s="1">
        <v>4.838148833543705E-4</v>
      </c>
      <c r="AE33" s="1">
        <v>1.3953193777981789E-3</v>
      </c>
      <c r="AF33" s="1">
        <v>2.5878805025575803E-4</v>
      </c>
      <c r="AG33" s="1">
        <v>1.0333295970662187E-3</v>
      </c>
      <c r="AH33" s="1">
        <v>5.7436793012662351E-4</v>
      </c>
      <c r="AI33" s="1">
        <v>1.4483036843274358E-3</v>
      </c>
      <c r="AJ33" s="1">
        <v>1.1109584992197714E-3</v>
      </c>
      <c r="AK33" s="1">
        <v>7.4288047570945275E-4</v>
      </c>
      <c r="AL33" s="1">
        <v>1.23677167525704E-3</v>
      </c>
      <c r="AM33" s="1">
        <v>9.3000692184642454E-4</v>
      </c>
      <c r="AN33" s="1">
        <v>1.0453516757446201E-3</v>
      </c>
      <c r="AO33" s="1">
        <v>1.2591524138944334E-3</v>
      </c>
      <c r="AQ33" s="29">
        <v>7.2249652004886568E-3</v>
      </c>
    </row>
    <row r="34" spans="1:43">
      <c r="A34" s="3" t="s">
        <v>66</v>
      </c>
      <c r="B34" s="1">
        <v>3.7104016200812588E-4</v>
      </c>
      <c r="C34" s="1">
        <v>1.8469023515438993E-4</v>
      </c>
      <c r="D34" s="1">
        <v>6.3423973939620947E-5</v>
      </c>
      <c r="E34" s="1">
        <v>3.8963036390355174E-4</v>
      </c>
      <c r="F34" s="1">
        <v>1.0255806078895041E-4</v>
      </c>
      <c r="G34" s="1">
        <v>1.004626709619751E-3</v>
      </c>
      <c r="H34" s="1">
        <v>1.1307901616492209E-3</v>
      </c>
      <c r="I34" s="1">
        <v>1.1440260667821426E-3</v>
      </c>
      <c r="J34" s="1">
        <v>4.3862126320646946E-4</v>
      </c>
      <c r="K34" s="1">
        <v>-9.0709717544701433E-5</v>
      </c>
      <c r="L34" s="1">
        <v>5.5615998207319964E-4</v>
      </c>
      <c r="M34" s="1">
        <v>4.0805753844107696E-4</v>
      </c>
      <c r="N34" s="1">
        <v>1.0663211168773189E-3</v>
      </c>
      <c r="O34" s="1">
        <v>7.868166199245265E-4</v>
      </c>
      <c r="P34" s="1">
        <v>1.5957534407142276E-3</v>
      </c>
      <c r="Q34" s="1">
        <v>3.5401221388010971E-4</v>
      </c>
      <c r="R34" s="1">
        <v>1.827820065440075E-3</v>
      </c>
      <c r="S34" s="1">
        <v>5.0641030204925193E-4</v>
      </c>
      <c r="T34" s="1">
        <v>1.1247233648557821E-3</v>
      </c>
      <c r="U34" s="1">
        <v>1.5100657825383363E-3</v>
      </c>
      <c r="V34" s="1">
        <v>1.190619873876673E-3</v>
      </c>
      <c r="W34" s="1">
        <v>5.6899989365956829E-3</v>
      </c>
      <c r="X34" s="1">
        <v>1.0494801106350645E-3</v>
      </c>
      <c r="Y34" s="1">
        <v>3.3540271212261687E-3</v>
      </c>
      <c r="Z34" s="1">
        <v>5.5975861837742136E-4</v>
      </c>
      <c r="AA34" s="1">
        <v>8.9808505867560872E-4</v>
      </c>
      <c r="AB34" s="1">
        <v>1.0033810407288298E-3</v>
      </c>
      <c r="AC34" s="1">
        <v>1.7986520201644734E-3</v>
      </c>
      <c r="AD34" s="1">
        <v>1.4855802443734369E-4</v>
      </c>
      <c r="AE34" s="1">
        <v>7.3582015758741272E-4</v>
      </c>
      <c r="AF34" s="1">
        <v>2.7383035434410535E-4</v>
      </c>
      <c r="AG34" s="1">
        <v>1.9025339282961759E-4</v>
      </c>
      <c r="AH34" s="1">
        <v>4.8919077196991336E-4</v>
      </c>
      <c r="AI34" s="1">
        <v>1.183484916546807E-3</v>
      </c>
      <c r="AJ34" s="1">
        <v>5.9826670018074473E-4</v>
      </c>
      <c r="AK34" s="1">
        <v>5.0599009740355581E-4</v>
      </c>
      <c r="AL34" s="1">
        <v>4.8793114077163392E-4</v>
      </c>
      <c r="AM34" s="1">
        <v>2.1651426463475862E-3</v>
      </c>
      <c r="AN34" s="1">
        <v>1.2466771168563591E-3</v>
      </c>
      <c r="AO34" s="1">
        <v>8.7155498051581163E-4</v>
      </c>
      <c r="AQ34" s="29">
        <v>9.0729685081303076E-3</v>
      </c>
    </row>
    <row r="35" spans="1:43">
      <c r="A35" s="3" t="s">
        <v>70</v>
      </c>
      <c r="B35" s="1">
        <v>4.5162236366384767E-4</v>
      </c>
      <c r="C35" s="1">
        <v>-7.7534808574370087E-6</v>
      </c>
      <c r="D35" s="1">
        <v>-5.3757745928732228E-5</v>
      </c>
      <c r="E35" s="1">
        <v>9.6725470410702623E-4</v>
      </c>
      <c r="F35" s="1">
        <v>2.2722332191556354E-4</v>
      </c>
      <c r="G35" s="1">
        <v>1.1894510204531094E-4</v>
      </c>
      <c r="H35" s="1">
        <v>7.1538690748910267E-4</v>
      </c>
      <c r="I35" s="1">
        <v>1.0007254146045363E-3</v>
      </c>
      <c r="J35" s="1">
        <v>6.5192363524413084E-4</v>
      </c>
      <c r="K35" s="1">
        <v>6.7798932721341906E-4</v>
      </c>
      <c r="L35" s="1">
        <v>-1.9648404265462763E-4</v>
      </c>
      <c r="M35" s="1">
        <v>3.036574581699374E-5</v>
      </c>
      <c r="N35" s="1">
        <v>8.8092970249369757E-4</v>
      </c>
      <c r="O35" s="1">
        <v>9.9038891042058314E-4</v>
      </c>
      <c r="P35" s="1">
        <v>1.5603747273755845E-3</v>
      </c>
      <c r="Q35" s="1">
        <v>-6.0821213471572708E-4</v>
      </c>
      <c r="R35" s="1">
        <v>1.5262215578121284E-3</v>
      </c>
      <c r="S35" s="1">
        <v>6.3872219902638E-4</v>
      </c>
      <c r="T35" s="1">
        <v>1.0683319002792267E-3</v>
      </c>
      <c r="U35" s="1">
        <v>1.9407681033354496E-3</v>
      </c>
      <c r="V35" s="1">
        <v>9.2479542031213174E-4</v>
      </c>
      <c r="W35" s="1">
        <v>1.0494801106350645E-3</v>
      </c>
      <c r="X35" s="1">
        <v>6.7319834912930301E-3</v>
      </c>
      <c r="Y35" s="1">
        <v>1.6065286636277485E-3</v>
      </c>
      <c r="Z35" s="1">
        <v>4.6078867982421689E-4</v>
      </c>
      <c r="AA35" s="1">
        <v>1.0054735227212983E-3</v>
      </c>
      <c r="AB35" s="1">
        <v>5.9795431262247038E-4</v>
      </c>
      <c r="AC35" s="1">
        <v>2.9696400581724065E-3</v>
      </c>
      <c r="AD35" s="1">
        <v>1.2234771997757916E-4</v>
      </c>
      <c r="AE35" s="1">
        <v>1.202876460157769E-3</v>
      </c>
      <c r="AF35" s="1">
        <v>3.1544513170805405E-4</v>
      </c>
      <c r="AG35" s="1">
        <v>1.4328069551655532E-3</v>
      </c>
      <c r="AH35" s="1">
        <v>1.1845014362752313E-3</v>
      </c>
      <c r="AI35" s="1">
        <v>1.4896715425788791E-3</v>
      </c>
      <c r="AJ35" s="1">
        <v>2.0316909589752287E-3</v>
      </c>
      <c r="AK35" s="1">
        <v>1.1559030519044675E-3</v>
      </c>
      <c r="AL35" s="1">
        <v>1.0390586979166414E-3</v>
      </c>
      <c r="AM35" s="1">
        <v>1.9263961414490325E-3</v>
      </c>
      <c r="AN35" s="1">
        <v>1.3578043423740592E-3</v>
      </c>
      <c r="AO35" s="1">
        <v>1.0469475926942579E-3</v>
      </c>
      <c r="AQ35" s="29">
        <v>8.1918881850984639E-3</v>
      </c>
    </row>
    <row r="36" spans="1:43">
      <c r="A36" s="3" t="s">
        <v>74</v>
      </c>
      <c r="B36" s="1">
        <v>4.8953749639077339E-4</v>
      </c>
      <c r="C36" s="1">
        <v>7.4125000346504061E-5</v>
      </c>
      <c r="D36" s="1">
        <v>5.9747260298549827E-4</v>
      </c>
      <c r="E36" s="1">
        <v>1.8209005562750406E-3</v>
      </c>
      <c r="F36" s="1">
        <v>2.7701516208376566E-4</v>
      </c>
      <c r="G36" s="1">
        <v>6.9808204069631583E-4</v>
      </c>
      <c r="H36" s="1">
        <v>2.0365015028511279E-3</v>
      </c>
      <c r="I36" s="1">
        <v>1.1106109631995207E-3</v>
      </c>
      <c r="J36" s="1">
        <v>1.7066259450071575E-4</v>
      </c>
      <c r="K36" s="1">
        <v>-2.2565110261808306E-4</v>
      </c>
      <c r="L36" s="1">
        <v>1.5854532930491257E-3</v>
      </c>
      <c r="M36" s="1">
        <v>6.441666960194329E-4</v>
      </c>
      <c r="N36" s="1">
        <v>1.1700442351319658E-3</v>
      </c>
      <c r="O36" s="1">
        <v>4.7969446999160354E-4</v>
      </c>
      <c r="P36" s="1">
        <v>1.6981993357694952E-3</v>
      </c>
      <c r="Q36" s="1">
        <v>-2.0594847708086906E-3</v>
      </c>
      <c r="R36" s="1">
        <v>1.7947440686156234E-3</v>
      </c>
      <c r="S36" s="1">
        <v>8.270974517646572E-4</v>
      </c>
      <c r="T36" s="1">
        <v>1.6161070334300982E-3</v>
      </c>
      <c r="U36" s="1">
        <v>1.3596015081343731E-3</v>
      </c>
      <c r="V36" s="1">
        <v>2.2291664727930208E-3</v>
      </c>
      <c r="W36" s="1">
        <v>3.3540271212261687E-3</v>
      </c>
      <c r="X36" s="1">
        <v>1.6065286636277485E-3</v>
      </c>
      <c r="Y36" s="1">
        <v>2.5203124615153279E-2</v>
      </c>
      <c r="Z36" s="1">
        <v>8.1147676218822854E-4</v>
      </c>
      <c r="AA36" s="1">
        <v>1.5723240695171379E-3</v>
      </c>
      <c r="AB36" s="1">
        <v>1.5304808157294331E-3</v>
      </c>
      <c r="AC36" s="1">
        <v>5.3049312004658485E-3</v>
      </c>
      <c r="AD36" s="1">
        <v>2.37788916763181E-4</v>
      </c>
      <c r="AE36" s="1">
        <v>1.264075073479143E-3</v>
      </c>
      <c r="AF36" s="1">
        <v>-5.8927958221595075E-5</v>
      </c>
      <c r="AG36" s="1">
        <v>2.0938786489714509E-4</v>
      </c>
      <c r="AH36" s="1">
        <v>2.2895626067516951E-3</v>
      </c>
      <c r="AI36" s="1">
        <v>1.7419671913263849E-3</v>
      </c>
      <c r="AJ36" s="1">
        <v>2.1280219349199361E-3</v>
      </c>
      <c r="AK36" s="1">
        <v>6.9252820769617794E-4</v>
      </c>
      <c r="AL36" s="1">
        <v>2.5781637600699433E-3</v>
      </c>
      <c r="AM36" s="1">
        <v>4.4495027999185812E-3</v>
      </c>
      <c r="AN36" s="1">
        <v>5.9766323607874294E-4</v>
      </c>
      <c r="AO36" s="1">
        <v>2.2905474692458843E-3</v>
      </c>
      <c r="AQ36" s="29">
        <v>1.2903894638946724E-2</v>
      </c>
    </row>
    <row r="37" spans="1:43">
      <c r="A37" s="3" t="s">
        <v>76</v>
      </c>
      <c r="B37" s="1">
        <v>6.2292819080913848E-4</v>
      </c>
      <c r="C37" s="1">
        <v>3.8250194778442293E-4</v>
      </c>
      <c r="D37" s="1">
        <v>-8.3660114213123871E-5</v>
      </c>
      <c r="E37" s="1">
        <v>2.9093163569680177E-5</v>
      </c>
      <c r="F37" s="1">
        <v>2.6898051444866736E-4</v>
      </c>
      <c r="G37" s="1">
        <v>5.203280574546268E-4</v>
      </c>
      <c r="H37" s="1">
        <v>2.0438073296286792E-5</v>
      </c>
      <c r="I37" s="1">
        <v>3.0128032223577383E-4</v>
      </c>
      <c r="J37" s="1">
        <v>4.5969686669644161E-4</v>
      </c>
      <c r="K37" s="1">
        <v>3.4636539843931248E-4</v>
      </c>
      <c r="L37" s="1">
        <v>-5.8276377774268973E-4</v>
      </c>
      <c r="M37" s="1">
        <v>-2.881248829621889E-5</v>
      </c>
      <c r="N37" s="1">
        <v>4.5044054541501754E-4</v>
      </c>
      <c r="O37" s="1">
        <v>4.5452706289088161E-4</v>
      </c>
      <c r="P37" s="1">
        <v>9.9090060625366464E-5</v>
      </c>
      <c r="Q37" s="1">
        <v>2.3628969533170201E-4</v>
      </c>
      <c r="R37" s="1">
        <v>1.4277434585833817E-4</v>
      </c>
      <c r="S37" s="1">
        <v>2.5136251559786804E-4</v>
      </c>
      <c r="T37" s="1">
        <v>5.620719332001191E-4</v>
      </c>
      <c r="U37" s="1">
        <v>2.7118767737367564E-4</v>
      </c>
      <c r="V37" s="1">
        <v>3.136806384835012E-4</v>
      </c>
      <c r="W37" s="1">
        <v>5.5975861837742136E-4</v>
      </c>
      <c r="X37" s="1">
        <v>4.6078867982421689E-4</v>
      </c>
      <c r="Y37" s="1">
        <v>8.1147676218822854E-4</v>
      </c>
      <c r="Z37" s="1">
        <v>2.4044643688971804E-3</v>
      </c>
      <c r="AA37" s="1">
        <v>3.2693195398882335E-4</v>
      </c>
      <c r="AB37" s="1">
        <v>4.8094845046167519E-5</v>
      </c>
      <c r="AC37" s="1">
        <v>1.6383929226531984E-3</v>
      </c>
      <c r="AD37" s="1">
        <v>4.9814022354695558E-4</v>
      </c>
      <c r="AE37" s="1">
        <v>4.1694938086673258E-4</v>
      </c>
      <c r="AF37" s="1">
        <v>6.2779997890229349E-4</v>
      </c>
      <c r="AG37" s="1">
        <v>3.6630288830050644E-4</v>
      </c>
      <c r="AH37" s="1">
        <v>7.8529022962825555E-4</v>
      </c>
      <c r="AI37" s="1">
        <v>8.8071237967198999E-4</v>
      </c>
      <c r="AJ37" s="1">
        <v>2.1511161250164216E-4</v>
      </c>
      <c r="AK37" s="1">
        <v>3.3930829910575234E-4</v>
      </c>
      <c r="AL37" s="1">
        <v>8.3426918840805739E-4</v>
      </c>
      <c r="AM37" s="1">
        <v>1.4495641184671783E-3</v>
      </c>
      <c r="AN37" s="1">
        <v>3.5422326265333823E-4</v>
      </c>
      <c r="AO37" s="1">
        <v>8.5143849144504562E-4</v>
      </c>
      <c r="AQ37" s="29">
        <v>4.9471033967629433E-3</v>
      </c>
    </row>
    <row r="38" spans="1:43">
      <c r="A38" s="3" t="s">
        <v>79</v>
      </c>
      <c r="B38" s="1">
        <v>5.8460928358030153E-4</v>
      </c>
      <c r="C38" s="1">
        <v>3.909750876189015E-4</v>
      </c>
      <c r="D38" s="1">
        <v>4.5803852617730303E-4</v>
      </c>
      <c r="E38" s="1">
        <v>8.3040240515227484E-4</v>
      </c>
      <c r="F38" s="1">
        <v>6.8012080381183544E-4</v>
      </c>
      <c r="G38" s="1">
        <v>4.2744246116215614E-4</v>
      </c>
      <c r="H38" s="1">
        <v>9.9606399532928811E-4</v>
      </c>
      <c r="I38" s="1">
        <v>8.4340227822806628E-4</v>
      </c>
      <c r="J38" s="1">
        <v>5.0656336006292871E-4</v>
      </c>
      <c r="K38" s="1">
        <v>7.7672700138438485E-4</v>
      </c>
      <c r="L38" s="1">
        <v>3.5167535605539038E-4</v>
      </c>
      <c r="M38" s="1">
        <v>4.059369531803282E-4</v>
      </c>
      <c r="N38" s="1">
        <v>6.3794954898053233E-4</v>
      </c>
      <c r="O38" s="1">
        <v>8.5534929419722608E-4</v>
      </c>
      <c r="P38" s="1">
        <v>1.4266897681264026E-3</v>
      </c>
      <c r="Q38" s="1">
        <v>4.3329085639370895E-4</v>
      </c>
      <c r="R38" s="1">
        <v>1.5101594372479638E-3</v>
      </c>
      <c r="S38" s="1">
        <v>6.5796191066640913E-4</v>
      </c>
      <c r="T38" s="1">
        <v>1.1446590288346483E-3</v>
      </c>
      <c r="U38" s="1">
        <v>2.2989341259390659E-3</v>
      </c>
      <c r="V38" s="1">
        <v>8.0210681703681659E-4</v>
      </c>
      <c r="W38" s="1">
        <v>8.9808505867560872E-4</v>
      </c>
      <c r="X38" s="1">
        <v>1.0054735227212983E-3</v>
      </c>
      <c r="Y38" s="1">
        <v>1.5723240695171379E-3</v>
      </c>
      <c r="Z38" s="1">
        <v>3.2693195398882335E-4</v>
      </c>
      <c r="AA38" s="1">
        <v>4.5144357569033679E-3</v>
      </c>
      <c r="AB38" s="1">
        <v>8.5356520892683788E-4</v>
      </c>
      <c r="AC38" s="1">
        <v>2.1375108287190383E-3</v>
      </c>
      <c r="AD38" s="1">
        <v>3.515648732829239E-4</v>
      </c>
      <c r="AE38" s="1">
        <v>5.4546359511303333E-4</v>
      </c>
      <c r="AF38" s="1">
        <v>1.9736673817616527E-4</v>
      </c>
      <c r="AG38" s="1">
        <v>7.7142039513696957E-4</v>
      </c>
      <c r="AH38" s="1">
        <v>7.1735161012799877E-4</v>
      </c>
      <c r="AI38" s="1">
        <v>1.3040910625910166E-3</v>
      </c>
      <c r="AJ38" s="1">
        <v>1.181467690417867E-3</v>
      </c>
      <c r="AK38" s="1">
        <v>8.0600685502283482E-4</v>
      </c>
      <c r="AL38" s="1">
        <v>8.8167182553643673E-4</v>
      </c>
      <c r="AM38" s="1">
        <v>1.1097126251081466E-3</v>
      </c>
      <c r="AN38" s="1">
        <v>6.6737148845543272E-4</v>
      </c>
      <c r="AO38" s="1">
        <v>8.1029573402904506E-4</v>
      </c>
      <c r="AQ38" s="29">
        <v>7.8081959580007599E-3</v>
      </c>
    </row>
    <row r="39" spans="1:43">
      <c r="A39" s="3" t="s">
        <v>87</v>
      </c>
      <c r="B39" s="1">
        <v>3.0768291121418146E-4</v>
      </c>
      <c r="C39" s="1">
        <v>3.633887101103887E-4</v>
      </c>
      <c r="D39" s="1">
        <v>-9.6977628509487581E-5</v>
      </c>
      <c r="E39" s="1">
        <v>9.9535299611653574E-4</v>
      </c>
      <c r="F39" s="1">
        <v>5.1408484613695005E-4</v>
      </c>
      <c r="G39" s="1">
        <v>6.1204910410547005E-4</v>
      </c>
      <c r="H39" s="1">
        <v>7.5927542700048002E-4</v>
      </c>
      <c r="I39" s="1">
        <v>7.4478327379893161E-4</v>
      </c>
      <c r="J39" s="1">
        <v>8.5741853484637605E-4</v>
      </c>
      <c r="K39" s="1">
        <v>7.7891772469326889E-4</v>
      </c>
      <c r="L39" s="1">
        <v>1.5714043943772344E-3</v>
      </c>
      <c r="M39" s="1">
        <v>1.1978722799428071E-4</v>
      </c>
      <c r="N39" s="1">
        <v>2.8565396034882723E-4</v>
      </c>
      <c r="O39" s="1">
        <v>5.267263447918777E-4</v>
      </c>
      <c r="P39" s="1">
        <v>7.2972652705446592E-4</v>
      </c>
      <c r="Q39" s="1">
        <v>-5.370136986103121E-4</v>
      </c>
      <c r="R39" s="1">
        <v>1.5916856819604729E-3</v>
      </c>
      <c r="S39" s="1">
        <v>-3.7562954352292132E-4</v>
      </c>
      <c r="T39" s="1">
        <v>1.3564402335074853E-4</v>
      </c>
      <c r="U39" s="1">
        <v>2.068502765591531E-3</v>
      </c>
      <c r="V39" s="1">
        <v>4.200097487352119E-4</v>
      </c>
      <c r="W39" s="1">
        <v>1.0033810407288298E-3</v>
      </c>
      <c r="X39" s="1">
        <v>5.9795431262247038E-4</v>
      </c>
      <c r="Y39" s="1">
        <v>1.5304808157294331E-3</v>
      </c>
      <c r="Z39" s="1">
        <v>4.8094845046167519E-5</v>
      </c>
      <c r="AA39" s="1">
        <v>8.5356520892683788E-4</v>
      </c>
      <c r="AB39" s="1">
        <v>6.2537808421026572E-3</v>
      </c>
      <c r="AC39" s="1">
        <v>1.2053589988500369E-3</v>
      </c>
      <c r="AD39" s="1">
        <v>3.0771384948814369E-5</v>
      </c>
      <c r="AE39" s="1">
        <v>6.5501333940942404E-4</v>
      </c>
      <c r="AF39" s="1">
        <v>3.902085465866129E-4</v>
      </c>
      <c r="AG39" s="1">
        <v>9.0660072114827231E-4</v>
      </c>
      <c r="AH39" s="1">
        <v>6.2116362422526869E-4</v>
      </c>
      <c r="AI39" s="1">
        <v>9.9768330136878005E-4</v>
      </c>
      <c r="AJ39" s="1">
        <v>-3.6630615283565857E-4</v>
      </c>
      <c r="AK39" s="1">
        <v>6.7262120799302144E-4</v>
      </c>
      <c r="AL39" s="1">
        <v>1.5640152974496181E-4</v>
      </c>
      <c r="AM39" s="1">
        <v>9.1260035451421178E-4</v>
      </c>
      <c r="AN39" s="1">
        <v>6.9566433408289104E-4</v>
      </c>
      <c r="AO39" s="1">
        <v>-6.4260234347513655E-5</v>
      </c>
      <c r="AQ39" s="29">
        <v>5.0439595419480669E-3</v>
      </c>
    </row>
    <row r="40" spans="1:43">
      <c r="A40" s="3" t="s">
        <v>88</v>
      </c>
      <c r="B40" s="1">
        <v>1.0171971183660705E-3</v>
      </c>
      <c r="C40" s="1">
        <v>-2.4358434758583642E-4</v>
      </c>
      <c r="D40" s="1">
        <v>-8.7022044096287104E-4</v>
      </c>
      <c r="E40" s="1">
        <v>1.5568361992854044E-3</v>
      </c>
      <c r="F40" s="1">
        <v>-5.7699024284222104E-4</v>
      </c>
      <c r="G40" s="1">
        <v>3.9430895220341102E-4</v>
      </c>
      <c r="H40" s="1">
        <v>1.8305906614542457E-4</v>
      </c>
      <c r="I40" s="1">
        <v>8.3383550104576662E-4</v>
      </c>
      <c r="J40" s="1">
        <v>9.4853207070421568E-4</v>
      </c>
      <c r="K40" s="1">
        <v>7.6596123925547503E-4</v>
      </c>
      <c r="L40" s="1">
        <v>-7.4362754876611291E-4</v>
      </c>
      <c r="M40" s="1">
        <v>-6.0500362071223227E-4</v>
      </c>
      <c r="N40" s="1">
        <v>5.4603557178187982E-4</v>
      </c>
      <c r="O40" s="1">
        <v>1.2879671033180112E-3</v>
      </c>
      <c r="P40" s="1">
        <v>1.3990443619598728E-3</v>
      </c>
      <c r="Q40" s="1">
        <v>-1.552833728584096E-3</v>
      </c>
      <c r="R40" s="1">
        <v>1.6450946601077924E-3</v>
      </c>
      <c r="S40" s="1">
        <v>5.2084309610423904E-4</v>
      </c>
      <c r="T40" s="1">
        <v>1.9455714758682076E-3</v>
      </c>
      <c r="U40" s="1">
        <v>1.1697430905233464E-3</v>
      </c>
      <c r="V40" s="1">
        <v>1.4650844011563661E-3</v>
      </c>
      <c r="W40" s="1">
        <v>1.7986520201644734E-3</v>
      </c>
      <c r="X40" s="1">
        <v>2.9696400581724065E-3</v>
      </c>
      <c r="Y40" s="1">
        <v>5.3049312004658485E-3</v>
      </c>
      <c r="Z40" s="1">
        <v>1.6383929226531984E-3</v>
      </c>
      <c r="AA40" s="1">
        <v>2.1375108287190383E-3</v>
      </c>
      <c r="AB40" s="1">
        <v>1.2053589988500369E-3</v>
      </c>
      <c r="AC40" s="1">
        <v>3.2101792062676451E-2</v>
      </c>
      <c r="AD40" s="1">
        <v>8.6603307731790793E-4</v>
      </c>
      <c r="AE40" s="1">
        <v>2.7592372450637678E-3</v>
      </c>
      <c r="AF40" s="1">
        <v>1.0943157231080463E-4</v>
      </c>
      <c r="AG40" s="1">
        <v>2.7564528228263426E-3</v>
      </c>
      <c r="AH40" s="1">
        <v>1.7309158970532667E-3</v>
      </c>
      <c r="AI40" s="1">
        <v>3.7385074336598613E-3</v>
      </c>
      <c r="AJ40" s="1">
        <v>3.2775075275375092E-3</v>
      </c>
      <c r="AK40" s="1">
        <v>1.9295913168429503E-3</v>
      </c>
      <c r="AL40" s="1">
        <v>2.534809158865373E-3</v>
      </c>
      <c r="AM40" s="1">
        <v>5.2163861017372757E-3</v>
      </c>
      <c r="AN40" s="1">
        <v>3.0418354919463494E-4</v>
      </c>
      <c r="AO40" s="1">
        <v>4.6392170830222628E-3</v>
      </c>
      <c r="AQ40" s="29">
        <v>1.2751154033314135E-2</v>
      </c>
    </row>
    <row r="41" spans="1:43">
      <c r="A41" s="3" t="s">
        <v>91</v>
      </c>
      <c r="B41" s="1">
        <v>4.6130637179163381E-4</v>
      </c>
      <c r="C41" s="1">
        <v>5.3464624259645665E-4</v>
      </c>
      <c r="D41" s="1">
        <v>8.9929632846753624E-5</v>
      </c>
      <c r="E41" s="1">
        <v>-2.2008781362097934E-4</v>
      </c>
      <c r="F41" s="1">
        <v>4.525198388948167E-4</v>
      </c>
      <c r="G41" s="1">
        <v>3.3874459798296131E-4</v>
      </c>
      <c r="H41" s="1">
        <v>4.1573443703018076E-5</v>
      </c>
      <c r="I41" s="1">
        <v>1.5978367303705858E-4</v>
      </c>
      <c r="J41" s="1">
        <v>2.6591314056686885E-4</v>
      </c>
      <c r="K41" s="1">
        <v>3.4921689780946806E-4</v>
      </c>
      <c r="L41" s="1">
        <v>1.5560112110763187E-4</v>
      </c>
      <c r="M41" s="1">
        <v>1.3024470222573943E-4</v>
      </c>
      <c r="N41" s="1">
        <v>1.9858220496389499E-4</v>
      </c>
      <c r="O41" s="1">
        <v>2.8410062638312649E-4</v>
      </c>
      <c r="P41" s="1">
        <v>1.336279271600348E-4</v>
      </c>
      <c r="Q41" s="1">
        <v>5.8604537670574992E-4</v>
      </c>
      <c r="R41" s="1">
        <v>-3.8926859567251022E-5</v>
      </c>
      <c r="S41" s="1">
        <v>-1.0211805155184345E-5</v>
      </c>
      <c r="T41" s="1">
        <v>4.3297658543329782E-4</v>
      </c>
      <c r="U41" s="1">
        <v>7.3904096236319461E-4</v>
      </c>
      <c r="V41" s="1">
        <v>4.838148833543705E-4</v>
      </c>
      <c r="W41" s="1">
        <v>1.4855802443734369E-4</v>
      </c>
      <c r="X41" s="1">
        <v>1.2234771997757916E-4</v>
      </c>
      <c r="Y41" s="1">
        <v>2.37788916763181E-4</v>
      </c>
      <c r="Z41" s="1">
        <v>4.9814022354695558E-4</v>
      </c>
      <c r="AA41" s="1">
        <v>3.515648732829239E-4</v>
      </c>
      <c r="AB41" s="1">
        <v>3.0771384948814369E-5</v>
      </c>
      <c r="AC41" s="1">
        <v>8.6603307731790793E-4</v>
      </c>
      <c r="AD41" s="1">
        <v>1.9239693733546644E-3</v>
      </c>
      <c r="AE41" s="1">
        <v>7.5892547754876543E-4</v>
      </c>
      <c r="AF41" s="1">
        <v>4.7967747946353357E-4</v>
      </c>
      <c r="AG41" s="1">
        <v>8.085079262674734E-4</v>
      </c>
      <c r="AH41" s="1">
        <v>6.2741875818231113E-4</v>
      </c>
      <c r="AI41" s="1">
        <v>6.8874831995849187E-4</v>
      </c>
      <c r="AJ41" s="1">
        <v>6.7591891404847457E-4</v>
      </c>
      <c r="AK41" s="1">
        <v>7.3377964550233002E-4</v>
      </c>
      <c r="AL41" s="1">
        <v>4.1492331095011753E-4</v>
      </c>
      <c r="AM41" s="1">
        <v>7.8524647705176395E-4</v>
      </c>
      <c r="AN41" s="1">
        <v>2.3379818244939575E-4</v>
      </c>
      <c r="AO41" s="1">
        <v>4.3697495084297973E-4</v>
      </c>
      <c r="AQ41" s="29">
        <v>3.5362333740001934E-3</v>
      </c>
    </row>
    <row r="42" spans="1:43">
      <c r="A42" s="3" t="s">
        <v>94</v>
      </c>
      <c r="B42" s="1">
        <v>9.8290025693383736E-4</v>
      </c>
      <c r="C42" s="1">
        <v>4.7891360276405641E-4</v>
      </c>
      <c r="D42" s="1">
        <v>2.4277151013055048E-4</v>
      </c>
      <c r="E42" s="1">
        <v>8.3602547982470751E-5</v>
      </c>
      <c r="F42" s="1">
        <v>3.8423404191479353E-4</v>
      </c>
      <c r="G42" s="1">
        <v>6.7364753430272954E-4</v>
      </c>
      <c r="H42" s="1">
        <v>5.4859702970208991E-4</v>
      </c>
      <c r="I42" s="1">
        <v>8.5892999390407886E-4</v>
      </c>
      <c r="J42" s="1">
        <v>5.9659841016349848E-4</v>
      </c>
      <c r="K42" s="1">
        <v>2.5891778765945058E-4</v>
      </c>
      <c r="L42" s="1">
        <v>6.9630265217603203E-4</v>
      </c>
      <c r="M42" s="1">
        <v>-5.9278356893008165E-5</v>
      </c>
      <c r="N42" s="1">
        <v>5.7588259063531702E-4</v>
      </c>
      <c r="O42" s="1">
        <v>1.0275404987221946E-3</v>
      </c>
      <c r="P42" s="1">
        <v>1.0375746908138207E-3</v>
      </c>
      <c r="Q42" s="1">
        <v>4.9842407603143768E-4</v>
      </c>
      <c r="R42" s="1">
        <v>1.4377512228619324E-3</v>
      </c>
      <c r="S42" s="1">
        <v>4.0523432663213082E-4</v>
      </c>
      <c r="T42" s="1">
        <v>7.2835989663658728E-4</v>
      </c>
      <c r="U42" s="1">
        <v>1.2889070618437844E-3</v>
      </c>
      <c r="V42" s="1">
        <v>1.3953193777981789E-3</v>
      </c>
      <c r="W42" s="1">
        <v>7.3582015758741272E-4</v>
      </c>
      <c r="X42" s="1">
        <v>1.202876460157769E-3</v>
      </c>
      <c r="Y42" s="1">
        <v>1.264075073479143E-3</v>
      </c>
      <c r="Z42" s="1">
        <v>4.1694938086673258E-4</v>
      </c>
      <c r="AA42" s="1">
        <v>5.4546359511303333E-4</v>
      </c>
      <c r="AB42" s="1">
        <v>6.5501333940942404E-4</v>
      </c>
      <c r="AC42" s="1">
        <v>2.7592372450637678E-3</v>
      </c>
      <c r="AD42" s="1">
        <v>7.5892547754876543E-4</v>
      </c>
      <c r="AE42" s="1">
        <v>5.775861252510857E-3</v>
      </c>
      <c r="AF42" s="1">
        <v>3.9997394438068664E-4</v>
      </c>
      <c r="AG42" s="1">
        <v>1.5047146230185882E-3</v>
      </c>
      <c r="AH42" s="1">
        <v>6.433656868190847E-4</v>
      </c>
      <c r="AI42" s="1">
        <v>1.7948120820469981E-3</v>
      </c>
      <c r="AJ42" s="1">
        <v>4.2522859070549422E-4</v>
      </c>
      <c r="AK42" s="1">
        <v>9.5559960313290994E-4</v>
      </c>
      <c r="AL42" s="1">
        <v>7.748718153754449E-4</v>
      </c>
      <c r="AM42" s="1">
        <v>1.9655628199255434E-3</v>
      </c>
      <c r="AN42" s="1">
        <v>1.013967936530374E-3</v>
      </c>
      <c r="AO42" s="1">
        <v>9.7672783055820136E-4</v>
      </c>
      <c r="AQ42" s="29">
        <v>8.164273188825677E-3</v>
      </c>
    </row>
    <row r="43" spans="1:43">
      <c r="A43" s="3" t="s">
        <v>95</v>
      </c>
      <c r="B43" s="1">
        <v>4.9452414261014438E-4</v>
      </c>
      <c r="C43" s="1">
        <v>5.5356699889167252E-4</v>
      </c>
      <c r="D43" s="1">
        <v>1.0316837013137727E-4</v>
      </c>
      <c r="E43" s="1">
        <v>1.7105874773920964E-5</v>
      </c>
      <c r="F43" s="1">
        <v>4.9831575997519697E-4</v>
      </c>
      <c r="G43" s="1">
        <v>5.3625065856270301E-4</v>
      </c>
      <c r="H43" s="1">
        <v>2.7020292642261396E-4</v>
      </c>
      <c r="I43" s="1">
        <v>6.7614953315887568E-4</v>
      </c>
      <c r="J43" s="1">
        <v>3.4605164265446317E-4</v>
      </c>
      <c r="K43" s="1">
        <v>5.0681383165500859E-4</v>
      </c>
      <c r="L43" s="1">
        <v>8.7085606426100969E-5</v>
      </c>
      <c r="M43" s="1">
        <v>2.8325144492089612E-4</v>
      </c>
      <c r="N43" s="1">
        <v>2.7753247835980677E-4</v>
      </c>
      <c r="O43" s="1">
        <v>2.5096727113799064E-4</v>
      </c>
      <c r="P43" s="1">
        <v>2.4230174685633659E-4</v>
      </c>
      <c r="Q43" s="1">
        <v>6.2414046892207231E-4</v>
      </c>
      <c r="R43" s="1">
        <v>3.933632310042629E-4</v>
      </c>
      <c r="S43" s="1">
        <v>-3.5693553410002996E-5</v>
      </c>
      <c r="T43" s="1">
        <v>4.5711211578084582E-4</v>
      </c>
      <c r="U43" s="1">
        <v>1.0523799759183786E-3</v>
      </c>
      <c r="V43" s="1">
        <v>2.5878805025575803E-4</v>
      </c>
      <c r="W43" s="1">
        <v>2.7383035434410535E-4</v>
      </c>
      <c r="X43" s="1">
        <v>3.1544513170805405E-4</v>
      </c>
      <c r="Y43" s="1">
        <v>-5.8927958221595075E-5</v>
      </c>
      <c r="Z43" s="1">
        <v>6.2779997890229349E-4</v>
      </c>
      <c r="AA43" s="1">
        <v>1.9736673817616527E-4</v>
      </c>
      <c r="AB43" s="1">
        <v>3.902085465866129E-4</v>
      </c>
      <c r="AC43" s="1">
        <v>1.0943157231080463E-4</v>
      </c>
      <c r="AD43" s="1">
        <v>4.7967747946353357E-4</v>
      </c>
      <c r="AE43" s="1">
        <v>3.9997394438068664E-4</v>
      </c>
      <c r="AF43" s="1">
        <v>2.4382074727496181E-3</v>
      </c>
      <c r="AG43" s="1">
        <v>2.9731814130660702E-4</v>
      </c>
      <c r="AH43" s="1">
        <v>1.0269025571114638E-3</v>
      </c>
      <c r="AI43" s="1">
        <v>6.7845613170855359E-4</v>
      </c>
      <c r="AJ43" s="1">
        <v>8.1175363948319691E-5</v>
      </c>
      <c r="AK43" s="1">
        <v>2.3603603680621892E-4</v>
      </c>
      <c r="AL43" s="1">
        <v>3.7916716661016926E-4</v>
      </c>
      <c r="AM43" s="1">
        <v>3.9096046271260953E-4</v>
      </c>
      <c r="AN43" s="1">
        <v>7.5491684908254126E-4</v>
      </c>
      <c r="AO43" s="1">
        <v>4.9455065812296093E-4</v>
      </c>
      <c r="AQ43" s="29">
        <v>3.5899101908057861E-3</v>
      </c>
    </row>
    <row r="44" spans="1:43">
      <c r="A44" s="3" t="s">
        <v>102</v>
      </c>
      <c r="B44" s="1">
        <v>9.5552291856970282E-4</v>
      </c>
      <c r="C44" s="1">
        <v>1.2138085173190864E-4</v>
      </c>
      <c r="D44" s="1">
        <v>5.0147745787339301E-5</v>
      </c>
      <c r="E44" s="1">
        <v>2.384820246955702E-4</v>
      </c>
      <c r="F44" s="1">
        <v>6.1850878302800315E-4</v>
      </c>
      <c r="G44" s="1">
        <v>6.8460221247942411E-4</v>
      </c>
      <c r="H44" s="1">
        <v>7.184527213380833E-4</v>
      </c>
      <c r="I44" s="1">
        <v>1.1125475583120673E-3</v>
      </c>
      <c r="J44" s="1">
        <v>1.5279425477230893E-3</v>
      </c>
      <c r="K44" s="1">
        <v>1.3313413637155087E-3</v>
      </c>
      <c r="L44" s="1">
        <v>3.2404522756854931E-4</v>
      </c>
      <c r="M44" s="1">
        <v>-2.1204470193434267E-4</v>
      </c>
      <c r="N44" s="1">
        <v>6.3844278555142276E-4</v>
      </c>
      <c r="O44" s="1">
        <v>9.0135619942522901E-4</v>
      </c>
      <c r="P44" s="1">
        <v>8.7431971759320537E-4</v>
      </c>
      <c r="Q44" s="1">
        <v>1.3996668723243201E-3</v>
      </c>
      <c r="R44" s="1">
        <v>1.5774058768350712E-3</v>
      </c>
      <c r="S44" s="1">
        <v>5.6238271366906378E-4</v>
      </c>
      <c r="T44" s="1">
        <v>1.3267106477153857E-3</v>
      </c>
      <c r="U44" s="1">
        <v>1.822162337090322E-3</v>
      </c>
      <c r="V44" s="1">
        <v>1.0333295970662187E-3</v>
      </c>
      <c r="W44" s="1">
        <v>1.9025339282961759E-4</v>
      </c>
      <c r="X44" s="1">
        <v>1.4328069551655532E-3</v>
      </c>
      <c r="Y44" s="1">
        <v>2.0938786489714509E-4</v>
      </c>
      <c r="Z44" s="1">
        <v>3.6630288830050644E-4</v>
      </c>
      <c r="AA44" s="1">
        <v>7.7142039513696957E-4</v>
      </c>
      <c r="AB44" s="1">
        <v>9.0660072114827231E-4</v>
      </c>
      <c r="AC44" s="1">
        <v>2.7564528228263426E-3</v>
      </c>
      <c r="AD44" s="1">
        <v>8.085079262674734E-4</v>
      </c>
      <c r="AE44" s="1">
        <v>1.5047146230185882E-3</v>
      </c>
      <c r="AF44" s="1">
        <v>2.9731814130660702E-4</v>
      </c>
      <c r="AG44" s="1">
        <v>9.7318269862282022E-3</v>
      </c>
      <c r="AH44" s="1">
        <v>1.8363270888768822E-3</v>
      </c>
      <c r="AI44" s="1">
        <v>1.3392999754917863E-3</v>
      </c>
      <c r="AJ44" s="1">
        <v>2.7216643175251619E-3</v>
      </c>
      <c r="AK44" s="1">
        <v>1.7620077816434996E-3</v>
      </c>
      <c r="AL44" s="1">
        <v>1.602455666214324E-3</v>
      </c>
      <c r="AM44" s="1">
        <v>2.7908441540780119E-3</v>
      </c>
      <c r="AN44" s="1">
        <v>1.0183138638730951E-3</v>
      </c>
      <c r="AO44" s="1">
        <v>1.5344682844555552E-3</v>
      </c>
      <c r="AQ44" s="29">
        <v>9.5534764525536577E-3</v>
      </c>
    </row>
    <row r="45" spans="1:43">
      <c r="A45" s="3" t="s">
        <v>110</v>
      </c>
      <c r="B45" s="1">
        <v>1.09832038463812E-3</v>
      </c>
      <c r="C45" s="1">
        <v>5.1439883390023619E-4</v>
      </c>
      <c r="D45" s="1">
        <v>8.4584396851890569E-4</v>
      </c>
      <c r="E45" s="1">
        <v>8.2787320328633917E-4</v>
      </c>
      <c r="F45" s="1">
        <v>1.2174119786186059E-3</v>
      </c>
      <c r="G45" s="1">
        <v>1.0754731752731774E-3</v>
      </c>
      <c r="H45" s="1">
        <v>6.3501921960452468E-4</v>
      </c>
      <c r="I45" s="1">
        <v>9.7504730585076804E-4</v>
      </c>
      <c r="J45" s="1">
        <v>9.3892714061096763E-4</v>
      </c>
      <c r="K45" s="1">
        <v>1.8823159730126755E-3</v>
      </c>
      <c r="L45" s="1">
        <v>8.9261353274832213E-4</v>
      </c>
      <c r="M45" s="1">
        <v>3.2096341180313978E-4</v>
      </c>
      <c r="N45" s="1">
        <v>6.259409681731383E-4</v>
      </c>
      <c r="O45" s="1">
        <v>6.9134785460571912E-4</v>
      </c>
      <c r="P45" s="1">
        <v>-3.6217183983208685E-4</v>
      </c>
      <c r="Q45" s="1">
        <v>2.631281055309527E-3</v>
      </c>
      <c r="R45" s="1">
        <v>-3.1113984504676823E-5</v>
      </c>
      <c r="S45" s="1">
        <v>3.8564717177934599E-4</v>
      </c>
      <c r="T45" s="1">
        <v>1.2211297383414551E-3</v>
      </c>
      <c r="U45" s="1">
        <v>1.5402040929937109E-3</v>
      </c>
      <c r="V45" s="1">
        <v>5.7436793012662351E-4</v>
      </c>
      <c r="W45" s="1">
        <v>4.8919077196991336E-4</v>
      </c>
      <c r="X45" s="1">
        <v>1.1845014362752313E-3</v>
      </c>
      <c r="Y45" s="1">
        <v>2.2895626067516951E-3</v>
      </c>
      <c r="Z45" s="1">
        <v>7.8529022962825555E-4</v>
      </c>
      <c r="AA45" s="1">
        <v>7.1735161012799877E-4</v>
      </c>
      <c r="AB45" s="1">
        <v>6.2116362422526869E-4</v>
      </c>
      <c r="AC45" s="1">
        <v>1.7309158970532667E-3</v>
      </c>
      <c r="AD45" s="1">
        <v>6.2741875818231113E-4</v>
      </c>
      <c r="AE45" s="1">
        <v>6.433656868190847E-4</v>
      </c>
      <c r="AF45" s="1">
        <v>1.0269025571114638E-3</v>
      </c>
      <c r="AG45" s="1">
        <v>1.8363270888768822E-3</v>
      </c>
      <c r="AH45" s="1">
        <v>1.5639900734640961E-2</v>
      </c>
      <c r="AI45" s="1">
        <v>1.8285282704529301E-3</v>
      </c>
      <c r="AJ45" s="1">
        <v>1.7937936320822166E-3</v>
      </c>
      <c r="AK45" s="1">
        <v>6.3252637739225786E-4</v>
      </c>
      <c r="AL45" s="1">
        <v>1.5106226568932853E-3</v>
      </c>
      <c r="AM45" s="1">
        <v>2.0627347734659945E-3</v>
      </c>
      <c r="AN45" s="1">
        <v>1.1004487098064163E-3</v>
      </c>
      <c r="AO45" s="1">
        <v>2.130143824145289E-3</v>
      </c>
      <c r="AQ45" s="29">
        <v>8.1741244150746791E-3</v>
      </c>
    </row>
    <row r="46" spans="1:43">
      <c r="A46" s="3" t="s">
        <v>114</v>
      </c>
      <c r="B46" s="1">
        <v>9.2401427880920437E-4</v>
      </c>
      <c r="C46" s="1">
        <v>5.5253175280994208E-4</v>
      </c>
      <c r="D46" s="1">
        <v>-2.8886534626501776E-4</v>
      </c>
      <c r="E46" s="1">
        <v>1.0246461627747008E-3</v>
      </c>
      <c r="F46" s="1">
        <v>9.6255063406793049E-4</v>
      </c>
      <c r="G46" s="1">
        <v>1.0042099258483041E-3</v>
      </c>
      <c r="H46" s="1">
        <v>3.8411822855198346E-4</v>
      </c>
      <c r="I46" s="1">
        <v>1.0636370610542926E-3</v>
      </c>
      <c r="J46" s="1">
        <v>1.2507035913762894E-3</v>
      </c>
      <c r="K46" s="1">
        <v>1.1887491408958699E-3</v>
      </c>
      <c r="L46" s="1">
        <v>3.5965100500000459E-4</v>
      </c>
      <c r="M46" s="1">
        <v>1.3418899904274752E-4</v>
      </c>
      <c r="N46" s="1">
        <v>9.2121740879837601E-4</v>
      </c>
      <c r="O46" s="1">
        <v>1.2444658993737776E-3</v>
      </c>
      <c r="P46" s="1">
        <v>8.8848396941663401E-4</v>
      </c>
      <c r="Q46" s="1">
        <v>7.6044363670471128E-4</v>
      </c>
      <c r="R46" s="1">
        <v>2.6441123360953452E-3</v>
      </c>
      <c r="S46" s="1">
        <v>4.1390017335701356E-4</v>
      </c>
      <c r="T46" s="1">
        <v>1.1413900930871E-3</v>
      </c>
      <c r="U46" s="1">
        <v>2.5949300471461998E-3</v>
      </c>
      <c r="V46" s="1">
        <v>1.4483036843274358E-3</v>
      </c>
      <c r="W46" s="1">
        <v>1.183484916546807E-3</v>
      </c>
      <c r="X46" s="1">
        <v>1.4896715425788791E-3</v>
      </c>
      <c r="Y46" s="1">
        <v>1.7419671913263849E-3</v>
      </c>
      <c r="Z46" s="1">
        <v>8.8071237967198999E-4</v>
      </c>
      <c r="AA46" s="1">
        <v>1.3040910625910166E-3</v>
      </c>
      <c r="AB46" s="1">
        <v>9.9768330136878005E-4</v>
      </c>
      <c r="AC46" s="1">
        <v>3.7385074336598613E-3</v>
      </c>
      <c r="AD46" s="1">
        <v>6.8874831995849187E-4</v>
      </c>
      <c r="AE46" s="1">
        <v>1.7948120820469981E-3</v>
      </c>
      <c r="AF46" s="1">
        <v>6.7845613170855359E-4</v>
      </c>
      <c r="AG46" s="1">
        <v>1.3392999754917863E-3</v>
      </c>
      <c r="AH46" s="1">
        <v>1.8285282704529301E-3</v>
      </c>
      <c r="AI46" s="1">
        <v>9.1772687531205526E-3</v>
      </c>
      <c r="AJ46" s="1">
        <v>2.4302291161902348E-3</v>
      </c>
      <c r="AK46" s="1">
        <v>1.7629892769948808E-3</v>
      </c>
      <c r="AL46" s="1">
        <v>1.1381643122150972E-3</v>
      </c>
      <c r="AM46" s="1">
        <v>2.1322780472611573E-3</v>
      </c>
      <c r="AN46" s="1">
        <v>1.0494677404659827E-3</v>
      </c>
      <c r="AO46" s="1">
        <v>1.9798975051025587E-3</v>
      </c>
      <c r="AQ46" s="29">
        <v>1.1032509313309112E-2</v>
      </c>
    </row>
    <row r="47" spans="1:43">
      <c r="A47" s="3" t="s">
        <v>120</v>
      </c>
      <c r="B47" s="1">
        <v>3.0173877634922494E-4</v>
      </c>
      <c r="C47" s="1">
        <v>2.1866056871707517E-4</v>
      </c>
      <c r="D47" s="1">
        <v>2.2665035114068595E-5</v>
      </c>
      <c r="E47" s="1">
        <v>1.8270323918592104E-3</v>
      </c>
      <c r="F47" s="1">
        <v>1.3482531743824633E-3</v>
      </c>
      <c r="G47" s="1">
        <v>5.7650694743270625E-4</v>
      </c>
      <c r="H47" s="1">
        <v>1.83785766919502E-3</v>
      </c>
      <c r="I47" s="1">
        <v>7.1518167038133579E-4</v>
      </c>
      <c r="J47" s="1">
        <v>1.3916254114995173E-3</v>
      </c>
      <c r="K47" s="1">
        <v>2.3174800590775118E-3</v>
      </c>
      <c r="L47" s="1">
        <v>-4.0732017391503577E-4</v>
      </c>
      <c r="M47" s="1">
        <v>-9.6448311241650734E-5</v>
      </c>
      <c r="N47" s="1">
        <v>8.2367390354469851E-4</v>
      </c>
      <c r="O47" s="1">
        <v>1.2728831320562546E-3</v>
      </c>
      <c r="P47" s="1">
        <v>1.6529089013920947E-3</v>
      </c>
      <c r="Q47" s="1">
        <v>4.1453008916623161E-4</v>
      </c>
      <c r="R47" s="1">
        <v>1.0515944497863836E-3</v>
      </c>
      <c r="S47" s="1">
        <v>1.1337051511619222E-3</v>
      </c>
      <c r="T47" s="1">
        <v>2.0100937754486672E-3</v>
      </c>
      <c r="U47" s="1">
        <v>3.3984266027160212E-3</v>
      </c>
      <c r="V47" s="1">
        <v>1.1109584992197714E-3</v>
      </c>
      <c r="W47" s="1">
        <v>5.9826670018074473E-4</v>
      </c>
      <c r="X47" s="1">
        <v>2.0316909589752287E-3</v>
      </c>
      <c r="Y47" s="1">
        <v>2.1280219349199361E-3</v>
      </c>
      <c r="Z47" s="1">
        <v>2.1511161250164216E-4</v>
      </c>
      <c r="AA47" s="1">
        <v>1.181467690417867E-3</v>
      </c>
      <c r="AB47" s="1">
        <v>-3.6630615283565857E-4</v>
      </c>
      <c r="AC47" s="1">
        <v>3.2775075275375092E-3</v>
      </c>
      <c r="AD47" s="1">
        <v>6.7591891404847457E-4</v>
      </c>
      <c r="AE47" s="1">
        <v>4.2522859070549422E-4</v>
      </c>
      <c r="AF47" s="1">
        <v>8.1175363948319691E-5</v>
      </c>
      <c r="AG47" s="1">
        <v>2.7216643175251619E-3</v>
      </c>
      <c r="AH47" s="1">
        <v>1.7937936320822166E-3</v>
      </c>
      <c r="AI47" s="1">
        <v>2.4302291161902348E-3</v>
      </c>
      <c r="AJ47" s="1">
        <v>2.0397344755797461E-2</v>
      </c>
      <c r="AK47" s="1">
        <v>2.648634976173867E-3</v>
      </c>
      <c r="AL47" s="1">
        <v>2.7899219368804047E-3</v>
      </c>
      <c r="AM47" s="1">
        <v>1.0069406943467765E-3</v>
      </c>
      <c r="AN47" s="1">
        <v>1.1663123863502468E-3</v>
      </c>
      <c r="AO47" s="1">
        <v>2.9086962401617122E-3</v>
      </c>
      <c r="AQ47" s="29">
        <v>9.0725993142455087E-3</v>
      </c>
    </row>
    <row r="48" spans="1:43">
      <c r="A48" s="3" t="s">
        <v>123</v>
      </c>
      <c r="B48" s="1">
        <v>6.2254256946584201E-4</v>
      </c>
      <c r="C48" s="1">
        <v>3.604292987664255E-4</v>
      </c>
      <c r="D48" s="1">
        <v>2.1357952109063262E-4</v>
      </c>
      <c r="E48" s="1">
        <v>6.2055711723076263E-4</v>
      </c>
      <c r="F48" s="1">
        <v>6.7247994489278947E-4</v>
      </c>
      <c r="G48" s="1">
        <v>3.0055836225516784E-4</v>
      </c>
      <c r="H48" s="1">
        <v>4.1092344869523916E-4</v>
      </c>
      <c r="I48" s="1">
        <v>3.4871995683923013E-4</v>
      </c>
      <c r="J48" s="1">
        <v>9.7944526313889849E-4</v>
      </c>
      <c r="K48" s="1">
        <v>1.3632355049410262E-3</v>
      </c>
      <c r="L48" s="1">
        <v>-1.5597263298422723E-4</v>
      </c>
      <c r="M48" s="1">
        <v>6.6926058813162147E-5</v>
      </c>
      <c r="N48" s="1">
        <v>4.0384148440291274E-4</v>
      </c>
      <c r="O48" s="1">
        <v>8.4815054411807199E-4</v>
      </c>
      <c r="P48" s="1">
        <v>1.5166041740139454E-3</v>
      </c>
      <c r="Q48" s="1">
        <v>8.5168372935146269E-4</v>
      </c>
      <c r="R48" s="1">
        <v>6.3700576504195573E-4</v>
      </c>
      <c r="S48" s="1">
        <v>5.0829579241420475E-4</v>
      </c>
      <c r="T48" s="1">
        <v>4.5271546857588422E-4</v>
      </c>
      <c r="U48" s="1">
        <v>2.1227586249737431E-3</v>
      </c>
      <c r="V48" s="1">
        <v>7.4288047570945275E-4</v>
      </c>
      <c r="W48" s="1">
        <v>5.0599009740355581E-4</v>
      </c>
      <c r="X48" s="1">
        <v>1.1559030519044675E-3</v>
      </c>
      <c r="Y48" s="1">
        <v>6.9252820769617794E-4</v>
      </c>
      <c r="Z48" s="1">
        <v>3.3930829910575234E-4</v>
      </c>
      <c r="AA48" s="1">
        <v>8.0600685502283482E-4</v>
      </c>
      <c r="AB48" s="1">
        <v>6.7262120799302144E-4</v>
      </c>
      <c r="AC48" s="1">
        <v>1.9295913168429503E-3</v>
      </c>
      <c r="AD48" s="1">
        <v>7.3377964550233002E-4</v>
      </c>
      <c r="AE48" s="1">
        <v>9.5559960313290994E-4</v>
      </c>
      <c r="AF48" s="1">
        <v>2.3603603680621892E-4</v>
      </c>
      <c r="AG48" s="1">
        <v>1.7620077816434996E-3</v>
      </c>
      <c r="AH48" s="1">
        <v>6.3252637739225786E-4</v>
      </c>
      <c r="AI48" s="1">
        <v>1.7629892769948808E-3</v>
      </c>
      <c r="AJ48" s="1">
        <v>2.648634976173867E-3</v>
      </c>
      <c r="AK48" s="1">
        <v>6.8820118234713089E-3</v>
      </c>
      <c r="AL48" s="1">
        <v>1.0534485545342501E-3</v>
      </c>
      <c r="AM48" s="1">
        <v>1.2558324347842246E-3</v>
      </c>
      <c r="AN48" s="1">
        <v>5.8109180614550034E-4</v>
      </c>
      <c r="AO48" s="1">
        <v>1.5955541905662014E-3</v>
      </c>
      <c r="AQ48" s="29">
        <v>6.1160294319129848E-3</v>
      </c>
    </row>
    <row r="49" spans="1:43">
      <c r="A49" s="3" t="s">
        <v>127</v>
      </c>
      <c r="B49" s="1">
        <v>8.2056118791015307E-4</v>
      </c>
      <c r="C49" s="1">
        <v>6.3085805069389047E-4</v>
      </c>
      <c r="D49" s="1">
        <v>5.0654964891589098E-4</v>
      </c>
      <c r="E49" s="1">
        <v>1.2102270602834305E-3</v>
      </c>
      <c r="F49" s="1">
        <v>8.7538272119228576E-4</v>
      </c>
      <c r="G49" s="1">
        <v>5.3173577723817744E-4</v>
      </c>
      <c r="H49" s="1">
        <v>1.136980184010999E-3</v>
      </c>
      <c r="I49" s="1">
        <v>6.5661917950251148E-4</v>
      </c>
      <c r="J49" s="1">
        <v>9.3168110683853798E-4</v>
      </c>
      <c r="K49" s="1">
        <v>1.2507015175943982E-3</v>
      </c>
      <c r="L49" s="1">
        <v>-2.3903316797359894E-4</v>
      </c>
      <c r="M49" s="1">
        <v>2.2705246196190221E-4</v>
      </c>
      <c r="N49" s="1">
        <v>6.7335255973019351E-4</v>
      </c>
      <c r="O49" s="1">
        <v>5.836726698904526E-4</v>
      </c>
      <c r="P49" s="1">
        <v>6.6270425668288032E-4</v>
      </c>
      <c r="Q49" s="1">
        <v>3.0279058083878567E-5</v>
      </c>
      <c r="R49" s="1">
        <v>6.6760168332158961E-4</v>
      </c>
      <c r="S49" s="1">
        <v>1.2054005550366041E-3</v>
      </c>
      <c r="T49" s="1">
        <v>1.2112411861371368E-3</v>
      </c>
      <c r="U49" s="1">
        <v>1.6619260166969596E-3</v>
      </c>
      <c r="V49" s="1">
        <v>1.23677167525704E-3</v>
      </c>
      <c r="W49" s="1">
        <v>4.8793114077163392E-4</v>
      </c>
      <c r="X49" s="1">
        <v>1.0390586979166414E-3</v>
      </c>
      <c r="Y49" s="1">
        <v>2.5781637600699433E-3</v>
      </c>
      <c r="Z49" s="1">
        <v>8.3426918840805739E-4</v>
      </c>
      <c r="AA49" s="1">
        <v>8.8167182553643673E-4</v>
      </c>
      <c r="AB49" s="1">
        <v>1.5640152974496181E-4</v>
      </c>
      <c r="AC49" s="1">
        <v>2.534809158865373E-3</v>
      </c>
      <c r="AD49" s="1">
        <v>4.1492331095011753E-4</v>
      </c>
      <c r="AE49" s="1">
        <v>7.748718153754449E-4</v>
      </c>
      <c r="AF49" s="1">
        <v>3.7916716661016926E-4</v>
      </c>
      <c r="AG49" s="1">
        <v>1.602455666214324E-3</v>
      </c>
      <c r="AH49" s="1">
        <v>1.5106226568932853E-3</v>
      </c>
      <c r="AI49" s="1">
        <v>1.1381643122150972E-3</v>
      </c>
      <c r="AJ49" s="1">
        <v>2.7899219368804047E-3</v>
      </c>
      <c r="AK49" s="1">
        <v>1.0534485545342501E-3</v>
      </c>
      <c r="AL49" s="1">
        <v>6.2923600474747302E-3</v>
      </c>
      <c r="AM49" s="1">
        <v>1.3815596682009155E-3</v>
      </c>
      <c r="AN49" s="1">
        <v>6.8284413626811848E-4</v>
      </c>
      <c r="AO49" s="1">
        <v>2.1869835235341084E-3</v>
      </c>
      <c r="AQ49" s="29">
        <v>8.6241073434454758E-3</v>
      </c>
    </row>
    <row r="50" spans="1:43">
      <c r="A50" s="3" t="s">
        <v>139</v>
      </c>
      <c r="B50" s="1">
        <v>1.465926107241096E-3</v>
      </c>
      <c r="C50" s="1">
        <v>9.4967493861744425E-4</v>
      </c>
      <c r="D50" s="1">
        <v>9.3523901973267928E-4</v>
      </c>
      <c r="E50" s="1">
        <v>1.3683981315410583E-3</v>
      </c>
      <c r="F50" s="1">
        <v>1.3528745662676287E-3</v>
      </c>
      <c r="G50" s="1">
        <v>1.1991263125233141E-3</v>
      </c>
      <c r="H50" s="1">
        <v>5.7674896671181756E-4</v>
      </c>
      <c r="I50" s="1">
        <v>6.095199382205633E-4</v>
      </c>
      <c r="J50" s="1">
        <v>1.2051754376261709E-3</v>
      </c>
      <c r="K50" s="1">
        <v>9.2276877822284427E-4</v>
      </c>
      <c r="L50" s="1">
        <v>4.2032828391762241E-4</v>
      </c>
      <c r="M50" s="1">
        <v>3.8399540253992965E-4</v>
      </c>
      <c r="N50" s="1">
        <v>1.6775954417811803E-3</v>
      </c>
      <c r="O50" s="1">
        <v>6.6166352743178374E-4</v>
      </c>
      <c r="P50" s="1">
        <v>7.520033469248762E-4</v>
      </c>
      <c r="Q50" s="1">
        <v>2.5880346575003614E-4</v>
      </c>
      <c r="R50" s="1">
        <v>2.683521483453332E-3</v>
      </c>
      <c r="S50" s="1">
        <v>1.1636246187652355E-3</v>
      </c>
      <c r="T50" s="1">
        <v>2.063610512727623E-3</v>
      </c>
      <c r="U50" s="1">
        <v>1.967216002247404E-3</v>
      </c>
      <c r="V50" s="1">
        <v>9.3000692184642454E-4</v>
      </c>
      <c r="W50" s="1">
        <v>2.1651426463475862E-3</v>
      </c>
      <c r="X50" s="1">
        <v>1.9263961414490325E-3</v>
      </c>
      <c r="Y50" s="1">
        <v>4.4495027999185812E-3</v>
      </c>
      <c r="Z50" s="1">
        <v>1.4495641184671783E-3</v>
      </c>
      <c r="AA50" s="1">
        <v>1.1097126251081466E-3</v>
      </c>
      <c r="AB50" s="1">
        <v>9.1260035451421178E-4</v>
      </c>
      <c r="AC50" s="1">
        <v>5.2163861017372757E-3</v>
      </c>
      <c r="AD50" s="1">
        <v>7.8524647705176395E-4</v>
      </c>
      <c r="AE50" s="1">
        <v>1.9655628199255434E-3</v>
      </c>
      <c r="AF50" s="1">
        <v>3.9096046271260953E-4</v>
      </c>
      <c r="AG50" s="1">
        <v>2.7908441540780119E-3</v>
      </c>
      <c r="AH50" s="1">
        <v>2.0627347734659945E-3</v>
      </c>
      <c r="AI50" s="1">
        <v>2.1322780472611573E-3</v>
      </c>
      <c r="AJ50" s="1">
        <v>1.0069406943467765E-3</v>
      </c>
      <c r="AK50" s="1">
        <v>1.2558324347842246E-3</v>
      </c>
      <c r="AL50" s="1">
        <v>1.3815596682009155E-3</v>
      </c>
      <c r="AM50" s="1">
        <v>2.885434416987875E-2</v>
      </c>
      <c r="AN50" s="1">
        <v>1.0623540704469264E-3</v>
      </c>
      <c r="AO50" s="1">
        <v>9.5883669611950624E-4</v>
      </c>
      <c r="AQ50" s="29">
        <v>3.5682498081369078E-2</v>
      </c>
    </row>
    <row r="51" spans="1:43">
      <c r="A51" s="3" t="s">
        <v>140</v>
      </c>
      <c r="B51" s="1">
        <v>5.5150116604192004E-4</v>
      </c>
      <c r="C51" s="1">
        <v>2.6113448271692546E-4</v>
      </c>
      <c r="D51" s="1">
        <v>-2.0987031203142291E-4</v>
      </c>
      <c r="E51" s="1">
        <v>4.5705903703283589E-4</v>
      </c>
      <c r="F51" s="1">
        <v>3.1625956894583993E-4</v>
      </c>
      <c r="G51" s="1">
        <v>6.2111298093691465E-4</v>
      </c>
      <c r="H51" s="1">
        <v>7.0451583296763905E-4</v>
      </c>
      <c r="I51" s="1">
        <v>1.3432718004699673E-3</v>
      </c>
      <c r="J51" s="1">
        <v>8.4353322508304675E-4</v>
      </c>
      <c r="K51" s="1">
        <v>3.7706973285503648E-4</v>
      </c>
      <c r="L51" s="1">
        <v>5.3317964029869075E-4</v>
      </c>
      <c r="M51" s="1">
        <v>2.1435903406871458E-4</v>
      </c>
      <c r="N51" s="1">
        <v>7.6546958737012775E-4</v>
      </c>
      <c r="O51" s="1">
        <v>9.8968254519439481E-4</v>
      </c>
      <c r="P51" s="1">
        <v>1.1039859333355562E-3</v>
      </c>
      <c r="Q51" s="1">
        <v>7.8702877353413697E-4</v>
      </c>
      <c r="R51" s="1">
        <v>2.2057534281955705E-3</v>
      </c>
      <c r="S51" s="1">
        <v>3.7081695359803923E-4</v>
      </c>
      <c r="T51" s="1">
        <v>1.0503928203382876E-3</v>
      </c>
      <c r="U51" s="1">
        <v>2.4826491314249178E-3</v>
      </c>
      <c r="V51" s="1">
        <v>1.0453516757446201E-3</v>
      </c>
      <c r="W51" s="1">
        <v>1.2466771168563591E-3</v>
      </c>
      <c r="X51" s="1">
        <v>1.3578043423740592E-3</v>
      </c>
      <c r="Y51" s="1">
        <v>5.9766323607874294E-4</v>
      </c>
      <c r="Z51" s="1">
        <v>3.5422326265333823E-4</v>
      </c>
      <c r="AA51" s="1">
        <v>6.6737148845543272E-4</v>
      </c>
      <c r="AB51" s="1">
        <v>6.9566433408289104E-4</v>
      </c>
      <c r="AC51" s="1">
        <v>3.0418354919463494E-4</v>
      </c>
      <c r="AD51" s="1">
        <v>2.3379818244939575E-4</v>
      </c>
      <c r="AE51" s="1">
        <v>1.013967936530374E-3</v>
      </c>
      <c r="AF51" s="1">
        <v>7.5491684908254126E-4</v>
      </c>
      <c r="AG51" s="1">
        <v>1.0183138638730951E-3</v>
      </c>
      <c r="AH51" s="1">
        <v>1.1004487098064163E-3</v>
      </c>
      <c r="AI51" s="1">
        <v>1.0494677404659827E-3</v>
      </c>
      <c r="AJ51" s="1">
        <v>1.1663123863502468E-3</v>
      </c>
      <c r="AK51" s="1">
        <v>5.8109180614550034E-4</v>
      </c>
      <c r="AL51" s="1">
        <v>6.8284413626811848E-4</v>
      </c>
      <c r="AM51" s="1">
        <v>1.0623540704469264E-3</v>
      </c>
      <c r="AN51" s="1">
        <v>5.6007421868388939E-3</v>
      </c>
      <c r="AO51" s="1">
        <v>4.8939377797130171E-4</v>
      </c>
      <c r="AQ51" s="29">
        <v>7.6101298942154718E-3</v>
      </c>
    </row>
    <row r="52" spans="1:43">
      <c r="A52" s="3" t="s">
        <v>142</v>
      </c>
      <c r="B52" s="1">
        <v>6.4259519367574497E-4</v>
      </c>
      <c r="C52" s="1">
        <v>5.6792838607029184E-5</v>
      </c>
      <c r="D52" s="1">
        <v>2.4473040674908755E-5</v>
      </c>
      <c r="E52" s="1">
        <v>3.712210009120438E-4</v>
      </c>
      <c r="F52" s="1">
        <v>9.3231922858894232E-5</v>
      </c>
      <c r="G52" s="1">
        <v>6.4784078722294515E-4</v>
      </c>
      <c r="H52" s="1">
        <v>8.6723176426551361E-4</v>
      </c>
      <c r="I52" s="1">
        <v>5.2354924851443353E-4</v>
      </c>
      <c r="J52" s="1">
        <v>4.1387769299299317E-4</v>
      </c>
      <c r="K52" s="1">
        <v>1.1101582409017872E-3</v>
      </c>
      <c r="L52" s="1">
        <v>-1.0433458369254495E-3</v>
      </c>
      <c r="M52" s="1">
        <v>1.9646940582599858E-5</v>
      </c>
      <c r="N52" s="1">
        <v>4.2057924038003079E-4</v>
      </c>
      <c r="O52" s="1">
        <v>3.2910887737195145E-4</v>
      </c>
      <c r="P52" s="1">
        <v>9.3884350519493338E-4</v>
      </c>
      <c r="Q52" s="1">
        <v>1.020084973537763E-4</v>
      </c>
      <c r="R52" s="1">
        <v>5.1031197998277348E-4</v>
      </c>
      <c r="S52" s="1">
        <v>7.2387188689270181E-4</v>
      </c>
      <c r="T52" s="1">
        <v>1.4667775777133139E-3</v>
      </c>
      <c r="U52" s="1">
        <v>3.0598406901480708E-4</v>
      </c>
      <c r="V52" s="1">
        <v>1.2591524138944334E-3</v>
      </c>
      <c r="W52" s="1">
        <v>8.7155498051581163E-4</v>
      </c>
      <c r="X52" s="1">
        <v>1.0469475926942579E-3</v>
      </c>
      <c r="Y52" s="1">
        <v>2.2905474692458843E-3</v>
      </c>
      <c r="Z52" s="1">
        <v>8.5143849144504562E-4</v>
      </c>
      <c r="AA52" s="1">
        <v>8.1029573402904506E-4</v>
      </c>
      <c r="AB52" s="1">
        <v>-6.4260234347513655E-5</v>
      </c>
      <c r="AC52" s="1">
        <v>4.6392170830222628E-3</v>
      </c>
      <c r="AD52" s="1">
        <v>4.3697495084297973E-4</v>
      </c>
      <c r="AE52" s="1">
        <v>9.7672783055820136E-4</v>
      </c>
      <c r="AF52" s="1">
        <v>4.9455065812296093E-4</v>
      </c>
      <c r="AG52" s="1">
        <v>1.5344682844555552E-3</v>
      </c>
      <c r="AH52" s="1">
        <v>2.130143824145289E-3</v>
      </c>
      <c r="AI52" s="1">
        <v>1.9798975051025587E-3</v>
      </c>
      <c r="AJ52" s="1">
        <v>2.9086962401617122E-3</v>
      </c>
      <c r="AK52" s="1">
        <v>1.5955541905662014E-3</v>
      </c>
      <c r="AL52" s="1">
        <v>2.1869835235341084E-3</v>
      </c>
      <c r="AM52" s="1">
        <v>9.5883669611950624E-4</v>
      </c>
      <c r="AN52" s="1">
        <v>4.8939377797130171E-4</v>
      </c>
      <c r="AO52" s="1">
        <v>9.633373525950421E-3</v>
      </c>
      <c r="AQ52" s="29">
        <v>6.1789055671086649E-3</v>
      </c>
    </row>
    <row r="54" spans="1:43" ht="30">
      <c r="B54" s="21" t="s">
        <v>164</v>
      </c>
    </row>
    <row r="55" spans="1:43">
      <c r="A55" s="3" t="s">
        <v>15</v>
      </c>
      <c r="B55" s="23">
        <f t="array" ref="B55:B94">MMULT(MINVERSE(B13:AO52),AQ13:AQ52-B3)/SUM(MMULT(MINVERSE(B13:AO52),AQ13:AQ52-B3))</f>
        <v>5.1972444026467099E-2</v>
      </c>
    </row>
    <row r="56" spans="1:43">
      <c r="A56" s="3" t="s">
        <v>19</v>
      </c>
      <c r="B56" s="23">
        <v>2.5351013368785993E-2</v>
      </c>
    </row>
    <row r="57" spans="1:43">
      <c r="A57" s="3" t="s">
        <v>17</v>
      </c>
      <c r="B57" s="23">
        <v>2.7020173872218649E-2</v>
      </c>
    </row>
    <row r="58" spans="1:43">
      <c r="A58" s="3" t="s">
        <v>18</v>
      </c>
      <c r="B58" s="23">
        <v>2.371814698700974E-2</v>
      </c>
    </row>
    <row r="59" spans="1:43">
      <c r="A59" s="3" t="s">
        <v>20</v>
      </c>
      <c r="B59" s="23">
        <v>1.4945181112588281E-2</v>
      </c>
    </row>
    <row r="60" spans="1:43">
      <c r="A60" s="3" t="s">
        <v>22</v>
      </c>
      <c r="B60" s="23">
        <v>2.7721204059331723E-2</v>
      </c>
    </row>
    <row r="61" spans="1:43">
      <c r="A61" s="3" t="s">
        <v>23</v>
      </c>
      <c r="B61" s="23">
        <v>7.6023266623507129E-3</v>
      </c>
    </row>
    <row r="62" spans="1:43">
      <c r="A62" s="3" t="s">
        <v>24</v>
      </c>
      <c r="B62" s="23">
        <v>6.5312194652632702E-3</v>
      </c>
    </row>
    <row r="63" spans="1:43">
      <c r="A63" s="3" t="s">
        <v>29</v>
      </c>
      <c r="B63" s="23">
        <v>4.5525008618315745E-2</v>
      </c>
    </row>
    <row r="64" spans="1:43">
      <c r="A64" s="3" t="s">
        <v>30</v>
      </c>
      <c r="B64" s="23">
        <v>1.3648558237547636E-2</v>
      </c>
    </row>
    <row r="65" spans="1:2">
      <c r="A65" s="3" t="s">
        <v>32</v>
      </c>
      <c r="B65" s="23">
        <v>7.5109146881449061E-3</v>
      </c>
    </row>
    <row r="66" spans="1:2">
      <c r="A66" s="3" t="s">
        <v>41</v>
      </c>
      <c r="B66" s="23">
        <v>4.6995351153624023E-3</v>
      </c>
    </row>
    <row r="67" spans="1:2">
      <c r="A67" s="3" t="s">
        <v>43</v>
      </c>
      <c r="B67" s="23">
        <v>0.26734619104881185</v>
      </c>
    </row>
    <row r="68" spans="1:2">
      <c r="A68" s="3" t="s">
        <v>45</v>
      </c>
      <c r="B68" s="23">
        <v>3.018206853855724E-2</v>
      </c>
    </row>
    <row r="69" spans="1:2">
      <c r="A69" s="3" t="s">
        <v>47</v>
      </c>
      <c r="B69" s="23">
        <v>5.9877918877840738E-3</v>
      </c>
    </row>
    <row r="70" spans="1:2">
      <c r="A70" s="3" t="s">
        <v>50</v>
      </c>
      <c r="B70" s="23">
        <v>1.8278703913539919E-3</v>
      </c>
    </row>
    <row r="71" spans="1:2">
      <c r="A71" s="3" t="s">
        <v>52</v>
      </c>
      <c r="B71" s="23">
        <v>6.3593575719011156E-2</v>
      </c>
    </row>
    <row r="72" spans="1:2">
      <c r="A72" s="3" t="s">
        <v>53</v>
      </c>
      <c r="B72" s="23">
        <v>2.6883486519132877E-2</v>
      </c>
    </row>
    <row r="73" spans="1:2">
      <c r="A73" s="3" t="s">
        <v>54</v>
      </c>
      <c r="B73" s="23">
        <v>2.4680125757286248E-2</v>
      </c>
    </row>
    <row r="74" spans="1:2">
      <c r="A74" s="3" t="s">
        <v>57</v>
      </c>
      <c r="B74" s="23">
        <v>1.5288929505496859E-2</v>
      </c>
    </row>
    <row r="75" spans="1:2">
      <c r="A75" s="3" t="s">
        <v>62</v>
      </c>
      <c r="B75" s="23">
        <v>4.623871099027929E-3</v>
      </c>
    </row>
    <row r="76" spans="1:2">
      <c r="A76" s="3" t="s">
        <v>66</v>
      </c>
      <c r="B76" s="23">
        <v>1.542291017832346E-2</v>
      </c>
    </row>
    <row r="77" spans="1:2">
      <c r="A77" s="3" t="s">
        <v>70</v>
      </c>
      <c r="B77" s="23">
        <v>3.9801733210400383E-3</v>
      </c>
    </row>
    <row r="78" spans="1:2">
      <c r="A78" s="3" t="s">
        <v>74</v>
      </c>
      <c r="B78" s="23">
        <v>3.1826868919657731E-3</v>
      </c>
    </row>
    <row r="79" spans="1:2">
      <c r="A79" s="3" t="s">
        <v>76</v>
      </c>
      <c r="B79" s="23">
        <v>2.2320269664093555E-2</v>
      </c>
    </row>
    <row r="80" spans="1:2">
      <c r="A80" s="3" t="s">
        <v>79</v>
      </c>
      <c r="B80" s="23">
        <v>2.8642951718483713E-2</v>
      </c>
    </row>
    <row r="81" spans="1:2">
      <c r="A81" s="3" t="s">
        <v>87</v>
      </c>
      <c r="B81" s="23">
        <v>2.1540253625782985E-3</v>
      </c>
    </row>
    <row r="82" spans="1:2">
      <c r="A82" s="3" t="s">
        <v>88</v>
      </c>
      <c r="B82" s="23">
        <v>2.0816831811071748E-3</v>
      </c>
    </row>
    <row r="83" spans="1:2">
      <c r="A83" s="3" t="s">
        <v>91</v>
      </c>
      <c r="B83" s="23">
        <v>4.1700715474017172E-2</v>
      </c>
    </row>
    <row r="84" spans="1:2">
      <c r="A84" s="3" t="s">
        <v>94</v>
      </c>
      <c r="B84" s="23">
        <v>1.8423265245561062E-2</v>
      </c>
    </row>
    <row r="85" spans="1:2">
      <c r="A85" s="3" t="s">
        <v>95</v>
      </c>
      <c r="B85" s="23">
        <v>1.7234786549964461E-2</v>
      </c>
    </row>
    <row r="86" spans="1:2">
      <c r="A86" s="3" t="s">
        <v>102</v>
      </c>
      <c r="B86" s="23">
        <v>5.5208895430853087E-3</v>
      </c>
    </row>
    <row r="87" spans="1:2">
      <c r="A87" s="3" t="s">
        <v>110</v>
      </c>
      <c r="B87" s="23">
        <v>1.1807277475818726E-3</v>
      </c>
    </row>
    <row r="88" spans="1:2">
      <c r="A88" s="3" t="s">
        <v>114</v>
      </c>
      <c r="B88" s="23">
        <v>7.2729728871838263E-3</v>
      </c>
    </row>
    <row r="89" spans="1:2">
      <c r="A89" s="3" t="s">
        <v>120</v>
      </c>
      <c r="B89" s="23">
        <v>2.6710012920709455E-4</v>
      </c>
    </row>
    <row r="90" spans="1:2">
      <c r="A90" s="3" t="s">
        <v>123</v>
      </c>
      <c r="B90" s="23">
        <v>2.9281359166871354E-4</v>
      </c>
    </row>
    <row r="91" spans="1:2">
      <c r="A91" s="3" t="s">
        <v>127</v>
      </c>
      <c r="B91" s="23">
        <v>2.4823333749177785E-2</v>
      </c>
    </row>
    <row r="92" spans="1:2">
      <c r="A92" s="3" t="s">
        <v>139</v>
      </c>
      <c r="B92" s="23">
        <v>9.5544828899668199E-2</v>
      </c>
    </row>
    <row r="93" spans="1:2">
      <c r="A93" s="3" t="s">
        <v>140</v>
      </c>
      <c r="B93" s="23">
        <v>6.3348621155560484E-3</v>
      </c>
    </row>
    <row r="94" spans="1:2">
      <c r="A94" s="3" t="s">
        <v>142</v>
      </c>
      <c r="B94" s="23">
        <v>6.9593670698882447E-3</v>
      </c>
    </row>
    <row r="96" spans="1:2">
      <c r="A96" t="s">
        <v>165</v>
      </c>
      <c r="B96" s="22">
        <f>SUM(B55:B94)</f>
        <v>0.99999999999999989</v>
      </c>
    </row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O129"/>
  <sheetViews>
    <sheetView topLeftCell="R43" zoomScale="70" zoomScaleNormal="70" workbookViewId="0">
      <selection activeCell="U74" sqref="U74"/>
    </sheetView>
  </sheetViews>
  <sheetFormatPr defaultColWidth="11" defaultRowHeight="14.25"/>
  <cols>
    <col min="2" max="17" width="11.125" bestFit="1" customWidth="1"/>
    <col min="18" max="18" width="13" bestFit="1" customWidth="1"/>
    <col min="19" max="22" width="11.125" bestFit="1" customWidth="1"/>
    <col min="23" max="23" width="13" bestFit="1" customWidth="1"/>
    <col min="24" max="30" width="11.125" bestFit="1" customWidth="1"/>
    <col min="31" max="31" width="13" bestFit="1" customWidth="1"/>
    <col min="32" max="32" width="12" bestFit="1" customWidth="1"/>
    <col min="33" max="41" width="11.125" bestFit="1" customWidth="1"/>
  </cols>
  <sheetData>
    <row r="1" spans="1:41" ht="20.25">
      <c r="A1" s="32" t="s">
        <v>167</v>
      </c>
    </row>
    <row r="3" spans="1:41">
      <c r="B3" s="3" t="s">
        <v>15</v>
      </c>
      <c r="C3" s="3" t="s">
        <v>19</v>
      </c>
      <c r="D3" s="3" t="s">
        <v>17</v>
      </c>
      <c r="E3" s="3" t="s">
        <v>18</v>
      </c>
      <c r="F3" s="3" t="s">
        <v>20</v>
      </c>
      <c r="G3" s="3" t="s">
        <v>22</v>
      </c>
      <c r="H3" s="3" t="s">
        <v>23</v>
      </c>
      <c r="I3" s="3" t="s">
        <v>24</v>
      </c>
      <c r="J3" s="3" t="s">
        <v>29</v>
      </c>
      <c r="K3" s="3" t="s">
        <v>30</v>
      </c>
      <c r="L3" s="3" t="s">
        <v>32</v>
      </c>
      <c r="M3" s="3" t="s">
        <v>41</v>
      </c>
      <c r="N3" s="3" t="s">
        <v>43</v>
      </c>
      <c r="O3" s="3" t="s">
        <v>45</v>
      </c>
      <c r="P3" s="3" t="s">
        <v>47</v>
      </c>
      <c r="Q3" s="3" t="s">
        <v>50</v>
      </c>
      <c r="R3" s="3" t="s">
        <v>52</v>
      </c>
      <c r="S3" s="3" t="s">
        <v>53</v>
      </c>
      <c r="T3" s="3" t="s">
        <v>54</v>
      </c>
      <c r="U3" s="3" t="s">
        <v>57</v>
      </c>
      <c r="V3" s="3" t="s">
        <v>62</v>
      </c>
      <c r="W3" s="3" t="s">
        <v>66</v>
      </c>
      <c r="X3" s="3" t="s">
        <v>70</v>
      </c>
      <c r="Y3" s="3" t="s">
        <v>74</v>
      </c>
      <c r="Z3" s="3" t="s">
        <v>76</v>
      </c>
      <c r="AA3" s="3" t="s">
        <v>79</v>
      </c>
      <c r="AB3" s="3" t="s">
        <v>87</v>
      </c>
      <c r="AC3" s="3" t="s">
        <v>88</v>
      </c>
      <c r="AD3" s="3" t="s">
        <v>91</v>
      </c>
      <c r="AE3" s="3" t="s">
        <v>94</v>
      </c>
      <c r="AF3" s="3" t="s">
        <v>95</v>
      </c>
      <c r="AG3" s="3" t="s">
        <v>102</v>
      </c>
      <c r="AH3" s="3" t="s">
        <v>110</v>
      </c>
      <c r="AI3" s="3" t="s">
        <v>114</v>
      </c>
      <c r="AJ3" s="3" t="s">
        <v>120</v>
      </c>
      <c r="AK3" s="3" t="s">
        <v>123</v>
      </c>
      <c r="AL3" s="3" t="s">
        <v>127</v>
      </c>
      <c r="AM3" s="3" t="s">
        <v>139</v>
      </c>
      <c r="AN3" s="3" t="s">
        <v>140</v>
      </c>
      <c r="AO3" s="3" t="s">
        <v>142</v>
      </c>
    </row>
    <row r="4" spans="1:41">
      <c r="A4" s="3" t="s">
        <v>15</v>
      </c>
      <c r="B4" s="4">
        <f t="array" ref="B4:AO43">BLtracking('Black Litterman'!B13:AO52)</f>
        <v>1</v>
      </c>
      <c r="C4" s="1">
        <v>0.20845190175106224</v>
      </c>
      <c r="D4" s="1">
        <v>0.325592508252878</v>
      </c>
      <c r="E4" s="1">
        <v>0.13409149467924059</v>
      </c>
      <c r="F4" s="1">
        <v>0.32982214724998243</v>
      </c>
      <c r="G4" s="1">
        <v>0.29012288614360088</v>
      </c>
      <c r="H4" s="1">
        <v>0.3699104373484714</v>
      </c>
      <c r="I4" s="1">
        <v>0.17768364884572427</v>
      </c>
      <c r="J4" s="1">
        <v>0.29354146896502387</v>
      </c>
      <c r="K4" s="1">
        <v>0.2914361097185027</v>
      </c>
      <c r="L4" s="1">
        <v>0.12213338868967998</v>
      </c>
      <c r="M4" s="1">
        <v>9.9186490513831892E-3</v>
      </c>
      <c r="N4" s="1">
        <v>0.26238946837207566</v>
      </c>
      <c r="O4" s="1">
        <v>0.29768145136417096</v>
      </c>
      <c r="P4" s="1">
        <v>0.31767980083769087</v>
      </c>
      <c r="Q4" s="1">
        <v>0.59675827139586224</v>
      </c>
      <c r="R4" s="1">
        <v>0.29970935196200144</v>
      </c>
      <c r="S4" s="1">
        <v>0.27935807894247228</v>
      </c>
      <c r="T4" s="1">
        <v>0.28536015976677054</v>
      </c>
      <c r="U4" s="1">
        <v>0.5381015628110879</v>
      </c>
      <c r="V4" s="1">
        <v>0.24130592728092032</v>
      </c>
      <c r="W4" s="1">
        <v>0.15462832425121306</v>
      </c>
      <c r="X4" s="1">
        <v>0.18821037838535476</v>
      </c>
      <c r="Y4" s="1">
        <v>0.20401123780067176</v>
      </c>
      <c r="Z4" s="1">
        <v>0.2596008522429103</v>
      </c>
      <c r="AA4" s="1">
        <v>0.24363172270214919</v>
      </c>
      <c r="AB4" s="1">
        <v>0.12822464475083351</v>
      </c>
      <c r="AC4" s="1">
        <v>0.4239095978043036</v>
      </c>
      <c r="AD4" s="1">
        <v>0.19224611926238117</v>
      </c>
      <c r="AE4" s="1">
        <v>0.40961662697968942</v>
      </c>
      <c r="AF4" s="1">
        <v>0.20608938681926264</v>
      </c>
      <c r="AG4" s="1">
        <v>0.39820731772649903</v>
      </c>
      <c r="AH4" s="1">
        <v>0.45771713673362646</v>
      </c>
      <c r="AI4" s="1">
        <v>0.38507631827018057</v>
      </c>
      <c r="AJ4" s="1">
        <v>0.12574746921189195</v>
      </c>
      <c r="AK4" s="1">
        <v>0.2594401473160185</v>
      </c>
      <c r="AL4" s="1">
        <v>0.34196298520738833</v>
      </c>
      <c r="AM4" s="1">
        <v>0.61091418301458833</v>
      </c>
      <c r="AN4" s="1">
        <v>0.22983415236268817</v>
      </c>
      <c r="AO4" s="1">
        <v>0.26779693452103459</v>
      </c>
    </row>
    <row r="5" spans="1:41">
      <c r="A5" s="3" t="s">
        <v>19</v>
      </c>
      <c r="B5" s="1">
        <v>0.19817525729118368</v>
      </c>
      <c r="C5" s="4">
        <v>1</v>
      </c>
      <c r="D5" s="1">
        <v>0.24062723227276872</v>
      </c>
      <c r="E5" s="1">
        <v>7.4716611928632881E-2</v>
      </c>
      <c r="F5" s="1">
        <v>0.38004185158839643</v>
      </c>
      <c r="G5" s="1">
        <v>0.23576673071168364</v>
      </c>
      <c r="H5" s="1">
        <v>0.30041413895498548</v>
      </c>
      <c r="I5" s="1">
        <v>0.11195019885664359</v>
      </c>
      <c r="J5" s="1">
        <v>0.18668288291067101</v>
      </c>
      <c r="K5" s="1">
        <v>0.37018231393135198</v>
      </c>
      <c r="L5" s="1">
        <v>0.12671984103053704</v>
      </c>
      <c r="M5" s="1">
        <v>0.12361222277856636</v>
      </c>
      <c r="N5" s="1">
        <v>9.2831334243261968E-2</v>
      </c>
      <c r="O5" s="1">
        <v>0.10157072690136623</v>
      </c>
      <c r="P5" s="1">
        <v>0.11668011093968111</v>
      </c>
      <c r="Q5" s="1">
        <v>0.37514366847433417</v>
      </c>
      <c r="R5" s="1">
        <v>6.1051993531353668E-2</v>
      </c>
      <c r="S5" s="1">
        <v>5.1330700260346696E-2</v>
      </c>
      <c r="T5" s="1">
        <v>7.84631478819839E-2</v>
      </c>
      <c r="U5" s="1">
        <v>0.53636685440664844</v>
      </c>
      <c r="V5" s="1">
        <v>0.14725204019045254</v>
      </c>
      <c r="W5" s="1">
        <v>7.3173803827464232E-2</v>
      </c>
      <c r="X5" s="1">
        <v>-3.0719094962861622E-3</v>
      </c>
      <c r="Y5" s="1">
        <v>2.9368137571169701E-2</v>
      </c>
      <c r="Z5" s="1">
        <v>0.15154630382815371</v>
      </c>
      <c r="AA5" s="1">
        <v>0.15490334039011658</v>
      </c>
      <c r="AB5" s="1">
        <v>0.1439736874258932</v>
      </c>
      <c r="AC5" s="1">
        <v>-9.6507502146970944E-2</v>
      </c>
      <c r="AD5" s="1">
        <v>0.21182548844631793</v>
      </c>
      <c r="AE5" s="1">
        <v>0.18974435757075395</v>
      </c>
      <c r="AF5" s="1">
        <v>0.21932184421334602</v>
      </c>
      <c r="AG5" s="1">
        <v>4.8090786313724015E-2</v>
      </c>
      <c r="AH5" s="1">
        <v>0.2038035163549769</v>
      </c>
      <c r="AI5" s="1">
        <v>0.2189116823353541</v>
      </c>
      <c r="AJ5" s="1">
        <v>8.6632764026369852E-2</v>
      </c>
      <c r="AK5" s="1">
        <v>0.14280117613991802</v>
      </c>
      <c r="AL5" s="1">
        <v>0.24994436335988382</v>
      </c>
      <c r="AM5" s="1">
        <v>0.37625880762002079</v>
      </c>
      <c r="AN5" s="1">
        <v>0.10346082127699574</v>
      </c>
      <c r="AO5" s="1">
        <v>2.2501178947341938E-2</v>
      </c>
    </row>
    <row r="6" spans="1:41">
      <c r="A6" s="3" t="s">
        <v>17</v>
      </c>
      <c r="B6" s="1">
        <v>0.16218243571411145</v>
      </c>
      <c r="C6" s="1">
        <v>0.12607547754100598</v>
      </c>
      <c r="D6" s="4">
        <v>1</v>
      </c>
      <c r="E6" s="1">
        <v>8.0192421189556023E-2</v>
      </c>
      <c r="F6" s="1">
        <v>0.18662322670190906</v>
      </c>
      <c r="G6" s="1">
        <v>6.8627435847197854E-2</v>
      </c>
      <c r="H6" s="1">
        <v>0.28997405724273229</v>
      </c>
      <c r="I6" s="1">
        <v>4.6397944274223876E-2</v>
      </c>
      <c r="J6" s="1">
        <v>5.9396313952310924E-2</v>
      </c>
      <c r="K6" s="1">
        <v>0.17365015203096038</v>
      </c>
      <c r="L6" s="1">
        <v>9.6248617680673831E-2</v>
      </c>
      <c r="M6" s="1">
        <v>7.1601671533371908E-2</v>
      </c>
      <c r="N6" s="1">
        <v>0.1032779260436892</v>
      </c>
      <c r="O6" s="1">
        <v>2.8354472805854569E-2</v>
      </c>
      <c r="P6" s="1">
        <v>0.117966434908016</v>
      </c>
      <c r="Q6" s="1">
        <v>0.24522036153879032</v>
      </c>
      <c r="R6" s="1">
        <v>4.5792600784382697E-3</v>
      </c>
      <c r="S6" s="1">
        <v>0.16914930978009066</v>
      </c>
      <c r="T6" s="1">
        <v>7.4368086632187871E-2</v>
      </c>
      <c r="U6" s="1">
        <v>0.27537001431365227</v>
      </c>
      <c r="V6" s="1">
        <v>6.6686447124038428E-2</v>
      </c>
      <c r="W6" s="1">
        <v>1.3165913382273678E-2</v>
      </c>
      <c r="X6" s="1">
        <v>-1.1159342162913892E-2</v>
      </c>
      <c r="Y6" s="1">
        <v>0.12402680012887997</v>
      </c>
      <c r="Z6" s="1">
        <v>-1.7366647796773087E-2</v>
      </c>
      <c r="AA6" s="1">
        <v>9.5082272314498034E-2</v>
      </c>
      <c r="AB6" s="1">
        <v>-2.0131174028762831E-2</v>
      </c>
      <c r="AC6" s="1">
        <v>-0.18064536542772233</v>
      </c>
      <c r="AD6" s="1">
        <v>1.8668110542666323E-2</v>
      </c>
      <c r="AE6" s="1">
        <v>5.0395906713531724E-2</v>
      </c>
      <c r="AF6" s="1">
        <v>2.141628378936266E-2</v>
      </c>
      <c r="AG6" s="1">
        <v>1.0409957565587616E-2</v>
      </c>
      <c r="AH6" s="1">
        <v>0.17558515704235436</v>
      </c>
      <c r="AI6" s="1">
        <v>-5.9964330391632452E-2</v>
      </c>
      <c r="AJ6" s="1">
        <v>4.7049383786972772E-3</v>
      </c>
      <c r="AK6" s="1">
        <v>4.433606568998235E-2</v>
      </c>
      <c r="AL6" s="1">
        <v>0.10515249025229434</v>
      </c>
      <c r="AM6" s="1">
        <v>0.19414229605425112</v>
      </c>
      <c r="AN6" s="1">
        <v>-4.3566086734756516E-2</v>
      </c>
      <c r="AO6" s="1">
        <v>5.0802545742947318E-3</v>
      </c>
    </row>
    <row r="7" spans="1:41">
      <c r="A7" s="3" t="s">
        <v>18</v>
      </c>
      <c r="B7" s="1">
        <v>4.588456383119751E-2</v>
      </c>
      <c r="C7" s="1">
        <v>2.6892982994243288E-2</v>
      </c>
      <c r="D7" s="1">
        <v>5.5089557867533667E-2</v>
      </c>
      <c r="E7" s="4">
        <v>1</v>
      </c>
      <c r="F7" s="1">
        <v>0.10678700579416249</v>
      </c>
      <c r="G7" s="1">
        <v>3.9262340467161434E-2</v>
      </c>
      <c r="H7" s="1">
        <v>0.2116218667220488</v>
      </c>
      <c r="I7" s="1">
        <v>3.7474783492545551E-2</v>
      </c>
      <c r="J7" s="1">
        <v>0.12234359930436106</v>
      </c>
      <c r="K7" s="1">
        <v>0.21204182766049937</v>
      </c>
      <c r="L7" s="1">
        <v>6.8724605598205479E-2</v>
      </c>
      <c r="M7" s="1">
        <v>0.14299239169332273</v>
      </c>
      <c r="N7" s="1">
        <v>9.4286881079963816E-2</v>
      </c>
      <c r="O7" s="1">
        <v>9.1574826027867928E-2</v>
      </c>
      <c r="P7" s="1">
        <v>0.11677557241269729</v>
      </c>
      <c r="Q7" s="1">
        <v>-6.8293985935902302E-2</v>
      </c>
      <c r="R7" s="1">
        <v>0.18807852809591472</v>
      </c>
      <c r="S7" s="1">
        <v>7.5672112650200282E-2</v>
      </c>
      <c r="T7" s="1">
        <v>0.11057581102692686</v>
      </c>
      <c r="U7" s="1">
        <v>0.31127604011092325</v>
      </c>
      <c r="V7" s="1">
        <v>6.8452751303053574E-2</v>
      </c>
      <c r="W7" s="1">
        <v>5.556307830626623E-2</v>
      </c>
      <c r="X7" s="1">
        <v>0.13793496053019794</v>
      </c>
      <c r="Y7" s="1">
        <v>0.25966877730627386</v>
      </c>
      <c r="Z7" s="1">
        <v>4.1488186634224891E-3</v>
      </c>
      <c r="AA7" s="1">
        <v>0.11841919454359821</v>
      </c>
      <c r="AB7" s="1">
        <v>0.14194190594265346</v>
      </c>
      <c r="AC7" s="1">
        <v>0.22201198793720681</v>
      </c>
      <c r="AD7" s="1">
        <v>-3.1385532431205704E-2</v>
      </c>
      <c r="AE7" s="1">
        <v>1.1922107080194777E-2</v>
      </c>
      <c r="AF7" s="1">
        <v>2.4393762591763211E-3</v>
      </c>
      <c r="AG7" s="1">
        <v>3.4008631360355063E-2</v>
      </c>
      <c r="AH7" s="1">
        <v>0.11805851874841269</v>
      </c>
      <c r="AI7" s="1">
        <v>0.14611924596451334</v>
      </c>
      <c r="AJ7" s="1">
        <v>0.2605432052058631</v>
      </c>
      <c r="AK7" s="1">
        <v>8.8494293290598922E-2</v>
      </c>
      <c r="AL7" s="1">
        <v>0.17258393377045955</v>
      </c>
      <c r="AM7" s="1">
        <v>0.19513985454117513</v>
      </c>
      <c r="AN7" s="1">
        <v>6.5178716593885563E-2</v>
      </c>
      <c r="AO7" s="1">
        <v>5.2937818644216796E-2</v>
      </c>
    </row>
    <row r="8" spans="1:41">
      <c r="A8" s="3" t="s">
        <v>20</v>
      </c>
      <c r="B8" s="1">
        <v>0.18696403973975162</v>
      </c>
      <c r="C8" s="1">
        <v>0.22660324503350937</v>
      </c>
      <c r="D8" s="1">
        <v>0.21238045529793731</v>
      </c>
      <c r="E8" s="1">
        <v>0.1769014130749369</v>
      </c>
      <c r="F8" s="4">
        <v>1</v>
      </c>
      <c r="G8" s="1">
        <v>0.20179742405965306</v>
      </c>
      <c r="H8" s="1">
        <v>0.27290894426431506</v>
      </c>
      <c r="I8" s="1">
        <v>7.6213020175331561E-2</v>
      </c>
      <c r="J8" s="1">
        <v>0.21289044278710623</v>
      </c>
      <c r="K8" s="1">
        <v>0.29636512591753866</v>
      </c>
      <c r="L8" s="1">
        <v>0.14085585364521405</v>
      </c>
      <c r="M8" s="1">
        <v>0.1190870632746793</v>
      </c>
      <c r="N8" s="1">
        <v>0.12322231772666777</v>
      </c>
      <c r="O8" s="1">
        <v>0.13945798854328076</v>
      </c>
      <c r="P8" s="1">
        <v>0.1126924974083344</v>
      </c>
      <c r="Q8" s="1">
        <v>0.2944547455556365</v>
      </c>
      <c r="R8" s="1">
        <v>0.13372024569956836</v>
      </c>
      <c r="S8" s="1">
        <v>0.11904406321034518</v>
      </c>
      <c r="T8" s="1">
        <v>0.17661566829720335</v>
      </c>
      <c r="U8" s="1">
        <v>0.55452064864009976</v>
      </c>
      <c r="V8" s="1">
        <v>6.6315492302584919E-2</v>
      </c>
      <c r="W8" s="1">
        <v>2.4227923706264209E-2</v>
      </c>
      <c r="X8" s="1">
        <v>5.3678367797758801E-2</v>
      </c>
      <c r="Y8" s="1">
        <v>6.5441001524543102E-2</v>
      </c>
      <c r="Z8" s="1">
        <v>6.3542927122468895E-2</v>
      </c>
      <c r="AA8" s="1">
        <v>0.16066913530771015</v>
      </c>
      <c r="AB8" s="1">
        <v>0.1214454362235223</v>
      </c>
      <c r="AC8" s="1">
        <v>-0.13630596635019754</v>
      </c>
      <c r="AD8" s="1">
        <v>0.10690155457283966</v>
      </c>
      <c r="AE8" s="1">
        <v>9.0769979280498569E-2</v>
      </c>
      <c r="AF8" s="1">
        <v>0.11772020767000403</v>
      </c>
      <c r="AG8" s="1">
        <v>0.14611414735789627</v>
      </c>
      <c r="AH8" s="1">
        <v>0.28759674578637862</v>
      </c>
      <c r="AI8" s="1">
        <v>0.22738927731487116</v>
      </c>
      <c r="AJ8" s="1">
        <v>0.31850616903616624</v>
      </c>
      <c r="AK8" s="1">
        <v>0.15886408804456104</v>
      </c>
      <c r="AL8" s="1">
        <v>0.20679706324082206</v>
      </c>
      <c r="AM8" s="1">
        <v>0.31959790896522894</v>
      </c>
      <c r="AN8" s="1">
        <v>7.4711949980838091E-2</v>
      </c>
      <c r="AO8" s="1">
        <v>2.202475258051061E-2</v>
      </c>
    </row>
    <row r="9" spans="1:41">
      <c r="A9" s="3" t="s">
        <v>22</v>
      </c>
      <c r="B9" s="1">
        <v>0.21158259082354722</v>
      </c>
      <c r="C9" s="1">
        <v>0.18085765431947123</v>
      </c>
      <c r="D9" s="1">
        <v>0.10047691655774445</v>
      </c>
      <c r="E9" s="1">
        <v>8.3677510381093348E-2</v>
      </c>
      <c r="F9" s="1">
        <v>0.25961829366824057</v>
      </c>
      <c r="G9" s="4">
        <v>1</v>
      </c>
      <c r="H9" s="1">
        <v>0.387891544348066</v>
      </c>
      <c r="I9" s="1">
        <v>0.29294462017666667</v>
      </c>
      <c r="J9" s="1">
        <v>0.19826361556941471</v>
      </c>
      <c r="K9" s="1">
        <v>0.21180535149054319</v>
      </c>
      <c r="L9" s="1">
        <v>0.18184650262309798</v>
      </c>
      <c r="M9" s="1">
        <v>0.14224877085788321</v>
      </c>
      <c r="N9" s="1">
        <v>0.21689656388205325</v>
      </c>
      <c r="O9" s="1">
        <v>0.18498808324554256</v>
      </c>
      <c r="P9" s="1">
        <v>7.5284191591650354E-2</v>
      </c>
      <c r="Q9" s="1">
        <v>0.33999000326904272</v>
      </c>
      <c r="R9" s="1">
        <v>0.35444165487139273</v>
      </c>
      <c r="S9" s="1">
        <v>4.4167031537511413E-3</v>
      </c>
      <c r="T9" s="1">
        <v>0.16738912686389337</v>
      </c>
      <c r="U9" s="1">
        <v>0.56162462159452298</v>
      </c>
      <c r="V9" s="1">
        <v>0.33666545857261027</v>
      </c>
      <c r="W9" s="1">
        <v>0.30533092288023772</v>
      </c>
      <c r="X9" s="1">
        <v>3.6150360558624792E-2</v>
      </c>
      <c r="Y9" s="1">
        <v>0.2121644106123767</v>
      </c>
      <c r="Z9" s="1">
        <v>0.15814057546134261</v>
      </c>
      <c r="AA9" s="1">
        <v>0.1299103437079028</v>
      </c>
      <c r="AB9" s="1">
        <v>0.18601687175456305</v>
      </c>
      <c r="AC9" s="1">
        <v>0.11984025023759938</v>
      </c>
      <c r="AD9" s="1">
        <v>0.10295286769946663</v>
      </c>
      <c r="AE9" s="1">
        <v>0.20473815933333139</v>
      </c>
      <c r="AF9" s="1">
        <v>0.1629798480433178</v>
      </c>
      <c r="AG9" s="1">
        <v>0.2080675571738608</v>
      </c>
      <c r="AH9" s="1">
        <v>0.32686291733512468</v>
      </c>
      <c r="AI9" s="1">
        <v>0.30520425197615086</v>
      </c>
      <c r="AJ9" s="1">
        <v>0.17521473062678389</v>
      </c>
      <c r="AK9" s="1">
        <v>9.1347125502444448E-2</v>
      </c>
      <c r="AL9" s="1">
        <v>0.16160766385956868</v>
      </c>
      <c r="AM9" s="1">
        <v>0.36444416632253329</v>
      </c>
      <c r="AN9" s="1">
        <v>0.18877160826646136</v>
      </c>
      <c r="AO9" s="1">
        <v>0.1968948501449963</v>
      </c>
    </row>
    <row r="10" spans="1:41">
      <c r="A10" s="3" t="s">
        <v>23</v>
      </c>
      <c r="B10" s="1">
        <v>9.9019901674434141E-2</v>
      </c>
      <c r="C10" s="1">
        <v>8.4586821332108791E-2</v>
      </c>
      <c r="D10" s="1">
        <v>0.15583163784282289</v>
      </c>
      <c r="E10" s="1">
        <v>0.16554690671254635</v>
      </c>
      <c r="F10" s="1">
        <v>0.12887402899383227</v>
      </c>
      <c r="G10" s="1">
        <v>0.14237648806498399</v>
      </c>
      <c r="H10" s="4">
        <v>1</v>
      </c>
      <c r="I10" s="1">
        <v>0.13199053672439956</v>
      </c>
      <c r="J10" s="1">
        <v>7.3520747323763971E-2</v>
      </c>
      <c r="K10" s="1">
        <v>0.1163715153299487</v>
      </c>
      <c r="L10" s="1">
        <v>8.2263964348988389E-2</v>
      </c>
      <c r="M10" s="1">
        <v>0.11107985666698025</v>
      </c>
      <c r="N10" s="1">
        <v>0.12093317855898825</v>
      </c>
      <c r="O10" s="1">
        <v>9.2482189227246325E-2</v>
      </c>
      <c r="P10" s="1">
        <v>0.20569830424287211</v>
      </c>
      <c r="Q10" s="1">
        <v>0.13956407310714361</v>
      </c>
      <c r="R10" s="1">
        <v>0.14261456924696053</v>
      </c>
      <c r="S10" s="1">
        <v>7.0875299661640509E-2</v>
      </c>
      <c r="T10" s="1">
        <v>0.12793254053897077</v>
      </c>
      <c r="U10" s="1">
        <v>0.2483627150023823</v>
      </c>
      <c r="V10" s="1">
        <v>0.11794494768209846</v>
      </c>
      <c r="W10" s="1">
        <v>0.12614674679940788</v>
      </c>
      <c r="X10" s="1">
        <v>7.980590399815797E-2</v>
      </c>
      <c r="Y10" s="1">
        <v>0.22718453710465375</v>
      </c>
      <c r="Z10" s="1">
        <v>2.2799954798105185E-3</v>
      </c>
      <c r="AA10" s="1">
        <v>0.11111719651995688</v>
      </c>
      <c r="AB10" s="1">
        <v>8.470194408231288E-2</v>
      </c>
      <c r="AC10" s="1">
        <v>2.0421388909772215E-2</v>
      </c>
      <c r="AD10" s="1">
        <v>4.6377788331084671E-3</v>
      </c>
      <c r="AE10" s="1">
        <v>6.1199445262068226E-2</v>
      </c>
      <c r="AF10" s="1">
        <v>3.0142834011024931E-2</v>
      </c>
      <c r="AG10" s="1">
        <v>8.0147914794199415E-2</v>
      </c>
      <c r="AH10" s="1">
        <v>7.0840383499072998E-2</v>
      </c>
      <c r="AI10" s="1">
        <v>4.2850801644324268E-2</v>
      </c>
      <c r="AJ10" s="1">
        <v>0.20502456946668451</v>
      </c>
      <c r="AK10" s="1">
        <v>4.584109235695482E-2</v>
      </c>
      <c r="AL10" s="1">
        <v>0.12683728268310804</v>
      </c>
      <c r="AM10" s="1">
        <v>6.4339970701995625E-2</v>
      </c>
      <c r="AN10" s="1">
        <v>7.8593167337010786E-2</v>
      </c>
      <c r="AO10" s="1">
        <v>9.6745151747386446E-2</v>
      </c>
    </row>
    <row r="11" spans="1:41">
      <c r="A11" s="3" t="s">
        <v>24</v>
      </c>
      <c r="B11" s="1">
        <v>7.7897922668736672E-2</v>
      </c>
      <c r="C11" s="1">
        <v>5.162495813577473E-2</v>
      </c>
      <c r="D11" s="1">
        <v>4.0836426974731943E-2</v>
      </c>
      <c r="E11" s="1">
        <v>4.8012262142070099E-2</v>
      </c>
      <c r="F11" s="1">
        <v>5.8942603651039517E-2</v>
      </c>
      <c r="G11" s="1">
        <v>0.1761026930136444</v>
      </c>
      <c r="H11" s="1">
        <v>0.21616993990234101</v>
      </c>
      <c r="I11" s="4">
        <v>1</v>
      </c>
      <c r="J11" s="1">
        <v>0.11762900069280152</v>
      </c>
      <c r="K11" s="1">
        <v>3.3931924900440176E-2</v>
      </c>
      <c r="L11" s="1">
        <v>2.6492261911113191E-2</v>
      </c>
      <c r="M11" s="1">
        <v>0.17003952702803588</v>
      </c>
      <c r="N11" s="1">
        <v>0.14128409448040372</v>
      </c>
      <c r="O11" s="1">
        <v>0.14137603588968783</v>
      </c>
      <c r="P11" s="1">
        <v>0.17068446944490107</v>
      </c>
      <c r="Q11" s="1">
        <v>6.6348546313153178E-2</v>
      </c>
      <c r="R11" s="1">
        <v>0.29040839134024493</v>
      </c>
      <c r="S11" s="1">
        <v>-5.1518920135514554E-2</v>
      </c>
      <c r="T11" s="1">
        <v>9.3641990999639477E-2</v>
      </c>
      <c r="U11" s="1">
        <v>0.58014281201655082</v>
      </c>
      <c r="V11" s="1">
        <v>0.21383064995143128</v>
      </c>
      <c r="W11" s="1">
        <v>0.20901740937062763</v>
      </c>
      <c r="X11" s="1">
        <v>0.18283589834655364</v>
      </c>
      <c r="Y11" s="1">
        <v>0.20291235758248438</v>
      </c>
      <c r="Z11" s="1">
        <v>5.5044927975457826E-2</v>
      </c>
      <c r="AA11" s="1">
        <v>0.15409243230651481</v>
      </c>
      <c r="AB11" s="1">
        <v>0.13607440857523079</v>
      </c>
      <c r="AC11" s="1">
        <v>0.15234454994549942</v>
      </c>
      <c r="AD11" s="1">
        <v>2.9193014361874065E-2</v>
      </c>
      <c r="AE11" s="1">
        <v>0.15692939817493493</v>
      </c>
      <c r="AF11" s="1">
        <v>0.12353479336842807</v>
      </c>
      <c r="AG11" s="1">
        <v>0.20326618002165558</v>
      </c>
      <c r="AH11" s="1">
        <v>0.17814442153051713</v>
      </c>
      <c r="AI11" s="1">
        <v>0.19433006770333719</v>
      </c>
      <c r="AJ11" s="1">
        <v>0.13066609609073837</v>
      </c>
      <c r="AK11" s="1">
        <v>6.3712308740822732E-2</v>
      </c>
      <c r="AL11" s="1">
        <v>0.11996653208149116</v>
      </c>
      <c r="AM11" s="1">
        <v>0.11136134232059244</v>
      </c>
      <c r="AN11" s="1">
        <v>0.24542027491084939</v>
      </c>
      <c r="AO11" s="1">
        <v>9.5654208221170531E-2</v>
      </c>
    </row>
    <row r="12" spans="1:41">
      <c r="A12" s="3" t="s">
        <v>29</v>
      </c>
      <c r="B12" s="1">
        <v>0.19542627435311077</v>
      </c>
      <c r="C12" s="1">
        <v>0.13072974658572226</v>
      </c>
      <c r="D12" s="1">
        <v>7.9385935764092461E-2</v>
      </c>
      <c r="E12" s="1">
        <v>0.23802872292681596</v>
      </c>
      <c r="F12" s="1">
        <v>0.25002957697200601</v>
      </c>
      <c r="G12" s="1">
        <v>0.18099166263593072</v>
      </c>
      <c r="H12" s="1">
        <v>0.18285106620367597</v>
      </c>
      <c r="I12" s="1">
        <v>0.17862797903013877</v>
      </c>
      <c r="J12" s="4">
        <v>1</v>
      </c>
      <c r="K12" s="1">
        <v>0.37245089401345338</v>
      </c>
      <c r="L12" s="1">
        <v>0.12407338692944332</v>
      </c>
      <c r="M12" s="1">
        <v>4.5537985895345384E-2</v>
      </c>
      <c r="N12" s="1">
        <v>0.13646812094167515</v>
      </c>
      <c r="O12" s="1">
        <v>0.18705143101656596</v>
      </c>
      <c r="P12" s="1">
        <v>0.20251868087953492</v>
      </c>
      <c r="Q12" s="1">
        <v>0.1475440703341242</v>
      </c>
      <c r="R12" s="1">
        <v>0.18549092476131354</v>
      </c>
      <c r="S12" s="1">
        <v>8.3965451090041748E-2</v>
      </c>
      <c r="T12" s="1">
        <v>0.16120791474839125</v>
      </c>
      <c r="U12" s="1">
        <v>0.51536816937100383</v>
      </c>
      <c r="V12" s="1">
        <v>0.1643317257195954</v>
      </c>
      <c r="W12" s="1">
        <v>0.12169459763933559</v>
      </c>
      <c r="X12" s="1">
        <v>0.18087491678501308</v>
      </c>
      <c r="Y12" s="1">
        <v>4.734999762214756E-2</v>
      </c>
      <c r="Z12" s="1">
        <v>0.12754198193614072</v>
      </c>
      <c r="AA12" s="1">
        <v>0.14054499736523202</v>
      </c>
      <c r="AB12" s="1">
        <v>0.237889068222216</v>
      </c>
      <c r="AC12" s="1">
        <v>0.26316833764171421</v>
      </c>
      <c r="AD12" s="1">
        <v>7.3777072300903204E-2</v>
      </c>
      <c r="AE12" s="1">
        <v>0.16552504305505678</v>
      </c>
      <c r="AF12" s="1">
        <v>9.6011340415666599E-2</v>
      </c>
      <c r="AG12" s="1">
        <v>0.42392462280985038</v>
      </c>
      <c r="AH12" s="1">
        <v>0.26050346887883902</v>
      </c>
      <c r="AI12" s="1">
        <v>0.34700522543286633</v>
      </c>
      <c r="AJ12" s="1">
        <v>0.38610370431902646</v>
      </c>
      <c r="AK12" s="1">
        <v>0.27174514143728218</v>
      </c>
      <c r="AL12" s="1">
        <v>0.25849307121145149</v>
      </c>
      <c r="AM12" s="1">
        <v>0.33437352967014994</v>
      </c>
      <c r="AN12" s="1">
        <v>0.23403661662788808</v>
      </c>
      <c r="AO12" s="1">
        <v>0.11482954326582652</v>
      </c>
    </row>
    <row r="13" spans="1:41">
      <c r="A13" s="3" t="s">
        <v>30</v>
      </c>
      <c r="B13" s="1">
        <v>0.10846305889144842</v>
      </c>
      <c r="C13" s="1">
        <v>0.14491407999351402</v>
      </c>
      <c r="D13" s="1">
        <v>0.12974309090571259</v>
      </c>
      <c r="E13" s="1">
        <v>0.23061876930394803</v>
      </c>
      <c r="F13" s="1">
        <v>0.19457512425186255</v>
      </c>
      <c r="G13" s="1">
        <v>0.10808799839789886</v>
      </c>
      <c r="H13" s="1">
        <v>0.16179283000270145</v>
      </c>
      <c r="I13" s="1">
        <v>2.8805045941099658E-2</v>
      </c>
      <c r="J13" s="1">
        <v>0.20820637311846626</v>
      </c>
      <c r="K13" s="4">
        <v>1</v>
      </c>
      <c r="L13" s="1">
        <v>8.0518152408412313E-2</v>
      </c>
      <c r="M13" s="1">
        <v>4.7977587182609964E-2</v>
      </c>
      <c r="N13" s="1">
        <v>6.7936658022640956E-2</v>
      </c>
      <c r="O13" s="1">
        <v>7.7895073310957533E-2</v>
      </c>
      <c r="P13" s="1">
        <v>0.17098445037991111</v>
      </c>
      <c r="Q13" s="1">
        <v>0.27999475679232494</v>
      </c>
      <c r="R13" s="1">
        <v>6.1470722086568952E-2</v>
      </c>
      <c r="S13" s="1">
        <v>2.8483214562017054E-2</v>
      </c>
      <c r="T13" s="1">
        <v>6.57297876082613E-2</v>
      </c>
      <c r="U13" s="1">
        <v>0.41254585693271256</v>
      </c>
      <c r="V13" s="1">
        <v>4.9504912889838056E-2</v>
      </c>
      <c r="W13" s="1">
        <v>-1.4068909316688598E-2</v>
      </c>
      <c r="X13" s="1">
        <v>0.10515488991074999</v>
      </c>
      <c r="Y13" s="1">
        <v>-3.4998068408493718E-2</v>
      </c>
      <c r="Z13" s="1">
        <v>5.3720632287053621E-2</v>
      </c>
      <c r="AA13" s="1">
        <v>0.12046892044300807</v>
      </c>
      <c r="AB13" s="1">
        <v>0.12080869757389216</v>
      </c>
      <c r="AC13" s="1">
        <v>0.11879917066077517</v>
      </c>
      <c r="AD13" s="1">
        <v>5.4162894562157095E-2</v>
      </c>
      <c r="AE13" s="1">
        <v>4.0157669692481836E-2</v>
      </c>
      <c r="AF13" s="1">
        <v>7.8605887340394393E-2</v>
      </c>
      <c r="AG13" s="1">
        <v>0.20648858162786901</v>
      </c>
      <c r="AH13" s="1">
        <v>0.29194372385317474</v>
      </c>
      <c r="AI13" s="1">
        <v>0.18437279176085786</v>
      </c>
      <c r="AJ13" s="1">
        <v>0.35943686825315385</v>
      </c>
      <c r="AK13" s="1">
        <v>0.2114353039061557</v>
      </c>
      <c r="AL13" s="1">
        <v>0.19398149073288809</v>
      </c>
      <c r="AM13" s="1">
        <v>0.14311972975432397</v>
      </c>
      <c r="AN13" s="1">
        <v>5.8482817731090805E-2</v>
      </c>
      <c r="AO13" s="1">
        <v>0.17218348861823907</v>
      </c>
    </row>
    <row r="14" spans="1:41">
      <c r="A14" s="3" t="s">
        <v>32</v>
      </c>
      <c r="B14" s="1">
        <v>3.2725328140281736E-2</v>
      </c>
      <c r="C14" s="1">
        <v>3.5714999896216924E-2</v>
      </c>
      <c r="D14" s="1">
        <v>5.1774353977391267E-2</v>
      </c>
      <c r="E14" s="1">
        <v>5.3814149761273418E-2</v>
      </c>
      <c r="F14" s="1">
        <v>6.6580374597128733E-2</v>
      </c>
      <c r="G14" s="1">
        <v>6.6812329479288793E-2</v>
      </c>
      <c r="H14" s="1">
        <v>8.2344260213507658E-2</v>
      </c>
      <c r="I14" s="1">
        <v>1.6191617306790106E-2</v>
      </c>
      <c r="J14" s="1">
        <v>4.9936114959154447E-2</v>
      </c>
      <c r="K14" s="1">
        <v>5.797021571557686E-2</v>
      </c>
      <c r="L14" s="4">
        <v>1</v>
      </c>
      <c r="M14" s="1">
        <v>5.0987296195644516E-2</v>
      </c>
      <c r="N14" s="1">
        <v>2.0664803461380693E-2</v>
      </c>
      <c r="O14" s="1">
        <v>2.3227319284574634E-2</v>
      </c>
      <c r="P14" s="1">
        <v>0.11645778224913486</v>
      </c>
      <c r="Q14" s="1">
        <v>6.3353010378681282E-2</v>
      </c>
      <c r="R14" s="1">
        <v>0.22879432547542006</v>
      </c>
      <c r="S14" s="1">
        <v>-4.9733940473098134E-2</v>
      </c>
      <c r="T14" s="1">
        <v>1.6668662381982096E-2</v>
      </c>
      <c r="U14" s="1">
        <v>0.22692526562030665</v>
      </c>
      <c r="V14" s="1">
        <v>0.11789857528339233</v>
      </c>
      <c r="W14" s="1">
        <v>6.2103698921236621E-2</v>
      </c>
      <c r="X14" s="1">
        <v>-2.1940424016779359E-2</v>
      </c>
      <c r="Y14" s="1">
        <v>0.1770399114265053</v>
      </c>
      <c r="Z14" s="1">
        <v>-6.5074416286159606E-2</v>
      </c>
      <c r="AA14" s="1">
        <v>3.9269888403456021E-2</v>
      </c>
      <c r="AB14" s="1">
        <v>0.17547113876860618</v>
      </c>
      <c r="AC14" s="1">
        <v>-8.303729661734198E-2</v>
      </c>
      <c r="AD14" s="1">
        <v>1.7375225633913707E-2</v>
      </c>
      <c r="AE14" s="1">
        <v>7.7752753996434359E-2</v>
      </c>
      <c r="AF14" s="1">
        <v>9.7244290423399403E-3</v>
      </c>
      <c r="AG14" s="1">
        <v>3.618456541005155E-2</v>
      </c>
      <c r="AH14" s="1">
        <v>9.9673841839859473E-2</v>
      </c>
      <c r="AI14" s="1">
        <v>4.0160490598370159E-2</v>
      </c>
      <c r="AJ14" s="1">
        <v>-4.548347644695469E-2</v>
      </c>
      <c r="AK14" s="1">
        <v>-1.7416710570754605E-2</v>
      </c>
      <c r="AL14" s="1">
        <v>-2.669167932702491E-2</v>
      </c>
      <c r="AM14" s="1">
        <v>4.6936029261207046E-2</v>
      </c>
      <c r="AN14" s="1">
        <v>5.9537595151326436E-2</v>
      </c>
      <c r="AO14" s="1">
        <v>-0.11650539020374107</v>
      </c>
    </row>
    <row r="15" spans="1:41">
      <c r="A15" s="3" t="s">
        <v>41</v>
      </c>
      <c r="B15" s="1">
        <v>4.9256826103256405E-3</v>
      </c>
      <c r="C15" s="1">
        <v>6.4570142845836398E-2</v>
      </c>
      <c r="D15" s="1">
        <v>7.1385112155164201E-2</v>
      </c>
      <c r="E15" s="1">
        <v>0.20752071475896</v>
      </c>
      <c r="F15" s="1">
        <v>0.10432784035379611</v>
      </c>
      <c r="G15" s="1">
        <v>9.6864464344515136E-2</v>
      </c>
      <c r="H15" s="1">
        <v>0.20607404968015683</v>
      </c>
      <c r="I15" s="1">
        <v>0.19261290281213109</v>
      </c>
      <c r="J15" s="1">
        <v>3.3968332596550403E-2</v>
      </c>
      <c r="K15" s="1">
        <v>6.4019726776459784E-2</v>
      </c>
      <c r="L15" s="1">
        <v>9.449879700691996E-2</v>
      </c>
      <c r="M15" s="4">
        <v>1</v>
      </c>
      <c r="N15" s="1">
        <v>0.11113038300899644</v>
      </c>
      <c r="O15" s="1">
        <v>2.7122218408327188E-2</v>
      </c>
      <c r="P15" s="1">
        <v>0.10182705855581821</v>
      </c>
      <c r="Q15" s="1">
        <v>-0.15743361223674623</v>
      </c>
      <c r="R15" s="1">
        <v>0.16513792642187877</v>
      </c>
      <c r="S15" s="1">
        <v>-4.1771770605617035E-2</v>
      </c>
      <c r="T15" s="1">
        <v>6.6238318784032774E-2</v>
      </c>
      <c r="U15" s="1">
        <v>0.26996063687554062</v>
      </c>
      <c r="V15" s="1">
        <v>7.3043852125400724E-2</v>
      </c>
      <c r="W15" s="1">
        <v>8.4450735085547152E-2</v>
      </c>
      <c r="X15" s="1">
        <v>6.2844312727635045E-3</v>
      </c>
      <c r="Y15" s="1">
        <v>0.1333153927367639</v>
      </c>
      <c r="Z15" s="1">
        <v>-5.9629723434475061E-3</v>
      </c>
      <c r="AA15" s="1">
        <v>8.401186319320085E-2</v>
      </c>
      <c r="AB15" s="1">
        <v>2.4790914282883159E-2</v>
      </c>
      <c r="AC15" s="1">
        <v>-0.12521028454408359</v>
      </c>
      <c r="AD15" s="1">
        <v>2.6955171287811351E-2</v>
      </c>
      <c r="AE15" s="1">
        <v>-1.226812481740446E-2</v>
      </c>
      <c r="AF15" s="1">
        <v>5.8621126885681059E-2</v>
      </c>
      <c r="AG15" s="1">
        <v>-4.3884328219405702E-2</v>
      </c>
      <c r="AH15" s="1">
        <v>6.6425916712366667E-2</v>
      </c>
      <c r="AI15" s="1">
        <v>2.7771474711256169E-2</v>
      </c>
      <c r="AJ15" s="1">
        <v>-1.9960740863247631E-2</v>
      </c>
      <c r="AK15" s="1">
        <v>1.3850877218792615E-2</v>
      </c>
      <c r="AL15" s="1">
        <v>4.6990302860033271E-2</v>
      </c>
      <c r="AM15" s="1">
        <v>7.9470885742870076E-2</v>
      </c>
      <c r="AN15" s="1">
        <v>4.4363297559676898E-2</v>
      </c>
      <c r="AO15" s="1">
        <v>4.0660897497969209E-3</v>
      </c>
    </row>
    <row r="16" spans="1:41">
      <c r="A16" s="3" t="s">
        <v>43</v>
      </c>
      <c r="B16" s="1">
        <v>0.27258293786702853</v>
      </c>
      <c r="C16" s="1">
        <v>0.10143861054563294</v>
      </c>
      <c r="D16" s="1">
        <v>0.21539239306406516</v>
      </c>
      <c r="E16" s="1">
        <v>0.28624516673766859</v>
      </c>
      <c r="F16" s="1">
        <v>0.22582050441842039</v>
      </c>
      <c r="G16" s="1">
        <v>0.30896337369938637</v>
      </c>
      <c r="H16" s="1">
        <v>0.4693229923039281</v>
      </c>
      <c r="I16" s="1">
        <v>0.33478587680556743</v>
      </c>
      <c r="J16" s="1">
        <v>0.21294624714729943</v>
      </c>
      <c r="K16" s="1">
        <v>0.18963476600480256</v>
      </c>
      <c r="L16" s="1">
        <v>8.0118709381365519E-2</v>
      </c>
      <c r="M16" s="1">
        <v>0.23247228223456817</v>
      </c>
      <c r="N16" s="4">
        <v>1</v>
      </c>
      <c r="O16" s="1">
        <v>0.28448366063038416</v>
      </c>
      <c r="P16" s="1">
        <v>0.4690728293317753</v>
      </c>
      <c r="Q16" s="1">
        <v>0.33422772593689859</v>
      </c>
      <c r="R16" s="1">
        <v>0.71474894787390952</v>
      </c>
      <c r="S16" s="1">
        <v>0.30642799485570954</v>
      </c>
      <c r="T16" s="1">
        <v>0.36357054553283497</v>
      </c>
      <c r="U16" s="1">
        <v>0.70173642022033933</v>
      </c>
      <c r="V16" s="1">
        <v>0.26405804315694903</v>
      </c>
      <c r="W16" s="1">
        <v>0.46164528753769934</v>
      </c>
      <c r="X16" s="1">
        <v>0.38138328067546984</v>
      </c>
      <c r="Y16" s="1">
        <v>0.50655041789017485</v>
      </c>
      <c r="Z16" s="1">
        <v>0.19501044461701117</v>
      </c>
      <c r="AA16" s="1">
        <v>0.276189225095827</v>
      </c>
      <c r="AB16" s="1">
        <v>0.12366894228606819</v>
      </c>
      <c r="AC16" s="1">
        <v>0.23639665814670291</v>
      </c>
      <c r="AD16" s="1">
        <v>8.5972731534092725E-2</v>
      </c>
      <c r="AE16" s="1">
        <v>0.24931840881135134</v>
      </c>
      <c r="AF16" s="1">
        <v>0.12015288710464862</v>
      </c>
      <c r="AG16" s="1">
        <v>0.27640276333959696</v>
      </c>
      <c r="AH16" s="1">
        <v>0.27099031770104176</v>
      </c>
      <c r="AI16" s="1">
        <v>0.39882514642011813</v>
      </c>
      <c r="AJ16" s="1">
        <v>0.35659537265165042</v>
      </c>
      <c r="AK16" s="1">
        <v>0.17483618699476913</v>
      </c>
      <c r="AL16" s="1">
        <v>0.29151634637153551</v>
      </c>
      <c r="AM16" s="1">
        <v>0.72628593566726518</v>
      </c>
      <c r="AN16" s="1">
        <v>0.33139682049783775</v>
      </c>
      <c r="AO16" s="1">
        <v>0.18208250899711345</v>
      </c>
    </row>
    <row r="17" spans="1:41">
      <c r="A17" s="3" t="s">
        <v>45</v>
      </c>
      <c r="B17" s="1">
        <v>0.22886417544521601</v>
      </c>
      <c r="C17" s="1">
        <v>8.2139306926809666E-2</v>
      </c>
      <c r="D17" s="1">
        <v>4.3764120417628581E-2</v>
      </c>
      <c r="E17" s="1">
        <v>0.20574854319502486</v>
      </c>
      <c r="F17" s="1">
        <v>0.1891433910297407</v>
      </c>
      <c r="G17" s="1">
        <v>0.195016722579584</v>
      </c>
      <c r="H17" s="1">
        <v>0.26561845062523515</v>
      </c>
      <c r="I17" s="1">
        <v>0.24792677459950493</v>
      </c>
      <c r="J17" s="1">
        <v>0.21600986638040826</v>
      </c>
      <c r="K17" s="1">
        <v>0.16091537648933288</v>
      </c>
      <c r="L17" s="1">
        <v>6.6646221100092592E-2</v>
      </c>
      <c r="M17" s="1">
        <v>4.1989175911663755E-2</v>
      </c>
      <c r="N17" s="1">
        <v>0.21053829514077915</v>
      </c>
      <c r="O17" s="4">
        <v>1</v>
      </c>
      <c r="P17" s="1">
        <v>0.39370181477667426</v>
      </c>
      <c r="Q17" s="1">
        <v>0.27534206768096792</v>
      </c>
      <c r="R17" s="1">
        <v>0.39034408941070314</v>
      </c>
      <c r="S17" s="1">
        <v>0.15128787848192607</v>
      </c>
      <c r="T17" s="1">
        <v>0.30445720040099339</v>
      </c>
      <c r="U17" s="1">
        <v>0.48185496663318367</v>
      </c>
      <c r="V17" s="1">
        <v>0.24214111614125067</v>
      </c>
      <c r="W17" s="1">
        <v>0.25209701069866236</v>
      </c>
      <c r="X17" s="1">
        <v>0.31732182242170187</v>
      </c>
      <c r="Y17" s="1">
        <v>0.15369469692335974</v>
      </c>
      <c r="Z17" s="1">
        <v>0.14563102879985609</v>
      </c>
      <c r="AA17" s="1">
        <v>0.2740549636470761</v>
      </c>
      <c r="AB17" s="1">
        <v>0.16876376733247259</v>
      </c>
      <c r="AC17" s="1">
        <v>0.41266624064935381</v>
      </c>
      <c r="AD17" s="1">
        <v>9.1026189375198727E-2</v>
      </c>
      <c r="AE17" s="1">
        <v>0.32922523691038164</v>
      </c>
      <c r="AF17" s="1">
        <v>8.0410221689466807E-2</v>
      </c>
      <c r="AG17" s="1">
        <v>0.28879563254726875</v>
      </c>
      <c r="AH17" s="1">
        <v>0.22150870111990426</v>
      </c>
      <c r="AI17" s="1">
        <v>0.39872840151577521</v>
      </c>
      <c r="AJ17" s="1">
        <v>0.40783331774424525</v>
      </c>
      <c r="AK17" s="1">
        <v>0.27174847528655366</v>
      </c>
      <c r="AL17" s="1">
        <v>0.18700943978535239</v>
      </c>
      <c r="AM17" s="1">
        <v>0.21199780626124201</v>
      </c>
      <c r="AN17" s="1">
        <v>0.31709550213629578</v>
      </c>
      <c r="AO17" s="1">
        <v>0.10544688823149166</v>
      </c>
    </row>
    <row r="18" spans="1:41">
      <c r="A18" s="3" t="s">
        <v>47</v>
      </c>
      <c r="B18" s="1">
        <v>8.1382926184274659E-2</v>
      </c>
      <c r="C18" s="1">
        <v>3.1441044387274658E-2</v>
      </c>
      <c r="D18" s="1">
        <v>6.0669824543566439E-2</v>
      </c>
      <c r="E18" s="1">
        <v>8.7423930526032645E-2</v>
      </c>
      <c r="F18" s="1">
        <v>5.0928447147499674E-2</v>
      </c>
      <c r="G18" s="1">
        <v>2.6445363997879702E-2</v>
      </c>
      <c r="H18" s="1">
        <v>0.196855931700648</v>
      </c>
      <c r="I18" s="1">
        <v>9.9737687314474771E-2</v>
      </c>
      <c r="J18" s="1">
        <v>7.7928317527575966E-2</v>
      </c>
      <c r="K18" s="1">
        <v>0.11769603403539022</v>
      </c>
      <c r="L18" s="1">
        <v>0.11134292137148764</v>
      </c>
      <c r="M18" s="1">
        <v>5.2528257904577859E-2</v>
      </c>
      <c r="N18" s="1">
        <v>0.11567292256994102</v>
      </c>
      <c r="O18" s="1">
        <v>0.1311852700053685</v>
      </c>
      <c r="P18" s="4">
        <v>1</v>
      </c>
      <c r="Q18" s="1">
        <v>0.17609992075098804</v>
      </c>
      <c r="R18" s="1">
        <v>0.25291199416474314</v>
      </c>
      <c r="S18" s="1">
        <v>0.11935281744294973</v>
      </c>
      <c r="T18" s="1">
        <v>0.17062054033846716</v>
      </c>
      <c r="U18" s="1">
        <v>0.25005400939655248</v>
      </c>
      <c r="V18" s="1">
        <v>9.567395612491629E-2</v>
      </c>
      <c r="W18" s="1">
        <v>0.17036391721188165</v>
      </c>
      <c r="X18" s="1">
        <v>0.1665868574001918</v>
      </c>
      <c r="Y18" s="1">
        <v>0.18130112313517333</v>
      </c>
      <c r="Z18" s="1">
        <v>1.0578934347993322E-2</v>
      </c>
      <c r="AA18" s="1">
        <v>0.1523145439281258</v>
      </c>
      <c r="AB18" s="1">
        <v>7.7906189308780807E-2</v>
      </c>
      <c r="AC18" s="1">
        <v>0.14936309819266458</v>
      </c>
      <c r="AD18" s="1">
        <v>1.4266224680485846E-2</v>
      </c>
      <c r="AE18" s="1">
        <v>0.11077230618273511</v>
      </c>
      <c r="AF18" s="1">
        <v>2.5868328833589329E-2</v>
      </c>
      <c r="AG18" s="1">
        <v>9.3343074302316018E-2</v>
      </c>
      <c r="AH18" s="1">
        <v>-3.8665756102028118E-2</v>
      </c>
      <c r="AI18" s="1">
        <v>9.4855261187487203E-2</v>
      </c>
      <c r="AJ18" s="1">
        <v>0.17646588003564528</v>
      </c>
      <c r="AK18" s="1">
        <v>0.16191387801693385</v>
      </c>
      <c r="AL18" s="1">
        <v>7.0750837968396665E-2</v>
      </c>
      <c r="AM18" s="1">
        <v>8.028448046536947E-2</v>
      </c>
      <c r="AN18" s="1">
        <v>0.11786242369979162</v>
      </c>
      <c r="AO18" s="1">
        <v>0.10023168561827081</v>
      </c>
    </row>
    <row r="19" spans="1:41">
      <c r="A19" s="3" t="s">
        <v>50</v>
      </c>
      <c r="B19" s="1">
        <v>7.9904783480921421E-2</v>
      </c>
      <c r="C19" s="1">
        <v>5.283581169238797E-2</v>
      </c>
      <c r="D19" s="1">
        <v>6.5917608850462314E-2</v>
      </c>
      <c r="E19" s="1">
        <v>-2.6723381800572654E-2</v>
      </c>
      <c r="F19" s="1">
        <v>6.955280048554964E-2</v>
      </c>
      <c r="G19" s="1">
        <v>6.2422698324542593E-2</v>
      </c>
      <c r="H19" s="1">
        <v>6.981071115070811E-2</v>
      </c>
      <c r="I19" s="1">
        <v>2.0264100539647483E-2</v>
      </c>
      <c r="J19" s="1">
        <v>2.9674444830827845E-2</v>
      </c>
      <c r="K19" s="1">
        <v>0.10073624151805791</v>
      </c>
      <c r="L19" s="1">
        <v>3.1658620378023965E-2</v>
      </c>
      <c r="M19" s="1">
        <v>-4.2448064412894247E-2</v>
      </c>
      <c r="N19" s="1">
        <v>4.3078893269779067E-2</v>
      </c>
      <c r="O19" s="1">
        <v>4.795356049867442E-2</v>
      </c>
      <c r="P19" s="1">
        <v>9.2042793889124105E-2</v>
      </c>
      <c r="Q19" s="4">
        <v>1</v>
      </c>
      <c r="R19" s="1">
        <v>4.2148908676045579E-2</v>
      </c>
      <c r="S19" s="1">
        <v>5.7783647414064422E-2</v>
      </c>
      <c r="T19" s="1">
        <v>4.0989938692118547E-2</v>
      </c>
      <c r="U19" s="1">
        <v>8.5489646557170451E-2</v>
      </c>
      <c r="V19" s="1">
        <v>3.3741449755016065E-3</v>
      </c>
      <c r="W19" s="1">
        <v>1.9754257300320342E-2</v>
      </c>
      <c r="X19" s="1">
        <v>-3.3938882703127622E-2</v>
      </c>
      <c r="Y19" s="1">
        <v>-0.11492143624859257</v>
      </c>
      <c r="Z19" s="1">
        <v>1.3185215808902919E-2</v>
      </c>
      <c r="AA19" s="1">
        <v>2.417808970279256E-2</v>
      </c>
      <c r="AB19" s="1">
        <v>-2.9965934394956806E-2</v>
      </c>
      <c r="AC19" s="1">
        <v>-8.6649770308361448E-2</v>
      </c>
      <c r="AD19" s="1">
        <v>3.2701954077294045E-2</v>
      </c>
      <c r="AE19" s="1">
        <v>2.7812592494150239E-2</v>
      </c>
      <c r="AF19" s="1">
        <v>3.4827700658951591E-2</v>
      </c>
      <c r="AG19" s="1">
        <v>7.81028971503029E-2</v>
      </c>
      <c r="AH19" s="1">
        <v>0.14682827585617178</v>
      </c>
      <c r="AI19" s="1">
        <v>4.2433562100045411E-2</v>
      </c>
      <c r="AJ19" s="1">
        <v>2.3131218977907021E-2</v>
      </c>
      <c r="AK19" s="1">
        <v>4.7524856116413418E-2</v>
      </c>
      <c r="AL19" s="1">
        <v>1.6896035807477787E-3</v>
      </c>
      <c r="AM19" s="1">
        <v>1.4441508095458688E-2</v>
      </c>
      <c r="AN19" s="1">
        <v>4.3917040953886738E-2</v>
      </c>
      <c r="AO19" s="1">
        <v>5.6921824291293558E-3</v>
      </c>
    </row>
    <row r="20" spans="1:41">
      <c r="A20" s="3" t="s">
        <v>52</v>
      </c>
      <c r="B20" s="1">
        <v>5.0297288674342605E-2</v>
      </c>
      <c r="C20" s="1">
        <v>1.0777066444208529E-2</v>
      </c>
      <c r="D20" s="1">
        <v>1.5428019345671254E-3</v>
      </c>
      <c r="E20" s="1">
        <v>9.2239750872948126E-2</v>
      </c>
      <c r="F20" s="1">
        <v>3.9587964972104144E-2</v>
      </c>
      <c r="G20" s="1">
        <v>8.1562606102870264E-2</v>
      </c>
      <c r="H20" s="1">
        <v>8.9409212402253024E-2</v>
      </c>
      <c r="I20" s="1">
        <v>0.11116678066848254</v>
      </c>
      <c r="J20" s="1">
        <v>4.6757734107467981E-2</v>
      </c>
      <c r="K20" s="1">
        <v>2.7718779736573995E-2</v>
      </c>
      <c r="L20" s="1">
        <v>0.14329793303534838</v>
      </c>
      <c r="M20" s="1">
        <v>5.5805526088122982E-2</v>
      </c>
      <c r="N20" s="1">
        <v>0.11546371757246987</v>
      </c>
      <c r="O20" s="1">
        <v>8.5205149942586045E-2</v>
      </c>
      <c r="P20" s="1">
        <v>0.16567996971547208</v>
      </c>
      <c r="Q20" s="1">
        <v>5.2827040670339782E-2</v>
      </c>
      <c r="R20" s="4">
        <v>1</v>
      </c>
      <c r="S20" s="1">
        <v>8.1772216844768417E-2</v>
      </c>
      <c r="T20" s="1">
        <v>0.12564538592608848</v>
      </c>
      <c r="U20" s="1">
        <v>0.24418133396625008</v>
      </c>
      <c r="V20" s="1">
        <v>0.11859980045464349</v>
      </c>
      <c r="W20" s="1">
        <v>0.12783384415713195</v>
      </c>
      <c r="X20" s="1">
        <v>0.10674068660234172</v>
      </c>
      <c r="Y20" s="1">
        <v>0.12552057935424188</v>
      </c>
      <c r="Z20" s="1">
        <v>9.9853337990886779E-3</v>
      </c>
      <c r="AA20" s="1">
        <v>0.10561733608450061</v>
      </c>
      <c r="AB20" s="1">
        <v>0.11131910807964822</v>
      </c>
      <c r="AC20" s="1">
        <v>0.11505441830966928</v>
      </c>
      <c r="AD20" s="1">
        <v>-2.7224616873042372E-3</v>
      </c>
      <c r="AE20" s="1">
        <v>0.10055325971914372</v>
      </c>
      <c r="AF20" s="1">
        <v>2.7510986951135116E-2</v>
      </c>
      <c r="AG20" s="1">
        <v>0.11032040890924857</v>
      </c>
      <c r="AH20" s="1">
        <v>-2.1760458381447148E-3</v>
      </c>
      <c r="AI20" s="1">
        <v>0.18492358777393234</v>
      </c>
      <c r="AJ20" s="1">
        <v>7.3546277093818641E-2</v>
      </c>
      <c r="AK20" s="1">
        <v>4.45508270946584E-2</v>
      </c>
      <c r="AL20" s="1">
        <v>4.6690640483927313E-2</v>
      </c>
      <c r="AM20" s="1">
        <v>0.18767977964258512</v>
      </c>
      <c r="AN20" s="1">
        <v>0.15426569897137202</v>
      </c>
      <c r="AO20" s="1">
        <v>3.5690133484188973E-2</v>
      </c>
    </row>
    <row r="21" spans="1:41">
      <c r="A21" s="3" t="s">
        <v>53</v>
      </c>
      <c r="B21" s="1">
        <v>0.12335800555149749</v>
      </c>
      <c r="C21" s="1">
        <v>2.3841837494593177E-2</v>
      </c>
      <c r="D21" s="1">
        <v>0.14995015479549106</v>
      </c>
      <c r="E21" s="1">
        <v>9.7650975603741821E-2</v>
      </c>
      <c r="F21" s="1">
        <v>9.2733270530798828E-2</v>
      </c>
      <c r="G21" s="1">
        <v>2.6742769022309256E-3</v>
      </c>
      <c r="H21" s="1">
        <v>0.11691631169784512</v>
      </c>
      <c r="I21" s="1">
        <v>-5.1891287076147784E-2</v>
      </c>
      <c r="J21" s="1">
        <v>5.5692054527659893E-2</v>
      </c>
      <c r="K21" s="1">
        <v>3.3795324252229322E-2</v>
      </c>
      <c r="L21" s="1">
        <v>-8.1961400542227031E-2</v>
      </c>
      <c r="M21" s="1">
        <v>-3.714283829772784E-2</v>
      </c>
      <c r="N21" s="1">
        <v>0.13025136237194684</v>
      </c>
      <c r="O21" s="1">
        <v>8.689288038916225E-2</v>
      </c>
      <c r="P21" s="1">
        <v>0.20572879370365854</v>
      </c>
      <c r="Q21" s="1">
        <v>0.19056218494524996</v>
      </c>
      <c r="R21" s="1">
        <v>0.21516300210768657</v>
      </c>
      <c r="S21" s="4">
        <v>1</v>
      </c>
      <c r="T21" s="1">
        <v>0.2143961244271958</v>
      </c>
      <c r="U21" s="1">
        <v>-0.10307061871441278</v>
      </c>
      <c r="V21" s="1">
        <v>5.7532973514543867E-2</v>
      </c>
      <c r="W21" s="1">
        <v>9.3191599121310462E-2</v>
      </c>
      <c r="X21" s="1">
        <v>0.11754015050775804</v>
      </c>
      <c r="Y21" s="1">
        <v>0.15220569930588207</v>
      </c>
      <c r="Z21" s="1">
        <v>4.6256710601915114E-2</v>
      </c>
      <c r="AA21" s="1">
        <v>0.12108071729147411</v>
      </c>
      <c r="AB21" s="1">
        <v>-6.9124813805040639E-2</v>
      </c>
      <c r="AC21" s="1">
        <v>9.5847578180839901E-2</v>
      </c>
      <c r="AD21" s="1">
        <v>-1.8792162175135137E-3</v>
      </c>
      <c r="AE21" s="1">
        <v>7.4572801471212702E-2</v>
      </c>
      <c r="AF21" s="1">
        <v>-6.5684669271925157E-3</v>
      </c>
      <c r="AG21" s="1">
        <v>0.10349186063735517</v>
      </c>
      <c r="AH21" s="1">
        <v>7.0968296832224873E-2</v>
      </c>
      <c r="AI21" s="1">
        <v>7.6167524388112307E-2</v>
      </c>
      <c r="AJ21" s="1">
        <v>0.20862884412365523</v>
      </c>
      <c r="AK21" s="1">
        <v>9.353857441294007E-2</v>
      </c>
      <c r="AL21" s="1">
        <v>0.22182251200460601</v>
      </c>
      <c r="AM21" s="1">
        <v>0.21413474125791185</v>
      </c>
      <c r="AN21" s="1">
        <v>6.8239182234750714E-2</v>
      </c>
      <c r="AO21" s="1">
        <v>0.13320972820953872</v>
      </c>
    </row>
    <row r="22" spans="1:41">
      <c r="A22" s="3" t="s">
        <v>54</v>
      </c>
      <c r="B22" s="1">
        <v>0.13384138470115942</v>
      </c>
      <c r="C22" s="1">
        <v>3.8709649615499934E-2</v>
      </c>
      <c r="D22" s="1">
        <v>7.0025186548189039E-2</v>
      </c>
      <c r="E22" s="1">
        <v>0.15156252749385335</v>
      </c>
      <c r="F22" s="1">
        <v>0.14613291317243871</v>
      </c>
      <c r="G22" s="1">
        <v>0.10765306125350459</v>
      </c>
      <c r="H22" s="1">
        <v>0.22415694588010587</v>
      </c>
      <c r="I22" s="1">
        <v>0.10018191024358478</v>
      </c>
      <c r="J22" s="1">
        <v>0.11357165450014013</v>
      </c>
      <c r="K22" s="1">
        <v>8.2836324990716678E-2</v>
      </c>
      <c r="L22" s="1">
        <v>2.9177510161738321E-2</v>
      </c>
      <c r="M22" s="1">
        <v>6.2559386669025316E-2</v>
      </c>
      <c r="N22" s="1">
        <v>0.16414720986380865</v>
      </c>
      <c r="O22" s="1">
        <v>0.18573651330987859</v>
      </c>
      <c r="P22" s="1">
        <v>0.31238106069502136</v>
      </c>
      <c r="Q22" s="1">
        <v>0.14358200666843943</v>
      </c>
      <c r="R22" s="1">
        <v>0.35115539595311351</v>
      </c>
      <c r="S22" s="1">
        <v>0.22772353065273954</v>
      </c>
      <c r="T22" s="4">
        <v>1</v>
      </c>
      <c r="U22" s="1">
        <v>0.2687276822205249</v>
      </c>
      <c r="V22" s="1">
        <v>0.20032524655653186</v>
      </c>
      <c r="W22" s="1">
        <v>0.21984213207111372</v>
      </c>
      <c r="X22" s="1">
        <v>0.20881967073484348</v>
      </c>
      <c r="Y22" s="1">
        <v>0.31588960182217996</v>
      </c>
      <c r="Z22" s="1">
        <v>0.10986443069749086</v>
      </c>
      <c r="AA22" s="1">
        <v>0.22373882259103481</v>
      </c>
      <c r="AB22" s="1">
        <v>2.6513427415065929E-2</v>
      </c>
      <c r="AC22" s="1">
        <v>0.3802878065100519</v>
      </c>
      <c r="AD22" s="1">
        <v>8.4631028973717659E-2</v>
      </c>
      <c r="AE22" s="1">
        <v>0.14236762353755791</v>
      </c>
      <c r="AF22" s="1">
        <v>8.9348639202213614E-2</v>
      </c>
      <c r="AG22" s="1">
        <v>0.25932323142642077</v>
      </c>
      <c r="AH22" s="1">
        <v>0.2386860392527273</v>
      </c>
      <c r="AI22" s="1">
        <v>0.2230998656467762</v>
      </c>
      <c r="AJ22" s="1">
        <v>0.39289954762713825</v>
      </c>
      <c r="AK22" s="1">
        <v>8.8489256063474256E-2</v>
      </c>
      <c r="AL22" s="1">
        <v>0.23675319028059574</v>
      </c>
      <c r="AM22" s="1">
        <v>0.40336010530071681</v>
      </c>
      <c r="AN22" s="1">
        <v>0.20531323910477248</v>
      </c>
      <c r="AO22" s="1">
        <v>0.28670117473726181</v>
      </c>
    </row>
    <row r="23" spans="1:41">
      <c r="A23" s="3" t="s">
        <v>57</v>
      </c>
      <c r="B23" s="1">
        <v>5.378663292424659E-2</v>
      </c>
      <c r="C23" s="1">
        <v>5.6393424465136642E-2</v>
      </c>
      <c r="D23" s="1">
        <v>5.5258276690846604E-2</v>
      </c>
      <c r="E23" s="1">
        <v>9.0926488980229828E-2</v>
      </c>
      <c r="F23" s="1">
        <v>9.7779893227208481E-2</v>
      </c>
      <c r="G23" s="1">
        <v>7.6976525088879283E-2</v>
      </c>
      <c r="H23" s="1">
        <v>9.2740748804402848E-2</v>
      </c>
      <c r="I23" s="1">
        <v>0.1322716003694768</v>
      </c>
      <c r="J23" s="1">
        <v>7.7377413249834284E-2</v>
      </c>
      <c r="K23" s="1">
        <v>0.11080104270033472</v>
      </c>
      <c r="L23" s="1">
        <v>8.4653195057257991E-2</v>
      </c>
      <c r="M23" s="1">
        <v>5.4337124046965002E-2</v>
      </c>
      <c r="N23" s="1">
        <v>6.7519909782665616E-2</v>
      </c>
      <c r="O23" s="1">
        <v>6.2647017775131583E-2</v>
      </c>
      <c r="P23" s="1">
        <v>9.7566388099089324E-2</v>
      </c>
      <c r="Q23" s="1">
        <v>6.3818897087045426E-2</v>
      </c>
      <c r="R23" s="1">
        <v>0.14543813159738722</v>
      </c>
      <c r="S23" s="1">
        <v>-2.333129710712966E-2</v>
      </c>
      <c r="T23" s="1">
        <v>5.7269768737434813E-2</v>
      </c>
      <c r="U23" s="4">
        <v>1</v>
      </c>
      <c r="V23" s="1">
        <v>8.3729786132586886E-2</v>
      </c>
      <c r="W23" s="1">
        <v>6.290339705156435E-2</v>
      </c>
      <c r="X23" s="1">
        <v>8.0844760540107113E-2</v>
      </c>
      <c r="Y23" s="1">
        <v>5.6635647590346595E-2</v>
      </c>
      <c r="Z23" s="1">
        <v>1.1296611275207662E-2</v>
      </c>
      <c r="AA23" s="1">
        <v>9.57645473406155E-2</v>
      </c>
      <c r="AB23" s="1">
        <v>8.6165683820439612E-2</v>
      </c>
      <c r="AC23" s="1">
        <v>4.8726893174036959E-2</v>
      </c>
      <c r="AD23" s="1">
        <v>3.0785537709991817E-2</v>
      </c>
      <c r="AE23" s="1">
        <v>5.3690795203265571E-2</v>
      </c>
      <c r="AF23" s="1">
        <v>4.3838007747605469E-2</v>
      </c>
      <c r="AG23" s="1">
        <v>7.590411113728357E-2</v>
      </c>
      <c r="AH23" s="1">
        <v>6.4158840444136958E-2</v>
      </c>
      <c r="AI23" s="1">
        <v>0.10809457241146914</v>
      </c>
      <c r="AJ23" s="1">
        <v>0.14156507644448776</v>
      </c>
      <c r="AK23" s="1">
        <v>8.8425769377345809E-2</v>
      </c>
      <c r="AL23" s="1">
        <v>6.922929670182075E-2</v>
      </c>
      <c r="AM23" s="1">
        <v>8.1946475912825362E-2</v>
      </c>
      <c r="AN23" s="1">
        <v>0.10341739138756913</v>
      </c>
      <c r="AO23" s="1">
        <v>1.2746091996295559E-2</v>
      </c>
    </row>
    <row r="24" spans="1:41">
      <c r="A24" s="3" t="s">
        <v>62</v>
      </c>
      <c r="B24" s="1">
        <v>8.6002552281118083E-2</v>
      </c>
      <c r="C24" s="1">
        <v>5.520279938519098E-2</v>
      </c>
      <c r="D24" s="1">
        <v>4.7714625004916078E-2</v>
      </c>
      <c r="E24" s="1">
        <v>7.1296610308168321E-2</v>
      </c>
      <c r="F24" s="1">
        <v>4.1694625715836459E-2</v>
      </c>
      <c r="G24" s="1">
        <v>0.16452957247364264</v>
      </c>
      <c r="H24" s="1">
        <v>0.15703511863777816</v>
      </c>
      <c r="I24" s="1">
        <v>0.17383406819157093</v>
      </c>
      <c r="J24" s="1">
        <v>8.797337970588015E-2</v>
      </c>
      <c r="K24" s="1">
        <v>4.7408166948010332E-2</v>
      </c>
      <c r="L24" s="1">
        <v>0.15682030865431837</v>
      </c>
      <c r="M24" s="1">
        <v>5.2421943546882101E-2</v>
      </c>
      <c r="N24" s="1">
        <v>9.0592132378835233E-2</v>
      </c>
      <c r="O24" s="1">
        <v>0.1122498702060043</v>
      </c>
      <c r="P24" s="1">
        <v>0.13310469762928945</v>
      </c>
      <c r="Q24" s="1">
        <v>8.9811666952302489E-3</v>
      </c>
      <c r="R24" s="1">
        <v>0.25187381978319895</v>
      </c>
      <c r="S24" s="1">
        <v>4.6435921366707357E-2</v>
      </c>
      <c r="T24" s="1">
        <v>0.15222358804855221</v>
      </c>
      <c r="U24" s="1">
        <v>0.29854735466660182</v>
      </c>
      <c r="V24" s="4">
        <v>1</v>
      </c>
      <c r="W24" s="1">
        <v>0.17684166943082158</v>
      </c>
      <c r="X24" s="1">
        <v>0.13735900903239565</v>
      </c>
      <c r="Y24" s="1">
        <v>0.33109603588623365</v>
      </c>
      <c r="Z24" s="1">
        <v>4.6590695313132542E-2</v>
      </c>
      <c r="AA24" s="1">
        <v>0.11913618418343813</v>
      </c>
      <c r="AB24" s="1">
        <v>6.2383659783633312E-2</v>
      </c>
      <c r="AC24" s="1">
        <v>0.21760763199252978</v>
      </c>
      <c r="AD24" s="1">
        <v>7.1860577456417829E-2</v>
      </c>
      <c r="AE24" s="1">
        <v>0.20724549755379285</v>
      </c>
      <c r="AF24" s="1">
        <v>3.8437549918401571E-2</v>
      </c>
      <c r="AG24" s="1">
        <v>0.15347948999245115</v>
      </c>
      <c r="AH24" s="1">
        <v>8.531033779941645E-2</v>
      </c>
      <c r="AI24" s="1">
        <v>0.21511520763158609</v>
      </c>
      <c r="AJ24" s="1">
        <v>0.16500963908043634</v>
      </c>
      <c r="AK24" s="1">
        <v>0.11033935044631242</v>
      </c>
      <c r="AL24" s="1">
        <v>0.18369655383382555</v>
      </c>
      <c r="AM24" s="1">
        <v>0.13813306853852908</v>
      </c>
      <c r="AN24" s="1">
        <v>0.15526511822709074</v>
      </c>
      <c r="AO24" s="1">
        <v>0.18702074425813348</v>
      </c>
    </row>
    <row r="25" spans="1:41">
      <c r="A25" s="3" t="s">
        <v>66</v>
      </c>
      <c r="B25" s="1">
        <v>6.5209179499446199E-2</v>
      </c>
      <c r="C25" s="1">
        <v>3.2458746866636461E-2</v>
      </c>
      <c r="D25" s="1">
        <v>1.1146570438125145E-2</v>
      </c>
      <c r="E25" s="1">
        <v>6.8476350917679951E-2</v>
      </c>
      <c r="F25" s="1">
        <v>1.8024267127598224E-2</v>
      </c>
      <c r="G25" s="1">
        <v>0.17656008741204046</v>
      </c>
      <c r="H25" s="1">
        <v>0.19873293022542651</v>
      </c>
      <c r="I25" s="1">
        <v>0.20105910027930718</v>
      </c>
      <c r="J25" s="1">
        <v>7.7086352404293387E-2</v>
      </c>
      <c r="K25" s="1">
        <v>-1.59419568536814E-2</v>
      </c>
      <c r="L25" s="1">
        <v>9.7743424607026244E-2</v>
      </c>
      <c r="M25" s="1">
        <v>7.1714870773810224E-2</v>
      </c>
      <c r="N25" s="1">
        <v>0.18740269176839197</v>
      </c>
      <c r="O25" s="1">
        <v>0.13828062688448894</v>
      </c>
      <c r="P25" s="1">
        <v>0.28044881176532599</v>
      </c>
      <c r="Q25" s="1">
        <v>6.2216569427324821E-2</v>
      </c>
      <c r="R25" s="1">
        <v>0.32123381494578218</v>
      </c>
      <c r="S25" s="1">
        <v>8.9000069717453473E-2</v>
      </c>
      <c r="T25" s="1">
        <v>0.1976667091485789</v>
      </c>
      <c r="U25" s="1">
        <v>0.26538946656496321</v>
      </c>
      <c r="V25" s="1">
        <v>0.2092478201039909</v>
      </c>
      <c r="W25" s="4">
        <v>1</v>
      </c>
      <c r="X25" s="1">
        <v>0.18444293616388033</v>
      </c>
      <c r="Y25" s="1">
        <v>0.58946006117056982</v>
      </c>
      <c r="Z25" s="1">
        <v>9.8375873987829612E-2</v>
      </c>
      <c r="AA25" s="1">
        <v>0.1578357164356399</v>
      </c>
      <c r="AB25" s="1">
        <v>0.17634116489468996</v>
      </c>
      <c r="AC25" s="1">
        <v>0.31610761973895973</v>
      </c>
      <c r="AD25" s="1">
        <v>2.6108620773526141E-2</v>
      </c>
      <c r="AE25" s="1">
        <v>0.12931815379699399</v>
      </c>
      <c r="AF25" s="1">
        <v>4.8124851585286517E-2</v>
      </c>
      <c r="AG25" s="1">
        <v>3.3436454900894211E-2</v>
      </c>
      <c r="AH25" s="1">
        <v>8.5973789700318534E-2</v>
      </c>
      <c r="AI25" s="1">
        <v>0.20799387306298586</v>
      </c>
      <c r="AJ25" s="1">
        <v>0.10514355219522883</v>
      </c>
      <c r="AK25" s="1">
        <v>8.8926220029539912E-2</v>
      </c>
      <c r="AL25" s="1">
        <v>8.5752413349933304E-2</v>
      </c>
      <c r="AM25" s="1">
        <v>0.38051723216015004</v>
      </c>
      <c r="AN25" s="1">
        <v>0.21909970999085002</v>
      </c>
      <c r="AO25" s="1">
        <v>0.15317313592280943</v>
      </c>
    </row>
    <row r="26" spans="1:41">
      <c r="A26" s="3" t="s">
        <v>70</v>
      </c>
      <c r="B26" s="1">
        <v>6.7086077119464738E-2</v>
      </c>
      <c r="C26" s="1">
        <v>-1.1517379487732192E-3</v>
      </c>
      <c r="D26" s="1">
        <v>-7.985424503530212E-3</v>
      </c>
      <c r="E26" s="1">
        <v>0.14368049258558757</v>
      </c>
      <c r="F26" s="1">
        <v>3.375280438661922E-2</v>
      </c>
      <c r="G26" s="1">
        <v>1.7668656228755075E-2</v>
      </c>
      <c r="H26" s="1">
        <v>0.10626688381134107</v>
      </c>
      <c r="I26" s="1">
        <v>0.14865238690778848</v>
      </c>
      <c r="J26" s="1">
        <v>9.6839755487712009E-2</v>
      </c>
      <c r="K26" s="1">
        <v>0.10071167406906338</v>
      </c>
      <c r="L26" s="1">
        <v>-2.9186649508091474E-2</v>
      </c>
      <c r="M26" s="1">
        <v>4.5106684911316247E-3</v>
      </c>
      <c r="N26" s="1">
        <v>0.13085737712118112</v>
      </c>
      <c r="O26" s="1">
        <v>0.14711695471349953</v>
      </c>
      <c r="P26" s="1">
        <v>0.23178528726247352</v>
      </c>
      <c r="Q26" s="1">
        <v>-9.0346646794718474E-2</v>
      </c>
      <c r="R26" s="1">
        <v>0.22671201731051527</v>
      </c>
      <c r="S26" s="1">
        <v>9.4878753023159734E-2</v>
      </c>
      <c r="T26" s="1">
        <v>0.15869496733926619</v>
      </c>
      <c r="U26" s="1">
        <v>0.28829068072516634</v>
      </c>
      <c r="V26" s="1">
        <v>0.1373733939645333</v>
      </c>
      <c r="W26" s="1">
        <v>0.1558946352129999</v>
      </c>
      <c r="X26" s="4">
        <v>1</v>
      </c>
      <c r="Y26" s="1">
        <v>0.2386412066674837</v>
      </c>
      <c r="Z26" s="1">
        <v>6.8447684166217701E-2</v>
      </c>
      <c r="AA26" s="1">
        <v>0.14935769287339329</v>
      </c>
      <c r="AB26" s="1">
        <v>8.8822902402516099E-2</v>
      </c>
      <c r="AC26" s="1">
        <v>0.44112408505060369</v>
      </c>
      <c r="AD26" s="1">
        <v>1.817409685211208E-2</v>
      </c>
      <c r="AE26" s="1">
        <v>0.17868083926728839</v>
      </c>
      <c r="AF26" s="1">
        <v>4.6857680521059278E-2</v>
      </c>
      <c r="AG26" s="1">
        <v>0.21283577968049208</v>
      </c>
      <c r="AH26" s="1">
        <v>0.17595132813490025</v>
      </c>
      <c r="AI26" s="1">
        <v>0.22128270880425968</v>
      </c>
      <c r="AJ26" s="1">
        <v>0.30179678271685667</v>
      </c>
      <c r="AK26" s="1">
        <v>0.17170319169669415</v>
      </c>
      <c r="AL26" s="1">
        <v>0.15434659031183492</v>
      </c>
      <c r="AM26" s="1">
        <v>0.28615580295771409</v>
      </c>
      <c r="AN26" s="1">
        <v>0.20169454427958827</v>
      </c>
      <c r="AO26" s="1">
        <v>0.15551844327134082</v>
      </c>
    </row>
    <row r="27" spans="1:41">
      <c r="A27" s="3" t="s">
        <v>74</v>
      </c>
      <c r="B27" s="1">
        <v>1.942368273243552E-2</v>
      </c>
      <c r="C27" s="1">
        <v>2.9411035924464977E-3</v>
      </c>
      <c r="D27" s="1">
        <v>2.3706290871024389E-2</v>
      </c>
      <c r="E27" s="1">
        <v>7.2249000236273536E-2</v>
      </c>
      <c r="F27" s="1">
        <v>1.0991302321189627E-2</v>
      </c>
      <c r="G27" s="1">
        <v>2.7698233903767501E-2</v>
      </c>
      <c r="H27" s="1">
        <v>8.0803532655101401E-2</v>
      </c>
      <c r="I27" s="1">
        <v>4.4066399708700021E-2</v>
      </c>
      <c r="J27" s="1">
        <v>6.7714855640600025E-3</v>
      </c>
      <c r="K27" s="1">
        <v>-8.9532986906873929E-3</v>
      </c>
      <c r="L27" s="1">
        <v>6.2907013208032075E-2</v>
      </c>
      <c r="M27" s="1">
        <v>2.5559001348274501E-2</v>
      </c>
      <c r="N27" s="1">
        <v>4.6424570484743841E-2</v>
      </c>
      <c r="O27" s="1">
        <v>1.9033134871824151E-2</v>
      </c>
      <c r="P27" s="1">
        <v>6.7380507841811779E-2</v>
      </c>
      <c r="Q27" s="1">
        <v>-8.1715454026300913E-2</v>
      </c>
      <c r="R27" s="1">
        <v>7.1211173059730085E-2</v>
      </c>
      <c r="S27" s="1">
        <v>3.2817258351663589E-2</v>
      </c>
      <c r="T27" s="1">
        <v>6.4123280668874696E-2</v>
      </c>
      <c r="U27" s="1">
        <v>5.3945751921446995E-2</v>
      </c>
      <c r="V27" s="1">
        <v>8.8448020109885228E-2</v>
      </c>
      <c r="W27" s="1">
        <v>0.13307981341367384</v>
      </c>
      <c r="X27" s="1">
        <v>6.3743233752128869E-2</v>
      </c>
      <c r="Y27" s="4">
        <v>1</v>
      </c>
      <c r="Z27" s="1">
        <v>3.2197466567313295E-2</v>
      </c>
      <c r="AA27" s="1">
        <v>6.2386076866508218E-2</v>
      </c>
      <c r="AB27" s="1">
        <v>6.0725836145302296E-2</v>
      </c>
      <c r="AC27" s="1">
        <v>0.21048704402613155</v>
      </c>
      <c r="AD27" s="1">
        <v>9.4348982673446505E-3</v>
      </c>
      <c r="AE27" s="1">
        <v>5.0155490352141611E-2</v>
      </c>
      <c r="AF27" s="1">
        <v>-2.3381211306698407E-3</v>
      </c>
      <c r="AG27" s="1">
        <v>8.3080121252605103E-3</v>
      </c>
      <c r="AH27" s="1">
        <v>9.0844394959468819E-2</v>
      </c>
      <c r="AI27" s="1">
        <v>6.9117112180568041E-2</v>
      </c>
      <c r="AJ27" s="1">
        <v>8.4434845576269194E-2</v>
      </c>
      <c r="AK27" s="1">
        <v>2.7477871028729433E-2</v>
      </c>
      <c r="AL27" s="1">
        <v>0.10229540183758931</v>
      </c>
      <c r="AM27" s="1">
        <v>0.17654568105588522</v>
      </c>
      <c r="AN27" s="1">
        <v>2.3713854738447799E-2</v>
      </c>
      <c r="AO27" s="1">
        <v>9.0883471959214993E-2</v>
      </c>
    </row>
    <row r="28" spans="1:41">
      <c r="A28" s="3" t="s">
        <v>76</v>
      </c>
      <c r="B28" s="1">
        <v>0.25907150002594864</v>
      </c>
      <c r="C28" s="1">
        <v>0.15907989851388787</v>
      </c>
      <c r="D28" s="1">
        <v>-3.4793659367676553E-2</v>
      </c>
      <c r="E28" s="1">
        <v>1.209964428918691E-2</v>
      </c>
      <c r="F28" s="1">
        <v>0.11186712430762141</v>
      </c>
      <c r="G28" s="1">
        <v>0.21640081848801854</v>
      </c>
      <c r="H28" s="1">
        <v>8.5000524693409438E-3</v>
      </c>
      <c r="I28" s="1">
        <v>0.12530038961399023</v>
      </c>
      <c r="J28" s="1">
        <v>0.19118472814271059</v>
      </c>
      <c r="K28" s="1">
        <v>0.1440509590908077</v>
      </c>
      <c r="L28" s="1">
        <v>-0.24236740010831487</v>
      </c>
      <c r="M28" s="1">
        <v>-1.1982913395981776E-2</v>
      </c>
      <c r="N28" s="1">
        <v>0.18733508853018035</v>
      </c>
      <c r="O28" s="1">
        <v>0.18903464271310982</v>
      </c>
      <c r="P28" s="1">
        <v>4.1210866714075957E-2</v>
      </c>
      <c r="Q28" s="1">
        <v>9.8271240109944924E-2</v>
      </c>
      <c r="R28" s="1">
        <v>5.9378856973381702E-2</v>
      </c>
      <c r="S28" s="1">
        <v>0.10453992117718788</v>
      </c>
      <c r="T28" s="1">
        <v>0.23376180594346516</v>
      </c>
      <c r="U28" s="1">
        <v>0.11278506800999394</v>
      </c>
      <c r="V28" s="1">
        <v>0.13045759485609362</v>
      </c>
      <c r="W28" s="1">
        <v>0.23279971440548211</v>
      </c>
      <c r="X28" s="1">
        <v>0.19163880562537092</v>
      </c>
      <c r="Y28" s="1">
        <v>0.33748753888185767</v>
      </c>
      <c r="Z28" s="4">
        <v>1</v>
      </c>
      <c r="AA28" s="1">
        <v>0.13596872476790842</v>
      </c>
      <c r="AB28" s="1">
        <v>2.0002311395542309E-2</v>
      </c>
      <c r="AC28" s="1">
        <v>0.68139621607479073</v>
      </c>
      <c r="AD28" s="1">
        <v>0.20717305275579112</v>
      </c>
      <c r="AE28" s="1">
        <v>0.17340634623667495</v>
      </c>
      <c r="AF28" s="1">
        <v>0.26109764279444786</v>
      </c>
      <c r="AG28" s="1">
        <v>0.15234282239271155</v>
      </c>
      <c r="AH28" s="1">
        <v>0.32659674220434914</v>
      </c>
      <c r="AI28" s="1">
        <v>0.36628215043000745</v>
      </c>
      <c r="AJ28" s="1">
        <v>8.9463422824728397E-2</v>
      </c>
      <c r="AK28" s="1">
        <v>0.1411159605835115</v>
      </c>
      <c r="AL28" s="1">
        <v>0.34696675034976671</v>
      </c>
      <c r="AM28" s="1">
        <v>0.60286363034442803</v>
      </c>
      <c r="AN28" s="1">
        <v>0.14731899013991398</v>
      </c>
      <c r="AO28" s="1">
        <v>0.35410734401340377</v>
      </c>
    </row>
    <row r="29" spans="1:41">
      <c r="A29" s="3" t="s">
        <v>79</v>
      </c>
      <c r="B29" s="1">
        <v>0.12949775233512426</v>
      </c>
      <c r="C29" s="1">
        <v>8.6605526952295578E-2</v>
      </c>
      <c r="D29" s="1">
        <v>0.10146085819847617</v>
      </c>
      <c r="E29" s="1">
        <v>0.18394378608277751</v>
      </c>
      <c r="F29" s="1">
        <v>0.15065466437789282</v>
      </c>
      <c r="G29" s="1">
        <v>9.4683474121549135E-2</v>
      </c>
      <c r="H29" s="1">
        <v>0.22063975410573308</v>
      </c>
      <c r="I29" s="1">
        <v>0.18682340909123704</v>
      </c>
      <c r="J29" s="1">
        <v>0.11220967300028671</v>
      </c>
      <c r="K29" s="1">
        <v>0.17205406017720651</v>
      </c>
      <c r="L29" s="1">
        <v>7.790017955568794E-2</v>
      </c>
      <c r="M29" s="1">
        <v>8.991975410428181E-2</v>
      </c>
      <c r="N29" s="1">
        <v>0.14131324119631009</v>
      </c>
      <c r="O29" s="1">
        <v>0.1894698120112234</v>
      </c>
      <c r="P29" s="1">
        <v>0.31602836876009199</v>
      </c>
      <c r="Q29" s="1">
        <v>9.5978961652324071E-2</v>
      </c>
      <c r="R29" s="1">
        <v>0.33451787079673556</v>
      </c>
      <c r="S29" s="1">
        <v>0.14574621195135393</v>
      </c>
      <c r="T29" s="1">
        <v>0.25355528142897216</v>
      </c>
      <c r="U29" s="1">
        <v>0.50924063376549122</v>
      </c>
      <c r="V29" s="1">
        <v>0.17767598438193608</v>
      </c>
      <c r="W29" s="1">
        <v>0.19893628064200014</v>
      </c>
      <c r="X29" s="1">
        <v>0.22272407380784012</v>
      </c>
      <c r="Y29" s="1">
        <v>0.34828805950173891</v>
      </c>
      <c r="Z29" s="1">
        <v>7.2419228358469118E-2</v>
      </c>
      <c r="AA29" s="4">
        <v>1</v>
      </c>
      <c r="AB29" s="1">
        <v>0.18907461638402678</v>
      </c>
      <c r="AC29" s="1">
        <v>0.47348349690222252</v>
      </c>
      <c r="AD29" s="1">
        <v>7.7875706337235895E-2</v>
      </c>
      <c r="AE29" s="1">
        <v>0.1208265272750694</v>
      </c>
      <c r="AF29" s="1">
        <v>4.3719026873814022E-2</v>
      </c>
      <c r="AG29" s="1">
        <v>0.1708785852046586</v>
      </c>
      <c r="AH29" s="1">
        <v>0.15890172078117221</v>
      </c>
      <c r="AI29" s="1">
        <v>0.28887133028680972</v>
      </c>
      <c r="AJ29" s="1">
        <v>0.26170882786651573</v>
      </c>
      <c r="AK29" s="1">
        <v>0.17853988813337487</v>
      </c>
      <c r="AL29" s="1">
        <v>0.19530055869954627</v>
      </c>
      <c r="AM29" s="1">
        <v>0.24581424675524519</v>
      </c>
      <c r="AN29" s="1">
        <v>0.14783054281698529</v>
      </c>
      <c r="AO29" s="1">
        <v>0.1794899246910226</v>
      </c>
    </row>
    <row r="30" spans="1:41">
      <c r="A30" s="3" t="s">
        <v>87</v>
      </c>
      <c r="B30" s="1">
        <v>4.9199503305704551E-2</v>
      </c>
      <c r="C30" s="1">
        <v>5.8107042649132794E-2</v>
      </c>
      <c r="D30" s="1">
        <v>-1.5507039814475109E-2</v>
      </c>
      <c r="E30" s="1">
        <v>0.15916019784631219</v>
      </c>
      <c r="F30" s="1">
        <v>8.2203847419140372E-2</v>
      </c>
      <c r="G30" s="1">
        <v>9.7868652509365175E-2</v>
      </c>
      <c r="H30" s="1">
        <v>0.12141062281696381</v>
      </c>
      <c r="I30" s="1">
        <v>0.11909328014579405</v>
      </c>
      <c r="J30" s="1">
        <v>0.13710402658723378</v>
      </c>
      <c r="K30" s="1">
        <v>0.12455149042788967</v>
      </c>
      <c r="L30" s="1">
        <v>0.25127269951610487</v>
      </c>
      <c r="M30" s="1">
        <v>1.9154369335719418E-2</v>
      </c>
      <c r="N30" s="1">
        <v>4.5677002050616179E-2</v>
      </c>
      <c r="O30" s="1">
        <v>8.4225264378593234E-2</v>
      </c>
      <c r="P30" s="1">
        <v>0.11668565712147917</v>
      </c>
      <c r="Q30" s="1">
        <v>-8.5870245883089891E-2</v>
      </c>
      <c r="R30" s="1">
        <v>0.25451574369934488</v>
      </c>
      <c r="S30" s="1">
        <v>-6.0064391926568775E-2</v>
      </c>
      <c r="T30" s="1">
        <v>2.1689922748418869E-2</v>
      </c>
      <c r="U30" s="1">
        <v>0.33076035406703752</v>
      </c>
      <c r="V30" s="1">
        <v>6.716093181704709E-2</v>
      </c>
      <c r="W30" s="1">
        <v>0.16044390842315978</v>
      </c>
      <c r="X30" s="1">
        <v>9.5614849275950181E-2</v>
      </c>
      <c r="Y30" s="1">
        <v>0.24472888551285596</v>
      </c>
      <c r="Z30" s="1">
        <v>7.6905229429173579E-3</v>
      </c>
      <c r="AA30" s="1">
        <v>0.13648786717633851</v>
      </c>
      <c r="AB30" s="4">
        <v>1</v>
      </c>
      <c r="AC30" s="1">
        <v>0.19274084418423096</v>
      </c>
      <c r="AD30" s="1">
        <v>4.9204450436847033E-3</v>
      </c>
      <c r="AE30" s="1">
        <v>0.10473877418275411</v>
      </c>
      <c r="AF30" s="1">
        <v>6.2395622174603788E-2</v>
      </c>
      <c r="AG30" s="1">
        <v>0.14496841895141521</v>
      </c>
      <c r="AH30" s="1">
        <v>9.9326094071505708E-2</v>
      </c>
      <c r="AI30" s="1">
        <v>0.15953282127381638</v>
      </c>
      <c r="AJ30" s="1">
        <v>-5.8573551277901592E-2</v>
      </c>
      <c r="AK30" s="1">
        <v>0.10755432992865666</v>
      </c>
      <c r="AL30" s="1">
        <v>2.5009115876273053E-2</v>
      </c>
      <c r="AM30" s="1">
        <v>0.14592777993917927</v>
      </c>
      <c r="AN30" s="1">
        <v>0.11123900111744139</v>
      </c>
      <c r="AO30" s="1">
        <v>-1.0275421536183537E-2</v>
      </c>
    </row>
    <row r="31" spans="1:41">
      <c r="A31" s="3" t="s">
        <v>88</v>
      </c>
      <c r="B31" s="1">
        <v>3.168661476530861E-2</v>
      </c>
      <c r="C31" s="1">
        <v>-7.5878738205722414E-3</v>
      </c>
      <c r="D31" s="1">
        <v>-2.710815767742274E-2</v>
      </c>
      <c r="E31" s="1">
        <v>4.8496862612710002E-2</v>
      </c>
      <c r="F31" s="1">
        <v>-1.7973770489687582E-2</v>
      </c>
      <c r="G31" s="1">
        <v>1.2283082247668635E-2</v>
      </c>
      <c r="H31" s="1">
        <v>5.7024562924093102E-3</v>
      </c>
      <c r="I31" s="1">
        <v>2.5974733728813721E-2</v>
      </c>
      <c r="J31" s="1">
        <v>2.9547636121132263E-2</v>
      </c>
      <c r="K31" s="1">
        <v>2.386038878328009E-2</v>
      </c>
      <c r="L31" s="1">
        <v>-2.3164674025494693E-2</v>
      </c>
      <c r="M31" s="1">
        <v>-1.8846412671635466E-2</v>
      </c>
      <c r="N31" s="1">
        <v>1.700950435152606E-2</v>
      </c>
      <c r="O31" s="1">
        <v>4.012134589880053E-2</v>
      </c>
      <c r="P31" s="1">
        <v>4.3581503463368615E-2</v>
      </c>
      <c r="Q31" s="1">
        <v>-4.8372182012527506E-2</v>
      </c>
      <c r="R31" s="1">
        <v>5.1246193885246739E-2</v>
      </c>
      <c r="S31" s="1">
        <v>1.6224735836782262E-2</v>
      </c>
      <c r="T31" s="1">
        <v>6.0606319798895296E-2</v>
      </c>
      <c r="U31" s="1">
        <v>3.643856044670362E-2</v>
      </c>
      <c r="V31" s="1">
        <v>4.563871070798458E-2</v>
      </c>
      <c r="W31" s="1">
        <v>5.6029645218956439E-2</v>
      </c>
      <c r="X31" s="1">
        <v>9.2506986911334951E-2</v>
      </c>
      <c r="Y31" s="1">
        <v>0.165253428534717</v>
      </c>
      <c r="Z31" s="1">
        <v>5.1037428672341831E-2</v>
      </c>
      <c r="AA31" s="1">
        <v>6.65854050934509E-2</v>
      </c>
      <c r="AB31" s="1">
        <v>3.7548028362300138E-2</v>
      </c>
      <c r="AC31" s="4">
        <v>1</v>
      </c>
      <c r="AD31" s="1">
        <v>2.6977717493996606E-2</v>
      </c>
      <c r="AE31" s="1">
        <v>8.5952748048350527E-2</v>
      </c>
      <c r="AF31" s="1">
        <v>3.4088929395950018E-3</v>
      </c>
      <c r="AG31" s="1">
        <v>8.5866010764899539E-2</v>
      </c>
      <c r="AH31" s="1">
        <v>5.3919603418830245E-2</v>
      </c>
      <c r="AI31" s="1">
        <v>0.11645790447962198</v>
      </c>
      <c r="AJ31" s="1">
        <v>0.10209733840211818</v>
      </c>
      <c r="AK31" s="1">
        <v>6.0108523320927421E-2</v>
      </c>
      <c r="AL31" s="1">
        <v>7.8961609181080597E-2</v>
      </c>
      <c r="AM31" s="1">
        <v>0.16249516823087806</v>
      </c>
      <c r="AN31" s="1">
        <v>9.4755940291662948E-3</v>
      </c>
      <c r="AO31" s="1">
        <v>0.144515828710264</v>
      </c>
    </row>
    <row r="32" spans="1:41">
      <c r="A32" s="3" t="s">
        <v>91</v>
      </c>
      <c r="B32" s="1">
        <v>0.23976804318214925</v>
      </c>
      <c r="C32" s="1">
        <v>0.27788708593850364</v>
      </c>
      <c r="D32" s="1">
        <v>4.6741717457773689E-2</v>
      </c>
      <c r="E32" s="1">
        <v>-0.11439257644586651</v>
      </c>
      <c r="F32" s="1">
        <v>0.23520116544568259</v>
      </c>
      <c r="G32" s="1">
        <v>0.17606548351251594</v>
      </c>
      <c r="H32" s="1">
        <v>2.1608162935842341E-2</v>
      </c>
      <c r="I32" s="1">
        <v>8.3048969099989961E-2</v>
      </c>
      <c r="J32" s="1">
        <v>0.13821069308562764</v>
      </c>
      <c r="K32" s="1">
        <v>0.18150855343428246</v>
      </c>
      <c r="L32" s="1">
        <v>8.0875050955890856E-2</v>
      </c>
      <c r="M32" s="1">
        <v>6.7695829273333299E-2</v>
      </c>
      <c r="N32" s="1">
        <v>0.10321484723930081</v>
      </c>
      <c r="O32" s="1">
        <v>0.14766379876814983</v>
      </c>
      <c r="P32" s="1">
        <v>6.9454290182924774E-2</v>
      </c>
      <c r="Q32" s="1">
        <v>0.3046022378640631</v>
      </c>
      <c r="R32" s="1">
        <v>-2.0232577558850384E-2</v>
      </c>
      <c r="S32" s="1">
        <v>-5.3076755257173737E-3</v>
      </c>
      <c r="T32" s="1">
        <v>0.22504338760775219</v>
      </c>
      <c r="U32" s="1">
        <v>0.38412303885824894</v>
      </c>
      <c r="V32" s="1">
        <v>0.25146703999283676</v>
      </c>
      <c r="W32" s="1">
        <v>7.7214339528864487E-2</v>
      </c>
      <c r="X32" s="1">
        <v>6.359130330866529E-2</v>
      </c>
      <c r="Y32" s="1">
        <v>0.12359288045659914</v>
      </c>
      <c r="Z32" s="1">
        <v>0.2589127615261308</v>
      </c>
      <c r="AA32" s="1">
        <v>0.18272893433325793</v>
      </c>
      <c r="AB32" s="1">
        <v>1.5993697911708897E-2</v>
      </c>
      <c r="AC32" s="1">
        <v>0.45012830729622194</v>
      </c>
      <c r="AD32" s="4">
        <v>1</v>
      </c>
      <c r="AE32" s="1">
        <v>0.39445819047810027</v>
      </c>
      <c r="AF32" s="1">
        <v>0.24931658793879868</v>
      </c>
      <c r="AG32" s="1">
        <v>0.4202291041970932</v>
      </c>
      <c r="AH32" s="1">
        <v>0.32610641669848078</v>
      </c>
      <c r="AI32" s="1">
        <v>0.35798299572595538</v>
      </c>
      <c r="AJ32" s="1">
        <v>0.35131479919034847</v>
      </c>
      <c r="AK32" s="1">
        <v>0.38138842315504212</v>
      </c>
      <c r="AL32" s="1">
        <v>0.21566003944576856</v>
      </c>
      <c r="AM32" s="1">
        <v>0.40813876142040417</v>
      </c>
      <c r="AN32" s="1">
        <v>0.12151866120495537</v>
      </c>
      <c r="AO32" s="1">
        <v>0.22712157318859139</v>
      </c>
    </row>
    <row r="33" spans="1:41">
      <c r="A33" s="3" t="s">
        <v>94</v>
      </c>
      <c r="B33" s="1">
        <v>0.17017379988249462</v>
      </c>
      <c r="C33" s="1">
        <v>8.2916396676922452E-2</v>
      </c>
      <c r="D33" s="1">
        <v>4.2032088292462688E-2</v>
      </c>
      <c r="E33" s="1">
        <v>1.4474473040038387E-2</v>
      </c>
      <c r="F33" s="1">
        <v>6.6524112182881984E-2</v>
      </c>
      <c r="G33" s="1">
        <v>0.11663152988827154</v>
      </c>
      <c r="H33" s="1">
        <v>9.4980991702944079E-2</v>
      </c>
      <c r="I33" s="1">
        <v>0.14871028862244373</v>
      </c>
      <c r="J33" s="1">
        <v>0.10329167964416525</v>
      </c>
      <c r="K33" s="1">
        <v>4.4827563603072176E-2</v>
      </c>
      <c r="L33" s="1">
        <v>0.12055390905959494</v>
      </c>
      <c r="M33" s="1">
        <v>-1.0263119957606138E-2</v>
      </c>
      <c r="N33" s="1">
        <v>9.9705059636772245E-2</v>
      </c>
      <c r="O33" s="1">
        <v>0.17790255925477896</v>
      </c>
      <c r="P33" s="1">
        <v>0.17963982260875308</v>
      </c>
      <c r="Q33" s="1">
        <v>8.6294329839513531E-2</v>
      </c>
      <c r="R33" s="1">
        <v>0.24892412750339518</v>
      </c>
      <c r="S33" s="1">
        <v>7.0159982886702679E-2</v>
      </c>
      <c r="T33" s="1">
        <v>0.12610411933284546</v>
      </c>
      <c r="U33" s="1">
        <v>0.22315409001271913</v>
      </c>
      <c r="V33" s="1">
        <v>0.24157771746882109</v>
      </c>
      <c r="W33" s="1">
        <v>0.12739574678452331</v>
      </c>
      <c r="X33" s="1">
        <v>0.20825923746607655</v>
      </c>
      <c r="Y33" s="1">
        <v>0.21885481977767901</v>
      </c>
      <c r="Z33" s="1">
        <v>7.2188261220000424E-2</v>
      </c>
      <c r="AA33" s="1">
        <v>9.4438486533226854E-2</v>
      </c>
      <c r="AB33" s="1">
        <v>0.11340531061487662</v>
      </c>
      <c r="AC33" s="1">
        <v>0.47771875473363984</v>
      </c>
      <c r="AD33" s="1">
        <v>0.13139607140300483</v>
      </c>
      <c r="AE33" s="4">
        <v>1</v>
      </c>
      <c r="AF33" s="1">
        <v>6.9249230009950757E-2</v>
      </c>
      <c r="AG33" s="1">
        <v>0.26051779245293771</v>
      </c>
      <c r="AH33" s="1">
        <v>0.11138870182163804</v>
      </c>
      <c r="AI33" s="1">
        <v>0.31074362827998425</v>
      </c>
      <c r="AJ33" s="1">
        <v>7.3621676857393473E-2</v>
      </c>
      <c r="AK33" s="1">
        <v>0.1654471188547848</v>
      </c>
      <c r="AL33" s="1">
        <v>0.13415693028266495</v>
      </c>
      <c r="AM33" s="1">
        <v>0.34030644677814631</v>
      </c>
      <c r="AN33" s="1">
        <v>0.17555268248342815</v>
      </c>
      <c r="AO33" s="1">
        <v>0.16910514083654668</v>
      </c>
    </row>
    <row r="34" spans="1:41">
      <c r="A34" s="3" t="s">
        <v>95</v>
      </c>
      <c r="B34" s="1">
        <v>0.20282283117295966</v>
      </c>
      <c r="C34" s="1">
        <v>0.22703851295616093</v>
      </c>
      <c r="D34" s="1">
        <v>4.2313203976457395E-2</v>
      </c>
      <c r="E34" s="1">
        <v>7.0157584886040509E-3</v>
      </c>
      <c r="F34" s="1">
        <v>0.20437791514650547</v>
      </c>
      <c r="G34" s="1">
        <v>0.21993643467836715</v>
      </c>
      <c r="H34" s="1">
        <v>0.11082031756628996</v>
      </c>
      <c r="I34" s="1">
        <v>0.27731419114894584</v>
      </c>
      <c r="J34" s="1">
        <v>0.14192871054743075</v>
      </c>
      <c r="K34" s="1">
        <v>0.20786329191398298</v>
      </c>
      <c r="L34" s="1">
        <v>3.5717061570602393E-2</v>
      </c>
      <c r="M34" s="1">
        <v>0.11617200262349597</v>
      </c>
      <c r="N34" s="1">
        <v>0.11382644071992264</v>
      </c>
      <c r="O34" s="1">
        <v>0.102931056500688</v>
      </c>
      <c r="P34" s="1">
        <v>9.9377001163517803E-2</v>
      </c>
      <c r="Q34" s="1">
        <v>0.25598333033497594</v>
      </c>
      <c r="R34" s="1">
        <v>0.16133296095621383</v>
      </c>
      <c r="S34" s="1">
        <v>-1.4639260115854957E-2</v>
      </c>
      <c r="T34" s="1">
        <v>0.18747876088877327</v>
      </c>
      <c r="U34" s="1">
        <v>0.43162035539641241</v>
      </c>
      <c r="V34" s="1">
        <v>0.10613865027815589</v>
      </c>
      <c r="W34" s="1">
        <v>0.11230806131329796</v>
      </c>
      <c r="X34" s="1">
        <v>0.12937583664786323</v>
      </c>
      <c r="Y34" s="1">
        <v>-2.4168557795100503E-2</v>
      </c>
      <c r="Z34" s="1">
        <v>0.25748423213317045</v>
      </c>
      <c r="AA34" s="1">
        <v>8.0947474889653523E-2</v>
      </c>
      <c r="AB34" s="1">
        <v>0.16003910698648072</v>
      </c>
      <c r="AC34" s="1">
        <v>4.4881977245109637E-2</v>
      </c>
      <c r="AD34" s="1">
        <v>0.1967336597990946</v>
      </c>
      <c r="AE34" s="1">
        <v>0.16404426155319243</v>
      </c>
      <c r="AF34" s="4">
        <v>1</v>
      </c>
      <c r="AG34" s="1">
        <v>0.12194128048148219</v>
      </c>
      <c r="AH34" s="1">
        <v>0.42117111385660883</v>
      </c>
      <c r="AI34" s="1">
        <v>0.27826021341138957</v>
      </c>
      <c r="AJ34" s="1">
        <v>3.3293050265643109E-2</v>
      </c>
      <c r="AK34" s="1">
        <v>9.6807199323376739E-2</v>
      </c>
      <c r="AL34" s="1">
        <v>0.15551062444352795</v>
      </c>
      <c r="AM34" s="1">
        <v>0.16034749588873795</v>
      </c>
      <c r="AN34" s="1">
        <v>0.30961961093130669</v>
      </c>
      <c r="AO34" s="1">
        <v>0.20283370617564619</v>
      </c>
    </row>
    <row r="35" spans="1:41">
      <c r="A35" s="3" t="s">
        <v>102</v>
      </c>
      <c r="B35" s="1">
        <v>9.8185358198608727E-2</v>
      </c>
      <c r="C35" s="1">
        <v>1.2472565727245078E-2</v>
      </c>
      <c r="D35" s="1">
        <v>5.1529631443617795E-3</v>
      </c>
      <c r="E35" s="1">
        <v>2.450537037218738E-2</v>
      </c>
      <c r="F35" s="1">
        <v>6.3555258833030356E-2</v>
      </c>
      <c r="G35" s="1">
        <v>7.0346730726740733E-2</v>
      </c>
      <c r="H35" s="1">
        <v>7.3825061045041912E-2</v>
      </c>
      <c r="I35" s="1">
        <v>0.11432052377076436</v>
      </c>
      <c r="J35" s="1">
        <v>0.15700469705075176</v>
      </c>
      <c r="K35" s="1">
        <v>0.13680281879235312</v>
      </c>
      <c r="L35" s="1">
        <v>3.3297471073737268E-2</v>
      </c>
      <c r="M35" s="1">
        <v>-2.1788786651716418E-2</v>
      </c>
      <c r="N35" s="1">
        <v>6.5603589794074851E-2</v>
      </c>
      <c r="O35" s="1">
        <v>9.2619422920358629E-2</v>
      </c>
      <c r="P35" s="1">
        <v>8.984127223289945E-2</v>
      </c>
      <c r="Q35" s="1">
        <v>0.14382364938310457</v>
      </c>
      <c r="R35" s="1">
        <v>0.16208733252937041</v>
      </c>
      <c r="S35" s="1">
        <v>5.7787989291723775E-2</v>
      </c>
      <c r="T35" s="1">
        <v>0.13632698665860515</v>
      </c>
      <c r="U35" s="1">
        <v>0.18723743647199217</v>
      </c>
      <c r="V35" s="1">
        <v>0.10618043236162275</v>
      </c>
      <c r="W35" s="1">
        <v>1.9549606985291745E-2</v>
      </c>
      <c r="X35" s="1">
        <v>0.14722897942936727</v>
      </c>
      <c r="Y35" s="1">
        <v>2.1515781691706613E-2</v>
      </c>
      <c r="Z35" s="1">
        <v>3.7639683568036354E-2</v>
      </c>
      <c r="AA35" s="1">
        <v>7.9267787665011871E-2</v>
      </c>
      <c r="AB35" s="1">
        <v>9.315832704704162E-2</v>
      </c>
      <c r="AC35" s="1">
        <v>0.28324104268675154</v>
      </c>
      <c r="AD35" s="1">
        <v>8.3078740241849455E-2</v>
      </c>
      <c r="AE35" s="1">
        <v>0.15461789704522641</v>
      </c>
      <c r="AF35" s="1">
        <v>3.0551112522587048E-2</v>
      </c>
      <c r="AG35" s="4">
        <v>1</v>
      </c>
      <c r="AH35" s="1">
        <v>0.18869294444666179</v>
      </c>
      <c r="AI35" s="1">
        <v>0.13762061094870157</v>
      </c>
      <c r="AJ35" s="1">
        <v>0.27966632795431628</v>
      </c>
      <c r="AK35" s="1">
        <v>0.18105621731016891</v>
      </c>
      <c r="AL35" s="1">
        <v>0.164661339384887</v>
      </c>
      <c r="AM35" s="1">
        <v>0.28677494555004096</v>
      </c>
      <c r="AN35" s="1">
        <v>0.10463748125754202</v>
      </c>
      <c r="AO35" s="1">
        <v>0.1576752532311792</v>
      </c>
    </row>
    <row r="36" spans="1:41">
      <c r="A36" s="3" t="s">
        <v>110</v>
      </c>
      <c r="B36" s="1">
        <v>7.022553424558764E-2</v>
      </c>
      <c r="C36" s="1">
        <v>3.2890159766864088E-2</v>
      </c>
      <c r="D36" s="1">
        <v>5.4082438429128778E-2</v>
      </c>
      <c r="E36" s="1">
        <v>5.2933405226330825E-2</v>
      </c>
      <c r="F36" s="1">
        <v>7.7840134619406434E-2</v>
      </c>
      <c r="G36" s="1">
        <v>6.8764705960767517E-2</v>
      </c>
      <c r="H36" s="1">
        <v>4.0602509592533073E-2</v>
      </c>
      <c r="I36" s="1">
        <v>6.2343573811253591E-2</v>
      </c>
      <c r="J36" s="1">
        <v>6.0034085672380846E-2</v>
      </c>
      <c r="K36" s="1">
        <v>0.12035344756655114</v>
      </c>
      <c r="L36" s="1">
        <v>5.7072838753462425E-2</v>
      </c>
      <c r="M36" s="1">
        <v>2.0522087527846962E-2</v>
      </c>
      <c r="N36" s="1">
        <v>4.0022055049667667E-2</v>
      </c>
      <c r="O36" s="1">
        <v>4.42041075794328E-2</v>
      </c>
      <c r="P36" s="1">
        <v>-2.3156914227077482E-2</v>
      </c>
      <c r="Q36" s="1">
        <v>0.1682415444927651</v>
      </c>
      <c r="R36" s="1">
        <v>-1.9893978249978382E-3</v>
      </c>
      <c r="S36" s="1">
        <v>2.4657904057227967E-2</v>
      </c>
      <c r="T36" s="1">
        <v>7.8077844550302256E-2</v>
      </c>
      <c r="U36" s="1">
        <v>9.8479147606243989E-2</v>
      </c>
      <c r="V36" s="1">
        <v>3.672452529410565E-2</v>
      </c>
      <c r="W36" s="1">
        <v>3.1278380871459129E-2</v>
      </c>
      <c r="X36" s="1">
        <v>7.5735866638313637E-2</v>
      </c>
      <c r="Y36" s="1">
        <v>0.14639240015638474</v>
      </c>
      <c r="Z36" s="1">
        <v>5.0210691420112981E-2</v>
      </c>
      <c r="AA36" s="1">
        <v>4.5866762347099174E-2</v>
      </c>
      <c r="AB36" s="1">
        <v>3.9716596336794363E-2</v>
      </c>
      <c r="AC36" s="1">
        <v>0.11067307436417707</v>
      </c>
      <c r="AD36" s="1">
        <v>4.0116543501624372E-2</v>
      </c>
      <c r="AE36" s="1">
        <v>4.1136174566254638E-2</v>
      </c>
      <c r="AF36" s="1">
        <v>6.5659148004499027E-2</v>
      </c>
      <c r="AG36" s="1">
        <v>0.11741296316603751</v>
      </c>
      <c r="AH36" s="4">
        <v>1</v>
      </c>
      <c r="AI36" s="1">
        <v>0.11691431432188734</v>
      </c>
      <c r="AJ36" s="1">
        <v>0.11469341541977478</v>
      </c>
      <c r="AK36" s="1">
        <v>4.0443119692650562E-2</v>
      </c>
      <c r="AL36" s="1">
        <v>9.6587739431580485E-2</v>
      </c>
      <c r="AM36" s="1">
        <v>0.13188924971225835</v>
      </c>
      <c r="AN36" s="1">
        <v>7.0361617281177638E-2</v>
      </c>
      <c r="AO36" s="1">
        <v>0.13619931867132723</v>
      </c>
    </row>
    <row r="37" spans="1:41">
      <c r="A37" s="3" t="s">
        <v>114</v>
      </c>
      <c r="B37" s="1">
        <v>0.10068510617551776</v>
      </c>
      <c r="C37" s="1">
        <v>6.0206556838826843E-2</v>
      </c>
      <c r="D37" s="1">
        <v>-3.1476178156686838E-2</v>
      </c>
      <c r="E37" s="1">
        <v>0.11165044746306353</v>
      </c>
      <c r="F37" s="1">
        <v>0.10488421555058347</v>
      </c>
      <c r="G37" s="1">
        <v>0.10942361533292157</v>
      </c>
      <c r="H37" s="1">
        <v>4.1855397165019438E-2</v>
      </c>
      <c r="I37" s="1">
        <v>0.11589908606442667</v>
      </c>
      <c r="J37" s="1">
        <v>0.13628276832919509</v>
      </c>
      <c r="K37" s="1">
        <v>0.1295319089888981</v>
      </c>
      <c r="L37" s="1">
        <v>3.9189329055849237E-2</v>
      </c>
      <c r="M37" s="1">
        <v>1.4621888347458404E-2</v>
      </c>
      <c r="N37" s="1">
        <v>0.10038034556688054</v>
      </c>
      <c r="O37" s="1">
        <v>0.13560307896078788</v>
      </c>
      <c r="P37" s="1">
        <v>9.6813550231328052E-2</v>
      </c>
      <c r="Q37" s="1">
        <v>8.2861650580532159E-2</v>
      </c>
      <c r="R37" s="1">
        <v>0.28811538674796527</v>
      </c>
      <c r="S37" s="1">
        <v>4.5100583244472907E-2</v>
      </c>
      <c r="T37" s="1">
        <v>0.12437143596769926</v>
      </c>
      <c r="U37" s="1">
        <v>0.28275624447239206</v>
      </c>
      <c r="V37" s="1">
        <v>0.1578142389951224</v>
      </c>
      <c r="W37" s="1">
        <v>0.12895829340776208</v>
      </c>
      <c r="X37" s="1">
        <v>0.16232188275758461</v>
      </c>
      <c r="Y37" s="1">
        <v>0.18981324816646158</v>
      </c>
      <c r="Z37" s="1">
        <v>9.5966719877580223E-2</v>
      </c>
      <c r="AA37" s="1">
        <v>0.1421001277910256</v>
      </c>
      <c r="AB37" s="1">
        <v>0.10871244247146376</v>
      </c>
      <c r="AC37" s="1">
        <v>0.40736601860860339</v>
      </c>
      <c r="AD37" s="1">
        <v>7.5049378904186101E-2</v>
      </c>
      <c r="AE37" s="1">
        <v>0.19557148540917546</v>
      </c>
      <c r="AF37" s="1">
        <v>7.3927891833597853E-2</v>
      </c>
      <c r="AG37" s="1">
        <v>0.14593666280464798</v>
      </c>
      <c r="AH37" s="1">
        <v>0.19924536587545988</v>
      </c>
      <c r="AI37" s="4">
        <v>1</v>
      </c>
      <c r="AJ37" s="1">
        <v>0.26480962708691325</v>
      </c>
      <c r="AK37" s="1">
        <v>0.1921039172352243</v>
      </c>
      <c r="AL37" s="1">
        <v>0.12401993913800187</v>
      </c>
      <c r="AM37" s="1">
        <v>0.23234342423895099</v>
      </c>
      <c r="AN37" s="1">
        <v>0.11435512772894785</v>
      </c>
      <c r="AO37" s="1">
        <v>0.21573929655588792</v>
      </c>
    </row>
    <row r="38" spans="1:41">
      <c r="A38" s="3" t="s">
        <v>120</v>
      </c>
      <c r="B38" s="1">
        <v>1.4793041935689344E-2</v>
      </c>
      <c r="C38" s="1">
        <v>1.0720050640656358E-2</v>
      </c>
      <c r="D38" s="1">
        <v>1.1111757626014827E-3</v>
      </c>
      <c r="E38" s="1">
        <v>8.9572069979349633E-2</v>
      </c>
      <c r="F38" s="1">
        <v>6.6099445321149183E-2</v>
      </c>
      <c r="G38" s="1">
        <v>2.8263823273803706E-2</v>
      </c>
      <c r="H38" s="1">
        <v>9.0102789907134981E-2</v>
      </c>
      <c r="I38" s="1">
        <v>3.5062488718197615E-2</v>
      </c>
      <c r="J38" s="1">
        <v>6.822581214174854E-2</v>
      </c>
      <c r="K38" s="1">
        <v>0.11361675192644</v>
      </c>
      <c r="L38" s="1">
        <v>-1.9969274373286487E-2</v>
      </c>
      <c r="M38" s="1">
        <v>-4.7284738477657781E-3</v>
      </c>
      <c r="N38" s="1">
        <v>4.0381427749834387E-2</v>
      </c>
      <c r="O38" s="1">
        <v>6.240435445375643E-2</v>
      </c>
      <c r="P38" s="1">
        <v>8.1035493647882512E-2</v>
      </c>
      <c r="Q38" s="1">
        <v>2.0322747599214416E-2</v>
      </c>
      <c r="R38" s="1">
        <v>5.155545794692188E-2</v>
      </c>
      <c r="S38" s="1">
        <v>5.5581016290843124E-2</v>
      </c>
      <c r="T38" s="1">
        <v>9.8546835360879298E-2</v>
      </c>
      <c r="U38" s="1">
        <v>0.16661122530422001</v>
      </c>
      <c r="V38" s="1">
        <v>5.4465839182524373E-2</v>
      </c>
      <c r="W38" s="1">
        <v>2.9330616673069746E-2</v>
      </c>
      <c r="X38" s="1">
        <v>9.96056586432785E-2</v>
      </c>
      <c r="Y38" s="1">
        <v>0.10432838001206488</v>
      </c>
      <c r="Z38" s="1">
        <v>1.0546059552212148E-2</v>
      </c>
      <c r="AA38" s="1">
        <v>5.7922622015890719E-2</v>
      </c>
      <c r="AB38" s="1">
        <v>-1.7958521426253031E-2</v>
      </c>
      <c r="AC38" s="1">
        <v>0.16068304805241651</v>
      </c>
      <c r="AD38" s="1">
        <v>3.3137593257394966E-2</v>
      </c>
      <c r="AE38" s="1">
        <v>2.0847252218190462E-2</v>
      </c>
      <c r="AF38" s="1">
        <v>3.9797025014860097E-3</v>
      </c>
      <c r="AG38" s="1">
        <v>0.13343228494246015</v>
      </c>
      <c r="AH38" s="1">
        <v>8.7942506907541157E-2</v>
      </c>
      <c r="AI38" s="1">
        <v>0.11914438596227089</v>
      </c>
      <c r="AJ38" s="4">
        <v>1</v>
      </c>
      <c r="AK38" s="1">
        <v>0.12985194925535862</v>
      </c>
      <c r="AL38" s="1">
        <v>0.13677868223938489</v>
      </c>
      <c r="AM38" s="1">
        <v>4.9366263423114301E-2</v>
      </c>
      <c r="AN38" s="1">
        <v>5.7179618245102724E-2</v>
      </c>
      <c r="AO38" s="1">
        <v>0.14260170992770932</v>
      </c>
    </row>
    <row r="39" spans="1:41">
      <c r="A39" s="3" t="s">
        <v>123</v>
      </c>
      <c r="B39" s="1">
        <v>9.0459386794809304E-2</v>
      </c>
      <c r="C39" s="1">
        <v>5.2372664856106539E-2</v>
      </c>
      <c r="D39" s="1">
        <v>3.1034460063293298E-2</v>
      </c>
      <c r="E39" s="1">
        <v>9.0170887982832848E-2</v>
      </c>
      <c r="F39" s="1">
        <v>9.7715604410802709E-2</v>
      </c>
      <c r="G39" s="1">
        <v>4.367303776347848E-2</v>
      </c>
      <c r="H39" s="1">
        <v>5.9709785341224252E-2</v>
      </c>
      <c r="I39" s="1">
        <v>5.0671223151624097E-2</v>
      </c>
      <c r="J39" s="1">
        <v>0.14231961354650263</v>
      </c>
      <c r="K39" s="1">
        <v>0.19808677170412153</v>
      </c>
      <c r="L39" s="1">
        <v>-2.2663813574437325E-2</v>
      </c>
      <c r="M39" s="1">
        <v>9.7247811439249206E-3</v>
      </c>
      <c r="N39" s="1">
        <v>5.8680730978345488E-2</v>
      </c>
      <c r="O39" s="1">
        <v>0.12324165750855426</v>
      </c>
      <c r="P39" s="1">
        <v>0.22037221279416014</v>
      </c>
      <c r="Q39" s="1">
        <v>0.12375505174907861</v>
      </c>
      <c r="R39" s="1">
        <v>9.2560980913957216E-2</v>
      </c>
      <c r="S39" s="1">
        <v>7.3858604933029412E-2</v>
      </c>
      <c r="T39" s="1">
        <v>6.5782431095495142E-2</v>
      </c>
      <c r="U39" s="1">
        <v>0.30845030195007961</v>
      </c>
      <c r="V39" s="1">
        <v>0.10794524839027979</v>
      </c>
      <c r="W39" s="1">
        <v>7.3523572813092436E-2</v>
      </c>
      <c r="X39" s="1">
        <v>0.16796005028096947</v>
      </c>
      <c r="Y39" s="1">
        <v>0.10062874424805397</v>
      </c>
      <c r="Z39" s="1">
        <v>4.9303649544531605E-2</v>
      </c>
      <c r="AA39" s="1">
        <v>0.11711791198526049</v>
      </c>
      <c r="AB39" s="1">
        <v>9.773613083590274E-2</v>
      </c>
      <c r="AC39" s="1">
        <v>0.28038186599186316</v>
      </c>
      <c r="AD39" s="1">
        <v>0.10662283999567575</v>
      </c>
      <c r="AE39" s="1">
        <v>0.13885468779257379</v>
      </c>
      <c r="AF39" s="1">
        <v>3.4297534334540213E-2</v>
      </c>
      <c r="AG39" s="1">
        <v>0.25603091462791722</v>
      </c>
      <c r="AH39" s="1">
        <v>9.1910097456532627E-2</v>
      </c>
      <c r="AI39" s="1">
        <v>0.25617353213229782</v>
      </c>
      <c r="AJ39" s="1">
        <v>0.38486347366341589</v>
      </c>
      <c r="AK39" s="4">
        <v>1</v>
      </c>
      <c r="AL39" s="1">
        <v>0.15307276150578994</v>
      </c>
      <c r="AM39" s="1">
        <v>0.18248042389307881</v>
      </c>
      <c r="AN39" s="1">
        <v>8.4436327784801132E-2</v>
      </c>
      <c r="AO39" s="1">
        <v>0.23184415131699071</v>
      </c>
    </row>
    <row r="40" spans="1:41">
      <c r="A40" s="3" t="s">
        <v>127</v>
      </c>
      <c r="B40" s="1">
        <v>0.13040594971030994</v>
      </c>
      <c r="C40" s="1">
        <v>0.10025778021826141</v>
      </c>
      <c r="D40" s="1">
        <v>8.0502330619046672E-2</v>
      </c>
      <c r="E40" s="1">
        <v>0.19233277357819387</v>
      </c>
      <c r="F40" s="1">
        <v>0.13911834583330893</v>
      </c>
      <c r="G40" s="1">
        <v>8.4504982745158608E-2</v>
      </c>
      <c r="H40" s="1">
        <v>0.18069216882579622</v>
      </c>
      <c r="I40" s="1">
        <v>0.10435181307942287</v>
      </c>
      <c r="J40" s="1">
        <v>0.14806544759186868</v>
      </c>
      <c r="K40" s="1">
        <v>0.19876509102436593</v>
      </c>
      <c r="L40" s="1">
        <v>-3.7987840201472334E-2</v>
      </c>
      <c r="M40" s="1">
        <v>3.6083831860992066E-2</v>
      </c>
      <c r="N40" s="1">
        <v>0.10701113010855529</v>
      </c>
      <c r="O40" s="1">
        <v>9.2758943462666915E-2</v>
      </c>
      <c r="P40" s="1">
        <v>0.10531887108857334</v>
      </c>
      <c r="Q40" s="1">
        <v>4.8120352070492624E-3</v>
      </c>
      <c r="R40" s="1">
        <v>0.10609718424957479</v>
      </c>
      <c r="S40" s="1">
        <v>0.19156573144926112</v>
      </c>
      <c r="T40" s="1">
        <v>0.19249394138265116</v>
      </c>
      <c r="U40" s="1">
        <v>0.26411807400689491</v>
      </c>
      <c r="V40" s="1">
        <v>0.19655132031953337</v>
      </c>
      <c r="W40" s="1">
        <v>7.7543423626474137E-2</v>
      </c>
      <c r="X40" s="1">
        <v>0.16513020394210273</v>
      </c>
      <c r="Y40" s="1">
        <v>0.40972921775266502</v>
      </c>
      <c r="Z40" s="1">
        <v>0.13258446467043297</v>
      </c>
      <c r="AA40" s="1">
        <v>0.14011782842755033</v>
      </c>
      <c r="AB40" s="1">
        <v>2.4855782022157071E-2</v>
      </c>
      <c r="AC40" s="1">
        <v>0.40283917953529225</v>
      </c>
      <c r="AD40" s="1">
        <v>6.5940808825241309E-2</v>
      </c>
      <c r="AE40" s="1">
        <v>0.12314486290186444</v>
      </c>
      <c r="AF40" s="1">
        <v>6.0258339279605881E-2</v>
      </c>
      <c r="AG40" s="1">
        <v>0.25466687445157027</v>
      </c>
      <c r="AH40" s="1">
        <v>0.24007250785014014</v>
      </c>
      <c r="AI40" s="1">
        <v>0.18088035389390486</v>
      </c>
      <c r="AJ40" s="1">
        <v>0.44338243772303926</v>
      </c>
      <c r="AK40" s="1">
        <v>0.16741708144260173</v>
      </c>
      <c r="AL40" s="4">
        <v>1</v>
      </c>
      <c r="AM40" s="1">
        <v>0.21956144559073149</v>
      </c>
      <c r="AN40" s="1">
        <v>0.10851955881675265</v>
      </c>
      <c r="AO40" s="1">
        <v>0.34756172676606378</v>
      </c>
    </row>
    <row r="41" spans="1:41">
      <c r="A41" s="3" t="s">
        <v>139</v>
      </c>
      <c r="B41" s="1">
        <v>5.080434677740437E-2</v>
      </c>
      <c r="C41" s="1">
        <v>3.2912719590030275E-2</v>
      </c>
      <c r="D41" s="1">
        <v>3.241241645370619E-2</v>
      </c>
      <c r="E41" s="1">
        <v>4.7424336643545638E-2</v>
      </c>
      <c r="F41" s="1">
        <v>4.6886339135023693E-2</v>
      </c>
      <c r="G41" s="1">
        <v>4.1557912578553437E-2</v>
      </c>
      <c r="H41" s="1">
        <v>1.9988288880046348E-2</v>
      </c>
      <c r="I41" s="1">
        <v>2.1124026754239848E-2</v>
      </c>
      <c r="J41" s="1">
        <v>4.1767556057789798E-2</v>
      </c>
      <c r="K41" s="1">
        <v>3.1980237457142728E-2</v>
      </c>
      <c r="L41" s="1">
        <v>1.4567244413629958E-2</v>
      </c>
      <c r="M41" s="1">
        <v>1.3308062047058589E-2</v>
      </c>
      <c r="N41" s="1">
        <v>5.8140134182375E-2</v>
      </c>
      <c r="O41" s="1">
        <v>2.293115807922257E-2</v>
      </c>
      <c r="P41" s="1">
        <v>2.6062049530479286E-2</v>
      </c>
      <c r="Q41" s="1">
        <v>8.9693068130864972E-3</v>
      </c>
      <c r="R41" s="1">
        <v>9.3002338492055511E-2</v>
      </c>
      <c r="S41" s="1">
        <v>4.032753653711358E-2</v>
      </c>
      <c r="T41" s="1">
        <v>7.1518191527008959E-2</v>
      </c>
      <c r="U41" s="1">
        <v>6.8177463700630367E-2</v>
      </c>
      <c r="V41" s="1">
        <v>3.2231088544970816E-2</v>
      </c>
      <c r="W41" s="1">
        <v>7.50369730672234E-2</v>
      </c>
      <c r="X41" s="1">
        <v>6.6762776866715653E-2</v>
      </c>
      <c r="Y41" s="1">
        <v>0.15420564659942776</v>
      </c>
      <c r="Z41" s="1">
        <v>5.0237292171082797E-2</v>
      </c>
      <c r="AA41" s="1">
        <v>3.8459117926048142E-2</v>
      </c>
      <c r="AB41" s="1">
        <v>3.1627832160776734E-2</v>
      </c>
      <c r="AC41" s="1">
        <v>0.18078338814516176</v>
      </c>
      <c r="AD41" s="1">
        <v>2.7214150923987667E-2</v>
      </c>
      <c r="AE41" s="1">
        <v>6.8120169647709686E-2</v>
      </c>
      <c r="AF41" s="1">
        <v>1.3549448929105652E-2</v>
      </c>
      <c r="AG41" s="1">
        <v>9.6721801668651103E-2</v>
      </c>
      <c r="AH41" s="1">
        <v>7.148784118334936E-2</v>
      </c>
      <c r="AI41" s="1">
        <v>7.3897990358313431E-2</v>
      </c>
      <c r="AJ41" s="1">
        <v>3.4897368951394461E-2</v>
      </c>
      <c r="AK41" s="1">
        <v>4.3523166819892468E-2</v>
      </c>
      <c r="AL41" s="1">
        <v>4.7880473736191698E-2</v>
      </c>
      <c r="AM41" s="4">
        <v>1</v>
      </c>
      <c r="AN41" s="1">
        <v>3.6817820713316546E-2</v>
      </c>
      <c r="AO41" s="1">
        <v>3.3230237030320117E-2</v>
      </c>
    </row>
    <row r="42" spans="1:41">
      <c r="A42" s="3" t="s">
        <v>140</v>
      </c>
      <c r="B42" s="1">
        <v>9.846930061124487E-2</v>
      </c>
      <c r="C42" s="1">
        <v>4.6624978262802694E-2</v>
      </c>
      <c r="D42" s="1">
        <v>-3.7471875160508948E-2</v>
      </c>
      <c r="E42" s="1">
        <v>8.1606869551480624E-2</v>
      </c>
      <c r="F42" s="1">
        <v>5.6467439206363379E-2</v>
      </c>
      <c r="G42" s="1">
        <v>0.11089833458080955</v>
      </c>
      <c r="H42" s="1">
        <v>0.12578972740848007</v>
      </c>
      <c r="I42" s="1">
        <v>0.23983817780909519</v>
      </c>
      <c r="J42" s="1">
        <v>0.15061097207174681</v>
      </c>
      <c r="K42" s="1">
        <v>6.7324958063791504E-2</v>
      </c>
      <c r="L42" s="1">
        <v>9.5198033137751312E-2</v>
      </c>
      <c r="M42" s="1">
        <v>3.8273326448132874E-2</v>
      </c>
      <c r="N42" s="1">
        <v>0.13667288402756586</v>
      </c>
      <c r="O42" s="1">
        <v>0.17670560653908263</v>
      </c>
      <c r="P42" s="1">
        <v>0.19711422102766976</v>
      </c>
      <c r="Q42" s="1">
        <v>0.14052222853313351</v>
      </c>
      <c r="R42" s="1">
        <v>0.39383234482366281</v>
      </c>
      <c r="S42" s="1">
        <v>6.6208538302194447E-2</v>
      </c>
      <c r="T42" s="1">
        <v>0.18754529048071361</v>
      </c>
      <c r="U42" s="1">
        <v>0.44327145378318972</v>
      </c>
      <c r="V42" s="1">
        <v>0.18664520538029361</v>
      </c>
      <c r="W42" s="1">
        <v>0.22259141293557633</v>
      </c>
      <c r="X42" s="1">
        <v>0.24243293068635524</v>
      </c>
      <c r="Y42" s="1">
        <v>0.1067114350457308</v>
      </c>
      <c r="Z42" s="1">
        <v>6.3245771870328635E-2</v>
      </c>
      <c r="AA42" s="1">
        <v>0.11915768771211782</v>
      </c>
      <c r="AB42" s="1">
        <v>0.12420931206539429</v>
      </c>
      <c r="AC42" s="1">
        <v>5.4311292869261438E-2</v>
      </c>
      <c r="AD42" s="1">
        <v>4.1744142945696526E-2</v>
      </c>
      <c r="AE42" s="1">
        <v>0.18104170888513368</v>
      </c>
      <c r="AF42" s="1">
        <v>0.13478871619131297</v>
      </c>
      <c r="AG42" s="1">
        <v>0.1818176644991831</v>
      </c>
      <c r="AH42" s="1">
        <v>0.19648265767211093</v>
      </c>
      <c r="AI42" s="1">
        <v>0.18738011953703426</v>
      </c>
      <c r="AJ42" s="1">
        <v>0.20824246991603149</v>
      </c>
      <c r="AK42" s="1">
        <v>0.10375264326770832</v>
      </c>
      <c r="AL42" s="1">
        <v>0.12192029439825393</v>
      </c>
      <c r="AM42" s="1">
        <v>0.18968094495464147</v>
      </c>
      <c r="AN42" s="4">
        <v>1</v>
      </c>
      <c r="AO42" s="1">
        <v>8.7380165279044866E-2</v>
      </c>
    </row>
    <row r="43" spans="1:41">
      <c r="A43" s="3" t="s">
        <v>142</v>
      </c>
      <c r="B43" s="1">
        <v>6.6705105116574112E-2</v>
      </c>
      <c r="C43" s="1">
        <v>5.8954257772773373E-3</v>
      </c>
      <c r="D43" s="1">
        <v>2.5404434499485748E-3</v>
      </c>
      <c r="E43" s="1">
        <v>3.8534891220821779E-2</v>
      </c>
      <c r="F43" s="1">
        <v>9.6780138969744817E-3</v>
      </c>
      <c r="G43" s="1">
        <v>6.7249628126407529E-2</v>
      </c>
      <c r="H43" s="1">
        <v>9.0023682973504673E-2</v>
      </c>
      <c r="I43" s="1">
        <v>5.4347446105364274E-2</v>
      </c>
      <c r="J43" s="1">
        <v>4.2962903065897708E-2</v>
      </c>
      <c r="K43" s="1">
        <v>0.11524085907301719</v>
      </c>
      <c r="L43" s="1">
        <v>-0.10830534434431305</v>
      </c>
      <c r="M43" s="1">
        <v>2.0394662918109476E-3</v>
      </c>
      <c r="N43" s="1">
        <v>4.3658562521952743E-2</v>
      </c>
      <c r="O43" s="1">
        <v>3.4163408746208858E-2</v>
      </c>
      <c r="P43" s="1">
        <v>9.7457396691395068E-2</v>
      </c>
      <c r="Q43" s="1">
        <v>1.0589073192167354E-2</v>
      </c>
      <c r="R43" s="1">
        <v>5.2973340918224851E-2</v>
      </c>
      <c r="S43" s="1">
        <v>7.5142096892924656E-2</v>
      </c>
      <c r="T43" s="1">
        <v>0.15226001293961067</v>
      </c>
      <c r="U43" s="1">
        <v>3.1762919624215333E-2</v>
      </c>
      <c r="V43" s="1">
        <v>0.13070731769120375</v>
      </c>
      <c r="W43" s="1">
        <v>9.0472457874493636E-2</v>
      </c>
      <c r="X43" s="1">
        <v>0.10867922746626467</v>
      </c>
      <c r="Y43" s="1">
        <v>0.23777210165012269</v>
      </c>
      <c r="Z43" s="1">
        <v>8.8384249728450492E-2</v>
      </c>
      <c r="AA43" s="1">
        <v>8.4113393075257295E-2</v>
      </c>
      <c r="AB43" s="1">
        <v>-6.6705847307185978E-3</v>
      </c>
      <c r="AC43" s="1">
        <v>0.48157761873606592</v>
      </c>
      <c r="AD43" s="1">
        <v>4.5360532285585606E-2</v>
      </c>
      <c r="AE43" s="1">
        <v>0.10139000921401915</v>
      </c>
      <c r="AF43" s="1">
        <v>5.1337224368051167E-2</v>
      </c>
      <c r="AG43" s="1">
        <v>0.1592867005854178</v>
      </c>
      <c r="AH43" s="1">
        <v>0.22112127370615278</v>
      </c>
      <c r="AI43" s="1">
        <v>0.20552483507144229</v>
      </c>
      <c r="AJ43" s="1">
        <v>0.30193952641058236</v>
      </c>
      <c r="AK43" s="1">
        <v>0.16562777164905845</v>
      </c>
      <c r="AL43" s="1">
        <v>0.22702156390415085</v>
      </c>
      <c r="AM43" s="1">
        <v>9.9532805775317243E-2</v>
      </c>
      <c r="AN43" s="1">
        <v>5.080191032279302E-2</v>
      </c>
      <c r="AO43" s="4">
        <v>1</v>
      </c>
    </row>
    <row r="46" spans="1:41" ht="57">
      <c r="B46" s="33" t="s">
        <v>168</v>
      </c>
      <c r="C46" s="34" t="s">
        <v>169</v>
      </c>
      <c r="E46" s="38" t="s">
        <v>170</v>
      </c>
      <c r="G46" s="38" t="s">
        <v>171</v>
      </c>
      <c r="H46" s="33" t="s">
        <v>172</v>
      </c>
    </row>
    <row r="47" spans="1:41">
      <c r="A47" s="3" t="s">
        <v>15</v>
      </c>
      <c r="B47" s="29">
        <v>7.3078363254697448E-3</v>
      </c>
      <c r="C47" s="22">
        <v>0</v>
      </c>
      <c r="E47" s="29">
        <f t="array" ref="E47:E86">B47:B86+MMULT(TRANSPOSE(tracking),C47:C86)</f>
        <v>9.8398535889323707E-3</v>
      </c>
      <c r="G47" s="23">
        <f t="array" ref="G47:G86">MMULT(MINVERSE(varcov),E47:E86-'Black Litterman'!B3)/SUM(MMULT(MINVERSE(varcov),E47:E86-'Black Litterman'!B3))</f>
        <v>3.415225590083168E-2</v>
      </c>
      <c r="H47" s="23">
        <v>5.1972444026467099E-2</v>
      </c>
    </row>
    <row r="48" spans="1:41">
      <c r="A48" s="3" t="s">
        <v>19</v>
      </c>
      <c r="B48" s="29">
        <v>4.3500775571882503E-3</v>
      </c>
      <c r="C48" s="29">
        <v>5.6499999999999996E-3</v>
      </c>
      <c r="E48" s="29">
        <v>1.0609855748880685E-2</v>
      </c>
      <c r="G48" s="23">
        <v>0.18660436569762134</v>
      </c>
      <c r="H48" s="23">
        <v>2.5351013368785993E-2</v>
      </c>
    </row>
    <row r="49" spans="1:8">
      <c r="A49" s="3" t="s">
        <v>17</v>
      </c>
      <c r="B49" s="29">
        <v>5.2036248895098143E-3</v>
      </c>
      <c r="C49" s="22">
        <v>0</v>
      </c>
      <c r="E49" s="29">
        <v>7.6772755782403184E-3</v>
      </c>
      <c r="G49" s="23">
        <v>1.7755560852574927E-2</v>
      </c>
      <c r="H49" s="23">
        <v>2.7020173872218649E-2</v>
      </c>
    </row>
    <row r="50" spans="1:8">
      <c r="A50" s="3" t="s">
        <v>18</v>
      </c>
      <c r="B50" s="29">
        <v>7.6924345907840672E-3</v>
      </c>
      <c r="C50" s="22">
        <v>0</v>
      </c>
      <c r="E50" s="29">
        <v>9.7028071723116657E-3</v>
      </c>
      <c r="G50" s="23">
        <v>1.558572510042798E-2</v>
      </c>
      <c r="H50" s="23">
        <v>2.371814698700974E-2</v>
      </c>
    </row>
    <row r="51" spans="1:8">
      <c r="A51" s="3" t="s">
        <v>20</v>
      </c>
      <c r="B51" s="29">
        <v>6.8411066526735623E-3</v>
      </c>
      <c r="C51" s="22">
        <v>0</v>
      </c>
      <c r="E51" s="29">
        <v>1.0253445504769766E-2</v>
      </c>
      <c r="G51" s="23">
        <v>9.8208129211984786E-3</v>
      </c>
      <c r="H51" s="23">
        <v>1.4945181112588281E-2</v>
      </c>
    </row>
    <row r="52" spans="1:8">
      <c r="A52" s="3" t="s">
        <v>22</v>
      </c>
      <c r="B52" s="29">
        <v>7.0863294140865044E-3</v>
      </c>
      <c r="C52" s="22">
        <v>0</v>
      </c>
      <c r="E52" s="29">
        <v>9.9050474310131177E-3</v>
      </c>
      <c r="G52" s="23">
        <v>1.8216223474719542E-2</v>
      </c>
      <c r="H52" s="23">
        <v>2.7721204059331723E-2</v>
      </c>
    </row>
    <row r="53" spans="1:8">
      <c r="A53" s="3" t="s">
        <v>23</v>
      </c>
      <c r="B53" s="29">
        <v>8.7800119052534389E-3</v>
      </c>
      <c r="C53" s="22">
        <v>0</v>
      </c>
      <c r="E53" s="29">
        <v>1.2903948083362031E-2</v>
      </c>
      <c r="G53" s="23">
        <v>4.995658958853167E-3</v>
      </c>
      <c r="H53" s="23">
        <v>7.6023266623507129E-3</v>
      </c>
    </row>
    <row r="54" spans="1:8">
      <c r="A54" s="3" t="s">
        <v>24</v>
      </c>
      <c r="B54" s="29">
        <v>6.6673098228519764E-3</v>
      </c>
      <c r="C54" s="22">
        <v>0</v>
      </c>
      <c r="E54" s="29">
        <v>9.0953222795533122E-3</v>
      </c>
      <c r="G54" s="23">
        <v>4.2918104526423698E-3</v>
      </c>
      <c r="H54" s="23">
        <v>6.5312194652632702E-3</v>
      </c>
    </row>
    <row r="55" spans="1:8">
      <c r="A55" s="3" t="s">
        <v>29</v>
      </c>
      <c r="B55" s="29">
        <v>7.0344047816899534E-3</v>
      </c>
      <c r="C55" s="22">
        <v>0</v>
      </c>
      <c r="E55" s="29">
        <v>9.2167021481585048E-3</v>
      </c>
      <c r="G55" s="23">
        <v>2.9915501826862541E-2</v>
      </c>
      <c r="H55" s="23">
        <v>4.5525008618315745E-2</v>
      </c>
    </row>
    <row r="56" spans="1:8">
      <c r="A56" s="3" t="s">
        <v>30</v>
      </c>
      <c r="B56" s="29">
        <v>6.7345299155943585E-3</v>
      </c>
      <c r="C56" s="22">
        <v>0</v>
      </c>
      <c r="E56" s="29">
        <v>9.9882567051051609E-3</v>
      </c>
      <c r="G56" s="23">
        <v>8.9687730168847325E-3</v>
      </c>
      <c r="H56" s="23">
        <v>1.3648558237547636E-2</v>
      </c>
    </row>
    <row r="57" spans="1:8">
      <c r="A57" s="3" t="s">
        <v>32</v>
      </c>
      <c r="B57" s="29">
        <v>4.2283719854556067E-3</v>
      </c>
      <c r="C57" s="22">
        <v>0</v>
      </c>
      <c r="E57" s="29">
        <v>5.4467724725396176E-3</v>
      </c>
      <c r="G57" s="23">
        <v>4.9355901051759254E-3</v>
      </c>
      <c r="H57" s="23">
        <v>7.5109146881449061E-3</v>
      </c>
    </row>
    <row r="58" spans="1:8">
      <c r="A58" s="3" t="s">
        <v>41</v>
      </c>
      <c r="B58" s="29">
        <v>3.746734994563791E-3</v>
      </c>
      <c r="C58" s="22">
        <v>0</v>
      </c>
      <c r="E58" s="29">
        <v>5.6046657822151451E-3</v>
      </c>
      <c r="G58" s="23">
        <v>3.0881696807074565E-3</v>
      </c>
      <c r="H58" s="23">
        <v>4.6995351153624023E-3</v>
      </c>
    </row>
    <row r="59" spans="1:8">
      <c r="A59" s="3" t="s">
        <v>43</v>
      </c>
      <c r="B59" s="29">
        <v>1.0864117195493711E-2</v>
      </c>
      <c r="C59" s="23">
        <f>1.5%-1.086%</f>
        <v>4.1399999999999978E-3</v>
      </c>
      <c r="E59" s="29">
        <v>1.5838345167210225E-2</v>
      </c>
      <c r="G59" s="23">
        <v>0.31175175045008197</v>
      </c>
      <c r="H59" s="23">
        <v>0.26734619104881185</v>
      </c>
    </row>
    <row r="60" spans="1:8">
      <c r="A60" s="3" t="s">
        <v>45</v>
      </c>
      <c r="B60" s="29">
        <v>6.7012310753291329E-3</v>
      </c>
      <c r="C60" s="22">
        <v>0</v>
      </c>
      <c r="E60" s="29">
        <v>8.8681487371346773E-3</v>
      </c>
      <c r="G60" s="23">
        <v>1.9833312588115295E-2</v>
      </c>
      <c r="H60" s="23">
        <v>3.018206853855724E-2</v>
      </c>
    </row>
    <row r="61" spans="1:8">
      <c r="A61" s="3" t="s">
        <v>47</v>
      </c>
      <c r="B61" s="29">
        <v>9.2587393264088377E-3</v>
      </c>
      <c r="C61" s="22">
        <v>0</v>
      </c>
      <c r="E61" s="29">
        <v>1.2552615722686381E-2</v>
      </c>
      <c r="G61" s="23">
        <v>3.9347120317910428E-3</v>
      </c>
      <c r="H61" s="23">
        <v>5.9877918877840738E-3</v>
      </c>
    </row>
    <row r="62" spans="1:8">
      <c r="A62" s="3" t="s">
        <v>50</v>
      </c>
      <c r="B62" s="29">
        <v>6.4733224419159545E-3</v>
      </c>
      <c r="C62" s="22">
        <v>0</v>
      </c>
      <c r="E62" s="29">
        <v>1.0186954030271155E-2</v>
      </c>
      <c r="G62" s="23">
        <v>1.201134534432987E-3</v>
      </c>
      <c r="H62" s="23">
        <v>1.8278703913539919E-3</v>
      </c>
    </row>
    <row r="63" spans="1:8">
      <c r="A63" s="3" t="s">
        <v>52</v>
      </c>
      <c r="B63" s="29">
        <v>1.9006885797402635E-2</v>
      </c>
      <c r="C63" s="22">
        <v>0</v>
      </c>
      <c r="E63" s="29">
        <v>2.304408782638603E-2</v>
      </c>
      <c r="G63" s="23">
        <v>4.1788761569468591E-2</v>
      </c>
      <c r="H63" s="23">
        <v>6.3593575719011156E-2</v>
      </c>
    </row>
    <row r="64" spans="1:8">
      <c r="A64" s="3" t="s">
        <v>53</v>
      </c>
      <c r="B64" s="29">
        <v>6.6867668116594933E-3</v>
      </c>
      <c r="C64" s="22">
        <v>0</v>
      </c>
      <c r="E64" s="29">
        <v>8.5648443032941453E-3</v>
      </c>
      <c r="G64" s="23">
        <v>1.7665740534357481E-2</v>
      </c>
      <c r="H64" s="23">
        <v>2.6883486519132877E-2</v>
      </c>
    </row>
    <row r="65" spans="1:8">
      <c r="A65" s="3" t="s">
        <v>54</v>
      </c>
      <c r="B65" s="29">
        <v>9.5596877908188972E-3</v>
      </c>
      <c r="C65" s="22">
        <v>0</v>
      </c>
      <c r="E65" s="29">
        <v>1.2063930125564318E-2</v>
      </c>
      <c r="G65" s="23">
        <v>1.6217862875532844E-2</v>
      </c>
      <c r="H65" s="23">
        <v>2.4680125757286248E-2</v>
      </c>
    </row>
    <row r="66" spans="1:8">
      <c r="A66" s="3" t="s">
        <v>57</v>
      </c>
      <c r="B66" s="29">
        <v>1.7807541242510702E-2</v>
      </c>
      <c r="C66" s="22">
        <v>0</v>
      </c>
      <c r="E66" s="29">
        <v>2.4859358429057926E-2</v>
      </c>
      <c r="G66" s="23">
        <v>1.0046697681863817E-2</v>
      </c>
      <c r="H66" s="23">
        <v>1.5288929505496859E-2</v>
      </c>
    </row>
    <row r="67" spans="1:8">
      <c r="A67" s="3" t="s">
        <v>62</v>
      </c>
      <c r="B67" s="29">
        <v>7.2249652004886568E-3</v>
      </c>
      <c r="C67" s="22">
        <v>0</v>
      </c>
      <c r="E67" s="29">
        <v>9.5395704669690023E-3</v>
      </c>
      <c r="G67" s="23">
        <v>3.0384491625224308E-3</v>
      </c>
      <c r="H67" s="23">
        <v>4.623871099027929E-3</v>
      </c>
    </row>
    <row r="68" spans="1:8">
      <c r="A68" s="3" t="s">
        <v>66</v>
      </c>
      <c r="B68" s="29">
        <v>9.0729685081303076E-3</v>
      </c>
      <c r="C68" s="22">
        <v>0</v>
      </c>
      <c r="E68" s="29">
        <v>1.1833641334172987E-2</v>
      </c>
      <c r="G68" s="23">
        <v>1.0134739379918472E-2</v>
      </c>
      <c r="H68" s="23">
        <v>1.542291017832346E-2</v>
      </c>
    </row>
    <row r="69" spans="1:8">
      <c r="A69" s="3" t="s">
        <v>70</v>
      </c>
      <c r="B69" s="29">
        <v>8.1918881850984639E-3</v>
      </c>
      <c r="C69" s="22">
        <v>0</v>
      </c>
      <c r="E69" s="29">
        <v>1.0241626203663453E-2</v>
      </c>
      <c r="G69" s="23">
        <v>2.6154609492791462E-3</v>
      </c>
      <c r="H69" s="23">
        <v>3.9801733210400383E-3</v>
      </c>
    </row>
    <row r="70" spans="1:8">
      <c r="A70" s="3" t="s">
        <v>74</v>
      </c>
      <c r="B70" s="29">
        <v>1.2903894638946724E-2</v>
      </c>
      <c r="C70" s="22">
        <v>0</v>
      </c>
      <c r="E70" s="29">
        <v>1.5930322522885138E-2</v>
      </c>
      <c r="G70" s="23">
        <v>2.0914147722451582E-3</v>
      </c>
      <c r="H70" s="23">
        <v>3.1826868919657731E-3</v>
      </c>
    </row>
    <row r="71" spans="1:8">
      <c r="A71" s="3" t="s">
        <v>76</v>
      </c>
      <c r="B71" s="29">
        <v>4.9471033967629433E-3</v>
      </c>
      <c r="C71" s="22">
        <v>0</v>
      </c>
      <c r="E71" s="29">
        <v>6.7694120115409963E-3</v>
      </c>
      <c r="G71" s="23">
        <v>1.4667148632754238E-2</v>
      </c>
      <c r="H71" s="23">
        <v>2.2320269664093555E-2</v>
      </c>
    </row>
    <row r="72" spans="1:8">
      <c r="A72" s="3" t="s">
        <v>79</v>
      </c>
      <c r="B72" s="29">
        <v>7.8081959580007599E-3</v>
      </c>
      <c r="C72" s="23">
        <f>1%-B72</f>
        <v>2.1918040419992403E-3</v>
      </c>
      <c r="E72" s="29">
        <v>1.2018627265100883E-2</v>
      </c>
      <c r="G72" s="23">
        <v>5.5681314813678641E-2</v>
      </c>
      <c r="H72" s="23">
        <v>2.8642951718483713E-2</v>
      </c>
    </row>
    <row r="73" spans="1:8">
      <c r="A73" s="3" t="s">
        <v>87</v>
      </c>
      <c r="B73" s="29">
        <v>5.0439595419480669E-3</v>
      </c>
      <c r="C73" s="22">
        <v>0</v>
      </c>
      <c r="E73" s="29">
        <v>6.7838148053986514E-3</v>
      </c>
      <c r="G73" s="23">
        <v>1.4154582640407373E-3</v>
      </c>
      <c r="H73" s="23">
        <v>2.1540253625782985E-3</v>
      </c>
    </row>
    <row r="74" spans="1:8">
      <c r="A74" s="3" t="s">
        <v>88</v>
      </c>
      <c r="B74" s="29">
        <v>1.2751154033314135E-2</v>
      </c>
      <c r="C74" s="22">
        <v>0</v>
      </c>
      <c r="E74" s="29">
        <v>1.4222351853241326E-2</v>
      </c>
      <c r="G74" s="23">
        <v>1.3679205978734672E-3</v>
      </c>
      <c r="H74" s="23">
        <v>2.0816831811071748E-3</v>
      </c>
    </row>
    <row r="75" spans="1:8">
      <c r="A75" s="3" t="s">
        <v>91</v>
      </c>
      <c r="B75" s="29">
        <v>3.5362333740001934E-3</v>
      </c>
      <c r="C75" s="22">
        <v>0</v>
      </c>
      <c r="E75" s="29">
        <v>5.2596627801965324E-3</v>
      </c>
      <c r="G75" s="23">
        <v>2.7402473229681937E-2</v>
      </c>
      <c r="H75" s="23">
        <v>4.1700715474017172E-2</v>
      </c>
    </row>
    <row r="76" spans="1:8">
      <c r="A76" s="3" t="s">
        <v>94</v>
      </c>
      <c r="B76" s="29">
        <v>8.164273188825677E-3</v>
      </c>
      <c r="C76" s="22">
        <v>0</v>
      </c>
      <c r="E76" s="29">
        <v>1.053333509244166E-2</v>
      </c>
      <c r="G76" s="23">
        <v>1.2106339830293194E-2</v>
      </c>
      <c r="H76" s="23">
        <v>1.8423265245561062E-2</v>
      </c>
    </row>
    <row r="77" spans="1:8">
      <c r="A77" s="3" t="s">
        <v>95</v>
      </c>
      <c r="B77" s="29">
        <v>3.5899101908057861E-3</v>
      </c>
      <c r="C77" s="22">
        <v>0</v>
      </c>
      <c r="E77" s="29">
        <v>5.422335103038735E-3</v>
      </c>
      <c r="G77" s="23">
        <v>1.1325363886117249E-2</v>
      </c>
      <c r="H77" s="23">
        <v>1.7234786549964461E-2</v>
      </c>
    </row>
    <row r="78" spans="1:8">
      <c r="A78" s="3" t="s">
        <v>102</v>
      </c>
      <c r="B78" s="29">
        <v>9.5534764525536577E-3</v>
      </c>
      <c r="C78" s="22">
        <v>0</v>
      </c>
      <c r="E78" s="29">
        <v>1.1344029209194811E-2</v>
      </c>
      <c r="G78" s="23">
        <v>3.6279000537218402E-3</v>
      </c>
      <c r="H78" s="23">
        <v>5.5208895430853087E-3</v>
      </c>
    </row>
    <row r="79" spans="1:8">
      <c r="A79" s="3" t="s">
        <v>110</v>
      </c>
      <c r="B79" s="29">
        <v>8.1741244150746791E-3</v>
      </c>
      <c r="C79" s="22">
        <v>0</v>
      </c>
      <c r="E79" s="29">
        <v>1.0795795631651419E-2</v>
      </c>
      <c r="G79" s="23">
        <v>7.7588262280091998E-4</v>
      </c>
      <c r="H79" s="23">
        <v>1.1807277475818726E-3</v>
      </c>
    </row>
    <row r="80" spans="1:8">
      <c r="A80" s="3" t="s">
        <v>114</v>
      </c>
      <c r="B80" s="29">
        <v>1.1032509313309112E-2</v>
      </c>
      <c r="C80" s="22">
        <v>0</v>
      </c>
      <c r="E80" s="29">
        <v>1.4553645774023478E-2</v>
      </c>
      <c r="G80" s="23">
        <v>4.7792332235986534E-3</v>
      </c>
      <c r="H80" s="23">
        <v>7.2729728871838263E-3</v>
      </c>
    </row>
    <row r="81" spans="1:41">
      <c r="A81" s="3" t="s">
        <v>120</v>
      </c>
      <c r="B81" s="29">
        <v>9.0725993142455087E-3</v>
      </c>
      <c r="C81" s="22">
        <v>0</v>
      </c>
      <c r="E81" s="29">
        <v>1.1611993740517043E-2</v>
      </c>
      <c r="G81" s="23">
        <v>1.7551747151203168E-4</v>
      </c>
      <c r="H81" s="23">
        <v>2.6710012920709455E-4</v>
      </c>
    </row>
    <row r="82" spans="1:41">
      <c r="A82" s="3" t="s">
        <v>123</v>
      </c>
      <c r="B82" s="29">
        <v>6.1160294319129848E-3</v>
      </c>
      <c r="C82" s="22">
        <v>0</v>
      </c>
      <c r="E82" s="29">
        <v>8.0380023397306887E-3</v>
      </c>
      <c r="G82" s="23">
        <v>1.9241436305784468E-4</v>
      </c>
      <c r="H82" s="23">
        <v>2.9281359166871354E-4</v>
      </c>
    </row>
    <row r="83" spans="1:41">
      <c r="A83" s="3" t="s">
        <v>127</v>
      </c>
      <c r="B83" s="29">
        <v>8.6241073434454758E-3</v>
      </c>
      <c r="C83" s="22">
        <v>0</v>
      </c>
      <c r="E83" s="29">
        <v>1.167123122436935E-2</v>
      </c>
      <c r="G83" s="23">
        <v>1.6311968051414771E-2</v>
      </c>
      <c r="H83" s="23">
        <v>2.4823333749177785E-2</v>
      </c>
    </row>
    <row r="84" spans="1:41">
      <c r="A84" s="3" t="s">
        <v>139</v>
      </c>
      <c r="B84" s="29">
        <v>3.5682498081369078E-2</v>
      </c>
      <c r="C84" s="22">
        <v>0</v>
      </c>
      <c r="E84" s="29">
        <v>4.1353960777703813E-2</v>
      </c>
      <c r="G84" s="23">
        <v>6.2784644973034598E-2</v>
      </c>
      <c r="H84" s="23">
        <v>9.5544828899668199E-2</v>
      </c>
    </row>
    <row r="85" spans="1:41">
      <c r="A85" s="3" t="s">
        <v>140</v>
      </c>
      <c r="B85" s="29">
        <v>7.6101298942154718E-3</v>
      </c>
      <c r="C85" s="22">
        <v>0</v>
      </c>
      <c r="E85" s="29">
        <v>9.8906819525687549E-3</v>
      </c>
      <c r="G85" s="23">
        <v>4.1627796444742519E-3</v>
      </c>
      <c r="H85" s="23">
        <v>6.3348621155560484E-3</v>
      </c>
    </row>
    <row r="86" spans="1:41">
      <c r="A86" s="3" t="s">
        <v>142</v>
      </c>
      <c r="B86" s="29">
        <v>6.1789055671086649E-3</v>
      </c>
      <c r="C86" s="22">
        <v>0</v>
      </c>
      <c r="E86" s="29">
        <v>7.4532655578451188E-3</v>
      </c>
      <c r="G86" s="23">
        <v>4.5731558238363201E-3</v>
      </c>
      <c r="H86" s="23">
        <v>6.9593670698882447E-3</v>
      </c>
    </row>
    <row r="87" spans="1:41">
      <c r="A87" s="3"/>
      <c r="B87" s="29"/>
      <c r="C87" s="22"/>
      <c r="E87" s="29"/>
      <c r="G87" s="23">
        <f>SUM(G47:G86)</f>
        <v>0.99999999999999978</v>
      </c>
      <c r="H87" s="23">
        <f>SUM(H47:H86)</f>
        <v>0.99999999999999989</v>
      </c>
    </row>
    <row r="89" spans="1:41">
      <c r="A89" s="35"/>
      <c r="B89" s="35" t="s">
        <v>15</v>
      </c>
      <c r="C89" s="35" t="s">
        <v>19</v>
      </c>
      <c r="D89" s="35" t="s">
        <v>17</v>
      </c>
      <c r="E89" s="35" t="s">
        <v>18</v>
      </c>
      <c r="F89" s="35" t="s">
        <v>20</v>
      </c>
      <c r="G89" s="35" t="s">
        <v>22</v>
      </c>
      <c r="H89" s="35" t="s">
        <v>23</v>
      </c>
      <c r="I89" s="35" t="s">
        <v>24</v>
      </c>
      <c r="J89" s="35" t="s">
        <v>29</v>
      </c>
      <c r="K89" s="35" t="s">
        <v>30</v>
      </c>
      <c r="L89" s="35" t="s">
        <v>32</v>
      </c>
      <c r="M89" s="35" t="s">
        <v>41</v>
      </c>
      <c r="N89" s="35" t="s">
        <v>43</v>
      </c>
      <c r="O89" s="35" t="s">
        <v>45</v>
      </c>
      <c r="P89" s="35" t="s">
        <v>47</v>
      </c>
      <c r="Q89" s="35" t="s">
        <v>50</v>
      </c>
      <c r="R89" s="35" t="s">
        <v>52</v>
      </c>
      <c r="S89" s="35" t="s">
        <v>53</v>
      </c>
      <c r="T89" s="35" t="s">
        <v>54</v>
      </c>
      <c r="U89" s="35" t="s">
        <v>57</v>
      </c>
      <c r="V89" s="35" t="s">
        <v>62</v>
      </c>
      <c r="W89" s="35" t="s">
        <v>66</v>
      </c>
      <c r="X89" s="35" t="s">
        <v>70</v>
      </c>
      <c r="Y89" s="35" t="s">
        <v>74</v>
      </c>
      <c r="Z89" s="35" t="s">
        <v>76</v>
      </c>
      <c r="AA89" s="35" t="s">
        <v>79</v>
      </c>
      <c r="AB89" s="35" t="s">
        <v>87</v>
      </c>
      <c r="AC89" s="35" t="s">
        <v>88</v>
      </c>
      <c r="AD89" s="35" t="s">
        <v>91</v>
      </c>
      <c r="AE89" s="35" t="s">
        <v>94</v>
      </c>
      <c r="AF89" s="35" t="s">
        <v>95</v>
      </c>
      <c r="AG89" s="35" t="s">
        <v>102</v>
      </c>
      <c r="AH89" s="35" t="s">
        <v>110</v>
      </c>
      <c r="AI89" s="35" t="s">
        <v>114</v>
      </c>
      <c r="AJ89" s="35" t="s">
        <v>120</v>
      </c>
      <c r="AK89" s="35" t="s">
        <v>123</v>
      </c>
      <c r="AL89" s="35" t="s">
        <v>127</v>
      </c>
      <c r="AM89" s="35" t="s">
        <v>139</v>
      </c>
      <c r="AN89" s="35" t="s">
        <v>140</v>
      </c>
      <c r="AO89" s="35" t="s">
        <v>142</v>
      </c>
    </row>
    <row r="90" spans="1:41">
      <c r="A90" s="35" t="s">
        <v>15</v>
      </c>
      <c r="B90" s="36">
        <v>2.399561424498947E-3</v>
      </c>
      <c r="C90" s="36">
        <v>5.0019314230529343E-4</v>
      </c>
      <c r="D90" s="36">
        <v>7.8127922290946114E-4</v>
      </c>
      <c r="E90" s="36">
        <v>3.2176077798571153E-4</v>
      </c>
      <c r="F90" s="36">
        <v>7.9142850148646927E-4</v>
      </c>
      <c r="G90" s="36">
        <v>6.9616768595448476E-4</v>
      </c>
      <c r="H90" s="36">
        <v>8.8762281598092651E-4</v>
      </c>
      <c r="I90" s="36">
        <v>4.2636282953441681E-4</v>
      </c>
      <c r="J90" s="36">
        <v>7.0437078541922614E-4</v>
      </c>
      <c r="K90" s="36">
        <v>6.9931884658656169E-4</v>
      </c>
      <c r="L90" s="36">
        <v>2.9306656814309206E-4</v>
      </c>
      <c r="M90" s="36">
        <v>2.3800407646842174E-5</v>
      </c>
      <c r="N90" s="36">
        <v>6.2961964650041927E-4</v>
      </c>
      <c r="O90" s="36">
        <v>7.1430492748232404E-4</v>
      </c>
      <c r="P90" s="36">
        <v>7.6229219543263126E-4</v>
      </c>
      <c r="Q90" s="36">
        <v>1.4319581277921845E-3</v>
      </c>
      <c r="R90" s="36">
        <v>7.1917099952959645E-4</v>
      </c>
      <c r="S90" s="36">
        <v>6.7033686985248811E-4</v>
      </c>
      <c r="T90" s="36">
        <v>6.8473923146519908E-4</v>
      </c>
      <c r="U90" s="36">
        <v>1.2912077525840835E-3</v>
      </c>
      <c r="V90" s="36">
        <v>5.7902839460624448E-4</v>
      </c>
      <c r="W90" s="36">
        <v>3.7104016200812588E-4</v>
      </c>
      <c r="X90" s="36">
        <v>4.5162236366384767E-4</v>
      </c>
      <c r="Y90" s="36">
        <v>4.8953749639077339E-4</v>
      </c>
      <c r="Z90" s="36">
        <v>6.2292819080913848E-4</v>
      </c>
      <c r="AA90" s="36">
        <v>5.8460928358030153E-4</v>
      </c>
      <c r="AB90" s="36">
        <v>3.0768291121418146E-4</v>
      </c>
      <c r="AC90" s="36">
        <v>1.0171971183660705E-3</v>
      </c>
      <c r="AD90" s="36">
        <v>4.6130637179163381E-4</v>
      </c>
      <c r="AE90" s="36">
        <v>9.8290025693383736E-4</v>
      </c>
      <c r="AF90" s="36">
        <v>4.9452414261014438E-4</v>
      </c>
      <c r="AG90" s="36">
        <v>9.5552291856970282E-4</v>
      </c>
      <c r="AH90" s="36">
        <v>1.09832038463812E-3</v>
      </c>
      <c r="AI90" s="36">
        <v>9.2401427880920437E-4</v>
      </c>
      <c r="AJ90" s="36">
        <v>3.0173877634922494E-4</v>
      </c>
      <c r="AK90" s="36">
        <v>6.2254256946584201E-4</v>
      </c>
      <c r="AL90" s="36">
        <v>8.2056118791015307E-4</v>
      </c>
      <c r="AM90" s="36">
        <v>1.465926107241096E-3</v>
      </c>
      <c r="AN90" s="36">
        <v>5.5150116604192004E-4</v>
      </c>
      <c r="AO90" s="36">
        <v>6.4259519367574497E-4</v>
      </c>
    </row>
    <row r="91" spans="1:41">
      <c r="A91" s="35" t="s">
        <v>19</v>
      </c>
      <c r="B91" s="36">
        <v>5.0019314230529343E-4</v>
      </c>
      <c r="C91" s="36">
        <v>2.5239939089386301E-3</v>
      </c>
      <c r="D91" s="36">
        <v>6.0734166858122918E-4</v>
      </c>
      <c r="E91" s="36">
        <v>1.8858427340440079E-4</v>
      </c>
      <c r="F91" s="36">
        <v>9.5922331855087138E-4</v>
      </c>
      <c r="G91" s="36">
        <v>5.9507379224666378E-4</v>
      </c>
      <c r="H91" s="36">
        <v>7.582434568814266E-4</v>
      </c>
      <c r="I91" s="36">
        <v>2.8256162001863682E-4</v>
      </c>
      <c r="J91" s="36">
        <v>4.7118645936963712E-4</v>
      </c>
      <c r="K91" s="36">
        <v>9.3433790555954015E-4</v>
      </c>
      <c r="L91" s="36">
        <v>3.1984010690274696E-4</v>
      </c>
      <c r="M91" s="36">
        <v>3.1199649736346648E-4</v>
      </c>
      <c r="N91" s="36">
        <v>2.3430572218863929E-4</v>
      </c>
      <c r="O91" s="36">
        <v>2.5636389602551741E-4</v>
      </c>
      <c r="P91" s="36">
        <v>2.9449988930603874E-4</v>
      </c>
      <c r="Q91" s="36">
        <v>9.4686033420611222E-4</v>
      </c>
      <c r="R91" s="36">
        <v>1.5409485980169731E-4</v>
      </c>
      <c r="S91" s="36">
        <v>1.2955837479866961E-4</v>
      </c>
      <c r="T91" s="36">
        <v>1.9804050733027834E-4</v>
      </c>
      <c r="U91" s="36">
        <v>1.3537866734789536E-3</v>
      </c>
      <c r="V91" s="36">
        <v>3.716632525194886E-4</v>
      </c>
      <c r="W91" s="36">
        <v>1.8469023515438993E-4</v>
      </c>
      <c r="X91" s="36">
        <v>-7.7534808574370087E-6</v>
      </c>
      <c r="Y91" s="36">
        <v>7.4125000346504061E-5</v>
      </c>
      <c r="Z91" s="36">
        <v>3.8250194778442293E-4</v>
      </c>
      <c r="AA91" s="36">
        <v>3.909750876189015E-4</v>
      </c>
      <c r="AB91" s="36">
        <v>3.633887101103887E-4</v>
      </c>
      <c r="AC91" s="36">
        <v>-2.4358434758583642E-4</v>
      </c>
      <c r="AD91" s="36">
        <v>5.3464624259645665E-4</v>
      </c>
      <c r="AE91" s="36">
        <v>4.7891360276405641E-4</v>
      </c>
      <c r="AF91" s="36">
        <v>5.5356699889167252E-4</v>
      </c>
      <c r="AG91" s="36">
        <v>1.2138085173190864E-4</v>
      </c>
      <c r="AH91" s="36">
        <v>5.1439883390023619E-4</v>
      </c>
      <c r="AI91" s="36">
        <v>5.5253175280994208E-4</v>
      </c>
      <c r="AJ91" s="36">
        <v>2.1866056871707517E-4</v>
      </c>
      <c r="AK91" s="36">
        <v>3.604292987664255E-4</v>
      </c>
      <c r="AL91" s="36">
        <v>6.3085805069389047E-4</v>
      </c>
      <c r="AM91" s="36">
        <v>9.4967493861744425E-4</v>
      </c>
      <c r="AN91" s="36">
        <v>2.6113448271692546E-4</v>
      </c>
      <c r="AO91" s="36">
        <v>5.6792838607029184E-5</v>
      </c>
    </row>
    <row r="92" spans="1:41">
      <c r="A92" s="35" t="s">
        <v>17</v>
      </c>
      <c r="B92" s="36">
        <v>7.8127922290946114E-4</v>
      </c>
      <c r="C92" s="36">
        <v>6.0734166858122918E-4</v>
      </c>
      <c r="D92" s="36">
        <v>4.8172862830021135E-3</v>
      </c>
      <c r="E92" s="36">
        <v>3.8630985059717629E-4</v>
      </c>
      <c r="F92" s="36">
        <v>8.9901751008070023E-4</v>
      </c>
      <c r="G92" s="36">
        <v>3.3059800534431373E-4</v>
      </c>
      <c r="H92" s="36">
        <v>1.396888048381884E-3</v>
      </c>
      <c r="I92" s="36">
        <v>2.2351218051171512E-4</v>
      </c>
      <c r="J92" s="36">
        <v>2.8612904846335446E-4</v>
      </c>
      <c r="K92" s="36">
        <v>8.3652249541997699E-4</v>
      </c>
      <c r="L92" s="36">
        <v>4.6365714571102476E-4</v>
      </c>
      <c r="M92" s="36">
        <v>3.4492575011773539E-4</v>
      </c>
      <c r="N92" s="36">
        <v>4.9751933646717073E-4</v>
      </c>
      <c r="O92" s="36">
        <v>1.3659161290939967E-4</v>
      </c>
      <c r="P92" s="36">
        <v>5.6827808873704719E-4</v>
      </c>
      <c r="Q92" s="36">
        <v>1.1812966839536336E-3</v>
      </c>
      <c r="R92" s="36">
        <v>2.2059606762159857E-5</v>
      </c>
      <c r="S92" s="36">
        <v>8.1484064978290603E-4</v>
      </c>
      <c r="T92" s="36">
        <v>3.5825236362635151E-4</v>
      </c>
      <c r="U92" s="36">
        <v>1.3265361927032528E-3</v>
      </c>
      <c r="V92" s="36">
        <v>3.2124770699277605E-4</v>
      </c>
      <c r="W92" s="36">
        <v>6.3423973939620947E-5</v>
      </c>
      <c r="X92" s="36">
        <v>-5.3757745928732228E-5</v>
      </c>
      <c r="Y92" s="36">
        <v>5.9747260298549827E-4</v>
      </c>
      <c r="Z92" s="36">
        <v>-8.3660114213123871E-5</v>
      </c>
      <c r="AA92" s="36">
        <v>4.5803852617730303E-4</v>
      </c>
      <c r="AB92" s="36">
        <v>-9.6977628509487581E-5</v>
      </c>
      <c r="AC92" s="36">
        <v>-8.7022044096287104E-4</v>
      </c>
      <c r="AD92" s="36">
        <v>8.9929632846753624E-5</v>
      </c>
      <c r="AE92" s="36">
        <v>2.4277151013055048E-4</v>
      </c>
      <c r="AF92" s="36">
        <v>1.0316837013137727E-4</v>
      </c>
      <c r="AG92" s="36">
        <v>5.0147745787339301E-5</v>
      </c>
      <c r="AH92" s="36">
        <v>8.4584396851890569E-4</v>
      </c>
      <c r="AI92" s="36">
        <v>-2.8886534626501776E-4</v>
      </c>
      <c r="AJ92" s="36">
        <v>2.2665035114068595E-5</v>
      </c>
      <c r="AK92" s="36">
        <v>2.1357952109063262E-4</v>
      </c>
      <c r="AL92" s="36">
        <v>5.0654964891589098E-4</v>
      </c>
      <c r="AM92" s="36">
        <v>9.3523901973267928E-4</v>
      </c>
      <c r="AN92" s="36">
        <v>-2.0987031203142291E-4</v>
      </c>
      <c r="AO92" s="36">
        <v>2.4473040674908755E-5</v>
      </c>
    </row>
    <row r="93" spans="1:41">
      <c r="A93" s="35" t="s">
        <v>18</v>
      </c>
      <c r="B93" s="36">
        <v>3.2176077798571153E-4</v>
      </c>
      <c r="C93" s="36">
        <v>1.8858427340440079E-4</v>
      </c>
      <c r="D93" s="36">
        <v>3.8630985059717629E-4</v>
      </c>
      <c r="E93" s="36">
        <v>7.0123970050019789E-3</v>
      </c>
      <c r="F93" s="36">
        <v>7.4883287960411399E-4</v>
      </c>
      <c r="G93" s="36">
        <v>2.7532311870129083E-4</v>
      </c>
      <c r="H93" s="36">
        <v>1.483976544394623E-3</v>
      </c>
      <c r="I93" s="36">
        <v>2.6278805952622403E-4</v>
      </c>
      <c r="J93" s="36">
        <v>8.579218893430637E-4</v>
      </c>
      <c r="K93" s="36">
        <v>1.4869214772216316E-3</v>
      </c>
      <c r="L93" s="36">
        <v>4.8192421846679837E-4</v>
      </c>
      <c r="M93" s="36">
        <v>1.0027194192483262E-3</v>
      </c>
      <c r="N93" s="36">
        <v>6.6117704249611599E-4</v>
      </c>
      <c r="O93" s="36">
        <v>6.4215903577139832E-4</v>
      </c>
      <c r="P93" s="36">
        <v>8.1887667424419017E-4</v>
      </c>
      <c r="Q93" s="36">
        <v>-4.7890454243656858E-4</v>
      </c>
      <c r="R93" s="36">
        <v>1.3188813071249729E-3</v>
      </c>
      <c r="S93" s="36">
        <v>5.3064289611043684E-4</v>
      </c>
      <c r="T93" s="36">
        <v>7.7540148607088666E-4</v>
      </c>
      <c r="U93" s="36">
        <v>2.182791171402714E-3</v>
      </c>
      <c r="V93" s="36">
        <v>4.8001786822167815E-4</v>
      </c>
      <c r="W93" s="36">
        <v>3.8963036390355174E-4</v>
      </c>
      <c r="X93" s="36">
        <v>9.6725470410702623E-4</v>
      </c>
      <c r="Y93" s="36">
        <v>1.8209005562750406E-3</v>
      </c>
      <c r="Z93" s="36">
        <v>2.9093163569680177E-5</v>
      </c>
      <c r="AA93" s="36">
        <v>8.3040240515227484E-4</v>
      </c>
      <c r="AB93" s="36">
        <v>9.9535299611653574E-4</v>
      </c>
      <c r="AC93" s="36">
        <v>1.5568361992854044E-3</v>
      </c>
      <c r="AD93" s="36">
        <v>-2.2008781362097934E-4</v>
      </c>
      <c r="AE93" s="36">
        <v>8.3602547982470751E-5</v>
      </c>
      <c r="AF93" s="36">
        <v>1.7105874773920964E-5</v>
      </c>
      <c r="AG93" s="36">
        <v>2.384820246955702E-4</v>
      </c>
      <c r="AH93" s="36">
        <v>8.2787320328633917E-4</v>
      </c>
      <c r="AI93" s="36">
        <v>1.0246461627747008E-3</v>
      </c>
      <c r="AJ93" s="36">
        <v>1.8270323918592104E-3</v>
      </c>
      <c r="AK93" s="36">
        <v>6.2055711723076263E-4</v>
      </c>
      <c r="AL93" s="36">
        <v>1.2102270602834305E-3</v>
      </c>
      <c r="AM93" s="36">
        <v>1.3683981315410583E-3</v>
      </c>
      <c r="AN93" s="36">
        <v>4.5705903703283589E-4</v>
      </c>
      <c r="AO93" s="36">
        <v>3.712210009120438E-4</v>
      </c>
    </row>
    <row r="94" spans="1:41">
      <c r="A94" s="35" t="s">
        <v>20</v>
      </c>
      <c r="B94" s="36">
        <v>7.9142850148646927E-4</v>
      </c>
      <c r="C94" s="36">
        <v>9.5922331855087138E-4</v>
      </c>
      <c r="D94" s="36">
        <v>8.9901751008070023E-4</v>
      </c>
      <c r="E94" s="36">
        <v>7.4883287960411399E-4</v>
      </c>
      <c r="F94" s="36">
        <v>4.2330519953896707E-3</v>
      </c>
      <c r="G94" s="36">
        <v>8.5421898858020989E-4</v>
      </c>
      <c r="H94" s="36">
        <v>1.1552377510777472E-3</v>
      </c>
      <c r="I94" s="36">
        <v>3.2261367712786048E-4</v>
      </c>
      <c r="J94" s="36">
        <v>9.0117631363935055E-4</v>
      </c>
      <c r="K94" s="36">
        <v>1.2545289876291481E-3</v>
      </c>
      <c r="L94" s="36">
        <v>5.9625015233518873E-4</v>
      </c>
      <c r="M94" s="36">
        <v>5.041017308199772E-4</v>
      </c>
      <c r="N94" s="36">
        <v>5.2160647792941098E-4</v>
      </c>
      <c r="O94" s="36">
        <v>5.903329166761645E-4</v>
      </c>
      <c r="P94" s="36">
        <v>4.7703320101979524E-4</v>
      </c>
      <c r="Q94" s="36">
        <v>1.2464422482262448E-3</v>
      </c>
      <c r="R94" s="36">
        <v>5.6604475288255494E-4</v>
      </c>
      <c r="S94" s="36">
        <v>5.0391970931184572E-4</v>
      </c>
      <c r="T94" s="36">
        <v>7.4762330710255681E-4</v>
      </c>
      <c r="U94" s="36">
        <v>2.3473147382107487E-3</v>
      </c>
      <c r="V94" s="36">
        <v>2.8071692701670545E-4</v>
      </c>
      <c r="W94" s="36">
        <v>1.0255806078895041E-4</v>
      </c>
      <c r="X94" s="36">
        <v>2.2722332191556354E-4</v>
      </c>
      <c r="Y94" s="36">
        <v>2.7701516208376566E-4</v>
      </c>
      <c r="Z94" s="36">
        <v>2.6898051444866736E-4</v>
      </c>
      <c r="AA94" s="36">
        <v>6.8012080381183544E-4</v>
      </c>
      <c r="AB94" s="36">
        <v>5.1408484613695005E-4</v>
      </c>
      <c r="AC94" s="36">
        <v>-5.7699024284222104E-4</v>
      </c>
      <c r="AD94" s="36">
        <v>4.525198388948167E-4</v>
      </c>
      <c r="AE94" s="36">
        <v>3.8423404191479353E-4</v>
      </c>
      <c r="AF94" s="36">
        <v>4.9831575997519697E-4</v>
      </c>
      <c r="AG94" s="36">
        <v>6.1850878302800315E-4</v>
      </c>
      <c r="AH94" s="36">
        <v>1.2174119786186059E-3</v>
      </c>
      <c r="AI94" s="36">
        <v>9.6255063406793049E-4</v>
      </c>
      <c r="AJ94" s="36">
        <v>1.3482531743824633E-3</v>
      </c>
      <c r="AK94" s="36">
        <v>6.7247994489278947E-4</v>
      </c>
      <c r="AL94" s="36">
        <v>8.7538272119228576E-4</v>
      </c>
      <c r="AM94" s="36">
        <v>1.3528745662676287E-3</v>
      </c>
      <c r="AN94" s="36">
        <v>3.1625956894583993E-4</v>
      </c>
      <c r="AO94" s="36">
        <v>9.3231922858894232E-5</v>
      </c>
    </row>
    <row r="95" spans="1:41">
      <c r="A95" s="35" t="s">
        <v>22</v>
      </c>
      <c r="B95" s="36">
        <v>6.9616768595448476E-4</v>
      </c>
      <c r="C95" s="36">
        <v>5.9507379224666378E-4</v>
      </c>
      <c r="D95" s="36">
        <v>3.3059800534431373E-4</v>
      </c>
      <c r="E95" s="36">
        <v>2.7532311870129083E-4</v>
      </c>
      <c r="F95" s="36">
        <v>8.5421898858020989E-4</v>
      </c>
      <c r="G95" s="36">
        <v>3.2902881245795183E-3</v>
      </c>
      <c r="H95" s="36">
        <v>1.2762749419932512E-3</v>
      </c>
      <c r="I95" s="36">
        <v>9.6387220492674382E-4</v>
      </c>
      <c r="J95" s="36">
        <v>6.5234441984424413E-4</v>
      </c>
      <c r="K95" s="36">
        <v>6.9690063273172506E-4</v>
      </c>
      <c r="L95" s="36">
        <v>5.9832738807709754E-4</v>
      </c>
      <c r="M95" s="36">
        <v>4.6803944148972619E-4</v>
      </c>
      <c r="N95" s="36">
        <v>7.1365218840322266E-4</v>
      </c>
      <c r="O95" s="36">
        <v>6.0866409349153599E-4</v>
      </c>
      <c r="P95" s="36">
        <v>2.4770668156257639E-4</v>
      </c>
      <c r="Q95" s="36">
        <v>1.1186650702318828E-3</v>
      </c>
      <c r="R95" s="36">
        <v>1.1662151678796557E-3</v>
      </c>
      <c r="S95" s="36">
        <v>1.4532225936580287E-5</v>
      </c>
      <c r="T95" s="36">
        <v>5.5075845630400276E-4</v>
      </c>
      <c r="U95" s="36">
        <v>1.8479068229039245E-3</v>
      </c>
      <c r="V95" s="36">
        <v>1.1077263602975774E-3</v>
      </c>
      <c r="W95" s="36">
        <v>1.004626709619751E-3</v>
      </c>
      <c r="X95" s="36">
        <v>1.1894510204531094E-4</v>
      </c>
      <c r="Y95" s="36">
        <v>6.9808204069631583E-4</v>
      </c>
      <c r="Z95" s="36">
        <v>5.203280574546268E-4</v>
      </c>
      <c r="AA95" s="36">
        <v>4.2744246116215614E-4</v>
      </c>
      <c r="AB95" s="36">
        <v>6.1204910410547005E-4</v>
      </c>
      <c r="AC95" s="36">
        <v>3.9430895220341102E-4</v>
      </c>
      <c r="AD95" s="36">
        <v>3.3874459798296131E-4</v>
      </c>
      <c r="AE95" s="36">
        <v>6.7364753430272954E-4</v>
      </c>
      <c r="AF95" s="36">
        <v>5.3625065856270301E-4</v>
      </c>
      <c r="AG95" s="36">
        <v>6.8460221247942411E-4</v>
      </c>
      <c r="AH95" s="36">
        <v>1.0754731752731774E-3</v>
      </c>
      <c r="AI95" s="36">
        <v>1.0042099258483041E-3</v>
      </c>
      <c r="AJ95" s="36">
        <v>5.7650694743270625E-4</v>
      </c>
      <c r="AK95" s="36">
        <v>3.0055836225516784E-4</v>
      </c>
      <c r="AL95" s="36">
        <v>5.3173577723817744E-4</v>
      </c>
      <c r="AM95" s="36">
        <v>1.1991263125233141E-3</v>
      </c>
      <c r="AN95" s="36">
        <v>6.2111298093691465E-4</v>
      </c>
      <c r="AO95" s="36">
        <v>6.4784078722294515E-4</v>
      </c>
    </row>
    <row r="96" spans="1:41">
      <c r="A96" s="35" t="s">
        <v>23</v>
      </c>
      <c r="B96" s="36">
        <v>8.8762281598092651E-4</v>
      </c>
      <c r="C96" s="36">
        <v>7.582434568814266E-4</v>
      </c>
      <c r="D96" s="36">
        <v>1.396888048381884E-3</v>
      </c>
      <c r="E96" s="36">
        <v>1.483976544394623E-3</v>
      </c>
      <c r="F96" s="36">
        <v>1.1552377510777472E-3</v>
      </c>
      <c r="G96" s="36">
        <v>1.2762749419932512E-3</v>
      </c>
      <c r="H96" s="36">
        <v>8.9640850068638377E-3</v>
      </c>
      <c r="I96" s="36">
        <v>1.1831743912991009E-3</v>
      </c>
      <c r="J96" s="36">
        <v>6.5904622877837726E-4</v>
      </c>
      <c r="K96" s="36">
        <v>1.0431641557952184E-3</v>
      </c>
      <c r="L96" s="36">
        <v>7.3742116942594814E-4</v>
      </c>
      <c r="M96" s="36">
        <v>9.9572927771306185E-4</v>
      </c>
      <c r="N96" s="36">
        <v>1.0840552927530139E-3</v>
      </c>
      <c r="O96" s="36">
        <v>8.2901820585390309E-4</v>
      </c>
      <c r="P96" s="36">
        <v>1.8438970850008459E-3</v>
      </c>
      <c r="Q96" s="36">
        <v>1.2510642152365947E-3</v>
      </c>
      <c r="R96" s="36">
        <v>1.2784091219470235E-3</v>
      </c>
      <c r="S96" s="36">
        <v>6.3533221105389328E-4</v>
      </c>
      <c r="T96" s="36">
        <v>1.146798168535388E-3</v>
      </c>
      <c r="U96" s="36">
        <v>2.2263444898168515E-3</v>
      </c>
      <c r="V96" s="36">
        <v>1.0572685371524385E-3</v>
      </c>
      <c r="W96" s="36">
        <v>1.1307901616492209E-3</v>
      </c>
      <c r="X96" s="36">
        <v>7.1538690748910267E-4</v>
      </c>
      <c r="Y96" s="36">
        <v>2.0365015028511279E-3</v>
      </c>
      <c r="Z96" s="36">
        <v>2.0438073296286792E-5</v>
      </c>
      <c r="AA96" s="36">
        <v>9.9606399532928811E-4</v>
      </c>
      <c r="AB96" s="36">
        <v>7.5927542700048002E-4</v>
      </c>
      <c r="AC96" s="36">
        <v>1.8305906614542457E-4</v>
      </c>
      <c r="AD96" s="36">
        <v>4.1573443703018076E-5</v>
      </c>
      <c r="AE96" s="36">
        <v>5.4859702970208991E-4</v>
      </c>
      <c r="AF96" s="36">
        <v>2.7020292642261396E-4</v>
      </c>
      <c r="AG96" s="36">
        <v>7.184527213380833E-4</v>
      </c>
      <c r="AH96" s="36">
        <v>6.3501921960452468E-4</v>
      </c>
      <c r="AI96" s="36">
        <v>3.8411822855198346E-4</v>
      </c>
      <c r="AJ96" s="36">
        <v>1.83785766919502E-3</v>
      </c>
      <c r="AK96" s="36">
        <v>4.1092344869523916E-4</v>
      </c>
      <c r="AL96" s="36">
        <v>1.136980184010999E-3</v>
      </c>
      <c r="AM96" s="36">
        <v>5.7674896671181756E-4</v>
      </c>
      <c r="AN96" s="36">
        <v>7.0451583296763905E-4</v>
      </c>
      <c r="AO96" s="36">
        <v>8.6723176426551361E-4</v>
      </c>
    </row>
    <row r="97" spans="1:41">
      <c r="A97" s="35" t="s">
        <v>24</v>
      </c>
      <c r="B97" s="36">
        <v>4.2636282953441681E-4</v>
      </c>
      <c r="C97" s="36">
        <v>2.8256162001863682E-4</v>
      </c>
      <c r="D97" s="36">
        <v>2.2351218051171512E-4</v>
      </c>
      <c r="E97" s="36">
        <v>2.6278805952622403E-4</v>
      </c>
      <c r="F97" s="36">
        <v>3.2261367712786048E-4</v>
      </c>
      <c r="G97" s="36">
        <v>9.6387220492674382E-4</v>
      </c>
      <c r="H97" s="36">
        <v>1.1831743912991009E-3</v>
      </c>
      <c r="I97" s="36">
        <v>5.4733530102919169E-3</v>
      </c>
      <c r="J97" s="36">
        <v>6.4382504503957515E-4</v>
      </c>
      <c r="K97" s="36">
        <v>1.857214032988235E-4</v>
      </c>
      <c r="L97" s="36">
        <v>1.4500150148063327E-4</v>
      </c>
      <c r="M97" s="36">
        <v>9.3068635712751388E-4</v>
      </c>
      <c r="N97" s="36">
        <v>7.7329772383068532E-4</v>
      </c>
      <c r="O97" s="36">
        <v>7.7380095161996105E-4</v>
      </c>
      <c r="P97" s="36">
        <v>9.3421635464632801E-4</v>
      </c>
      <c r="Q97" s="36">
        <v>3.6314901569158963E-4</v>
      </c>
      <c r="R97" s="36">
        <v>1.5895076429561627E-3</v>
      </c>
      <c r="S97" s="36">
        <v>-2.8198123661070742E-4</v>
      </c>
      <c r="T97" s="36">
        <v>5.1253567332760531E-4</v>
      </c>
      <c r="U97" s="36">
        <v>3.1753264065500064E-3</v>
      </c>
      <c r="V97" s="36">
        <v>1.1703706316043435E-3</v>
      </c>
      <c r="W97" s="36">
        <v>1.1440260667821426E-3</v>
      </c>
      <c r="X97" s="36">
        <v>1.0007254146045363E-3</v>
      </c>
      <c r="Y97" s="36">
        <v>1.1106109631995207E-3</v>
      </c>
      <c r="Z97" s="36">
        <v>3.0128032223577383E-4</v>
      </c>
      <c r="AA97" s="36">
        <v>8.4340227822806628E-4</v>
      </c>
      <c r="AB97" s="36">
        <v>7.4478327379893161E-4</v>
      </c>
      <c r="AC97" s="36">
        <v>8.3383550104576662E-4</v>
      </c>
      <c r="AD97" s="36">
        <v>1.5978367303705858E-4</v>
      </c>
      <c r="AE97" s="36">
        <v>8.5892999390407886E-4</v>
      </c>
      <c r="AF97" s="36">
        <v>6.7614953315887568E-4</v>
      </c>
      <c r="AG97" s="36">
        <v>1.1125475583120673E-3</v>
      </c>
      <c r="AH97" s="36">
        <v>9.7504730585076804E-4</v>
      </c>
      <c r="AI97" s="36">
        <v>1.0636370610542926E-3</v>
      </c>
      <c r="AJ97" s="36">
        <v>7.1518167038133579E-4</v>
      </c>
      <c r="AK97" s="36">
        <v>3.4871995683923013E-4</v>
      </c>
      <c r="AL97" s="36">
        <v>6.5661917950251148E-4</v>
      </c>
      <c r="AM97" s="36">
        <v>6.095199382205633E-4</v>
      </c>
      <c r="AN97" s="36">
        <v>1.3432718004699673E-3</v>
      </c>
      <c r="AO97" s="36">
        <v>5.2354924851443353E-4</v>
      </c>
    </row>
    <row r="98" spans="1:41">
      <c r="A98" s="35" t="s">
        <v>29</v>
      </c>
      <c r="B98" s="36">
        <v>7.0437078541922614E-4</v>
      </c>
      <c r="C98" s="36">
        <v>4.7118645936963712E-4</v>
      </c>
      <c r="D98" s="36">
        <v>2.8612904846335446E-4</v>
      </c>
      <c r="E98" s="36">
        <v>8.579218893430637E-4</v>
      </c>
      <c r="F98" s="36">
        <v>9.0117631363935055E-4</v>
      </c>
      <c r="G98" s="36">
        <v>6.5234441984424413E-4</v>
      </c>
      <c r="H98" s="36">
        <v>6.5904622877837726E-4</v>
      </c>
      <c r="I98" s="36">
        <v>6.4382504503957515E-4</v>
      </c>
      <c r="J98" s="36">
        <v>3.6042788399399993E-3</v>
      </c>
      <c r="K98" s="36">
        <v>1.3424168762094255E-3</v>
      </c>
      <c r="L98" s="36">
        <v>4.4719508310948067E-4</v>
      </c>
      <c r="M98" s="36">
        <v>1.6413159897607951E-4</v>
      </c>
      <c r="N98" s="36">
        <v>4.9186916063645241E-4</v>
      </c>
      <c r="O98" s="36">
        <v>6.7418551479350513E-4</v>
      </c>
      <c r="P98" s="36">
        <v>7.299337961866691E-4</v>
      </c>
      <c r="Q98" s="36">
        <v>5.3178997066390284E-4</v>
      </c>
      <c r="R98" s="36">
        <v>6.6856101511810482E-4</v>
      </c>
      <c r="S98" s="36">
        <v>3.0263489864985443E-4</v>
      </c>
      <c r="T98" s="36">
        <v>5.8103827595847794E-4</v>
      </c>
      <c r="U98" s="36">
        <v>1.8575305876425226E-3</v>
      </c>
      <c r="V98" s="36">
        <v>5.9229736174196146E-4</v>
      </c>
      <c r="W98" s="36">
        <v>4.3862126320646946E-4</v>
      </c>
      <c r="X98" s="36">
        <v>6.5192363524413084E-4</v>
      </c>
      <c r="Y98" s="36">
        <v>1.7066259450071575E-4</v>
      </c>
      <c r="Z98" s="36">
        <v>4.5969686669644161E-4</v>
      </c>
      <c r="AA98" s="36">
        <v>5.0656336006292871E-4</v>
      </c>
      <c r="AB98" s="36">
        <v>8.5741853484637605E-4</v>
      </c>
      <c r="AC98" s="36">
        <v>9.4853207070421568E-4</v>
      </c>
      <c r="AD98" s="36">
        <v>2.6591314056686885E-4</v>
      </c>
      <c r="AE98" s="36">
        <v>5.9659841016349848E-4</v>
      </c>
      <c r="AF98" s="36">
        <v>3.4605164265446317E-4</v>
      </c>
      <c r="AG98" s="36">
        <v>1.5279425477230893E-3</v>
      </c>
      <c r="AH98" s="36">
        <v>9.3892714061096763E-4</v>
      </c>
      <c r="AI98" s="36">
        <v>1.2507035913762894E-3</v>
      </c>
      <c r="AJ98" s="36">
        <v>1.3916254114995173E-3</v>
      </c>
      <c r="AK98" s="36">
        <v>9.7944526313889849E-4</v>
      </c>
      <c r="AL98" s="36">
        <v>9.3168110683853798E-4</v>
      </c>
      <c r="AM98" s="36">
        <v>1.2051754376261709E-3</v>
      </c>
      <c r="AN98" s="36">
        <v>8.4353322508304675E-4</v>
      </c>
      <c r="AO98" s="36">
        <v>4.1387769299299317E-4</v>
      </c>
    </row>
    <row r="99" spans="1:41">
      <c r="A99" s="35" t="s">
        <v>30</v>
      </c>
      <c r="B99" s="36">
        <v>6.9931884658656169E-4</v>
      </c>
      <c r="C99" s="36">
        <v>9.3433790555954015E-4</v>
      </c>
      <c r="D99" s="36">
        <v>8.3652249541997699E-4</v>
      </c>
      <c r="E99" s="36">
        <v>1.4869214772216316E-3</v>
      </c>
      <c r="F99" s="36">
        <v>1.2545289876291481E-3</v>
      </c>
      <c r="G99" s="36">
        <v>6.9690063273172506E-4</v>
      </c>
      <c r="H99" s="36">
        <v>1.0431641557952184E-3</v>
      </c>
      <c r="I99" s="36">
        <v>1.857214032988235E-4</v>
      </c>
      <c r="J99" s="36">
        <v>1.3424168762094255E-3</v>
      </c>
      <c r="K99" s="36">
        <v>6.4475301889323567E-3</v>
      </c>
      <c r="L99" s="36">
        <v>5.1914321841029496E-4</v>
      </c>
      <c r="M99" s="36">
        <v>3.0933694175201183E-4</v>
      </c>
      <c r="N99" s="36">
        <v>4.3802365353615114E-4</v>
      </c>
      <c r="O99" s="36">
        <v>5.0223083674149781E-4</v>
      </c>
      <c r="P99" s="36">
        <v>1.1024274056624834E-3</v>
      </c>
      <c r="Q99" s="36">
        <v>1.805274647161288E-3</v>
      </c>
      <c r="R99" s="36">
        <v>3.9633433638862429E-4</v>
      </c>
      <c r="S99" s="36">
        <v>1.8364638576644267E-4</v>
      </c>
      <c r="T99" s="36">
        <v>4.2379478991637668E-4</v>
      </c>
      <c r="U99" s="36">
        <v>2.6599018668926333E-3</v>
      </c>
      <c r="V99" s="36">
        <v>3.1918442035769741E-4</v>
      </c>
      <c r="W99" s="36">
        <v>-9.0709717544701433E-5</v>
      </c>
      <c r="X99" s="36">
        <v>6.7798932721341906E-4</v>
      </c>
      <c r="Y99" s="36">
        <v>-2.2565110261808306E-4</v>
      </c>
      <c r="Z99" s="36">
        <v>3.4636539843931248E-4</v>
      </c>
      <c r="AA99" s="36">
        <v>7.7672700138438485E-4</v>
      </c>
      <c r="AB99" s="36">
        <v>7.7891772469326889E-4</v>
      </c>
      <c r="AC99" s="36">
        <v>7.6596123925547503E-4</v>
      </c>
      <c r="AD99" s="36">
        <v>3.4921689780946806E-4</v>
      </c>
      <c r="AE99" s="36">
        <v>2.5891778765945058E-4</v>
      </c>
      <c r="AF99" s="36">
        <v>5.0681383165500859E-4</v>
      </c>
      <c r="AG99" s="36">
        <v>1.3313413637155087E-3</v>
      </c>
      <c r="AH99" s="36">
        <v>1.8823159730126755E-3</v>
      </c>
      <c r="AI99" s="36">
        <v>1.1887491408958699E-3</v>
      </c>
      <c r="AJ99" s="36">
        <v>2.3174800590775118E-3</v>
      </c>
      <c r="AK99" s="36">
        <v>1.3632355049410262E-3</v>
      </c>
      <c r="AL99" s="36">
        <v>1.2507015175943982E-3</v>
      </c>
      <c r="AM99" s="36">
        <v>9.2276877822284427E-4</v>
      </c>
      <c r="AN99" s="36">
        <v>3.7706973285503648E-4</v>
      </c>
      <c r="AO99" s="36">
        <v>1.1101582409017872E-3</v>
      </c>
    </row>
    <row r="100" spans="1:41">
      <c r="A100" s="35" t="s">
        <v>32</v>
      </c>
      <c r="B100" s="36">
        <v>2.9306656814309206E-4</v>
      </c>
      <c r="C100" s="36">
        <v>3.1984010690274696E-4</v>
      </c>
      <c r="D100" s="36">
        <v>4.6365714571102476E-4</v>
      </c>
      <c r="E100" s="36">
        <v>4.8192421846679837E-4</v>
      </c>
      <c r="F100" s="36">
        <v>5.9625015233518873E-4</v>
      </c>
      <c r="G100" s="36">
        <v>5.9832738807709754E-4</v>
      </c>
      <c r="H100" s="36">
        <v>7.3742116942594814E-4</v>
      </c>
      <c r="I100" s="36">
        <v>1.4500150148063327E-4</v>
      </c>
      <c r="J100" s="36">
        <v>4.4719508310948067E-4</v>
      </c>
      <c r="K100" s="36">
        <v>5.1914321841029496E-4</v>
      </c>
      <c r="L100" s="36">
        <v>8.9553439124222343E-3</v>
      </c>
      <c r="M100" s="36">
        <v>4.5660877259653444E-4</v>
      </c>
      <c r="N100" s="36">
        <v>1.8506042187927749E-4</v>
      </c>
      <c r="O100" s="36">
        <v>2.0800863235700303E-4</v>
      </c>
      <c r="P100" s="36">
        <v>1.042919491318984E-3</v>
      </c>
      <c r="Q100" s="36">
        <v>5.6734799582834605E-4</v>
      </c>
      <c r="R100" s="36">
        <v>2.0489318698430543E-3</v>
      </c>
      <c r="S100" s="36">
        <v>-4.4538454105652917E-4</v>
      </c>
      <c r="T100" s="36">
        <v>1.4927360419070488E-4</v>
      </c>
      <c r="U100" s="36">
        <v>2.0321937960476118E-3</v>
      </c>
      <c r="V100" s="36">
        <v>1.055822288447382E-3</v>
      </c>
      <c r="W100" s="36">
        <v>5.5615998207319964E-4</v>
      </c>
      <c r="X100" s="36">
        <v>-1.9648404265462763E-4</v>
      </c>
      <c r="Y100" s="36">
        <v>1.5854532930491257E-3</v>
      </c>
      <c r="Z100" s="36">
        <v>-5.8276377774268973E-4</v>
      </c>
      <c r="AA100" s="36">
        <v>3.5167535605539038E-4</v>
      </c>
      <c r="AB100" s="36">
        <v>1.5714043943772344E-3</v>
      </c>
      <c r="AC100" s="36">
        <v>-7.4362754876611291E-4</v>
      </c>
      <c r="AD100" s="36">
        <v>1.5560112110763187E-4</v>
      </c>
      <c r="AE100" s="36">
        <v>6.9630265217603203E-4</v>
      </c>
      <c r="AF100" s="36">
        <v>8.7085606426100969E-5</v>
      </c>
      <c r="AG100" s="36">
        <v>3.2404522756854931E-4</v>
      </c>
      <c r="AH100" s="36">
        <v>8.9261353274832213E-4</v>
      </c>
      <c r="AI100" s="36">
        <v>3.5965100500000459E-4</v>
      </c>
      <c r="AJ100" s="36">
        <v>-4.0732017391503577E-4</v>
      </c>
      <c r="AK100" s="36">
        <v>-1.5597263298422723E-4</v>
      </c>
      <c r="AL100" s="36">
        <v>-2.3903316797359894E-4</v>
      </c>
      <c r="AM100" s="36">
        <v>4.2032828391762241E-4</v>
      </c>
      <c r="AN100" s="36">
        <v>5.3317964029869075E-4</v>
      </c>
      <c r="AO100" s="36">
        <v>-1.0433458369254495E-3</v>
      </c>
    </row>
    <row r="101" spans="1:41">
      <c r="A101" s="35" t="s">
        <v>41</v>
      </c>
      <c r="B101" s="36">
        <v>2.3800407646842174E-5</v>
      </c>
      <c r="C101" s="36">
        <v>3.1199649736346648E-4</v>
      </c>
      <c r="D101" s="36">
        <v>3.4492575011773539E-4</v>
      </c>
      <c r="E101" s="36">
        <v>1.0027194192483262E-3</v>
      </c>
      <c r="F101" s="36">
        <v>5.041017308199772E-4</v>
      </c>
      <c r="G101" s="36">
        <v>4.6803944148972619E-4</v>
      </c>
      <c r="H101" s="36">
        <v>9.9572927771306185E-4</v>
      </c>
      <c r="I101" s="36">
        <v>9.3068635712751388E-4</v>
      </c>
      <c r="J101" s="36">
        <v>1.6413159897607951E-4</v>
      </c>
      <c r="K101" s="36">
        <v>3.0933694175201183E-4</v>
      </c>
      <c r="L101" s="36">
        <v>4.5660877259653444E-4</v>
      </c>
      <c r="M101" s="36">
        <v>4.8319003739602934E-3</v>
      </c>
      <c r="N101" s="36">
        <v>5.3697093921952052E-4</v>
      </c>
      <c r="O101" s="36">
        <v>1.3105185726982888E-4</v>
      </c>
      <c r="P101" s="36">
        <v>4.9201820231513469E-4</v>
      </c>
      <c r="Q101" s="36">
        <v>-7.6070352984065393E-4</v>
      </c>
      <c r="R101" s="36">
        <v>7.9793000843290344E-4</v>
      </c>
      <c r="S101" s="36">
        <v>-2.0183703401026453E-4</v>
      </c>
      <c r="T101" s="36">
        <v>3.2005695730306905E-4</v>
      </c>
      <c r="U101" s="36">
        <v>1.3044229022734835E-3</v>
      </c>
      <c r="V101" s="36">
        <v>3.5294061640022415E-4</v>
      </c>
      <c r="W101" s="36">
        <v>4.0805753844107696E-4</v>
      </c>
      <c r="X101" s="36">
        <v>3.036574581699374E-5</v>
      </c>
      <c r="Y101" s="36">
        <v>6.441666960194329E-4</v>
      </c>
      <c r="Z101" s="36">
        <v>-2.881248829621889E-5</v>
      </c>
      <c r="AA101" s="36">
        <v>4.059369531803282E-4</v>
      </c>
      <c r="AB101" s="36">
        <v>1.1978722799428071E-4</v>
      </c>
      <c r="AC101" s="36">
        <v>-6.0500362071223227E-4</v>
      </c>
      <c r="AD101" s="36">
        <v>1.3024470222573943E-4</v>
      </c>
      <c r="AE101" s="36">
        <v>-5.9278356893008165E-5</v>
      </c>
      <c r="AF101" s="36">
        <v>2.8325144492089612E-4</v>
      </c>
      <c r="AG101" s="36">
        <v>-2.1204470193434267E-4</v>
      </c>
      <c r="AH101" s="36">
        <v>3.2096341180313978E-4</v>
      </c>
      <c r="AI101" s="36">
        <v>1.3418899904274752E-4</v>
      </c>
      <c r="AJ101" s="36">
        <v>-9.6448311241650734E-5</v>
      </c>
      <c r="AK101" s="36">
        <v>6.6926058813162147E-5</v>
      </c>
      <c r="AL101" s="36">
        <v>2.2705246196190221E-4</v>
      </c>
      <c r="AM101" s="36">
        <v>3.8399540253992965E-4</v>
      </c>
      <c r="AN101" s="36">
        <v>2.1435903406871458E-4</v>
      </c>
      <c r="AO101" s="36">
        <v>1.9646940582599858E-5</v>
      </c>
    </row>
    <row r="102" spans="1:41">
      <c r="A102" s="35" t="s">
        <v>43</v>
      </c>
      <c r="B102" s="36">
        <v>6.2961964650041927E-4</v>
      </c>
      <c r="C102" s="36">
        <v>2.3430572218863929E-4</v>
      </c>
      <c r="D102" s="36">
        <v>4.9751933646717073E-4</v>
      </c>
      <c r="E102" s="36">
        <v>6.6117704249611599E-4</v>
      </c>
      <c r="F102" s="36">
        <v>5.2160647792941098E-4</v>
      </c>
      <c r="G102" s="36">
        <v>7.1365218840322266E-4</v>
      </c>
      <c r="H102" s="36">
        <v>1.0840552927530139E-3</v>
      </c>
      <c r="I102" s="36">
        <v>7.7329772383068532E-4</v>
      </c>
      <c r="J102" s="36">
        <v>4.9186916063645241E-4</v>
      </c>
      <c r="K102" s="36">
        <v>4.3802365353615114E-4</v>
      </c>
      <c r="L102" s="36">
        <v>1.8506042187927749E-4</v>
      </c>
      <c r="M102" s="36">
        <v>5.3697093921952052E-4</v>
      </c>
      <c r="N102" s="36">
        <v>2.3098277956324635E-3</v>
      </c>
      <c r="O102" s="36">
        <v>6.5710826672733412E-4</v>
      </c>
      <c r="P102" s="36">
        <v>1.0834774593664973E-3</v>
      </c>
      <c r="Q102" s="36">
        <v>7.7200849144007757E-4</v>
      </c>
      <c r="R102" s="36">
        <v>1.650946986698215E-3</v>
      </c>
      <c r="S102" s="36">
        <v>7.0779589987763941E-4</v>
      </c>
      <c r="T102" s="36">
        <v>8.3978535174500043E-4</v>
      </c>
      <c r="U102" s="36">
        <v>1.6208902886325626E-3</v>
      </c>
      <c r="V102" s="36">
        <v>6.0992860774423745E-4</v>
      </c>
      <c r="W102" s="36">
        <v>1.0663211168773189E-3</v>
      </c>
      <c r="X102" s="36">
        <v>8.8092970249369757E-4</v>
      </c>
      <c r="Y102" s="36">
        <v>1.1700442351319658E-3</v>
      </c>
      <c r="Z102" s="36">
        <v>4.5044054541501754E-4</v>
      </c>
      <c r="AA102" s="36">
        <v>6.3794954898053233E-4</v>
      </c>
      <c r="AB102" s="36">
        <v>2.8565396034882723E-4</v>
      </c>
      <c r="AC102" s="36">
        <v>5.4603557178187982E-4</v>
      </c>
      <c r="AD102" s="36">
        <v>1.9858220496389499E-4</v>
      </c>
      <c r="AE102" s="36">
        <v>5.7588259063531702E-4</v>
      </c>
      <c r="AF102" s="36">
        <v>2.7753247835980677E-4</v>
      </c>
      <c r="AG102" s="36">
        <v>6.3844278555142276E-4</v>
      </c>
      <c r="AH102" s="36">
        <v>6.259409681731383E-4</v>
      </c>
      <c r="AI102" s="36">
        <v>9.2121740879837601E-4</v>
      </c>
      <c r="AJ102" s="36">
        <v>8.2367390354469851E-4</v>
      </c>
      <c r="AK102" s="36">
        <v>4.0384148440291274E-4</v>
      </c>
      <c r="AL102" s="36">
        <v>6.7335255973019351E-4</v>
      </c>
      <c r="AM102" s="36">
        <v>1.6775954417811803E-3</v>
      </c>
      <c r="AN102" s="36">
        <v>7.6546958737012775E-4</v>
      </c>
      <c r="AO102" s="36">
        <v>4.2057924038003079E-4</v>
      </c>
    </row>
    <row r="103" spans="1:41">
      <c r="A103" s="35" t="s">
        <v>45</v>
      </c>
      <c r="B103" s="36">
        <v>7.1430492748232404E-4</v>
      </c>
      <c r="C103" s="36">
        <v>2.5636389602551741E-4</v>
      </c>
      <c r="D103" s="36">
        <v>1.3659161290939967E-4</v>
      </c>
      <c r="E103" s="36">
        <v>6.4215903577139832E-4</v>
      </c>
      <c r="F103" s="36">
        <v>5.903329166761645E-4</v>
      </c>
      <c r="G103" s="36">
        <v>6.0866409349153599E-4</v>
      </c>
      <c r="H103" s="36">
        <v>8.2901820585390309E-4</v>
      </c>
      <c r="I103" s="36">
        <v>7.7380095161996105E-4</v>
      </c>
      <c r="J103" s="36">
        <v>6.7418551479350513E-4</v>
      </c>
      <c r="K103" s="36">
        <v>5.0223083674149781E-4</v>
      </c>
      <c r="L103" s="36">
        <v>2.0800863235700303E-4</v>
      </c>
      <c r="M103" s="36">
        <v>1.3105185726982888E-4</v>
      </c>
      <c r="N103" s="36">
        <v>6.5710826672733412E-4</v>
      </c>
      <c r="O103" s="36">
        <v>3.1210866711348173E-3</v>
      </c>
      <c r="P103" s="36">
        <v>1.2287774865010668E-3</v>
      </c>
      <c r="Q103" s="36">
        <v>8.5936645744176966E-4</v>
      </c>
      <c r="R103" s="36">
        <v>1.2182977346160029E-3</v>
      </c>
      <c r="S103" s="36">
        <v>4.7218258103420336E-4</v>
      </c>
      <c r="T103" s="36">
        <v>9.5023731010256249E-4</v>
      </c>
      <c r="U103" s="36">
        <v>1.5039111137789417E-3</v>
      </c>
      <c r="V103" s="36">
        <v>7.557434101221652E-4</v>
      </c>
      <c r="W103" s="36">
        <v>7.868166199245265E-4</v>
      </c>
      <c r="X103" s="36">
        <v>9.9038891042058314E-4</v>
      </c>
      <c r="Y103" s="36">
        <v>4.7969446999160354E-4</v>
      </c>
      <c r="Z103" s="36">
        <v>4.5452706289088161E-4</v>
      </c>
      <c r="AA103" s="36">
        <v>8.5534929419722608E-4</v>
      </c>
      <c r="AB103" s="36">
        <v>5.267263447918777E-4</v>
      </c>
      <c r="AC103" s="36">
        <v>1.2879671033180112E-3</v>
      </c>
      <c r="AD103" s="36">
        <v>2.8410062638312649E-4</v>
      </c>
      <c r="AE103" s="36">
        <v>1.0275404987221946E-3</v>
      </c>
      <c r="AF103" s="36">
        <v>2.5096727113799064E-4</v>
      </c>
      <c r="AG103" s="36">
        <v>9.0135619942522901E-4</v>
      </c>
      <c r="AH103" s="36">
        <v>6.9134785460571912E-4</v>
      </c>
      <c r="AI103" s="36">
        <v>1.2444658993737776E-3</v>
      </c>
      <c r="AJ103" s="36">
        <v>1.2728831320562546E-3</v>
      </c>
      <c r="AK103" s="36">
        <v>8.4815054411807199E-4</v>
      </c>
      <c r="AL103" s="36">
        <v>5.836726698904526E-4</v>
      </c>
      <c r="AM103" s="36">
        <v>6.6166352743178374E-4</v>
      </c>
      <c r="AN103" s="36">
        <v>9.8968254519439481E-4</v>
      </c>
      <c r="AO103" s="36">
        <v>3.2910887737195145E-4</v>
      </c>
    </row>
    <row r="104" spans="1:41">
      <c r="A104" s="35" t="s">
        <v>47</v>
      </c>
      <c r="B104" s="36">
        <v>7.6229219543263126E-4</v>
      </c>
      <c r="C104" s="36">
        <v>2.9449988930603874E-4</v>
      </c>
      <c r="D104" s="36">
        <v>5.6827808873704719E-4</v>
      </c>
      <c r="E104" s="36">
        <v>8.1887667424419017E-4</v>
      </c>
      <c r="F104" s="36">
        <v>4.7703320101979524E-4</v>
      </c>
      <c r="G104" s="36">
        <v>2.4770668156257639E-4</v>
      </c>
      <c r="H104" s="36">
        <v>1.8438970850008459E-3</v>
      </c>
      <c r="I104" s="36">
        <v>9.3421635464632801E-4</v>
      </c>
      <c r="J104" s="36">
        <v>7.299337961866691E-4</v>
      </c>
      <c r="K104" s="36">
        <v>1.1024274056624834E-3</v>
      </c>
      <c r="L104" s="36">
        <v>1.042919491318984E-3</v>
      </c>
      <c r="M104" s="36">
        <v>4.9201820231513469E-4</v>
      </c>
      <c r="N104" s="36">
        <v>1.0834774593664973E-3</v>
      </c>
      <c r="O104" s="36">
        <v>1.2287774865010668E-3</v>
      </c>
      <c r="P104" s="36">
        <v>9.3667336771177234E-3</v>
      </c>
      <c r="Q104" s="36">
        <v>1.649481058236042E-3</v>
      </c>
      <c r="R104" s="36">
        <v>2.3689592930899008E-3</v>
      </c>
      <c r="S104" s="36">
        <v>1.1179460546017609E-3</v>
      </c>
      <c r="T104" s="36">
        <v>1.5981571611963434E-3</v>
      </c>
      <c r="U104" s="36">
        <v>2.3421893109129999E-3</v>
      </c>
      <c r="V104" s="36">
        <v>8.9615246685833692E-4</v>
      </c>
      <c r="W104" s="36">
        <v>1.5957534407142276E-3</v>
      </c>
      <c r="X104" s="36">
        <v>1.5603747273755845E-3</v>
      </c>
      <c r="Y104" s="36">
        <v>1.6981993357694952E-3</v>
      </c>
      <c r="Z104" s="36">
        <v>9.9090060625366464E-5</v>
      </c>
      <c r="AA104" s="36">
        <v>1.4266897681264026E-3</v>
      </c>
      <c r="AB104" s="36">
        <v>7.2972652705446592E-4</v>
      </c>
      <c r="AC104" s="36">
        <v>1.3990443619598728E-3</v>
      </c>
      <c r="AD104" s="36">
        <v>1.336279271600348E-4</v>
      </c>
      <c r="AE104" s="36">
        <v>1.0375746908138207E-3</v>
      </c>
      <c r="AF104" s="36">
        <v>2.4230174685633659E-4</v>
      </c>
      <c r="AG104" s="36">
        <v>8.7431971759320537E-4</v>
      </c>
      <c r="AH104" s="36">
        <v>-3.6217183983208685E-4</v>
      </c>
      <c r="AI104" s="36">
        <v>8.8848396941663401E-4</v>
      </c>
      <c r="AJ104" s="36">
        <v>1.6529089013920947E-3</v>
      </c>
      <c r="AK104" s="36">
        <v>1.5166041740139454E-3</v>
      </c>
      <c r="AL104" s="36">
        <v>6.6270425668288032E-4</v>
      </c>
      <c r="AM104" s="36">
        <v>7.520033469248762E-4</v>
      </c>
      <c r="AN104" s="36">
        <v>1.1039859333355562E-3</v>
      </c>
      <c r="AO104" s="36">
        <v>9.3884350519493338E-4</v>
      </c>
    </row>
    <row r="105" spans="1:41">
      <c r="A105" s="35" t="s">
        <v>50</v>
      </c>
      <c r="B105" s="36">
        <v>1.4319581277921845E-3</v>
      </c>
      <c r="C105" s="36">
        <v>9.4686033420611222E-4</v>
      </c>
      <c r="D105" s="36">
        <v>1.1812966839536336E-3</v>
      </c>
      <c r="E105" s="36">
        <v>-4.7890454243656858E-4</v>
      </c>
      <c r="F105" s="36">
        <v>1.2464422482262448E-3</v>
      </c>
      <c r="G105" s="36">
        <v>1.1186650702318828E-3</v>
      </c>
      <c r="H105" s="36">
        <v>1.2510642152365947E-3</v>
      </c>
      <c r="I105" s="36">
        <v>3.6314901569158963E-4</v>
      </c>
      <c r="J105" s="36">
        <v>5.3178997066390284E-4</v>
      </c>
      <c r="K105" s="36">
        <v>1.805274647161288E-3</v>
      </c>
      <c r="L105" s="36">
        <v>5.6734799582834605E-4</v>
      </c>
      <c r="M105" s="36">
        <v>-7.6070352984065393E-4</v>
      </c>
      <c r="N105" s="36">
        <v>7.7200849144007757E-4</v>
      </c>
      <c r="O105" s="36">
        <v>8.5936645744176966E-4</v>
      </c>
      <c r="P105" s="36">
        <v>1.649481058236042E-3</v>
      </c>
      <c r="Q105" s="36">
        <v>1.792080605705024E-2</v>
      </c>
      <c r="R105" s="36">
        <v>7.553424178997351E-4</v>
      </c>
      <c r="S105" s="36">
        <v>1.0355295385764212E-3</v>
      </c>
      <c r="T105" s="36">
        <v>7.3457274159183608E-4</v>
      </c>
      <c r="U105" s="36">
        <v>1.5320433758368244E-3</v>
      </c>
      <c r="V105" s="36">
        <v>6.0467397714334823E-5</v>
      </c>
      <c r="W105" s="36">
        <v>3.5401221388010971E-4</v>
      </c>
      <c r="X105" s="36">
        <v>-6.0821213471572708E-4</v>
      </c>
      <c r="Y105" s="36">
        <v>-2.0594847708086906E-3</v>
      </c>
      <c r="Z105" s="36">
        <v>2.3628969533170201E-4</v>
      </c>
      <c r="AA105" s="36">
        <v>4.3329085639370895E-4</v>
      </c>
      <c r="AB105" s="36">
        <v>-5.370136986103121E-4</v>
      </c>
      <c r="AC105" s="36">
        <v>-1.552833728584096E-3</v>
      </c>
      <c r="AD105" s="36">
        <v>5.8604537670574992E-4</v>
      </c>
      <c r="AE105" s="36">
        <v>4.9842407603143768E-4</v>
      </c>
      <c r="AF105" s="36">
        <v>6.2414046892207231E-4</v>
      </c>
      <c r="AG105" s="36">
        <v>1.3996668723243201E-3</v>
      </c>
      <c r="AH105" s="36">
        <v>2.631281055309527E-3</v>
      </c>
      <c r="AI105" s="36">
        <v>7.6044363670471128E-4</v>
      </c>
      <c r="AJ105" s="36">
        <v>4.1453008916623161E-4</v>
      </c>
      <c r="AK105" s="36">
        <v>8.5168372935146269E-4</v>
      </c>
      <c r="AL105" s="36">
        <v>3.0279058083878567E-5</v>
      </c>
      <c r="AM105" s="36">
        <v>2.5880346575003614E-4</v>
      </c>
      <c r="AN105" s="36">
        <v>7.8702877353413697E-4</v>
      </c>
      <c r="AO105" s="36">
        <v>1.020084973537763E-4</v>
      </c>
    </row>
    <row r="106" spans="1:41">
      <c r="A106" s="35" t="s">
        <v>52</v>
      </c>
      <c r="B106" s="36">
        <v>7.1917099952959645E-4</v>
      </c>
      <c r="C106" s="36">
        <v>1.5409485980169731E-4</v>
      </c>
      <c r="D106" s="36">
        <v>2.2059606762159857E-5</v>
      </c>
      <c r="E106" s="36">
        <v>1.3188813071249729E-3</v>
      </c>
      <c r="F106" s="36">
        <v>5.6604475288255494E-4</v>
      </c>
      <c r="G106" s="36">
        <v>1.1662151678796557E-3</v>
      </c>
      <c r="H106" s="36">
        <v>1.2784091219470235E-3</v>
      </c>
      <c r="I106" s="36">
        <v>1.5895076429561627E-3</v>
      </c>
      <c r="J106" s="36">
        <v>6.6856101511810482E-4</v>
      </c>
      <c r="K106" s="36">
        <v>3.9633433638862429E-4</v>
      </c>
      <c r="L106" s="36">
        <v>2.0489318698430543E-3</v>
      </c>
      <c r="M106" s="36">
        <v>7.9793000843290344E-4</v>
      </c>
      <c r="N106" s="36">
        <v>1.650946986698215E-3</v>
      </c>
      <c r="O106" s="36">
        <v>1.2182977346160029E-3</v>
      </c>
      <c r="P106" s="36">
        <v>2.3689592930899008E-3</v>
      </c>
      <c r="Q106" s="36">
        <v>7.553424178997351E-4</v>
      </c>
      <c r="R106" s="36">
        <v>1.4298404913751469E-2</v>
      </c>
      <c r="S106" s="36">
        <v>1.1692122671415875E-3</v>
      </c>
      <c r="T106" s="36">
        <v>1.7965286035157831E-3</v>
      </c>
      <c r="U106" s="36">
        <v>3.4914035854294186E-3</v>
      </c>
      <c r="V106" s="36">
        <v>1.6957879695906183E-3</v>
      </c>
      <c r="W106" s="36">
        <v>1.827820065440075E-3</v>
      </c>
      <c r="X106" s="36">
        <v>1.5262215578121284E-3</v>
      </c>
      <c r="Y106" s="36">
        <v>1.7947440686156234E-3</v>
      </c>
      <c r="Z106" s="36">
        <v>1.4277434585833817E-4</v>
      </c>
      <c r="AA106" s="36">
        <v>1.5101594372479638E-3</v>
      </c>
      <c r="AB106" s="36">
        <v>1.5916856819604729E-3</v>
      </c>
      <c r="AC106" s="36">
        <v>1.6450946601077924E-3</v>
      </c>
      <c r="AD106" s="36">
        <v>-3.8926859567251022E-5</v>
      </c>
      <c r="AE106" s="36">
        <v>1.4377512228619324E-3</v>
      </c>
      <c r="AF106" s="36">
        <v>3.933632310042629E-4</v>
      </c>
      <c r="AG106" s="36">
        <v>1.5774058768350712E-3</v>
      </c>
      <c r="AH106" s="36">
        <v>-3.1113984504676823E-5</v>
      </c>
      <c r="AI106" s="36">
        <v>2.6441123360953452E-3</v>
      </c>
      <c r="AJ106" s="36">
        <v>1.0515944497863836E-3</v>
      </c>
      <c r="AK106" s="36">
        <v>6.3700576504195573E-4</v>
      </c>
      <c r="AL106" s="36">
        <v>6.6760168332158961E-4</v>
      </c>
      <c r="AM106" s="36">
        <v>2.683521483453332E-3</v>
      </c>
      <c r="AN106" s="36">
        <v>2.2057534281955705E-3</v>
      </c>
      <c r="AO106" s="36">
        <v>5.1031197998277348E-4</v>
      </c>
    </row>
    <row r="107" spans="1:41">
      <c r="A107" s="35" t="s">
        <v>53</v>
      </c>
      <c r="B107" s="36">
        <v>6.7033686985248811E-4</v>
      </c>
      <c r="C107" s="36">
        <v>1.2955837479866961E-4</v>
      </c>
      <c r="D107" s="36">
        <v>8.1484064978290603E-4</v>
      </c>
      <c r="E107" s="36">
        <v>5.3064289611043684E-4</v>
      </c>
      <c r="F107" s="36">
        <v>5.0391970931184572E-4</v>
      </c>
      <c r="G107" s="36">
        <v>1.4532225936580287E-5</v>
      </c>
      <c r="H107" s="36">
        <v>6.3533221105389328E-4</v>
      </c>
      <c r="I107" s="36">
        <v>-2.8198123661070742E-4</v>
      </c>
      <c r="J107" s="36">
        <v>3.0263489864985443E-4</v>
      </c>
      <c r="K107" s="36">
        <v>1.8364638576644267E-4</v>
      </c>
      <c r="L107" s="36">
        <v>-4.4538454105652917E-4</v>
      </c>
      <c r="M107" s="36">
        <v>-2.0183703401026453E-4</v>
      </c>
      <c r="N107" s="36">
        <v>7.0779589987763941E-4</v>
      </c>
      <c r="O107" s="36">
        <v>4.7218258103420336E-4</v>
      </c>
      <c r="P107" s="36">
        <v>1.1179460546017609E-3</v>
      </c>
      <c r="Q107" s="36">
        <v>1.0355295385764212E-3</v>
      </c>
      <c r="R107" s="36">
        <v>1.1692122671415875E-3</v>
      </c>
      <c r="S107" s="36">
        <v>5.4340767496654022E-3</v>
      </c>
      <c r="T107" s="36">
        <v>1.1650449949681954E-3</v>
      </c>
      <c r="U107" s="36">
        <v>-5.6009365272961819E-4</v>
      </c>
      <c r="V107" s="36">
        <v>3.126385937144982E-4</v>
      </c>
      <c r="W107" s="36">
        <v>5.0641030204925193E-4</v>
      </c>
      <c r="X107" s="36">
        <v>6.3872219902638E-4</v>
      </c>
      <c r="Y107" s="36">
        <v>8.270974517646572E-4</v>
      </c>
      <c r="Z107" s="36">
        <v>2.5136251559786804E-4</v>
      </c>
      <c r="AA107" s="36">
        <v>6.5796191066640913E-4</v>
      </c>
      <c r="AB107" s="36">
        <v>-3.7562954352292132E-4</v>
      </c>
      <c r="AC107" s="36">
        <v>5.2084309610423904E-4</v>
      </c>
      <c r="AD107" s="36">
        <v>-1.0211805155184345E-5</v>
      </c>
      <c r="AE107" s="36">
        <v>4.0523432663213082E-4</v>
      </c>
      <c r="AF107" s="36">
        <v>-3.5693553410002996E-5</v>
      </c>
      <c r="AG107" s="36">
        <v>5.6238271366906378E-4</v>
      </c>
      <c r="AH107" s="36">
        <v>3.8564717177934599E-4</v>
      </c>
      <c r="AI107" s="36">
        <v>4.1390017335701356E-4</v>
      </c>
      <c r="AJ107" s="36">
        <v>1.1337051511619222E-3</v>
      </c>
      <c r="AK107" s="36">
        <v>5.0829579241420475E-4</v>
      </c>
      <c r="AL107" s="36">
        <v>1.2054005550366041E-3</v>
      </c>
      <c r="AM107" s="36">
        <v>1.1636246187652355E-3</v>
      </c>
      <c r="AN107" s="36">
        <v>3.7081695359803923E-4</v>
      </c>
      <c r="AO107" s="36">
        <v>7.2387188689270181E-4</v>
      </c>
    </row>
    <row r="108" spans="1:41">
      <c r="A108" s="35" t="s">
        <v>54</v>
      </c>
      <c r="B108" s="36">
        <v>6.8473923146519908E-4</v>
      </c>
      <c r="C108" s="36">
        <v>1.9804050733027834E-4</v>
      </c>
      <c r="D108" s="36">
        <v>3.5825236362635151E-4</v>
      </c>
      <c r="E108" s="36">
        <v>7.7540148607088666E-4</v>
      </c>
      <c r="F108" s="36">
        <v>7.4762330710255681E-4</v>
      </c>
      <c r="G108" s="36">
        <v>5.5075845630400276E-4</v>
      </c>
      <c r="H108" s="36">
        <v>1.146798168535388E-3</v>
      </c>
      <c r="I108" s="36">
        <v>5.1253567332760531E-4</v>
      </c>
      <c r="J108" s="36">
        <v>5.8103827595847794E-4</v>
      </c>
      <c r="K108" s="36">
        <v>4.2379478991637668E-4</v>
      </c>
      <c r="L108" s="36">
        <v>1.4927360419070488E-4</v>
      </c>
      <c r="M108" s="36">
        <v>3.2005695730306905E-4</v>
      </c>
      <c r="N108" s="36">
        <v>8.3978535174500043E-4</v>
      </c>
      <c r="O108" s="36">
        <v>9.5023731010256249E-4</v>
      </c>
      <c r="P108" s="36">
        <v>1.5981571611963434E-3</v>
      </c>
      <c r="Q108" s="36">
        <v>7.3457274159183608E-4</v>
      </c>
      <c r="R108" s="36">
        <v>1.7965286035157831E-3</v>
      </c>
      <c r="S108" s="36">
        <v>1.1650449949681954E-3</v>
      </c>
      <c r="T108" s="36">
        <v>5.1160501140516627E-3</v>
      </c>
      <c r="U108" s="36">
        <v>1.3748242892731553E-3</v>
      </c>
      <c r="V108" s="36">
        <v>1.0248740004929723E-3</v>
      </c>
      <c r="W108" s="36">
        <v>1.1247233648557821E-3</v>
      </c>
      <c r="X108" s="36">
        <v>1.0683319002792267E-3</v>
      </c>
      <c r="Y108" s="36">
        <v>1.6161070334300982E-3</v>
      </c>
      <c r="Z108" s="36">
        <v>5.620719332001191E-4</v>
      </c>
      <c r="AA108" s="36">
        <v>1.1446590288346483E-3</v>
      </c>
      <c r="AB108" s="36">
        <v>1.3564402335074853E-4</v>
      </c>
      <c r="AC108" s="36">
        <v>1.9455714758682076E-3</v>
      </c>
      <c r="AD108" s="36">
        <v>4.3297658543329782E-4</v>
      </c>
      <c r="AE108" s="36">
        <v>7.2835989663658728E-4</v>
      </c>
      <c r="AF108" s="36">
        <v>4.5711211578084582E-4</v>
      </c>
      <c r="AG108" s="36">
        <v>1.3267106477153857E-3</v>
      </c>
      <c r="AH108" s="36">
        <v>1.2211297383414551E-3</v>
      </c>
      <c r="AI108" s="36">
        <v>1.1413900930871E-3</v>
      </c>
      <c r="AJ108" s="36">
        <v>2.0100937754486672E-3</v>
      </c>
      <c r="AK108" s="36">
        <v>4.5271546857588422E-4</v>
      </c>
      <c r="AL108" s="36">
        <v>1.2112411861371368E-3</v>
      </c>
      <c r="AM108" s="36">
        <v>2.063610512727623E-3</v>
      </c>
      <c r="AN108" s="36">
        <v>1.0503928203382876E-3</v>
      </c>
      <c r="AO108" s="36">
        <v>1.4667775777133139E-3</v>
      </c>
    </row>
    <row r="109" spans="1:41">
      <c r="A109" s="35" t="s">
        <v>57</v>
      </c>
      <c r="B109" s="36">
        <v>1.2912077525840835E-3</v>
      </c>
      <c r="C109" s="36">
        <v>1.3537866734789536E-3</v>
      </c>
      <c r="D109" s="36">
        <v>1.3265361927032528E-3</v>
      </c>
      <c r="E109" s="36">
        <v>2.182791171402714E-3</v>
      </c>
      <c r="F109" s="36">
        <v>2.3473147382107487E-3</v>
      </c>
      <c r="G109" s="36">
        <v>1.8479068229039245E-3</v>
      </c>
      <c r="H109" s="36">
        <v>2.2263444898168515E-3</v>
      </c>
      <c r="I109" s="36">
        <v>3.1753264065500064E-3</v>
      </c>
      <c r="J109" s="36">
        <v>1.8575305876425226E-3</v>
      </c>
      <c r="K109" s="36">
        <v>2.6599018668926333E-3</v>
      </c>
      <c r="L109" s="36">
        <v>2.0321937960476118E-3</v>
      </c>
      <c r="M109" s="36">
        <v>1.3044229022734835E-3</v>
      </c>
      <c r="N109" s="36">
        <v>1.6208902886325626E-3</v>
      </c>
      <c r="O109" s="36">
        <v>1.5039111137789417E-3</v>
      </c>
      <c r="P109" s="36">
        <v>2.3421893109129999E-3</v>
      </c>
      <c r="Q109" s="36">
        <v>1.5320433758368244E-3</v>
      </c>
      <c r="R109" s="36">
        <v>3.4914035854294186E-3</v>
      </c>
      <c r="S109" s="36">
        <v>-5.6009365272961819E-4</v>
      </c>
      <c r="T109" s="36">
        <v>1.3748242892731553E-3</v>
      </c>
      <c r="U109" s="36">
        <v>2.4006108625587851E-2</v>
      </c>
      <c r="V109" s="36">
        <v>2.0100263410961199E-3</v>
      </c>
      <c r="W109" s="36">
        <v>1.5100657825383363E-3</v>
      </c>
      <c r="X109" s="36">
        <v>1.9407681033354496E-3</v>
      </c>
      <c r="Y109" s="36">
        <v>1.3596015081343731E-3</v>
      </c>
      <c r="Z109" s="36">
        <v>2.7118767737367564E-4</v>
      </c>
      <c r="AA109" s="36">
        <v>2.2989341259390659E-3</v>
      </c>
      <c r="AB109" s="36">
        <v>2.068502765591531E-3</v>
      </c>
      <c r="AC109" s="36">
        <v>1.1697430905233464E-3</v>
      </c>
      <c r="AD109" s="36">
        <v>7.3904096236319461E-4</v>
      </c>
      <c r="AE109" s="36">
        <v>1.2889070618437844E-3</v>
      </c>
      <c r="AF109" s="36">
        <v>1.0523799759183786E-3</v>
      </c>
      <c r="AG109" s="36">
        <v>1.822162337090322E-3</v>
      </c>
      <c r="AH109" s="36">
        <v>1.5402040929937109E-3</v>
      </c>
      <c r="AI109" s="36">
        <v>2.5949300471461998E-3</v>
      </c>
      <c r="AJ109" s="36">
        <v>3.3984266027160212E-3</v>
      </c>
      <c r="AK109" s="36">
        <v>2.1227586249737431E-3</v>
      </c>
      <c r="AL109" s="36">
        <v>1.6619260166969596E-3</v>
      </c>
      <c r="AM109" s="36">
        <v>1.967216002247404E-3</v>
      </c>
      <c r="AN109" s="36">
        <v>2.4826491314249178E-3</v>
      </c>
      <c r="AO109" s="36">
        <v>3.0598406901480708E-4</v>
      </c>
    </row>
    <row r="110" spans="1:41">
      <c r="A110" s="35" t="s">
        <v>62</v>
      </c>
      <c r="B110" s="36">
        <v>5.7902839460624448E-4</v>
      </c>
      <c r="C110" s="36">
        <v>3.716632525194886E-4</v>
      </c>
      <c r="D110" s="36">
        <v>3.2124770699277605E-4</v>
      </c>
      <c r="E110" s="36">
        <v>4.8001786822167815E-4</v>
      </c>
      <c r="F110" s="36">
        <v>2.8071692701670545E-4</v>
      </c>
      <c r="G110" s="36">
        <v>1.1077263602975774E-3</v>
      </c>
      <c r="H110" s="36">
        <v>1.0572685371524385E-3</v>
      </c>
      <c r="I110" s="36">
        <v>1.1703706316043435E-3</v>
      </c>
      <c r="J110" s="36">
        <v>5.9229736174196146E-4</v>
      </c>
      <c r="K110" s="36">
        <v>3.1918442035769741E-4</v>
      </c>
      <c r="L110" s="36">
        <v>1.055822288447382E-3</v>
      </c>
      <c r="M110" s="36">
        <v>3.5294061640022415E-4</v>
      </c>
      <c r="N110" s="36">
        <v>6.0992860774423745E-4</v>
      </c>
      <c r="O110" s="36">
        <v>7.557434101221652E-4</v>
      </c>
      <c r="P110" s="36">
        <v>8.9615246685833692E-4</v>
      </c>
      <c r="Q110" s="36">
        <v>6.0467397714334823E-5</v>
      </c>
      <c r="R110" s="36">
        <v>1.6957879695906183E-3</v>
      </c>
      <c r="S110" s="36">
        <v>3.126385937144982E-4</v>
      </c>
      <c r="T110" s="36">
        <v>1.0248740004929723E-3</v>
      </c>
      <c r="U110" s="36">
        <v>2.0100263410961199E-3</v>
      </c>
      <c r="V110" s="36">
        <v>6.7326884987501763E-3</v>
      </c>
      <c r="W110" s="36">
        <v>1.190619873876673E-3</v>
      </c>
      <c r="X110" s="36">
        <v>9.2479542031213174E-4</v>
      </c>
      <c r="Y110" s="36">
        <v>2.2291664727930208E-3</v>
      </c>
      <c r="Z110" s="36">
        <v>3.136806384835012E-4</v>
      </c>
      <c r="AA110" s="36">
        <v>8.0210681703681659E-4</v>
      </c>
      <c r="AB110" s="36">
        <v>4.200097487352119E-4</v>
      </c>
      <c r="AC110" s="36">
        <v>1.4650844011563661E-3</v>
      </c>
      <c r="AD110" s="36">
        <v>4.838148833543705E-4</v>
      </c>
      <c r="AE110" s="36">
        <v>1.3953193777981789E-3</v>
      </c>
      <c r="AF110" s="36">
        <v>2.5878805025575803E-4</v>
      </c>
      <c r="AG110" s="36">
        <v>1.0333295970662187E-3</v>
      </c>
      <c r="AH110" s="36">
        <v>5.7436793012662351E-4</v>
      </c>
      <c r="AI110" s="36">
        <v>1.4483036843274358E-3</v>
      </c>
      <c r="AJ110" s="36">
        <v>1.1109584992197714E-3</v>
      </c>
      <c r="AK110" s="36">
        <v>7.4288047570945275E-4</v>
      </c>
      <c r="AL110" s="36">
        <v>1.23677167525704E-3</v>
      </c>
      <c r="AM110" s="36">
        <v>9.3000692184642454E-4</v>
      </c>
      <c r="AN110" s="36">
        <v>1.0453516757446201E-3</v>
      </c>
      <c r="AO110" s="36">
        <v>1.2591524138944334E-3</v>
      </c>
    </row>
    <row r="111" spans="1:41">
      <c r="A111" s="35" t="s">
        <v>66</v>
      </c>
      <c r="B111" s="36">
        <v>3.7104016200812588E-4</v>
      </c>
      <c r="C111" s="36">
        <v>1.8469023515438993E-4</v>
      </c>
      <c r="D111" s="36">
        <v>6.3423973939620947E-5</v>
      </c>
      <c r="E111" s="36">
        <v>3.8963036390355174E-4</v>
      </c>
      <c r="F111" s="36">
        <v>1.0255806078895041E-4</v>
      </c>
      <c r="G111" s="36">
        <v>1.004626709619751E-3</v>
      </c>
      <c r="H111" s="36">
        <v>1.1307901616492209E-3</v>
      </c>
      <c r="I111" s="36">
        <v>1.1440260667821426E-3</v>
      </c>
      <c r="J111" s="36">
        <v>4.3862126320646946E-4</v>
      </c>
      <c r="K111" s="36">
        <v>-9.0709717544701433E-5</v>
      </c>
      <c r="L111" s="36">
        <v>5.5615998207319964E-4</v>
      </c>
      <c r="M111" s="36">
        <v>4.0805753844107696E-4</v>
      </c>
      <c r="N111" s="36">
        <v>1.0663211168773189E-3</v>
      </c>
      <c r="O111" s="36">
        <v>7.868166199245265E-4</v>
      </c>
      <c r="P111" s="36">
        <v>1.5957534407142276E-3</v>
      </c>
      <c r="Q111" s="36">
        <v>3.5401221388010971E-4</v>
      </c>
      <c r="R111" s="36">
        <v>1.827820065440075E-3</v>
      </c>
      <c r="S111" s="36">
        <v>5.0641030204925193E-4</v>
      </c>
      <c r="T111" s="36">
        <v>1.1247233648557821E-3</v>
      </c>
      <c r="U111" s="36">
        <v>1.5100657825383363E-3</v>
      </c>
      <c r="V111" s="36">
        <v>1.190619873876673E-3</v>
      </c>
      <c r="W111" s="36">
        <v>5.6899989365956829E-3</v>
      </c>
      <c r="X111" s="36">
        <v>1.0494801106350645E-3</v>
      </c>
      <c r="Y111" s="36">
        <v>3.3540271212261687E-3</v>
      </c>
      <c r="Z111" s="36">
        <v>5.5975861837742136E-4</v>
      </c>
      <c r="AA111" s="36">
        <v>8.9808505867560872E-4</v>
      </c>
      <c r="AB111" s="36">
        <v>1.0033810407288298E-3</v>
      </c>
      <c r="AC111" s="36">
        <v>1.7986520201644734E-3</v>
      </c>
      <c r="AD111" s="36">
        <v>1.4855802443734369E-4</v>
      </c>
      <c r="AE111" s="36">
        <v>7.3582015758741272E-4</v>
      </c>
      <c r="AF111" s="36">
        <v>2.7383035434410535E-4</v>
      </c>
      <c r="AG111" s="36">
        <v>1.9025339282961759E-4</v>
      </c>
      <c r="AH111" s="36">
        <v>4.8919077196991336E-4</v>
      </c>
      <c r="AI111" s="36">
        <v>1.183484916546807E-3</v>
      </c>
      <c r="AJ111" s="36">
        <v>5.9826670018074473E-4</v>
      </c>
      <c r="AK111" s="36">
        <v>5.0599009740355581E-4</v>
      </c>
      <c r="AL111" s="36">
        <v>4.8793114077163392E-4</v>
      </c>
      <c r="AM111" s="36">
        <v>2.1651426463475862E-3</v>
      </c>
      <c r="AN111" s="36">
        <v>1.2466771168563591E-3</v>
      </c>
      <c r="AO111" s="36">
        <v>8.7155498051581163E-4</v>
      </c>
    </row>
    <row r="112" spans="1:41">
      <c r="A112" s="35" t="s">
        <v>70</v>
      </c>
      <c r="B112" s="36">
        <v>4.5162236366384767E-4</v>
      </c>
      <c r="C112" s="36">
        <v>-7.7534808574370087E-6</v>
      </c>
      <c r="D112" s="36">
        <v>-5.3757745928732228E-5</v>
      </c>
      <c r="E112" s="36">
        <v>9.6725470410702623E-4</v>
      </c>
      <c r="F112" s="36">
        <v>2.2722332191556354E-4</v>
      </c>
      <c r="G112" s="36">
        <v>1.1894510204531094E-4</v>
      </c>
      <c r="H112" s="36">
        <v>7.1538690748910267E-4</v>
      </c>
      <c r="I112" s="36">
        <v>1.0007254146045363E-3</v>
      </c>
      <c r="J112" s="36">
        <v>6.5192363524413084E-4</v>
      </c>
      <c r="K112" s="36">
        <v>6.7798932721341906E-4</v>
      </c>
      <c r="L112" s="36">
        <v>-1.9648404265462763E-4</v>
      </c>
      <c r="M112" s="36">
        <v>3.036574581699374E-5</v>
      </c>
      <c r="N112" s="36">
        <v>8.8092970249369757E-4</v>
      </c>
      <c r="O112" s="36">
        <v>9.9038891042058314E-4</v>
      </c>
      <c r="P112" s="36">
        <v>1.5603747273755845E-3</v>
      </c>
      <c r="Q112" s="36">
        <v>-6.0821213471572708E-4</v>
      </c>
      <c r="R112" s="36">
        <v>1.5262215578121284E-3</v>
      </c>
      <c r="S112" s="36">
        <v>6.3872219902638E-4</v>
      </c>
      <c r="T112" s="36">
        <v>1.0683319002792267E-3</v>
      </c>
      <c r="U112" s="36">
        <v>1.9407681033354496E-3</v>
      </c>
      <c r="V112" s="36">
        <v>9.2479542031213174E-4</v>
      </c>
      <c r="W112" s="36">
        <v>1.0494801106350645E-3</v>
      </c>
      <c r="X112" s="36">
        <v>6.7319834912930301E-3</v>
      </c>
      <c r="Y112" s="36">
        <v>1.6065286636277485E-3</v>
      </c>
      <c r="Z112" s="36">
        <v>4.6078867982421689E-4</v>
      </c>
      <c r="AA112" s="36">
        <v>1.0054735227212983E-3</v>
      </c>
      <c r="AB112" s="36">
        <v>5.9795431262247038E-4</v>
      </c>
      <c r="AC112" s="36">
        <v>2.9696400581724065E-3</v>
      </c>
      <c r="AD112" s="36">
        <v>1.2234771997757916E-4</v>
      </c>
      <c r="AE112" s="36">
        <v>1.202876460157769E-3</v>
      </c>
      <c r="AF112" s="36">
        <v>3.1544513170805405E-4</v>
      </c>
      <c r="AG112" s="36">
        <v>1.4328069551655532E-3</v>
      </c>
      <c r="AH112" s="36">
        <v>1.1845014362752313E-3</v>
      </c>
      <c r="AI112" s="36">
        <v>1.4896715425788791E-3</v>
      </c>
      <c r="AJ112" s="36">
        <v>2.0316909589752287E-3</v>
      </c>
      <c r="AK112" s="36">
        <v>1.1559030519044675E-3</v>
      </c>
      <c r="AL112" s="36">
        <v>1.0390586979166414E-3</v>
      </c>
      <c r="AM112" s="36">
        <v>1.9263961414490325E-3</v>
      </c>
      <c r="AN112" s="36">
        <v>1.3578043423740592E-3</v>
      </c>
      <c r="AO112" s="36">
        <v>1.0469475926942579E-3</v>
      </c>
    </row>
    <row r="113" spans="1:41">
      <c r="A113" s="35" t="s">
        <v>74</v>
      </c>
      <c r="B113" s="36">
        <v>4.8953749639077339E-4</v>
      </c>
      <c r="C113" s="36">
        <v>7.4125000346504061E-5</v>
      </c>
      <c r="D113" s="36">
        <v>5.9747260298549827E-4</v>
      </c>
      <c r="E113" s="36">
        <v>1.8209005562750406E-3</v>
      </c>
      <c r="F113" s="36">
        <v>2.7701516208376566E-4</v>
      </c>
      <c r="G113" s="36">
        <v>6.9808204069631583E-4</v>
      </c>
      <c r="H113" s="36">
        <v>2.0365015028511279E-3</v>
      </c>
      <c r="I113" s="36">
        <v>1.1106109631995207E-3</v>
      </c>
      <c r="J113" s="36">
        <v>1.7066259450071575E-4</v>
      </c>
      <c r="K113" s="36">
        <v>-2.2565110261808306E-4</v>
      </c>
      <c r="L113" s="36">
        <v>1.5854532930491257E-3</v>
      </c>
      <c r="M113" s="36">
        <v>6.441666960194329E-4</v>
      </c>
      <c r="N113" s="36">
        <v>1.1700442351319658E-3</v>
      </c>
      <c r="O113" s="36">
        <v>4.7969446999160354E-4</v>
      </c>
      <c r="P113" s="36">
        <v>1.6981993357694952E-3</v>
      </c>
      <c r="Q113" s="36">
        <v>-2.0594847708086906E-3</v>
      </c>
      <c r="R113" s="36">
        <v>1.7947440686156234E-3</v>
      </c>
      <c r="S113" s="36">
        <v>8.270974517646572E-4</v>
      </c>
      <c r="T113" s="36">
        <v>1.6161070334300982E-3</v>
      </c>
      <c r="U113" s="36">
        <v>1.3596015081343731E-3</v>
      </c>
      <c r="V113" s="36">
        <v>2.2291664727930208E-3</v>
      </c>
      <c r="W113" s="36">
        <v>3.3540271212261687E-3</v>
      </c>
      <c r="X113" s="36">
        <v>1.6065286636277485E-3</v>
      </c>
      <c r="Y113" s="36">
        <v>2.5203124615153279E-2</v>
      </c>
      <c r="Z113" s="36">
        <v>8.1147676218822854E-4</v>
      </c>
      <c r="AA113" s="36">
        <v>1.5723240695171379E-3</v>
      </c>
      <c r="AB113" s="36">
        <v>1.5304808157294331E-3</v>
      </c>
      <c r="AC113" s="36">
        <v>5.3049312004658485E-3</v>
      </c>
      <c r="AD113" s="36">
        <v>2.37788916763181E-4</v>
      </c>
      <c r="AE113" s="36">
        <v>1.264075073479143E-3</v>
      </c>
      <c r="AF113" s="36">
        <v>-5.8927958221595075E-5</v>
      </c>
      <c r="AG113" s="36">
        <v>2.0938786489714509E-4</v>
      </c>
      <c r="AH113" s="36">
        <v>2.2895626067516951E-3</v>
      </c>
      <c r="AI113" s="36">
        <v>1.7419671913263849E-3</v>
      </c>
      <c r="AJ113" s="36">
        <v>2.1280219349199361E-3</v>
      </c>
      <c r="AK113" s="36">
        <v>6.9252820769617794E-4</v>
      </c>
      <c r="AL113" s="36">
        <v>2.5781637600699433E-3</v>
      </c>
      <c r="AM113" s="36">
        <v>4.4495027999185812E-3</v>
      </c>
      <c r="AN113" s="36">
        <v>5.9766323607874294E-4</v>
      </c>
      <c r="AO113" s="36">
        <v>2.2905474692458843E-3</v>
      </c>
    </row>
    <row r="114" spans="1:41">
      <c r="A114" s="35" t="s">
        <v>76</v>
      </c>
      <c r="B114" s="36">
        <v>6.2292819080913848E-4</v>
      </c>
      <c r="C114" s="36">
        <v>3.8250194778442293E-4</v>
      </c>
      <c r="D114" s="36">
        <v>-8.3660114213123871E-5</v>
      </c>
      <c r="E114" s="36">
        <v>2.9093163569680177E-5</v>
      </c>
      <c r="F114" s="36">
        <v>2.6898051444866736E-4</v>
      </c>
      <c r="G114" s="36">
        <v>5.203280574546268E-4</v>
      </c>
      <c r="H114" s="36">
        <v>2.0438073296286792E-5</v>
      </c>
      <c r="I114" s="36">
        <v>3.0128032223577383E-4</v>
      </c>
      <c r="J114" s="36">
        <v>4.5969686669644161E-4</v>
      </c>
      <c r="K114" s="36">
        <v>3.4636539843931248E-4</v>
      </c>
      <c r="L114" s="36">
        <v>-5.8276377774268973E-4</v>
      </c>
      <c r="M114" s="36">
        <v>-2.881248829621889E-5</v>
      </c>
      <c r="N114" s="36">
        <v>4.5044054541501754E-4</v>
      </c>
      <c r="O114" s="36">
        <v>4.5452706289088161E-4</v>
      </c>
      <c r="P114" s="36">
        <v>9.9090060625366464E-5</v>
      </c>
      <c r="Q114" s="36">
        <v>2.3628969533170201E-4</v>
      </c>
      <c r="R114" s="36">
        <v>1.4277434585833817E-4</v>
      </c>
      <c r="S114" s="36">
        <v>2.5136251559786804E-4</v>
      </c>
      <c r="T114" s="36">
        <v>5.620719332001191E-4</v>
      </c>
      <c r="U114" s="36">
        <v>2.7118767737367564E-4</v>
      </c>
      <c r="V114" s="36">
        <v>3.136806384835012E-4</v>
      </c>
      <c r="W114" s="36">
        <v>5.5975861837742136E-4</v>
      </c>
      <c r="X114" s="36">
        <v>4.6078867982421689E-4</v>
      </c>
      <c r="Y114" s="36">
        <v>8.1147676218822854E-4</v>
      </c>
      <c r="Z114" s="36">
        <v>2.4044643688971804E-3</v>
      </c>
      <c r="AA114" s="36">
        <v>3.2693195398882335E-4</v>
      </c>
      <c r="AB114" s="36">
        <v>4.8094845046167519E-5</v>
      </c>
      <c r="AC114" s="36">
        <v>1.6383929226531984E-3</v>
      </c>
      <c r="AD114" s="36">
        <v>4.9814022354695558E-4</v>
      </c>
      <c r="AE114" s="36">
        <v>4.1694938086673258E-4</v>
      </c>
      <c r="AF114" s="36">
        <v>6.2779997890229349E-4</v>
      </c>
      <c r="AG114" s="36">
        <v>3.6630288830050644E-4</v>
      </c>
      <c r="AH114" s="36">
        <v>7.8529022962825555E-4</v>
      </c>
      <c r="AI114" s="36">
        <v>8.8071237967198999E-4</v>
      </c>
      <c r="AJ114" s="36">
        <v>2.1511161250164216E-4</v>
      </c>
      <c r="AK114" s="36">
        <v>3.3930829910575234E-4</v>
      </c>
      <c r="AL114" s="36">
        <v>8.3426918840805739E-4</v>
      </c>
      <c r="AM114" s="36">
        <v>1.4495641184671783E-3</v>
      </c>
      <c r="AN114" s="36">
        <v>3.5422326265333823E-4</v>
      </c>
      <c r="AO114" s="36">
        <v>8.5143849144504562E-4</v>
      </c>
    </row>
    <row r="115" spans="1:41">
      <c r="A115" s="35" t="s">
        <v>79</v>
      </c>
      <c r="B115" s="36">
        <v>5.8460928358030153E-4</v>
      </c>
      <c r="C115" s="36">
        <v>3.909750876189015E-4</v>
      </c>
      <c r="D115" s="36">
        <v>4.5803852617730303E-4</v>
      </c>
      <c r="E115" s="36">
        <v>8.3040240515227484E-4</v>
      </c>
      <c r="F115" s="36">
        <v>6.8012080381183544E-4</v>
      </c>
      <c r="G115" s="36">
        <v>4.2744246116215614E-4</v>
      </c>
      <c r="H115" s="36">
        <v>9.9606399532928811E-4</v>
      </c>
      <c r="I115" s="36">
        <v>8.4340227822806628E-4</v>
      </c>
      <c r="J115" s="36">
        <v>5.0656336006292871E-4</v>
      </c>
      <c r="K115" s="36">
        <v>7.7672700138438485E-4</v>
      </c>
      <c r="L115" s="36">
        <v>3.5167535605539038E-4</v>
      </c>
      <c r="M115" s="36">
        <v>4.059369531803282E-4</v>
      </c>
      <c r="N115" s="36">
        <v>6.3794954898053233E-4</v>
      </c>
      <c r="O115" s="36">
        <v>8.5534929419722608E-4</v>
      </c>
      <c r="P115" s="36">
        <v>1.4266897681264026E-3</v>
      </c>
      <c r="Q115" s="36">
        <v>4.3329085639370895E-4</v>
      </c>
      <c r="R115" s="36">
        <v>1.5101594372479638E-3</v>
      </c>
      <c r="S115" s="36">
        <v>6.5796191066640913E-4</v>
      </c>
      <c r="T115" s="36">
        <v>1.1446590288346483E-3</v>
      </c>
      <c r="U115" s="36">
        <v>2.2989341259390659E-3</v>
      </c>
      <c r="V115" s="36">
        <v>8.0210681703681659E-4</v>
      </c>
      <c r="W115" s="36">
        <v>8.9808505867560872E-4</v>
      </c>
      <c r="X115" s="36">
        <v>1.0054735227212983E-3</v>
      </c>
      <c r="Y115" s="36">
        <v>1.5723240695171379E-3</v>
      </c>
      <c r="Z115" s="36">
        <v>3.2693195398882335E-4</v>
      </c>
      <c r="AA115" s="36">
        <v>4.5144357569033679E-3</v>
      </c>
      <c r="AB115" s="36">
        <v>8.5356520892683788E-4</v>
      </c>
      <c r="AC115" s="36">
        <v>2.1375108287190383E-3</v>
      </c>
      <c r="AD115" s="36">
        <v>3.515648732829239E-4</v>
      </c>
      <c r="AE115" s="36">
        <v>5.4546359511303333E-4</v>
      </c>
      <c r="AF115" s="36">
        <v>1.9736673817616527E-4</v>
      </c>
      <c r="AG115" s="36">
        <v>7.7142039513696957E-4</v>
      </c>
      <c r="AH115" s="36">
        <v>7.1735161012799877E-4</v>
      </c>
      <c r="AI115" s="36">
        <v>1.3040910625910166E-3</v>
      </c>
      <c r="AJ115" s="36">
        <v>1.181467690417867E-3</v>
      </c>
      <c r="AK115" s="36">
        <v>8.0600685502283482E-4</v>
      </c>
      <c r="AL115" s="36">
        <v>8.8167182553643673E-4</v>
      </c>
      <c r="AM115" s="36">
        <v>1.1097126251081466E-3</v>
      </c>
      <c r="AN115" s="36">
        <v>6.6737148845543272E-4</v>
      </c>
      <c r="AO115" s="36">
        <v>8.1029573402904506E-4</v>
      </c>
    </row>
    <row r="116" spans="1:41">
      <c r="A116" s="35" t="s">
        <v>87</v>
      </c>
      <c r="B116" s="36">
        <v>3.0768291121418146E-4</v>
      </c>
      <c r="C116" s="36">
        <v>3.633887101103887E-4</v>
      </c>
      <c r="D116" s="36">
        <v>-9.6977628509487581E-5</v>
      </c>
      <c r="E116" s="36">
        <v>9.9535299611653574E-4</v>
      </c>
      <c r="F116" s="36">
        <v>5.1408484613695005E-4</v>
      </c>
      <c r="G116" s="36">
        <v>6.1204910410547005E-4</v>
      </c>
      <c r="H116" s="36">
        <v>7.5927542700048002E-4</v>
      </c>
      <c r="I116" s="36">
        <v>7.4478327379893161E-4</v>
      </c>
      <c r="J116" s="36">
        <v>8.5741853484637605E-4</v>
      </c>
      <c r="K116" s="36">
        <v>7.7891772469326889E-4</v>
      </c>
      <c r="L116" s="36">
        <v>1.5714043943772344E-3</v>
      </c>
      <c r="M116" s="36">
        <v>1.1978722799428071E-4</v>
      </c>
      <c r="N116" s="36">
        <v>2.8565396034882723E-4</v>
      </c>
      <c r="O116" s="36">
        <v>5.267263447918777E-4</v>
      </c>
      <c r="P116" s="36">
        <v>7.2972652705446592E-4</v>
      </c>
      <c r="Q116" s="36">
        <v>-5.370136986103121E-4</v>
      </c>
      <c r="R116" s="36">
        <v>1.5916856819604729E-3</v>
      </c>
      <c r="S116" s="36">
        <v>-3.7562954352292132E-4</v>
      </c>
      <c r="T116" s="36">
        <v>1.3564402335074853E-4</v>
      </c>
      <c r="U116" s="36">
        <v>2.068502765591531E-3</v>
      </c>
      <c r="V116" s="36">
        <v>4.200097487352119E-4</v>
      </c>
      <c r="W116" s="36">
        <v>1.0033810407288298E-3</v>
      </c>
      <c r="X116" s="36">
        <v>5.9795431262247038E-4</v>
      </c>
      <c r="Y116" s="36">
        <v>1.5304808157294331E-3</v>
      </c>
      <c r="Z116" s="36">
        <v>4.8094845046167519E-5</v>
      </c>
      <c r="AA116" s="36">
        <v>8.5356520892683788E-4</v>
      </c>
      <c r="AB116" s="36">
        <v>6.2537808421026572E-3</v>
      </c>
      <c r="AC116" s="36">
        <v>1.2053589988500369E-3</v>
      </c>
      <c r="AD116" s="36">
        <v>3.0771384948814369E-5</v>
      </c>
      <c r="AE116" s="36">
        <v>6.5501333940942404E-4</v>
      </c>
      <c r="AF116" s="36">
        <v>3.902085465866129E-4</v>
      </c>
      <c r="AG116" s="36">
        <v>9.0660072114827231E-4</v>
      </c>
      <c r="AH116" s="36">
        <v>6.2116362422526869E-4</v>
      </c>
      <c r="AI116" s="36">
        <v>9.9768330136878005E-4</v>
      </c>
      <c r="AJ116" s="36">
        <v>-3.6630615283565857E-4</v>
      </c>
      <c r="AK116" s="36">
        <v>6.7262120799302144E-4</v>
      </c>
      <c r="AL116" s="36">
        <v>1.5640152974496181E-4</v>
      </c>
      <c r="AM116" s="36">
        <v>9.1260035451421178E-4</v>
      </c>
      <c r="AN116" s="36">
        <v>6.9566433408289104E-4</v>
      </c>
      <c r="AO116" s="36">
        <v>-6.4260234347513655E-5</v>
      </c>
    </row>
    <row r="117" spans="1:41">
      <c r="A117" s="35" t="s">
        <v>88</v>
      </c>
      <c r="B117" s="36">
        <v>1.0171971183660705E-3</v>
      </c>
      <c r="C117" s="36">
        <v>-2.4358434758583642E-4</v>
      </c>
      <c r="D117" s="36">
        <v>-8.7022044096287104E-4</v>
      </c>
      <c r="E117" s="36">
        <v>1.5568361992854044E-3</v>
      </c>
      <c r="F117" s="36">
        <v>-5.7699024284222104E-4</v>
      </c>
      <c r="G117" s="36">
        <v>3.9430895220341102E-4</v>
      </c>
      <c r="H117" s="36">
        <v>1.8305906614542457E-4</v>
      </c>
      <c r="I117" s="36">
        <v>8.3383550104576662E-4</v>
      </c>
      <c r="J117" s="36">
        <v>9.4853207070421568E-4</v>
      </c>
      <c r="K117" s="36">
        <v>7.6596123925547503E-4</v>
      </c>
      <c r="L117" s="36">
        <v>-7.4362754876611291E-4</v>
      </c>
      <c r="M117" s="36">
        <v>-6.0500362071223227E-4</v>
      </c>
      <c r="N117" s="36">
        <v>5.4603557178187982E-4</v>
      </c>
      <c r="O117" s="36">
        <v>1.2879671033180112E-3</v>
      </c>
      <c r="P117" s="36">
        <v>1.3990443619598728E-3</v>
      </c>
      <c r="Q117" s="36">
        <v>-1.552833728584096E-3</v>
      </c>
      <c r="R117" s="36">
        <v>1.6450946601077924E-3</v>
      </c>
      <c r="S117" s="36">
        <v>5.2084309610423904E-4</v>
      </c>
      <c r="T117" s="36">
        <v>1.9455714758682076E-3</v>
      </c>
      <c r="U117" s="36">
        <v>1.1697430905233464E-3</v>
      </c>
      <c r="V117" s="36">
        <v>1.4650844011563661E-3</v>
      </c>
      <c r="W117" s="36">
        <v>1.7986520201644734E-3</v>
      </c>
      <c r="X117" s="36">
        <v>2.9696400581724065E-3</v>
      </c>
      <c r="Y117" s="36">
        <v>5.3049312004658485E-3</v>
      </c>
      <c r="Z117" s="36">
        <v>1.6383929226531984E-3</v>
      </c>
      <c r="AA117" s="36">
        <v>2.1375108287190383E-3</v>
      </c>
      <c r="AB117" s="36">
        <v>1.2053589988500369E-3</v>
      </c>
      <c r="AC117" s="36">
        <v>3.2101792062676451E-2</v>
      </c>
      <c r="AD117" s="36">
        <v>8.6603307731790793E-4</v>
      </c>
      <c r="AE117" s="36">
        <v>2.7592372450637678E-3</v>
      </c>
      <c r="AF117" s="36">
        <v>1.0943157231080463E-4</v>
      </c>
      <c r="AG117" s="36">
        <v>2.7564528228263426E-3</v>
      </c>
      <c r="AH117" s="36">
        <v>1.7309158970532667E-3</v>
      </c>
      <c r="AI117" s="36">
        <v>3.7385074336598613E-3</v>
      </c>
      <c r="AJ117" s="36">
        <v>3.2775075275375092E-3</v>
      </c>
      <c r="AK117" s="36">
        <v>1.9295913168429503E-3</v>
      </c>
      <c r="AL117" s="36">
        <v>2.534809158865373E-3</v>
      </c>
      <c r="AM117" s="36">
        <v>5.2163861017372757E-3</v>
      </c>
      <c r="AN117" s="36">
        <v>3.0418354919463494E-4</v>
      </c>
      <c r="AO117" s="36">
        <v>4.6392170830222628E-3</v>
      </c>
    </row>
    <row r="118" spans="1:41">
      <c r="A118" s="35" t="s">
        <v>91</v>
      </c>
      <c r="B118" s="36">
        <v>4.6130637179163381E-4</v>
      </c>
      <c r="C118" s="36">
        <v>5.3464624259645665E-4</v>
      </c>
      <c r="D118" s="36">
        <v>8.9929632846753624E-5</v>
      </c>
      <c r="E118" s="36">
        <v>-2.2008781362097934E-4</v>
      </c>
      <c r="F118" s="36">
        <v>4.525198388948167E-4</v>
      </c>
      <c r="G118" s="36">
        <v>3.3874459798296131E-4</v>
      </c>
      <c r="H118" s="36">
        <v>4.1573443703018076E-5</v>
      </c>
      <c r="I118" s="36">
        <v>1.5978367303705858E-4</v>
      </c>
      <c r="J118" s="36">
        <v>2.6591314056686885E-4</v>
      </c>
      <c r="K118" s="36">
        <v>3.4921689780946806E-4</v>
      </c>
      <c r="L118" s="36">
        <v>1.5560112110763187E-4</v>
      </c>
      <c r="M118" s="36">
        <v>1.3024470222573943E-4</v>
      </c>
      <c r="N118" s="36">
        <v>1.9858220496389499E-4</v>
      </c>
      <c r="O118" s="36">
        <v>2.8410062638312649E-4</v>
      </c>
      <c r="P118" s="36">
        <v>1.336279271600348E-4</v>
      </c>
      <c r="Q118" s="36">
        <v>5.8604537670574992E-4</v>
      </c>
      <c r="R118" s="36">
        <v>-3.8926859567251022E-5</v>
      </c>
      <c r="S118" s="36">
        <v>-1.0211805155184345E-5</v>
      </c>
      <c r="T118" s="36">
        <v>4.3297658543329782E-4</v>
      </c>
      <c r="U118" s="36">
        <v>7.3904096236319461E-4</v>
      </c>
      <c r="V118" s="36">
        <v>4.838148833543705E-4</v>
      </c>
      <c r="W118" s="36">
        <v>1.4855802443734369E-4</v>
      </c>
      <c r="X118" s="36">
        <v>1.2234771997757916E-4</v>
      </c>
      <c r="Y118" s="36">
        <v>2.37788916763181E-4</v>
      </c>
      <c r="Z118" s="36">
        <v>4.9814022354695558E-4</v>
      </c>
      <c r="AA118" s="36">
        <v>3.515648732829239E-4</v>
      </c>
      <c r="AB118" s="36">
        <v>3.0771384948814369E-5</v>
      </c>
      <c r="AC118" s="36">
        <v>8.6603307731790793E-4</v>
      </c>
      <c r="AD118" s="36">
        <v>1.9239693733546644E-3</v>
      </c>
      <c r="AE118" s="36">
        <v>7.5892547754876543E-4</v>
      </c>
      <c r="AF118" s="36">
        <v>4.7967747946353357E-4</v>
      </c>
      <c r="AG118" s="36">
        <v>8.085079262674734E-4</v>
      </c>
      <c r="AH118" s="36">
        <v>6.2741875818231113E-4</v>
      </c>
      <c r="AI118" s="36">
        <v>6.8874831995849187E-4</v>
      </c>
      <c r="AJ118" s="36">
        <v>6.7591891404847457E-4</v>
      </c>
      <c r="AK118" s="36">
        <v>7.3377964550233002E-4</v>
      </c>
      <c r="AL118" s="36">
        <v>4.1492331095011753E-4</v>
      </c>
      <c r="AM118" s="36">
        <v>7.8524647705176395E-4</v>
      </c>
      <c r="AN118" s="36">
        <v>2.3379818244939575E-4</v>
      </c>
      <c r="AO118" s="36">
        <v>4.3697495084297973E-4</v>
      </c>
    </row>
    <row r="119" spans="1:41">
      <c r="A119" s="35" t="s">
        <v>94</v>
      </c>
      <c r="B119" s="36">
        <v>9.8290025693383736E-4</v>
      </c>
      <c r="C119" s="36">
        <v>4.7891360276405641E-4</v>
      </c>
      <c r="D119" s="36">
        <v>2.4277151013055048E-4</v>
      </c>
      <c r="E119" s="36">
        <v>8.3602547982470751E-5</v>
      </c>
      <c r="F119" s="36">
        <v>3.8423404191479353E-4</v>
      </c>
      <c r="G119" s="36">
        <v>6.7364753430272954E-4</v>
      </c>
      <c r="H119" s="36">
        <v>5.4859702970208991E-4</v>
      </c>
      <c r="I119" s="36">
        <v>8.5892999390407886E-4</v>
      </c>
      <c r="J119" s="36">
        <v>5.9659841016349848E-4</v>
      </c>
      <c r="K119" s="36">
        <v>2.5891778765945058E-4</v>
      </c>
      <c r="L119" s="36">
        <v>6.9630265217603203E-4</v>
      </c>
      <c r="M119" s="36">
        <v>-5.9278356893008165E-5</v>
      </c>
      <c r="N119" s="36">
        <v>5.7588259063531702E-4</v>
      </c>
      <c r="O119" s="36">
        <v>1.0275404987221946E-3</v>
      </c>
      <c r="P119" s="36">
        <v>1.0375746908138207E-3</v>
      </c>
      <c r="Q119" s="36">
        <v>4.9842407603143768E-4</v>
      </c>
      <c r="R119" s="36">
        <v>1.4377512228619324E-3</v>
      </c>
      <c r="S119" s="36">
        <v>4.0523432663213082E-4</v>
      </c>
      <c r="T119" s="36">
        <v>7.2835989663658728E-4</v>
      </c>
      <c r="U119" s="36">
        <v>1.2889070618437844E-3</v>
      </c>
      <c r="V119" s="36">
        <v>1.3953193777981789E-3</v>
      </c>
      <c r="W119" s="36">
        <v>7.3582015758741272E-4</v>
      </c>
      <c r="X119" s="36">
        <v>1.202876460157769E-3</v>
      </c>
      <c r="Y119" s="36">
        <v>1.264075073479143E-3</v>
      </c>
      <c r="Z119" s="36">
        <v>4.1694938086673258E-4</v>
      </c>
      <c r="AA119" s="36">
        <v>5.4546359511303333E-4</v>
      </c>
      <c r="AB119" s="36">
        <v>6.5501333940942404E-4</v>
      </c>
      <c r="AC119" s="36">
        <v>2.7592372450637678E-3</v>
      </c>
      <c r="AD119" s="36">
        <v>7.5892547754876543E-4</v>
      </c>
      <c r="AE119" s="36">
        <v>5.775861252510857E-3</v>
      </c>
      <c r="AF119" s="36">
        <v>3.9997394438068664E-4</v>
      </c>
      <c r="AG119" s="36">
        <v>1.5047146230185882E-3</v>
      </c>
      <c r="AH119" s="36">
        <v>6.433656868190847E-4</v>
      </c>
      <c r="AI119" s="36">
        <v>1.7948120820469981E-3</v>
      </c>
      <c r="AJ119" s="36">
        <v>4.2522859070549422E-4</v>
      </c>
      <c r="AK119" s="36">
        <v>9.5559960313290994E-4</v>
      </c>
      <c r="AL119" s="36">
        <v>7.748718153754449E-4</v>
      </c>
      <c r="AM119" s="36">
        <v>1.9655628199255434E-3</v>
      </c>
      <c r="AN119" s="36">
        <v>1.013967936530374E-3</v>
      </c>
      <c r="AO119" s="36">
        <v>9.7672783055820136E-4</v>
      </c>
    </row>
    <row r="120" spans="1:41">
      <c r="A120" s="35" t="s">
        <v>95</v>
      </c>
      <c r="B120" s="36">
        <v>4.9452414261014438E-4</v>
      </c>
      <c r="C120" s="36">
        <v>5.5356699889167252E-4</v>
      </c>
      <c r="D120" s="36">
        <v>1.0316837013137727E-4</v>
      </c>
      <c r="E120" s="36">
        <v>1.7105874773920964E-5</v>
      </c>
      <c r="F120" s="36">
        <v>4.9831575997519697E-4</v>
      </c>
      <c r="G120" s="36">
        <v>5.3625065856270301E-4</v>
      </c>
      <c r="H120" s="36">
        <v>2.7020292642261396E-4</v>
      </c>
      <c r="I120" s="36">
        <v>6.7614953315887568E-4</v>
      </c>
      <c r="J120" s="36">
        <v>3.4605164265446317E-4</v>
      </c>
      <c r="K120" s="36">
        <v>5.0681383165500859E-4</v>
      </c>
      <c r="L120" s="36">
        <v>8.7085606426100969E-5</v>
      </c>
      <c r="M120" s="36">
        <v>2.8325144492089612E-4</v>
      </c>
      <c r="N120" s="36">
        <v>2.7753247835980677E-4</v>
      </c>
      <c r="O120" s="36">
        <v>2.5096727113799064E-4</v>
      </c>
      <c r="P120" s="36">
        <v>2.4230174685633659E-4</v>
      </c>
      <c r="Q120" s="36">
        <v>6.2414046892207231E-4</v>
      </c>
      <c r="R120" s="36">
        <v>3.933632310042629E-4</v>
      </c>
      <c r="S120" s="36">
        <v>-3.5693553410002996E-5</v>
      </c>
      <c r="T120" s="36">
        <v>4.5711211578084582E-4</v>
      </c>
      <c r="U120" s="36">
        <v>1.0523799759183786E-3</v>
      </c>
      <c r="V120" s="36">
        <v>2.5878805025575803E-4</v>
      </c>
      <c r="W120" s="36">
        <v>2.7383035434410535E-4</v>
      </c>
      <c r="X120" s="36">
        <v>3.1544513170805405E-4</v>
      </c>
      <c r="Y120" s="36">
        <v>-5.8927958221595075E-5</v>
      </c>
      <c r="Z120" s="36">
        <v>6.2779997890229349E-4</v>
      </c>
      <c r="AA120" s="36">
        <v>1.9736673817616527E-4</v>
      </c>
      <c r="AB120" s="36">
        <v>3.902085465866129E-4</v>
      </c>
      <c r="AC120" s="36">
        <v>1.0943157231080463E-4</v>
      </c>
      <c r="AD120" s="36">
        <v>4.7967747946353357E-4</v>
      </c>
      <c r="AE120" s="36">
        <v>3.9997394438068664E-4</v>
      </c>
      <c r="AF120" s="36">
        <v>2.4382074727496181E-3</v>
      </c>
      <c r="AG120" s="36">
        <v>2.9731814130660702E-4</v>
      </c>
      <c r="AH120" s="36">
        <v>1.0269025571114638E-3</v>
      </c>
      <c r="AI120" s="36">
        <v>6.7845613170855359E-4</v>
      </c>
      <c r="AJ120" s="36">
        <v>8.1175363948319691E-5</v>
      </c>
      <c r="AK120" s="36">
        <v>2.3603603680621892E-4</v>
      </c>
      <c r="AL120" s="36">
        <v>3.7916716661016926E-4</v>
      </c>
      <c r="AM120" s="36">
        <v>3.9096046271260953E-4</v>
      </c>
      <c r="AN120" s="36">
        <v>7.5491684908254126E-4</v>
      </c>
      <c r="AO120" s="36">
        <v>4.9455065812296093E-4</v>
      </c>
    </row>
    <row r="121" spans="1:41">
      <c r="A121" s="35" t="s">
        <v>102</v>
      </c>
      <c r="B121" s="36">
        <v>9.5552291856970282E-4</v>
      </c>
      <c r="C121" s="36">
        <v>1.2138085173190864E-4</v>
      </c>
      <c r="D121" s="36">
        <v>5.0147745787339301E-5</v>
      </c>
      <c r="E121" s="36">
        <v>2.384820246955702E-4</v>
      </c>
      <c r="F121" s="36">
        <v>6.1850878302800315E-4</v>
      </c>
      <c r="G121" s="36">
        <v>6.8460221247942411E-4</v>
      </c>
      <c r="H121" s="36">
        <v>7.184527213380833E-4</v>
      </c>
      <c r="I121" s="36">
        <v>1.1125475583120673E-3</v>
      </c>
      <c r="J121" s="36">
        <v>1.5279425477230893E-3</v>
      </c>
      <c r="K121" s="36">
        <v>1.3313413637155087E-3</v>
      </c>
      <c r="L121" s="36">
        <v>3.2404522756854931E-4</v>
      </c>
      <c r="M121" s="36">
        <v>-2.1204470193434267E-4</v>
      </c>
      <c r="N121" s="36">
        <v>6.3844278555142276E-4</v>
      </c>
      <c r="O121" s="36">
        <v>9.0135619942522901E-4</v>
      </c>
      <c r="P121" s="36">
        <v>8.7431971759320537E-4</v>
      </c>
      <c r="Q121" s="36">
        <v>1.3996668723243201E-3</v>
      </c>
      <c r="R121" s="36">
        <v>1.5774058768350712E-3</v>
      </c>
      <c r="S121" s="36">
        <v>5.6238271366906378E-4</v>
      </c>
      <c r="T121" s="36">
        <v>1.3267106477153857E-3</v>
      </c>
      <c r="U121" s="36">
        <v>1.822162337090322E-3</v>
      </c>
      <c r="V121" s="36">
        <v>1.0333295970662187E-3</v>
      </c>
      <c r="W121" s="36">
        <v>1.9025339282961759E-4</v>
      </c>
      <c r="X121" s="36">
        <v>1.4328069551655532E-3</v>
      </c>
      <c r="Y121" s="36">
        <v>2.0938786489714509E-4</v>
      </c>
      <c r="Z121" s="36">
        <v>3.6630288830050644E-4</v>
      </c>
      <c r="AA121" s="36">
        <v>7.7142039513696957E-4</v>
      </c>
      <c r="AB121" s="36">
        <v>9.0660072114827231E-4</v>
      </c>
      <c r="AC121" s="36">
        <v>2.7564528228263426E-3</v>
      </c>
      <c r="AD121" s="36">
        <v>8.085079262674734E-4</v>
      </c>
      <c r="AE121" s="36">
        <v>1.5047146230185882E-3</v>
      </c>
      <c r="AF121" s="36">
        <v>2.9731814130660702E-4</v>
      </c>
      <c r="AG121" s="36">
        <v>9.7318269862282022E-3</v>
      </c>
      <c r="AH121" s="36">
        <v>1.8363270888768822E-3</v>
      </c>
      <c r="AI121" s="36">
        <v>1.3392999754917863E-3</v>
      </c>
      <c r="AJ121" s="36">
        <v>2.7216643175251619E-3</v>
      </c>
      <c r="AK121" s="36">
        <v>1.7620077816434996E-3</v>
      </c>
      <c r="AL121" s="36">
        <v>1.602455666214324E-3</v>
      </c>
      <c r="AM121" s="36">
        <v>2.7908441540780119E-3</v>
      </c>
      <c r="AN121" s="36">
        <v>1.0183138638730951E-3</v>
      </c>
      <c r="AO121" s="36">
        <v>1.5344682844555552E-3</v>
      </c>
    </row>
    <row r="122" spans="1:41">
      <c r="A122" s="35" t="s">
        <v>110</v>
      </c>
      <c r="B122" s="36">
        <v>1.09832038463812E-3</v>
      </c>
      <c r="C122" s="36">
        <v>5.1439883390023619E-4</v>
      </c>
      <c r="D122" s="36">
        <v>8.4584396851890569E-4</v>
      </c>
      <c r="E122" s="36">
        <v>8.2787320328633917E-4</v>
      </c>
      <c r="F122" s="36">
        <v>1.2174119786186059E-3</v>
      </c>
      <c r="G122" s="36">
        <v>1.0754731752731774E-3</v>
      </c>
      <c r="H122" s="36">
        <v>6.3501921960452468E-4</v>
      </c>
      <c r="I122" s="36">
        <v>9.7504730585076804E-4</v>
      </c>
      <c r="J122" s="36">
        <v>9.3892714061096763E-4</v>
      </c>
      <c r="K122" s="36">
        <v>1.8823159730126755E-3</v>
      </c>
      <c r="L122" s="36">
        <v>8.9261353274832213E-4</v>
      </c>
      <c r="M122" s="36">
        <v>3.2096341180313978E-4</v>
      </c>
      <c r="N122" s="36">
        <v>6.259409681731383E-4</v>
      </c>
      <c r="O122" s="36">
        <v>6.9134785460571912E-4</v>
      </c>
      <c r="P122" s="36">
        <v>-3.6217183983208685E-4</v>
      </c>
      <c r="Q122" s="36">
        <v>2.631281055309527E-3</v>
      </c>
      <c r="R122" s="36">
        <v>-3.1113984504676823E-5</v>
      </c>
      <c r="S122" s="36">
        <v>3.8564717177934599E-4</v>
      </c>
      <c r="T122" s="36">
        <v>1.2211297383414551E-3</v>
      </c>
      <c r="U122" s="36">
        <v>1.5402040929937109E-3</v>
      </c>
      <c r="V122" s="36">
        <v>5.7436793012662351E-4</v>
      </c>
      <c r="W122" s="36">
        <v>4.8919077196991336E-4</v>
      </c>
      <c r="X122" s="36">
        <v>1.1845014362752313E-3</v>
      </c>
      <c r="Y122" s="36">
        <v>2.2895626067516951E-3</v>
      </c>
      <c r="Z122" s="36">
        <v>7.8529022962825555E-4</v>
      </c>
      <c r="AA122" s="36">
        <v>7.1735161012799877E-4</v>
      </c>
      <c r="AB122" s="36">
        <v>6.2116362422526869E-4</v>
      </c>
      <c r="AC122" s="36">
        <v>1.7309158970532667E-3</v>
      </c>
      <c r="AD122" s="36">
        <v>6.2741875818231113E-4</v>
      </c>
      <c r="AE122" s="36">
        <v>6.433656868190847E-4</v>
      </c>
      <c r="AF122" s="36">
        <v>1.0269025571114638E-3</v>
      </c>
      <c r="AG122" s="36">
        <v>1.8363270888768822E-3</v>
      </c>
      <c r="AH122" s="36">
        <v>1.5639900734640961E-2</v>
      </c>
      <c r="AI122" s="36">
        <v>1.8285282704529301E-3</v>
      </c>
      <c r="AJ122" s="36">
        <v>1.7937936320822166E-3</v>
      </c>
      <c r="AK122" s="36">
        <v>6.3252637739225786E-4</v>
      </c>
      <c r="AL122" s="36">
        <v>1.5106226568932853E-3</v>
      </c>
      <c r="AM122" s="36">
        <v>2.0627347734659945E-3</v>
      </c>
      <c r="AN122" s="36">
        <v>1.1004487098064163E-3</v>
      </c>
      <c r="AO122" s="36">
        <v>2.130143824145289E-3</v>
      </c>
    </row>
    <row r="123" spans="1:41">
      <c r="A123" s="35" t="s">
        <v>114</v>
      </c>
      <c r="B123" s="36">
        <v>9.2401427880920437E-4</v>
      </c>
      <c r="C123" s="36">
        <v>5.5253175280994208E-4</v>
      </c>
      <c r="D123" s="36">
        <v>-2.8886534626501776E-4</v>
      </c>
      <c r="E123" s="36">
        <v>1.0246461627747008E-3</v>
      </c>
      <c r="F123" s="36">
        <v>9.6255063406793049E-4</v>
      </c>
      <c r="G123" s="36">
        <v>1.0042099258483041E-3</v>
      </c>
      <c r="H123" s="36">
        <v>3.8411822855198346E-4</v>
      </c>
      <c r="I123" s="36">
        <v>1.0636370610542926E-3</v>
      </c>
      <c r="J123" s="36">
        <v>1.2507035913762894E-3</v>
      </c>
      <c r="K123" s="36">
        <v>1.1887491408958699E-3</v>
      </c>
      <c r="L123" s="36">
        <v>3.5965100500000459E-4</v>
      </c>
      <c r="M123" s="36">
        <v>1.3418899904274752E-4</v>
      </c>
      <c r="N123" s="36">
        <v>9.2121740879837601E-4</v>
      </c>
      <c r="O123" s="36">
        <v>1.2444658993737776E-3</v>
      </c>
      <c r="P123" s="36">
        <v>8.8848396941663401E-4</v>
      </c>
      <c r="Q123" s="36">
        <v>7.6044363670471128E-4</v>
      </c>
      <c r="R123" s="36">
        <v>2.6441123360953452E-3</v>
      </c>
      <c r="S123" s="36">
        <v>4.1390017335701356E-4</v>
      </c>
      <c r="T123" s="36">
        <v>1.1413900930871E-3</v>
      </c>
      <c r="U123" s="36">
        <v>2.5949300471461998E-3</v>
      </c>
      <c r="V123" s="36">
        <v>1.4483036843274358E-3</v>
      </c>
      <c r="W123" s="36">
        <v>1.183484916546807E-3</v>
      </c>
      <c r="X123" s="36">
        <v>1.4896715425788791E-3</v>
      </c>
      <c r="Y123" s="36">
        <v>1.7419671913263849E-3</v>
      </c>
      <c r="Z123" s="36">
        <v>8.8071237967198999E-4</v>
      </c>
      <c r="AA123" s="36">
        <v>1.3040910625910166E-3</v>
      </c>
      <c r="AB123" s="36">
        <v>9.9768330136878005E-4</v>
      </c>
      <c r="AC123" s="36">
        <v>3.7385074336598613E-3</v>
      </c>
      <c r="AD123" s="36">
        <v>6.8874831995849187E-4</v>
      </c>
      <c r="AE123" s="36">
        <v>1.7948120820469981E-3</v>
      </c>
      <c r="AF123" s="36">
        <v>6.7845613170855359E-4</v>
      </c>
      <c r="AG123" s="36">
        <v>1.3392999754917863E-3</v>
      </c>
      <c r="AH123" s="36">
        <v>1.8285282704529301E-3</v>
      </c>
      <c r="AI123" s="36">
        <v>9.1772687531205526E-3</v>
      </c>
      <c r="AJ123" s="36">
        <v>2.4302291161902348E-3</v>
      </c>
      <c r="AK123" s="36">
        <v>1.7629892769948808E-3</v>
      </c>
      <c r="AL123" s="36">
        <v>1.1381643122150972E-3</v>
      </c>
      <c r="AM123" s="36">
        <v>2.1322780472611573E-3</v>
      </c>
      <c r="AN123" s="36">
        <v>1.0494677404659827E-3</v>
      </c>
      <c r="AO123" s="36">
        <v>1.9798975051025587E-3</v>
      </c>
    </row>
    <row r="124" spans="1:41">
      <c r="A124" s="35" t="s">
        <v>120</v>
      </c>
      <c r="B124" s="36">
        <v>3.0173877634922494E-4</v>
      </c>
      <c r="C124" s="36">
        <v>2.1866056871707517E-4</v>
      </c>
      <c r="D124" s="36">
        <v>2.2665035114068595E-5</v>
      </c>
      <c r="E124" s="36">
        <v>1.8270323918592104E-3</v>
      </c>
      <c r="F124" s="36">
        <v>1.3482531743824633E-3</v>
      </c>
      <c r="G124" s="36">
        <v>5.7650694743270625E-4</v>
      </c>
      <c r="H124" s="36">
        <v>1.83785766919502E-3</v>
      </c>
      <c r="I124" s="36">
        <v>7.1518167038133579E-4</v>
      </c>
      <c r="J124" s="36">
        <v>1.3916254114995173E-3</v>
      </c>
      <c r="K124" s="36">
        <v>2.3174800590775118E-3</v>
      </c>
      <c r="L124" s="36">
        <v>-4.0732017391503577E-4</v>
      </c>
      <c r="M124" s="36">
        <v>-9.6448311241650734E-5</v>
      </c>
      <c r="N124" s="36">
        <v>8.2367390354469851E-4</v>
      </c>
      <c r="O124" s="36">
        <v>1.2728831320562546E-3</v>
      </c>
      <c r="P124" s="36">
        <v>1.6529089013920947E-3</v>
      </c>
      <c r="Q124" s="36">
        <v>4.1453008916623161E-4</v>
      </c>
      <c r="R124" s="36">
        <v>1.0515944497863836E-3</v>
      </c>
      <c r="S124" s="36">
        <v>1.1337051511619222E-3</v>
      </c>
      <c r="T124" s="36">
        <v>2.0100937754486672E-3</v>
      </c>
      <c r="U124" s="36">
        <v>3.3984266027160212E-3</v>
      </c>
      <c r="V124" s="36">
        <v>1.1109584992197714E-3</v>
      </c>
      <c r="W124" s="36">
        <v>5.9826670018074473E-4</v>
      </c>
      <c r="X124" s="36">
        <v>2.0316909589752287E-3</v>
      </c>
      <c r="Y124" s="36">
        <v>2.1280219349199361E-3</v>
      </c>
      <c r="Z124" s="36">
        <v>2.1511161250164216E-4</v>
      </c>
      <c r="AA124" s="36">
        <v>1.181467690417867E-3</v>
      </c>
      <c r="AB124" s="36">
        <v>-3.6630615283565857E-4</v>
      </c>
      <c r="AC124" s="36">
        <v>3.2775075275375092E-3</v>
      </c>
      <c r="AD124" s="36">
        <v>6.7591891404847457E-4</v>
      </c>
      <c r="AE124" s="36">
        <v>4.2522859070549422E-4</v>
      </c>
      <c r="AF124" s="36">
        <v>8.1175363948319691E-5</v>
      </c>
      <c r="AG124" s="36">
        <v>2.7216643175251619E-3</v>
      </c>
      <c r="AH124" s="36">
        <v>1.7937936320822166E-3</v>
      </c>
      <c r="AI124" s="36">
        <v>2.4302291161902348E-3</v>
      </c>
      <c r="AJ124" s="36">
        <v>2.0397344755797461E-2</v>
      </c>
      <c r="AK124" s="36">
        <v>2.648634976173867E-3</v>
      </c>
      <c r="AL124" s="36">
        <v>2.7899219368804047E-3</v>
      </c>
      <c r="AM124" s="36">
        <v>1.0069406943467765E-3</v>
      </c>
      <c r="AN124" s="36">
        <v>1.1663123863502468E-3</v>
      </c>
      <c r="AO124" s="36">
        <v>2.9086962401617122E-3</v>
      </c>
    </row>
    <row r="125" spans="1:41">
      <c r="A125" s="35" t="s">
        <v>123</v>
      </c>
      <c r="B125" s="36">
        <v>6.2254256946584201E-4</v>
      </c>
      <c r="C125" s="36">
        <v>3.604292987664255E-4</v>
      </c>
      <c r="D125" s="36">
        <v>2.1357952109063262E-4</v>
      </c>
      <c r="E125" s="36">
        <v>6.2055711723076263E-4</v>
      </c>
      <c r="F125" s="36">
        <v>6.7247994489278947E-4</v>
      </c>
      <c r="G125" s="36">
        <v>3.0055836225516784E-4</v>
      </c>
      <c r="H125" s="36">
        <v>4.1092344869523916E-4</v>
      </c>
      <c r="I125" s="36">
        <v>3.4871995683923013E-4</v>
      </c>
      <c r="J125" s="36">
        <v>9.7944526313889849E-4</v>
      </c>
      <c r="K125" s="36">
        <v>1.3632355049410262E-3</v>
      </c>
      <c r="L125" s="36">
        <v>-1.5597263298422723E-4</v>
      </c>
      <c r="M125" s="36">
        <v>6.6926058813162147E-5</v>
      </c>
      <c r="N125" s="36">
        <v>4.0384148440291274E-4</v>
      </c>
      <c r="O125" s="36">
        <v>8.4815054411807199E-4</v>
      </c>
      <c r="P125" s="36">
        <v>1.5166041740139454E-3</v>
      </c>
      <c r="Q125" s="36">
        <v>8.5168372935146269E-4</v>
      </c>
      <c r="R125" s="36">
        <v>6.3700576504195573E-4</v>
      </c>
      <c r="S125" s="36">
        <v>5.0829579241420475E-4</v>
      </c>
      <c r="T125" s="36">
        <v>4.5271546857588422E-4</v>
      </c>
      <c r="U125" s="36">
        <v>2.1227586249737431E-3</v>
      </c>
      <c r="V125" s="36">
        <v>7.4288047570945275E-4</v>
      </c>
      <c r="W125" s="36">
        <v>5.0599009740355581E-4</v>
      </c>
      <c r="X125" s="36">
        <v>1.1559030519044675E-3</v>
      </c>
      <c r="Y125" s="36">
        <v>6.9252820769617794E-4</v>
      </c>
      <c r="Z125" s="36">
        <v>3.3930829910575234E-4</v>
      </c>
      <c r="AA125" s="36">
        <v>8.0600685502283482E-4</v>
      </c>
      <c r="AB125" s="36">
        <v>6.7262120799302144E-4</v>
      </c>
      <c r="AC125" s="36">
        <v>1.9295913168429503E-3</v>
      </c>
      <c r="AD125" s="36">
        <v>7.3377964550233002E-4</v>
      </c>
      <c r="AE125" s="36">
        <v>9.5559960313290994E-4</v>
      </c>
      <c r="AF125" s="36">
        <v>2.3603603680621892E-4</v>
      </c>
      <c r="AG125" s="36">
        <v>1.7620077816434996E-3</v>
      </c>
      <c r="AH125" s="36">
        <v>6.3252637739225786E-4</v>
      </c>
      <c r="AI125" s="36">
        <v>1.7629892769948808E-3</v>
      </c>
      <c r="AJ125" s="36">
        <v>2.648634976173867E-3</v>
      </c>
      <c r="AK125" s="36">
        <v>6.8820118234713089E-3</v>
      </c>
      <c r="AL125" s="36">
        <v>1.0534485545342501E-3</v>
      </c>
      <c r="AM125" s="36">
        <v>1.2558324347842246E-3</v>
      </c>
      <c r="AN125" s="36">
        <v>5.8109180614550034E-4</v>
      </c>
      <c r="AO125" s="36">
        <v>1.5955541905662014E-3</v>
      </c>
    </row>
    <row r="126" spans="1:41">
      <c r="A126" s="35" t="s">
        <v>127</v>
      </c>
      <c r="B126" s="36">
        <v>8.2056118791015307E-4</v>
      </c>
      <c r="C126" s="36">
        <v>6.3085805069389047E-4</v>
      </c>
      <c r="D126" s="36">
        <v>5.0654964891589098E-4</v>
      </c>
      <c r="E126" s="36">
        <v>1.2102270602834305E-3</v>
      </c>
      <c r="F126" s="36">
        <v>8.7538272119228576E-4</v>
      </c>
      <c r="G126" s="36">
        <v>5.3173577723817744E-4</v>
      </c>
      <c r="H126" s="36">
        <v>1.136980184010999E-3</v>
      </c>
      <c r="I126" s="36">
        <v>6.5661917950251148E-4</v>
      </c>
      <c r="J126" s="36">
        <v>9.3168110683853798E-4</v>
      </c>
      <c r="K126" s="36">
        <v>1.2507015175943982E-3</v>
      </c>
      <c r="L126" s="36">
        <v>-2.3903316797359894E-4</v>
      </c>
      <c r="M126" s="36">
        <v>2.2705246196190221E-4</v>
      </c>
      <c r="N126" s="36">
        <v>6.7335255973019351E-4</v>
      </c>
      <c r="O126" s="36">
        <v>5.836726698904526E-4</v>
      </c>
      <c r="P126" s="36">
        <v>6.6270425668288032E-4</v>
      </c>
      <c r="Q126" s="36">
        <v>3.0279058083878567E-5</v>
      </c>
      <c r="R126" s="36">
        <v>6.6760168332158961E-4</v>
      </c>
      <c r="S126" s="36">
        <v>1.2054005550366041E-3</v>
      </c>
      <c r="T126" s="36">
        <v>1.2112411861371368E-3</v>
      </c>
      <c r="U126" s="36">
        <v>1.6619260166969596E-3</v>
      </c>
      <c r="V126" s="36">
        <v>1.23677167525704E-3</v>
      </c>
      <c r="W126" s="36">
        <v>4.8793114077163392E-4</v>
      </c>
      <c r="X126" s="36">
        <v>1.0390586979166414E-3</v>
      </c>
      <c r="Y126" s="36">
        <v>2.5781637600699433E-3</v>
      </c>
      <c r="Z126" s="36">
        <v>8.3426918840805739E-4</v>
      </c>
      <c r="AA126" s="36">
        <v>8.8167182553643673E-4</v>
      </c>
      <c r="AB126" s="36">
        <v>1.5640152974496181E-4</v>
      </c>
      <c r="AC126" s="36">
        <v>2.534809158865373E-3</v>
      </c>
      <c r="AD126" s="36">
        <v>4.1492331095011753E-4</v>
      </c>
      <c r="AE126" s="36">
        <v>7.748718153754449E-4</v>
      </c>
      <c r="AF126" s="36">
        <v>3.7916716661016926E-4</v>
      </c>
      <c r="AG126" s="36">
        <v>1.602455666214324E-3</v>
      </c>
      <c r="AH126" s="36">
        <v>1.5106226568932853E-3</v>
      </c>
      <c r="AI126" s="36">
        <v>1.1381643122150972E-3</v>
      </c>
      <c r="AJ126" s="36">
        <v>2.7899219368804047E-3</v>
      </c>
      <c r="AK126" s="36">
        <v>1.0534485545342501E-3</v>
      </c>
      <c r="AL126" s="36">
        <v>6.2923600474747302E-3</v>
      </c>
      <c r="AM126" s="36">
        <v>1.3815596682009155E-3</v>
      </c>
      <c r="AN126" s="36">
        <v>6.8284413626811848E-4</v>
      </c>
      <c r="AO126" s="36">
        <v>2.1869835235341084E-3</v>
      </c>
    </row>
    <row r="127" spans="1:41">
      <c r="A127" s="35" t="s">
        <v>139</v>
      </c>
      <c r="B127" s="36">
        <v>1.465926107241096E-3</v>
      </c>
      <c r="C127" s="36">
        <v>9.4967493861744425E-4</v>
      </c>
      <c r="D127" s="36">
        <v>9.3523901973267928E-4</v>
      </c>
      <c r="E127" s="36">
        <v>1.3683981315410583E-3</v>
      </c>
      <c r="F127" s="36">
        <v>1.3528745662676287E-3</v>
      </c>
      <c r="G127" s="36">
        <v>1.1991263125233141E-3</v>
      </c>
      <c r="H127" s="36">
        <v>5.7674896671181756E-4</v>
      </c>
      <c r="I127" s="36">
        <v>6.095199382205633E-4</v>
      </c>
      <c r="J127" s="36">
        <v>1.2051754376261709E-3</v>
      </c>
      <c r="K127" s="36">
        <v>9.2276877822284427E-4</v>
      </c>
      <c r="L127" s="36">
        <v>4.2032828391762241E-4</v>
      </c>
      <c r="M127" s="36">
        <v>3.8399540253992965E-4</v>
      </c>
      <c r="N127" s="36">
        <v>1.6775954417811803E-3</v>
      </c>
      <c r="O127" s="36">
        <v>6.6166352743178374E-4</v>
      </c>
      <c r="P127" s="36">
        <v>7.520033469248762E-4</v>
      </c>
      <c r="Q127" s="36">
        <v>2.5880346575003614E-4</v>
      </c>
      <c r="R127" s="36">
        <v>2.683521483453332E-3</v>
      </c>
      <c r="S127" s="36">
        <v>1.1636246187652355E-3</v>
      </c>
      <c r="T127" s="36">
        <v>2.063610512727623E-3</v>
      </c>
      <c r="U127" s="36">
        <v>1.967216002247404E-3</v>
      </c>
      <c r="V127" s="36">
        <v>9.3000692184642454E-4</v>
      </c>
      <c r="W127" s="36">
        <v>2.1651426463475862E-3</v>
      </c>
      <c r="X127" s="36">
        <v>1.9263961414490325E-3</v>
      </c>
      <c r="Y127" s="36">
        <v>4.4495027999185812E-3</v>
      </c>
      <c r="Z127" s="36">
        <v>1.4495641184671783E-3</v>
      </c>
      <c r="AA127" s="36">
        <v>1.1097126251081466E-3</v>
      </c>
      <c r="AB127" s="36">
        <v>9.1260035451421178E-4</v>
      </c>
      <c r="AC127" s="36">
        <v>5.2163861017372757E-3</v>
      </c>
      <c r="AD127" s="36">
        <v>7.8524647705176395E-4</v>
      </c>
      <c r="AE127" s="36">
        <v>1.9655628199255434E-3</v>
      </c>
      <c r="AF127" s="36">
        <v>3.9096046271260953E-4</v>
      </c>
      <c r="AG127" s="36">
        <v>2.7908441540780119E-3</v>
      </c>
      <c r="AH127" s="36">
        <v>2.0627347734659945E-3</v>
      </c>
      <c r="AI127" s="36">
        <v>2.1322780472611573E-3</v>
      </c>
      <c r="AJ127" s="36">
        <v>1.0069406943467765E-3</v>
      </c>
      <c r="AK127" s="36">
        <v>1.2558324347842246E-3</v>
      </c>
      <c r="AL127" s="36">
        <v>1.3815596682009155E-3</v>
      </c>
      <c r="AM127" s="36">
        <v>2.885434416987875E-2</v>
      </c>
      <c r="AN127" s="36">
        <v>1.0623540704469264E-3</v>
      </c>
      <c r="AO127" s="36">
        <v>9.5883669611950624E-4</v>
      </c>
    </row>
    <row r="128" spans="1:41">
      <c r="A128" s="35" t="s">
        <v>140</v>
      </c>
      <c r="B128" s="36">
        <v>5.5150116604192004E-4</v>
      </c>
      <c r="C128" s="36">
        <v>2.6113448271692546E-4</v>
      </c>
      <c r="D128" s="36">
        <v>-2.0987031203142291E-4</v>
      </c>
      <c r="E128" s="36">
        <v>4.5705903703283589E-4</v>
      </c>
      <c r="F128" s="36">
        <v>3.1625956894583993E-4</v>
      </c>
      <c r="G128" s="36">
        <v>6.2111298093691465E-4</v>
      </c>
      <c r="H128" s="36">
        <v>7.0451583296763905E-4</v>
      </c>
      <c r="I128" s="36">
        <v>1.3432718004699673E-3</v>
      </c>
      <c r="J128" s="36">
        <v>8.4353322508304675E-4</v>
      </c>
      <c r="K128" s="36">
        <v>3.7706973285503648E-4</v>
      </c>
      <c r="L128" s="36">
        <v>5.3317964029869075E-4</v>
      </c>
      <c r="M128" s="36">
        <v>2.1435903406871458E-4</v>
      </c>
      <c r="N128" s="36">
        <v>7.6546958737012775E-4</v>
      </c>
      <c r="O128" s="36">
        <v>9.8968254519439481E-4</v>
      </c>
      <c r="P128" s="36">
        <v>1.1039859333355562E-3</v>
      </c>
      <c r="Q128" s="36">
        <v>7.8702877353413697E-4</v>
      </c>
      <c r="R128" s="36">
        <v>2.2057534281955705E-3</v>
      </c>
      <c r="S128" s="36">
        <v>3.7081695359803923E-4</v>
      </c>
      <c r="T128" s="36">
        <v>1.0503928203382876E-3</v>
      </c>
      <c r="U128" s="36">
        <v>2.4826491314249178E-3</v>
      </c>
      <c r="V128" s="36">
        <v>1.0453516757446201E-3</v>
      </c>
      <c r="W128" s="36">
        <v>1.2466771168563591E-3</v>
      </c>
      <c r="X128" s="36">
        <v>1.3578043423740592E-3</v>
      </c>
      <c r="Y128" s="36">
        <v>5.9766323607874294E-4</v>
      </c>
      <c r="Z128" s="36">
        <v>3.5422326265333823E-4</v>
      </c>
      <c r="AA128" s="36">
        <v>6.6737148845543272E-4</v>
      </c>
      <c r="AB128" s="36">
        <v>6.9566433408289104E-4</v>
      </c>
      <c r="AC128" s="36">
        <v>3.0418354919463494E-4</v>
      </c>
      <c r="AD128" s="36">
        <v>2.3379818244939575E-4</v>
      </c>
      <c r="AE128" s="36">
        <v>1.013967936530374E-3</v>
      </c>
      <c r="AF128" s="36">
        <v>7.5491684908254126E-4</v>
      </c>
      <c r="AG128" s="36">
        <v>1.0183138638730951E-3</v>
      </c>
      <c r="AH128" s="36">
        <v>1.1004487098064163E-3</v>
      </c>
      <c r="AI128" s="36">
        <v>1.0494677404659827E-3</v>
      </c>
      <c r="AJ128" s="36">
        <v>1.1663123863502468E-3</v>
      </c>
      <c r="AK128" s="36">
        <v>5.8109180614550034E-4</v>
      </c>
      <c r="AL128" s="36">
        <v>6.8284413626811848E-4</v>
      </c>
      <c r="AM128" s="36">
        <v>1.0623540704469264E-3</v>
      </c>
      <c r="AN128" s="36">
        <v>5.6007421868388939E-3</v>
      </c>
      <c r="AO128" s="36">
        <v>4.8939377797130171E-4</v>
      </c>
    </row>
    <row r="129" spans="1:41">
      <c r="A129" s="35" t="s">
        <v>142</v>
      </c>
      <c r="B129" s="36">
        <v>6.4259519367574497E-4</v>
      </c>
      <c r="C129" s="36">
        <v>5.6792838607029184E-5</v>
      </c>
      <c r="D129" s="36">
        <v>2.4473040674908755E-5</v>
      </c>
      <c r="E129" s="36">
        <v>3.712210009120438E-4</v>
      </c>
      <c r="F129" s="36">
        <v>9.3231922858894232E-5</v>
      </c>
      <c r="G129" s="36">
        <v>6.4784078722294515E-4</v>
      </c>
      <c r="H129" s="36">
        <v>8.6723176426551361E-4</v>
      </c>
      <c r="I129" s="36">
        <v>5.2354924851443353E-4</v>
      </c>
      <c r="J129" s="36">
        <v>4.1387769299299317E-4</v>
      </c>
      <c r="K129" s="36">
        <v>1.1101582409017872E-3</v>
      </c>
      <c r="L129" s="36">
        <v>-1.0433458369254495E-3</v>
      </c>
      <c r="M129" s="36">
        <v>1.9646940582599858E-5</v>
      </c>
      <c r="N129" s="36">
        <v>4.2057924038003079E-4</v>
      </c>
      <c r="O129" s="36">
        <v>3.2910887737195145E-4</v>
      </c>
      <c r="P129" s="36">
        <v>9.3884350519493338E-4</v>
      </c>
      <c r="Q129" s="36">
        <v>1.020084973537763E-4</v>
      </c>
      <c r="R129" s="36">
        <v>5.1031197998277348E-4</v>
      </c>
      <c r="S129" s="36">
        <v>7.2387188689270181E-4</v>
      </c>
      <c r="T129" s="36">
        <v>1.4667775777133139E-3</v>
      </c>
      <c r="U129" s="36">
        <v>3.0598406901480708E-4</v>
      </c>
      <c r="V129" s="36">
        <v>1.2591524138944334E-3</v>
      </c>
      <c r="W129" s="36">
        <v>8.7155498051581163E-4</v>
      </c>
      <c r="X129" s="36">
        <v>1.0469475926942579E-3</v>
      </c>
      <c r="Y129" s="36">
        <v>2.2905474692458843E-3</v>
      </c>
      <c r="Z129" s="36">
        <v>8.5143849144504562E-4</v>
      </c>
      <c r="AA129" s="36">
        <v>8.1029573402904506E-4</v>
      </c>
      <c r="AB129" s="36">
        <v>-6.4260234347513655E-5</v>
      </c>
      <c r="AC129" s="36">
        <v>4.6392170830222628E-3</v>
      </c>
      <c r="AD129" s="36">
        <v>4.3697495084297973E-4</v>
      </c>
      <c r="AE129" s="36">
        <v>9.7672783055820136E-4</v>
      </c>
      <c r="AF129" s="36">
        <v>4.9455065812296093E-4</v>
      </c>
      <c r="AG129" s="36">
        <v>1.5344682844555552E-3</v>
      </c>
      <c r="AH129" s="36">
        <v>2.130143824145289E-3</v>
      </c>
      <c r="AI129" s="36">
        <v>1.9798975051025587E-3</v>
      </c>
      <c r="AJ129" s="36">
        <v>2.9086962401617122E-3</v>
      </c>
      <c r="AK129" s="36">
        <v>1.5955541905662014E-3</v>
      </c>
      <c r="AL129" s="36">
        <v>2.1869835235341084E-3</v>
      </c>
      <c r="AM129" s="36">
        <v>9.5883669611950624E-4</v>
      </c>
      <c r="AN129" s="36">
        <v>4.8939377797130171E-4</v>
      </c>
      <c r="AO129" s="36">
        <v>9.633373525950421E-3</v>
      </c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2</vt:i4>
      </vt:variant>
    </vt:vector>
  </HeadingPairs>
  <TitlesOfParts>
    <vt:vector size="12" baseType="lpstr">
      <vt:lpstr>Data</vt:lpstr>
      <vt:lpstr>Original Correlation</vt:lpstr>
      <vt:lpstr>Correlation Matrix(Selected)</vt:lpstr>
      <vt:lpstr>Variance Covariance matrix </vt:lpstr>
      <vt:lpstr>Single-Index Variance-Covarianc</vt:lpstr>
      <vt:lpstr>Constant Correlation Model</vt:lpstr>
      <vt:lpstr>Shrinkage Matrix</vt:lpstr>
      <vt:lpstr> Short Sale </vt:lpstr>
      <vt:lpstr>Black Litterman</vt:lpstr>
      <vt:lpstr>3 opinions changed</vt:lpstr>
      <vt:lpstr>tracking</vt:lpstr>
      <vt:lpstr>varcov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1</cp:lastModifiedBy>
  <dcterms:created xsi:type="dcterms:W3CDTF">2012-07-05T14:21:51Z</dcterms:created>
  <dcterms:modified xsi:type="dcterms:W3CDTF">2021-10-08T13:50:45Z</dcterms:modified>
</cp:coreProperties>
</file>