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060" windowHeight="12020" firstSheet="6" activeTab="9"/>
  </bookViews>
  <sheets>
    <sheet name="Data" sheetId="26" r:id="rId1"/>
    <sheet name="Original Correlation" sheetId="27" r:id="rId2"/>
    <sheet name="Correlation Matrix(Selected)" sheetId="29" r:id="rId3"/>
    <sheet name="Variance Covariance matrix " sheetId="30" r:id="rId4"/>
    <sheet name="Single-Index Variance-Covarianc" sheetId="31" r:id="rId5"/>
    <sheet name="Constant Correlation Model" sheetId="32" r:id="rId6"/>
    <sheet name="Shrinkage Matrix" sheetId="33" r:id="rId7"/>
    <sheet name="No Short Sale Constrains" sheetId="34" r:id="rId8"/>
    <sheet name="Black Litterman" sheetId="36" r:id="rId9"/>
    <sheet name="3 opinions changed" sheetId="37" r:id="rId10"/>
  </sheets>
  <externalReferences>
    <externalReference r:id="rId11"/>
  </externalReferences>
  <definedNames>
    <definedName name="_xlnm._FilterDatabase" localSheetId="6" hidden="1">'Shrinkage Matrix'!#REF!</definedName>
    <definedName name="means">'[1]Questions 1-3'!$M$4:$M$13</definedName>
    <definedName name="port1">#REF!</definedName>
    <definedName name="port2">#REF!</definedName>
    <definedName name="solver_adj" localSheetId="7" hidden="1">'No Short Sale Constrains'!$F$49:$F$88</definedName>
    <definedName name="solver_cvg" localSheetId="7" hidden="1">0.0001</definedName>
    <definedName name="solver_drv" localSheetId="7" hidden="1">1</definedName>
    <definedName name="solver_eng" localSheetId="7" hidden="1">1</definedName>
    <definedName name="solver_itr" localSheetId="7" hidden="1">2147483647</definedName>
    <definedName name="solver_lhs1" localSheetId="7" hidden="1">'No Short Sale Constrains'!$F$49:$F$88</definedName>
    <definedName name="solver_lhs2" localSheetId="7" hidden="1">'No Short Sale Constrains'!$F$89</definedName>
    <definedName name="solver_lin" localSheetId="7" hidden="1">2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2</definedName>
    <definedName name="solver_opt" localSheetId="7" hidden="1">'No Short Sale Constrains'!$B$94</definedName>
    <definedName name="solver_pre" localSheetId="7" hidden="1">0.000001</definedName>
    <definedName name="solver_rbv" localSheetId="7" hidden="1">1</definedName>
    <definedName name="solver_rel1" localSheetId="7" hidden="1">3</definedName>
    <definedName name="solver_rel2" localSheetId="7" hidden="1">2</definedName>
    <definedName name="solver_rhs1" localSheetId="7" hidden="1">0.005</definedName>
    <definedName name="solver_rhs2" localSheetId="7" hidden="1">1</definedName>
    <definedName name="solver_rlx" localSheetId="7" hidden="1">1</definedName>
    <definedName name="solver_rsd" localSheetId="7" hidden="1">0</definedName>
    <definedName name="solver_scl" localSheetId="7" hidden="1">2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1</definedName>
    <definedName name="solver_val" localSheetId="7" hidden="1">0</definedName>
    <definedName name="solver_ver" localSheetId="7" hidden="1">2</definedName>
    <definedName name="tracking">'3 opinions changed'!$B$4:$AO$43</definedName>
    <definedName name="varcov">'3 opinions changed'!$B$90:$AO$129</definedName>
  </definedNames>
  <calcPr calcId="144525" iterate="1" iterateCount="100" iterateDelta="0.001"/>
</workbook>
</file>

<file path=xl/sharedStrings.xml><?xml version="1.0" encoding="utf-8"?>
<sst xmlns="http://schemas.openxmlformats.org/spreadsheetml/2006/main" count="175">
  <si>
    <t>Price</t>
  </si>
  <si>
    <t>Date</t>
  </si>
  <si>
    <t>JNJ</t>
  </si>
  <si>
    <t>PFE</t>
  </si>
  <si>
    <t>LLY</t>
  </si>
  <si>
    <t>ABBV</t>
  </si>
  <si>
    <t>MRK</t>
  </si>
  <si>
    <t>AMGN</t>
  </si>
  <si>
    <t>BMY</t>
  </si>
  <si>
    <t>TMO</t>
  </si>
  <si>
    <t>ILMN</t>
  </si>
  <si>
    <t>IDXX</t>
  </si>
  <si>
    <t>DXCM</t>
  </si>
  <si>
    <t>A</t>
  </si>
  <si>
    <t>IQV</t>
  </si>
  <si>
    <t>MTD</t>
  </si>
  <si>
    <t>UNH</t>
  </si>
  <si>
    <t>CVS</t>
  </si>
  <si>
    <t>ANTM</t>
  </si>
  <si>
    <t>REGN</t>
  </si>
  <si>
    <t>ABT</t>
  </si>
  <si>
    <t>MDT</t>
  </si>
  <si>
    <t>SYK</t>
  </si>
  <si>
    <t>CTLT</t>
  </si>
  <si>
    <t>ZTS</t>
  </si>
  <si>
    <t>VTRS</t>
  </si>
  <si>
    <t>BDX</t>
  </si>
  <si>
    <t>ISRG</t>
  </si>
  <si>
    <t>RMD</t>
  </si>
  <si>
    <t>BAX</t>
  </si>
  <si>
    <t>MSFT</t>
  </si>
  <si>
    <t>ADBE</t>
  </si>
  <si>
    <t>ORCL</t>
  </si>
  <si>
    <t>SNPS</t>
  </si>
  <si>
    <t>FTNT</t>
  </si>
  <si>
    <t>VRSN</t>
  </si>
  <si>
    <t>AKAM</t>
  </si>
  <si>
    <t>NLOK</t>
  </si>
  <si>
    <t>FFIV</t>
  </si>
  <si>
    <t>NVDA</t>
  </si>
  <si>
    <t>INTC</t>
  </si>
  <si>
    <t>AVGO</t>
  </si>
  <si>
    <t>TXN</t>
  </si>
  <si>
    <t>QCOM</t>
  </si>
  <si>
    <t>AMD</t>
  </si>
  <si>
    <t>MU</t>
  </si>
  <si>
    <t>ADI</t>
  </si>
  <si>
    <t>NXPI</t>
  </si>
  <si>
    <t>MCHP</t>
  </si>
  <si>
    <t>XLNX</t>
  </si>
  <si>
    <t>SWKS</t>
  </si>
  <si>
    <t>AAPL</t>
  </si>
  <si>
    <t>CRM</t>
  </si>
  <si>
    <t>NOW</t>
  </si>
  <si>
    <t>GRMN</t>
  </si>
  <si>
    <t>KEYS</t>
  </si>
  <si>
    <t>FTV</t>
  </si>
  <si>
    <t>HPQ</t>
  </si>
  <si>
    <t>IBM</t>
  </si>
  <si>
    <t>AMZN</t>
  </si>
  <si>
    <t>EBAY</t>
  </si>
  <si>
    <t>ETSY</t>
  </si>
  <si>
    <t>GM</t>
  </si>
  <si>
    <t>MCD</t>
  </si>
  <si>
    <t>SBUX</t>
  </si>
  <si>
    <t>DRI</t>
  </si>
  <si>
    <t>NKE</t>
  </si>
  <si>
    <t>HD</t>
  </si>
  <si>
    <t>PKG</t>
  </si>
  <si>
    <t>BLL</t>
  </si>
  <si>
    <t>AMCR</t>
  </si>
  <si>
    <t>BKNG</t>
  </si>
  <si>
    <t>CCL</t>
  </si>
  <si>
    <t>YUM</t>
  </si>
  <si>
    <t>DPZ</t>
  </si>
  <si>
    <t>BBWI</t>
  </si>
  <si>
    <t>TSCO</t>
  </si>
  <si>
    <t>AAP</t>
  </si>
  <si>
    <t>PG</t>
  </si>
  <si>
    <t>KO</t>
  </si>
  <si>
    <t>PEP</t>
  </si>
  <si>
    <t>PM</t>
  </si>
  <si>
    <t>UL</t>
  </si>
  <si>
    <t>DEO</t>
  </si>
  <si>
    <t>BUD</t>
  </si>
  <si>
    <t>EL</t>
  </si>
  <si>
    <t>MDLZ</t>
  </si>
  <si>
    <t>VTI</t>
  </si>
  <si>
    <t>CL</t>
  </si>
  <si>
    <t>KHC</t>
  </si>
  <si>
    <t>SYY</t>
  </si>
  <si>
    <t>HRL</t>
  </si>
  <si>
    <t>K</t>
  </si>
  <si>
    <t>MKC</t>
  </si>
  <si>
    <t>CHD</t>
  </si>
  <si>
    <t>CLX</t>
  </si>
  <si>
    <t>CPB</t>
  </si>
  <si>
    <t>NWL</t>
  </si>
  <si>
    <t>USFD</t>
  </si>
  <si>
    <t>PPC</t>
  </si>
  <si>
    <t>UPS</t>
  </si>
  <si>
    <t>FDX</t>
  </si>
  <si>
    <t>RLGT</t>
  </si>
  <si>
    <t>AIRT</t>
  </si>
  <si>
    <t>DSGX</t>
  </si>
  <si>
    <t>ECHO</t>
  </si>
  <si>
    <t>VRTV</t>
  </si>
  <si>
    <t>ARCB</t>
  </si>
  <si>
    <t>PANL</t>
  </si>
  <si>
    <t>ODFL</t>
  </si>
  <si>
    <t>HUBG</t>
  </si>
  <si>
    <t>DLHC</t>
  </si>
  <si>
    <t>PLXS</t>
  </si>
  <si>
    <t>XOM</t>
  </si>
  <si>
    <t>CVX</t>
  </si>
  <si>
    <t>COP</t>
  </si>
  <si>
    <t>PXD</t>
  </si>
  <si>
    <t>EOG</t>
  </si>
  <si>
    <t>HES</t>
  </si>
  <si>
    <t>OXY</t>
  </si>
  <si>
    <t>DVN</t>
  </si>
  <si>
    <t>FANG</t>
  </si>
  <si>
    <t>SLB</t>
  </si>
  <si>
    <t>BKR</t>
  </si>
  <si>
    <t>FTI</t>
  </si>
  <si>
    <t>NOV</t>
  </si>
  <si>
    <t>APA</t>
  </si>
  <si>
    <t>TSLA</t>
  </si>
  <si>
    <t>RACE</t>
  </si>
  <si>
    <t>MGA</t>
  </si>
  <si>
    <t>F</t>
  </si>
  <si>
    <t>GSPC</t>
  </si>
  <si>
    <t>Returns</t>
  </si>
  <si>
    <t>Average 
Returns</t>
  </si>
  <si>
    <t>Selected Stock</t>
  </si>
  <si>
    <t>Average</t>
  </si>
  <si>
    <t>Mrket Cap</t>
  </si>
  <si>
    <t>(billion $)</t>
  </si>
  <si>
    <t xml:space="preserve">Triangular Correlation </t>
  </si>
  <si>
    <t xml:space="preserve">Correlation Matrix </t>
  </si>
  <si>
    <t xml:space="preserve">Variance Covariance matrix </t>
  </si>
  <si>
    <t>SINGLE-INDEX VARIANCE-COVARIANCE MATRIX</t>
  </si>
  <si>
    <t>Constant Correlation Model</t>
  </si>
  <si>
    <t>constant</t>
  </si>
  <si>
    <t xml:space="preserve">Shrinkage method </t>
  </si>
  <si>
    <t xml:space="preserve">Shrinkage factor </t>
  </si>
  <si>
    <t>Shrinkage Matrix</t>
  </si>
  <si>
    <t>constant sample covariance matrix</t>
  </si>
  <si>
    <t>matrix with only variances on diagonal and zeros elsewhere</t>
  </si>
  <si>
    <t>Using the Shrinkage Matrix</t>
  </si>
  <si>
    <t>Mean</t>
  </si>
  <si>
    <t>Constant</t>
  </si>
  <si>
    <t>No short sale constrains</t>
  </si>
  <si>
    <t>No short sales</t>
  </si>
  <si>
    <t>Envelope portfolio</t>
  </si>
  <si>
    <t>Portfolio mean</t>
  </si>
  <si>
    <t>Portfolio sigma</t>
  </si>
  <si>
    <r>
      <rPr>
        <sz val="10"/>
        <rFont val="Symbol"/>
        <charset val="2"/>
      </rPr>
      <t xml:space="preserve">q </t>
    </r>
    <r>
      <rPr>
        <sz val="10"/>
        <rFont val="Arial"/>
        <charset val="134"/>
      </rPr>
      <t>= Theta = 
(mean-constant)/sigma</t>
    </r>
  </si>
  <si>
    <t xml:space="preserve">Applying Black-Litterman to the model </t>
  </si>
  <si>
    <t>Anticipated benchmark return</t>
  </si>
  <si>
    <t>⏤S&amp;P 500 Average</t>
  </si>
  <si>
    <t>Risk-free rate</t>
  </si>
  <si>
    <t>Normalizing factor</t>
  </si>
  <si>
    <t>Market cap (billion $)</t>
  </si>
  <si>
    <t>Benchmark proportions</t>
  </si>
  <si>
    <t>Variance-covariance matrix</t>
  </si>
  <si>
    <t>With normalizing factor</t>
  </si>
  <si>
    <t>Optimal portfolio</t>
  </si>
  <si>
    <t>Sum of proportions</t>
  </si>
  <si>
    <t>Tracking matrix</t>
  </si>
  <si>
    <t>Expected benchmark returns, no opinions</t>
  </si>
  <si>
    <r>
      <rPr>
        <sz val="10"/>
        <rFont val="Arial"/>
        <charset val="134"/>
      </rPr>
      <t xml:space="preserve">Analyst
opinion,
delta, </t>
    </r>
    <r>
      <rPr>
        <sz val="10"/>
        <rFont val="Symbol"/>
        <charset val="2"/>
      </rPr>
      <t>d</t>
    </r>
  </si>
  <si>
    <t>Monthly returns adjusted for opinions</t>
  </si>
  <si>
    <t>Opinion-adjusted optimized portfolio</t>
  </si>
  <si>
    <t>Portfolio
benchmark, no opinions</t>
  </si>
</sst>
</file>

<file path=xl/styles.xml><?xml version="1.0" encoding="utf-8"?>
<styleSheet xmlns="http://schemas.openxmlformats.org/spreadsheetml/2006/main">
  <numFmts count="9">
    <numFmt numFmtId="176" formatCode="0.000"/>
    <numFmt numFmtId="177" formatCode="yyyy\-mm\-dd;@"/>
    <numFmt numFmtId="178" formatCode="0.000%"/>
    <numFmt numFmtId="179" formatCode="_ * #,##0.00_ ;_ * \-#,##0.00_ ;_ * &quot;-&quot;??_ ;_ @_ "/>
    <numFmt numFmtId="44" formatCode="_(&quot;$&quot;* #,##0.00_);_(&quot;$&quot;* \(#,##0.00\);_(&quot;$&quot;* &quot;-&quot;??_);_(@_)"/>
    <numFmt numFmtId="180" formatCode="_ * #,##0_ ;_ * \-#,##0_ ;_ * &quot;-&quot;_ ;_ @_ "/>
    <numFmt numFmtId="42" formatCode="_(&quot;$&quot;* #,##0_);_(&quot;$&quot;* \(#,##0\);_(&quot;$&quot;* &quot;-&quot;_);_(@_)"/>
    <numFmt numFmtId="181" formatCode="[$-409]d\-mmm\-yy;@"/>
    <numFmt numFmtId="182" formatCode="0.0000"/>
  </numFmts>
  <fonts count="37">
    <font>
      <sz val="11"/>
      <color theme="1"/>
      <name val="Arial"/>
      <charset val="134"/>
    </font>
    <font>
      <b/>
      <sz val="16"/>
      <name val="Arial"/>
      <charset val="134"/>
    </font>
    <font>
      <sz val="10"/>
      <name val="Arial"/>
      <charset val="134"/>
    </font>
    <font>
      <b/>
      <sz val="10"/>
      <name val="Arial"/>
      <charset val="134"/>
    </font>
    <font>
      <b/>
      <sz val="22"/>
      <color theme="1"/>
      <name val="Arial"/>
      <charset val="134"/>
    </font>
    <font>
      <b/>
      <sz val="11"/>
      <color theme="1"/>
      <name val="Arial"/>
      <charset val="134"/>
    </font>
    <font>
      <sz val="14"/>
      <color theme="1"/>
      <name val="Arial"/>
      <charset val="134"/>
    </font>
    <font>
      <b/>
      <sz val="14"/>
      <color theme="1"/>
      <name val="Arial"/>
      <charset val="134"/>
    </font>
    <font>
      <b/>
      <sz val="11"/>
      <color rgb="FF000000"/>
      <name val="Calibri"/>
      <charset val="134"/>
      <scheme val="minor"/>
    </font>
    <font>
      <sz val="10"/>
      <name val="Symbol"/>
      <charset val="2"/>
    </font>
    <font>
      <b/>
      <sz val="22"/>
      <color theme="1"/>
      <name val="TimesNewRomanPSMT"/>
      <charset val="134"/>
    </font>
    <font>
      <b/>
      <sz val="11"/>
      <color rgb="FF000000"/>
      <name val="Calibri"/>
      <charset val="134"/>
      <scheme val="minor"/>
    </font>
    <font>
      <sz val="11"/>
      <color rgb="FF000000"/>
      <name val="Calibri"/>
      <charset val="134"/>
      <scheme val="minor"/>
    </font>
    <font>
      <b/>
      <sz val="28"/>
      <color theme="1"/>
      <name val="TimesNewRomanPSMT"/>
      <charset val="134"/>
    </font>
    <font>
      <sz val="11"/>
      <color rgb="FF000000"/>
      <name val="Calibri"/>
      <charset val="134"/>
      <scheme val="minor"/>
    </font>
    <font>
      <sz val="12"/>
      <color rgb="FF000000"/>
      <name val="Calibri"/>
      <charset val="134"/>
    </font>
    <font>
      <sz val="11"/>
      <color theme="0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theme="1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theme="1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1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5">
    <xf numFmtId="181" fontId="0" fillId="0" borderId="0"/>
    <xf numFmtId="9" fontId="32" fillId="0" borderId="0" applyFont="0" applyFill="0" applyBorder="0" applyAlignment="0" applyProtection="0"/>
    <xf numFmtId="181" fontId="32" fillId="0" borderId="0"/>
    <xf numFmtId="181" fontId="32" fillId="0" borderId="0"/>
    <xf numFmtId="0" fontId="16" fillId="28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2" fillId="0" borderId="0"/>
    <xf numFmtId="0" fontId="18" fillId="6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9" fontId="32" fillId="0" borderId="0" applyFont="0" applyFill="0" applyBorder="0" applyAlignment="0" applyProtection="0"/>
    <xf numFmtId="0" fontId="16" fillId="11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23" fillId="0" borderId="3" applyNumberFormat="0" applyFill="0" applyAlignment="0" applyProtection="0">
      <alignment vertical="center"/>
    </xf>
    <xf numFmtId="0" fontId="27" fillId="4" borderId="5" applyNumberFormat="0" applyAlignment="0" applyProtection="0">
      <alignment vertical="center"/>
    </xf>
    <xf numFmtId="44" fontId="21" fillId="0" borderId="0" applyFont="0" applyFill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21" fillId="12" borderId="7" applyNumberFormat="0" applyFont="0" applyAlignment="0" applyProtection="0">
      <alignment vertical="center"/>
    </xf>
    <xf numFmtId="0" fontId="34" fillId="23" borderId="2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2" fillId="4" borderId="2" applyNumberFormat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5" fillId="0" borderId="4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4" fillId="0" borderId="1" applyNumberFormat="0" applyFill="0" applyAlignment="0" applyProtection="0">
      <alignment vertical="center"/>
    </xf>
    <xf numFmtId="180" fontId="21" fillId="0" borderId="0" applyFont="0" applyFill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42" fontId="2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9" fontId="2" fillId="0" borderId="0" applyFont="0" applyFill="0" applyBorder="0" applyAlignment="0" applyProtection="0"/>
    <xf numFmtId="0" fontId="20" fillId="0" borderId="0" applyNumberFormat="0" applyFill="0" applyBorder="0" applyAlignment="0" applyProtection="0">
      <alignment vertical="center"/>
    </xf>
    <xf numFmtId="0" fontId="17" fillId="0" borderId="1" applyNumberFormat="0" applyFill="0" applyAlignment="0" applyProtection="0">
      <alignment vertical="center"/>
    </xf>
    <xf numFmtId="179" fontId="21" fillId="0" borderId="0" applyFont="0" applyFill="0" applyBorder="0" applyAlignment="0" applyProtection="0">
      <alignment vertical="center"/>
    </xf>
    <xf numFmtId="0" fontId="33" fillId="18" borderId="8" applyNumberFormat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9" fontId="0" fillId="0" borderId="0" applyFont="0" applyFill="0" applyBorder="0" applyAlignment="0" applyProtection="0"/>
  </cellStyleXfs>
  <cellXfs count="38">
    <xf numFmtId="181" fontId="0" fillId="0" borderId="0" xfId="0"/>
    <xf numFmtId="181" fontId="1" fillId="0" borderId="0" xfId="0" applyFont="1"/>
    <xf numFmtId="0" fontId="0" fillId="0" borderId="0" xfId="0" applyNumberFormat="1"/>
    <xf numFmtId="1" fontId="0" fillId="0" borderId="0" xfId="0" applyNumberFormat="1"/>
    <xf numFmtId="182" fontId="0" fillId="0" borderId="0" xfId="0" applyNumberFormat="1"/>
    <xf numFmtId="181" fontId="0" fillId="0" borderId="0" xfId="0" applyAlignment="1">
      <alignment horizontal="center" vertical="center" wrapText="1"/>
    </xf>
    <xf numFmtId="181" fontId="2" fillId="0" borderId="0" xfId="0" applyFont="1" applyAlignment="1">
      <alignment horizontal="center" vertical="center" wrapText="1"/>
    </xf>
    <xf numFmtId="178" fontId="0" fillId="0" borderId="0" xfId="54" applyNumberFormat="1" applyFont="1"/>
    <xf numFmtId="9" fontId="0" fillId="0" borderId="0" xfId="54" applyFont="1"/>
    <xf numFmtId="10" fontId="0" fillId="0" borderId="0" xfId="54" applyNumberFormat="1" applyFont="1"/>
    <xf numFmtId="181" fontId="3" fillId="0" borderId="0" xfId="0" applyFont="1" applyAlignment="1">
      <alignment horizontal="center" vertical="center" wrapText="1"/>
    </xf>
    <xf numFmtId="0" fontId="0" fillId="0" borderId="0" xfId="54" applyNumberFormat="1" applyFont="1"/>
    <xf numFmtId="182" fontId="0" fillId="0" borderId="0" xfId="54" applyNumberFormat="1" applyFont="1"/>
    <xf numFmtId="181" fontId="4" fillId="0" borderId="0" xfId="0" applyFont="1" applyAlignment="1">
      <alignment vertical="center"/>
    </xf>
    <xf numFmtId="181" fontId="0" fillId="0" borderId="0" xfId="0" applyFill="1"/>
    <xf numFmtId="176" fontId="0" fillId="0" borderId="0" xfId="0" applyNumberFormat="1"/>
    <xf numFmtId="176" fontId="0" fillId="0" borderId="0" xfId="54" applyNumberFormat="1" applyFont="1"/>
    <xf numFmtId="181" fontId="3" fillId="0" borderId="0" xfId="0" applyFont="1"/>
    <xf numFmtId="181" fontId="5" fillId="0" borderId="0" xfId="0" applyFont="1" applyAlignment="1">
      <alignment horizontal="center" wrapText="1"/>
    </xf>
    <xf numFmtId="181" fontId="5" fillId="0" borderId="0" xfId="0" applyFont="1" applyFill="1" applyAlignment="1">
      <alignment horizontal="center" wrapText="1"/>
    </xf>
    <xf numFmtId="181" fontId="6" fillId="0" borderId="0" xfId="0" applyFont="1"/>
    <xf numFmtId="181" fontId="7" fillId="0" borderId="0" xfId="0" applyFont="1"/>
    <xf numFmtId="181" fontId="8" fillId="0" borderId="0" xfId="0" applyFont="1"/>
    <xf numFmtId="181" fontId="0" fillId="0" borderId="0" xfId="0" applyAlignment="1">
      <alignment wrapText="1"/>
    </xf>
    <xf numFmtId="181" fontId="9" fillId="0" borderId="0" xfId="0" applyFont="1" applyFill="1" applyAlignment="1">
      <alignment horizontal="left" wrapText="1"/>
    </xf>
    <xf numFmtId="0" fontId="3" fillId="0" borderId="0" xfId="21" applyFont="1" applyFill="1" applyAlignment="1">
      <alignment horizontal="center"/>
    </xf>
    <xf numFmtId="181" fontId="10" fillId="0" borderId="0" xfId="0" applyFont="1"/>
    <xf numFmtId="181" fontId="11" fillId="0" borderId="0" xfId="0" applyFont="1"/>
    <xf numFmtId="181" fontId="12" fillId="0" borderId="0" xfId="0" applyFont="1"/>
    <xf numFmtId="181" fontId="5" fillId="0" borderId="0" xfId="0" applyFont="1"/>
    <xf numFmtId="181" fontId="13" fillId="0" borderId="0" xfId="0" applyFont="1"/>
    <xf numFmtId="181" fontId="14" fillId="0" borderId="0" xfId="0" applyFont="1"/>
    <xf numFmtId="177" fontId="14" fillId="0" borderId="0" xfId="0" applyNumberFormat="1" applyFont="1"/>
    <xf numFmtId="176" fontId="14" fillId="0" borderId="0" xfId="0" applyNumberFormat="1" applyFont="1"/>
    <xf numFmtId="0" fontId="15" fillId="0" borderId="0" xfId="0" applyNumberFormat="1" applyFont="1"/>
    <xf numFmtId="0" fontId="14" fillId="0" borderId="0" xfId="0" applyNumberFormat="1" applyFont="1"/>
    <xf numFmtId="10" fontId="7" fillId="0" borderId="0" xfId="54" applyNumberFormat="1" applyFont="1" applyAlignment="1">
      <alignment horizontal="center" vertical="center" wrapText="1"/>
    </xf>
    <xf numFmtId="181" fontId="14" fillId="0" borderId="0" xfId="0" applyFont="1" applyFill="1"/>
  </cellXfs>
  <cellStyles count="55">
    <cellStyle name="Normal" xfId="0" builtinId="0"/>
    <cellStyle name="Percent 2" xfId="1"/>
    <cellStyle name="Normal 2 2" xfId="2"/>
    <cellStyle name="Normal 2" xfId="3"/>
    <cellStyle name="60% - Accent6" xfId="4" builtinId="52"/>
    <cellStyle name="40% - Accent6" xfId="5" builtinId="51"/>
    <cellStyle name="60% - Accent5" xfId="6" builtinId="48"/>
    <cellStyle name="Accent6" xfId="7" builtinId="49"/>
    <cellStyle name="40% - Accent5" xfId="8" builtinId="47"/>
    <cellStyle name="20% - Accent5" xfId="9" builtinId="46"/>
    <cellStyle name="60% - Accent4" xfId="10" builtinId="44"/>
    <cellStyle name="Accent5" xfId="11" builtinId="45"/>
    <cellStyle name="40% - Accent4" xfId="12" builtinId="43"/>
    <cellStyle name="Accent4" xfId="13" builtinId="41"/>
    <cellStyle name="Linked Cell" xfId="14" builtinId="24"/>
    <cellStyle name="40% - Accent3" xfId="15" builtinId="39"/>
    <cellStyle name="60% - Accent2" xfId="16" builtinId="36"/>
    <cellStyle name="Accent3" xfId="17" builtinId="37"/>
    <cellStyle name="40% - Accent2" xfId="18" builtinId="35"/>
    <cellStyle name="Accent2" xfId="19" builtinId="33"/>
    <cellStyle name="40% - Accent1" xfId="20" builtinId="31"/>
    <cellStyle name="Normal 3" xfId="21"/>
    <cellStyle name="20% - Accent1" xfId="22" builtinId="30"/>
    <cellStyle name="Accent1" xfId="23" builtinId="29"/>
    <cellStyle name="Neutral" xfId="24" builtinId="28"/>
    <cellStyle name="Percent 2 2" xfId="25"/>
    <cellStyle name="60% - Accent1" xfId="26" builtinId="32"/>
    <cellStyle name="Bad" xfId="27" builtinId="27"/>
    <cellStyle name="20% - Accent4" xfId="28" builtinId="42"/>
    <cellStyle name="Total" xfId="29" builtinId="25"/>
    <cellStyle name="Output" xfId="30" builtinId="21"/>
    <cellStyle name="Currency" xfId="31" builtinId="4"/>
    <cellStyle name="20% - Accent3" xfId="32" builtinId="38"/>
    <cellStyle name="Note" xfId="33" builtinId="10"/>
    <cellStyle name="Input" xfId="34" builtinId="20"/>
    <cellStyle name="Heading 4" xfId="35" builtinId="19"/>
    <cellStyle name="Calculation" xfId="36" builtinId="22"/>
    <cellStyle name="Good" xfId="37" builtinId="26"/>
    <cellStyle name="Heading 3" xfId="38" builtinId="18"/>
    <cellStyle name="CExplanatory Text" xfId="39" builtinId="53"/>
    <cellStyle name="Heading 1" xfId="40" builtinId="16"/>
    <cellStyle name="Comma [0]" xfId="41" builtinId="6"/>
    <cellStyle name="20% - Accent6" xfId="42" builtinId="50"/>
    <cellStyle name="Title" xfId="43" builtinId="15"/>
    <cellStyle name="Currency [0]" xfId="44" builtinId="7"/>
    <cellStyle name="Warning Text" xfId="45" builtinId="11"/>
    <cellStyle name="Followed Hyperlink" xfId="46" builtinId="9"/>
    <cellStyle name="20% - Accent2" xfId="47" builtinId="34"/>
    <cellStyle name="Percent 3" xfId="48"/>
    <cellStyle name="Link" xfId="49" builtinId="8"/>
    <cellStyle name="Heading 2" xfId="50" builtinId="17"/>
    <cellStyle name="Comma" xfId="51" builtinId="3"/>
    <cellStyle name="Check Cell" xfId="52" builtinId="23"/>
    <cellStyle name="60% - Accent3" xfId="53" builtinId="40"/>
    <cellStyle name="Percent" xfId="54" builtinId="5"/>
  </cellStyles>
  <dxfs count="4"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none"/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zhongmeiru/Desktop/brandeis/2021-2022 term/2021 Fall/FIN 218F Portfolio Finance/Homework/Endowment/C:/Simon/WORK/FM4/FM4BOOK/2FM4Portfolio/UVA homework for chap10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rice data"/>
      <sheetName val="Return data"/>
      <sheetName val="Var-cov, correlation matrices"/>
      <sheetName val="Questions 1-3"/>
      <sheetName val="Questions 1-3 template"/>
      <sheetName val="Additional"/>
      <sheetName val="Non-neg portfolios"/>
      <sheetName val="Non-neg portfolios (2)"/>
      <sheetName val="Question4 answer"/>
      <sheetName val="Question4 template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EA194"/>
  <sheetViews>
    <sheetView zoomScale="50" zoomScaleNormal="50" topLeftCell="A49" workbookViewId="0">
      <selection activeCell="DZ2" sqref="DZ2"/>
    </sheetView>
  </sheetViews>
  <sheetFormatPr defaultColWidth="11" defaultRowHeight="13.2"/>
  <cols>
    <col min="1" max="1" width="12.5" customWidth="1"/>
    <col min="2" max="2" width="11.1640625" customWidth="1"/>
    <col min="3" max="3" width="11" customWidth="1"/>
    <col min="4" max="5" width="11.1640625" customWidth="1"/>
    <col min="6" max="6" width="11" customWidth="1"/>
    <col min="7" max="7" width="11.1640625" customWidth="1"/>
    <col min="8" max="8" width="11" customWidth="1"/>
    <col min="9" max="14" width="11.1640625" customWidth="1"/>
    <col min="15" max="15" width="12.1640625" customWidth="1"/>
    <col min="16" max="16" width="11.1640625" customWidth="1"/>
    <col min="17" max="17" width="11" customWidth="1"/>
    <col min="18" max="24" width="11.1640625" customWidth="1"/>
    <col min="25" max="25" width="11" customWidth="1"/>
    <col min="26" max="26" width="11.1640625" customWidth="1"/>
    <col min="27" max="27" width="12.1640625" customWidth="1"/>
    <col min="28" max="28" width="11.1640625" customWidth="1"/>
    <col min="29" max="29" width="11" customWidth="1"/>
    <col min="30" max="31" width="11.1640625" customWidth="1"/>
    <col min="32" max="32" width="11" customWidth="1"/>
    <col min="33" max="36" width="11.1640625" customWidth="1"/>
    <col min="37" max="37" width="11" customWidth="1"/>
    <col min="38" max="39" width="11.1640625" customWidth="1"/>
    <col min="40" max="40" width="11" customWidth="1"/>
    <col min="41" max="44" width="11.1640625" customWidth="1"/>
    <col min="45" max="45" width="11" customWidth="1"/>
    <col min="46" max="55" width="11.1640625" customWidth="1"/>
    <col min="56" max="57" width="11" customWidth="1"/>
    <col min="58" max="58" width="11.1640625" customWidth="1"/>
    <col min="59" max="59" width="12.1640625" customWidth="1"/>
    <col min="60" max="60" width="11" customWidth="1"/>
    <col min="61" max="61" width="11.1640625" customWidth="1"/>
    <col min="62" max="62" width="11" customWidth="1"/>
    <col min="63" max="68" width="11.1640625" customWidth="1"/>
    <col min="69" max="70" width="11" customWidth="1"/>
    <col min="71" max="71" width="12.1640625" customWidth="1"/>
    <col min="72" max="72" width="11" customWidth="1"/>
    <col min="73" max="73" width="10.5" customWidth="1"/>
    <col min="74" max="74" width="11.1640625" customWidth="1"/>
    <col min="75" max="75" width="11" customWidth="1"/>
    <col min="76" max="78" width="11.1640625" customWidth="1"/>
    <col min="79" max="79" width="11" customWidth="1"/>
    <col min="80" max="81" width="11.1640625" customWidth="1"/>
    <col min="82" max="82" width="11" customWidth="1"/>
    <col min="83" max="85" width="11.1640625" customWidth="1"/>
    <col min="86" max="86" width="11" customWidth="1"/>
    <col min="87" max="87" width="11.1640625" customWidth="1"/>
    <col min="88" max="92" width="11" customWidth="1"/>
    <col min="93" max="93" width="11.1640625" customWidth="1"/>
    <col min="94" max="94" width="11" customWidth="1"/>
    <col min="95" max="95" width="11.1640625" customWidth="1"/>
    <col min="96" max="99" width="11" customWidth="1"/>
    <col min="100" max="101" width="11.1640625" customWidth="1"/>
    <col min="102" max="108" width="11" customWidth="1"/>
    <col min="109" max="109" width="11.1640625" customWidth="1"/>
    <col min="110" max="113" width="11" customWidth="1"/>
    <col min="114" max="114" width="11.1640625" customWidth="1"/>
    <col min="115" max="115" width="11" customWidth="1"/>
    <col min="116" max="117" width="11.1640625" customWidth="1"/>
    <col min="118" max="120" width="11" customWidth="1"/>
    <col min="121" max="121" width="11.1640625" customWidth="1"/>
    <col min="122" max="126" width="11" customWidth="1"/>
    <col min="127" max="128" width="11.1640625" customWidth="1"/>
    <col min="129" max="130" width="11" customWidth="1"/>
  </cols>
  <sheetData>
    <row r="1" ht="25.2" spans="1:1">
      <c r="A1" s="26" t="s">
        <v>0</v>
      </c>
    </row>
    <row r="2" ht="14" spans="1:131">
      <c r="A2" s="31" t="s">
        <v>1</v>
      </c>
      <c r="B2" s="31" t="s">
        <v>2</v>
      </c>
      <c r="C2" s="31" t="s">
        <v>3</v>
      </c>
      <c r="D2" s="31" t="s">
        <v>4</v>
      </c>
      <c r="E2" s="31" t="s">
        <v>5</v>
      </c>
      <c r="F2" s="31" t="s">
        <v>6</v>
      </c>
      <c r="G2" s="31" t="s">
        <v>7</v>
      </c>
      <c r="H2" s="31" t="s">
        <v>8</v>
      </c>
      <c r="I2" s="31" t="s">
        <v>9</v>
      </c>
      <c r="J2" s="31" t="s">
        <v>10</v>
      </c>
      <c r="K2" s="31" t="s">
        <v>11</v>
      </c>
      <c r="L2" s="31" t="s">
        <v>12</v>
      </c>
      <c r="M2" s="31" t="s">
        <v>13</v>
      </c>
      <c r="N2" s="31" t="s">
        <v>14</v>
      </c>
      <c r="O2" s="31" t="s">
        <v>15</v>
      </c>
      <c r="P2" s="31" t="s">
        <v>16</v>
      </c>
      <c r="Q2" s="31" t="s">
        <v>17</v>
      </c>
      <c r="R2" s="31" t="s">
        <v>18</v>
      </c>
      <c r="S2" s="31" t="s">
        <v>19</v>
      </c>
      <c r="T2" s="31" t="s">
        <v>20</v>
      </c>
      <c r="U2" s="31" t="s">
        <v>21</v>
      </c>
      <c r="V2" s="31" t="s">
        <v>22</v>
      </c>
      <c r="W2" s="31" t="s">
        <v>23</v>
      </c>
      <c r="X2" s="31" t="s">
        <v>24</v>
      </c>
      <c r="Y2" s="31" t="s">
        <v>25</v>
      </c>
      <c r="Z2" s="31" t="s">
        <v>26</v>
      </c>
      <c r="AA2" s="31" t="s">
        <v>27</v>
      </c>
      <c r="AB2" s="31" t="s">
        <v>28</v>
      </c>
      <c r="AC2" s="31" t="s">
        <v>29</v>
      </c>
      <c r="AD2" s="31" t="s">
        <v>30</v>
      </c>
      <c r="AE2" s="31" t="s">
        <v>31</v>
      </c>
      <c r="AF2" s="31" t="s">
        <v>32</v>
      </c>
      <c r="AG2" s="31" t="s">
        <v>33</v>
      </c>
      <c r="AH2" s="31" t="s">
        <v>34</v>
      </c>
      <c r="AI2" s="31" t="s">
        <v>35</v>
      </c>
      <c r="AJ2" s="31" t="s">
        <v>36</v>
      </c>
      <c r="AK2" s="31" t="s">
        <v>37</v>
      </c>
      <c r="AL2" s="31" t="s">
        <v>38</v>
      </c>
      <c r="AM2" s="31" t="s">
        <v>39</v>
      </c>
      <c r="AN2" s="31" t="s">
        <v>40</v>
      </c>
      <c r="AO2" s="31" t="s">
        <v>41</v>
      </c>
      <c r="AP2" s="31" t="s">
        <v>42</v>
      </c>
      <c r="AQ2" s="31" t="s">
        <v>43</v>
      </c>
      <c r="AR2" s="31" t="s">
        <v>44</v>
      </c>
      <c r="AS2" s="31" t="s">
        <v>45</v>
      </c>
      <c r="AT2" s="31" t="s">
        <v>46</v>
      </c>
      <c r="AU2" s="31" t="s">
        <v>47</v>
      </c>
      <c r="AV2" s="31" t="s">
        <v>48</v>
      </c>
      <c r="AW2" s="31" t="s">
        <v>49</v>
      </c>
      <c r="AX2" s="31" t="s">
        <v>50</v>
      </c>
      <c r="AY2" s="31" t="s">
        <v>51</v>
      </c>
      <c r="AZ2" s="31" t="s">
        <v>52</v>
      </c>
      <c r="BA2" s="31" t="s">
        <v>53</v>
      </c>
      <c r="BB2" s="31" t="s">
        <v>54</v>
      </c>
      <c r="BC2" s="31" t="s">
        <v>55</v>
      </c>
      <c r="BD2" s="31" t="s">
        <v>56</v>
      </c>
      <c r="BE2" s="31" t="s">
        <v>57</v>
      </c>
      <c r="BF2" s="31" t="s">
        <v>58</v>
      </c>
      <c r="BG2" s="31" t="s">
        <v>59</v>
      </c>
      <c r="BH2" s="31" t="s">
        <v>60</v>
      </c>
      <c r="BI2" s="31" t="s">
        <v>61</v>
      </c>
      <c r="BJ2" s="31" t="s">
        <v>62</v>
      </c>
      <c r="BK2" s="31" t="s">
        <v>63</v>
      </c>
      <c r="BL2" s="31" t="s">
        <v>64</v>
      </c>
      <c r="BM2" s="31" t="s">
        <v>65</v>
      </c>
      <c r="BN2" s="31" t="s">
        <v>66</v>
      </c>
      <c r="BO2" s="31" t="s">
        <v>67</v>
      </c>
      <c r="BP2" s="31" t="s">
        <v>68</v>
      </c>
      <c r="BQ2" s="31" t="s">
        <v>69</v>
      </c>
      <c r="BR2" s="31" t="s">
        <v>70</v>
      </c>
      <c r="BS2" s="31" t="s">
        <v>71</v>
      </c>
      <c r="BT2" s="31" t="s">
        <v>72</v>
      </c>
      <c r="BU2" s="31" t="s">
        <v>73</v>
      </c>
      <c r="BV2" s="31" t="s">
        <v>74</v>
      </c>
      <c r="BW2" s="31" t="s">
        <v>75</v>
      </c>
      <c r="BX2" s="31" t="s">
        <v>76</v>
      </c>
      <c r="BY2" s="31" t="s">
        <v>77</v>
      </c>
      <c r="BZ2" s="31" t="s">
        <v>78</v>
      </c>
      <c r="CA2" s="31" t="s">
        <v>79</v>
      </c>
      <c r="CB2" s="31" t="s">
        <v>80</v>
      </c>
      <c r="CC2" s="31" t="s">
        <v>81</v>
      </c>
      <c r="CD2" s="31" t="s">
        <v>82</v>
      </c>
      <c r="CE2" s="31" t="s">
        <v>83</v>
      </c>
      <c r="CF2" s="31" t="s">
        <v>84</v>
      </c>
      <c r="CG2" s="31" t="s">
        <v>85</v>
      </c>
      <c r="CH2" s="31" t="s">
        <v>86</v>
      </c>
      <c r="CI2" s="31" t="s">
        <v>87</v>
      </c>
      <c r="CJ2" s="31" t="s">
        <v>88</v>
      </c>
      <c r="CK2" s="31" t="s">
        <v>89</v>
      </c>
      <c r="CL2" s="31" t="s">
        <v>90</v>
      </c>
      <c r="CM2" s="31" t="s">
        <v>91</v>
      </c>
      <c r="CN2" s="31" t="s">
        <v>92</v>
      </c>
      <c r="CO2" s="31" t="s">
        <v>93</v>
      </c>
      <c r="CP2" s="31" t="s">
        <v>94</v>
      </c>
      <c r="CQ2" s="31" t="s">
        <v>95</v>
      </c>
      <c r="CR2" s="31" t="s">
        <v>96</v>
      </c>
      <c r="CS2" s="31" t="s">
        <v>97</v>
      </c>
      <c r="CT2" s="31" t="s">
        <v>98</v>
      </c>
      <c r="CU2" s="31" t="s">
        <v>99</v>
      </c>
      <c r="CV2" s="31" t="s">
        <v>100</v>
      </c>
      <c r="CW2" s="31" t="s">
        <v>101</v>
      </c>
      <c r="CX2" s="31" t="s">
        <v>102</v>
      </c>
      <c r="CY2" s="31" t="s">
        <v>103</v>
      </c>
      <c r="CZ2" s="31" t="s">
        <v>104</v>
      </c>
      <c r="DA2" s="31" t="s">
        <v>105</v>
      </c>
      <c r="DB2" s="31" t="s">
        <v>106</v>
      </c>
      <c r="DC2" s="31" t="s">
        <v>107</v>
      </c>
      <c r="DD2" s="31" t="s">
        <v>108</v>
      </c>
      <c r="DE2" s="31" t="s">
        <v>109</v>
      </c>
      <c r="DF2" s="31" t="s">
        <v>110</v>
      </c>
      <c r="DG2" s="31" t="s">
        <v>111</v>
      </c>
      <c r="DH2" s="31" t="s">
        <v>112</v>
      </c>
      <c r="DI2" s="31" t="s">
        <v>113</v>
      </c>
      <c r="DJ2" s="31" t="s">
        <v>114</v>
      </c>
      <c r="DK2" s="31" t="s">
        <v>115</v>
      </c>
      <c r="DL2" s="31" t="s">
        <v>116</v>
      </c>
      <c r="DM2" s="31" t="s">
        <v>117</v>
      </c>
      <c r="DN2" s="31" t="s">
        <v>118</v>
      </c>
      <c r="DO2" s="31" t="s">
        <v>119</v>
      </c>
      <c r="DP2" s="31" t="s">
        <v>120</v>
      </c>
      <c r="DQ2" s="31" t="s">
        <v>121</v>
      </c>
      <c r="DR2" s="31" t="s">
        <v>122</v>
      </c>
      <c r="DS2" s="31" t="s">
        <v>123</v>
      </c>
      <c r="DT2" s="31" t="s">
        <v>124</v>
      </c>
      <c r="DU2" s="31" t="s">
        <v>125</v>
      </c>
      <c r="DV2" s="31" t="s">
        <v>126</v>
      </c>
      <c r="DW2" s="31" t="s">
        <v>127</v>
      </c>
      <c r="DX2" s="31" t="s">
        <v>128</v>
      </c>
      <c r="DY2" s="31" t="s">
        <v>129</v>
      </c>
      <c r="DZ2" s="31" t="s">
        <v>130</v>
      </c>
      <c r="EA2" s="35" t="s">
        <v>131</v>
      </c>
    </row>
    <row r="3" ht="14.8" spans="1:131">
      <c r="A3" s="32">
        <v>42675</v>
      </c>
      <c r="B3" s="33">
        <v>97.50919</v>
      </c>
      <c r="C3" s="33">
        <v>25.22315</v>
      </c>
      <c r="D3" s="33">
        <v>60.06091</v>
      </c>
      <c r="E3" s="33">
        <v>48.90319</v>
      </c>
      <c r="F3" s="33">
        <v>50.13447</v>
      </c>
      <c r="G3" s="33">
        <v>124.919</v>
      </c>
      <c r="H3" s="33">
        <v>48.64039</v>
      </c>
      <c r="I3" s="33">
        <v>138.1586</v>
      </c>
      <c r="J3" s="33">
        <v>133.14</v>
      </c>
      <c r="K3" s="33">
        <v>117.65</v>
      </c>
      <c r="L3" s="33">
        <v>65.29</v>
      </c>
      <c r="M3" s="33">
        <v>42.23423</v>
      </c>
      <c r="N3" s="33">
        <v>76.83</v>
      </c>
      <c r="O3" s="33">
        <v>412.02</v>
      </c>
      <c r="P3" s="33">
        <v>146.7088</v>
      </c>
      <c r="Q3" s="33">
        <v>66.98651</v>
      </c>
      <c r="R3" s="33">
        <v>133.61</v>
      </c>
      <c r="S3" s="33">
        <v>379.24</v>
      </c>
      <c r="T3" s="33">
        <v>34.97918</v>
      </c>
      <c r="U3" s="33">
        <v>65.77377</v>
      </c>
      <c r="V3" s="33">
        <v>107.287</v>
      </c>
      <c r="W3" s="33">
        <v>23.93</v>
      </c>
      <c r="X3" s="33">
        <v>48.8185</v>
      </c>
      <c r="Y3" s="33">
        <v>36.07948</v>
      </c>
      <c r="Z3" s="33">
        <v>157.9908</v>
      </c>
      <c r="AA3" s="33">
        <v>214.58</v>
      </c>
      <c r="AB3" s="33">
        <v>57.59234</v>
      </c>
      <c r="AC3" s="33">
        <v>41.96654</v>
      </c>
      <c r="AD3" s="33">
        <v>55.75428</v>
      </c>
      <c r="AE3" s="33">
        <v>102.81</v>
      </c>
      <c r="AF3" s="33">
        <v>37.17323</v>
      </c>
      <c r="AG3" s="33">
        <v>60.48</v>
      </c>
      <c r="AH3" s="33">
        <v>30.1</v>
      </c>
      <c r="AI3" s="33">
        <v>78.85</v>
      </c>
      <c r="AJ3" s="33">
        <v>66.7</v>
      </c>
      <c r="AK3" s="33">
        <v>12.98603</v>
      </c>
      <c r="AL3" s="33">
        <v>140.75</v>
      </c>
      <c r="AM3" s="33">
        <v>22.71891</v>
      </c>
      <c r="AN3" s="33">
        <v>30.5254</v>
      </c>
      <c r="AO3" s="33">
        <v>142.9452</v>
      </c>
      <c r="AP3" s="33">
        <v>64.81098</v>
      </c>
      <c r="AQ3" s="33">
        <v>57.98812</v>
      </c>
      <c r="AR3" s="33">
        <v>8.91</v>
      </c>
      <c r="AS3" s="33">
        <v>19.50274</v>
      </c>
      <c r="AT3" s="33">
        <v>67.10529</v>
      </c>
      <c r="AU3" s="33">
        <v>95.33929</v>
      </c>
      <c r="AV3" s="33">
        <v>61.10616</v>
      </c>
      <c r="AW3" s="33">
        <v>49.9978</v>
      </c>
      <c r="AX3" s="33">
        <v>71.27467</v>
      </c>
      <c r="AY3" s="33">
        <v>25.91253</v>
      </c>
      <c r="AZ3" s="33">
        <v>72</v>
      </c>
      <c r="BA3" s="33">
        <v>83.15</v>
      </c>
      <c r="BB3" s="33">
        <v>45.07047</v>
      </c>
      <c r="BC3" s="33">
        <v>36.83</v>
      </c>
      <c r="BD3" s="33">
        <v>45.10626</v>
      </c>
      <c r="BE3" s="33">
        <v>13.24198</v>
      </c>
      <c r="BF3" s="33">
        <v>129.5199</v>
      </c>
      <c r="BG3" s="33">
        <v>750.57</v>
      </c>
      <c r="BH3" s="33">
        <v>26.77887</v>
      </c>
      <c r="BI3" s="33">
        <v>12.4</v>
      </c>
      <c r="BJ3" s="33">
        <v>29.87895</v>
      </c>
      <c r="BK3" s="33">
        <v>105.3821</v>
      </c>
      <c r="BL3" s="33">
        <v>52.6087</v>
      </c>
      <c r="BM3" s="33">
        <v>65.50641</v>
      </c>
      <c r="BN3" s="33">
        <v>47.44693</v>
      </c>
      <c r="BO3" s="33">
        <v>115.0938</v>
      </c>
      <c r="BP3" s="33">
        <v>73.54898</v>
      </c>
      <c r="BQ3" s="33">
        <v>35.9767</v>
      </c>
      <c r="BR3" s="33">
        <v>9.519808</v>
      </c>
      <c r="BS3" s="33">
        <v>1503.68</v>
      </c>
      <c r="BT3" s="33">
        <v>45.81989</v>
      </c>
      <c r="BU3" s="33">
        <v>58.35248</v>
      </c>
      <c r="BV3" s="33">
        <v>160.5842</v>
      </c>
      <c r="BW3" s="33">
        <v>46.34208</v>
      </c>
      <c r="BX3" s="33">
        <v>69.92806</v>
      </c>
      <c r="BY3" s="33">
        <v>165.5821</v>
      </c>
      <c r="BZ3" s="33">
        <v>71.9577</v>
      </c>
      <c r="CA3" s="33">
        <v>34.25866</v>
      </c>
      <c r="CB3" s="33">
        <v>86.36053</v>
      </c>
      <c r="CC3" s="33">
        <v>67.95371</v>
      </c>
      <c r="CD3" s="33">
        <v>34.25197</v>
      </c>
      <c r="CE3" s="33">
        <v>89.75555</v>
      </c>
      <c r="CF3" s="33">
        <v>90.6818</v>
      </c>
      <c r="CG3" s="33">
        <v>73.82087</v>
      </c>
      <c r="CH3" s="33">
        <v>37.09505</v>
      </c>
      <c r="CI3" s="33">
        <v>104.0199</v>
      </c>
      <c r="CJ3" s="33">
        <v>58.35383</v>
      </c>
      <c r="CK3" s="33">
        <v>65.79096</v>
      </c>
      <c r="CL3" s="33">
        <v>46.99788</v>
      </c>
      <c r="CM3" s="33">
        <v>31.08662</v>
      </c>
      <c r="CN3" s="33">
        <v>60.59483</v>
      </c>
      <c r="CO3" s="33">
        <v>42.16839</v>
      </c>
      <c r="CP3" s="33">
        <v>40.84351</v>
      </c>
      <c r="CQ3" s="33">
        <v>102.6075</v>
      </c>
      <c r="CR3" s="33">
        <v>49.09329</v>
      </c>
      <c r="CS3" s="33">
        <v>38.45212</v>
      </c>
      <c r="CT3" s="33">
        <v>22.86</v>
      </c>
      <c r="CU3" s="33">
        <v>17.61</v>
      </c>
      <c r="CV3" s="33">
        <v>99.4712</v>
      </c>
      <c r="CW3" s="33">
        <v>180.5208</v>
      </c>
      <c r="CX3" s="33">
        <v>3.64</v>
      </c>
      <c r="CY3" s="33">
        <v>13.06667</v>
      </c>
      <c r="CZ3" s="33">
        <v>22.15</v>
      </c>
      <c r="DA3" s="33">
        <v>25.1</v>
      </c>
      <c r="DB3" s="33">
        <v>46.85</v>
      </c>
      <c r="DC3" s="33">
        <v>28.96869</v>
      </c>
      <c r="DD3" s="33">
        <v>3.059928</v>
      </c>
      <c r="DE3" s="33">
        <v>57.17131</v>
      </c>
      <c r="DF3" s="33">
        <v>42.85</v>
      </c>
      <c r="DG3" s="33">
        <v>6.24</v>
      </c>
      <c r="DH3" s="33">
        <v>51.1</v>
      </c>
      <c r="DI3" s="33">
        <v>67.53366</v>
      </c>
      <c r="DJ3" s="33">
        <v>89.41139</v>
      </c>
      <c r="DK3" s="33">
        <v>42.77129</v>
      </c>
      <c r="DL3" s="33">
        <v>180.5423</v>
      </c>
      <c r="DM3" s="33">
        <v>94.1703</v>
      </c>
      <c r="DN3" s="33">
        <v>50.95637</v>
      </c>
      <c r="DO3" s="33">
        <v>58.40865</v>
      </c>
      <c r="DP3" s="33">
        <v>42.36145</v>
      </c>
      <c r="DQ3" s="33">
        <v>101.3339</v>
      </c>
      <c r="DR3" s="33">
        <v>70.89385</v>
      </c>
      <c r="DS3" s="33">
        <v>38.94608</v>
      </c>
      <c r="DT3" s="33">
        <v>23.83065</v>
      </c>
      <c r="DU3" s="33">
        <v>36.40857</v>
      </c>
      <c r="DV3" s="34">
        <v>59.731613</v>
      </c>
      <c r="DW3" s="33">
        <v>37.88</v>
      </c>
      <c r="DX3" s="33">
        <v>52.11822</v>
      </c>
      <c r="DY3" s="33">
        <v>35.49556</v>
      </c>
      <c r="DZ3" s="33">
        <v>9.742788</v>
      </c>
      <c r="EA3" s="35">
        <v>2198.81</v>
      </c>
    </row>
    <row r="4" ht="14.8" spans="1:131">
      <c r="A4" s="32">
        <v>42705</v>
      </c>
      <c r="B4" s="33">
        <v>101.6322</v>
      </c>
      <c r="C4" s="33">
        <v>25.74419</v>
      </c>
      <c r="D4" s="33">
        <v>66.24563</v>
      </c>
      <c r="E4" s="33">
        <v>50.36707</v>
      </c>
      <c r="F4" s="33">
        <v>48.23364</v>
      </c>
      <c r="G4" s="33">
        <v>127.6309</v>
      </c>
      <c r="H4" s="33">
        <v>50.36399</v>
      </c>
      <c r="I4" s="33">
        <v>139.1348</v>
      </c>
      <c r="J4" s="33">
        <v>128.04</v>
      </c>
      <c r="K4" s="33">
        <v>117.27</v>
      </c>
      <c r="L4" s="33">
        <v>59.7</v>
      </c>
      <c r="M4" s="33">
        <v>43.7515</v>
      </c>
      <c r="N4" s="33">
        <v>76.05</v>
      </c>
      <c r="O4" s="33">
        <v>418.56</v>
      </c>
      <c r="P4" s="33">
        <v>148.8931</v>
      </c>
      <c r="Q4" s="33">
        <v>68.74635</v>
      </c>
      <c r="R4" s="33">
        <v>134.7724</v>
      </c>
      <c r="S4" s="33">
        <v>367.09</v>
      </c>
      <c r="T4" s="33">
        <v>35.29157</v>
      </c>
      <c r="U4" s="33">
        <v>64.17018</v>
      </c>
      <c r="V4" s="33">
        <v>113.0922</v>
      </c>
      <c r="W4" s="33">
        <v>26.96</v>
      </c>
      <c r="X4" s="33">
        <v>51.97417</v>
      </c>
      <c r="Y4" s="33">
        <v>37.59717</v>
      </c>
      <c r="Z4" s="33">
        <v>154.674</v>
      </c>
      <c r="AA4" s="33">
        <v>211.39</v>
      </c>
      <c r="AB4" s="33">
        <v>58.45914</v>
      </c>
      <c r="AC4" s="33">
        <v>42.06033</v>
      </c>
      <c r="AD4" s="33">
        <v>57.88212</v>
      </c>
      <c r="AE4" s="33">
        <v>102.95</v>
      </c>
      <c r="AF4" s="33">
        <v>35.56384</v>
      </c>
      <c r="AG4" s="33">
        <v>58.86</v>
      </c>
      <c r="AH4" s="33">
        <v>30.12</v>
      </c>
      <c r="AI4" s="33">
        <v>76.07</v>
      </c>
      <c r="AJ4" s="33">
        <v>66.68</v>
      </c>
      <c r="AK4" s="33">
        <v>12.75986</v>
      </c>
      <c r="AL4" s="33">
        <v>144.72</v>
      </c>
      <c r="AM4" s="33">
        <v>26.34108</v>
      </c>
      <c r="AN4" s="33">
        <v>32.14811</v>
      </c>
      <c r="AO4" s="33">
        <v>148.2106</v>
      </c>
      <c r="AP4" s="33">
        <v>64.43741</v>
      </c>
      <c r="AQ4" s="33">
        <v>55.92834</v>
      </c>
      <c r="AR4" s="33">
        <v>11.34</v>
      </c>
      <c r="AS4" s="33">
        <v>21.8894</v>
      </c>
      <c r="AT4" s="33">
        <v>66.01298</v>
      </c>
      <c r="AU4" s="33">
        <v>94.24309</v>
      </c>
      <c r="AV4" s="33">
        <v>59.55931</v>
      </c>
      <c r="AW4" s="33">
        <v>56.2828</v>
      </c>
      <c r="AX4" s="33">
        <v>69.50641</v>
      </c>
      <c r="AY4" s="33">
        <v>27.29459</v>
      </c>
      <c r="AZ4" s="33">
        <v>68.46</v>
      </c>
      <c r="BA4" s="33">
        <v>74.34</v>
      </c>
      <c r="BB4" s="33">
        <v>41.8993</v>
      </c>
      <c r="BC4" s="33">
        <v>36.57</v>
      </c>
      <c r="BD4" s="33">
        <v>44.04693</v>
      </c>
      <c r="BE4" s="33">
        <v>12.76045</v>
      </c>
      <c r="BF4" s="33">
        <v>133.7323</v>
      </c>
      <c r="BG4" s="33">
        <v>749.87</v>
      </c>
      <c r="BH4" s="33">
        <v>28.58916</v>
      </c>
      <c r="BI4" s="33">
        <v>11.78</v>
      </c>
      <c r="BJ4" s="33">
        <v>30.1472</v>
      </c>
      <c r="BK4" s="33">
        <v>108.3831</v>
      </c>
      <c r="BL4" s="33">
        <v>50.61868</v>
      </c>
      <c r="BM4" s="33">
        <v>64.98806</v>
      </c>
      <c r="BN4" s="33">
        <v>48.16712</v>
      </c>
      <c r="BO4" s="33">
        <v>119.8896</v>
      </c>
      <c r="BP4" s="33">
        <v>73.60104</v>
      </c>
      <c r="BQ4" s="33">
        <v>36.04206</v>
      </c>
      <c r="BR4" s="33">
        <v>8.641808</v>
      </c>
      <c r="BS4" s="33">
        <v>1466.06</v>
      </c>
      <c r="BT4" s="33">
        <v>46.7182</v>
      </c>
      <c r="BU4" s="33">
        <v>58.29725</v>
      </c>
      <c r="BV4" s="33">
        <v>152.1747</v>
      </c>
      <c r="BW4" s="33">
        <v>43.83426</v>
      </c>
      <c r="BX4" s="33">
        <v>70.87614</v>
      </c>
      <c r="BY4" s="33">
        <v>164.9967</v>
      </c>
      <c r="BZ4" s="33">
        <v>73.37139</v>
      </c>
      <c r="CA4" s="33">
        <v>35.4987</v>
      </c>
      <c r="CB4" s="33">
        <v>90.93654</v>
      </c>
      <c r="CC4" s="33">
        <v>70.42461</v>
      </c>
      <c r="CD4" s="33">
        <v>34.86882</v>
      </c>
      <c r="CE4" s="33">
        <v>92.14927</v>
      </c>
      <c r="CF4" s="33">
        <v>94.11424</v>
      </c>
      <c r="CG4" s="33">
        <v>72.98681</v>
      </c>
      <c r="CH4" s="33">
        <v>39.87449</v>
      </c>
      <c r="CI4" s="33">
        <v>105.4278</v>
      </c>
      <c r="CJ4" s="33">
        <v>58.54169</v>
      </c>
      <c r="CK4" s="33">
        <v>70.86585</v>
      </c>
      <c r="CL4" s="33">
        <v>48.86897</v>
      </c>
      <c r="CM4" s="33">
        <v>31.60413</v>
      </c>
      <c r="CN4" s="33">
        <v>62.47361</v>
      </c>
      <c r="CO4" s="33">
        <v>43.15324</v>
      </c>
      <c r="CP4" s="33">
        <v>41.38514</v>
      </c>
      <c r="CQ4" s="33">
        <v>106.5676</v>
      </c>
      <c r="CR4" s="33">
        <v>52.18266</v>
      </c>
      <c r="CS4" s="33">
        <v>36.6655</v>
      </c>
      <c r="CT4" s="33">
        <v>27.48</v>
      </c>
      <c r="CU4" s="33">
        <v>18.99</v>
      </c>
      <c r="CV4" s="33">
        <v>99.06255</v>
      </c>
      <c r="CW4" s="33">
        <v>175.369</v>
      </c>
      <c r="CX4" s="33">
        <v>3.9</v>
      </c>
      <c r="CY4" s="33">
        <v>15.33333</v>
      </c>
      <c r="CZ4" s="33">
        <v>21.4</v>
      </c>
      <c r="DA4" s="33">
        <v>25.05</v>
      </c>
      <c r="DB4" s="33">
        <v>53.75</v>
      </c>
      <c r="DC4" s="33">
        <v>26.38736</v>
      </c>
      <c r="DD4" s="33">
        <v>3.220977</v>
      </c>
      <c r="DE4" s="33">
        <v>56.18244</v>
      </c>
      <c r="DF4" s="33">
        <v>43.75</v>
      </c>
      <c r="DG4" s="33">
        <v>5.94</v>
      </c>
      <c r="DH4" s="33">
        <v>54.04</v>
      </c>
      <c r="DI4" s="33">
        <v>70.44176</v>
      </c>
      <c r="DJ4" s="33">
        <v>95.27676</v>
      </c>
      <c r="DK4" s="33">
        <v>44.19935</v>
      </c>
      <c r="DL4" s="33">
        <v>170.1751</v>
      </c>
      <c r="DM4" s="33">
        <v>92.86594</v>
      </c>
      <c r="DN4" s="33">
        <v>56.72038</v>
      </c>
      <c r="DO4" s="33">
        <v>58.30223</v>
      </c>
      <c r="DP4" s="33">
        <v>40.02995</v>
      </c>
      <c r="DQ4" s="33">
        <v>94.95414</v>
      </c>
      <c r="DR4" s="33">
        <v>70.80952</v>
      </c>
      <c r="DS4" s="33">
        <v>39.4567</v>
      </c>
      <c r="DT4" s="33">
        <v>24.71404</v>
      </c>
      <c r="DU4" s="33">
        <v>36.53933</v>
      </c>
      <c r="DV4" s="34">
        <v>57.48547</v>
      </c>
      <c r="DW4" s="33">
        <v>42.738</v>
      </c>
      <c r="DX4" s="33">
        <v>55.98953</v>
      </c>
      <c r="DY4" s="33">
        <v>38.3172</v>
      </c>
      <c r="DZ4" s="33">
        <v>9.881271</v>
      </c>
      <c r="EA4" s="35">
        <v>2238.83</v>
      </c>
    </row>
    <row r="5" ht="14.8" spans="1:131">
      <c r="A5" s="32">
        <v>42736</v>
      </c>
      <c r="B5" s="33">
        <v>99.90321</v>
      </c>
      <c r="C5" s="33">
        <v>25.14973</v>
      </c>
      <c r="D5" s="33">
        <v>69.38002</v>
      </c>
      <c r="E5" s="33">
        <v>49.15253</v>
      </c>
      <c r="F5" s="33">
        <v>51.17968</v>
      </c>
      <c r="G5" s="33">
        <v>136.7704</v>
      </c>
      <c r="H5" s="33">
        <v>42.36642</v>
      </c>
      <c r="I5" s="33">
        <v>150.423</v>
      </c>
      <c r="J5" s="33">
        <v>160.1</v>
      </c>
      <c r="K5" s="33">
        <v>122.33</v>
      </c>
      <c r="L5" s="33">
        <v>79.15</v>
      </c>
      <c r="M5" s="33">
        <v>47.16231</v>
      </c>
      <c r="N5" s="33">
        <v>78.49</v>
      </c>
      <c r="O5" s="33">
        <v>426.63</v>
      </c>
      <c r="P5" s="33">
        <v>150.8096</v>
      </c>
      <c r="Q5" s="33">
        <v>68.65923</v>
      </c>
      <c r="R5" s="33">
        <v>145.1554</v>
      </c>
      <c r="S5" s="33">
        <v>359.29</v>
      </c>
      <c r="T5" s="33">
        <v>38.3788</v>
      </c>
      <c r="U5" s="33">
        <v>68.89437</v>
      </c>
      <c r="V5" s="33">
        <v>117.0152</v>
      </c>
      <c r="W5" s="33">
        <v>26.76</v>
      </c>
      <c r="X5" s="33">
        <v>53.3432</v>
      </c>
      <c r="Y5" s="33">
        <v>37.49862</v>
      </c>
      <c r="Z5" s="33">
        <v>166.3799</v>
      </c>
      <c r="AA5" s="33">
        <v>230.8967</v>
      </c>
      <c r="AB5" s="33">
        <v>63.63142</v>
      </c>
      <c r="AC5" s="33">
        <v>45.44677</v>
      </c>
      <c r="AD5" s="33">
        <v>60.22013</v>
      </c>
      <c r="AE5" s="33">
        <v>113.38</v>
      </c>
      <c r="AF5" s="33">
        <v>37.09923</v>
      </c>
      <c r="AG5" s="33">
        <v>62.89</v>
      </c>
      <c r="AH5" s="33">
        <v>33.26</v>
      </c>
      <c r="AI5" s="33">
        <v>80.21</v>
      </c>
      <c r="AJ5" s="33">
        <v>68.59</v>
      </c>
      <c r="AK5" s="33">
        <v>14.7147</v>
      </c>
      <c r="AL5" s="33">
        <v>134.03</v>
      </c>
      <c r="AM5" s="33">
        <v>26.94322</v>
      </c>
      <c r="AN5" s="33">
        <v>32.63559</v>
      </c>
      <c r="AO5" s="33">
        <v>168.2245</v>
      </c>
      <c r="AP5" s="33">
        <v>66.70689</v>
      </c>
      <c r="AQ5" s="33">
        <v>45.83207</v>
      </c>
      <c r="AR5" s="33">
        <v>10.37</v>
      </c>
      <c r="AS5" s="33">
        <v>24.07635</v>
      </c>
      <c r="AT5" s="33">
        <v>68.12191</v>
      </c>
      <c r="AU5" s="33">
        <v>94.08923</v>
      </c>
      <c r="AV5" s="33">
        <v>62.53033</v>
      </c>
      <c r="AW5" s="33">
        <v>54.25972</v>
      </c>
      <c r="AX5" s="33">
        <v>85.40743</v>
      </c>
      <c r="AY5" s="33">
        <v>28.59781</v>
      </c>
      <c r="AZ5" s="33">
        <v>79.1</v>
      </c>
      <c r="BA5" s="33">
        <v>90.62</v>
      </c>
      <c r="BB5" s="33">
        <v>42.15631</v>
      </c>
      <c r="BC5" s="33">
        <v>37.07</v>
      </c>
      <c r="BD5" s="33">
        <v>45.42674</v>
      </c>
      <c r="BE5" s="33">
        <v>13.05103</v>
      </c>
      <c r="BF5" s="33">
        <v>140.6046</v>
      </c>
      <c r="BG5" s="33">
        <v>823.48</v>
      </c>
      <c r="BH5" s="33">
        <v>30.64981</v>
      </c>
      <c r="BI5" s="33">
        <v>12.61</v>
      </c>
      <c r="BJ5" s="33">
        <v>32.02244</v>
      </c>
      <c r="BK5" s="33">
        <v>109.14</v>
      </c>
      <c r="BL5" s="33">
        <v>50.34516</v>
      </c>
      <c r="BM5" s="33">
        <v>65.48854</v>
      </c>
      <c r="BN5" s="33">
        <v>50.30953</v>
      </c>
      <c r="BO5" s="33">
        <v>123.0192</v>
      </c>
      <c r="BP5" s="33">
        <v>80.57289</v>
      </c>
      <c r="BQ5" s="33">
        <v>36.6134</v>
      </c>
      <c r="BR5" s="33">
        <v>8.641808</v>
      </c>
      <c r="BS5" s="33">
        <v>1575.13</v>
      </c>
      <c r="BT5" s="33">
        <v>49.69753</v>
      </c>
      <c r="BU5" s="33">
        <v>60.3224</v>
      </c>
      <c r="BV5" s="33">
        <v>167.1883</v>
      </c>
      <c r="BW5" s="33">
        <v>40.08597</v>
      </c>
      <c r="BX5" s="33">
        <v>68.87541</v>
      </c>
      <c r="BY5" s="33">
        <v>160.2904</v>
      </c>
      <c r="BZ5" s="33">
        <v>76.44307</v>
      </c>
      <c r="CA5" s="33">
        <v>35.59288</v>
      </c>
      <c r="CB5" s="33">
        <v>90.19777</v>
      </c>
      <c r="CC5" s="33">
        <v>74.84737</v>
      </c>
      <c r="CD5" s="33">
        <v>35.22008</v>
      </c>
      <c r="CE5" s="33">
        <v>99.32155</v>
      </c>
      <c r="CF5" s="33">
        <v>93.06099</v>
      </c>
      <c r="CG5" s="33">
        <v>77.49065</v>
      </c>
      <c r="CH5" s="33">
        <v>39.99823</v>
      </c>
      <c r="CI5" s="33">
        <v>108.0551</v>
      </c>
      <c r="CJ5" s="33">
        <v>57.77234</v>
      </c>
      <c r="CK5" s="33">
        <v>72.46465</v>
      </c>
      <c r="CL5" s="33">
        <v>46.30063</v>
      </c>
      <c r="CM5" s="33">
        <v>32.95691</v>
      </c>
      <c r="CN5" s="33">
        <v>61.62606</v>
      </c>
      <c r="CO5" s="33">
        <v>44.404</v>
      </c>
      <c r="CP5" s="33">
        <v>42.34976</v>
      </c>
      <c r="CQ5" s="33">
        <v>106.5498</v>
      </c>
      <c r="CR5" s="33">
        <v>53.70145</v>
      </c>
      <c r="CS5" s="33">
        <v>38.86625</v>
      </c>
      <c r="CT5" s="33">
        <v>27.2</v>
      </c>
      <c r="CU5" s="33">
        <v>19.14</v>
      </c>
      <c r="CV5" s="33">
        <v>94.30125</v>
      </c>
      <c r="CW5" s="33">
        <v>178.473</v>
      </c>
      <c r="CX5" s="33">
        <v>3.67</v>
      </c>
      <c r="CY5" s="33">
        <v>14.99333</v>
      </c>
      <c r="CZ5" s="33">
        <v>21.85</v>
      </c>
      <c r="DA5" s="33">
        <v>23.75</v>
      </c>
      <c r="DB5" s="33">
        <v>56.05</v>
      </c>
      <c r="DC5" s="33">
        <v>30.15698</v>
      </c>
      <c r="DD5" s="33">
        <v>2.986035</v>
      </c>
      <c r="DE5" s="33">
        <v>57.81309</v>
      </c>
      <c r="DF5" s="33">
        <v>44.35</v>
      </c>
      <c r="DG5" s="33">
        <v>6.07</v>
      </c>
      <c r="DH5" s="33">
        <v>54.3</v>
      </c>
      <c r="DI5" s="33">
        <v>65.47038</v>
      </c>
      <c r="DJ5" s="33">
        <v>90.13651</v>
      </c>
      <c r="DK5" s="33">
        <v>42.98285</v>
      </c>
      <c r="DL5" s="33">
        <v>170.3263</v>
      </c>
      <c r="DM5" s="33">
        <v>93.30687</v>
      </c>
      <c r="DN5" s="33">
        <v>49.53156</v>
      </c>
      <c r="DO5" s="33">
        <v>56.07547</v>
      </c>
      <c r="DP5" s="33">
        <v>39.96583</v>
      </c>
      <c r="DQ5" s="33">
        <v>98.81583</v>
      </c>
      <c r="DR5" s="33">
        <v>71.02482</v>
      </c>
      <c r="DS5" s="33">
        <v>38.3089</v>
      </c>
      <c r="DT5" s="33">
        <v>23.38547</v>
      </c>
      <c r="DU5" s="33">
        <v>36.90044</v>
      </c>
      <c r="DV5" s="34">
        <v>54.179626</v>
      </c>
      <c r="DW5" s="33">
        <v>50.386</v>
      </c>
      <c r="DX5" s="33">
        <v>59.83194</v>
      </c>
      <c r="DY5" s="33">
        <v>38.21125</v>
      </c>
      <c r="DZ5" s="33">
        <v>10.06863</v>
      </c>
      <c r="EA5" s="35">
        <v>2278.87</v>
      </c>
    </row>
    <row r="6" ht="14.8" spans="1:131">
      <c r="A6" s="32">
        <v>42767</v>
      </c>
      <c r="B6" s="33">
        <v>107.8072</v>
      </c>
      <c r="C6" s="33">
        <v>27.04409</v>
      </c>
      <c r="D6" s="33">
        <v>74.58601</v>
      </c>
      <c r="E6" s="33">
        <v>50.24155</v>
      </c>
      <c r="F6" s="33">
        <v>54.38305</v>
      </c>
      <c r="G6" s="33">
        <v>154.098</v>
      </c>
      <c r="H6" s="33">
        <v>49.1958</v>
      </c>
      <c r="I6" s="33">
        <v>155.6447</v>
      </c>
      <c r="J6" s="33">
        <v>167.4</v>
      </c>
      <c r="K6" s="33">
        <v>144.94</v>
      </c>
      <c r="L6" s="33">
        <v>78.16</v>
      </c>
      <c r="M6" s="33">
        <v>49.4063</v>
      </c>
      <c r="N6" s="33">
        <v>77.39</v>
      </c>
      <c r="O6" s="33">
        <v>476.22</v>
      </c>
      <c r="P6" s="33">
        <v>153.8612</v>
      </c>
      <c r="Q6" s="33">
        <v>70.62569</v>
      </c>
      <c r="R6" s="33">
        <v>155.2129</v>
      </c>
      <c r="S6" s="33">
        <v>373.5</v>
      </c>
      <c r="T6" s="33">
        <v>41.68761</v>
      </c>
      <c r="U6" s="33">
        <v>73.32602</v>
      </c>
      <c r="V6" s="33">
        <v>121.7799</v>
      </c>
      <c r="W6" s="33">
        <v>28.7</v>
      </c>
      <c r="X6" s="33">
        <v>51.86289</v>
      </c>
      <c r="Y6" s="33">
        <v>41.24355</v>
      </c>
      <c r="Z6" s="33">
        <v>171.7855</v>
      </c>
      <c r="AA6" s="33">
        <v>245.6667</v>
      </c>
      <c r="AB6" s="33">
        <v>67.86159</v>
      </c>
      <c r="AC6" s="33">
        <v>48.30201</v>
      </c>
      <c r="AD6" s="33">
        <v>59.59604</v>
      </c>
      <c r="AE6" s="33">
        <v>118.34</v>
      </c>
      <c r="AF6" s="33">
        <v>39.54736</v>
      </c>
      <c r="AG6" s="33">
        <v>71.44</v>
      </c>
      <c r="AH6" s="33">
        <v>37.35</v>
      </c>
      <c r="AI6" s="33">
        <v>82.47</v>
      </c>
      <c r="AJ6" s="33">
        <v>62.6</v>
      </c>
      <c r="AK6" s="33">
        <v>15.25949</v>
      </c>
      <c r="AL6" s="33">
        <v>143.27</v>
      </c>
      <c r="AM6" s="33">
        <v>25.04303</v>
      </c>
      <c r="AN6" s="33">
        <v>32.08606</v>
      </c>
      <c r="AO6" s="33">
        <v>177.8626</v>
      </c>
      <c r="AP6" s="33">
        <v>68.09014</v>
      </c>
      <c r="AQ6" s="33">
        <v>48.44835</v>
      </c>
      <c r="AR6" s="33">
        <v>14.46</v>
      </c>
      <c r="AS6" s="33">
        <v>23.40728</v>
      </c>
      <c r="AT6" s="33">
        <v>74.47595</v>
      </c>
      <c r="AU6" s="33">
        <v>98.85862</v>
      </c>
      <c r="AV6" s="33">
        <v>67.33034</v>
      </c>
      <c r="AW6" s="33">
        <v>54.83774</v>
      </c>
      <c r="AX6" s="33">
        <v>88.53207</v>
      </c>
      <c r="AY6" s="33">
        <v>32.2836</v>
      </c>
      <c r="AZ6" s="33">
        <v>81.35</v>
      </c>
      <c r="BA6" s="33">
        <v>86.92</v>
      </c>
      <c r="BB6" s="33">
        <v>45.05461</v>
      </c>
      <c r="BC6" s="33">
        <v>37.6</v>
      </c>
      <c r="BD6" s="33">
        <v>47.34861</v>
      </c>
      <c r="BE6" s="33">
        <v>15.06288</v>
      </c>
      <c r="BF6" s="33">
        <v>144.8746</v>
      </c>
      <c r="BG6" s="33">
        <v>845.04</v>
      </c>
      <c r="BH6" s="33">
        <v>32.64306</v>
      </c>
      <c r="BI6" s="33">
        <v>12.12</v>
      </c>
      <c r="BJ6" s="33">
        <v>32.22361</v>
      </c>
      <c r="BK6" s="33">
        <v>113.6633</v>
      </c>
      <c r="BL6" s="33">
        <v>51.8495</v>
      </c>
      <c r="BM6" s="33">
        <v>67.26042</v>
      </c>
      <c r="BN6" s="33">
        <v>54.36093</v>
      </c>
      <c r="BO6" s="33">
        <v>129.5735</v>
      </c>
      <c r="BP6" s="33">
        <v>80.79142</v>
      </c>
      <c r="BQ6" s="33">
        <v>35.30269</v>
      </c>
      <c r="BR6" s="33">
        <v>8.641808</v>
      </c>
      <c r="BS6" s="33">
        <v>1724.13</v>
      </c>
      <c r="BT6" s="33">
        <v>50.20905</v>
      </c>
      <c r="BU6" s="33">
        <v>60.40799</v>
      </c>
      <c r="BV6" s="33">
        <v>181.815</v>
      </c>
      <c r="BW6" s="33">
        <v>35.03278</v>
      </c>
      <c r="BX6" s="33">
        <v>66.29508</v>
      </c>
      <c r="BY6" s="33">
        <v>152.8439</v>
      </c>
      <c r="BZ6" s="33">
        <v>80.10095</v>
      </c>
      <c r="CA6" s="33">
        <v>35.92679</v>
      </c>
      <c r="CB6" s="33">
        <v>95.93401</v>
      </c>
      <c r="CC6" s="33">
        <v>85.14052</v>
      </c>
      <c r="CD6" s="33">
        <v>40.67743</v>
      </c>
      <c r="CE6" s="33">
        <v>101.3429</v>
      </c>
      <c r="CF6" s="33">
        <v>97.7292</v>
      </c>
      <c r="CG6" s="33">
        <v>79.05552</v>
      </c>
      <c r="CH6" s="33">
        <v>39.67304</v>
      </c>
      <c r="CI6" s="33">
        <v>112.0476</v>
      </c>
      <c r="CJ6" s="33">
        <v>65.66425</v>
      </c>
      <c r="CK6" s="33">
        <v>74.2663</v>
      </c>
      <c r="CL6" s="33">
        <v>46.81097</v>
      </c>
      <c r="CM6" s="33">
        <v>32.1595</v>
      </c>
      <c r="CN6" s="33">
        <v>62.77875</v>
      </c>
      <c r="CO6" s="33">
        <v>45.73774</v>
      </c>
      <c r="CP6" s="33">
        <v>46.67651</v>
      </c>
      <c r="CQ6" s="33">
        <v>122.2813</v>
      </c>
      <c r="CR6" s="33">
        <v>51.51318</v>
      </c>
      <c r="CS6" s="33">
        <v>40.26224</v>
      </c>
      <c r="CT6" s="33">
        <v>27.55</v>
      </c>
      <c r="CU6" s="33">
        <v>20.38</v>
      </c>
      <c r="CV6" s="33">
        <v>91.38918</v>
      </c>
      <c r="CW6" s="33">
        <v>182.1253</v>
      </c>
      <c r="CX6" s="33">
        <v>5.6</v>
      </c>
      <c r="CY6" s="33">
        <v>14.16667</v>
      </c>
      <c r="CZ6" s="33">
        <v>21.05</v>
      </c>
      <c r="DA6" s="33">
        <v>21.85</v>
      </c>
      <c r="DB6" s="33">
        <v>55.65</v>
      </c>
      <c r="DC6" s="33">
        <v>28.00972</v>
      </c>
      <c r="DD6" s="33">
        <v>2.936773</v>
      </c>
      <c r="DE6" s="33">
        <v>60.09208</v>
      </c>
      <c r="DF6" s="33">
        <v>50.5</v>
      </c>
      <c r="DG6" s="33">
        <v>5.55</v>
      </c>
      <c r="DH6" s="33">
        <v>56.07</v>
      </c>
      <c r="DI6" s="33">
        <v>63.46468</v>
      </c>
      <c r="DJ6" s="33">
        <v>91.06744</v>
      </c>
      <c r="DK6" s="33">
        <v>41.93385</v>
      </c>
      <c r="DL6" s="33">
        <v>175.7509</v>
      </c>
      <c r="DM6" s="33">
        <v>89.23357</v>
      </c>
      <c r="DN6" s="33">
        <v>47.02663</v>
      </c>
      <c r="DO6" s="33">
        <v>54.23856</v>
      </c>
      <c r="DP6" s="33">
        <v>38.05267</v>
      </c>
      <c r="DQ6" s="33">
        <v>94.76624</v>
      </c>
      <c r="DR6" s="33">
        <v>68.18247</v>
      </c>
      <c r="DS6" s="33">
        <v>36.60844</v>
      </c>
      <c r="DT6" s="33">
        <v>22.48121</v>
      </c>
      <c r="DU6" s="33">
        <v>39.44764</v>
      </c>
      <c r="DV6" s="34">
        <v>47.820801</v>
      </c>
      <c r="DW6" s="33">
        <v>49.998</v>
      </c>
      <c r="DX6" s="33">
        <v>62.65357</v>
      </c>
      <c r="DY6" s="33">
        <v>37.84044</v>
      </c>
      <c r="DZ6" s="33">
        <v>10.37162</v>
      </c>
      <c r="EA6" s="35">
        <v>2363.64</v>
      </c>
    </row>
    <row r="7" ht="14.8" spans="1:131">
      <c r="A7" s="32">
        <v>42795</v>
      </c>
      <c r="B7" s="33">
        <v>110.5985</v>
      </c>
      <c r="C7" s="33">
        <v>27.39167</v>
      </c>
      <c r="D7" s="33">
        <v>76.26672</v>
      </c>
      <c r="E7" s="33">
        <v>52.93887</v>
      </c>
      <c r="F7" s="33">
        <v>52.45936</v>
      </c>
      <c r="G7" s="33">
        <v>144.2092</v>
      </c>
      <c r="H7" s="33">
        <v>47.17454</v>
      </c>
      <c r="I7" s="33">
        <v>151.6174</v>
      </c>
      <c r="J7" s="33">
        <v>170.64</v>
      </c>
      <c r="K7" s="33">
        <v>154.61</v>
      </c>
      <c r="L7" s="33">
        <v>84.73</v>
      </c>
      <c r="M7" s="33">
        <v>50.91834</v>
      </c>
      <c r="N7" s="33">
        <v>80.53</v>
      </c>
      <c r="O7" s="33">
        <v>478.91</v>
      </c>
      <c r="P7" s="33">
        <v>152.5866</v>
      </c>
      <c r="Q7" s="33">
        <v>68.80263</v>
      </c>
      <c r="R7" s="33">
        <v>155.7402</v>
      </c>
      <c r="S7" s="33">
        <v>387.51</v>
      </c>
      <c r="T7" s="33">
        <v>41.06802</v>
      </c>
      <c r="U7" s="33">
        <v>73.00881</v>
      </c>
      <c r="V7" s="33">
        <v>124.7069</v>
      </c>
      <c r="W7" s="33">
        <v>28.32</v>
      </c>
      <c r="X7" s="33">
        <v>51.92125</v>
      </c>
      <c r="Y7" s="33">
        <v>38.425</v>
      </c>
      <c r="Z7" s="33">
        <v>172.1515</v>
      </c>
      <c r="AA7" s="33">
        <v>255.49</v>
      </c>
      <c r="AB7" s="33">
        <v>68.13239</v>
      </c>
      <c r="AC7" s="33">
        <v>49.19369</v>
      </c>
      <c r="AD7" s="33">
        <v>61.71913</v>
      </c>
      <c r="AE7" s="33">
        <v>130.13</v>
      </c>
      <c r="AF7" s="33">
        <v>41.42305</v>
      </c>
      <c r="AG7" s="33">
        <v>72.13</v>
      </c>
      <c r="AH7" s="33">
        <v>38.35</v>
      </c>
      <c r="AI7" s="33">
        <v>87.11</v>
      </c>
      <c r="AJ7" s="33">
        <v>59.7</v>
      </c>
      <c r="AK7" s="33">
        <v>16.42942</v>
      </c>
      <c r="AL7" s="33">
        <v>142.57</v>
      </c>
      <c r="AM7" s="33">
        <v>26.91545</v>
      </c>
      <c r="AN7" s="33">
        <v>32.19907</v>
      </c>
      <c r="AO7" s="33">
        <v>184.6338</v>
      </c>
      <c r="AP7" s="33">
        <v>71.59153</v>
      </c>
      <c r="AQ7" s="33">
        <v>49.64591</v>
      </c>
      <c r="AR7" s="33">
        <v>14.55</v>
      </c>
      <c r="AS7" s="33">
        <v>28.85966</v>
      </c>
      <c r="AT7" s="33">
        <v>74.9011</v>
      </c>
      <c r="AU7" s="33">
        <v>99.52209</v>
      </c>
      <c r="AV7" s="33">
        <v>68.84582</v>
      </c>
      <c r="AW7" s="33">
        <v>54.27836</v>
      </c>
      <c r="AX7" s="33">
        <v>91.49218</v>
      </c>
      <c r="AY7" s="33">
        <v>34.00226</v>
      </c>
      <c r="AZ7" s="33">
        <v>82.49</v>
      </c>
      <c r="BA7" s="33">
        <v>87.47</v>
      </c>
      <c r="BB7" s="33">
        <v>44.61811</v>
      </c>
      <c r="BC7" s="33">
        <v>36.14</v>
      </c>
      <c r="BD7" s="33">
        <v>49.51901</v>
      </c>
      <c r="BE7" s="33">
        <v>15.50514</v>
      </c>
      <c r="BF7" s="33">
        <v>141.4078</v>
      </c>
      <c r="BG7" s="33">
        <v>886.54</v>
      </c>
      <c r="BH7" s="33">
        <v>32.32529</v>
      </c>
      <c r="BI7" s="33">
        <v>10.63</v>
      </c>
      <c r="BJ7" s="33">
        <v>30.92908</v>
      </c>
      <c r="BK7" s="33">
        <v>116.258</v>
      </c>
      <c r="BL7" s="33">
        <v>53.47519</v>
      </c>
      <c r="BM7" s="33">
        <v>75.35726</v>
      </c>
      <c r="BN7" s="33">
        <v>53.00096</v>
      </c>
      <c r="BO7" s="33">
        <v>131.2903</v>
      </c>
      <c r="BP7" s="33">
        <v>80.0834</v>
      </c>
      <c r="BQ7" s="33">
        <v>35.71672</v>
      </c>
      <c r="BR7" s="33">
        <v>9.567952</v>
      </c>
      <c r="BS7" s="33">
        <v>1779.97</v>
      </c>
      <c r="BT7" s="33">
        <v>53.19848</v>
      </c>
      <c r="BU7" s="33">
        <v>59.09478</v>
      </c>
      <c r="BV7" s="33">
        <v>176.5372</v>
      </c>
      <c r="BW7" s="33">
        <v>31.68471</v>
      </c>
      <c r="BX7" s="33">
        <v>64.69608</v>
      </c>
      <c r="BY7" s="33">
        <v>144.6947</v>
      </c>
      <c r="BZ7" s="33">
        <v>79.0279</v>
      </c>
      <c r="CA7" s="33">
        <v>36.33777</v>
      </c>
      <c r="CB7" s="33">
        <v>97.22031</v>
      </c>
      <c r="CC7" s="33">
        <v>87.90458</v>
      </c>
      <c r="CD7" s="33">
        <v>42.62273</v>
      </c>
      <c r="CE7" s="33">
        <v>103.5381</v>
      </c>
      <c r="CF7" s="33">
        <v>97.97022</v>
      </c>
      <c r="CG7" s="33">
        <v>81.23541</v>
      </c>
      <c r="CH7" s="33">
        <v>38.91428</v>
      </c>
      <c r="CI7" s="33">
        <v>111.606</v>
      </c>
      <c r="CJ7" s="33">
        <v>65.8532</v>
      </c>
      <c r="CK7" s="33">
        <v>73.69822</v>
      </c>
      <c r="CL7" s="33">
        <v>46.10063</v>
      </c>
      <c r="CM7" s="33">
        <v>31.59386</v>
      </c>
      <c r="CN7" s="33">
        <v>61.96966</v>
      </c>
      <c r="CO7" s="33">
        <v>45.33344</v>
      </c>
      <c r="CP7" s="33">
        <v>46.88719</v>
      </c>
      <c r="CQ7" s="33">
        <v>120.5116</v>
      </c>
      <c r="CR7" s="33">
        <v>49.68179</v>
      </c>
      <c r="CS7" s="33">
        <v>38.89212</v>
      </c>
      <c r="CT7" s="33">
        <v>27.98</v>
      </c>
      <c r="CU7" s="33">
        <v>22.51</v>
      </c>
      <c r="CV7" s="33">
        <v>93.43124</v>
      </c>
      <c r="CW7" s="33">
        <v>184.1732</v>
      </c>
      <c r="CX7" s="33">
        <v>5</v>
      </c>
      <c r="CY7" s="33">
        <v>13.44667</v>
      </c>
      <c r="CZ7" s="33">
        <v>22.9</v>
      </c>
      <c r="DA7" s="33">
        <v>21.35</v>
      </c>
      <c r="DB7" s="33">
        <v>51.8</v>
      </c>
      <c r="DC7" s="33">
        <v>24.87608</v>
      </c>
      <c r="DD7" s="33">
        <v>3.23045</v>
      </c>
      <c r="DE7" s="33">
        <v>56.03836</v>
      </c>
      <c r="DF7" s="33">
        <v>46.4</v>
      </c>
      <c r="DG7" s="33">
        <v>5.4</v>
      </c>
      <c r="DH7" s="33">
        <v>57.8</v>
      </c>
      <c r="DI7" s="33">
        <v>64.58842</v>
      </c>
      <c r="DJ7" s="33">
        <v>87.7467</v>
      </c>
      <c r="DK7" s="33">
        <v>44.19648</v>
      </c>
      <c r="DL7" s="33">
        <v>175.9966</v>
      </c>
      <c r="DM7" s="33">
        <v>89.74881</v>
      </c>
      <c r="DN7" s="33">
        <v>44.07376</v>
      </c>
      <c r="DO7" s="33">
        <v>52.42647</v>
      </c>
      <c r="DP7" s="33">
        <v>36.61341</v>
      </c>
      <c r="DQ7" s="33">
        <v>97.45345</v>
      </c>
      <c r="DR7" s="33">
        <v>66.67067</v>
      </c>
      <c r="DS7" s="33">
        <v>36.42804</v>
      </c>
      <c r="DT7" s="33">
        <v>22.60642</v>
      </c>
      <c r="DU7" s="33">
        <v>39.12559</v>
      </c>
      <c r="DV7" s="34">
        <v>46.729622</v>
      </c>
      <c r="DW7" s="33">
        <v>55.66</v>
      </c>
      <c r="DX7" s="33">
        <v>71.60957</v>
      </c>
      <c r="DY7" s="33">
        <v>38.1053</v>
      </c>
      <c r="DZ7" s="33">
        <v>9.634925</v>
      </c>
      <c r="EA7" s="35">
        <v>2362.72</v>
      </c>
    </row>
    <row r="8" ht="14.8" spans="1:131">
      <c r="A8" s="32">
        <v>42826</v>
      </c>
      <c r="B8" s="33">
        <v>109.6395</v>
      </c>
      <c r="C8" s="33">
        <v>27.15947</v>
      </c>
      <c r="D8" s="33">
        <v>74.40788</v>
      </c>
      <c r="E8" s="33">
        <v>53.57258</v>
      </c>
      <c r="F8" s="33">
        <v>51.83173</v>
      </c>
      <c r="G8" s="33">
        <v>143.55</v>
      </c>
      <c r="H8" s="33">
        <v>48.62325</v>
      </c>
      <c r="I8" s="33">
        <v>163.3498</v>
      </c>
      <c r="J8" s="33">
        <v>184.86</v>
      </c>
      <c r="K8" s="33">
        <v>167.73</v>
      </c>
      <c r="L8" s="33">
        <v>77.96</v>
      </c>
      <c r="M8" s="33">
        <v>53.14945</v>
      </c>
      <c r="N8" s="33">
        <v>84.28</v>
      </c>
      <c r="O8" s="33">
        <v>513.42</v>
      </c>
      <c r="P8" s="33">
        <v>163.306</v>
      </c>
      <c r="Q8" s="33">
        <v>72.25591</v>
      </c>
      <c r="R8" s="33">
        <v>168.1795</v>
      </c>
      <c r="S8" s="33">
        <v>388.49</v>
      </c>
      <c r="T8" s="33">
        <v>40.35597</v>
      </c>
      <c r="U8" s="33">
        <v>75.70297</v>
      </c>
      <c r="V8" s="33">
        <v>129.593</v>
      </c>
      <c r="W8" s="33">
        <v>29.28</v>
      </c>
      <c r="X8" s="33">
        <v>54.58688</v>
      </c>
      <c r="Y8" s="33">
        <v>36.80876</v>
      </c>
      <c r="Z8" s="33">
        <v>176.1634</v>
      </c>
      <c r="AA8" s="33">
        <v>278.6233</v>
      </c>
      <c r="AB8" s="33">
        <v>64.3646</v>
      </c>
      <c r="AC8" s="33">
        <v>52.95248</v>
      </c>
      <c r="AD8" s="33">
        <v>64.15568</v>
      </c>
      <c r="AE8" s="33">
        <v>133.74</v>
      </c>
      <c r="AF8" s="33">
        <v>41.74803</v>
      </c>
      <c r="AG8" s="33">
        <v>73.7</v>
      </c>
      <c r="AH8" s="33">
        <v>39</v>
      </c>
      <c r="AI8" s="33">
        <v>88.92</v>
      </c>
      <c r="AJ8" s="33">
        <v>60.94</v>
      </c>
      <c r="AK8" s="33">
        <v>16.93815</v>
      </c>
      <c r="AL8" s="33">
        <v>129.13</v>
      </c>
      <c r="AM8" s="33">
        <v>25.77142</v>
      </c>
      <c r="AN8" s="33">
        <v>32.27047</v>
      </c>
      <c r="AO8" s="33">
        <v>187.0381</v>
      </c>
      <c r="AP8" s="33">
        <v>70.36516</v>
      </c>
      <c r="AQ8" s="33">
        <v>46.52897</v>
      </c>
      <c r="AR8" s="33">
        <v>13.3</v>
      </c>
      <c r="AS8" s="33">
        <v>27.63138</v>
      </c>
      <c r="AT8" s="33">
        <v>69.64569</v>
      </c>
      <c r="AU8" s="33">
        <v>101.6856</v>
      </c>
      <c r="AV8" s="33">
        <v>70.52546</v>
      </c>
      <c r="AW8" s="33">
        <v>59.1727</v>
      </c>
      <c r="AX8" s="33">
        <v>93.13561</v>
      </c>
      <c r="AY8" s="33">
        <v>33.99989</v>
      </c>
      <c r="AZ8" s="33">
        <v>86.12</v>
      </c>
      <c r="BA8" s="33">
        <v>94.48</v>
      </c>
      <c r="BB8" s="33">
        <v>44.81771</v>
      </c>
      <c r="BC8" s="33">
        <v>37.43</v>
      </c>
      <c r="BD8" s="33">
        <v>52.01881</v>
      </c>
      <c r="BE8" s="33">
        <v>16.44636</v>
      </c>
      <c r="BF8" s="33">
        <v>130.1611</v>
      </c>
      <c r="BG8" s="33">
        <v>924.99</v>
      </c>
      <c r="BH8" s="33">
        <v>32.17123</v>
      </c>
      <c r="BI8" s="33">
        <v>10.76</v>
      </c>
      <c r="BJ8" s="33">
        <v>30.6093</v>
      </c>
      <c r="BK8" s="33">
        <v>125.5149</v>
      </c>
      <c r="BL8" s="33">
        <v>55.00463</v>
      </c>
      <c r="BM8" s="33">
        <v>76.72625</v>
      </c>
      <c r="BN8" s="33">
        <v>52.86082</v>
      </c>
      <c r="BO8" s="33">
        <v>140.4286</v>
      </c>
      <c r="BP8" s="33">
        <v>86.936</v>
      </c>
      <c r="BQ8" s="33">
        <v>36.98167</v>
      </c>
      <c r="BR8" s="33">
        <v>9.609373</v>
      </c>
      <c r="BS8" s="33">
        <v>1846.82</v>
      </c>
      <c r="BT8" s="33">
        <v>55.78119</v>
      </c>
      <c r="BU8" s="33">
        <v>60.80565</v>
      </c>
      <c r="BV8" s="33">
        <v>174.1788</v>
      </c>
      <c r="BW8" s="33">
        <v>35.52591</v>
      </c>
      <c r="BX8" s="33">
        <v>58.07357</v>
      </c>
      <c r="BY8" s="33">
        <v>138.7769</v>
      </c>
      <c r="BZ8" s="33">
        <v>76.81142</v>
      </c>
      <c r="CA8" s="33">
        <v>37.27179</v>
      </c>
      <c r="CB8" s="33">
        <v>99.13072</v>
      </c>
      <c r="CC8" s="33">
        <v>87.09513</v>
      </c>
      <c r="CD8" s="33">
        <v>44.35045</v>
      </c>
      <c r="CE8" s="33">
        <v>105.1954</v>
      </c>
      <c r="CF8" s="33">
        <v>101.0764</v>
      </c>
      <c r="CG8" s="33">
        <v>83.48691</v>
      </c>
      <c r="CH8" s="33">
        <v>40.85334</v>
      </c>
      <c r="CI8" s="33">
        <v>113.3016</v>
      </c>
      <c r="CJ8" s="33">
        <v>64.81847</v>
      </c>
      <c r="CK8" s="33">
        <v>73.84152</v>
      </c>
      <c r="CL8" s="33">
        <v>46.94416</v>
      </c>
      <c r="CM8" s="33">
        <v>32.00442</v>
      </c>
      <c r="CN8" s="33">
        <v>60.59557</v>
      </c>
      <c r="CO8" s="33">
        <v>46.42553</v>
      </c>
      <c r="CP8" s="33">
        <v>46.56753</v>
      </c>
      <c r="CQ8" s="33">
        <v>119.4927</v>
      </c>
      <c r="CR8" s="33">
        <v>49.94218</v>
      </c>
      <c r="CS8" s="33">
        <v>39.36209</v>
      </c>
      <c r="CT8" s="33">
        <v>28.2</v>
      </c>
      <c r="CU8" s="33">
        <v>25.96</v>
      </c>
      <c r="CV8" s="33">
        <v>93.57056</v>
      </c>
      <c r="CW8" s="33">
        <v>179.4018</v>
      </c>
      <c r="CX8" s="33">
        <v>6</v>
      </c>
      <c r="CY8" s="33">
        <v>12.57333</v>
      </c>
      <c r="CZ8" s="33">
        <v>23.15</v>
      </c>
      <c r="DA8" s="33">
        <v>18.75</v>
      </c>
      <c r="DB8" s="33">
        <v>51.65</v>
      </c>
      <c r="DC8" s="33">
        <v>25.30663</v>
      </c>
      <c r="DD8" s="33">
        <v>3.107295</v>
      </c>
      <c r="DE8" s="33">
        <v>58.03164</v>
      </c>
      <c r="DF8" s="33">
        <v>39.15</v>
      </c>
      <c r="DG8" s="33">
        <v>5</v>
      </c>
      <c r="DH8" s="33">
        <v>51.99</v>
      </c>
      <c r="DI8" s="33">
        <v>64.30492</v>
      </c>
      <c r="DJ8" s="33">
        <v>87.19916</v>
      </c>
      <c r="DK8" s="33">
        <v>42.45945</v>
      </c>
      <c r="DL8" s="33">
        <v>163.5195</v>
      </c>
      <c r="DM8" s="33">
        <v>85.10266</v>
      </c>
      <c r="DN8" s="33">
        <v>44.87716</v>
      </c>
      <c r="DO8" s="33">
        <v>51.52577</v>
      </c>
      <c r="DP8" s="33">
        <v>34.70809</v>
      </c>
      <c r="DQ8" s="33">
        <v>93.80785</v>
      </c>
      <c r="DR8" s="33">
        <v>61.96703</v>
      </c>
      <c r="DS8" s="33">
        <v>36.15401</v>
      </c>
      <c r="DT8" s="33">
        <v>20.95789</v>
      </c>
      <c r="DU8" s="33">
        <v>34.17401</v>
      </c>
      <c r="DV8" s="34">
        <v>44.229008</v>
      </c>
      <c r="DW8" s="33">
        <v>62.814</v>
      </c>
      <c r="DX8" s="33">
        <v>72.4185</v>
      </c>
      <c r="DY8" s="33">
        <v>37.11697</v>
      </c>
      <c r="DZ8" s="33">
        <v>9.49421</v>
      </c>
      <c r="EA8" s="35">
        <v>2384.2</v>
      </c>
    </row>
    <row r="9" ht="14.8" spans="1:131">
      <c r="A9" s="32">
        <v>42856</v>
      </c>
      <c r="B9" s="33">
        <v>113.884</v>
      </c>
      <c r="C9" s="33">
        <v>26.14259</v>
      </c>
      <c r="D9" s="33">
        <v>72.15007</v>
      </c>
      <c r="E9" s="33">
        <v>54.1712</v>
      </c>
      <c r="F9" s="33">
        <v>54.14349</v>
      </c>
      <c r="G9" s="33">
        <v>136.448</v>
      </c>
      <c r="H9" s="33">
        <v>47.14109</v>
      </c>
      <c r="I9" s="33">
        <v>170.7204</v>
      </c>
      <c r="J9" s="33">
        <v>177.36</v>
      </c>
      <c r="K9" s="33">
        <v>168.39</v>
      </c>
      <c r="L9" s="33">
        <v>66.84</v>
      </c>
      <c r="M9" s="33">
        <v>58.25681</v>
      </c>
      <c r="N9" s="33">
        <v>86.44</v>
      </c>
      <c r="O9" s="33">
        <v>582.81</v>
      </c>
      <c r="P9" s="33">
        <v>163.5861</v>
      </c>
      <c r="Q9" s="33">
        <v>67.772</v>
      </c>
      <c r="R9" s="33">
        <v>172.3961</v>
      </c>
      <c r="S9" s="33">
        <v>459.06</v>
      </c>
      <c r="T9" s="33">
        <v>42.48223</v>
      </c>
      <c r="U9" s="33">
        <v>76.78718</v>
      </c>
      <c r="V9" s="33">
        <v>135.8556</v>
      </c>
      <c r="W9" s="33">
        <v>35.53</v>
      </c>
      <c r="X9" s="33">
        <v>60.70928</v>
      </c>
      <c r="Y9" s="33">
        <v>38.41514</v>
      </c>
      <c r="Z9" s="33">
        <v>178.2928</v>
      </c>
      <c r="AA9" s="33">
        <v>304.8933</v>
      </c>
      <c r="AB9" s="33">
        <v>67.30877</v>
      </c>
      <c r="AC9" s="33">
        <v>56.40466</v>
      </c>
      <c r="AD9" s="33">
        <v>65.4489</v>
      </c>
      <c r="AE9" s="33">
        <v>141.86</v>
      </c>
      <c r="AF9" s="33">
        <v>42.32891</v>
      </c>
      <c r="AG9" s="33">
        <v>74.87</v>
      </c>
      <c r="AH9" s="33">
        <v>39.34</v>
      </c>
      <c r="AI9" s="33">
        <v>90.16</v>
      </c>
      <c r="AJ9" s="33">
        <v>47.15</v>
      </c>
      <c r="AK9" s="33">
        <v>16.23128</v>
      </c>
      <c r="AL9" s="33">
        <v>128.13</v>
      </c>
      <c r="AM9" s="33">
        <v>35.66736</v>
      </c>
      <c r="AN9" s="33">
        <v>32.23478</v>
      </c>
      <c r="AO9" s="33">
        <v>202.8527</v>
      </c>
      <c r="AP9" s="33">
        <v>73.76137</v>
      </c>
      <c r="AQ9" s="33">
        <v>49.5853</v>
      </c>
      <c r="AR9" s="33">
        <v>11.19</v>
      </c>
      <c r="AS9" s="33">
        <v>30.72705</v>
      </c>
      <c r="AT9" s="33">
        <v>78.38341</v>
      </c>
      <c r="AU9" s="33">
        <v>105.6761</v>
      </c>
      <c r="AV9" s="33">
        <v>77.7292</v>
      </c>
      <c r="AW9" s="33">
        <v>62.5481</v>
      </c>
      <c r="AX9" s="33">
        <v>99.38265</v>
      </c>
      <c r="AY9" s="33">
        <v>36.15609</v>
      </c>
      <c r="AZ9" s="33">
        <v>89.64</v>
      </c>
      <c r="BA9" s="33">
        <v>104.65</v>
      </c>
      <c r="BB9" s="33">
        <v>45.87555</v>
      </c>
      <c r="BC9" s="33">
        <v>38.64</v>
      </c>
      <c r="BD9" s="33">
        <v>51.35275</v>
      </c>
      <c r="BE9" s="33">
        <v>16.39393</v>
      </c>
      <c r="BF9" s="33">
        <v>123.9409</v>
      </c>
      <c r="BG9" s="33">
        <v>994.62</v>
      </c>
      <c r="BH9" s="33">
        <v>33.02823</v>
      </c>
      <c r="BI9" s="33">
        <v>13.41</v>
      </c>
      <c r="BJ9" s="33">
        <v>29.98192</v>
      </c>
      <c r="BK9" s="33">
        <v>135.3459</v>
      </c>
      <c r="BL9" s="33">
        <v>58.25581</v>
      </c>
      <c r="BM9" s="33">
        <v>80.63953</v>
      </c>
      <c r="BN9" s="33">
        <v>50.55216</v>
      </c>
      <c r="BO9" s="33">
        <v>138.0986</v>
      </c>
      <c r="BP9" s="33">
        <v>89.91074</v>
      </c>
      <c r="BQ9" s="33">
        <v>39.34323</v>
      </c>
      <c r="BR9" s="33">
        <v>9.112334</v>
      </c>
      <c r="BS9" s="33">
        <v>1877.09</v>
      </c>
      <c r="BT9" s="33">
        <v>57.8582</v>
      </c>
      <c r="BU9" s="33">
        <v>67.49326</v>
      </c>
      <c r="BV9" s="33">
        <v>203.303</v>
      </c>
      <c r="BW9" s="33">
        <v>34.71191</v>
      </c>
      <c r="BX9" s="33">
        <v>51.73246</v>
      </c>
      <c r="BY9" s="33">
        <v>130.4683</v>
      </c>
      <c r="BZ9" s="33">
        <v>78.07314</v>
      </c>
      <c r="CA9" s="33">
        <v>39.27575</v>
      </c>
      <c r="CB9" s="33">
        <v>102.2723</v>
      </c>
      <c r="CC9" s="33">
        <v>94.13567</v>
      </c>
      <c r="CD9" s="33">
        <v>48.04776</v>
      </c>
      <c r="CE9" s="33">
        <v>109.2176</v>
      </c>
      <c r="CF9" s="33">
        <v>104.3879</v>
      </c>
      <c r="CG9" s="33">
        <v>90.19343</v>
      </c>
      <c r="CH9" s="33">
        <v>42.26864</v>
      </c>
      <c r="CI9" s="33">
        <v>114.4474</v>
      </c>
      <c r="CJ9" s="33">
        <v>69.07696</v>
      </c>
      <c r="CK9" s="33">
        <v>75.32014</v>
      </c>
      <c r="CL9" s="33">
        <v>48.75649</v>
      </c>
      <c r="CM9" s="33">
        <v>30.83458</v>
      </c>
      <c r="CN9" s="33">
        <v>61.10765</v>
      </c>
      <c r="CO9" s="33">
        <v>48.62769</v>
      </c>
      <c r="CP9" s="33">
        <v>48.57013</v>
      </c>
      <c r="CQ9" s="33">
        <v>122.0454</v>
      </c>
      <c r="CR9" s="33">
        <v>50.35006</v>
      </c>
      <c r="CS9" s="33">
        <v>43.65779</v>
      </c>
      <c r="CT9" s="33">
        <v>29.96</v>
      </c>
      <c r="CU9" s="33">
        <v>23.27</v>
      </c>
      <c r="CV9" s="33">
        <v>92.27313</v>
      </c>
      <c r="CW9" s="33">
        <v>183.317</v>
      </c>
      <c r="CX9" s="33">
        <v>5.88</v>
      </c>
      <c r="CY9" s="33">
        <v>12.66667</v>
      </c>
      <c r="CZ9" s="33">
        <v>25.05</v>
      </c>
      <c r="DA9" s="33">
        <v>18.65</v>
      </c>
      <c r="DB9" s="33">
        <v>44.2</v>
      </c>
      <c r="DC9" s="33">
        <v>17.98732</v>
      </c>
      <c r="DD9" s="33">
        <v>2.974667</v>
      </c>
      <c r="DE9" s="33">
        <v>58.5561</v>
      </c>
      <c r="DF9" s="33">
        <v>35.85</v>
      </c>
      <c r="DG9" s="33">
        <v>5.27</v>
      </c>
      <c r="DH9" s="33">
        <v>51.98</v>
      </c>
      <c r="DI9" s="33">
        <v>63.3992</v>
      </c>
      <c r="DJ9" s="33">
        <v>84.56764</v>
      </c>
      <c r="DK9" s="33">
        <v>39.60579</v>
      </c>
      <c r="DL9" s="33">
        <v>157.725</v>
      </c>
      <c r="DM9" s="33">
        <v>83.22964</v>
      </c>
      <c r="DN9" s="33">
        <v>42.17515</v>
      </c>
      <c r="DO9" s="33">
        <v>49.3405</v>
      </c>
      <c r="DP9" s="33">
        <v>29.86531</v>
      </c>
      <c r="DQ9" s="33">
        <v>87.15562</v>
      </c>
      <c r="DR9" s="33">
        <v>59.40604</v>
      </c>
      <c r="DS9" s="33">
        <v>33.58419</v>
      </c>
      <c r="DT9" s="33">
        <v>20.1371</v>
      </c>
      <c r="DU9" s="33">
        <v>31.92637</v>
      </c>
      <c r="DV9" s="34">
        <v>42.731255</v>
      </c>
      <c r="DW9" s="33">
        <v>68.202</v>
      </c>
      <c r="DX9" s="33">
        <v>84.32325</v>
      </c>
      <c r="DY9" s="33">
        <v>39.80055</v>
      </c>
      <c r="DZ9" s="33">
        <v>9.328547</v>
      </c>
      <c r="EA9" s="35">
        <v>2411.8</v>
      </c>
    </row>
    <row r="10" ht="14.8" spans="1:131">
      <c r="A10" s="32">
        <v>42887</v>
      </c>
      <c r="B10" s="33">
        <v>118.2505</v>
      </c>
      <c r="C10" s="33">
        <v>27.15557</v>
      </c>
      <c r="D10" s="33">
        <v>75.10738</v>
      </c>
      <c r="E10" s="33">
        <v>59.49643</v>
      </c>
      <c r="F10" s="33">
        <v>53.2953</v>
      </c>
      <c r="G10" s="33">
        <v>152.4758</v>
      </c>
      <c r="H10" s="33">
        <v>48.6877</v>
      </c>
      <c r="I10" s="33">
        <v>172.3803</v>
      </c>
      <c r="J10" s="33">
        <v>173.52</v>
      </c>
      <c r="K10" s="33">
        <v>161.42</v>
      </c>
      <c r="L10" s="33">
        <v>73.15</v>
      </c>
      <c r="M10" s="33">
        <v>57.26238</v>
      </c>
      <c r="N10" s="33">
        <v>89.5</v>
      </c>
      <c r="O10" s="33">
        <v>588.54</v>
      </c>
      <c r="P10" s="33">
        <v>173.1484</v>
      </c>
      <c r="Q10" s="33">
        <v>70.97401</v>
      </c>
      <c r="R10" s="33">
        <v>177.8606</v>
      </c>
      <c r="S10" s="33">
        <v>491.14</v>
      </c>
      <c r="T10" s="33">
        <v>45.22691</v>
      </c>
      <c r="U10" s="33">
        <v>80.85979</v>
      </c>
      <c r="V10" s="33">
        <v>131.8833</v>
      </c>
      <c r="W10" s="33">
        <v>35.1</v>
      </c>
      <c r="X10" s="33">
        <v>60.80676</v>
      </c>
      <c r="Y10" s="33">
        <v>38.25746</v>
      </c>
      <c r="Z10" s="33">
        <v>183.8329</v>
      </c>
      <c r="AA10" s="33">
        <v>311.79</v>
      </c>
      <c r="AB10" s="33">
        <v>74.07437</v>
      </c>
      <c r="AC10" s="33">
        <v>57.73005</v>
      </c>
      <c r="AD10" s="33">
        <v>64.96637</v>
      </c>
      <c r="AE10" s="33">
        <v>141.44</v>
      </c>
      <c r="AF10" s="33">
        <v>46.75857</v>
      </c>
      <c r="AG10" s="33">
        <v>72.93</v>
      </c>
      <c r="AH10" s="33">
        <v>37.44</v>
      </c>
      <c r="AI10" s="33">
        <v>92.96</v>
      </c>
      <c r="AJ10" s="33">
        <v>49.81</v>
      </c>
      <c r="AK10" s="33">
        <v>15.12814</v>
      </c>
      <c r="AL10" s="33">
        <v>127.06</v>
      </c>
      <c r="AM10" s="33">
        <v>35.75686</v>
      </c>
      <c r="AN10" s="33">
        <v>30.34318</v>
      </c>
      <c r="AO10" s="33">
        <v>197.4061</v>
      </c>
      <c r="AP10" s="33">
        <v>68.78969</v>
      </c>
      <c r="AQ10" s="33">
        <v>48.28121</v>
      </c>
      <c r="AR10" s="33">
        <v>12.48</v>
      </c>
      <c r="AS10" s="33">
        <v>29.81832</v>
      </c>
      <c r="AT10" s="33">
        <v>71.10806</v>
      </c>
      <c r="AU10" s="33">
        <v>105.2434</v>
      </c>
      <c r="AV10" s="33">
        <v>72.34855</v>
      </c>
      <c r="AW10" s="33">
        <v>60.63582</v>
      </c>
      <c r="AX10" s="33">
        <v>89.84173</v>
      </c>
      <c r="AY10" s="33">
        <v>34.22817</v>
      </c>
      <c r="AZ10" s="33">
        <v>86.6</v>
      </c>
      <c r="BA10" s="33">
        <v>106</v>
      </c>
      <c r="BB10" s="33">
        <v>44.9852</v>
      </c>
      <c r="BC10" s="33">
        <v>38.93</v>
      </c>
      <c r="BD10" s="33">
        <v>52.15111</v>
      </c>
      <c r="BE10" s="33">
        <v>15.27537</v>
      </c>
      <c r="BF10" s="33">
        <v>126.1356</v>
      </c>
      <c r="BG10" s="33">
        <v>968</v>
      </c>
      <c r="BH10" s="33">
        <v>33.62524</v>
      </c>
      <c r="BI10" s="33">
        <v>15</v>
      </c>
      <c r="BJ10" s="33">
        <v>30.86556</v>
      </c>
      <c r="BK10" s="33">
        <v>137.382</v>
      </c>
      <c r="BL10" s="33">
        <v>53.62192</v>
      </c>
      <c r="BM10" s="33">
        <v>82.00877</v>
      </c>
      <c r="BN10" s="33">
        <v>56.28566</v>
      </c>
      <c r="BO10" s="33">
        <v>138.7971</v>
      </c>
      <c r="BP10" s="33">
        <v>98.03402</v>
      </c>
      <c r="BQ10" s="33">
        <v>40.70339</v>
      </c>
      <c r="BR10" s="33">
        <v>10.29694</v>
      </c>
      <c r="BS10" s="33">
        <v>1870.52</v>
      </c>
      <c r="BT10" s="33">
        <v>59.59776</v>
      </c>
      <c r="BU10" s="33">
        <v>68.53391</v>
      </c>
      <c r="BV10" s="33">
        <v>203.1206</v>
      </c>
      <c r="BW10" s="33">
        <v>36.68195</v>
      </c>
      <c r="BX10" s="33">
        <v>51.08965</v>
      </c>
      <c r="BY10" s="33">
        <v>113.8315</v>
      </c>
      <c r="BZ10" s="33">
        <v>77.24003</v>
      </c>
      <c r="CA10" s="33">
        <v>38.7402</v>
      </c>
      <c r="CB10" s="33">
        <v>101.7588</v>
      </c>
      <c r="CC10" s="33">
        <v>92.2891</v>
      </c>
      <c r="CD10" s="33">
        <v>47.10022</v>
      </c>
      <c r="CE10" s="33">
        <v>107.3453</v>
      </c>
      <c r="CF10" s="33">
        <v>100.3851</v>
      </c>
      <c r="CG10" s="33">
        <v>92.2916</v>
      </c>
      <c r="CH10" s="33">
        <v>39.18401</v>
      </c>
      <c r="CI10" s="33">
        <v>115.0019</v>
      </c>
      <c r="CJ10" s="33">
        <v>67.05965</v>
      </c>
      <c r="CK10" s="33">
        <v>70.43539</v>
      </c>
      <c r="CL10" s="33">
        <v>44.97643</v>
      </c>
      <c r="CM10" s="33">
        <v>31.27468</v>
      </c>
      <c r="CN10" s="33">
        <v>59.7088</v>
      </c>
      <c r="CO10" s="33">
        <v>45.52747</v>
      </c>
      <c r="CP10" s="33">
        <v>48.96057</v>
      </c>
      <c r="CQ10" s="33">
        <v>119.8065</v>
      </c>
      <c r="CR10" s="33">
        <v>45.54649</v>
      </c>
      <c r="CS10" s="33">
        <v>44.40188</v>
      </c>
      <c r="CT10" s="33">
        <v>27.22</v>
      </c>
      <c r="CU10" s="33">
        <v>21.92</v>
      </c>
      <c r="CV10" s="33">
        <v>97.06252</v>
      </c>
      <c r="CW10" s="33">
        <v>205.5318</v>
      </c>
      <c r="CX10" s="33">
        <v>5.38</v>
      </c>
      <c r="CY10" s="33">
        <v>14.13333</v>
      </c>
      <c r="CZ10" s="33">
        <v>24.35</v>
      </c>
      <c r="DA10" s="33">
        <v>19.9</v>
      </c>
      <c r="DB10" s="33">
        <v>45</v>
      </c>
      <c r="DC10" s="33">
        <v>19.79701</v>
      </c>
      <c r="DD10" s="33">
        <v>2.633622</v>
      </c>
      <c r="DE10" s="33">
        <v>62.43712</v>
      </c>
      <c r="DF10" s="33">
        <v>38.35</v>
      </c>
      <c r="DG10" s="33">
        <v>5.39</v>
      </c>
      <c r="DH10" s="33">
        <v>52.57</v>
      </c>
      <c r="DI10" s="33">
        <v>64.18075</v>
      </c>
      <c r="DJ10" s="33">
        <v>86.12962</v>
      </c>
      <c r="DK10" s="33">
        <v>39.1769</v>
      </c>
      <c r="DL10" s="33">
        <v>150.8436</v>
      </c>
      <c r="DM10" s="33">
        <v>83.42319</v>
      </c>
      <c r="DN10" s="33">
        <v>40.31868</v>
      </c>
      <c r="DO10" s="33">
        <v>50.12753</v>
      </c>
      <c r="DP10" s="33">
        <v>28.0987</v>
      </c>
      <c r="DQ10" s="33">
        <v>83.44426</v>
      </c>
      <c r="DR10" s="33">
        <v>56.60867</v>
      </c>
      <c r="DS10" s="33">
        <v>33.29029</v>
      </c>
      <c r="DT10" s="33">
        <v>18.91983</v>
      </c>
      <c r="DU10" s="33">
        <v>32.19022</v>
      </c>
      <c r="DV10" s="34">
        <v>43.800446</v>
      </c>
      <c r="DW10" s="33">
        <v>72.322</v>
      </c>
      <c r="DX10" s="33">
        <v>83.6426</v>
      </c>
      <c r="DY10" s="33">
        <v>41.42163</v>
      </c>
      <c r="DZ10" s="33">
        <v>9.387271</v>
      </c>
      <c r="EA10" s="35">
        <v>2423.41</v>
      </c>
    </row>
    <row r="11" ht="14.8" spans="1:131">
      <c r="A11" s="32">
        <v>42917</v>
      </c>
      <c r="B11" s="33">
        <v>118.6349</v>
      </c>
      <c r="C11" s="33">
        <v>26.80795</v>
      </c>
      <c r="D11" s="33">
        <v>75.43592</v>
      </c>
      <c r="E11" s="33">
        <v>57.36305</v>
      </c>
      <c r="F11" s="33">
        <v>53.51125</v>
      </c>
      <c r="G11" s="33">
        <v>154.4943</v>
      </c>
      <c r="H11" s="33">
        <v>49.71878</v>
      </c>
      <c r="I11" s="33">
        <v>173.5778</v>
      </c>
      <c r="J11" s="33">
        <v>173.85</v>
      </c>
      <c r="K11" s="33">
        <v>166.46</v>
      </c>
      <c r="L11" s="33">
        <v>66.61</v>
      </c>
      <c r="M11" s="33">
        <v>57.85437</v>
      </c>
      <c r="N11" s="33">
        <v>90.55</v>
      </c>
      <c r="O11" s="33">
        <v>573.08</v>
      </c>
      <c r="P11" s="33">
        <v>179.8552</v>
      </c>
      <c r="Q11" s="33">
        <v>70.50652</v>
      </c>
      <c r="R11" s="33">
        <v>176.6573</v>
      </c>
      <c r="S11" s="33">
        <v>491.62</v>
      </c>
      <c r="T11" s="33">
        <v>45.75725</v>
      </c>
      <c r="U11" s="33">
        <v>76.50474</v>
      </c>
      <c r="V11" s="33">
        <v>140.2168</v>
      </c>
      <c r="W11" s="33">
        <v>34.7</v>
      </c>
      <c r="X11" s="33">
        <v>61.04688</v>
      </c>
      <c r="Y11" s="33">
        <v>38.425</v>
      </c>
      <c r="Z11" s="33">
        <v>190.484</v>
      </c>
      <c r="AA11" s="33">
        <v>312.7533</v>
      </c>
      <c r="AB11" s="33">
        <v>73.36092</v>
      </c>
      <c r="AC11" s="33">
        <v>57.67284</v>
      </c>
      <c r="AD11" s="33">
        <v>68.51959</v>
      </c>
      <c r="AE11" s="33">
        <v>146.49</v>
      </c>
      <c r="AF11" s="33">
        <v>46.56274</v>
      </c>
      <c r="AG11" s="33">
        <v>76.57</v>
      </c>
      <c r="AH11" s="33">
        <v>36.91</v>
      </c>
      <c r="AI11" s="33">
        <v>101.17</v>
      </c>
      <c r="AJ11" s="33">
        <v>47.14</v>
      </c>
      <c r="AK11" s="33">
        <v>16.63691</v>
      </c>
      <c r="AL11" s="33">
        <v>120.75</v>
      </c>
      <c r="AM11" s="33">
        <v>40.19678</v>
      </c>
      <c r="AN11" s="33">
        <v>31.89902</v>
      </c>
      <c r="AO11" s="33">
        <v>209.8243</v>
      </c>
      <c r="AP11" s="33">
        <v>72.76881</v>
      </c>
      <c r="AQ11" s="33">
        <v>46.50628</v>
      </c>
      <c r="AR11" s="33">
        <v>13.61</v>
      </c>
      <c r="AS11" s="33">
        <v>28.08075</v>
      </c>
      <c r="AT11" s="33">
        <v>72.62199</v>
      </c>
      <c r="AU11" s="33">
        <v>106.0896</v>
      </c>
      <c r="AV11" s="33">
        <v>75.02952</v>
      </c>
      <c r="AW11" s="33">
        <v>59.63654</v>
      </c>
      <c r="AX11" s="33">
        <v>98.19388</v>
      </c>
      <c r="AY11" s="33">
        <v>35.34755</v>
      </c>
      <c r="AZ11" s="33">
        <v>90.8</v>
      </c>
      <c r="BA11" s="33">
        <v>110.45</v>
      </c>
      <c r="BB11" s="33">
        <v>44.68534</v>
      </c>
      <c r="BC11" s="33">
        <v>41.59</v>
      </c>
      <c r="BD11" s="33">
        <v>53.29539</v>
      </c>
      <c r="BE11" s="33">
        <v>16.8167</v>
      </c>
      <c r="BF11" s="33">
        <v>118.6247</v>
      </c>
      <c r="BG11" s="33">
        <v>987.78</v>
      </c>
      <c r="BH11" s="33">
        <v>34.40521</v>
      </c>
      <c r="BI11" s="33">
        <v>14.37</v>
      </c>
      <c r="BJ11" s="33">
        <v>32.14819</v>
      </c>
      <c r="BK11" s="33">
        <v>140.0304</v>
      </c>
      <c r="BL11" s="33">
        <v>49.64003</v>
      </c>
      <c r="BM11" s="33">
        <v>76.06032</v>
      </c>
      <c r="BN11" s="33">
        <v>56.52537</v>
      </c>
      <c r="BO11" s="33">
        <v>135.3589</v>
      </c>
      <c r="BP11" s="33">
        <v>96.93353</v>
      </c>
      <c r="BQ11" s="33">
        <v>40.40446</v>
      </c>
      <c r="BR11" s="33">
        <v>10.18925</v>
      </c>
      <c r="BS11" s="33">
        <v>2028.5</v>
      </c>
      <c r="BT11" s="33">
        <v>60.69756</v>
      </c>
      <c r="BU11" s="33">
        <v>70.13204</v>
      </c>
      <c r="BV11" s="33">
        <v>179.4903</v>
      </c>
      <c r="BW11" s="33">
        <v>31.57684</v>
      </c>
      <c r="BX11" s="33">
        <v>52.88972</v>
      </c>
      <c r="BY11" s="33">
        <v>109.4129</v>
      </c>
      <c r="BZ11" s="33">
        <v>80.49273</v>
      </c>
      <c r="CA11" s="33">
        <v>39.92119</v>
      </c>
      <c r="CB11" s="33">
        <v>102.7456</v>
      </c>
      <c r="CC11" s="33">
        <v>92.49541</v>
      </c>
      <c r="CD11" s="33">
        <v>49.59796</v>
      </c>
      <c r="CE11" s="33">
        <v>116.9664</v>
      </c>
      <c r="CF11" s="33">
        <v>109.7541</v>
      </c>
      <c r="CG11" s="33">
        <v>95.18591</v>
      </c>
      <c r="CH11" s="33">
        <v>40.11033</v>
      </c>
      <c r="CI11" s="33">
        <v>117.7039</v>
      </c>
      <c r="CJ11" s="33">
        <v>65.31373</v>
      </c>
      <c r="CK11" s="33">
        <v>71.93227</v>
      </c>
      <c r="CL11" s="33">
        <v>47.02284</v>
      </c>
      <c r="CM11" s="33">
        <v>31.32969</v>
      </c>
      <c r="CN11" s="33">
        <v>58.45376</v>
      </c>
      <c r="CO11" s="33">
        <v>44.49561</v>
      </c>
      <c r="CP11" s="33">
        <v>50.34785</v>
      </c>
      <c r="CQ11" s="33">
        <v>120.0312</v>
      </c>
      <c r="CR11" s="33">
        <v>46.14039</v>
      </c>
      <c r="CS11" s="33">
        <v>43.65661</v>
      </c>
      <c r="CT11" s="33">
        <v>28.15</v>
      </c>
      <c r="CU11" s="33">
        <v>24.29</v>
      </c>
      <c r="CV11" s="33">
        <v>96.79924</v>
      </c>
      <c r="CW11" s="33">
        <v>197.2041</v>
      </c>
      <c r="CX11" s="33">
        <v>4.33</v>
      </c>
      <c r="CY11" s="33">
        <v>10.83333</v>
      </c>
      <c r="CZ11" s="33">
        <v>25.1</v>
      </c>
      <c r="DA11" s="33">
        <v>13.65</v>
      </c>
      <c r="DB11" s="33">
        <v>37.15</v>
      </c>
      <c r="DC11" s="33">
        <v>26.71636</v>
      </c>
      <c r="DD11" s="33">
        <v>2.548361</v>
      </c>
      <c r="DE11" s="33">
        <v>62.94629</v>
      </c>
      <c r="DF11" s="33">
        <v>34.05</v>
      </c>
      <c r="DG11" s="33">
        <v>5.68</v>
      </c>
      <c r="DH11" s="33">
        <v>53.61</v>
      </c>
      <c r="DI11" s="33">
        <v>63.63218</v>
      </c>
      <c r="DJ11" s="33">
        <v>90.14177</v>
      </c>
      <c r="DK11" s="33">
        <v>40.43348</v>
      </c>
      <c r="DL11" s="33">
        <v>154.1709</v>
      </c>
      <c r="DM11" s="33">
        <v>87.68096</v>
      </c>
      <c r="DN11" s="33">
        <v>41.15537</v>
      </c>
      <c r="DO11" s="33">
        <v>52.49951</v>
      </c>
      <c r="DP11" s="33">
        <v>29.33023</v>
      </c>
      <c r="DQ11" s="33">
        <v>90.08714</v>
      </c>
      <c r="DR11" s="33">
        <v>58.98169</v>
      </c>
      <c r="DS11" s="33">
        <v>22.52942</v>
      </c>
      <c r="DT11" s="33">
        <v>19.85192</v>
      </c>
      <c r="DU11" s="33">
        <v>32.01183</v>
      </c>
      <c r="DV11" s="34">
        <v>45.216908</v>
      </c>
      <c r="DW11" s="33">
        <v>64.694</v>
      </c>
      <c r="DX11" s="33">
        <v>102.2828</v>
      </c>
      <c r="DY11" s="33">
        <v>42.63754</v>
      </c>
      <c r="DZ11" s="33">
        <v>9.412437</v>
      </c>
      <c r="EA11" s="35">
        <v>2470.3</v>
      </c>
    </row>
    <row r="12" ht="14.8" spans="1:131">
      <c r="A12" s="32">
        <v>42948</v>
      </c>
      <c r="B12" s="33">
        <v>118.322</v>
      </c>
      <c r="C12" s="33">
        <v>27.42235</v>
      </c>
      <c r="D12" s="33">
        <v>74.18565</v>
      </c>
      <c r="E12" s="33">
        <v>62.34108</v>
      </c>
      <c r="F12" s="33">
        <v>53.49451</v>
      </c>
      <c r="G12" s="33">
        <v>157.3804</v>
      </c>
      <c r="H12" s="33">
        <v>53.21578</v>
      </c>
      <c r="I12" s="33">
        <v>185.0586</v>
      </c>
      <c r="J12" s="33">
        <v>204.46</v>
      </c>
      <c r="K12" s="33">
        <v>155.43</v>
      </c>
      <c r="L12" s="33">
        <v>74.61</v>
      </c>
      <c r="M12" s="33">
        <v>62.62478</v>
      </c>
      <c r="N12" s="33">
        <v>96.03</v>
      </c>
      <c r="O12" s="33">
        <v>605.09</v>
      </c>
      <c r="P12" s="33">
        <v>186.5033</v>
      </c>
      <c r="Q12" s="33">
        <v>68.66549</v>
      </c>
      <c r="R12" s="33">
        <v>185.983</v>
      </c>
      <c r="S12" s="33">
        <v>496.9</v>
      </c>
      <c r="T12" s="33">
        <v>47.65705</v>
      </c>
      <c r="U12" s="33">
        <v>73.83501</v>
      </c>
      <c r="V12" s="33">
        <v>134.7548</v>
      </c>
      <c r="W12" s="33">
        <v>41.29</v>
      </c>
      <c r="X12" s="33">
        <v>61.22264</v>
      </c>
      <c r="Y12" s="33">
        <v>31.02382</v>
      </c>
      <c r="Z12" s="33">
        <v>188.6302</v>
      </c>
      <c r="AA12" s="33">
        <v>334.89</v>
      </c>
      <c r="AB12" s="33">
        <v>73.79852</v>
      </c>
      <c r="AC12" s="33">
        <v>59.16042</v>
      </c>
      <c r="AD12" s="33">
        <v>70.47057</v>
      </c>
      <c r="AE12" s="33">
        <v>155.16</v>
      </c>
      <c r="AF12" s="33">
        <v>47.11281</v>
      </c>
      <c r="AG12" s="33">
        <v>80.42</v>
      </c>
      <c r="AH12" s="33">
        <v>38.2</v>
      </c>
      <c r="AI12" s="33">
        <v>103.75</v>
      </c>
      <c r="AJ12" s="33">
        <v>47.15</v>
      </c>
      <c r="AK12" s="33">
        <v>16.09469</v>
      </c>
      <c r="AL12" s="33">
        <v>119.38</v>
      </c>
      <c r="AM12" s="33">
        <v>41.91092</v>
      </c>
      <c r="AN12" s="33">
        <v>31.53928</v>
      </c>
      <c r="AO12" s="33">
        <v>214.4264</v>
      </c>
      <c r="AP12" s="33">
        <v>74.50786</v>
      </c>
      <c r="AQ12" s="33">
        <v>45.70189</v>
      </c>
      <c r="AR12" s="33">
        <v>13</v>
      </c>
      <c r="AS12" s="33">
        <v>31.92537</v>
      </c>
      <c r="AT12" s="33">
        <v>76.90522</v>
      </c>
      <c r="AU12" s="33">
        <v>108.6185</v>
      </c>
      <c r="AV12" s="33">
        <v>81.36635</v>
      </c>
      <c r="AW12" s="33">
        <v>62.27617</v>
      </c>
      <c r="AX12" s="33">
        <v>98.6527</v>
      </c>
      <c r="AY12" s="33">
        <v>38.97666</v>
      </c>
      <c r="AZ12" s="33">
        <v>95.49</v>
      </c>
      <c r="BA12" s="33">
        <v>116.19</v>
      </c>
      <c r="BB12" s="33">
        <v>45.85166</v>
      </c>
      <c r="BC12" s="33">
        <v>40.86</v>
      </c>
      <c r="BD12" s="33">
        <v>53.48473</v>
      </c>
      <c r="BE12" s="33">
        <v>16.79909</v>
      </c>
      <c r="BF12" s="33">
        <v>117.2799</v>
      </c>
      <c r="BG12" s="33">
        <v>980.6</v>
      </c>
      <c r="BH12" s="33">
        <v>34.79038</v>
      </c>
      <c r="BI12" s="33">
        <v>16.37</v>
      </c>
      <c r="BJ12" s="33">
        <v>32.64856</v>
      </c>
      <c r="BK12" s="33">
        <v>144.39</v>
      </c>
      <c r="BL12" s="33">
        <v>50.44928</v>
      </c>
      <c r="BM12" s="33">
        <v>74.96116</v>
      </c>
      <c r="BN12" s="33">
        <v>50.55216</v>
      </c>
      <c r="BO12" s="33">
        <v>135.6032</v>
      </c>
      <c r="BP12" s="33">
        <v>99.52776</v>
      </c>
      <c r="BQ12" s="33">
        <v>38.56263</v>
      </c>
      <c r="BR12" s="33">
        <v>10.57859</v>
      </c>
      <c r="BS12" s="33">
        <v>1852.08</v>
      </c>
      <c r="BT12" s="33">
        <v>63.15163</v>
      </c>
      <c r="BU12" s="33">
        <v>71.66776</v>
      </c>
      <c r="BV12" s="33">
        <v>175.4096</v>
      </c>
      <c r="BW12" s="33">
        <v>24.6543</v>
      </c>
      <c r="BX12" s="33">
        <v>56.08459</v>
      </c>
      <c r="BY12" s="33">
        <v>95.6301</v>
      </c>
      <c r="BZ12" s="33">
        <v>82.41943</v>
      </c>
      <c r="CA12" s="33">
        <v>39.66864</v>
      </c>
      <c r="CB12" s="33">
        <v>101.9703</v>
      </c>
      <c r="CC12" s="33">
        <v>92.66975</v>
      </c>
      <c r="CD12" s="33">
        <v>50.65972</v>
      </c>
      <c r="CE12" s="33">
        <v>120.4063</v>
      </c>
      <c r="CF12" s="33">
        <v>107.6711</v>
      </c>
      <c r="CG12" s="33">
        <v>102.8785</v>
      </c>
      <c r="CH12" s="33">
        <v>37.04876</v>
      </c>
      <c r="CI12" s="33">
        <v>117.8803</v>
      </c>
      <c r="CJ12" s="33">
        <v>65.16804</v>
      </c>
      <c r="CK12" s="33">
        <v>66.41356</v>
      </c>
      <c r="CL12" s="33">
        <v>47.37687</v>
      </c>
      <c r="CM12" s="33">
        <v>28.33246</v>
      </c>
      <c r="CN12" s="33">
        <v>56.27034</v>
      </c>
      <c r="CO12" s="33">
        <v>44.63307</v>
      </c>
      <c r="CP12" s="33">
        <v>47.34679</v>
      </c>
      <c r="CQ12" s="33">
        <v>125.3615</v>
      </c>
      <c r="CR12" s="33">
        <v>40.62896</v>
      </c>
      <c r="CS12" s="33">
        <v>39.97992</v>
      </c>
      <c r="CT12" s="33">
        <v>27.45</v>
      </c>
      <c r="CU12" s="33">
        <v>29.45</v>
      </c>
      <c r="CV12" s="33">
        <v>100.3714</v>
      </c>
      <c r="CW12" s="33">
        <v>203.2237</v>
      </c>
      <c r="CX12" s="33">
        <v>5.05</v>
      </c>
      <c r="CY12" s="33">
        <v>11.66667</v>
      </c>
      <c r="CZ12" s="33">
        <v>28.05</v>
      </c>
      <c r="DA12" s="33">
        <v>15.2</v>
      </c>
      <c r="DB12" s="33">
        <v>28</v>
      </c>
      <c r="DC12" s="33">
        <v>28.5423</v>
      </c>
      <c r="DD12" s="33">
        <v>2.339945</v>
      </c>
      <c r="DE12" s="33">
        <v>65.56494</v>
      </c>
      <c r="DF12" s="33">
        <v>38.45</v>
      </c>
      <c r="DG12" s="33">
        <v>5.93</v>
      </c>
      <c r="DH12" s="33">
        <v>52.08</v>
      </c>
      <c r="DI12" s="33">
        <v>60.68272</v>
      </c>
      <c r="DJ12" s="33">
        <v>88.84567</v>
      </c>
      <c r="DK12" s="33">
        <v>39.14714</v>
      </c>
      <c r="DL12" s="33">
        <v>122.5521</v>
      </c>
      <c r="DM12" s="33">
        <v>78.47229</v>
      </c>
      <c r="DN12" s="33">
        <v>35.94396</v>
      </c>
      <c r="DO12" s="33">
        <v>50.60909</v>
      </c>
      <c r="DP12" s="33">
        <v>27.64843</v>
      </c>
      <c r="DQ12" s="33">
        <v>85.30464</v>
      </c>
      <c r="DR12" s="33">
        <v>54.60536</v>
      </c>
      <c r="DS12" s="33">
        <v>29.72052</v>
      </c>
      <c r="DT12" s="33">
        <v>17.96689</v>
      </c>
      <c r="DU12" s="33">
        <v>30.01538</v>
      </c>
      <c r="DV12" s="34">
        <v>35.680508</v>
      </c>
      <c r="DW12" s="33">
        <v>71.18</v>
      </c>
      <c r="DX12" s="33">
        <v>111.3258</v>
      </c>
      <c r="DY12" s="33">
        <v>43.00411</v>
      </c>
      <c r="DZ12" s="33">
        <v>9.37188</v>
      </c>
      <c r="EA12" s="35">
        <v>2471.65</v>
      </c>
    </row>
    <row r="13" ht="14.8" spans="1:131">
      <c r="A13" s="32">
        <v>42979</v>
      </c>
      <c r="B13" s="33">
        <v>116.9517</v>
      </c>
      <c r="C13" s="33">
        <v>29.1433</v>
      </c>
      <c r="D13" s="33">
        <v>78.5621</v>
      </c>
      <c r="E13" s="33">
        <v>73.56743</v>
      </c>
      <c r="F13" s="33">
        <v>53.63691</v>
      </c>
      <c r="G13" s="33">
        <v>166.1781</v>
      </c>
      <c r="H13" s="33">
        <v>56.08423</v>
      </c>
      <c r="I13" s="33">
        <v>187.0957</v>
      </c>
      <c r="J13" s="33">
        <v>199.2</v>
      </c>
      <c r="K13" s="33">
        <v>155.49</v>
      </c>
      <c r="L13" s="33">
        <v>48.93</v>
      </c>
      <c r="M13" s="33">
        <v>62.12159</v>
      </c>
      <c r="N13" s="33">
        <v>95.07</v>
      </c>
      <c r="O13" s="33">
        <v>626.16</v>
      </c>
      <c r="P13" s="33">
        <v>183.6434</v>
      </c>
      <c r="Q13" s="33">
        <v>72.19908</v>
      </c>
      <c r="R13" s="33">
        <v>180.139</v>
      </c>
      <c r="S13" s="33">
        <v>447.12</v>
      </c>
      <c r="T13" s="33">
        <v>49.92108</v>
      </c>
      <c r="U13" s="33">
        <v>71.22485</v>
      </c>
      <c r="V13" s="33">
        <v>135.3745</v>
      </c>
      <c r="W13" s="33">
        <v>39.92</v>
      </c>
      <c r="X13" s="33">
        <v>62.25765</v>
      </c>
      <c r="Y13" s="33">
        <v>30.91542</v>
      </c>
      <c r="Z13" s="33">
        <v>185.3294</v>
      </c>
      <c r="AA13" s="33">
        <v>348.6267</v>
      </c>
      <c r="AB13" s="33">
        <v>73.55843</v>
      </c>
      <c r="AC13" s="33">
        <v>59.99378</v>
      </c>
      <c r="AD13" s="33">
        <v>70.58072</v>
      </c>
      <c r="AE13" s="33">
        <v>149.18</v>
      </c>
      <c r="AF13" s="33">
        <v>45.25937</v>
      </c>
      <c r="AG13" s="33">
        <v>80.53</v>
      </c>
      <c r="AH13" s="33">
        <v>35.84</v>
      </c>
      <c r="AI13" s="33">
        <v>106.39</v>
      </c>
      <c r="AJ13" s="33">
        <v>48.72</v>
      </c>
      <c r="AK13" s="33">
        <v>17.66078</v>
      </c>
      <c r="AL13" s="33">
        <v>120.56</v>
      </c>
      <c r="AM13" s="33">
        <v>44.25763</v>
      </c>
      <c r="AN13" s="33">
        <v>34.50333</v>
      </c>
      <c r="AO13" s="33">
        <v>206.3196</v>
      </c>
      <c r="AP13" s="33">
        <v>80.64336</v>
      </c>
      <c r="AQ13" s="33">
        <v>45.82798</v>
      </c>
      <c r="AR13" s="33">
        <v>12.75</v>
      </c>
      <c r="AS13" s="33">
        <v>39.2751</v>
      </c>
      <c r="AT13" s="33">
        <v>79.20309</v>
      </c>
      <c r="AU13" s="33">
        <v>108.7435</v>
      </c>
      <c r="AV13" s="33">
        <v>84.52335</v>
      </c>
      <c r="AW13" s="33">
        <v>67.1411</v>
      </c>
      <c r="AX13" s="33">
        <v>95.71387</v>
      </c>
      <c r="AY13" s="33">
        <v>36.7724</v>
      </c>
      <c r="AZ13" s="33">
        <v>93.42</v>
      </c>
      <c r="BA13" s="33">
        <v>117.53</v>
      </c>
      <c r="BB13" s="33">
        <v>48.05076</v>
      </c>
      <c r="BC13" s="33">
        <v>41.66</v>
      </c>
      <c r="BD13" s="33">
        <v>58.3379</v>
      </c>
      <c r="BE13" s="33">
        <v>17.57389</v>
      </c>
      <c r="BF13" s="33">
        <v>120.2178</v>
      </c>
      <c r="BG13" s="33">
        <v>961.35</v>
      </c>
      <c r="BH13" s="33">
        <v>37.03399</v>
      </c>
      <c r="BI13" s="33">
        <v>16.88</v>
      </c>
      <c r="BJ13" s="33">
        <v>36.07961</v>
      </c>
      <c r="BK13" s="33">
        <v>142.2594</v>
      </c>
      <c r="BL13" s="33">
        <v>49.6147</v>
      </c>
      <c r="BM13" s="33">
        <v>71.93861</v>
      </c>
      <c r="BN13" s="33">
        <v>49.80376</v>
      </c>
      <c r="BO13" s="33">
        <v>148.8651</v>
      </c>
      <c r="BP13" s="33">
        <v>101.5376</v>
      </c>
      <c r="BQ13" s="33">
        <v>39.92809</v>
      </c>
      <c r="BR13" s="33">
        <v>9.982149</v>
      </c>
      <c r="BS13" s="33">
        <v>1830.82</v>
      </c>
      <c r="BT13" s="33">
        <v>59.03463</v>
      </c>
      <c r="BU13" s="33">
        <v>68.67306</v>
      </c>
      <c r="BV13" s="33">
        <v>191.0874</v>
      </c>
      <c r="BW13" s="33">
        <v>28.75947</v>
      </c>
      <c r="BX13" s="33">
        <v>59.94826</v>
      </c>
      <c r="BY13" s="33">
        <v>96.89996</v>
      </c>
      <c r="BZ13" s="33">
        <v>81.26714</v>
      </c>
      <c r="CA13" s="33">
        <v>39.19835</v>
      </c>
      <c r="CB13" s="33">
        <v>98.86859</v>
      </c>
      <c r="CC13" s="33">
        <v>87.97803</v>
      </c>
      <c r="CD13" s="33">
        <v>50.81237</v>
      </c>
      <c r="CE13" s="33">
        <v>120.2066</v>
      </c>
      <c r="CF13" s="33">
        <v>108.5171</v>
      </c>
      <c r="CG13" s="33">
        <v>104.0296</v>
      </c>
      <c r="CH13" s="33">
        <v>37.04876</v>
      </c>
      <c r="CI13" s="33">
        <v>120.2383</v>
      </c>
      <c r="CJ13" s="33">
        <v>66.26872</v>
      </c>
      <c r="CK13" s="33">
        <v>64.24461</v>
      </c>
      <c r="CL13" s="33">
        <v>48.52823</v>
      </c>
      <c r="CM13" s="33">
        <v>29.62281</v>
      </c>
      <c r="CN13" s="33">
        <v>54.05439</v>
      </c>
      <c r="CO13" s="33">
        <v>48.15661</v>
      </c>
      <c r="CP13" s="33">
        <v>45.89948</v>
      </c>
      <c r="CQ13" s="33">
        <v>119.3708</v>
      </c>
      <c r="CR13" s="33">
        <v>41.17419</v>
      </c>
      <c r="CS13" s="33">
        <v>35.50384</v>
      </c>
      <c r="CT13" s="33">
        <v>26.7</v>
      </c>
      <c r="CU13" s="33">
        <v>28.41</v>
      </c>
      <c r="CV13" s="33">
        <v>106.1845</v>
      </c>
      <c r="CW13" s="33">
        <v>213.8408</v>
      </c>
      <c r="CX13" s="33">
        <v>5.31</v>
      </c>
      <c r="CY13" s="33">
        <v>11.77333</v>
      </c>
      <c r="CZ13" s="33">
        <v>27.35</v>
      </c>
      <c r="DA13" s="33">
        <v>18.85</v>
      </c>
      <c r="DB13" s="33">
        <v>32.5</v>
      </c>
      <c r="DC13" s="33">
        <v>32.24952</v>
      </c>
      <c r="DD13" s="33">
        <v>2.330472</v>
      </c>
      <c r="DE13" s="33">
        <v>72.26582</v>
      </c>
      <c r="DF13" s="33">
        <v>42.95</v>
      </c>
      <c r="DG13" s="33">
        <v>6.48</v>
      </c>
      <c r="DH13" s="33">
        <v>56.08</v>
      </c>
      <c r="DI13" s="33">
        <v>65.80623</v>
      </c>
      <c r="DJ13" s="33">
        <v>97.97673</v>
      </c>
      <c r="DK13" s="33">
        <v>44.87665</v>
      </c>
      <c r="DL13" s="33">
        <v>139.4627</v>
      </c>
      <c r="DM13" s="33">
        <v>89.32121</v>
      </c>
      <c r="DN13" s="33">
        <v>43.32679</v>
      </c>
      <c r="DO13" s="33">
        <v>54.43233</v>
      </c>
      <c r="DP13" s="33">
        <v>32.324</v>
      </c>
      <c r="DQ13" s="33">
        <v>92.04144</v>
      </c>
      <c r="DR13" s="33">
        <v>59.97905</v>
      </c>
      <c r="DS13" s="33">
        <v>32.26215</v>
      </c>
      <c r="DT13" s="33">
        <v>19.42065</v>
      </c>
      <c r="DU13" s="33">
        <v>34.96737</v>
      </c>
      <c r="DV13" s="34">
        <v>42.074337</v>
      </c>
      <c r="DW13" s="33">
        <v>68.22</v>
      </c>
      <c r="DX13" s="33">
        <v>107.4266</v>
      </c>
      <c r="DY13" s="33">
        <v>48.00951</v>
      </c>
      <c r="DZ13" s="33">
        <v>10.17057</v>
      </c>
      <c r="EA13" s="35">
        <v>2519.36</v>
      </c>
    </row>
    <row r="14" ht="14.8" spans="1:131">
      <c r="A14" s="32">
        <v>43009</v>
      </c>
      <c r="B14" s="33">
        <v>125.4076</v>
      </c>
      <c r="C14" s="33">
        <v>28.62084</v>
      </c>
      <c r="D14" s="33">
        <v>75.25578</v>
      </c>
      <c r="E14" s="33">
        <v>74.71821</v>
      </c>
      <c r="F14" s="33">
        <v>46.48181</v>
      </c>
      <c r="G14" s="33">
        <v>156.169</v>
      </c>
      <c r="H14" s="33">
        <v>54.25405</v>
      </c>
      <c r="I14" s="33">
        <v>191.8245</v>
      </c>
      <c r="J14" s="33">
        <v>205.19</v>
      </c>
      <c r="K14" s="33">
        <v>166.17</v>
      </c>
      <c r="L14" s="33">
        <v>44.97</v>
      </c>
      <c r="M14" s="33">
        <v>65.82761</v>
      </c>
      <c r="N14" s="33">
        <v>108.1</v>
      </c>
      <c r="O14" s="33">
        <v>682.63</v>
      </c>
      <c r="P14" s="33">
        <v>197.8658</v>
      </c>
      <c r="Q14" s="33">
        <v>60.84362</v>
      </c>
      <c r="R14" s="33">
        <v>199.1974</v>
      </c>
      <c r="S14" s="33">
        <v>402.62</v>
      </c>
      <c r="T14" s="33">
        <v>50.73502</v>
      </c>
      <c r="U14" s="33">
        <v>74.1818</v>
      </c>
      <c r="V14" s="33">
        <v>148.0696</v>
      </c>
      <c r="W14" s="33">
        <v>42.59</v>
      </c>
      <c r="X14" s="33">
        <v>62.31624</v>
      </c>
      <c r="Y14" s="33">
        <v>35.19252</v>
      </c>
      <c r="Z14" s="33">
        <v>198.0858</v>
      </c>
      <c r="AA14" s="33">
        <v>375.36</v>
      </c>
      <c r="AB14" s="33">
        <v>80.45932</v>
      </c>
      <c r="AC14" s="33">
        <v>61.63823</v>
      </c>
      <c r="AD14" s="33">
        <v>78.81467</v>
      </c>
      <c r="AE14" s="33">
        <v>175.16</v>
      </c>
      <c r="AF14" s="33">
        <v>47.64637</v>
      </c>
      <c r="AG14" s="33">
        <v>86.52</v>
      </c>
      <c r="AH14" s="33">
        <v>39.41</v>
      </c>
      <c r="AI14" s="33">
        <v>107.52</v>
      </c>
      <c r="AJ14" s="33">
        <v>52.25</v>
      </c>
      <c r="AK14" s="33">
        <v>17.49391</v>
      </c>
      <c r="AL14" s="33">
        <v>121.27</v>
      </c>
      <c r="AM14" s="33">
        <v>51.19941</v>
      </c>
      <c r="AN14" s="33">
        <v>41.21735</v>
      </c>
      <c r="AO14" s="33">
        <v>225.4159</v>
      </c>
      <c r="AP14" s="33">
        <v>86.98579</v>
      </c>
      <c r="AQ14" s="33">
        <v>45.09424</v>
      </c>
      <c r="AR14" s="33">
        <v>10.99</v>
      </c>
      <c r="AS14" s="33">
        <v>44.24815</v>
      </c>
      <c r="AT14" s="33">
        <v>84.37852</v>
      </c>
      <c r="AU14" s="33">
        <v>112.5513</v>
      </c>
      <c r="AV14" s="33">
        <v>89.24944</v>
      </c>
      <c r="AW14" s="33">
        <v>69.85214</v>
      </c>
      <c r="AX14" s="33">
        <v>106.9478</v>
      </c>
      <c r="AY14" s="33">
        <v>40.33225</v>
      </c>
      <c r="AZ14" s="33">
        <v>102.34</v>
      </c>
      <c r="BA14" s="33">
        <v>126.37</v>
      </c>
      <c r="BB14" s="33">
        <v>50.90033</v>
      </c>
      <c r="BC14" s="33">
        <v>44.67</v>
      </c>
      <c r="BD14" s="33">
        <v>59.54932</v>
      </c>
      <c r="BE14" s="33">
        <v>19.10533</v>
      </c>
      <c r="BF14" s="33">
        <v>127.6589</v>
      </c>
      <c r="BG14" s="33">
        <v>1105.28</v>
      </c>
      <c r="BH14" s="33">
        <v>36.24439</v>
      </c>
      <c r="BI14" s="33">
        <v>16.7</v>
      </c>
      <c r="BJ14" s="33">
        <v>38.79404</v>
      </c>
      <c r="BK14" s="33">
        <v>151.5479</v>
      </c>
      <c r="BL14" s="33">
        <v>50.65855</v>
      </c>
      <c r="BM14" s="33">
        <v>75.12553</v>
      </c>
      <c r="BN14" s="33">
        <v>52.81984</v>
      </c>
      <c r="BO14" s="33">
        <v>150.8857</v>
      </c>
      <c r="BP14" s="33">
        <v>103.5046</v>
      </c>
      <c r="BQ14" s="33">
        <v>41.50395</v>
      </c>
      <c r="BR14" s="33">
        <v>10.17172</v>
      </c>
      <c r="BS14" s="33">
        <v>1911.96</v>
      </c>
      <c r="BT14" s="33">
        <v>60.6986</v>
      </c>
      <c r="BU14" s="33">
        <v>69.45672</v>
      </c>
      <c r="BV14" s="33">
        <v>176.5525</v>
      </c>
      <c r="BW14" s="33">
        <v>29.74785</v>
      </c>
      <c r="BX14" s="33">
        <v>57.07824</v>
      </c>
      <c r="BY14" s="33">
        <v>79.89538</v>
      </c>
      <c r="BZ14" s="33">
        <v>77.12251</v>
      </c>
      <c r="CA14" s="33">
        <v>40.36174</v>
      </c>
      <c r="CB14" s="33">
        <v>97.80387</v>
      </c>
      <c r="CC14" s="33">
        <v>83.72066</v>
      </c>
      <c r="CD14" s="33">
        <v>49.66392</v>
      </c>
      <c r="CE14" s="33">
        <v>124.6463</v>
      </c>
      <c r="CF14" s="33">
        <v>111.6825</v>
      </c>
      <c r="CG14" s="33">
        <v>107.8593</v>
      </c>
      <c r="CH14" s="33">
        <v>37.95619</v>
      </c>
      <c r="CI14" s="33">
        <v>123.3765</v>
      </c>
      <c r="CJ14" s="33">
        <v>64.08552</v>
      </c>
      <c r="CK14" s="33">
        <v>64.06236</v>
      </c>
      <c r="CL14" s="33">
        <v>50.03041</v>
      </c>
      <c r="CM14" s="33">
        <v>28.71956</v>
      </c>
      <c r="CN14" s="33">
        <v>54.19307</v>
      </c>
      <c r="CO14" s="33">
        <v>46.69746</v>
      </c>
      <c r="CP14" s="33">
        <v>42.79215</v>
      </c>
      <c r="CQ14" s="33">
        <v>114.5022</v>
      </c>
      <c r="CR14" s="33">
        <v>41.65787</v>
      </c>
      <c r="CS14" s="33">
        <v>33.93126</v>
      </c>
      <c r="CT14" s="33">
        <v>27.28</v>
      </c>
      <c r="CU14" s="33">
        <v>31.78</v>
      </c>
      <c r="CV14" s="33">
        <v>103.9209</v>
      </c>
      <c r="CW14" s="33">
        <v>214.5609</v>
      </c>
      <c r="CX14" s="33">
        <v>4.88</v>
      </c>
      <c r="CY14" s="33">
        <v>13</v>
      </c>
      <c r="CZ14" s="33">
        <v>29.05</v>
      </c>
      <c r="DA14" s="33">
        <v>24.05</v>
      </c>
      <c r="DB14" s="33">
        <v>32.15</v>
      </c>
      <c r="DC14" s="33">
        <v>31.43003</v>
      </c>
      <c r="DD14" s="33">
        <v>2.273631</v>
      </c>
      <c r="DE14" s="33">
        <v>79.57797</v>
      </c>
      <c r="DF14" s="33">
        <v>43.3</v>
      </c>
      <c r="DG14" s="33">
        <v>6.13</v>
      </c>
      <c r="DH14" s="33">
        <v>61.43</v>
      </c>
      <c r="DI14" s="33">
        <v>66.90594</v>
      </c>
      <c r="DJ14" s="33">
        <v>96.63424</v>
      </c>
      <c r="DK14" s="33">
        <v>45.86295</v>
      </c>
      <c r="DL14" s="33">
        <v>141.5139</v>
      </c>
      <c r="DM14" s="33">
        <v>92.2112</v>
      </c>
      <c r="DN14" s="33">
        <v>41.04713</v>
      </c>
      <c r="DO14" s="33">
        <v>55.42743</v>
      </c>
      <c r="DP14" s="33">
        <v>32.54958</v>
      </c>
      <c r="DQ14" s="33">
        <v>100.6856</v>
      </c>
      <c r="DR14" s="33">
        <v>55.4633</v>
      </c>
      <c r="DS14" s="33">
        <v>27.68977</v>
      </c>
      <c r="DT14" s="33">
        <v>19.05199</v>
      </c>
      <c r="DU14" s="33">
        <v>33.50976</v>
      </c>
      <c r="DV14" s="34">
        <v>38.004711</v>
      </c>
      <c r="DW14" s="33">
        <v>66.306</v>
      </c>
      <c r="DX14" s="33">
        <v>116.3723</v>
      </c>
      <c r="DY14" s="33">
        <v>49.06179</v>
      </c>
      <c r="DZ14" s="33">
        <v>10.42547</v>
      </c>
      <c r="EA14" s="35">
        <v>2575.26</v>
      </c>
    </row>
    <row r="15" ht="14.8" spans="1:131">
      <c r="A15" s="32">
        <v>43040</v>
      </c>
      <c r="B15" s="33">
        <v>125.3356</v>
      </c>
      <c r="C15" s="33">
        <v>29.60046</v>
      </c>
      <c r="D15" s="33">
        <v>77.73551</v>
      </c>
      <c r="E15" s="33">
        <v>80.8001</v>
      </c>
      <c r="F15" s="33">
        <v>46.63367</v>
      </c>
      <c r="G15" s="33">
        <v>156.5612</v>
      </c>
      <c r="H15" s="33">
        <v>55.93725</v>
      </c>
      <c r="I15" s="33">
        <v>190.7656</v>
      </c>
      <c r="J15" s="33">
        <v>230.03</v>
      </c>
      <c r="K15" s="33">
        <v>156.41</v>
      </c>
      <c r="L15" s="33">
        <v>58.43</v>
      </c>
      <c r="M15" s="33">
        <v>67.13648</v>
      </c>
      <c r="N15" s="33">
        <v>102.01</v>
      </c>
      <c r="O15" s="33">
        <v>629.21</v>
      </c>
      <c r="P15" s="33">
        <v>214.7609</v>
      </c>
      <c r="Q15" s="33">
        <v>68.45597</v>
      </c>
      <c r="R15" s="33">
        <v>223.715</v>
      </c>
      <c r="S15" s="33">
        <v>361.86</v>
      </c>
      <c r="T15" s="33">
        <v>52.99506</v>
      </c>
      <c r="U15" s="33">
        <v>75.66506</v>
      </c>
      <c r="V15" s="33">
        <v>149.1499</v>
      </c>
      <c r="W15" s="33">
        <v>39.79</v>
      </c>
      <c r="X15" s="33">
        <v>70.58666</v>
      </c>
      <c r="Y15" s="33">
        <v>36.00064</v>
      </c>
      <c r="Z15" s="33">
        <v>216.6346</v>
      </c>
      <c r="AA15" s="33">
        <v>399.78</v>
      </c>
      <c r="AB15" s="33">
        <v>81.6254</v>
      </c>
      <c r="AC15" s="33">
        <v>62.65166</v>
      </c>
      <c r="AD15" s="33">
        <v>79.7527</v>
      </c>
      <c r="AE15" s="33">
        <v>181.47</v>
      </c>
      <c r="AF15" s="33">
        <v>46.10513</v>
      </c>
      <c r="AG15" s="33">
        <v>90.38</v>
      </c>
      <c r="AH15" s="33">
        <v>42.06</v>
      </c>
      <c r="AI15" s="33">
        <v>115.1</v>
      </c>
      <c r="AJ15" s="33">
        <v>55.78</v>
      </c>
      <c r="AK15" s="33">
        <v>15.5938</v>
      </c>
      <c r="AL15" s="33">
        <v>134.2</v>
      </c>
      <c r="AM15" s="33">
        <v>49.68925</v>
      </c>
      <c r="AN15" s="33">
        <v>40.62839</v>
      </c>
      <c r="AO15" s="33">
        <v>237.3995</v>
      </c>
      <c r="AP15" s="33">
        <v>88.08573</v>
      </c>
      <c r="AQ15" s="33">
        <v>58.64639</v>
      </c>
      <c r="AR15" s="33">
        <v>10.89</v>
      </c>
      <c r="AS15" s="33">
        <v>42.33083</v>
      </c>
      <c r="AT15" s="33">
        <v>79.58196</v>
      </c>
      <c r="AU15" s="33">
        <v>109.032</v>
      </c>
      <c r="AV15" s="33">
        <v>81.89671</v>
      </c>
      <c r="AW15" s="33">
        <v>65.88985</v>
      </c>
      <c r="AX15" s="33">
        <v>98.38145</v>
      </c>
      <c r="AY15" s="33">
        <v>41.0027</v>
      </c>
      <c r="AZ15" s="33">
        <v>104.32</v>
      </c>
      <c r="BA15" s="33">
        <v>123</v>
      </c>
      <c r="BB15" s="33">
        <v>55.81863</v>
      </c>
      <c r="BC15" s="33">
        <v>43.5</v>
      </c>
      <c r="BD15" s="33">
        <v>61.51892</v>
      </c>
      <c r="BE15" s="33">
        <v>19.01668</v>
      </c>
      <c r="BF15" s="33">
        <v>127.5843</v>
      </c>
      <c r="BG15" s="33">
        <v>1176.75</v>
      </c>
      <c r="BH15" s="33">
        <v>33.38451</v>
      </c>
      <c r="BI15" s="33">
        <v>16.46</v>
      </c>
      <c r="BJ15" s="33">
        <v>38.89334</v>
      </c>
      <c r="BK15" s="33">
        <v>156.1422</v>
      </c>
      <c r="BL15" s="33">
        <v>53.41133</v>
      </c>
      <c r="BM15" s="33">
        <v>77.61083</v>
      </c>
      <c r="BN15" s="33">
        <v>58.03555</v>
      </c>
      <c r="BO15" s="33">
        <v>163.6643</v>
      </c>
      <c r="BP15" s="33">
        <v>105.5788</v>
      </c>
      <c r="BQ15" s="33">
        <v>38.58427</v>
      </c>
      <c r="BR15" s="33">
        <v>9.538629</v>
      </c>
      <c r="BS15" s="33">
        <v>1739.71</v>
      </c>
      <c r="BT15" s="33">
        <v>60.01291</v>
      </c>
      <c r="BU15" s="33">
        <v>77.87178</v>
      </c>
      <c r="BV15" s="33">
        <v>179.6012</v>
      </c>
      <c r="BW15" s="33">
        <v>38.75376</v>
      </c>
      <c r="BX15" s="33">
        <v>64.6369</v>
      </c>
      <c r="BY15" s="33">
        <v>98.72075</v>
      </c>
      <c r="BZ15" s="33">
        <v>80.98518</v>
      </c>
      <c r="CA15" s="33">
        <v>40.1774</v>
      </c>
      <c r="CB15" s="33">
        <v>103.3848</v>
      </c>
      <c r="CC15" s="33">
        <v>82.2085</v>
      </c>
      <c r="CD15" s="33">
        <v>49.51489</v>
      </c>
      <c r="CE15" s="33">
        <v>125.9745</v>
      </c>
      <c r="CF15" s="33">
        <v>104.1418</v>
      </c>
      <c r="CG15" s="33">
        <v>120.4193</v>
      </c>
      <c r="CH15" s="33">
        <v>39.33958</v>
      </c>
      <c r="CI15" s="33">
        <v>127.1152</v>
      </c>
      <c r="CJ15" s="33">
        <v>66.26726</v>
      </c>
      <c r="CK15" s="33">
        <v>67.40923</v>
      </c>
      <c r="CL15" s="33">
        <v>52.24623</v>
      </c>
      <c r="CM15" s="33">
        <v>33.78282</v>
      </c>
      <c r="CN15" s="33">
        <v>57.33908</v>
      </c>
      <c r="CO15" s="33">
        <v>48.17106</v>
      </c>
      <c r="CP15" s="33">
        <v>44.61107</v>
      </c>
      <c r="CQ15" s="33">
        <v>126.8782</v>
      </c>
      <c r="CR15" s="33">
        <v>43.68945</v>
      </c>
      <c r="CS15" s="33">
        <v>25.76879</v>
      </c>
      <c r="CT15" s="33">
        <v>29.12</v>
      </c>
      <c r="CU15" s="33">
        <v>36.67</v>
      </c>
      <c r="CV15" s="33">
        <v>107.387</v>
      </c>
      <c r="CW15" s="33">
        <v>219.9295</v>
      </c>
      <c r="CX15" s="33">
        <v>4.81</v>
      </c>
      <c r="CY15" s="33">
        <v>16.03333</v>
      </c>
      <c r="CZ15" s="33">
        <v>27.75</v>
      </c>
      <c r="DA15" s="33">
        <v>27</v>
      </c>
      <c r="DB15" s="33">
        <v>27.25</v>
      </c>
      <c r="DC15" s="33">
        <v>36.49162</v>
      </c>
      <c r="DD15" s="33">
        <v>4.177796</v>
      </c>
      <c r="DE15" s="33">
        <v>84.90595</v>
      </c>
      <c r="DF15" s="33">
        <v>47.8</v>
      </c>
      <c r="DG15" s="33">
        <v>6.28</v>
      </c>
      <c r="DH15" s="33">
        <v>62.51</v>
      </c>
      <c r="DI15" s="33">
        <v>66.85779</v>
      </c>
      <c r="DJ15" s="33">
        <v>99.21915</v>
      </c>
      <c r="DK15" s="33">
        <v>45.86487</v>
      </c>
      <c r="DL15" s="33">
        <v>147.5368</v>
      </c>
      <c r="DM15" s="33">
        <v>94.63784</v>
      </c>
      <c r="DN15" s="33">
        <v>42.6459</v>
      </c>
      <c r="DO15" s="33">
        <v>60.51779</v>
      </c>
      <c r="DP15" s="33">
        <v>33.9874</v>
      </c>
      <c r="DQ15" s="33">
        <v>102.7057</v>
      </c>
      <c r="DR15" s="33">
        <v>54.46669</v>
      </c>
      <c r="DS15" s="33">
        <v>26.19207</v>
      </c>
      <c r="DT15" s="33">
        <v>19.92147</v>
      </c>
      <c r="DU15" s="33">
        <v>32.88249</v>
      </c>
      <c r="DV15" s="34">
        <v>38.656567</v>
      </c>
      <c r="DW15" s="33">
        <v>61.77</v>
      </c>
      <c r="DX15" s="33">
        <v>105.5985</v>
      </c>
      <c r="DY15" s="33">
        <v>50.36592</v>
      </c>
      <c r="DZ15" s="33">
        <v>10.76999</v>
      </c>
      <c r="EA15" s="35">
        <v>2647.58</v>
      </c>
    </row>
    <row r="16" ht="14.8" spans="1:131">
      <c r="A16" s="32">
        <v>43070</v>
      </c>
      <c r="B16" s="33">
        <v>126.4561</v>
      </c>
      <c r="C16" s="33">
        <v>29.83798</v>
      </c>
      <c r="D16" s="33">
        <v>78.06009</v>
      </c>
      <c r="E16" s="33">
        <v>80.62503</v>
      </c>
      <c r="F16" s="33">
        <v>47.47742</v>
      </c>
      <c r="G16" s="33">
        <v>156.0521</v>
      </c>
      <c r="H16" s="33">
        <v>54.24649</v>
      </c>
      <c r="I16" s="33">
        <v>187.9154</v>
      </c>
      <c r="J16" s="33">
        <v>218.49</v>
      </c>
      <c r="K16" s="33">
        <v>156.38</v>
      </c>
      <c r="L16" s="33">
        <v>57.39</v>
      </c>
      <c r="M16" s="33">
        <v>64.93544</v>
      </c>
      <c r="N16" s="33">
        <v>97.9</v>
      </c>
      <c r="O16" s="33">
        <v>619.52</v>
      </c>
      <c r="P16" s="33">
        <v>208.2046</v>
      </c>
      <c r="Q16" s="33">
        <v>64.79188</v>
      </c>
      <c r="R16" s="33">
        <v>214.2412</v>
      </c>
      <c r="S16" s="33">
        <v>375.96</v>
      </c>
      <c r="T16" s="33">
        <v>53.65315</v>
      </c>
      <c r="U16" s="33">
        <v>74.39368</v>
      </c>
      <c r="V16" s="33">
        <v>148.0409</v>
      </c>
      <c r="W16" s="33">
        <v>41.08</v>
      </c>
      <c r="X16" s="33">
        <v>70.45062</v>
      </c>
      <c r="Y16" s="33">
        <v>41.69688</v>
      </c>
      <c r="Z16" s="33">
        <v>203.2024</v>
      </c>
      <c r="AA16" s="33">
        <v>364.94</v>
      </c>
      <c r="AB16" s="33">
        <v>81.2917</v>
      </c>
      <c r="AC16" s="33">
        <v>61.95284</v>
      </c>
      <c r="AD16" s="33">
        <v>81.45784</v>
      </c>
      <c r="AE16" s="33">
        <v>175.24</v>
      </c>
      <c r="AF16" s="33">
        <v>44.43234</v>
      </c>
      <c r="AG16" s="33">
        <v>85.24</v>
      </c>
      <c r="AH16" s="33">
        <v>43.69</v>
      </c>
      <c r="AI16" s="33">
        <v>114.44</v>
      </c>
      <c r="AJ16" s="33">
        <v>65.04</v>
      </c>
      <c r="AK16" s="33">
        <v>15.14414</v>
      </c>
      <c r="AL16" s="33">
        <v>131.22</v>
      </c>
      <c r="AM16" s="33">
        <v>47.93757</v>
      </c>
      <c r="AN16" s="33">
        <v>42.07227</v>
      </c>
      <c r="AO16" s="33">
        <v>219.4284</v>
      </c>
      <c r="AP16" s="33">
        <v>94.55927</v>
      </c>
      <c r="AQ16" s="33">
        <v>57.07285</v>
      </c>
      <c r="AR16" s="33">
        <v>10.28</v>
      </c>
      <c r="AS16" s="33">
        <v>41.0626</v>
      </c>
      <c r="AT16" s="33">
        <v>82.71513</v>
      </c>
      <c r="AU16" s="33">
        <v>112.5898</v>
      </c>
      <c r="AV16" s="33">
        <v>83.06485</v>
      </c>
      <c r="AW16" s="33">
        <v>64.21944</v>
      </c>
      <c r="AX16" s="33">
        <v>89.44597</v>
      </c>
      <c r="AY16" s="33">
        <v>40.52274</v>
      </c>
      <c r="AZ16" s="33">
        <v>102.23</v>
      </c>
      <c r="BA16" s="33">
        <v>130.39</v>
      </c>
      <c r="BB16" s="33">
        <v>53.56179</v>
      </c>
      <c r="BC16" s="33">
        <v>41.6</v>
      </c>
      <c r="BD16" s="33">
        <v>59.68115</v>
      </c>
      <c r="BE16" s="33">
        <v>18.6266</v>
      </c>
      <c r="BF16" s="33">
        <v>128.3993</v>
      </c>
      <c r="BG16" s="33">
        <v>1169.47</v>
      </c>
      <c r="BH16" s="33">
        <v>36.34069</v>
      </c>
      <c r="BI16" s="33">
        <v>20.45</v>
      </c>
      <c r="BJ16" s="33">
        <v>36.99786</v>
      </c>
      <c r="BK16" s="33">
        <v>157.21</v>
      </c>
      <c r="BL16" s="33">
        <v>53.33212</v>
      </c>
      <c r="BM16" s="33">
        <v>88.37989</v>
      </c>
      <c r="BN16" s="33">
        <v>60.08149</v>
      </c>
      <c r="BO16" s="33">
        <v>173.3758</v>
      </c>
      <c r="BP16" s="33">
        <v>107.3147</v>
      </c>
      <c r="BQ16" s="33">
        <v>36.68544</v>
      </c>
      <c r="BR16" s="33">
        <v>9.960692</v>
      </c>
      <c r="BS16" s="33">
        <v>1737.74</v>
      </c>
      <c r="BT16" s="33">
        <v>61.09065</v>
      </c>
      <c r="BU16" s="33">
        <v>76.42403</v>
      </c>
      <c r="BV16" s="33">
        <v>182.3026</v>
      </c>
      <c r="BW16" s="33">
        <v>42.13083</v>
      </c>
      <c r="BX16" s="33">
        <v>71.10648</v>
      </c>
      <c r="BY16" s="33">
        <v>97.44031</v>
      </c>
      <c r="BZ16" s="33">
        <v>82.68606</v>
      </c>
      <c r="CA16" s="33">
        <v>40.60415</v>
      </c>
      <c r="CB16" s="33">
        <v>107.1397</v>
      </c>
      <c r="CC16" s="33">
        <v>84.52872</v>
      </c>
      <c r="CD16" s="33">
        <v>48.88266</v>
      </c>
      <c r="CE16" s="33">
        <v>132.8523</v>
      </c>
      <c r="CF16" s="33">
        <v>103.0988</v>
      </c>
      <c r="CG16" s="33">
        <v>123.1175</v>
      </c>
      <c r="CH16" s="33">
        <v>39.21132</v>
      </c>
      <c r="CI16" s="33">
        <v>127.9636</v>
      </c>
      <c r="CJ16" s="33">
        <v>69.01125</v>
      </c>
      <c r="CK16" s="33">
        <v>64.93375</v>
      </c>
      <c r="CL16" s="33">
        <v>54.96127</v>
      </c>
      <c r="CM16" s="33">
        <v>33.7272</v>
      </c>
      <c r="CN16" s="33">
        <v>59.39657</v>
      </c>
      <c r="CO16" s="33">
        <v>48.04377</v>
      </c>
      <c r="CP16" s="33">
        <v>47.72805</v>
      </c>
      <c r="CQ16" s="33">
        <v>135.4861</v>
      </c>
      <c r="CR16" s="33">
        <v>42.63488</v>
      </c>
      <c r="CS16" s="33">
        <v>25.90411</v>
      </c>
      <c r="CT16" s="33">
        <v>31.93</v>
      </c>
      <c r="CU16" s="33">
        <v>31.06</v>
      </c>
      <c r="CV16" s="33">
        <v>106.1361</v>
      </c>
      <c r="CW16" s="33">
        <v>237.1088</v>
      </c>
      <c r="CX16" s="33">
        <v>4.6</v>
      </c>
      <c r="CY16" s="33">
        <v>16.46</v>
      </c>
      <c r="CZ16" s="33">
        <v>28.4</v>
      </c>
      <c r="DA16" s="33">
        <v>28</v>
      </c>
      <c r="DB16" s="33">
        <v>28.9</v>
      </c>
      <c r="DC16" s="33">
        <v>34.55351</v>
      </c>
      <c r="DD16" s="33">
        <v>3.486234</v>
      </c>
      <c r="DE16" s="33">
        <v>86.42352</v>
      </c>
      <c r="DF16" s="33">
        <v>47.9</v>
      </c>
      <c r="DG16" s="33">
        <v>6.16</v>
      </c>
      <c r="DH16" s="33">
        <v>60.72</v>
      </c>
      <c r="DI16" s="33">
        <v>67.76009</v>
      </c>
      <c r="DJ16" s="33">
        <v>105.3662</v>
      </c>
      <c r="DK16" s="33">
        <v>49.47961</v>
      </c>
      <c r="DL16" s="33">
        <v>163.4308</v>
      </c>
      <c r="DM16" s="33">
        <v>99.80816</v>
      </c>
      <c r="DN16" s="33">
        <v>44.12381</v>
      </c>
      <c r="DO16" s="33">
        <v>63.23037</v>
      </c>
      <c r="DP16" s="33">
        <v>36.51904</v>
      </c>
      <c r="DQ16" s="33">
        <v>118.6222</v>
      </c>
      <c r="DR16" s="33">
        <v>58.40112</v>
      </c>
      <c r="DS16" s="33">
        <v>28.03611</v>
      </c>
      <c r="DT16" s="33">
        <v>21.88556</v>
      </c>
      <c r="DU16" s="33">
        <v>35.30335</v>
      </c>
      <c r="DV16" s="34">
        <v>39.016979</v>
      </c>
      <c r="DW16" s="33">
        <v>62.27</v>
      </c>
      <c r="DX16" s="33">
        <v>101.9425</v>
      </c>
      <c r="DY16" s="33">
        <v>51.22799</v>
      </c>
      <c r="DZ16" s="33">
        <v>10.74418</v>
      </c>
      <c r="EA16" s="35">
        <v>2673.61</v>
      </c>
    </row>
    <row r="17" ht="14.8" spans="1:131">
      <c r="A17" s="32">
        <v>43101</v>
      </c>
      <c r="B17" s="33">
        <v>125.0714</v>
      </c>
      <c r="C17" s="33">
        <v>30.51349</v>
      </c>
      <c r="D17" s="33">
        <v>75.27816</v>
      </c>
      <c r="E17" s="33">
        <v>93.55538</v>
      </c>
      <c r="F17" s="33">
        <v>50.41701</v>
      </c>
      <c r="G17" s="33">
        <v>166.955</v>
      </c>
      <c r="H17" s="33">
        <v>55.41498</v>
      </c>
      <c r="I17" s="33">
        <v>221.9651</v>
      </c>
      <c r="J17" s="33">
        <v>232.64</v>
      </c>
      <c r="K17" s="33">
        <v>187.04</v>
      </c>
      <c r="L17" s="33">
        <v>58.2</v>
      </c>
      <c r="M17" s="33">
        <v>71.35683</v>
      </c>
      <c r="N17" s="33">
        <v>102.19</v>
      </c>
      <c r="O17" s="33">
        <v>675.26</v>
      </c>
      <c r="P17" s="33">
        <v>223.6174</v>
      </c>
      <c r="Q17" s="33">
        <v>70.32376</v>
      </c>
      <c r="R17" s="33">
        <v>236.7013</v>
      </c>
      <c r="S17" s="33">
        <v>366.65</v>
      </c>
      <c r="T17" s="33">
        <v>58.4384</v>
      </c>
      <c r="U17" s="33">
        <v>79.57681</v>
      </c>
      <c r="V17" s="33">
        <v>157.6381</v>
      </c>
      <c r="W17" s="33">
        <v>46.54</v>
      </c>
      <c r="X17" s="33">
        <v>75.03714</v>
      </c>
      <c r="Y17" s="33">
        <v>42.22906</v>
      </c>
      <c r="Z17" s="33">
        <v>231.4103</v>
      </c>
      <c r="AA17" s="33">
        <v>431.67</v>
      </c>
      <c r="AB17" s="33">
        <v>96.74567</v>
      </c>
      <c r="AC17" s="33">
        <v>69.03562</v>
      </c>
      <c r="AD17" s="33">
        <v>90.47593</v>
      </c>
      <c r="AE17" s="33">
        <v>199.76</v>
      </c>
      <c r="AF17" s="33">
        <v>48.48274</v>
      </c>
      <c r="AG17" s="33">
        <v>92.61</v>
      </c>
      <c r="AH17" s="33">
        <v>46.04</v>
      </c>
      <c r="AI17" s="33">
        <v>114.92</v>
      </c>
      <c r="AJ17" s="33">
        <v>66.99</v>
      </c>
      <c r="AK17" s="33">
        <v>14.69618</v>
      </c>
      <c r="AL17" s="33">
        <v>144.54</v>
      </c>
      <c r="AM17" s="33">
        <v>60.89434</v>
      </c>
      <c r="AN17" s="33">
        <v>43.87692</v>
      </c>
      <c r="AO17" s="33">
        <v>213.2566</v>
      </c>
      <c r="AP17" s="33">
        <v>99.29449</v>
      </c>
      <c r="AQ17" s="33">
        <v>60.84385</v>
      </c>
      <c r="AR17" s="33">
        <v>13.74</v>
      </c>
      <c r="AS17" s="33">
        <v>43.65897</v>
      </c>
      <c r="AT17" s="33">
        <v>85.36298</v>
      </c>
      <c r="AU17" s="33">
        <v>115.6956</v>
      </c>
      <c r="AV17" s="33">
        <v>90.00271</v>
      </c>
      <c r="AW17" s="33">
        <v>69.5536</v>
      </c>
      <c r="AX17" s="33">
        <v>91.57498</v>
      </c>
      <c r="AY17" s="33">
        <v>40.09172</v>
      </c>
      <c r="AZ17" s="33">
        <v>113.91</v>
      </c>
      <c r="BA17" s="33">
        <v>148.87</v>
      </c>
      <c r="BB17" s="33">
        <v>57.07036</v>
      </c>
      <c r="BC17" s="33">
        <v>46.72</v>
      </c>
      <c r="BD17" s="33">
        <v>62.70851</v>
      </c>
      <c r="BE17" s="33">
        <v>20.81035</v>
      </c>
      <c r="BF17" s="33">
        <v>137.0027</v>
      </c>
      <c r="BG17" s="33">
        <v>1450.89</v>
      </c>
      <c r="BH17" s="33">
        <v>39.07538</v>
      </c>
      <c r="BI17" s="33">
        <v>18.76</v>
      </c>
      <c r="BJ17" s="33">
        <v>38.6278</v>
      </c>
      <c r="BK17" s="33">
        <v>156.3149</v>
      </c>
      <c r="BL17" s="33">
        <v>52.75635</v>
      </c>
      <c r="BM17" s="33">
        <v>88.22341</v>
      </c>
      <c r="BN17" s="33">
        <v>65.74536</v>
      </c>
      <c r="BO17" s="33">
        <v>183.7767</v>
      </c>
      <c r="BP17" s="33">
        <v>112.4258</v>
      </c>
      <c r="BQ17" s="33">
        <v>37.1022</v>
      </c>
      <c r="BR17" s="33">
        <v>9.918487</v>
      </c>
      <c r="BS17" s="33">
        <v>1912.05</v>
      </c>
      <c r="BT17" s="33">
        <v>65.91383</v>
      </c>
      <c r="BU17" s="33">
        <v>79.21467</v>
      </c>
      <c r="BV17" s="33">
        <v>209.7444</v>
      </c>
      <c r="BW17" s="33">
        <v>35.04373</v>
      </c>
      <c r="BX17" s="33">
        <v>72.53335</v>
      </c>
      <c r="BY17" s="33">
        <v>114.4195</v>
      </c>
      <c r="BZ17" s="33">
        <v>77.70042</v>
      </c>
      <c r="CA17" s="33">
        <v>42.1175</v>
      </c>
      <c r="CB17" s="33">
        <v>107.4792</v>
      </c>
      <c r="CC17" s="33">
        <v>86.65039</v>
      </c>
      <c r="CD17" s="33">
        <v>49.8808</v>
      </c>
      <c r="CE17" s="33">
        <v>130.9691</v>
      </c>
      <c r="CF17" s="33">
        <v>104.8732</v>
      </c>
      <c r="CG17" s="33">
        <v>130.5874</v>
      </c>
      <c r="CH17" s="33">
        <v>40.88514</v>
      </c>
      <c r="CI17" s="33">
        <v>135.318</v>
      </c>
      <c r="CJ17" s="33">
        <v>67.90451</v>
      </c>
      <c r="CK17" s="33">
        <v>65.45982</v>
      </c>
      <c r="CL17" s="33">
        <v>56.89799</v>
      </c>
      <c r="CM17" s="33">
        <v>31.81795</v>
      </c>
      <c r="CN17" s="33">
        <v>59.51017</v>
      </c>
      <c r="CO17" s="33">
        <v>51.54022</v>
      </c>
      <c r="CP17" s="33">
        <v>46.4723</v>
      </c>
      <c r="CQ17" s="33">
        <v>129.0643</v>
      </c>
      <c r="CR17" s="33">
        <v>41.25241</v>
      </c>
      <c r="CS17" s="33">
        <v>22.1652</v>
      </c>
      <c r="CT17" s="33">
        <v>32.13</v>
      </c>
      <c r="CU17" s="33">
        <v>27.77</v>
      </c>
      <c r="CV17" s="33">
        <v>113.4137</v>
      </c>
      <c r="CW17" s="33">
        <v>249.9264</v>
      </c>
      <c r="CX17" s="33">
        <v>4.81</v>
      </c>
      <c r="CY17" s="33">
        <v>21.49333</v>
      </c>
      <c r="CZ17" s="33">
        <v>28.35</v>
      </c>
      <c r="DA17" s="33">
        <v>29.2</v>
      </c>
      <c r="DB17" s="33">
        <v>28.7</v>
      </c>
      <c r="DC17" s="33">
        <v>34.36019</v>
      </c>
      <c r="DD17" s="33">
        <v>2.302051</v>
      </c>
      <c r="DE17" s="33">
        <v>96.28767</v>
      </c>
      <c r="DF17" s="33">
        <v>48.05</v>
      </c>
      <c r="DG17" s="33">
        <v>6.11</v>
      </c>
      <c r="DH17" s="33">
        <v>59.75</v>
      </c>
      <c r="DI17" s="33">
        <v>70.72521</v>
      </c>
      <c r="DJ17" s="33">
        <v>105.5009</v>
      </c>
      <c r="DK17" s="33">
        <v>53.01323</v>
      </c>
      <c r="DL17" s="33">
        <v>172.9426</v>
      </c>
      <c r="DM17" s="33">
        <v>106.3658</v>
      </c>
      <c r="DN17" s="33">
        <v>47.22621</v>
      </c>
      <c r="DO17" s="33">
        <v>65.07682</v>
      </c>
      <c r="DP17" s="33">
        <v>36.55011</v>
      </c>
      <c r="DQ17" s="33">
        <v>117.9175</v>
      </c>
      <c r="DR17" s="33">
        <v>64.26284</v>
      </c>
      <c r="DS17" s="33">
        <v>28.48802</v>
      </c>
      <c r="DT17" s="33">
        <v>22.6894</v>
      </c>
      <c r="DU17" s="33">
        <v>36.00525</v>
      </c>
      <c r="DV17" s="34">
        <v>41.465939</v>
      </c>
      <c r="DW17" s="33">
        <v>70.862</v>
      </c>
      <c r="DX17" s="33">
        <v>116.1973</v>
      </c>
      <c r="DY17" s="33">
        <v>51.66191</v>
      </c>
      <c r="DZ17" s="33">
        <v>9.436639</v>
      </c>
      <c r="EA17" s="35">
        <v>2823.81</v>
      </c>
    </row>
    <row r="18" ht="14.8" spans="1:131">
      <c r="A18" s="32">
        <v>43132</v>
      </c>
      <c r="B18" s="33">
        <v>117.5503</v>
      </c>
      <c r="C18" s="33">
        <v>29.91211</v>
      </c>
      <c r="D18" s="33">
        <v>71.18384</v>
      </c>
      <c r="E18" s="33">
        <v>97.25762</v>
      </c>
      <c r="F18" s="33">
        <v>46.13688</v>
      </c>
      <c r="G18" s="33">
        <v>164.9091</v>
      </c>
      <c r="H18" s="33">
        <v>58.9863</v>
      </c>
      <c r="I18" s="33">
        <v>206.5837</v>
      </c>
      <c r="J18" s="33">
        <v>228.02</v>
      </c>
      <c r="K18" s="33">
        <v>187.23</v>
      </c>
      <c r="L18" s="33">
        <v>56.14</v>
      </c>
      <c r="M18" s="33">
        <v>66.65347</v>
      </c>
      <c r="N18" s="33">
        <v>98.33</v>
      </c>
      <c r="O18" s="33">
        <v>616.22</v>
      </c>
      <c r="P18" s="33">
        <v>213.5878</v>
      </c>
      <c r="Q18" s="33">
        <v>60.90521</v>
      </c>
      <c r="R18" s="33">
        <v>224.7922</v>
      </c>
      <c r="S18" s="33">
        <v>320.44</v>
      </c>
      <c r="T18" s="33">
        <v>56.98921</v>
      </c>
      <c r="U18" s="33">
        <v>74.01783</v>
      </c>
      <c r="V18" s="33">
        <v>155.5091</v>
      </c>
      <c r="W18" s="33">
        <v>41.75</v>
      </c>
      <c r="X18" s="33">
        <v>79.20603</v>
      </c>
      <c r="Y18" s="33">
        <v>39.73572</v>
      </c>
      <c r="Z18" s="33">
        <v>211.4831</v>
      </c>
      <c r="AA18" s="33">
        <v>426.45</v>
      </c>
      <c r="AB18" s="33">
        <v>91.44714</v>
      </c>
      <c r="AC18" s="33">
        <v>64.97189</v>
      </c>
      <c r="AD18" s="33">
        <v>89.29511</v>
      </c>
      <c r="AE18" s="33">
        <v>209.13</v>
      </c>
      <c r="AF18" s="33">
        <v>47.80359</v>
      </c>
      <c r="AG18" s="33">
        <v>84.67</v>
      </c>
      <c r="AH18" s="33">
        <v>50.47</v>
      </c>
      <c r="AI18" s="33">
        <v>116.02</v>
      </c>
      <c r="AJ18" s="33">
        <v>67.46</v>
      </c>
      <c r="AK18" s="33">
        <v>14.18886</v>
      </c>
      <c r="AL18" s="33">
        <v>148.52</v>
      </c>
      <c r="AM18" s="33">
        <v>59.95293</v>
      </c>
      <c r="AN18" s="33">
        <v>44.92509</v>
      </c>
      <c r="AO18" s="33">
        <v>211.9067</v>
      </c>
      <c r="AP18" s="33">
        <v>98.64227</v>
      </c>
      <c r="AQ18" s="33">
        <v>57.94651</v>
      </c>
      <c r="AR18" s="33">
        <v>12.11</v>
      </c>
      <c r="AS18" s="33">
        <v>48.74187</v>
      </c>
      <c r="AT18" s="33">
        <v>83.7557</v>
      </c>
      <c r="AU18" s="33">
        <v>119.8688</v>
      </c>
      <c r="AV18" s="33">
        <v>84.05734</v>
      </c>
      <c r="AW18" s="33">
        <v>67.86764</v>
      </c>
      <c r="AX18" s="33">
        <v>102.9171</v>
      </c>
      <c r="AY18" s="33">
        <v>42.65147</v>
      </c>
      <c r="AZ18" s="33">
        <v>116.25</v>
      </c>
      <c r="BA18" s="33">
        <v>161.01</v>
      </c>
      <c r="BB18" s="33">
        <v>53.71542</v>
      </c>
      <c r="BC18" s="33">
        <v>47.01</v>
      </c>
      <c r="BD18" s="33">
        <v>63.35194</v>
      </c>
      <c r="BE18" s="33">
        <v>20.87282</v>
      </c>
      <c r="BF18" s="33">
        <v>130.4162</v>
      </c>
      <c r="BG18" s="33">
        <v>1512.45</v>
      </c>
      <c r="BH18" s="33">
        <v>41.27085</v>
      </c>
      <c r="BI18" s="33">
        <v>25.31</v>
      </c>
      <c r="BJ18" s="33">
        <v>35.8407</v>
      </c>
      <c r="BK18" s="33">
        <v>144.0757</v>
      </c>
      <c r="BL18" s="33">
        <v>53.02566</v>
      </c>
      <c r="BM18" s="33">
        <v>85.3993</v>
      </c>
      <c r="BN18" s="33">
        <v>64.59852</v>
      </c>
      <c r="BO18" s="33">
        <v>166.7346</v>
      </c>
      <c r="BP18" s="33">
        <v>106.6716</v>
      </c>
      <c r="BQ18" s="33">
        <v>38.72083</v>
      </c>
      <c r="BR18" s="33">
        <v>9.378243</v>
      </c>
      <c r="BS18" s="33">
        <v>2034.04</v>
      </c>
      <c r="BT18" s="33">
        <v>61.58768</v>
      </c>
      <c r="BU18" s="33">
        <v>76.20865</v>
      </c>
      <c r="BV18" s="33">
        <v>215.1223</v>
      </c>
      <c r="BW18" s="33">
        <v>34.51202</v>
      </c>
      <c r="BX18" s="33">
        <v>61.76513</v>
      </c>
      <c r="BY18" s="33">
        <v>111.7397</v>
      </c>
      <c r="BZ18" s="33">
        <v>71.20164</v>
      </c>
      <c r="CA18" s="33">
        <v>38.25002</v>
      </c>
      <c r="CB18" s="33">
        <v>98.03569</v>
      </c>
      <c r="CC18" s="33">
        <v>83.67666</v>
      </c>
      <c r="CD18" s="33">
        <v>45.57906</v>
      </c>
      <c r="CE18" s="33">
        <v>123.3999</v>
      </c>
      <c r="CF18" s="33">
        <v>98.12685</v>
      </c>
      <c r="CG18" s="33">
        <v>133.9547</v>
      </c>
      <c r="CH18" s="33">
        <v>40.42471</v>
      </c>
      <c r="CI18" s="33">
        <v>130.2306</v>
      </c>
      <c r="CJ18" s="33">
        <v>63.41155</v>
      </c>
      <c r="CK18" s="33">
        <v>55.99031</v>
      </c>
      <c r="CL18" s="33">
        <v>54.30631</v>
      </c>
      <c r="CM18" s="33">
        <v>30.24545</v>
      </c>
      <c r="CN18" s="33">
        <v>57.84133</v>
      </c>
      <c r="CO18" s="33">
        <v>50.59727</v>
      </c>
      <c r="CP18" s="33">
        <v>46.79576</v>
      </c>
      <c r="CQ18" s="33">
        <v>118.2655</v>
      </c>
      <c r="CR18" s="33">
        <v>38.43315</v>
      </c>
      <c r="CS18" s="33">
        <v>21.53646</v>
      </c>
      <c r="CT18" s="33">
        <v>33.39</v>
      </c>
      <c r="CU18" s="33">
        <v>25.2</v>
      </c>
      <c r="CV18" s="33">
        <v>93.00602</v>
      </c>
      <c r="CW18" s="33">
        <v>234.625</v>
      </c>
      <c r="CX18" s="33">
        <v>3.7</v>
      </c>
      <c r="CY18" s="33">
        <v>16.63333</v>
      </c>
      <c r="CZ18" s="33">
        <v>26.45</v>
      </c>
      <c r="DA18" s="33">
        <v>26.45</v>
      </c>
      <c r="DB18" s="33">
        <v>24.25</v>
      </c>
      <c r="DC18" s="33">
        <v>31.99219</v>
      </c>
      <c r="DD18" s="33">
        <v>2.557834</v>
      </c>
      <c r="DE18" s="33">
        <v>91.33685</v>
      </c>
      <c r="DF18" s="33">
        <v>43.65</v>
      </c>
      <c r="DG18" s="33">
        <v>5.85</v>
      </c>
      <c r="DH18" s="33">
        <v>60.32</v>
      </c>
      <c r="DI18" s="33">
        <v>61.35999</v>
      </c>
      <c r="DJ18" s="33">
        <v>94.1975</v>
      </c>
      <c r="DK18" s="33">
        <v>48.95678</v>
      </c>
      <c r="DL18" s="33">
        <v>160.9536</v>
      </c>
      <c r="DM18" s="33">
        <v>93.94181</v>
      </c>
      <c r="DN18" s="33">
        <v>42.46712</v>
      </c>
      <c r="DO18" s="33">
        <v>56.9433</v>
      </c>
      <c r="DP18" s="33">
        <v>27.09674</v>
      </c>
      <c r="DQ18" s="33">
        <v>117.1095</v>
      </c>
      <c r="DR18" s="33">
        <v>57.32826</v>
      </c>
      <c r="DS18" s="33">
        <v>23.39296</v>
      </c>
      <c r="DT18" s="33">
        <v>20.14506</v>
      </c>
      <c r="DU18" s="33">
        <v>34.44449</v>
      </c>
      <c r="DV18" s="34">
        <v>31.729065</v>
      </c>
      <c r="DW18" s="33">
        <v>68.612</v>
      </c>
      <c r="DX18" s="33">
        <v>120.7771</v>
      </c>
      <c r="DY18" s="33">
        <v>49.69125</v>
      </c>
      <c r="DZ18" s="33">
        <v>9.351721</v>
      </c>
      <c r="EA18" s="35">
        <v>2713.83</v>
      </c>
    </row>
    <row r="19" ht="14.8" spans="1:131">
      <c r="A19" s="32">
        <v>43160</v>
      </c>
      <c r="B19" s="33">
        <v>116.7272</v>
      </c>
      <c r="C19" s="33">
        <v>29.50746</v>
      </c>
      <c r="D19" s="33">
        <v>72.03952</v>
      </c>
      <c r="E19" s="33">
        <v>79.47367</v>
      </c>
      <c r="F19" s="33">
        <v>46.34961</v>
      </c>
      <c r="G19" s="33">
        <v>154.1395</v>
      </c>
      <c r="H19" s="33">
        <v>56.35777</v>
      </c>
      <c r="I19" s="33">
        <v>204.4841</v>
      </c>
      <c r="J19" s="33">
        <v>236.42</v>
      </c>
      <c r="K19" s="33">
        <v>191.39</v>
      </c>
      <c r="L19" s="33">
        <v>74.16</v>
      </c>
      <c r="M19" s="33">
        <v>65.01119</v>
      </c>
      <c r="N19" s="33">
        <v>98.11</v>
      </c>
      <c r="O19" s="33">
        <v>575.03</v>
      </c>
      <c r="P19" s="33">
        <v>202.1037</v>
      </c>
      <c r="Q19" s="33">
        <v>55.94143</v>
      </c>
      <c r="R19" s="33">
        <v>209.8175</v>
      </c>
      <c r="S19" s="33">
        <v>344.36</v>
      </c>
      <c r="T19" s="33">
        <v>56.60191</v>
      </c>
      <c r="U19" s="33">
        <v>74.32358</v>
      </c>
      <c r="V19" s="33">
        <v>154.32</v>
      </c>
      <c r="W19" s="33">
        <v>41.06</v>
      </c>
      <c r="X19" s="33">
        <v>81.80183</v>
      </c>
      <c r="Y19" s="33">
        <v>40.5734</v>
      </c>
      <c r="Z19" s="33">
        <v>206.4156</v>
      </c>
      <c r="AA19" s="33">
        <v>412.83</v>
      </c>
      <c r="AB19" s="33">
        <v>94.86808</v>
      </c>
      <c r="AC19" s="33">
        <v>62.33622</v>
      </c>
      <c r="AD19" s="33">
        <v>87.32268</v>
      </c>
      <c r="AE19" s="33">
        <v>216.08</v>
      </c>
      <c r="AF19" s="33">
        <v>43.16192</v>
      </c>
      <c r="AG19" s="33">
        <v>83.24</v>
      </c>
      <c r="AH19" s="33">
        <v>53.58</v>
      </c>
      <c r="AI19" s="33">
        <v>118.56</v>
      </c>
      <c r="AJ19" s="33">
        <v>70.98</v>
      </c>
      <c r="AK19" s="33">
        <v>13.99022</v>
      </c>
      <c r="AL19" s="33">
        <v>144.61</v>
      </c>
      <c r="AM19" s="33">
        <v>57.40962</v>
      </c>
      <c r="AN19" s="33">
        <v>47.79006</v>
      </c>
      <c r="AO19" s="33">
        <v>202.6123</v>
      </c>
      <c r="AP19" s="33">
        <v>94.58186</v>
      </c>
      <c r="AQ19" s="33">
        <v>49.82114</v>
      </c>
      <c r="AR19" s="33">
        <v>10.05</v>
      </c>
      <c r="AS19" s="33">
        <v>52.06722</v>
      </c>
      <c r="AT19" s="33">
        <v>84.66617</v>
      </c>
      <c r="AU19" s="33">
        <v>112.5032</v>
      </c>
      <c r="AV19" s="33">
        <v>86.73164</v>
      </c>
      <c r="AW19" s="33">
        <v>69.17214</v>
      </c>
      <c r="AX19" s="33">
        <v>94.73308</v>
      </c>
      <c r="AY19" s="33">
        <v>40.33933</v>
      </c>
      <c r="AZ19" s="33">
        <v>116.3</v>
      </c>
      <c r="BA19" s="33">
        <v>165.45</v>
      </c>
      <c r="BB19" s="33">
        <v>53.43432</v>
      </c>
      <c r="BC19" s="33">
        <v>52.39</v>
      </c>
      <c r="BD19" s="33">
        <v>64.00481</v>
      </c>
      <c r="BE19" s="33">
        <v>19.56101</v>
      </c>
      <c r="BF19" s="33">
        <v>129.6719</v>
      </c>
      <c r="BG19" s="33">
        <v>1447.34</v>
      </c>
      <c r="BH19" s="33">
        <v>38.74799</v>
      </c>
      <c r="BI19" s="33">
        <v>28.06</v>
      </c>
      <c r="BJ19" s="33">
        <v>33.09914</v>
      </c>
      <c r="BK19" s="33">
        <v>143.7371</v>
      </c>
      <c r="BL19" s="33">
        <v>54.05087</v>
      </c>
      <c r="BM19" s="33">
        <v>78.97049</v>
      </c>
      <c r="BN19" s="33">
        <v>64.02992</v>
      </c>
      <c r="BO19" s="33">
        <v>163.0481</v>
      </c>
      <c r="BP19" s="33">
        <v>100.8548</v>
      </c>
      <c r="BQ19" s="33">
        <v>38.58464</v>
      </c>
      <c r="BR19" s="33">
        <v>9.245795</v>
      </c>
      <c r="BS19" s="33">
        <v>2080.39</v>
      </c>
      <c r="BT19" s="33">
        <v>60.75641</v>
      </c>
      <c r="BU19" s="33">
        <v>80.08967</v>
      </c>
      <c r="BV19" s="33">
        <v>225.9069</v>
      </c>
      <c r="BW19" s="33">
        <v>27.07125</v>
      </c>
      <c r="BX19" s="33">
        <v>60.19526</v>
      </c>
      <c r="BY19" s="33">
        <v>115.9453</v>
      </c>
      <c r="BZ19" s="33">
        <v>71.89078</v>
      </c>
      <c r="CA19" s="33">
        <v>38.43586</v>
      </c>
      <c r="CB19" s="33">
        <v>97.51748</v>
      </c>
      <c r="CC19" s="33">
        <v>80.32311</v>
      </c>
      <c r="CD19" s="33">
        <v>49.49017</v>
      </c>
      <c r="CE19" s="33">
        <v>124.4824</v>
      </c>
      <c r="CF19" s="33">
        <v>101.6017</v>
      </c>
      <c r="CG19" s="33">
        <v>145.2544</v>
      </c>
      <c r="CH19" s="33">
        <v>38.42651</v>
      </c>
      <c r="CI19" s="33">
        <v>127.1575</v>
      </c>
      <c r="CJ19" s="33">
        <v>65.90312</v>
      </c>
      <c r="CK19" s="33">
        <v>52.01546</v>
      </c>
      <c r="CL19" s="33">
        <v>54.58853</v>
      </c>
      <c r="CM19" s="33">
        <v>31.97856</v>
      </c>
      <c r="CN19" s="33">
        <v>56.80158</v>
      </c>
      <c r="CO19" s="33">
        <v>50.41247</v>
      </c>
      <c r="CP19" s="33">
        <v>48.1245</v>
      </c>
      <c r="CQ19" s="33">
        <v>121.9579</v>
      </c>
      <c r="CR19" s="33">
        <v>38.66527</v>
      </c>
      <c r="CS19" s="33">
        <v>21.53848</v>
      </c>
      <c r="CT19" s="33">
        <v>32.77</v>
      </c>
      <c r="CU19" s="33">
        <v>24.61</v>
      </c>
      <c r="CV19" s="33">
        <v>94.01864</v>
      </c>
      <c r="CW19" s="33">
        <v>228.6263</v>
      </c>
      <c r="CX19" s="33">
        <v>3.87</v>
      </c>
      <c r="CY19" s="33">
        <v>16.86667</v>
      </c>
      <c r="CZ19" s="33">
        <v>28.55</v>
      </c>
      <c r="DA19" s="33">
        <v>27.6</v>
      </c>
      <c r="DB19" s="33">
        <v>39.2</v>
      </c>
      <c r="DC19" s="33">
        <v>31.0476</v>
      </c>
      <c r="DD19" s="33">
        <v>2.510467</v>
      </c>
      <c r="DE19" s="33">
        <v>96.62956</v>
      </c>
      <c r="DF19" s="33">
        <v>41.85</v>
      </c>
      <c r="DG19" s="33">
        <v>5.84</v>
      </c>
      <c r="DH19" s="33">
        <v>59.73</v>
      </c>
      <c r="DI19" s="33">
        <v>61.06261</v>
      </c>
      <c r="DJ19" s="33">
        <v>96.93726</v>
      </c>
      <c r="DK19" s="33">
        <v>53.73355</v>
      </c>
      <c r="DL19" s="33">
        <v>162.4191</v>
      </c>
      <c r="DM19" s="33">
        <v>97.50794</v>
      </c>
      <c r="DN19" s="33">
        <v>47.32906</v>
      </c>
      <c r="DO19" s="33">
        <v>56.38776</v>
      </c>
      <c r="DP19" s="33">
        <v>28.08625</v>
      </c>
      <c r="DQ19" s="33">
        <v>118.8759</v>
      </c>
      <c r="DR19" s="33">
        <v>56.97644</v>
      </c>
      <c r="DS19" s="33">
        <v>24.74417</v>
      </c>
      <c r="DT19" s="33">
        <v>20.58542</v>
      </c>
      <c r="DU19" s="33">
        <v>36.13286</v>
      </c>
      <c r="DV19" s="34">
        <v>35.75211</v>
      </c>
      <c r="DW19" s="33">
        <v>53.226</v>
      </c>
      <c r="DX19" s="33">
        <v>117.1891</v>
      </c>
      <c r="DY19" s="33">
        <v>50.93872</v>
      </c>
      <c r="DZ19" s="33">
        <v>9.765982</v>
      </c>
      <c r="EA19" s="35">
        <v>2640.87</v>
      </c>
    </row>
    <row r="20" ht="14.8" spans="1:131">
      <c r="A20" s="32">
        <v>43191</v>
      </c>
      <c r="B20" s="33">
        <v>115.2151</v>
      </c>
      <c r="C20" s="33">
        <v>30.43866</v>
      </c>
      <c r="D20" s="33">
        <v>75.4846</v>
      </c>
      <c r="E20" s="33">
        <v>81.06902</v>
      </c>
      <c r="F20" s="33">
        <v>50.53172</v>
      </c>
      <c r="G20" s="33">
        <v>157.7561</v>
      </c>
      <c r="H20" s="33">
        <v>46.44949</v>
      </c>
      <c r="I20" s="33">
        <v>208.5016</v>
      </c>
      <c r="J20" s="33">
        <v>240.93</v>
      </c>
      <c r="K20" s="33">
        <v>194.49</v>
      </c>
      <c r="L20" s="33">
        <v>73.18</v>
      </c>
      <c r="M20" s="33">
        <v>63.88393</v>
      </c>
      <c r="N20" s="33">
        <v>95.76</v>
      </c>
      <c r="O20" s="33">
        <v>559.93</v>
      </c>
      <c r="P20" s="33">
        <v>223.9977</v>
      </c>
      <c r="Q20" s="33">
        <v>62.7936</v>
      </c>
      <c r="R20" s="33">
        <v>226.1062</v>
      </c>
      <c r="S20" s="33">
        <v>303.68</v>
      </c>
      <c r="T20" s="33">
        <v>54.91103</v>
      </c>
      <c r="U20" s="33">
        <v>74.66933</v>
      </c>
      <c r="V20" s="33">
        <v>162.9544</v>
      </c>
      <c r="W20" s="33">
        <v>41.11</v>
      </c>
      <c r="X20" s="33">
        <v>81.77245</v>
      </c>
      <c r="Y20" s="33">
        <v>38.19833</v>
      </c>
      <c r="Z20" s="33">
        <v>221.6243</v>
      </c>
      <c r="AA20" s="33">
        <v>440.78</v>
      </c>
      <c r="AB20" s="33">
        <v>91.17819</v>
      </c>
      <c r="AC20" s="33">
        <v>66.76839</v>
      </c>
      <c r="AD20" s="33">
        <v>89.47537</v>
      </c>
      <c r="AE20" s="33">
        <v>221.6</v>
      </c>
      <c r="AF20" s="33">
        <v>43.08643</v>
      </c>
      <c r="AG20" s="33">
        <v>85.51</v>
      </c>
      <c r="AH20" s="33">
        <v>55.36</v>
      </c>
      <c r="AI20" s="33">
        <v>117.42</v>
      </c>
      <c r="AJ20" s="33">
        <v>71.65</v>
      </c>
      <c r="AK20" s="33">
        <v>15.04017</v>
      </c>
      <c r="AL20" s="33">
        <v>163.09</v>
      </c>
      <c r="AM20" s="33">
        <v>55.75122</v>
      </c>
      <c r="AN20" s="33">
        <v>47.36795</v>
      </c>
      <c r="AO20" s="33">
        <v>200.1461</v>
      </c>
      <c r="AP20" s="33">
        <v>92.34229</v>
      </c>
      <c r="AQ20" s="33">
        <v>45.86494</v>
      </c>
      <c r="AR20" s="33">
        <v>10.88</v>
      </c>
      <c r="AS20" s="33">
        <v>45.91582</v>
      </c>
      <c r="AT20" s="33">
        <v>81.57651</v>
      </c>
      <c r="AU20" s="33">
        <v>100.8683</v>
      </c>
      <c r="AV20" s="33">
        <v>79.42174</v>
      </c>
      <c r="AW20" s="33">
        <v>61.51188</v>
      </c>
      <c r="AX20" s="33">
        <v>81.97726</v>
      </c>
      <c r="AY20" s="33">
        <v>39.73344</v>
      </c>
      <c r="AZ20" s="33">
        <v>120.99</v>
      </c>
      <c r="BA20" s="33">
        <v>166.14</v>
      </c>
      <c r="BB20" s="33">
        <v>53.646</v>
      </c>
      <c r="BC20" s="33">
        <v>51.68</v>
      </c>
      <c r="BD20" s="33">
        <v>58.05182</v>
      </c>
      <c r="BE20" s="33">
        <v>19.28981</v>
      </c>
      <c r="BF20" s="33">
        <v>122.5135</v>
      </c>
      <c r="BG20" s="33">
        <v>1566.13</v>
      </c>
      <c r="BH20" s="33">
        <v>36.47549</v>
      </c>
      <c r="BI20" s="33">
        <v>29.94</v>
      </c>
      <c r="BJ20" s="33">
        <v>33.80384</v>
      </c>
      <c r="BK20" s="33">
        <v>153.903</v>
      </c>
      <c r="BL20" s="33">
        <v>53.7521</v>
      </c>
      <c r="BM20" s="33">
        <v>86.01995</v>
      </c>
      <c r="BN20" s="33">
        <v>66.10855</v>
      </c>
      <c r="BO20" s="33">
        <v>170.013</v>
      </c>
      <c r="BP20" s="33">
        <v>104.0759</v>
      </c>
      <c r="BQ20" s="33">
        <v>38.95387</v>
      </c>
      <c r="BR20" s="33">
        <v>9.3318</v>
      </c>
      <c r="BS20" s="33">
        <v>2178</v>
      </c>
      <c r="BT20" s="33">
        <v>58.42176</v>
      </c>
      <c r="BU20" s="33">
        <v>81.94302</v>
      </c>
      <c r="BV20" s="33">
        <v>234.3786</v>
      </c>
      <c r="BW20" s="33">
        <v>24.73325</v>
      </c>
      <c r="BX20" s="33">
        <v>64.95204</v>
      </c>
      <c r="BY20" s="33">
        <v>111.9936</v>
      </c>
      <c r="BZ20" s="33">
        <v>65.59763</v>
      </c>
      <c r="CA20" s="33">
        <v>38.57875</v>
      </c>
      <c r="CB20" s="33">
        <v>90.84895</v>
      </c>
      <c r="CC20" s="33">
        <v>66.97726</v>
      </c>
      <c r="CD20" s="33">
        <v>49.85539</v>
      </c>
      <c r="CE20" s="33">
        <v>130.4942</v>
      </c>
      <c r="CF20" s="33">
        <v>92.4895</v>
      </c>
      <c r="CG20" s="33">
        <v>143.673</v>
      </c>
      <c r="CH20" s="33">
        <v>36.5697</v>
      </c>
      <c r="CI20" s="33">
        <v>128.2478</v>
      </c>
      <c r="CJ20" s="33">
        <v>59.97295</v>
      </c>
      <c r="CK20" s="33">
        <v>47.52057</v>
      </c>
      <c r="CL20" s="33">
        <v>56.93741</v>
      </c>
      <c r="CM20" s="33">
        <v>33.77688</v>
      </c>
      <c r="CN20" s="33">
        <v>51.88177</v>
      </c>
      <c r="CO20" s="33">
        <v>49.94809</v>
      </c>
      <c r="CP20" s="33">
        <v>44.14916</v>
      </c>
      <c r="CQ20" s="33">
        <v>107.3809</v>
      </c>
      <c r="CR20" s="33">
        <v>36.40659</v>
      </c>
      <c r="CS20" s="33">
        <v>23.3559</v>
      </c>
      <c r="CT20" s="33">
        <v>34.18</v>
      </c>
      <c r="CU20" s="33">
        <v>21.6</v>
      </c>
      <c r="CV20" s="33">
        <v>101.9598</v>
      </c>
      <c r="CW20" s="33">
        <v>235.8676</v>
      </c>
      <c r="CX20" s="33">
        <v>3.53</v>
      </c>
      <c r="CY20" s="33">
        <v>18.16667</v>
      </c>
      <c r="CZ20" s="33">
        <v>29.55</v>
      </c>
      <c r="DA20" s="33">
        <v>27.3</v>
      </c>
      <c r="DB20" s="33">
        <v>38.05</v>
      </c>
      <c r="DC20" s="33">
        <v>31.09603</v>
      </c>
      <c r="DD20" s="33">
        <v>2.885616</v>
      </c>
      <c r="DE20" s="33">
        <v>88.09253</v>
      </c>
      <c r="DF20" s="33">
        <v>43.95</v>
      </c>
      <c r="DG20" s="33">
        <v>5.83</v>
      </c>
      <c r="DH20" s="33">
        <v>54.84</v>
      </c>
      <c r="DI20" s="33">
        <v>63.63246</v>
      </c>
      <c r="DJ20" s="33">
        <v>106.3471</v>
      </c>
      <c r="DK20" s="33">
        <v>59.36158</v>
      </c>
      <c r="DL20" s="33">
        <v>190.7445</v>
      </c>
      <c r="DM20" s="33">
        <v>109.4568</v>
      </c>
      <c r="DN20" s="33">
        <v>53.55897</v>
      </c>
      <c r="DO20" s="33">
        <v>67.86624</v>
      </c>
      <c r="DP20" s="33">
        <v>32.15614</v>
      </c>
      <c r="DQ20" s="33">
        <v>120.6893</v>
      </c>
      <c r="DR20" s="33">
        <v>60.30109</v>
      </c>
      <c r="DS20" s="33">
        <v>32.17544</v>
      </c>
      <c r="DT20" s="33">
        <v>23.13978</v>
      </c>
      <c r="DU20" s="33">
        <v>38.00947</v>
      </c>
      <c r="DV20" s="34">
        <v>38.047009</v>
      </c>
      <c r="DW20" s="33">
        <v>58.78</v>
      </c>
      <c r="DX20" s="33">
        <v>119.2894</v>
      </c>
      <c r="DY20" s="33">
        <v>53.67174</v>
      </c>
      <c r="DZ20" s="33">
        <v>9.907009</v>
      </c>
      <c r="EA20" s="35">
        <v>2648.05</v>
      </c>
    </row>
    <row r="21" ht="14.8" spans="1:131">
      <c r="A21" s="32">
        <v>43221</v>
      </c>
      <c r="B21" s="33">
        <v>108.9575</v>
      </c>
      <c r="C21" s="33">
        <v>29.87329</v>
      </c>
      <c r="D21" s="33">
        <v>79.18108</v>
      </c>
      <c r="E21" s="33">
        <v>83.93633</v>
      </c>
      <c r="F21" s="33">
        <v>51.09824</v>
      </c>
      <c r="G21" s="33">
        <v>162.4034</v>
      </c>
      <c r="H21" s="33">
        <v>47.18578</v>
      </c>
      <c r="I21" s="33">
        <v>206.4398</v>
      </c>
      <c r="J21" s="33">
        <v>272.44</v>
      </c>
      <c r="K21" s="33">
        <v>208.21</v>
      </c>
      <c r="L21" s="33">
        <v>87.99</v>
      </c>
      <c r="M21" s="33">
        <v>60.30609</v>
      </c>
      <c r="N21" s="33">
        <v>98.93</v>
      </c>
      <c r="O21" s="33">
        <v>550.74</v>
      </c>
      <c r="P21" s="33">
        <v>228.8397</v>
      </c>
      <c r="Q21" s="33">
        <v>57.43859</v>
      </c>
      <c r="R21" s="33">
        <v>212.1464</v>
      </c>
      <c r="S21" s="33">
        <v>300.32</v>
      </c>
      <c r="T21" s="33">
        <v>58.40253</v>
      </c>
      <c r="U21" s="33">
        <v>80.43748</v>
      </c>
      <c r="V21" s="33">
        <v>167.3789</v>
      </c>
      <c r="W21" s="33">
        <v>39.26</v>
      </c>
      <c r="X21" s="33">
        <v>82.10828</v>
      </c>
      <c r="Y21" s="33">
        <v>37.90268</v>
      </c>
      <c r="Z21" s="33">
        <v>211.7986</v>
      </c>
      <c r="AA21" s="33">
        <v>459.67</v>
      </c>
      <c r="AB21" s="33">
        <v>99.04934</v>
      </c>
      <c r="AC21" s="33">
        <v>68.05572</v>
      </c>
      <c r="AD21" s="33">
        <v>94.56529</v>
      </c>
      <c r="AE21" s="33">
        <v>249.28</v>
      </c>
      <c r="AF21" s="33">
        <v>44.25954</v>
      </c>
      <c r="AG21" s="33">
        <v>88.07</v>
      </c>
      <c r="AH21" s="33">
        <v>61.18</v>
      </c>
      <c r="AI21" s="33">
        <v>130.44</v>
      </c>
      <c r="AJ21" s="33">
        <v>75.38</v>
      </c>
      <c r="AK21" s="33">
        <v>11.2463</v>
      </c>
      <c r="AL21" s="33">
        <v>173.11</v>
      </c>
      <c r="AM21" s="33">
        <v>62.51622</v>
      </c>
      <c r="AN21" s="33">
        <v>50.65305</v>
      </c>
      <c r="AO21" s="33">
        <v>219.9059</v>
      </c>
      <c r="AP21" s="33">
        <v>101.8833</v>
      </c>
      <c r="AQ21" s="33">
        <v>52.25782</v>
      </c>
      <c r="AR21" s="33">
        <v>13.73</v>
      </c>
      <c r="AS21" s="33">
        <v>57.50961</v>
      </c>
      <c r="AT21" s="33">
        <v>90.7568</v>
      </c>
      <c r="AU21" s="33">
        <v>109.6185</v>
      </c>
      <c r="AV21" s="33">
        <v>92.44667</v>
      </c>
      <c r="AW21" s="33">
        <v>65.21753</v>
      </c>
      <c r="AX21" s="33">
        <v>93.17403</v>
      </c>
      <c r="AY21" s="33">
        <v>44.92913</v>
      </c>
      <c r="AZ21" s="33">
        <v>129.33</v>
      </c>
      <c r="BA21" s="33">
        <v>177.61</v>
      </c>
      <c r="BB21" s="33">
        <v>54.9444</v>
      </c>
      <c r="BC21" s="33">
        <v>58.74</v>
      </c>
      <c r="BD21" s="33">
        <v>60.01689</v>
      </c>
      <c r="BE21" s="33">
        <v>19.77452</v>
      </c>
      <c r="BF21" s="33">
        <v>119.4286</v>
      </c>
      <c r="BG21" s="33">
        <v>1629.62</v>
      </c>
      <c r="BH21" s="33">
        <v>36.32143</v>
      </c>
      <c r="BI21" s="33">
        <v>32.34</v>
      </c>
      <c r="BJ21" s="33">
        <v>39.28753</v>
      </c>
      <c r="BK21" s="33">
        <v>147.0736</v>
      </c>
      <c r="BL21" s="33">
        <v>52.91178</v>
      </c>
      <c r="BM21" s="33">
        <v>81.56298</v>
      </c>
      <c r="BN21" s="33">
        <v>69.40479</v>
      </c>
      <c r="BO21" s="33">
        <v>171.623</v>
      </c>
      <c r="BP21" s="33">
        <v>105.7041</v>
      </c>
      <c r="BQ21" s="33">
        <v>35.90286</v>
      </c>
      <c r="BR21" s="33">
        <v>8.96197</v>
      </c>
      <c r="BS21" s="33">
        <v>2108.92</v>
      </c>
      <c r="BT21" s="33">
        <v>57.69914</v>
      </c>
      <c r="BU21" s="33">
        <v>76.51466</v>
      </c>
      <c r="BV21" s="33">
        <v>243.832</v>
      </c>
      <c r="BW21" s="33">
        <v>24.02476</v>
      </c>
      <c r="BX21" s="33">
        <v>70.97921</v>
      </c>
      <c r="BY21" s="33">
        <v>125.8595</v>
      </c>
      <c r="BZ21" s="33">
        <v>66.96424</v>
      </c>
      <c r="CA21" s="33">
        <v>38.39125</v>
      </c>
      <c r="CB21" s="33">
        <v>90.22794</v>
      </c>
      <c r="CC21" s="33">
        <v>64.96794</v>
      </c>
      <c r="CD21" s="33">
        <v>49.24076</v>
      </c>
      <c r="CE21" s="33">
        <v>134.6859</v>
      </c>
      <c r="CF21" s="33">
        <v>86.49172</v>
      </c>
      <c r="CG21" s="33">
        <v>144.9828</v>
      </c>
      <c r="CH21" s="33">
        <v>36.35676</v>
      </c>
      <c r="CI21" s="33">
        <v>131.7379</v>
      </c>
      <c r="CJ21" s="33">
        <v>58.34539</v>
      </c>
      <c r="CK21" s="33">
        <v>48.44771</v>
      </c>
      <c r="CL21" s="33">
        <v>59.5546</v>
      </c>
      <c r="CM21" s="33">
        <v>33.62158</v>
      </c>
      <c r="CN21" s="33">
        <v>56.71761</v>
      </c>
      <c r="CO21" s="33">
        <v>48.09595</v>
      </c>
      <c r="CP21" s="33">
        <v>44.86587</v>
      </c>
      <c r="CQ21" s="33">
        <v>111.6403</v>
      </c>
      <c r="CR21" s="33">
        <v>30.27727</v>
      </c>
      <c r="CS21" s="33">
        <v>19.93239</v>
      </c>
      <c r="CT21" s="33">
        <v>35.68</v>
      </c>
      <c r="CU21" s="33">
        <v>19.49</v>
      </c>
      <c r="CV21" s="33">
        <v>104.3134</v>
      </c>
      <c r="CW21" s="33">
        <v>237.6996</v>
      </c>
      <c r="CX21" s="33">
        <v>4.05</v>
      </c>
      <c r="CY21" s="33">
        <v>21.16667</v>
      </c>
      <c r="CZ21" s="33">
        <v>29.8</v>
      </c>
      <c r="DA21" s="33">
        <v>27.8</v>
      </c>
      <c r="DB21" s="33">
        <v>33.25</v>
      </c>
      <c r="DC21" s="33">
        <v>45.96595</v>
      </c>
      <c r="DD21" s="33">
        <v>3.031507</v>
      </c>
      <c r="DE21" s="33">
        <v>102.6364</v>
      </c>
      <c r="DF21" s="33">
        <v>49.95</v>
      </c>
      <c r="DG21" s="33">
        <v>5.5</v>
      </c>
      <c r="DH21" s="33">
        <v>58.15</v>
      </c>
      <c r="DI21" s="33">
        <v>66.48878</v>
      </c>
      <c r="DJ21" s="33">
        <v>105.6586</v>
      </c>
      <c r="DK21" s="33">
        <v>61.07445</v>
      </c>
      <c r="DL21" s="33">
        <v>182.7475</v>
      </c>
      <c r="DM21" s="33">
        <v>109.3072</v>
      </c>
      <c r="DN21" s="33">
        <v>56.78246</v>
      </c>
      <c r="DO21" s="33">
        <v>73.96242</v>
      </c>
      <c r="DP21" s="33">
        <v>36.79414</v>
      </c>
      <c r="DQ21" s="33">
        <v>113.4639</v>
      </c>
      <c r="DR21" s="33">
        <v>60.39784</v>
      </c>
      <c r="DS21" s="33">
        <v>30.82106</v>
      </c>
      <c r="DT21" s="33">
        <v>21.86905</v>
      </c>
      <c r="DU21" s="33">
        <v>40.7125</v>
      </c>
      <c r="DV21" s="34">
        <v>37.386734</v>
      </c>
      <c r="DW21" s="33">
        <v>56.946</v>
      </c>
      <c r="DX21" s="33">
        <v>128.6341</v>
      </c>
      <c r="DY21" s="33">
        <v>58.28387</v>
      </c>
      <c r="DZ21" s="33">
        <v>10.31683</v>
      </c>
      <c r="EA21" s="35">
        <v>2705.27</v>
      </c>
    </row>
    <row r="22" ht="14.8" spans="1:131">
      <c r="A22" s="32">
        <v>43252</v>
      </c>
      <c r="B22" s="33">
        <v>111.3439</v>
      </c>
      <c r="C22" s="33">
        <v>30.45875</v>
      </c>
      <c r="D22" s="33">
        <v>79.99896</v>
      </c>
      <c r="E22" s="33">
        <v>78.60017</v>
      </c>
      <c r="F22" s="33">
        <v>52.10251</v>
      </c>
      <c r="G22" s="33">
        <v>168.1852</v>
      </c>
      <c r="H22" s="33">
        <v>49.62488</v>
      </c>
      <c r="I22" s="33">
        <v>205.3197</v>
      </c>
      <c r="J22" s="33">
        <v>279.29</v>
      </c>
      <c r="K22" s="33">
        <v>217.94</v>
      </c>
      <c r="L22" s="33">
        <v>94.98</v>
      </c>
      <c r="M22" s="33">
        <v>60.22818</v>
      </c>
      <c r="N22" s="33">
        <v>99.82</v>
      </c>
      <c r="O22" s="33">
        <v>578.63</v>
      </c>
      <c r="P22" s="33">
        <v>232.4687</v>
      </c>
      <c r="Q22" s="33">
        <v>58.30846</v>
      </c>
      <c r="R22" s="33">
        <v>228.0607</v>
      </c>
      <c r="S22" s="33">
        <v>344.99</v>
      </c>
      <c r="T22" s="33">
        <v>57.88999</v>
      </c>
      <c r="U22" s="33">
        <v>79.77589</v>
      </c>
      <c r="V22" s="33">
        <v>162.4158</v>
      </c>
      <c r="W22" s="33">
        <v>41.89</v>
      </c>
      <c r="X22" s="33">
        <v>83.56995</v>
      </c>
      <c r="Y22" s="33">
        <v>35.61629</v>
      </c>
      <c r="Z22" s="33">
        <v>228.9745</v>
      </c>
      <c r="AA22" s="33">
        <v>478.48</v>
      </c>
      <c r="AB22" s="33">
        <v>100.1495</v>
      </c>
      <c r="AC22" s="33">
        <v>71.12584</v>
      </c>
      <c r="AD22" s="33">
        <v>94.75417</v>
      </c>
      <c r="AE22" s="33">
        <v>243.81</v>
      </c>
      <c r="AF22" s="33">
        <v>41.73963</v>
      </c>
      <c r="AG22" s="33">
        <v>85.57</v>
      </c>
      <c r="AH22" s="33">
        <v>62.43</v>
      </c>
      <c r="AI22" s="33">
        <v>137.42</v>
      </c>
      <c r="AJ22" s="33">
        <v>73.23</v>
      </c>
      <c r="AK22" s="33">
        <v>11.17594</v>
      </c>
      <c r="AL22" s="33">
        <v>172.45</v>
      </c>
      <c r="AM22" s="33">
        <v>58.76225</v>
      </c>
      <c r="AN22" s="33">
        <v>45.87854</v>
      </c>
      <c r="AO22" s="33">
        <v>211.6792</v>
      </c>
      <c r="AP22" s="33">
        <v>100.9763</v>
      </c>
      <c r="AQ22" s="33">
        <v>50.98675</v>
      </c>
      <c r="AR22" s="33">
        <v>14.99</v>
      </c>
      <c r="AS22" s="33">
        <v>52.3668</v>
      </c>
      <c r="AT22" s="33">
        <v>89.58007</v>
      </c>
      <c r="AU22" s="33">
        <v>105.0703</v>
      </c>
      <c r="AV22" s="33">
        <v>86.68032</v>
      </c>
      <c r="AW22" s="33">
        <v>62.81537</v>
      </c>
      <c r="AX22" s="33">
        <v>91.61975</v>
      </c>
      <c r="AY22" s="33">
        <v>44.6776</v>
      </c>
      <c r="AZ22" s="33">
        <v>136.4</v>
      </c>
      <c r="BA22" s="33">
        <v>172.47</v>
      </c>
      <c r="BB22" s="33">
        <v>55.77647</v>
      </c>
      <c r="BC22" s="33">
        <v>59.03</v>
      </c>
      <c r="BD22" s="33">
        <v>63.72485</v>
      </c>
      <c r="BE22" s="33">
        <v>20.36695</v>
      </c>
      <c r="BF22" s="33">
        <v>119.3786</v>
      </c>
      <c r="BG22" s="33">
        <v>1699.8</v>
      </c>
      <c r="BH22" s="33">
        <v>34.91556</v>
      </c>
      <c r="BI22" s="33">
        <v>42.19</v>
      </c>
      <c r="BJ22" s="33">
        <v>36.25126</v>
      </c>
      <c r="BK22" s="33">
        <v>144.022</v>
      </c>
      <c r="BL22" s="33">
        <v>45.84889</v>
      </c>
      <c r="BM22" s="33">
        <v>99.89855</v>
      </c>
      <c r="BN22" s="33">
        <v>77.02192</v>
      </c>
      <c r="BO22" s="33">
        <v>180.4938</v>
      </c>
      <c r="BP22" s="33">
        <v>100.5674</v>
      </c>
      <c r="BQ22" s="33">
        <v>34.63448</v>
      </c>
      <c r="BR22" s="33">
        <v>9.030776</v>
      </c>
      <c r="BS22" s="33">
        <v>2027.09</v>
      </c>
      <c r="BT22" s="33">
        <v>53.50834</v>
      </c>
      <c r="BU22" s="33">
        <v>73.90704</v>
      </c>
      <c r="BV22" s="33">
        <v>273.5887</v>
      </c>
      <c r="BW22" s="33">
        <v>26.56959</v>
      </c>
      <c r="BX22" s="33">
        <v>73.36798</v>
      </c>
      <c r="BY22" s="33">
        <v>132.7876</v>
      </c>
      <c r="BZ22" s="33">
        <v>71.43951</v>
      </c>
      <c r="CA22" s="33">
        <v>39.15908</v>
      </c>
      <c r="CB22" s="33">
        <v>98.88737</v>
      </c>
      <c r="CC22" s="33">
        <v>65.9481</v>
      </c>
      <c r="CD22" s="33">
        <v>49.68335</v>
      </c>
      <c r="CE22" s="33">
        <v>132.3786</v>
      </c>
      <c r="CF22" s="33">
        <v>95.48208</v>
      </c>
      <c r="CG22" s="33">
        <v>138.7854</v>
      </c>
      <c r="CH22" s="33">
        <v>37.95842</v>
      </c>
      <c r="CI22" s="33">
        <v>132.1047</v>
      </c>
      <c r="CJ22" s="33">
        <v>59.93602</v>
      </c>
      <c r="CK22" s="33">
        <v>53.51269</v>
      </c>
      <c r="CL22" s="33">
        <v>62.54012</v>
      </c>
      <c r="CM22" s="33">
        <v>34.85814</v>
      </c>
      <c r="CN22" s="33">
        <v>62.05257</v>
      </c>
      <c r="CO22" s="33">
        <v>55.28177</v>
      </c>
      <c r="CP22" s="33">
        <v>51.03463</v>
      </c>
      <c r="CQ22" s="33">
        <v>124.9636</v>
      </c>
      <c r="CR22" s="33">
        <v>36.48754</v>
      </c>
      <c r="CS22" s="33">
        <v>22.00435</v>
      </c>
      <c r="CT22" s="33">
        <v>37.82</v>
      </c>
      <c r="CU22" s="33">
        <v>20.13</v>
      </c>
      <c r="CV22" s="33">
        <v>96.1797</v>
      </c>
      <c r="CW22" s="33">
        <v>216.6509</v>
      </c>
      <c r="CX22" s="33">
        <v>3.91</v>
      </c>
      <c r="CY22" s="33">
        <v>22.23333</v>
      </c>
      <c r="CZ22" s="33">
        <v>32.5</v>
      </c>
      <c r="DA22" s="33">
        <v>29.25</v>
      </c>
      <c r="DB22" s="33">
        <v>39.85</v>
      </c>
      <c r="DC22" s="33">
        <v>44.34569</v>
      </c>
      <c r="DD22" s="33">
        <v>2.851511</v>
      </c>
      <c r="DE22" s="33">
        <v>98.02976</v>
      </c>
      <c r="DF22" s="33">
        <v>49.8</v>
      </c>
      <c r="DG22" s="33">
        <v>5.48</v>
      </c>
      <c r="DH22" s="33">
        <v>59.54</v>
      </c>
      <c r="DI22" s="33">
        <v>68.39451</v>
      </c>
      <c r="DJ22" s="33">
        <v>108.4063</v>
      </c>
      <c r="DK22" s="33">
        <v>63.35586</v>
      </c>
      <c r="DL22" s="33">
        <v>179.0945</v>
      </c>
      <c r="DM22" s="33">
        <v>115.4494</v>
      </c>
      <c r="DN22" s="33">
        <v>62.86293</v>
      </c>
      <c r="DO22" s="33">
        <v>73.50565</v>
      </c>
      <c r="DP22" s="33">
        <v>38.90955</v>
      </c>
      <c r="DQ22" s="33">
        <v>123.7343</v>
      </c>
      <c r="DR22" s="33">
        <v>58.95538</v>
      </c>
      <c r="DS22" s="33">
        <v>29.57947</v>
      </c>
      <c r="DT22" s="33">
        <v>22.36832</v>
      </c>
      <c r="DU22" s="33">
        <v>42.65868</v>
      </c>
      <c r="DV22" s="34">
        <v>43.695747</v>
      </c>
      <c r="DW22" s="33">
        <v>68.59</v>
      </c>
      <c r="DX22" s="33">
        <v>132.2184</v>
      </c>
      <c r="DY22" s="33">
        <v>53.14805</v>
      </c>
      <c r="DZ22" s="33">
        <v>9.888078</v>
      </c>
      <c r="EA22" s="35">
        <v>2718.37</v>
      </c>
    </row>
    <row r="23" ht="14.8" spans="1:131">
      <c r="A23" s="32">
        <v>43282</v>
      </c>
      <c r="B23" s="33">
        <v>121.6029</v>
      </c>
      <c r="C23" s="33">
        <v>33.52309</v>
      </c>
      <c r="D23" s="33">
        <v>92.63679</v>
      </c>
      <c r="E23" s="33">
        <v>78.24387</v>
      </c>
      <c r="F23" s="33">
        <v>56.9772</v>
      </c>
      <c r="G23" s="33">
        <v>179.0823</v>
      </c>
      <c r="H23" s="33">
        <v>52.68273</v>
      </c>
      <c r="I23" s="33">
        <v>232.6519</v>
      </c>
      <c r="J23" s="33">
        <v>324.36</v>
      </c>
      <c r="K23" s="33">
        <v>244.93</v>
      </c>
      <c r="L23" s="33">
        <v>95.13</v>
      </c>
      <c r="M23" s="33">
        <v>64.3187</v>
      </c>
      <c r="N23" s="33">
        <v>121.94</v>
      </c>
      <c r="O23" s="33">
        <v>592.51</v>
      </c>
      <c r="P23" s="33">
        <v>240.784</v>
      </c>
      <c r="Q23" s="33">
        <v>58.77058</v>
      </c>
      <c r="R23" s="33">
        <v>243.2043</v>
      </c>
      <c r="S23" s="33">
        <v>368.01</v>
      </c>
      <c r="T23" s="33">
        <v>62.20872</v>
      </c>
      <c r="U23" s="33">
        <v>84.08103</v>
      </c>
      <c r="V23" s="33">
        <v>157.4574</v>
      </c>
      <c r="W23" s="33">
        <v>41.7</v>
      </c>
      <c r="X23" s="33">
        <v>84.8354</v>
      </c>
      <c r="Y23" s="33">
        <v>36.76934</v>
      </c>
      <c r="Z23" s="33">
        <v>240.0843</v>
      </c>
      <c r="AA23" s="33">
        <v>508.19</v>
      </c>
      <c r="AB23" s="33">
        <v>102.2766</v>
      </c>
      <c r="AC23" s="33">
        <v>69.78693</v>
      </c>
      <c r="AD23" s="33">
        <v>101.9321</v>
      </c>
      <c r="AE23" s="33">
        <v>244.68</v>
      </c>
      <c r="AF23" s="33">
        <v>45.16898</v>
      </c>
      <c r="AG23" s="33">
        <v>89.43</v>
      </c>
      <c r="AH23" s="33">
        <v>62.91</v>
      </c>
      <c r="AI23" s="33">
        <v>145.23</v>
      </c>
      <c r="AJ23" s="33">
        <v>75.26</v>
      </c>
      <c r="AK23" s="33">
        <v>10.98146</v>
      </c>
      <c r="AL23" s="33">
        <v>171.38</v>
      </c>
      <c r="AM23" s="33">
        <v>60.7367</v>
      </c>
      <c r="AN23" s="33">
        <v>44.39263</v>
      </c>
      <c r="AO23" s="33">
        <v>196.0667</v>
      </c>
      <c r="AP23" s="33">
        <v>101.9563</v>
      </c>
      <c r="AQ23" s="33">
        <v>58.22774</v>
      </c>
      <c r="AR23" s="33">
        <v>18.33</v>
      </c>
      <c r="AS23" s="33">
        <v>52.71631</v>
      </c>
      <c r="AT23" s="33">
        <v>90.20963</v>
      </c>
      <c r="AU23" s="33">
        <v>91.67571</v>
      </c>
      <c r="AV23" s="33">
        <v>89.0439</v>
      </c>
      <c r="AW23" s="33">
        <v>69.37026</v>
      </c>
      <c r="AX23" s="33">
        <v>89.65747</v>
      </c>
      <c r="AY23" s="33">
        <v>45.92781</v>
      </c>
      <c r="AZ23" s="33">
        <v>137.15</v>
      </c>
      <c r="BA23" s="33">
        <v>175.96</v>
      </c>
      <c r="BB23" s="33">
        <v>57.59512</v>
      </c>
      <c r="BC23" s="33">
        <v>58</v>
      </c>
      <c r="BD23" s="33">
        <v>67.83211</v>
      </c>
      <c r="BE23" s="33">
        <v>20.83765</v>
      </c>
      <c r="BF23" s="33">
        <v>123.8478</v>
      </c>
      <c r="BG23" s="33">
        <v>1777.44</v>
      </c>
      <c r="BH23" s="33">
        <v>32.20975</v>
      </c>
      <c r="BI23" s="33">
        <v>40.86</v>
      </c>
      <c r="BJ23" s="33">
        <v>35.18469</v>
      </c>
      <c r="BK23" s="33">
        <v>145.7231</v>
      </c>
      <c r="BL23" s="33">
        <v>49.17141</v>
      </c>
      <c r="BM23" s="33">
        <v>99.78658</v>
      </c>
      <c r="BN23" s="33">
        <v>74.55199</v>
      </c>
      <c r="BO23" s="33">
        <v>182.7326</v>
      </c>
      <c r="BP23" s="33">
        <v>102.2349</v>
      </c>
      <c r="BQ23" s="33">
        <v>37.9664</v>
      </c>
      <c r="BR23" s="33">
        <v>9.546822</v>
      </c>
      <c r="BS23" s="33">
        <v>2028.72</v>
      </c>
      <c r="BT23" s="33">
        <v>55.31031</v>
      </c>
      <c r="BU23" s="33">
        <v>74.91806</v>
      </c>
      <c r="BV23" s="33">
        <v>255.1851</v>
      </c>
      <c r="BW23" s="33">
        <v>22.81613</v>
      </c>
      <c r="BX23" s="33">
        <v>74.85471</v>
      </c>
      <c r="BY23" s="33">
        <v>138.2585</v>
      </c>
      <c r="BZ23" s="33">
        <v>74.02035</v>
      </c>
      <c r="CA23" s="33">
        <v>42.00297</v>
      </c>
      <c r="CB23" s="33">
        <v>104.4553</v>
      </c>
      <c r="CC23" s="33">
        <v>71.48637</v>
      </c>
      <c r="CD23" s="33">
        <v>51.23821</v>
      </c>
      <c r="CE23" s="33">
        <v>135.3753</v>
      </c>
      <c r="CF23" s="33">
        <v>96.39179</v>
      </c>
      <c r="CG23" s="33">
        <v>131.2474</v>
      </c>
      <c r="CH23" s="33">
        <v>40.37858</v>
      </c>
      <c r="CI23" s="33">
        <v>137.0671</v>
      </c>
      <c r="CJ23" s="33">
        <v>61.97059</v>
      </c>
      <c r="CK23" s="33">
        <v>51.32346</v>
      </c>
      <c r="CL23" s="33">
        <v>61.55106</v>
      </c>
      <c r="CM23" s="33">
        <v>33.69652</v>
      </c>
      <c r="CN23" s="33">
        <v>63.08278</v>
      </c>
      <c r="CO23" s="33">
        <v>55.97225</v>
      </c>
      <c r="CP23" s="33">
        <v>53.66507</v>
      </c>
      <c r="CQ23" s="33">
        <v>124.8897</v>
      </c>
      <c r="CR23" s="33">
        <v>36.81155</v>
      </c>
      <c r="CS23" s="33">
        <v>22.34564</v>
      </c>
      <c r="CT23" s="33">
        <v>33.81</v>
      </c>
      <c r="CU23" s="33">
        <v>17.82</v>
      </c>
      <c r="CV23" s="33">
        <v>108.5473</v>
      </c>
      <c r="CW23" s="33">
        <v>235.2183</v>
      </c>
      <c r="CX23" s="33">
        <v>3.99</v>
      </c>
      <c r="CY23" s="33">
        <v>21.83333</v>
      </c>
      <c r="CZ23" s="33">
        <v>31.9</v>
      </c>
      <c r="DA23" s="33">
        <v>34.45</v>
      </c>
      <c r="DB23" s="33">
        <v>38.3</v>
      </c>
      <c r="DC23" s="33">
        <v>45.17049</v>
      </c>
      <c r="DD23" s="33">
        <v>3.012561</v>
      </c>
      <c r="DE23" s="33">
        <v>96.68983</v>
      </c>
      <c r="DF23" s="33">
        <v>46.4</v>
      </c>
      <c r="DG23" s="33">
        <v>5.45</v>
      </c>
      <c r="DH23" s="33">
        <v>59.42</v>
      </c>
      <c r="DI23" s="33">
        <v>67.38592</v>
      </c>
      <c r="DJ23" s="33">
        <v>108.2691</v>
      </c>
      <c r="DK23" s="33">
        <v>65.67644</v>
      </c>
      <c r="DL23" s="33">
        <v>179.1229</v>
      </c>
      <c r="DM23" s="33">
        <v>119.6339</v>
      </c>
      <c r="DN23" s="33">
        <v>61.93276</v>
      </c>
      <c r="DO23" s="33">
        <v>74.38758</v>
      </c>
      <c r="DP23" s="33">
        <v>39.9139</v>
      </c>
      <c r="DQ23" s="33">
        <v>124.0917</v>
      </c>
      <c r="DR23" s="33">
        <v>59.81939</v>
      </c>
      <c r="DS23" s="33">
        <v>30.96755</v>
      </c>
      <c r="DT23" s="33">
        <v>22.93916</v>
      </c>
      <c r="DU23" s="33">
        <v>47.84608</v>
      </c>
      <c r="DV23" s="34">
        <v>42.99474</v>
      </c>
      <c r="DW23" s="33">
        <v>59.628</v>
      </c>
      <c r="DX23" s="33">
        <v>129.8778</v>
      </c>
      <c r="DY23" s="33">
        <v>55.57092</v>
      </c>
      <c r="DZ23" s="33">
        <v>8.968049</v>
      </c>
      <c r="EA23" s="35">
        <v>2816.29</v>
      </c>
    </row>
    <row r="24" ht="14.8" spans="1:131">
      <c r="A24" s="32">
        <v>43313</v>
      </c>
      <c r="B24" s="33">
        <v>123.5941</v>
      </c>
      <c r="C24" s="33">
        <v>34.85797</v>
      </c>
      <c r="D24" s="33">
        <v>99.04945</v>
      </c>
      <c r="E24" s="33">
        <v>82.25678</v>
      </c>
      <c r="F24" s="33">
        <v>59.32998</v>
      </c>
      <c r="G24" s="33">
        <v>182.0526</v>
      </c>
      <c r="H24" s="33">
        <v>54.68992</v>
      </c>
      <c r="I24" s="33">
        <v>237.1853</v>
      </c>
      <c r="J24" s="33">
        <v>354.83</v>
      </c>
      <c r="K24" s="33">
        <v>254.04</v>
      </c>
      <c r="L24" s="33">
        <v>144.38</v>
      </c>
      <c r="M24" s="33">
        <v>65.93848</v>
      </c>
      <c r="N24" s="33">
        <v>127.09</v>
      </c>
      <c r="O24" s="33">
        <v>584.46</v>
      </c>
      <c r="P24" s="33">
        <v>255.2755</v>
      </c>
      <c r="Q24" s="33">
        <v>68.69378</v>
      </c>
      <c r="R24" s="33">
        <v>254.4801</v>
      </c>
      <c r="S24" s="33">
        <v>406.75</v>
      </c>
      <c r="T24" s="33">
        <v>63.72781</v>
      </c>
      <c r="U24" s="33">
        <v>90.36539</v>
      </c>
      <c r="V24" s="33">
        <v>163.4181</v>
      </c>
      <c r="W24" s="33">
        <v>41.8</v>
      </c>
      <c r="X24" s="33">
        <v>89.00755</v>
      </c>
      <c r="Y24" s="33">
        <v>38.56297</v>
      </c>
      <c r="Z24" s="33">
        <v>251.1118</v>
      </c>
      <c r="AA24" s="33">
        <v>560</v>
      </c>
      <c r="AB24" s="33">
        <v>107.7201</v>
      </c>
      <c r="AC24" s="33">
        <v>71.63636</v>
      </c>
      <c r="AD24" s="33">
        <v>107.9377</v>
      </c>
      <c r="AE24" s="33">
        <v>263.51</v>
      </c>
      <c r="AF24" s="33">
        <v>46.2021</v>
      </c>
      <c r="AG24" s="33">
        <v>102.14</v>
      </c>
      <c r="AH24" s="33">
        <v>83.76</v>
      </c>
      <c r="AI24" s="33">
        <v>158.61</v>
      </c>
      <c r="AJ24" s="33">
        <v>75.14</v>
      </c>
      <c r="AK24" s="33">
        <v>10.94887</v>
      </c>
      <c r="AL24" s="33">
        <v>189.12</v>
      </c>
      <c r="AM24" s="33">
        <v>69.62174</v>
      </c>
      <c r="AN24" s="33">
        <v>44.6972</v>
      </c>
      <c r="AO24" s="33">
        <v>193.6442</v>
      </c>
      <c r="AP24" s="33">
        <v>103.5155</v>
      </c>
      <c r="AQ24" s="33">
        <v>62.42516</v>
      </c>
      <c r="AR24" s="33">
        <v>25.17</v>
      </c>
      <c r="AS24" s="33">
        <v>52.44669</v>
      </c>
      <c r="AT24" s="33">
        <v>92.75247</v>
      </c>
      <c r="AU24" s="33">
        <v>89.56027</v>
      </c>
      <c r="AV24" s="33">
        <v>81.9913</v>
      </c>
      <c r="AW24" s="33">
        <v>74.91447</v>
      </c>
      <c r="AX24" s="33">
        <v>86.5482</v>
      </c>
      <c r="AY24" s="33">
        <v>54.9401</v>
      </c>
      <c r="AZ24" s="33">
        <v>152.68</v>
      </c>
      <c r="BA24" s="33">
        <v>196.36</v>
      </c>
      <c r="BB24" s="33">
        <v>62.84279</v>
      </c>
      <c r="BC24" s="33">
        <v>64.89</v>
      </c>
      <c r="BD24" s="33">
        <v>69.40231</v>
      </c>
      <c r="BE24" s="33">
        <v>22.25512</v>
      </c>
      <c r="BF24" s="33">
        <v>125.1723</v>
      </c>
      <c r="BG24" s="33">
        <v>2012.71</v>
      </c>
      <c r="BH24" s="33">
        <v>33.32674</v>
      </c>
      <c r="BI24" s="33">
        <v>48.69</v>
      </c>
      <c r="BJ24" s="33">
        <v>33.4584</v>
      </c>
      <c r="BK24" s="33">
        <v>150.0614</v>
      </c>
      <c r="BL24" s="33">
        <v>50.16629</v>
      </c>
      <c r="BM24" s="33">
        <v>109.0139</v>
      </c>
      <c r="BN24" s="33">
        <v>79.67979</v>
      </c>
      <c r="BO24" s="33">
        <v>185.7393</v>
      </c>
      <c r="BP24" s="33">
        <v>99.53637</v>
      </c>
      <c r="BQ24" s="33">
        <v>40.80146</v>
      </c>
      <c r="BR24" s="33">
        <v>8.884563</v>
      </c>
      <c r="BS24" s="33">
        <v>1951.55</v>
      </c>
      <c r="BT24" s="33">
        <v>57.41105</v>
      </c>
      <c r="BU24" s="33">
        <v>82.099</v>
      </c>
      <c r="BV24" s="33">
        <v>290.0634</v>
      </c>
      <c r="BW24" s="33">
        <v>19.04106</v>
      </c>
      <c r="BX24" s="33">
        <v>84.67676</v>
      </c>
      <c r="BY24" s="33">
        <v>160.5788</v>
      </c>
      <c r="BZ24" s="33">
        <v>76.60375</v>
      </c>
      <c r="CA24" s="33">
        <v>40.14738</v>
      </c>
      <c r="CB24" s="33">
        <v>101.7394</v>
      </c>
      <c r="CC24" s="33">
        <v>64.51996</v>
      </c>
      <c r="CD24" s="33">
        <v>51.11238</v>
      </c>
      <c r="CE24" s="33">
        <v>128.1502</v>
      </c>
      <c r="CF24" s="33">
        <v>88.34651</v>
      </c>
      <c r="CG24" s="33">
        <v>136.2857</v>
      </c>
      <c r="CH24" s="33">
        <v>39.76425</v>
      </c>
      <c r="CI24" s="33">
        <v>141.7717</v>
      </c>
      <c r="CJ24" s="33">
        <v>61.81133</v>
      </c>
      <c r="CK24" s="33">
        <v>49.63682</v>
      </c>
      <c r="CL24" s="33">
        <v>68.8821</v>
      </c>
      <c r="CM24" s="33">
        <v>36.86002</v>
      </c>
      <c r="CN24" s="33">
        <v>63.75776</v>
      </c>
      <c r="CO24" s="33">
        <v>59.73049</v>
      </c>
      <c r="CP24" s="33">
        <v>54.31789</v>
      </c>
      <c r="CQ24" s="33">
        <v>134.9156</v>
      </c>
      <c r="CR24" s="33">
        <v>35.80203</v>
      </c>
      <c r="CS24" s="33">
        <v>18.53177</v>
      </c>
      <c r="CT24" s="33">
        <v>32.59</v>
      </c>
      <c r="CU24" s="33">
        <v>18.49</v>
      </c>
      <c r="CV24" s="33">
        <v>111.2544</v>
      </c>
      <c r="CW24" s="33">
        <v>233.3815</v>
      </c>
      <c r="CX24" s="33">
        <v>4.35</v>
      </c>
      <c r="CY24" s="33">
        <v>21.5</v>
      </c>
      <c r="CZ24" s="33">
        <v>35</v>
      </c>
      <c r="DA24" s="33">
        <v>33.2</v>
      </c>
      <c r="DB24" s="33">
        <v>47.75</v>
      </c>
      <c r="DC24" s="33">
        <v>46.67456</v>
      </c>
      <c r="DD24" s="33">
        <v>3.173609</v>
      </c>
      <c r="DE24" s="33">
        <v>100.3783</v>
      </c>
      <c r="DF24" s="33">
        <v>52.85</v>
      </c>
      <c r="DG24" s="33">
        <v>5.44</v>
      </c>
      <c r="DH24" s="33">
        <v>63.29</v>
      </c>
      <c r="DI24" s="33">
        <v>66.27811</v>
      </c>
      <c r="DJ24" s="33">
        <v>101.5724</v>
      </c>
      <c r="DK24" s="33">
        <v>67.09747</v>
      </c>
      <c r="DL24" s="33">
        <v>165.334</v>
      </c>
      <c r="DM24" s="33">
        <v>109.8582</v>
      </c>
      <c r="DN24" s="33">
        <v>63.54641</v>
      </c>
      <c r="DO24" s="33">
        <v>70.78918</v>
      </c>
      <c r="DP24" s="33">
        <v>38.06939</v>
      </c>
      <c r="DQ24" s="33">
        <v>113.869</v>
      </c>
      <c r="DR24" s="33">
        <v>55.95666</v>
      </c>
      <c r="DS24" s="33">
        <v>29.52574</v>
      </c>
      <c r="DT24" s="33">
        <v>21.58606</v>
      </c>
      <c r="DU24" s="33">
        <v>46.32074</v>
      </c>
      <c r="DV24" s="34">
        <v>41.197697</v>
      </c>
      <c r="DW24" s="33">
        <v>60.332</v>
      </c>
      <c r="DX24" s="33">
        <v>128.3795</v>
      </c>
      <c r="DY24" s="33">
        <v>49.48172</v>
      </c>
      <c r="DZ24" s="33">
        <v>8.586881</v>
      </c>
      <c r="EA24" s="35">
        <v>2901.52</v>
      </c>
    </row>
    <row r="25" ht="14.8" spans="1:131">
      <c r="A25" s="32">
        <v>43344</v>
      </c>
      <c r="B25" s="33">
        <v>127.6324</v>
      </c>
      <c r="C25" s="33">
        <v>37.31386</v>
      </c>
      <c r="D25" s="33">
        <v>101.1617</v>
      </c>
      <c r="E25" s="33">
        <v>81.05695</v>
      </c>
      <c r="F25" s="33">
        <v>61.36272</v>
      </c>
      <c r="G25" s="33">
        <v>190.1533</v>
      </c>
      <c r="H25" s="33">
        <v>56.07186</v>
      </c>
      <c r="I25" s="33">
        <v>242.1254</v>
      </c>
      <c r="J25" s="33">
        <v>367.06</v>
      </c>
      <c r="K25" s="33">
        <v>249.66</v>
      </c>
      <c r="L25" s="33">
        <v>143.04</v>
      </c>
      <c r="M25" s="33">
        <v>68.86734</v>
      </c>
      <c r="N25" s="33">
        <v>129.74</v>
      </c>
      <c r="O25" s="33">
        <v>608.98</v>
      </c>
      <c r="P25" s="33">
        <v>252.9744</v>
      </c>
      <c r="Q25" s="33">
        <v>71.871</v>
      </c>
      <c r="R25" s="33">
        <v>263.4392</v>
      </c>
      <c r="S25" s="33">
        <v>404.04</v>
      </c>
      <c r="T25" s="33">
        <v>69.94423</v>
      </c>
      <c r="U25" s="33">
        <v>92.2025</v>
      </c>
      <c r="V25" s="33">
        <v>171.3753</v>
      </c>
      <c r="W25" s="33">
        <v>45.55</v>
      </c>
      <c r="X25" s="33">
        <v>89.95068</v>
      </c>
      <c r="Y25" s="33">
        <v>36.06963</v>
      </c>
      <c r="Z25" s="33">
        <v>250.2776</v>
      </c>
      <c r="AA25" s="33">
        <v>574</v>
      </c>
      <c r="AB25" s="33">
        <v>111.9024</v>
      </c>
      <c r="AC25" s="33">
        <v>74.44765</v>
      </c>
      <c r="AD25" s="33">
        <v>110.3208</v>
      </c>
      <c r="AE25" s="33">
        <v>269.95</v>
      </c>
      <c r="AF25" s="33">
        <v>49.03622</v>
      </c>
      <c r="AG25" s="33">
        <v>98.61</v>
      </c>
      <c r="AH25" s="33">
        <v>92.27</v>
      </c>
      <c r="AI25" s="33">
        <v>160.12</v>
      </c>
      <c r="AJ25" s="33">
        <v>73.15</v>
      </c>
      <c r="AK25" s="33">
        <v>11.60197</v>
      </c>
      <c r="AL25" s="33">
        <v>199.42</v>
      </c>
      <c r="AM25" s="33">
        <v>69.74419</v>
      </c>
      <c r="AN25" s="33">
        <v>43.9105</v>
      </c>
      <c r="AO25" s="33">
        <v>218.1338</v>
      </c>
      <c r="AP25" s="33">
        <v>98.80938</v>
      </c>
      <c r="AQ25" s="33">
        <v>65.44146</v>
      </c>
      <c r="AR25" s="33">
        <v>30.89</v>
      </c>
      <c r="AS25" s="33">
        <v>45.16686</v>
      </c>
      <c r="AT25" s="33">
        <v>87.17436</v>
      </c>
      <c r="AU25" s="33">
        <v>82.21389</v>
      </c>
      <c r="AV25" s="33">
        <v>75.53678</v>
      </c>
      <c r="AW25" s="33">
        <v>77.54862</v>
      </c>
      <c r="AX25" s="33">
        <v>86.33202</v>
      </c>
      <c r="AY25" s="33">
        <v>54.675</v>
      </c>
      <c r="AZ25" s="33">
        <v>159.03</v>
      </c>
      <c r="BA25" s="33">
        <v>195.63</v>
      </c>
      <c r="BB25" s="33">
        <v>64.60431</v>
      </c>
      <c r="BC25" s="33">
        <v>66.28</v>
      </c>
      <c r="BD25" s="33">
        <v>69.64224</v>
      </c>
      <c r="BE25" s="33">
        <v>23.26631</v>
      </c>
      <c r="BF25" s="33">
        <v>130.6103</v>
      </c>
      <c r="BG25" s="33">
        <v>2003</v>
      </c>
      <c r="BH25" s="33">
        <v>31.79569</v>
      </c>
      <c r="BI25" s="33">
        <v>51.38</v>
      </c>
      <c r="BJ25" s="33">
        <v>31.24949</v>
      </c>
      <c r="BK25" s="33">
        <v>155.7078</v>
      </c>
      <c r="BL25" s="33">
        <v>53.71943</v>
      </c>
      <c r="BM25" s="33">
        <v>104.4576</v>
      </c>
      <c r="BN25" s="33">
        <v>82.32481</v>
      </c>
      <c r="BO25" s="33">
        <v>192.6239</v>
      </c>
      <c r="BP25" s="33">
        <v>99.32809</v>
      </c>
      <c r="BQ25" s="33">
        <v>42.9598</v>
      </c>
      <c r="BR25" s="33">
        <v>8.557734</v>
      </c>
      <c r="BS25" s="33">
        <v>1984</v>
      </c>
      <c r="BT25" s="33">
        <v>60.0249</v>
      </c>
      <c r="BU25" s="33">
        <v>86.26617</v>
      </c>
      <c r="BV25" s="33">
        <v>286.4104</v>
      </c>
      <c r="BW25" s="33">
        <v>22.23984</v>
      </c>
      <c r="BX25" s="33">
        <v>87.47581</v>
      </c>
      <c r="BY25" s="33">
        <v>164.7883</v>
      </c>
      <c r="BZ25" s="33">
        <v>76.86233</v>
      </c>
      <c r="CA25" s="33">
        <v>41.60662</v>
      </c>
      <c r="CB25" s="33">
        <v>101.5487</v>
      </c>
      <c r="CC25" s="33">
        <v>67.54343</v>
      </c>
      <c r="CD25" s="33">
        <v>49.80045</v>
      </c>
      <c r="CE25" s="33">
        <v>132.1567</v>
      </c>
      <c r="CF25" s="33">
        <v>82.98299</v>
      </c>
      <c r="CG25" s="33">
        <v>141.7271</v>
      </c>
      <c r="CH25" s="33">
        <v>39.98764</v>
      </c>
      <c r="CI25" s="33">
        <v>141.3749</v>
      </c>
      <c r="CJ25" s="33">
        <v>62.31393</v>
      </c>
      <c r="CK25" s="33">
        <v>47.44684</v>
      </c>
      <c r="CL25" s="33">
        <v>67.4367</v>
      </c>
      <c r="CM25" s="33">
        <v>37.0954</v>
      </c>
      <c r="CN25" s="33">
        <v>62.67497</v>
      </c>
      <c r="CO25" s="33">
        <v>63.01643</v>
      </c>
      <c r="CP25" s="33">
        <v>57.21952</v>
      </c>
      <c r="CQ25" s="33">
        <v>139.9687</v>
      </c>
      <c r="CR25" s="33">
        <v>33.2428</v>
      </c>
      <c r="CS25" s="33">
        <v>17.49909</v>
      </c>
      <c r="CT25" s="33">
        <v>30.82</v>
      </c>
      <c r="CU25" s="33">
        <v>18.09</v>
      </c>
      <c r="CV25" s="33">
        <v>106.5047</v>
      </c>
      <c r="CW25" s="33">
        <v>230.3584</v>
      </c>
      <c r="CX25" s="33">
        <v>5.91</v>
      </c>
      <c r="CY25" s="33">
        <v>22.46667</v>
      </c>
      <c r="CZ25" s="33">
        <v>33.9</v>
      </c>
      <c r="DA25" s="33">
        <v>30.95</v>
      </c>
      <c r="DB25" s="33">
        <v>36.4</v>
      </c>
      <c r="DC25" s="33">
        <v>47.1902</v>
      </c>
      <c r="DD25" s="33">
        <v>3.315711</v>
      </c>
      <c r="DE25" s="33">
        <v>106.2139</v>
      </c>
      <c r="DF25" s="33">
        <v>45.6</v>
      </c>
      <c r="DG25" s="33">
        <v>5.76</v>
      </c>
      <c r="DH25" s="33">
        <v>58.51</v>
      </c>
      <c r="DI25" s="33">
        <v>71.01267</v>
      </c>
      <c r="DJ25" s="33">
        <v>105.8531</v>
      </c>
      <c r="DK25" s="33">
        <v>70.72508</v>
      </c>
      <c r="DL25" s="33">
        <v>164.8514</v>
      </c>
      <c r="DM25" s="33">
        <v>118.5369</v>
      </c>
      <c r="DN25" s="33">
        <v>67.54756</v>
      </c>
      <c r="DO25" s="33">
        <v>72.8277</v>
      </c>
      <c r="DP25" s="33">
        <v>35.41792</v>
      </c>
      <c r="DQ25" s="33">
        <v>127.2708</v>
      </c>
      <c r="DR25" s="33">
        <v>53.97212</v>
      </c>
      <c r="DS25" s="33">
        <v>30.45364</v>
      </c>
      <c r="DT25" s="33">
        <v>22.12561</v>
      </c>
      <c r="DU25" s="33">
        <v>42.39425</v>
      </c>
      <c r="DV25" s="34">
        <v>44.807087</v>
      </c>
      <c r="DW25" s="33">
        <v>52.954</v>
      </c>
      <c r="DX25" s="33">
        <v>134.0791</v>
      </c>
      <c r="DY25" s="33">
        <v>48.31227</v>
      </c>
      <c r="DZ25" s="33">
        <v>8.37855</v>
      </c>
      <c r="EA25" s="35">
        <v>2913.98</v>
      </c>
    </row>
    <row r="26" ht="14.8" spans="1:131">
      <c r="A26" s="32">
        <v>43374</v>
      </c>
      <c r="B26" s="33">
        <v>129.3136</v>
      </c>
      <c r="C26" s="33">
        <v>36.45869</v>
      </c>
      <c r="D26" s="33">
        <v>102.227</v>
      </c>
      <c r="E26" s="33">
        <v>66.71899</v>
      </c>
      <c r="F26" s="33">
        <v>64.10671</v>
      </c>
      <c r="G26" s="33">
        <v>176.8521</v>
      </c>
      <c r="H26" s="33">
        <v>45.64871</v>
      </c>
      <c r="I26" s="33">
        <v>231.9405</v>
      </c>
      <c r="J26" s="33">
        <v>311.15</v>
      </c>
      <c r="K26" s="33">
        <v>212.12</v>
      </c>
      <c r="L26" s="33">
        <v>132.77</v>
      </c>
      <c r="M26" s="33">
        <v>63.2537</v>
      </c>
      <c r="N26" s="33">
        <v>122.93</v>
      </c>
      <c r="O26" s="33">
        <v>546.82</v>
      </c>
      <c r="P26" s="33">
        <v>249.3533</v>
      </c>
      <c r="Q26" s="33">
        <v>66.09174</v>
      </c>
      <c r="R26" s="33">
        <v>265.6359</v>
      </c>
      <c r="S26" s="33">
        <v>339.24</v>
      </c>
      <c r="T26" s="33">
        <v>65.73004</v>
      </c>
      <c r="U26" s="33">
        <v>84.18854</v>
      </c>
      <c r="V26" s="33">
        <v>156.8834</v>
      </c>
      <c r="W26" s="33">
        <v>40.34</v>
      </c>
      <c r="X26" s="33">
        <v>88.56546</v>
      </c>
      <c r="Y26" s="33">
        <v>30.79715</v>
      </c>
      <c r="Z26" s="33">
        <v>221.676</v>
      </c>
      <c r="AA26" s="33">
        <v>521.18</v>
      </c>
      <c r="AB26" s="33">
        <v>102.7632</v>
      </c>
      <c r="AC26" s="33">
        <v>60.36738</v>
      </c>
      <c r="AD26" s="33">
        <v>103.0285</v>
      </c>
      <c r="AE26" s="33">
        <v>245.76</v>
      </c>
      <c r="AF26" s="33">
        <v>46.44937</v>
      </c>
      <c r="AG26" s="33">
        <v>89.53</v>
      </c>
      <c r="AH26" s="33">
        <v>82.18</v>
      </c>
      <c r="AI26" s="33">
        <v>142.54</v>
      </c>
      <c r="AJ26" s="33">
        <v>72.25</v>
      </c>
      <c r="AK26" s="33">
        <v>9.895477</v>
      </c>
      <c r="AL26" s="33">
        <v>175.28</v>
      </c>
      <c r="AM26" s="33">
        <v>52.32429</v>
      </c>
      <c r="AN26" s="33">
        <v>43.5298</v>
      </c>
      <c r="AO26" s="33">
        <v>199.0708</v>
      </c>
      <c r="AP26" s="33">
        <v>85.49236</v>
      </c>
      <c r="AQ26" s="33">
        <v>57.65777</v>
      </c>
      <c r="AR26" s="33">
        <v>18.21</v>
      </c>
      <c r="AS26" s="33">
        <v>37.66735</v>
      </c>
      <c r="AT26" s="33">
        <v>78.92458</v>
      </c>
      <c r="AU26" s="33">
        <v>72.30068</v>
      </c>
      <c r="AV26" s="33">
        <v>62.96806</v>
      </c>
      <c r="AW26" s="33">
        <v>82.5786</v>
      </c>
      <c r="AX26" s="33">
        <v>82.57268</v>
      </c>
      <c r="AY26" s="33">
        <v>53.00865</v>
      </c>
      <c r="AZ26" s="33">
        <v>137.24</v>
      </c>
      <c r="BA26" s="33">
        <v>181.04</v>
      </c>
      <c r="BB26" s="33">
        <v>61.49285</v>
      </c>
      <c r="BC26" s="33">
        <v>57.08</v>
      </c>
      <c r="BD26" s="33">
        <v>61.41254</v>
      </c>
      <c r="BE26" s="33">
        <v>21.91827</v>
      </c>
      <c r="BF26" s="33">
        <v>99.7047</v>
      </c>
      <c r="BG26" s="33">
        <v>1598.01</v>
      </c>
      <c r="BH26" s="33">
        <v>27.95363</v>
      </c>
      <c r="BI26" s="33">
        <v>42.52</v>
      </c>
      <c r="BJ26" s="33">
        <v>34.32923</v>
      </c>
      <c r="BK26" s="33">
        <v>164.6525</v>
      </c>
      <c r="BL26" s="33">
        <v>55.07092</v>
      </c>
      <c r="BM26" s="33">
        <v>100.0985</v>
      </c>
      <c r="BN26" s="33">
        <v>72.91849</v>
      </c>
      <c r="BO26" s="33">
        <v>163.5467</v>
      </c>
      <c r="BP26" s="33">
        <v>83.72303</v>
      </c>
      <c r="BQ26" s="33">
        <v>43.75083</v>
      </c>
      <c r="BR26" s="33">
        <v>7.920858</v>
      </c>
      <c r="BS26" s="33">
        <v>1874.58</v>
      </c>
      <c r="BT26" s="33">
        <v>52.74887</v>
      </c>
      <c r="BU26" s="33">
        <v>85.79172</v>
      </c>
      <c r="BV26" s="33">
        <v>261.6451</v>
      </c>
      <c r="BW26" s="33">
        <v>23.7959</v>
      </c>
      <c r="BX26" s="33">
        <v>88.44798</v>
      </c>
      <c r="BY26" s="33">
        <v>156.454</v>
      </c>
      <c r="BZ26" s="33">
        <v>81.89538</v>
      </c>
      <c r="CA26" s="33">
        <v>43.49578</v>
      </c>
      <c r="CB26" s="33">
        <v>102.9198</v>
      </c>
      <c r="CC26" s="33">
        <v>73.98605</v>
      </c>
      <c r="CD26" s="33">
        <v>47.9976</v>
      </c>
      <c r="CE26" s="33">
        <v>128.8824</v>
      </c>
      <c r="CF26" s="33">
        <v>70.10484</v>
      </c>
      <c r="CG26" s="33">
        <v>134.0419</v>
      </c>
      <c r="CH26" s="33">
        <v>39.31183</v>
      </c>
      <c r="CI26" s="33">
        <v>131.523</v>
      </c>
      <c r="CJ26" s="33">
        <v>55.42636</v>
      </c>
      <c r="CK26" s="33">
        <v>47.32631</v>
      </c>
      <c r="CL26" s="33">
        <v>65.66908</v>
      </c>
      <c r="CM26" s="33">
        <v>41.0874</v>
      </c>
      <c r="CN26" s="33">
        <v>58.6112</v>
      </c>
      <c r="CO26" s="33">
        <v>68.87564</v>
      </c>
      <c r="CP26" s="33">
        <v>57.21952</v>
      </c>
      <c r="CQ26" s="33">
        <v>138.1448</v>
      </c>
      <c r="CR26" s="33">
        <v>33.95068</v>
      </c>
      <c r="CS26" s="33">
        <v>13.68894</v>
      </c>
      <c r="CT26" s="33">
        <v>29.17</v>
      </c>
      <c r="CU26" s="33">
        <v>17.66</v>
      </c>
      <c r="CV26" s="33">
        <v>97.19064</v>
      </c>
      <c r="CW26" s="33">
        <v>211.3524</v>
      </c>
      <c r="CX26" s="33">
        <v>5.44</v>
      </c>
      <c r="CY26" s="33">
        <v>24.12667</v>
      </c>
      <c r="CZ26" s="33">
        <v>30.59</v>
      </c>
      <c r="DA26" s="33">
        <v>25.71</v>
      </c>
      <c r="DB26" s="33">
        <v>33.34</v>
      </c>
      <c r="DC26" s="33">
        <v>36.08033</v>
      </c>
      <c r="DD26" s="33">
        <v>3.211503</v>
      </c>
      <c r="DE26" s="33">
        <v>85.9735</v>
      </c>
      <c r="DF26" s="33">
        <v>45.82</v>
      </c>
      <c r="DG26" s="33">
        <v>5.42</v>
      </c>
      <c r="DH26" s="33">
        <v>58.4</v>
      </c>
      <c r="DI26" s="33">
        <v>66.55246</v>
      </c>
      <c r="DJ26" s="33">
        <v>96.65111</v>
      </c>
      <c r="DK26" s="33">
        <v>63.87189</v>
      </c>
      <c r="DL26" s="33">
        <v>139.5029</v>
      </c>
      <c r="DM26" s="33">
        <v>97.88094</v>
      </c>
      <c r="DN26" s="33">
        <v>54.37475</v>
      </c>
      <c r="DO26" s="33">
        <v>60.04829</v>
      </c>
      <c r="DP26" s="33">
        <v>28.78652</v>
      </c>
      <c r="DQ26" s="33">
        <v>105.7781</v>
      </c>
      <c r="DR26" s="33">
        <v>45.82087</v>
      </c>
      <c r="DS26" s="33">
        <v>24.02625</v>
      </c>
      <c r="DT26" s="33">
        <v>18.62092</v>
      </c>
      <c r="DU26" s="33">
        <v>36.25473</v>
      </c>
      <c r="DV26" s="34">
        <v>35.558048</v>
      </c>
      <c r="DW26" s="33">
        <v>67.464</v>
      </c>
      <c r="DX26" s="33">
        <v>114.6885</v>
      </c>
      <c r="DY26" s="33">
        <v>45.28643</v>
      </c>
      <c r="DZ26" s="33">
        <v>8.650287</v>
      </c>
      <c r="EA26" s="35">
        <v>2711.74</v>
      </c>
    </row>
    <row r="27" ht="14.8" spans="1:131">
      <c r="A27" s="32">
        <v>43405</v>
      </c>
      <c r="B27" s="33">
        <v>135.6966</v>
      </c>
      <c r="C27" s="33">
        <v>39.14272</v>
      </c>
      <c r="D27" s="33">
        <v>111.8426</v>
      </c>
      <c r="E27" s="33">
        <v>81.65553</v>
      </c>
      <c r="F27" s="33">
        <v>69.09695</v>
      </c>
      <c r="G27" s="33">
        <v>191.034</v>
      </c>
      <c r="H27" s="33">
        <v>48.59638</v>
      </c>
      <c r="I27" s="33">
        <v>247.7242</v>
      </c>
      <c r="J27" s="33">
        <v>337.5</v>
      </c>
      <c r="K27" s="33">
        <v>203.76</v>
      </c>
      <c r="L27" s="33">
        <v>129.59</v>
      </c>
      <c r="M27" s="33">
        <v>70.78394</v>
      </c>
      <c r="N27" s="33">
        <v>125.07</v>
      </c>
      <c r="O27" s="33">
        <v>636.66</v>
      </c>
      <c r="P27" s="33">
        <v>268.4447</v>
      </c>
      <c r="Q27" s="33">
        <v>73.72833</v>
      </c>
      <c r="R27" s="33">
        <v>279.613</v>
      </c>
      <c r="S27" s="33">
        <v>365.65</v>
      </c>
      <c r="T27" s="33">
        <v>70.8924</v>
      </c>
      <c r="U27" s="33">
        <v>91.41515</v>
      </c>
      <c r="V27" s="33">
        <v>169.6878</v>
      </c>
      <c r="W27" s="33">
        <v>39.65</v>
      </c>
      <c r="X27" s="33">
        <v>92.22006</v>
      </c>
      <c r="Y27" s="33">
        <v>33.36933</v>
      </c>
      <c r="Z27" s="33">
        <v>243.0743</v>
      </c>
      <c r="AA27" s="33">
        <v>530.87</v>
      </c>
      <c r="AB27" s="33">
        <v>108.4582</v>
      </c>
      <c r="AC27" s="33">
        <v>66.20036</v>
      </c>
      <c r="AD27" s="33">
        <v>106.964</v>
      </c>
      <c r="AE27" s="33">
        <v>250.89</v>
      </c>
      <c r="AF27" s="33">
        <v>46.55999</v>
      </c>
      <c r="AG27" s="33">
        <v>91.94</v>
      </c>
      <c r="AH27" s="33">
        <v>73.84</v>
      </c>
      <c r="AI27" s="33">
        <v>156.06</v>
      </c>
      <c r="AJ27" s="33">
        <v>68.75</v>
      </c>
      <c r="AK27" s="33">
        <v>12.05449</v>
      </c>
      <c r="AL27" s="33">
        <v>171.97</v>
      </c>
      <c r="AM27" s="33">
        <v>40.56044</v>
      </c>
      <c r="AN27" s="33">
        <v>45.78614</v>
      </c>
      <c r="AO27" s="33">
        <v>211.4699</v>
      </c>
      <c r="AP27" s="33">
        <v>92.7494</v>
      </c>
      <c r="AQ27" s="33">
        <v>53.41298</v>
      </c>
      <c r="AR27" s="33">
        <v>21.3</v>
      </c>
      <c r="AS27" s="33">
        <v>38.50618</v>
      </c>
      <c r="AT27" s="33">
        <v>86.66522</v>
      </c>
      <c r="AU27" s="33">
        <v>80.38017</v>
      </c>
      <c r="AV27" s="33">
        <v>71.79393</v>
      </c>
      <c r="AW27" s="33">
        <v>89.45612</v>
      </c>
      <c r="AX27" s="33">
        <v>69.25787</v>
      </c>
      <c r="AY27" s="33">
        <v>43.2527</v>
      </c>
      <c r="AZ27" s="33">
        <v>142.76</v>
      </c>
      <c r="BA27" s="33">
        <v>185.27</v>
      </c>
      <c r="BB27" s="33">
        <v>61.95757</v>
      </c>
      <c r="BC27" s="33">
        <v>61.82</v>
      </c>
      <c r="BD27" s="33">
        <v>62.91787</v>
      </c>
      <c r="BE27" s="33">
        <v>20.88319</v>
      </c>
      <c r="BF27" s="33">
        <v>107.3404</v>
      </c>
      <c r="BG27" s="33">
        <v>1690.17</v>
      </c>
      <c r="BH27" s="33">
        <v>28.74323</v>
      </c>
      <c r="BI27" s="33">
        <v>54.04</v>
      </c>
      <c r="BJ27" s="33">
        <v>35.6052</v>
      </c>
      <c r="BK27" s="33">
        <v>175.4587</v>
      </c>
      <c r="BL27" s="33">
        <v>63.057</v>
      </c>
      <c r="BM27" s="33">
        <v>104.5708</v>
      </c>
      <c r="BN27" s="33">
        <v>72.99622</v>
      </c>
      <c r="BO27" s="33">
        <v>167.6754</v>
      </c>
      <c r="BP27" s="33">
        <v>89.20365</v>
      </c>
      <c r="BQ27" s="33">
        <v>47.9599</v>
      </c>
      <c r="BR27" s="33">
        <v>8.67774</v>
      </c>
      <c r="BS27" s="33">
        <v>1891.88</v>
      </c>
      <c r="BT27" s="33">
        <v>56.74927</v>
      </c>
      <c r="BU27" s="33">
        <v>87.50925</v>
      </c>
      <c r="BV27" s="33">
        <v>269.9484</v>
      </c>
      <c r="BW27" s="33">
        <v>24.30235</v>
      </c>
      <c r="BX27" s="33">
        <v>91.56661</v>
      </c>
      <c r="BY27" s="33">
        <v>174.0325</v>
      </c>
      <c r="BZ27" s="33">
        <v>88.05055</v>
      </c>
      <c r="CA27" s="33">
        <v>45.78504</v>
      </c>
      <c r="CB27" s="33">
        <v>111.6751</v>
      </c>
      <c r="CC27" s="33">
        <v>72.69231</v>
      </c>
      <c r="CD27" s="33">
        <v>49.18441</v>
      </c>
      <c r="CE27" s="33">
        <v>134.6568</v>
      </c>
      <c r="CF27" s="33">
        <v>72.84346</v>
      </c>
      <c r="CG27" s="33">
        <v>139.1328</v>
      </c>
      <c r="CH27" s="33">
        <v>42.12115</v>
      </c>
      <c r="CI27" s="33">
        <v>134.1713</v>
      </c>
      <c r="CJ27" s="33">
        <v>59.51478</v>
      </c>
      <c r="CK27" s="33">
        <v>44.01166</v>
      </c>
      <c r="CL27" s="33">
        <v>62.36016</v>
      </c>
      <c r="CM27" s="33">
        <v>42.64756</v>
      </c>
      <c r="CN27" s="33">
        <v>56.97317</v>
      </c>
      <c r="CO27" s="33">
        <v>72.02142</v>
      </c>
      <c r="CP27" s="33">
        <v>63.79251</v>
      </c>
      <c r="CQ27" s="33">
        <v>155.1172</v>
      </c>
      <c r="CR27" s="33">
        <v>35.90834</v>
      </c>
      <c r="CS27" s="33">
        <v>20.17137</v>
      </c>
      <c r="CT27" s="33">
        <v>33.18</v>
      </c>
      <c r="CU27" s="33">
        <v>19.84</v>
      </c>
      <c r="CV27" s="33">
        <v>105.1728</v>
      </c>
      <c r="CW27" s="33">
        <v>219.6591</v>
      </c>
      <c r="CX27" s="33">
        <v>5.44</v>
      </c>
      <c r="CY27" s="33">
        <v>20.08</v>
      </c>
      <c r="CZ27" s="33">
        <v>29.42</v>
      </c>
      <c r="DA27" s="33">
        <v>25.37</v>
      </c>
      <c r="DB27" s="33">
        <v>30.35</v>
      </c>
      <c r="DC27" s="33">
        <v>39.13239</v>
      </c>
      <c r="DD27" s="33">
        <v>2.860985</v>
      </c>
      <c r="DE27" s="33">
        <v>90.13306</v>
      </c>
      <c r="DF27" s="33">
        <v>44.44</v>
      </c>
      <c r="DG27" s="33">
        <v>5.22</v>
      </c>
      <c r="DH27" s="33">
        <v>61.04</v>
      </c>
      <c r="DI27" s="33">
        <v>66.40212</v>
      </c>
      <c r="DJ27" s="33">
        <v>102.9618</v>
      </c>
      <c r="DK27" s="33">
        <v>60.72716</v>
      </c>
      <c r="DL27" s="33">
        <v>139.9576</v>
      </c>
      <c r="DM27" s="33">
        <v>96.16729</v>
      </c>
      <c r="DN27" s="33">
        <v>51.04974</v>
      </c>
      <c r="DO27" s="33">
        <v>62.91326</v>
      </c>
      <c r="DP27" s="33">
        <v>24.01542</v>
      </c>
      <c r="DQ27" s="33">
        <v>103.9141</v>
      </c>
      <c r="DR27" s="33">
        <v>40.27522</v>
      </c>
      <c r="DS27" s="33">
        <v>20.54248</v>
      </c>
      <c r="DT27" s="33">
        <v>16.34817</v>
      </c>
      <c r="DU27" s="33">
        <v>31.63422</v>
      </c>
      <c r="DV27" s="34">
        <v>33.21637</v>
      </c>
      <c r="DW27" s="33">
        <v>70.096</v>
      </c>
      <c r="DX27" s="33">
        <v>107.3338</v>
      </c>
      <c r="DY27" s="33">
        <v>45.86585</v>
      </c>
      <c r="DZ27" s="33">
        <v>8.676592</v>
      </c>
      <c r="EA27" s="35">
        <v>2760.17</v>
      </c>
    </row>
    <row r="28" ht="14.8" spans="1:131">
      <c r="A28" s="32">
        <v>43435</v>
      </c>
      <c r="B28" s="33">
        <v>119.967</v>
      </c>
      <c r="C28" s="33">
        <v>37.24344</v>
      </c>
      <c r="D28" s="33">
        <v>109.6391</v>
      </c>
      <c r="E28" s="33">
        <v>79.85387</v>
      </c>
      <c r="F28" s="33">
        <v>66.5452</v>
      </c>
      <c r="G28" s="33">
        <v>179.8235</v>
      </c>
      <c r="H28" s="33">
        <v>47.25102</v>
      </c>
      <c r="I28" s="33">
        <v>222.1526</v>
      </c>
      <c r="J28" s="33">
        <v>299.93</v>
      </c>
      <c r="K28" s="33">
        <v>186.02</v>
      </c>
      <c r="L28" s="33">
        <v>119.8</v>
      </c>
      <c r="M28" s="33">
        <v>65.99979</v>
      </c>
      <c r="N28" s="33">
        <v>116.17</v>
      </c>
      <c r="O28" s="33">
        <v>565.58</v>
      </c>
      <c r="P28" s="33">
        <v>238.4442</v>
      </c>
      <c r="Q28" s="33">
        <v>60.23293</v>
      </c>
      <c r="R28" s="33">
        <v>253.1623</v>
      </c>
      <c r="S28" s="33">
        <v>373.5</v>
      </c>
      <c r="T28" s="33">
        <v>69.24574</v>
      </c>
      <c r="U28" s="33">
        <v>85.25709</v>
      </c>
      <c r="V28" s="33">
        <v>151.5934</v>
      </c>
      <c r="W28" s="33">
        <v>31.18</v>
      </c>
      <c r="X28" s="33">
        <v>84.15138</v>
      </c>
      <c r="Y28" s="33">
        <v>27.00295</v>
      </c>
      <c r="Z28" s="33">
        <v>216.6944</v>
      </c>
      <c r="AA28" s="33">
        <v>478.92</v>
      </c>
      <c r="AB28" s="33">
        <v>110.8669</v>
      </c>
      <c r="AC28" s="33">
        <v>63.74197</v>
      </c>
      <c r="AD28" s="33">
        <v>98.39726</v>
      </c>
      <c r="AE28" s="33">
        <v>226.24</v>
      </c>
      <c r="AF28" s="33">
        <v>43.11287</v>
      </c>
      <c r="AG28" s="33">
        <v>84.24</v>
      </c>
      <c r="AH28" s="33">
        <v>70.43</v>
      </c>
      <c r="AI28" s="33">
        <v>148.29</v>
      </c>
      <c r="AJ28" s="33">
        <v>61.08</v>
      </c>
      <c r="AK28" s="33">
        <v>10.33763</v>
      </c>
      <c r="AL28" s="33">
        <v>162.03</v>
      </c>
      <c r="AM28" s="33">
        <v>33.1655</v>
      </c>
      <c r="AN28" s="33">
        <v>43.85045</v>
      </c>
      <c r="AO28" s="33">
        <v>226.4966</v>
      </c>
      <c r="AP28" s="33">
        <v>87.77985</v>
      </c>
      <c r="AQ28" s="33">
        <v>52.17529</v>
      </c>
      <c r="AR28" s="33">
        <v>18.46</v>
      </c>
      <c r="AS28" s="33">
        <v>31.68571</v>
      </c>
      <c r="AT28" s="33">
        <v>81.35931</v>
      </c>
      <c r="AU28" s="33">
        <v>70.65203</v>
      </c>
      <c r="AV28" s="33">
        <v>69.18739</v>
      </c>
      <c r="AW28" s="33">
        <v>82.72871</v>
      </c>
      <c r="AX28" s="33">
        <v>64.13057</v>
      </c>
      <c r="AY28" s="33">
        <v>38.33848</v>
      </c>
      <c r="AZ28" s="33">
        <v>136.97</v>
      </c>
      <c r="BA28" s="33">
        <v>178.05</v>
      </c>
      <c r="BB28" s="33">
        <v>58.85319</v>
      </c>
      <c r="BC28" s="33">
        <v>62.08</v>
      </c>
      <c r="BD28" s="33">
        <v>56.0142</v>
      </c>
      <c r="BE28" s="33">
        <v>18.57695</v>
      </c>
      <c r="BF28" s="33">
        <v>99.43497</v>
      </c>
      <c r="BG28" s="33">
        <v>1501.97</v>
      </c>
      <c r="BH28" s="33">
        <v>27.02922</v>
      </c>
      <c r="BI28" s="33">
        <v>47.57</v>
      </c>
      <c r="BJ28" s="33">
        <v>31.38324</v>
      </c>
      <c r="BK28" s="33">
        <v>166.2953</v>
      </c>
      <c r="BL28" s="33">
        <v>61.19117</v>
      </c>
      <c r="BM28" s="33">
        <v>94.46755</v>
      </c>
      <c r="BN28" s="33">
        <v>72.25777</v>
      </c>
      <c r="BO28" s="33">
        <v>160.7271</v>
      </c>
      <c r="BP28" s="33">
        <v>76.10853</v>
      </c>
      <c r="BQ28" s="33">
        <v>44.99397</v>
      </c>
      <c r="BR28" s="33">
        <v>8.184888</v>
      </c>
      <c r="BS28" s="33">
        <v>1722.42</v>
      </c>
      <c r="BT28" s="33">
        <v>46.79543</v>
      </c>
      <c r="BU28" s="33">
        <v>87.58687</v>
      </c>
      <c r="BV28" s="33">
        <v>241.398</v>
      </c>
      <c r="BW28" s="33">
        <v>19.24769</v>
      </c>
      <c r="BX28" s="33">
        <v>80.59522</v>
      </c>
      <c r="BY28" s="33">
        <v>154.2016</v>
      </c>
      <c r="BZ28" s="33">
        <v>85.63756</v>
      </c>
      <c r="CA28" s="33">
        <v>43.35445</v>
      </c>
      <c r="CB28" s="33">
        <v>101.1798</v>
      </c>
      <c r="CC28" s="33">
        <v>56.0839</v>
      </c>
      <c r="CD28" s="33">
        <v>47.74086</v>
      </c>
      <c r="CE28" s="33">
        <v>132.278</v>
      </c>
      <c r="CF28" s="33">
        <v>63.11003</v>
      </c>
      <c r="CG28" s="33">
        <v>127.2737</v>
      </c>
      <c r="CH28" s="33">
        <v>37.48577</v>
      </c>
      <c r="CI28" s="33">
        <v>121.1481</v>
      </c>
      <c r="CJ28" s="33">
        <v>55.76699</v>
      </c>
      <c r="CK28" s="33">
        <v>37.50045</v>
      </c>
      <c r="CL28" s="33">
        <v>57.97458</v>
      </c>
      <c r="CM28" s="33">
        <v>40.3681</v>
      </c>
      <c r="CN28" s="33">
        <v>51.48553</v>
      </c>
      <c r="CO28" s="33">
        <v>66.85508</v>
      </c>
      <c r="CP28" s="33">
        <v>63.58958</v>
      </c>
      <c r="CQ28" s="33">
        <v>144.3652</v>
      </c>
      <c r="CR28" s="33">
        <v>30.2198</v>
      </c>
      <c r="CS28" s="33">
        <v>16.18288</v>
      </c>
      <c r="CT28" s="33">
        <v>31.64</v>
      </c>
      <c r="CU28" s="33">
        <v>15.51</v>
      </c>
      <c r="CV28" s="33">
        <v>89.71043</v>
      </c>
      <c r="CW28" s="33">
        <v>154.7493</v>
      </c>
      <c r="CX28" s="33">
        <v>4.25</v>
      </c>
      <c r="CY28" s="33">
        <v>16.33333</v>
      </c>
      <c r="CZ28" s="33">
        <v>26.46</v>
      </c>
      <c r="DA28" s="33">
        <v>20.33</v>
      </c>
      <c r="DB28" s="33">
        <v>24.97</v>
      </c>
      <c r="DC28" s="33">
        <v>33.36477</v>
      </c>
      <c r="DD28" s="33">
        <v>2.870459</v>
      </c>
      <c r="DE28" s="33">
        <v>81.40521</v>
      </c>
      <c r="DF28" s="33">
        <v>37.07</v>
      </c>
      <c r="DG28" s="33">
        <v>4.65</v>
      </c>
      <c r="DH28" s="33">
        <v>51.08</v>
      </c>
      <c r="DI28" s="33">
        <v>57.53285</v>
      </c>
      <c r="DJ28" s="33">
        <v>95.0957</v>
      </c>
      <c r="DK28" s="33">
        <v>57.21272</v>
      </c>
      <c r="DL28" s="33">
        <v>124.5835</v>
      </c>
      <c r="DM28" s="33">
        <v>81.18044</v>
      </c>
      <c r="DN28" s="33">
        <v>38.36545</v>
      </c>
      <c r="DO28" s="33">
        <v>54.95399</v>
      </c>
      <c r="DP28" s="33">
        <v>20.02618</v>
      </c>
      <c r="DQ28" s="33">
        <v>87.36709</v>
      </c>
      <c r="DR28" s="33">
        <v>32.22018</v>
      </c>
      <c r="DS28" s="33">
        <v>19.50589</v>
      </c>
      <c r="DT28" s="33">
        <v>13.93771</v>
      </c>
      <c r="DU28" s="33">
        <v>25.3192</v>
      </c>
      <c r="DV28" s="34">
        <v>24.820091</v>
      </c>
      <c r="DW28" s="33">
        <v>66.56</v>
      </c>
      <c r="DX28" s="33">
        <v>97.3839</v>
      </c>
      <c r="DY28" s="33">
        <v>42.07813</v>
      </c>
      <c r="DZ28" s="33">
        <v>7.053765</v>
      </c>
      <c r="EA28" s="35">
        <v>2506.85</v>
      </c>
    </row>
    <row r="29" ht="14.8" spans="1:131">
      <c r="A29" s="32">
        <v>43466</v>
      </c>
      <c r="B29" s="33">
        <v>123.7134</v>
      </c>
      <c r="C29" s="33">
        <v>36.21957</v>
      </c>
      <c r="D29" s="33">
        <v>113.5615</v>
      </c>
      <c r="E29" s="33">
        <v>69.54622</v>
      </c>
      <c r="F29" s="33">
        <v>65.27522</v>
      </c>
      <c r="G29" s="33">
        <v>172.8401</v>
      </c>
      <c r="H29" s="33">
        <v>44.87847</v>
      </c>
      <c r="I29" s="33">
        <v>244.0444</v>
      </c>
      <c r="J29" s="33">
        <v>279.79</v>
      </c>
      <c r="K29" s="33">
        <v>212.78</v>
      </c>
      <c r="L29" s="33">
        <v>141.03</v>
      </c>
      <c r="M29" s="33">
        <v>74.58787</v>
      </c>
      <c r="N29" s="33">
        <v>129.01</v>
      </c>
      <c r="O29" s="33">
        <v>638.16</v>
      </c>
      <c r="P29" s="33">
        <v>258.6208</v>
      </c>
      <c r="Q29" s="33">
        <v>60.26051</v>
      </c>
      <c r="R29" s="33">
        <v>292.8183</v>
      </c>
      <c r="S29" s="33">
        <v>429.27</v>
      </c>
      <c r="T29" s="33">
        <v>69.86803</v>
      </c>
      <c r="U29" s="33">
        <v>83.31809</v>
      </c>
      <c r="V29" s="33">
        <v>172.308</v>
      </c>
      <c r="W29" s="33">
        <v>36.93</v>
      </c>
      <c r="X29" s="33">
        <v>84.76133</v>
      </c>
      <c r="Y29" s="33">
        <v>29.516</v>
      </c>
      <c r="Z29" s="33">
        <v>240.6785</v>
      </c>
      <c r="AA29" s="33">
        <v>523.64</v>
      </c>
      <c r="AB29" s="33">
        <v>92.66011</v>
      </c>
      <c r="AC29" s="33">
        <v>70.20139</v>
      </c>
      <c r="AD29" s="33">
        <v>101.1679</v>
      </c>
      <c r="AE29" s="33">
        <v>247.82</v>
      </c>
      <c r="AF29" s="33">
        <v>47.96367</v>
      </c>
      <c r="AG29" s="33">
        <v>93.35</v>
      </c>
      <c r="AH29" s="33">
        <v>76.57</v>
      </c>
      <c r="AI29" s="33">
        <v>169.27</v>
      </c>
      <c r="AJ29" s="33">
        <v>65.1</v>
      </c>
      <c r="AK29" s="33">
        <v>11.4972</v>
      </c>
      <c r="AL29" s="33">
        <v>160.95</v>
      </c>
      <c r="AM29" s="33">
        <v>35.71191</v>
      </c>
      <c r="AN29" s="33">
        <v>44.02799</v>
      </c>
      <c r="AO29" s="33">
        <v>241.4581</v>
      </c>
      <c r="AP29" s="33">
        <v>93.52039</v>
      </c>
      <c r="AQ29" s="33">
        <v>45.89298</v>
      </c>
      <c r="AR29" s="33">
        <v>24.41</v>
      </c>
      <c r="AS29" s="33">
        <v>38.16665</v>
      </c>
      <c r="AT29" s="33">
        <v>93.71062</v>
      </c>
      <c r="AU29" s="33">
        <v>84.1728</v>
      </c>
      <c r="AV29" s="33">
        <v>77.31634</v>
      </c>
      <c r="AW29" s="33">
        <v>108.7314</v>
      </c>
      <c r="AX29" s="33">
        <v>69.89102</v>
      </c>
      <c r="AY29" s="33">
        <v>40.453</v>
      </c>
      <c r="AZ29" s="33">
        <v>151.97</v>
      </c>
      <c r="BA29" s="33">
        <v>220.02</v>
      </c>
      <c r="BB29" s="33">
        <v>64.81819</v>
      </c>
      <c r="BC29" s="33">
        <v>74.02</v>
      </c>
      <c r="BD29" s="33">
        <v>62.08255</v>
      </c>
      <c r="BE29" s="33">
        <v>20.1454</v>
      </c>
      <c r="BF29" s="33">
        <v>117.5864</v>
      </c>
      <c r="BG29" s="33">
        <v>1718.73</v>
      </c>
      <c r="BH29" s="33">
        <v>32.40234</v>
      </c>
      <c r="BI29" s="33">
        <v>54.65</v>
      </c>
      <c r="BJ29" s="33">
        <v>36.99403</v>
      </c>
      <c r="BK29" s="33">
        <v>167.4285</v>
      </c>
      <c r="BL29" s="33">
        <v>64.74482</v>
      </c>
      <c r="BM29" s="33">
        <v>99.26377</v>
      </c>
      <c r="BN29" s="33">
        <v>79.80126</v>
      </c>
      <c r="BO29" s="33">
        <v>171.6812</v>
      </c>
      <c r="BP29" s="33">
        <v>86.74684</v>
      </c>
      <c r="BQ29" s="33">
        <v>51.15886</v>
      </c>
      <c r="BR29" s="33">
        <v>8.528125</v>
      </c>
      <c r="BS29" s="33">
        <v>1832.81</v>
      </c>
      <c r="BT29" s="33">
        <v>54.65479</v>
      </c>
      <c r="BU29" s="33">
        <v>89.54978</v>
      </c>
      <c r="BV29" s="33">
        <v>276.7977</v>
      </c>
      <c r="BW29" s="33">
        <v>20.87479</v>
      </c>
      <c r="BX29" s="33">
        <v>82.4884</v>
      </c>
      <c r="BY29" s="33">
        <v>155.9655</v>
      </c>
      <c r="BZ29" s="33">
        <v>89.87658</v>
      </c>
      <c r="CA29" s="33">
        <v>44.06864</v>
      </c>
      <c r="CB29" s="33">
        <v>104.0048</v>
      </c>
      <c r="CC29" s="33">
        <v>65.4436</v>
      </c>
      <c r="CD29" s="33">
        <v>48.06065</v>
      </c>
      <c r="CE29" s="33">
        <v>142.3994</v>
      </c>
      <c r="CF29" s="33">
        <v>73.30393</v>
      </c>
      <c r="CG29" s="33">
        <v>133.4564</v>
      </c>
      <c r="CH29" s="33">
        <v>43.60159</v>
      </c>
      <c r="CI29" s="33">
        <v>132.2667</v>
      </c>
      <c r="CJ29" s="33">
        <v>60.60164</v>
      </c>
      <c r="CK29" s="33">
        <v>41.87433</v>
      </c>
      <c r="CL29" s="33">
        <v>59.07561</v>
      </c>
      <c r="CM29" s="33">
        <v>40.0276</v>
      </c>
      <c r="CN29" s="33">
        <v>53.29173</v>
      </c>
      <c r="CO29" s="33">
        <v>59.60749</v>
      </c>
      <c r="CP29" s="33">
        <v>62.47755</v>
      </c>
      <c r="CQ29" s="33">
        <v>138.9705</v>
      </c>
      <c r="CR29" s="33">
        <v>32.45491</v>
      </c>
      <c r="CS29" s="33">
        <v>18.46362</v>
      </c>
      <c r="CT29" s="33">
        <v>33.72</v>
      </c>
      <c r="CU29" s="33">
        <v>20.26</v>
      </c>
      <c r="CV29" s="33">
        <v>96.94945</v>
      </c>
      <c r="CW29" s="33">
        <v>170.8433</v>
      </c>
      <c r="CX29" s="33">
        <v>4.94</v>
      </c>
      <c r="CY29" s="33">
        <v>20.28</v>
      </c>
      <c r="CZ29" s="33">
        <v>31.06</v>
      </c>
      <c r="DA29" s="33">
        <v>23.76</v>
      </c>
      <c r="DB29" s="33">
        <v>34.15</v>
      </c>
      <c r="DC29" s="33">
        <v>36.63697</v>
      </c>
      <c r="DD29" s="33">
        <v>2.889405</v>
      </c>
      <c r="DE29" s="33">
        <v>89.69563</v>
      </c>
      <c r="DF29" s="33">
        <v>44.51</v>
      </c>
      <c r="DG29" s="33">
        <v>4.95</v>
      </c>
      <c r="DH29" s="33">
        <v>56.12</v>
      </c>
      <c r="DI29" s="33">
        <v>61.82735</v>
      </c>
      <c r="DJ29" s="33">
        <v>100.2181</v>
      </c>
      <c r="DK29" s="33">
        <v>62.11272</v>
      </c>
      <c r="DL29" s="33">
        <v>134.8139</v>
      </c>
      <c r="DM29" s="33">
        <v>92.34145</v>
      </c>
      <c r="DN29" s="33">
        <v>51.40007</v>
      </c>
      <c r="DO29" s="33">
        <v>60.48741</v>
      </c>
      <c r="DP29" s="33">
        <v>23.74744</v>
      </c>
      <c r="DQ29" s="33">
        <v>97.18764</v>
      </c>
      <c r="DR29" s="33">
        <v>39.91144</v>
      </c>
      <c r="DS29" s="33">
        <v>21.3839</v>
      </c>
      <c r="DT29" s="33">
        <v>16.34371</v>
      </c>
      <c r="DU29" s="33">
        <v>29.0891</v>
      </c>
      <c r="DV29" s="34">
        <v>31.032204</v>
      </c>
      <c r="DW29" s="33">
        <v>61.404</v>
      </c>
      <c r="DX29" s="33">
        <v>123.6885</v>
      </c>
      <c r="DY29" s="33">
        <v>48.98467</v>
      </c>
      <c r="DZ29" s="33">
        <v>8.114135</v>
      </c>
      <c r="EA29" s="35">
        <v>2704.1</v>
      </c>
    </row>
    <row r="30" ht="14.8" spans="1:131">
      <c r="A30" s="32">
        <v>43497</v>
      </c>
      <c r="B30" s="33">
        <v>127.0228</v>
      </c>
      <c r="C30" s="33">
        <v>37.31051</v>
      </c>
      <c r="D30" s="33">
        <v>119.6537</v>
      </c>
      <c r="E30" s="33">
        <v>69.47855</v>
      </c>
      <c r="F30" s="33">
        <v>71.29147</v>
      </c>
      <c r="G30" s="33">
        <v>175.5836</v>
      </c>
      <c r="H30" s="33">
        <v>47.33025</v>
      </c>
      <c r="I30" s="33">
        <v>257.8524</v>
      </c>
      <c r="J30" s="33">
        <v>312.77</v>
      </c>
      <c r="K30" s="33">
        <v>211.03</v>
      </c>
      <c r="L30" s="33">
        <v>139.33</v>
      </c>
      <c r="M30" s="33">
        <v>77.91268</v>
      </c>
      <c r="N30" s="33">
        <v>140.1</v>
      </c>
      <c r="O30" s="33">
        <v>680.91</v>
      </c>
      <c r="P30" s="33">
        <v>231.8399</v>
      </c>
      <c r="Q30" s="33">
        <v>53.56862</v>
      </c>
      <c r="R30" s="33">
        <v>290.6246</v>
      </c>
      <c r="S30" s="33">
        <v>430.74</v>
      </c>
      <c r="T30" s="33">
        <v>74.65474</v>
      </c>
      <c r="U30" s="33">
        <v>85.30701</v>
      </c>
      <c r="V30" s="33">
        <v>182.9238</v>
      </c>
      <c r="W30" s="33">
        <v>43.22</v>
      </c>
      <c r="X30" s="33">
        <v>92.88339</v>
      </c>
      <c r="Y30" s="33">
        <v>26.00758</v>
      </c>
      <c r="Z30" s="33">
        <v>240.032</v>
      </c>
      <c r="AA30" s="33">
        <v>547.61</v>
      </c>
      <c r="AB30" s="33">
        <v>99.72865</v>
      </c>
      <c r="AC30" s="33">
        <v>72.37069</v>
      </c>
      <c r="AD30" s="33">
        <v>108.5305</v>
      </c>
      <c r="AE30" s="33">
        <v>262.5</v>
      </c>
      <c r="AF30" s="33">
        <v>49.97503</v>
      </c>
      <c r="AG30" s="33">
        <v>101.68</v>
      </c>
      <c r="AH30" s="33">
        <v>86.79</v>
      </c>
      <c r="AI30" s="33">
        <v>178.04</v>
      </c>
      <c r="AJ30" s="33">
        <v>69.66</v>
      </c>
      <c r="AK30" s="33">
        <v>12.30123</v>
      </c>
      <c r="AL30" s="33">
        <v>168.14</v>
      </c>
      <c r="AM30" s="33">
        <v>38.32291</v>
      </c>
      <c r="AN30" s="33">
        <v>49.48477</v>
      </c>
      <c r="AO30" s="33">
        <v>247.8579</v>
      </c>
      <c r="AP30" s="33">
        <v>99.00994</v>
      </c>
      <c r="AQ30" s="33">
        <v>49.47953</v>
      </c>
      <c r="AR30" s="33">
        <v>23.53</v>
      </c>
      <c r="AS30" s="33">
        <v>40.82294</v>
      </c>
      <c r="AT30" s="33">
        <v>101.3887</v>
      </c>
      <c r="AU30" s="33">
        <v>88.32196</v>
      </c>
      <c r="AV30" s="33">
        <v>83.56938</v>
      </c>
      <c r="AW30" s="33">
        <v>121.7085</v>
      </c>
      <c r="AX30" s="33">
        <v>78.1394</v>
      </c>
      <c r="AY30" s="33">
        <v>42.08386</v>
      </c>
      <c r="AZ30" s="33">
        <v>163.65</v>
      </c>
      <c r="BA30" s="33">
        <v>239.44</v>
      </c>
      <c r="BB30" s="33">
        <v>78.67567</v>
      </c>
      <c r="BC30" s="33">
        <v>84.41</v>
      </c>
      <c r="BD30" s="33">
        <v>67.53</v>
      </c>
      <c r="BE30" s="33">
        <v>18.04216</v>
      </c>
      <c r="BF30" s="33">
        <v>120.8318</v>
      </c>
      <c r="BG30" s="33">
        <v>1639.83</v>
      </c>
      <c r="BH30" s="33">
        <v>35.77256</v>
      </c>
      <c r="BI30" s="33">
        <v>71.27</v>
      </c>
      <c r="BJ30" s="33">
        <v>37.43014</v>
      </c>
      <c r="BK30" s="33">
        <v>172.1672</v>
      </c>
      <c r="BL30" s="33">
        <v>66.75919</v>
      </c>
      <c r="BM30" s="33">
        <v>106.8145</v>
      </c>
      <c r="BN30" s="33">
        <v>83.55351</v>
      </c>
      <c r="BO30" s="33">
        <v>173.1872</v>
      </c>
      <c r="BP30" s="33">
        <v>87.91487</v>
      </c>
      <c r="BQ30" s="33">
        <v>53.60525</v>
      </c>
      <c r="BR30" s="33">
        <v>9.41702</v>
      </c>
      <c r="BS30" s="33">
        <v>1697.04</v>
      </c>
      <c r="BT30" s="33">
        <v>54.82564</v>
      </c>
      <c r="BU30" s="33">
        <v>90.04525</v>
      </c>
      <c r="BV30" s="33">
        <v>244.8089</v>
      </c>
      <c r="BW30" s="33">
        <v>19.6001</v>
      </c>
      <c r="BX30" s="33">
        <v>92.09917</v>
      </c>
      <c r="BY30" s="33">
        <v>158.4931</v>
      </c>
      <c r="BZ30" s="33">
        <v>92.54062</v>
      </c>
      <c r="CA30" s="33">
        <v>41.51407</v>
      </c>
      <c r="CB30" s="33">
        <v>106.7464</v>
      </c>
      <c r="CC30" s="33">
        <v>74.16145</v>
      </c>
      <c r="CD30" s="33">
        <v>48.63628</v>
      </c>
      <c r="CE30" s="33">
        <v>144.3864</v>
      </c>
      <c r="CF30" s="33">
        <v>74.95336</v>
      </c>
      <c r="CG30" s="33">
        <v>153.5306</v>
      </c>
      <c r="CH30" s="33">
        <v>44.44986</v>
      </c>
      <c r="CI30" s="33">
        <v>136.9738</v>
      </c>
      <c r="CJ30" s="33">
        <v>62.13327</v>
      </c>
      <c r="CK30" s="33">
        <v>28.91821</v>
      </c>
      <c r="CL30" s="33">
        <v>62.89424</v>
      </c>
      <c r="CM30" s="33">
        <v>41.21137</v>
      </c>
      <c r="CN30" s="33">
        <v>50.80821</v>
      </c>
      <c r="CO30" s="33">
        <v>65.55666</v>
      </c>
      <c r="CP30" s="33">
        <v>63.62827</v>
      </c>
      <c r="CQ30" s="33">
        <v>148.9348</v>
      </c>
      <c r="CR30" s="33">
        <v>33.34175</v>
      </c>
      <c r="CS30" s="33">
        <v>14.12846</v>
      </c>
      <c r="CT30" s="33">
        <v>35.24</v>
      </c>
      <c r="CU30" s="33">
        <v>19.67</v>
      </c>
      <c r="CV30" s="33">
        <v>101.3646</v>
      </c>
      <c r="CW30" s="33">
        <v>174.1433</v>
      </c>
      <c r="CX30" s="33">
        <v>6.39</v>
      </c>
      <c r="CY30" s="33">
        <v>21.56</v>
      </c>
      <c r="CZ30" s="33">
        <v>34.54</v>
      </c>
      <c r="DA30" s="33">
        <v>24.02</v>
      </c>
      <c r="DB30" s="33">
        <v>28.89</v>
      </c>
      <c r="DC30" s="33">
        <v>33.91988</v>
      </c>
      <c r="DD30" s="33">
        <v>3.429393</v>
      </c>
      <c r="DE30" s="33">
        <v>99.48807</v>
      </c>
      <c r="DF30" s="33">
        <v>42.98</v>
      </c>
      <c r="DG30" s="33">
        <v>6.5</v>
      </c>
      <c r="DH30" s="33">
        <v>61.76</v>
      </c>
      <c r="DI30" s="33">
        <v>66.6787</v>
      </c>
      <c r="DJ30" s="33">
        <v>104.5275</v>
      </c>
      <c r="DK30" s="33">
        <v>62.25955</v>
      </c>
      <c r="DL30" s="33">
        <v>133.5162</v>
      </c>
      <c r="DM30" s="33">
        <v>87.69667</v>
      </c>
      <c r="DN30" s="33">
        <v>55.0647</v>
      </c>
      <c r="DO30" s="33">
        <v>59.91678</v>
      </c>
      <c r="DP30" s="33">
        <v>26.29594</v>
      </c>
      <c r="DQ30" s="33">
        <v>97.00858</v>
      </c>
      <c r="DR30" s="33">
        <v>39.77603</v>
      </c>
      <c r="DS30" s="33">
        <v>23.93327</v>
      </c>
      <c r="DT30" s="33">
        <v>15.86678</v>
      </c>
      <c r="DU30" s="33">
        <v>27.76687</v>
      </c>
      <c r="DV30" s="34">
        <v>31.622055</v>
      </c>
      <c r="DW30" s="33">
        <v>63.976</v>
      </c>
      <c r="DX30" s="33">
        <v>125.608</v>
      </c>
      <c r="DY30" s="33">
        <v>48.81803</v>
      </c>
      <c r="DZ30" s="33">
        <v>8.227353</v>
      </c>
      <c r="EA30" s="35">
        <v>2784.49</v>
      </c>
    </row>
    <row r="31" ht="14.8" spans="1:131">
      <c r="A31" s="32">
        <v>43525</v>
      </c>
      <c r="B31" s="33">
        <v>130.813</v>
      </c>
      <c r="C31" s="33">
        <v>36.5531</v>
      </c>
      <c r="D31" s="33">
        <v>123.6076</v>
      </c>
      <c r="E31" s="33">
        <v>70.66226</v>
      </c>
      <c r="F31" s="33">
        <v>72.94021</v>
      </c>
      <c r="G31" s="33">
        <v>176.8482</v>
      </c>
      <c r="H31" s="33">
        <v>43.71131</v>
      </c>
      <c r="I31" s="33">
        <v>271.9088</v>
      </c>
      <c r="J31" s="33">
        <v>310.69</v>
      </c>
      <c r="K31" s="33">
        <v>223.6</v>
      </c>
      <c r="L31" s="33">
        <v>119.1</v>
      </c>
      <c r="M31" s="33">
        <v>78.83461</v>
      </c>
      <c r="N31" s="33">
        <v>143.85</v>
      </c>
      <c r="O31" s="33">
        <v>723</v>
      </c>
      <c r="P31" s="33">
        <v>236.6638</v>
      </c>
      <c r="Q31" s="33">
        <v>49.956</v>
      </c>
      <c r="R31" s="33">
        <v>277.3366</v>
      </c>
      <c r="S31" s="33">
        <v>410.62</v>
      </c>
      <c r="T31" s="33">
        <v>76.88612</v>
      </c>
      <c r="U31" s="33">
        <v>85.85372</v>
      </c>
      <c r="V31" s="33">
        <v>191.6668</v>
      </c>
      <c r="W31" s="33">
        <v>40.59</v>
      </c>
      <c r="X31" s="33">
        <v>99.23135</v>
      </c>
      <c r="Y31" s="33">
        <v>27.92932</v>
      </c>
      <c r="Z31" s="33">
        <v>240.9389</v>
      </c>
      <c r="AA31" s="33">
        <v>570.58</v>
      </c>
      <c r="AB31" s="33">
        <v>101.6232</v>
      </c>
      <c r="AC31" s="33">
        <v>78.94275</v>
      </c>
      <c r="AD31" s="33">
        <v>114.7439</v>
      </c>
      <c r="AE31" s="33">
        <v>266.49</v>
      </c>
      <c r="AF31" s="33">
        <v>51.4897</v>
      </c>
      <c r="AG31" s="33">
        <v>115.15</v>
      </c>
      <c r="AH31" s="33">
        <v>83.97</v>
      </c>
      <c r="AI31" s="33">
        <v>181.56</v>
      </c>
      <c r="AJ31" s="33">
        <v>71.71</v>
      </c>
      <c r="AK31" s="33">
        <v>12.61575</v>
      </c>
      <c r="AL31" s="33">
        <v>156.93</v>
      </c>
      <c r="AM31" s="33">
        <v>44.65419</v>
      </c>
      <c r="AN31" s="33">
        <v>50.49426</v>
      </c>
      <c r="AO31" s="33">
        <v>270.6761</v>
      </c>
      <c r="AP31" s="33">
        <v>99.28137</v>
      </c>
      <c r="AQ31" s="33">
        <v>52.85293</v>
      </c>
      <c r="AR31" s="33">
        <v>25.52</v>
      </c>
      <c r="AS31" s="33">
        <v>41.27231</v>
      </c>
      <c r="AT31" s="33">
        <v>100.298</v>
      </c>
      <c r="AU31" s="33">
        <v>85.48817</v>
      </c>
      <c r="AV31" s="33">
        <v>80.13044</v>
      </c>
      <c r="AW31" s="33">
        <v>123.5594</v>
      </c>
      <c r="AX31" s="33">
        <v>79.28961</v>
      </c>
      <c r="AY31" s="33">
        <v>46.36507</v>
      </c>
      <c r="AZ31" s="33">
        <v>158.37</v>
      </c>
      <c r="BA31" s="33">
        <v>246.49</v>
      </c>
      <c r="BB31" s="33">
        <v>80.90561</v>
      </c>
      <c r="BC31" s="33">
        <v>87.2</v>
      </c>
      <c r="BD31" s="33">
        <v>69.5107</v>
      </c>
      <c r="BE31" s="33">
        <v>17.76782</v>
      </c>
      <c r="BF31" s="33">
        <v>124.868</v>
      </c>
      <c r="BG31" s="33">
        <v>1780.75</v>
      </c>
      <c r="BH31" s="33">
        <v>35.89666</v>
      </c>
      <c r="BI31" s="33">
        <v>67.22</v>
      </c>
      <c r="BJ31" s="33">
        <v>35.17371</v>
      </c>
      <c r="BK31" s="33">
        <v>178.9747</v>
      </c>
      <c r="BL31" s="33">
        <v>71.00452</v>
      </c>
      <c r="BM31" s="33">
        <v>115.7324</v>
      </c>
      <c r="BN31" s="33">
        <v>82.07211</v>
      </c>
      <c r="BO31" s="33">
        <v>179.5014</v>
      </c>
      <c r="BP31" s="33">
        <v>91.40056</v>
      </c>
      <c r="BQ31" s="33">
        <v>56.7214</v>
      </c>
      <c r="BR31" s="33">
        <v>9.461027</v>
      </c>
      <c r="BS31" s="33">
        <v>1744.91</v>
      </c>
      <c r="BT31" s="33">
        <v>48.55584</v>
      </c>
      <c r="BU31" s="33">
        <v>95.53155</v>
      </c>
      <c r="BV31" s="33">
        <v>251.7939</v>
      </c>
      <c r="BW31" s="33">
        <v>20.90809</v>
      </c>
      <c r="BX31" s="33">
        <v>94.72971</v>
      </c>
      <c r="BY31" s="33">
        <v>167.0653</v>
      </c>
      <c r="BZ31" s="33">
        <v>97.70523</v>
      </c>
      <c r="CA31" s="33">
        <v>42.90581</v>
      </c>
      <c r="CB31" s="33">
        <v>114.0422</v>
      </c>
      <c r="CC31" s="33">
        <v>75.39833</v>
      </c>
      <c r="CD31" s="33">
        <v>53.16787</v>
      </c>
      <c r="CE31" s="33">
        <v>153.9754</v>
      </c>
      <c r="CF31" s="33">
        <v>80.52499</v>
      </c>
      <c r="CG31" s="33">
        <v>162.4</v>
      </c>
      <c r="CH31" s="33">
        <v>47.05125</v>
      </c>
      <c r="CI31" s="33">
        <v>138.1673</v>
      </c>
      <c r="CJ31" s="33">
        <v>64.6518</v>
      </c>
      <c r="CK31" s="33">
        <v>28.44772</v>
      </c>
      <c r="CL31" s="33">
        <v>62.1587</v>
      </c>
      <c r="CM31" s="33">
        <v>42.542</v>
      </c>
      <c r="CN31" s="33">
        <v>51.81968</v>
      </c>
      <c r="CO31" s="33">
        <v>72.61951</v>
      </c>
      <c r="CP31" s="33">
        <v>69.12219</v>
      </c>
      <c r="CQ31" s="33">
        <v>151.2249</v>
      </c>
      <c r="CR31" s="33">
        <v>35.29486</v>
      </c>
      <c r="CS31" s="33">
        <v>13.53555</v>
      </c>
      <c r="CT31" s="33">
        <v>34.91</v>
      </c>
      <c r="CU31" s="33">
        <v>22.29</v>
      </c>
      <c r="CV31" s="33">
        <v>103.6831</v>
      </c>
      <c r="CW31" s="33">
        <v>174.5378</v>
      </c>
      <c r="CX31" s="33">
        <v>6.3</v>
      </c>
      <c r="CY31" s="33">
        <v>20.12667</v>
      </c>
      <c r="CZ31" s="33">
        <v>36.38</v>
      </c>
      <c r="DA31" s="33">
        <v>24.78</v>
      </c>
      <c r="DB31" s="33">
        <v>26.32</v>
      </c>
      <c r="DC31" s="33">
        <v>30.04997</v>
      </c>
      <c r="DD31" s="33">
        <v>2.908353</v>
      </c>
      <c r="DE31" s="33">
        <v>95.27811</v>
      </c>
      <c r="DF31" s="33">
        <v>40.85</v>
      </c>
      <c r="DG31" s="33">
        <v>6.4</v>
      </c>
      <c r="DH31" s="33">
        <v>60.95</v>
      </c>
      <c r="DI31" s="33">
        <v>68.92893</v>
      </c>
      <c r="DJ31" s="33">
        <v>108.7567</v>
      </c>
      <c r="DK31" s="33">
        <v>61.51907</v>
      </c>
      <c r="DL31" s="33">
        <v>144.2486</v>
      </c>
      <c r="DM31" s="33">
        <v>88.79755</v>
      </c>
      <c r="DN31" s="33">
        <v>57.33011</v>
      </c>
      <c r="DO31" s="33">
        <v>59.96206</v>
      </c>
      <c r="DP31" s="33">
        <v>28.12267</v>
      </c>
      <c r="DQ31" s="33">
        <v>95.80338</v>
      </c>
      <c r="DR31" s="33">
        <v>39.78902</v>
      </c>
      <c r="DS31" s="33">
        <v>25.34252</v>
      </c>
      <c r="DT31" s="33">
        <v>16.74234</v>
      </c>
      <c r="DU31" s="33">
        <v>26.28676</v>
      </c>
      <c r="DV31" s="34">
        <v>33.03257</v>
      </c>
      <c r="DW31" s="33">
        <v>55.972</v>
      </c>
      <c r="DX31" s="33">
        <v>131.0334</v>
      </c>
      <c r="DY31" s="33">
        <v>45.07775</v>
      </c>
      <c r="DZ31" s="33">
        <v>8.236733</v>
      </c>
      <c r="EA31" s="35">
        <v>2834.4</v>
      </c>
    </row>
    <row r="32" ht="14.8" spans="1:131">
      <c r="A32" s="32">
        <v>43556</v>
      </c>
      <c r="B32" s="33">
        <v>132.1325</v>
      </c>
      <c r="C32" s="33">
        <v>34.95224</v>
      </c>
      <c r="D32" s="33">
        <v>111.4907</v>
      </c>
      <c r="E32" s="33">
        <v>69.61007</v>
      </c>
      <c r="F32" s="33">
        <v>69.49724</v>
      </c>
      <c r="G32" s="33">
        <v>166.925</v>
      </c>
      <c r="H32" s="33">
        <v>42.53859</v>
      </c>
      <c r="I32" s="33">
        <v>275.8165</v>
      </c>
      <c r="J32" s="33">
        <v>312</v>
      </c>
      <c r="K32" s="33">
        <v>232</v>
      </c>
      <c r="L32" s="33">
        <v>121.07</v>
      </c>
      <c r="M32" s="33">
        <v>76.99076</v>
      </c>
      <c r="N32" s="33">
        <v>138.9</v>
      </c>
      <c r="O32" s="33">
        <v>745.26</v>
      </c>
      <c r="P32" s="33">
        <v>223.9335</v>
      </c>
      <c r="Q32" s="33">
        <v>50.37284</v>
      </c>
      <c r="R32" s="33">
        <v>254.8589</v>
      </c>
      <c r="S32" s="33">
        <v>343.14</v>
      </c>
      <c r="T32" s="33">
        <v>76.52062</v>
      </c>
      <c r="U32" s="33">
        <v>84.17284</v>
      </c>
      <c r="V32" s="33">
        <v>183.7991</v>
      </c>
      <c r="W32" s="33">
        <v>44.82</v>
      </c>
      <c r="X32" s="33">
        <v>100.3846</v>
      </c>
      <c r="Y32" s="33">
        <v>26.59889</v>
      </c>
      <c r="Z32" s="33">
        <v>232.9871</v>
      </c>
      <c r="AA32" s="33">
        <v>510.63</v>
      </c>
      <c r="AB32" s="33">
        <v>102.151</v>
      </c>
      <c r="AC32" s="33">
        <v>74.07861</v>
      </c>
      <c r="AD32" s="33">
        <v>127.0608</v>
      </c>
      <c r="AE32" s="33">
        <v>289.25</v>
      </c>
      <c r="AF32" s="33">
        <v>53.04274</v>
      </c>
      <c r="AG32" s="33">
        <v>121.08</v>
      </c>
      <c r="AH32" s="33">
        <v>93.42</v>
      </c>
      <c r="AI32" s="33">
        <v>197.45</v>
      </c>
      <c r="AJ32" s="33">
        <v>80.06</v>
      </c>
      <c r="AK32" s="33">
        <v>13.28522</v>
      </c>
      <c r="AL32" s="33">
        <v>156.9</v>
      </c>
      <c r="AM32" s="33">
        <v>45.01229</v>
      </c>
      <c r="AN32" s="33">
        <v>47.99305</v>
      </c>
      <c r="AO32" s="33">
        <v>289.1594</v>
      </c>
      <c r="AP32" s="33">
        <v>110.2887</v>
      </c>
      <c r="AQ32" s="33">
        <v>80.7497</v>
      </c>
      <c r="AR32" s="33">
        <v>27.63</v>
      </c>
      <c r="AS32" s="33">
        <v>42.00129</v>
      </c>
      <c r="AT32" s="33">
        <v>110.7499</v>
      </c>
      <c r="AU32" s="33">
        <v>102.4283</v>
      </c>
      <c r="AV32" s="33">
        <v>96.48299</v>
      </c>
      <c r="AW32" s="33">
        <v>117.0788</v>
      </c>
      <c r="AX32" s="33">
        <v>84.76912</v>
      </c>
      <c r="AY32" s="33">
        <v>48.98173</v>
      </c>
      <c r="AZ32" s="33">
        <v>165.35</v>
      </c>
      <c r="BA32" s="33">
        <v>271.51</v>
      </c>
      <c r="BB32" s="33">
        <v>80.84453</v>
      </c>
      <c r="BC32" s="33">
        <v>87.03</v>
      </c>
      <c r="BD32" s="33">
        <v>71.54074</v>
      </c>
      <c r="BE32" s="33">
        <v>18.39794</v>
      </c>
      <c r="BF32" s="33">
        <v>124.1335</v>
      </c>
      <c r="BG32" s="33">
        <v>1926.52</v>
      </c>
      <c r="BH32" s="33">
        <v>37.45276</v>
      </c>
      <c r="BI32" s="33">
        <v>67.54</v>
      </c>
      <c r="BJ32" s="33">
        <v>37.29414</v>
      </c>
      <c r="BK32" s="33">
        <v>186.2035</v>
      </c>
      <c r="BL32" s="33">
        <v>74.19466</v>
      </c>
      <c r="BM32" s="33">
        <v>112.0452</v>
      </c>
      <c r="BN32" s="33">
        <v>85.82044</v>
      </c>
      <c r="BO32" s="33">
        <v>191.9678</v>
      </c>
      <c r="BP32" s="33">
        <v>91.91677</v>
      </c>
      <c r="BQ32" s="33">
        <v>58.76047</v>
      </c>
      <c r="BR32" s="33">
        <v>9.875796</v>
      </c>
      <c r="BS32" s="33">
        <v>1854.99</v>
      </c>
      <c r="BT32" s="33">
        <v>52.51919</v>
      </c>
      <c r="BU32" s="33">
        <v>99.91524</v>
      </c>
      <c r="BV32" s="33">
        <v>264.6701</v>
      </c>
      <c r="BW32" s="33">
        <v>19.4374</v>
      </c>
      <c r="BX32" s="33">
        <v>100.2918</v>
      </c>
      <c r="BY32" s="33">
        <v>163.0004</v>
      </c>
      <c r="BZ32" s="33">
        <v>99.98706</v>
      </c>
      <c r="CA32" s="33">
        <v>45.31231</v>
      </c>
      <c r="CB32" s="33">
        <v>119.1604</v>
      </c>
      <c r="CC32" s="33">
        <v>74.77226</v>
      </c>
      <c r="CD32" s="33">
        <v>56.00496</v>
      </c>
      <c r="CE32" s="33">
        <v>158.7091</v>
      </c>
      <c r="CF32" s="33">
        <v>85.29108</v>
      </c>
      <c r="CG32" s="33">
        <v>168.5408</v>
      </c>
      <c r="CH32" s="33">
        <v>48.18021</v>
      </c>
      <c r="CI32" s="33">
        <v>144.3668</v>
      </c>
      <c r="CJ32" s="33">
        <v>68.6607</v>
      </c>
      <c r="CK32" s="33">
        <v>29.31867</v>
      </c>
      <c r="CL32" s="33">
        <v>65.51988</v>
      </c>
      <c r="CM32" s="33">
        <v>37.96084</v>
      </c>
      <c r="CN32" s="33">
        <v>54.99858</v>
      </c>
      <c r="CO32" s="33">
        <v>74.22974</v>
      </c>
      <c r="CP32" s="33">
        <v>72.7321</v>
      </c>
      <c r="CQ32" s="33">
        <v>150.5369</v>
      </c>
      <c r="CR32" s="33">
        <v>35.81322</v>
      </c>
      <c r="CS32" s="33">
        <v>12.68848</v>
      </c>
      <c r="CT32" s="33">
        <v>36.55</v>
      </c>
      <c r="CU32" s="33">
        <v>26.91</v>
      </c>
      <c r="CV32" s="33">
        <v>98.56107</v>
      </c>
      <c r="CW32" s="33">
        <v>182.9709</v>
      </c>
      <c r="CX32" s="33">
        <v>6.54</v>
      </c>
      <c r="CY32" s="33">
        <v>18</v>
      </c>
      <c r="CZ32" s="33">
        <v>39.98</v>
      </c>
      <c r="DA32" s="33">
        <v>22.94</v>
      </c>
      <c r="DB32" s="33">
        <v>27.89</v>
      </c>
      <c r="DC32" s="33">
        <v>29.82549</v>
      </c>
      <c r="DD32" s="33">
        <v>3.296765</v>
      </c>
      <c r="DE32" s="33">
        <v>98.61765</v>
      </c>
      <c r="DF32" s="33">
        <v>41.57</v>
      </c>
      <c r="DG32" s="33">
        <v>6.25</v>
      </c>
      <c r="DH32" s="33">
        <v>60.18</v>
      </c>
      <c r="DI32" s="33">
        <v>68.48532</v>
      </c>
      <c r="DJ32" s="33">
        <v>106.002</v>
      </c>
      <c r="DK32" s="33">
        <v>58.18225</v>
      </c>
      <c r="DL32" s="33">
        <v>158.0244</v>
      </c>
      <c r="DM32" s="33">
        <v>89.60921</v>
      </c>
      <c r="DN32" s="33">
        <v>61.29721</v>
      </c>
      <c r="DO32" s="33">
        <v>53.9722</v>
      </c>
      <c r="DP32" s="33">
        <v>28.71783</v>
      </c>
      <c r="DQ32" s="33">
        <v>100.3893</v>
      </c>
      <c r="DR32" s="33">
        <v>38.97626</v>
      </c>
      <c r="DS32" s="33">
        <v>21.95987</v>
      </c>
      <c r="DT32" s="33">
        <v>17.60389</v>
      </c>
      <c r="DU32" s="33">
        <v>25.84106</v>
      </c>
      <c r="DV32" s="34">
        <v>31.364729</v>
      </c>
      <c r="DW32" s="33">
        <v>47.738</v>
      </c>
      <c r="DX32" s="33">
        <v>133.2173</v>
      </c>
      <c r="DY32" s="33">
        <v>51.88128</v>
      </c>
      <c r="DZ32" s="33">
        <v>9.803402</v>
      </c>
      <c r="EA32" s="35">
        <v>2945.83</v>
      </c>
    </row>
    <row r="33" ht="14.8" spans="1:131">
      <c r="A33" s="32">
        <v>43586</v>
      </c>
      <c r="B33" s="33">
        <v>122.7278</v>
      </c>
      <c r="C33" s="33">
        <v>35.73546</v>
      </c>
      <c r="D33" s="33">
        <v>110.4429</v>
      </c>
      <c r="E33" s="33">
        <v>68.15202</v>
      </c>
      <c r="F33" s="33">
        <v>69.93868</v>
      </c>
      <c r="G33" s="33">
        <v>155.1773</v>
      </c>
      <c r="H33" s="33">
        <v>41.93418</v>
      </c>
      <c r="I33" s="33">
        <v>265.4082</v>
      </c>
      <c r="J33" s="33">
        <v>306.91</v>
      </c>
      <c r="K33" s="33">
        <v>249.77</v>
      </c>
      <c r="L33" s="33">
        <v>121.3</v>
      </c>
      <c r="M33" s="33">
        <v>65.89536</v>
      </c>
      <c r="N33" s="33">
        <v>135.85</v>
      </c>
      <c r="O33" s="33">
        <v>723.09</v>
      </c>
      <c r="P33" s="33">
        <v>232.3212</v>
      </c>
      <c r="Q33" s="33">
        <v>48.97624</v>
      </c>
      <c r="R33" s="33">
        <v>269.3445</v>
      </c>
      <c r="S33" s="33">
        <v>301.72</v>
      </c>
      <c r="T33" s="33">
        <v>73.52132</v>
      </c>
      <c r="U33" s="33">
        <v>87.74601</v>
      </c>
      <c r="V33" s="33">
        <v>178.2825</v>
      </c>
      <c r="W33" s="33">
        <v>45.5</v>
      </c>
      <c r="X33" s="33">
        <v>99.77092</v>
      </c>
      <c r="Y33" s="33">
        <v>16.55655</v>
      </c>
      <c r="Z33" s="33">
        <v>225.9222</v>
      </c>
      <c r="AA33" s="33">
        <v>464.85</v>
      </c>
      <c r="AB33" s="33">
        <v>111.5441</v>
      </c>
      <c r="AC33" s="33">
        <v>71.30188</v>
      </c>
      <c r="AD33" s="33">
        <v>120.3283</v>
      </c>
      <c r="AE33" s="33">
        <v>270.9</v>
      </c>
      <c r="AF33" s="33">
        <v>48.72551</v>
      </c>
      <c r="AG33" s="33">
        <v>116.44</v>
      </c>
      <c r="AH33" s="33">
        <v>72.48</v>
      </c>
      <c r="AI33" s="33">
        <v>194.98</v>
      </c>
      <c r="AJ33" s="33">
        <v>75.36</v>
      </c>
      <c r="AK33" s="33">
        <v>10.27807</v>
      </c>
      <c r="AL33" s="33">
        <v>132.08</v>
      </c>
      <c r="AM33" s="33">
        <v>33.6871</v>
      </c>
      <c r="AN33" s="33">
        <v>41.41093</v>
      </c>
      <c r="AO33" s="33">
        <v>228.5304</v>
      </c>
      <c r="AP33" s="33">
        <v>97.63401</v>
      </c>
      <c r="AQ33" s="33">
        <v>62.64594</v>
      </c>
      <c r="AR33" s="33">
        <v>27.41</v>
      </c>
      <c r="AS33" s="33">
        <v>32.56448</v>
      </c>
      <c r="AT33" s="33">
        <v>92.05659</v>
      </c>
      <c r="AU33" s="33">
        <v>85.49592</v>
      </c>
      <c r="AV33" s="33">
        <v>77.30037</v>
      </c>
      <c r="AW33" s="33">
        <v>99.70313</v>
      </c>
      <c r="AX33" s="33">
        <v>64.05269</v>
      </c>
      <c r="AY33" s="33">
        <v>42.73301</v>
      </c>
      <c r="AZ33" s="33">
        <v>151.41</v>
      </c>
      <c r="BA33" s="33">
        <v>261.93</v>
      </c>
      <c r="BB33" s="33">
        <v>72.11325</v>
      </c>
      <c r="BC33" s="33">
        <v>75.13</v>
      </c>
      <c r="BD33" s="33">
        <v>63.09738</v>
      </c>
      <c r="BE33" s="33">
        <v>17.22674</v>
      </c>
      <c r="BF33" s="33">
        <v>112.3812</v>
      </c>
      <c r="BG33" s="33">
        <v>1775.07</v>
      </c>
      <c r="BH33" s="33">
        <v>34.72717</v>
      </c>
      <c r="BI33" s="33">
        <v>62.31</v>
      </c>
      <c r="BJ33" s="33">
        <v>31.92263</v>
      </c>
      <c r="BK33" s="33">
        <v>186.8632</v>
      </c>
      <c r="BL33" s="33">
        <v>72.64734</v>
      </c>
      <c r="BM33" s="33">
        <v>111.5266</v>
      </c>
      <c r="BN33" s="33">
        <v>75.37504</v>
      </c>
      <c r="BO33" s="33">
        <v>178.9155</v>
      </c>
      <c r="BP33" s="33">
        <v>82.57306</v>
      </c>
      <c r="BQ33" s="33">
        <v>60.18193</v>
      </c>
      <c r="BR33" s="33">
        <v>10.11902</v>
      </c>
      <c r="BS33" s="33">
        <v>1656.22</v>
      </c>
      <c r="BT33" s="33">
        <v>49.00578</v>
      </c>
      <c r="BU33" s="33">
        <v>97.96268</v>
      </c>
      <c r="BV33" s="33">
        <v>273.3953</v>
      </c>
      <c r="BW33" s="33">
        <v>17.02667</v>
      </c>
      <c r="BX33" s="33">
        <v>97.65611</v>
      </c>
      <c r="BY33" s="33">
        <v>151.9063</v>
      </c>
      <c r="BZ33" s="33">
        <v>97.31693</v>
      </c>
      <c r="CA33" s="33">
        <v>45.37696</v>
      </c>
      <c r="CB33" s="33">
        <v>119.1139</v>
      </c>
      <c r="CC33" s="33">
        <v>66.62643</v>
      </c>
      <c r="CD33" s="33">
        <v>56.10629</v>
      </c>
      <c r="CE33" s="33">
        <v>158.1633</v>
      </c>
      <c r="CF33" s="33">
        <v>78.06044</v>
      </c>
      <c r="CG33" s="33">
        <v>157.966</v>
      </c>
      <c r="CH33" s="33">
        <v>48.18021</v>
      </c>
      <c r="CI33" s="33">
        <v>135.0553</v>
      </c>
      <c r="CJ33" s="33">
        <v>66.08212</v>
      </c>
      <c r="CK33" s="33">
        <v>24.38812</v>
      </c>
      <c r="CL33" s="33">
        <v>64.45489</v>
      </c>
      <c r="CM33" s="33">
        <v>37.72376</v>
      </c>
      <c r="CN33" s="33">
        <v>47.93906</v>
      </c>
      <c r="CO33" s="33">
        <v>75.51086</v>
      </c>
      <c r="CP33" s="33">
        <v>72.20809</v>
      </c>
      <c r="CQ33" s="33">
        <v>141.1222</v>
      </c>
      <c r="CR33" s="33">
        <v>33.91074</v>
      </c>
      <c r="CS33" s="33">
        <v>11.8414</v>
      </c>
      <c r="CT33" s="33">
        <v>34.56</v>
      </c>
      <c r="CU33" s="33">
        <v>25.57</v>
      </c>
      <c r="CV33" s="33">
        <v>86.22006</v>
      </c>
      <c r="CW33" s="33">
        <v>148.9958</v>
      </c>
      <c r="CX33" s="33">
        <v>6.36</v>
      </c>
      <c r="CY33" s="33">
        <v>18.14</v>
      </c>
      <c r="CZ33" s="33">
        <v>40.1</v>
      </c>
      <c r="DA33" s="33">
        <v>19.67</v>
      </c>
      <c r="DB33" s="33">
        <v>17.66</v>
      </c>
      <c r="DC33" s="33">
        <v>24.46744</v>
      </c>
      <c r="DD33" s="33">
        <v>3.268344</v>
      </c>
      <c r="DE33" s="33">
        <v>87.49278</v>
      </c>
      <c r="DF33" s="33">
        <v>38.96</v>
      </c>
      <c r="DG33" s="33">
        <v>4.75</v>
      </c>
      <c r="DH33" s="33">
        <v>49.53</v>
      </c>
      <c r="DI33" s="33">
        <v>60.37253</v>
      </c>
      <c r="DJ33" s="33">
        <v>100.5192</v>
      </c>
      <c r="DK33" s="33">
        <v>54.34768</v>
      </c>
      <c r="DL33" s="33">
        <v>134.766</v>
      </c>
      <c r="DM33" s="33">
        <v>76.54931</v>
      </c>
      <c r="DN33" s="33">
        <v>53.40085</v>
      </c>
      <c r="DO33" s="33">
        <v>45.62153</v>
      </c>
      <c r="DP33" s="33">
        <v>22.48104</v>
      </c>
      <c r="DQ33" s="33">
        <v>92.5291</v>
      </c>
      <c r="DR33" s="33">
        <v>31.67963</v>
      </c>
      <c r="DS33" s="33">
        <v>19.57372</v>
      </c>
      <c r="DT33" s="33">
        <v>14.89064</v>
      </c>
      <c r="DU33" s="33">
        <v>20.61156</v>
      </c>
      <c r="DV33" s="34">
        <v>25.015659</v>
      </c>
      <c r="DW33" s="33">
        <v>37.032</v>
      </c>
      <c r="DX33" s="33">
        <v>141.235</v>
      </c>
      <c r="DY33" s="33">
        <v>40.03921</v>
      </c>
      <c r="DZ33" s="33">
        <v>9.074224</v>
      </c>
      <c r="EA33" s="35">
        <v>2752.06</v>
      </c>
    </row>
    <row r="34" ht="14.8" spans="1:131">
      <c r="A34" s="32">
        <v>43617</v>
      </c>
      <c r="B34" s="33">
        <v>131.2275</v>
      </c>
      <c r="C34" s="33">
        <v>37.61537</v>
      </c>
      <c r="D34" s="33">
        <v>106.1291</v>
      </c>
      <c r="E34" s="33">
        <v>64.60716</v>
      </c>
      <c r="F34" s="33">
        <v>74.03559</v>
      </c>
      <c r="G34" s="33">
        <v>173.019</v>
      </c>
      <c r="H34" s="33">
        <v>41.91569</v>
      </c>
      <c r="I34" s="33">
        <v>291.951</v>
      </c>
      <c r="J34" s="33">
        <v>368.15</v>
      </c>
      <c r="K34" s="33">
        <v>275.33</v>
      </c>
      <c r="L34" s="33">
        <v>149.84</v>
      </c>
      <c r="M34" s="33">
        <v>73.38412</v>
      </c>
      <c r="N34" s="33">
        <v>160.9</v>
      </c>
      <c r="O34" s="33">
        <v>840</v>
      </c>
      <c r="P34" s="33">
        <v>234.4446</v>
      </c>
      <c r="Q34" s="33">
        <v>50.95886</v>
      </c>
      <c r="R34" s="33">
        <v>273.4431</v>
      </c>
      <c r="S34" s="33">
        <v>313</v>
      </c>
      <c r="T34" s="33">
        <v>81.21822</v>
      </c>
      <c r="U34" s="33">
        <v>92.30484</v>
      </c>
      <c r="V34" s="33">
        <v>200.0181</v>
      </c>
      <c r="W34" s="33">
        <v>54.21</v>
      </c>
      <c r="X34" s="33">
        <v>112.0535</v>
      </c>
      <c r="Y34" s="33">
        <v>18.76409</v>
      </c>
      <c r="Z34" s="33">
        <v>243.8942</v>
      </c>
      <c r="AA34" s="33">
        <v>524.55</v>
      </c>
      <c r="AB34" s="33">
        <v>119.6696</v>
      </c>
      <c r="AC34" s="33">
        <v>79.51557</v>
      </c>
      <c r="AD34" s="33">
        <v>130.8122</v>
      </c>
      <c r="AE34" s="33">
        <v>294.65</v>
      </c>
      <c r="AF34" s="33">
        <v>54.85954</v>
      </c>
      <c r="AG34" s="33">
        <v>128.69</v>
      </c>
      <c r="AH34" s="33">
        <v>76.83</v>
      </c>
      <c r="AI34" s="33">
        <v>209.16</v>
      </c>
      <c r="AJ34" s="33">
        <v>80.14</v>
      </c>
      <c r="AK34" s="33">
        <v>11.94078</v>
      </c>
      <c r="AL34" s="33">
        <v>145.63</v>
      </c>
      <c r="AM34" s="33">
        <v>40.88843</v>
      </c>
      <c r="AN34" s="33">
        <v>45.28796</v>
      </c>
      <c r="AO34" s="33">
        <v>261.424</v>
      </c>
      <c r="AP34" s="33">
        <v>108.124</v>
      </c>
      <c r="AQ34" s="33">
        <v>71.31812</v>
      </c>
      <c r="AR34" s="33">
        <v>30.37</v>
      </c>
      <c r="AS34" s="33">
        <v>38.53613</v>
      </c>
      <c r="AT34" s="33">
        <v>108.1343</v>
      </c>
      <c r="AU34" s="33">
        <v>94.66035</v>
      </c>
      <c r="AV34" s="33">
        <v>84.11263</v>
      </c>
      <c r="AW34" s="33">
        <v>115.2923</v>
      </c>
      <c r="AX34" s="33">
        <v>74.6842</v>
      </c>
      <c r="AY34" s="33">
        <v>48.49652</v>
      </c>
      <c r="AZ34" s="33">
        <v>151.73</v>
      </c>
      <c r="BA34" s="33">
        <v>274.57</v>
      </c>
      <c r="BB34" s="33">
        <v>75.2437</v>
      </c>
      <c r="BC34" s="33">
        <v>89.81</v>
      </c>
      <c r="BD34" s="33">
        <v>67.60872</v>
      </c>
      <c r="BE34" s="33">
        <v>19.17259</v>
      </c>
      <c r="BF34" s="33">
        <v>123.4857</v>
      </c>
      <c r="BG34" s="33">
        <v>1893.63</v>
      </c>
      <c r="BH34" s="33">
        <v>38.32629</v>
      </c>
      <c r="BI34" s="33">
        <v>61.37</v>
      </c>
      <c r="BJ34" s="33">
        <v>36.89199</v>
      </c>
      <c r="BK34" s="33">
        <v>196.8591</v>
      </c>
      <c r="BL34" s="33">
        <v>80.44019</v>
      </c>
      <c r="BM34" s="33">
        <v>116.7137</v>
      </c>
      <c r="BN34" s="33">
        <v>82.25754</v>
      </c>
      <c r="BO34" s="33">
        <v>195.9919</v>
      </c>
      <c r="BP34" s="33">
        <v>88.35725</v>
      </c>
      <c r="BQ34" s="33">
        <v>68.78172</v>
      </c>
      <c r="BR34" s="33">
        <v>10.42758</v>
      </c>
      <c r="BS34" s="33">
        <v>1874.71</v>
      </c>
      <c r="BT34" s="33">
        <v>44.99119</v>
      </c>
      <c r="BU34" s="33">
        <v>106.3698</v>
      </c>
      <c r="BV34" s="33">
        <v>272.202</v>
      </c>
      <c r="BW34" s="33">
        <v>20.05182</v>
      </c>
      <c r="BX34" s="33">
        <v>105.7904</v>
      </c>
      <c r="BY34" s="33">
        <v>151.0635</v>
      </c>
      <c r="BZ34" s="33">
        <v>103.6906</v>
      </c>
      <c r="CA34" s="33">
        <v>47.03022</v>
      </c>
      <c r="CB34" s="33">
        <v>122.0266</v>
      </c>
      <c r="CC34" s="33">
        <v>67.83579</v>
      </c>
      <c r="CD34" s="33">
        <v>57.5257</v>
      </c>
      <c r="CE34" s="33">
        <v>162.1725</v>
      </c>
      <c r="CF34" s="33">
        <v>85.97088</v>
      </c>
      <c r="CG34" s="33">
        <v>180.0979</v>
      </c>
      <c r="CH34" s="33">
        <v>51.07009</v>
      </c>
      <c r="CI34" s="33">
        <v>144.0789</v>
      </c>
      <c r="CJ34" s="33">
        <v>68.02794</v>
      </c>
      <c r="CK34" s="33">
        <v>27.76545</v>
      </c>
      <c r="CL34" s="33">
        <v>66.23438</v>
      </c>
      <c r="CM34" s="33">
        <v>38.7268</v>
      </c>
      <c r="CN34" s="33">
        <v>49.39125</v>
      </c>
      <c r="CO34" s="33">
        <v>75.01242</v>
      </c>
      <c r="CP34" s="33">
        <v>71.11742</v>
      </c>
      <c r="CQ34" s="33">
        <v>145.2001</v>
      </c>
      <c r="CR34" s="33">
        <v>37.42228</v>
      </c>
      <c r="CS34" s="33">
        <v>13.83933</v>
      </c>
      <c r="CT34" s="33">
        <v>35.76</v>
      </c>
      <c r="CU34" s="33">
        <v>25.39</v>
      </c>
      <c r="CV34" s="33">
        <v>96.74047</v>
      </c>
      <c r="CW34" s="33">
        <v>158.5664</v>
      </c>
      <c r="CX34" s="33">
        <v>6.14</v>
      </c>
      <c r="CY34" s="33">
        <v>17.49</v>
      </c>
      <c r="CZ34" s="33">
        <v>36.95</v>
      </c>
      <c r="DA34" s="33">
        <v>20.87</v>
      </c>
      <c r="DB34" s="33">
        <v>19.42</v>
      </c>
      <c r="DC34" s="33">
        <v>27.5112</v>
      </c>
      <c r="DD34" s="33">
        <v>3.204767</v>
      </c>
      <c r="DE34" s="33">
        <v>98.60445</v>
      </c>
      <c r="DF34" s="33">
        <v>41.98</v>
      </c>
      <c r="DG34" s="33">
        <v>5.08</v>
      </c>
      <c r="DH34" s="33">
        <v>58.37</v>
      </c>
      <c r="DI34" s="33">
        <v>66.1209</v>
      </c>
      <c r="DJ34" s="33">
        <v>110.9502</v>
      </c>
      <c r="DK34" s="33">
        <v>56.50816</v>
      </c>
      <c r="DL34" s="33">
        <v>146.0629</v>
      </c>
      <c r="DM34" s="33">
        <v>87.09496</v>
      </c>
      <c r="DN34" s="33">
        <v>60.77144</v>
      </c>
      <c r="DO34" s="33">
        <v>46.08902</v>
      </c>
      <c r="DP34" s="33">
        <v>25.48328</v>
      </c>
      <c r="DQ34" s="33">
        <v>103.0099</v>
      </c>
      <c r="DR34" s="33">
        <v>36.29139</v>
      </c>
      <c r="DS34" s="33">
        <v>22.69586</v>
      </c>
      <c r="DT34" s="33">
        <v>18.67846</v>
      </c>
      <c r="DU34" s="33">
        <v>21.97578</v>
      </c>
      <c r="DV34" s="34">
        <v>27.798378</v>
      </c>
      <c r="DW34" s="33">
        <v>44.692</v>
      </c>
      <c r="DX34" s="33">
        <v>159.4053</v>
      </c>
      <c r="DY34" s="33">
        <v>46.72843</v>
      </c>
      <c r="DZ34" s="33">
        <v>9.750978</v>
      </c>
      <c r="EA34" s="35">
        <v>2941.76</v>
      </c>
    </row>
    <row r="35" ht="14.8" spans="1:131">
      <c r="A35" s="32">
        <v>43647</v>
      </c>
      <c r="B35" s="33">
        <v>122.6914</v>
      </c>
      <c r="C35" s="33">
        <v>33.72532</v>
      </c>
      <c r="D35" s="33">
        <v>104.3665</v>
      </c>
      <c r="E35" s="33">
        <v>59.1877</v>
      </c>
      <c r="F35" s="33">
        <v>73.76566</v>
      </c>
      <c r="G35" s="33">
        <v>175.1785</v>
      </c>
      <c r="H35" s="33">
        <v>41.04688</v>
      </c>
      <c r="I35" s="33">
        <v>276.2291</v>
      </c>
      <c r="J35" s="33">
        <v>299.38</v>
      </c>
      <c r="K35" s="33">
        <v>282.05</v>
      </c>
      <c r="L35" s="33">
        <v>156.87</v>
      </c>
      <c r="M35" s="33">
        <v>68.21471</v>
      </c>
      <c r="N35" s="33">
        <v>159.17</v>
      </c>
      <c r="O35" s="33">
        <v>756.75</v>
      </c>
      <c r="P35" s="33">
        <v>240.308</v>
      </c>
      <c r="Q35" s="33">
        <v>52.24943</v>
      </c>
      <c r="R35" s="33">
        <v>286.2831</v>
      </c>
      <c r="S35" s="33">
        <v>304.76</v>
      </c>
      <c r="T35" s="33">
        <v>84.11543</v>
      </c>
      <c r="U35" s="33">
        <v>96.61727</v>
      </c>
      <c r="V35" s="33">
        <v>204.6302</v>
      </c>
      <c r="W35" s="33">
        <v>56.49</v>
      </c>
      <c r="X35" s="33">
        <v>113.4357</v>
      </c>
      <c r="Y35" s="33">
        <v>20.59714</v>
      </c>
      <c r="Z35" s="33">
        <v>245.4483</v>
      </c>
      <c r="AA35" s="33">
        <v>519.51</v>
      </c>
      <c r="AB35" s="33">
        <v>126.2106</v>
      </c>
      <c r="AC35" s="33">
        <v>81.75893</v>
      </c>
      <c r="AD35" s="33">
        <v>133.0679</v>
      </c>
      <c r="AE35" s="33">
        <v>298.86</v>
      </c>
      <c r="AF35" s="33">
        <v>54.21436</v>
      </c>
      <c r="AG35" s="33">
        <v>132.76</v>
      </c>
      <c r="AH35" s="33">
        <v>80.31</v>
      </c>
      <c r="AI35" s="33">
        <v>211.09</v>
      </c>
      <c r="AJ35" s="33">
        <v>88.13</v>
      </c>
      <c r="AK35" s="33">
        <v>11.87805</v>
      </c>
      <c r="AL35" s="33">
        <v>146.72</v>
      </c>
      <c r="AM35" s="33">
        <v>42.00631</v>
      </c>
      <c r="AN35" s="33">
        <v>47.82341</v>
      </c>
      <c r="AO35" s="33">
        <v>265.8834</v>
      </c>
      <c r="AP35" s="33">
        <v>117.7813</v>
      </c>
      <c r="AQ35" s="33">
        <v>69.21686</v>
      </c>
      <c r="AR35" s="33">
        <v>30.45</v>
      </c>
      <c r="AS35" s="33">
        <v>44.82734</v>
      </c>
      <c r="AT35" s="33">
        <v>112.5317</v>
      </c>
      <c r="AU35" s="33">
        <v>100.5337</v>
      </c>
      <c r="AV35" s="33">
        <v>91.60223</v>
      </c>
      <c r="AW35" s="33">
        <v>111.665</v>
      </c>
      <c r="AX35" s="33">
        <v>82.42615</v>
      </c>
      <c r="AY35" s="33">
        <v>52.20139</v>
      </c>
      <c r="AZ35" s="33">
        <v>154.5</v>
      </c>
      <c r="BA35" s="33">
        <v>277.39</v>
      </c>
      <c r="BB35" s="33">
        <v>74.63129</v>
      </c>
      <c r="BC35" s="33">
        <v>89.52</v>
      </c>
      <c r="BD35" s="33">
        <v>63.07216</v>
      </c>
      <c r="BE35" s="33">
        <v>19.56057</v>
      </c>
      <c r="BF35" s="33">
        <v>132.7449</v>
      </c>
      <c r="BG35" s="33">
        <v>1866.78</v>
      </c>
      <c r="BH35" s="33">
        <v>39.96607</v>
      </c>
      <c r="BI35" s="33">
        <v>67.02</v>
      </c>
      <c r="BJ35" s="33">
        <v>39.03896</v>
      </c>
      <c r="BK35" s="33">
        <v>199.7599</v>
      </c>
      <c r="BL35" s="33">
        <v>90.86105</v>
      </c>
      <c r="BM35" s="33">
        <v>116.5507</v>
      </c>
      <c r="BN35" s="33">
        <v>84.29561</v>
      </c>
      <c r="BO35" s="33">
        <v>202.795</v>
      </c>
      <c r="BP35" s="33">
        <v>94.37483</v>
      </c>
      <c r="BQ35" s="33">
        <v>70.246</v>
      </c>
      <c r="BR35" s="33">
        <v>9.619872</v>
      </c>
      <c r="BS35" s="33">
        <v>1886.61</v>
      </c>
      <c r="BT35" s="33">
        <v>45.64842</v>
      </c>
      <c r="BU35" s="33">
        <v>108.1479</v>
      </c>
      <c r="BV35" s="33">
        <v>239.7417</v>
      </c>
      <c r="BW35" s="33">
        <v>19.93658</v>
      </c>
      <c r="BX35" s="33">
        <v>105.8001</v>
      </c>
      <c r="BY35" s="33">
        <v>147.691</v>
      </c>
      <c r="BZ35" s="33">
        <v>111.6246</v>
      </c>
      <c r="CA35" s="33">
        <v>48.98906</v>
      </c>
      <c r="CB35" s="33">
        <v>119.8079</v>
      </c>
      <c r="CC35" s="33">
        <v>73.31438</v>
      </c>
      <c r="CD35" s="33">
        <v>55.80838</v>
      </c>
      <c r="CE35" s="33">
        <v>157.0528</v>
      </c>
      <c r="CF35" s="33">
        <v>98.08314</v>
      </c>
      <c r="CG35" s="33">
        <v>181.1602</v>
      </c>
      <c r="CH35" s="33">
        <v>50.92473</v>
      </c>
      <c r="CI35" s="33">
        <v>146.6574</v>
      </c>
      <c r="CJ35" s="33">
        <v>68.09438</v>
      </c>
      <c r="CK35" s="33">
        <v>28.63312</v>
      </c>
      <c r="CL35" s="33">
        <v>64.22074</v>
      </c>
      <c r="CM35" s="33">
        <v>39.15667</v>
      </c>
      <c r="CN35" s="33">
        <v>53.67853</v>
      </c>
      <c r="CO35" s="33">
        <v>76.72066</v>
      </c>
      <c r="CP35" s="33">
        <v>73.43414</v>
      </c>
      <c r="CQ35" s="33">
        <v>154.1998</v>
      </c>
      <c r="CR35" s="33">
        <v>38.60836</v>
      </c>
      <c r="CS35" s="33">
        <v>12.73541</v>
      </c>
      <c r="CT35" s="33">
        <v>35.37</v>
      </c>
      <c r="CU35" s="33">
        <v>27.06</v>
      </c>
      <c r="CV35" s="33">
        <v>111.9162</v>
      </c>
      <c r="CW35" s="33">
        <v>165.327</v>
      </c>
      <c r="CX35" s="33">
        <v>5.49</v>
      </c>
      <c r="CY35" s="33">
        <v>17.57</v>
      </c>
      <c r="CZ35" s="33">
        <v>36.3</v>
      </c>
      <c r="DA35" s="33">
        <v>21.06</v>
      </c>
      <c r="DB35" s="33">
        <v>17.42</v>
      </c>
      <c r="DC35" s="33">
        <v>29.29243</v>
      </c>
      <c r="DD35" s="33">
        <v>3.38653</v>
      </c>
      <c r="DE35" s="33">
        <v>110.4533</v>
      </c>
      <c r="DF35" s="33">
        <v>45.35</v>
      </c>
      <c r="DG35" s="33">
        <v>4.8</v>
      </c>
      <c r="DH35" s="33">
        <v>59.71</v>
      </c>
      <c r="DI35" s="33">
        <v>64.1622</v>
      </c>
      <c r="DJ35" s="33">
        <v>109.7643</v>
      </c>
      <c r="DK35" s="33">
        <v>54.72953</v>
      </c>
      <c r="DL35" s="33">
        <v>131.0446</v>
      </c>
      <c r="DM35" s="33">
        <v>80.26085</v>
      </c>
      <c r="DN35" s="33">
        <v>62.25241</v>
      </c>
      <c r="DO35" s="33">
        <v>47.83991</v>
      </c>
      <c r="DP35" s="33">
        <v>24.21064</v>
      </c>
      <c r="DQ35" s="33">
        <v>97.7729</v>
      </c>
      <c r="DR35" s="33">
        <v>37.02303</v>
      </c>
      <c r="DS35" s="33">
        <v>23.39618</v>
      </c>
      <c r="DT35" s="33">
        <v>19.83056</v>
      </c>
      <c r="DU35" s="33">
        <v>23.60506</v>
      </c>
      <c r="DV35" s="34">
        <v>23.432388</v>
      </c>
      <c r="DW35" s="33">
        <v>48.322</v>
      </c>
      <c r="DX35" s="33">
        <v>159.0696</v>
      </c>
      <c r="DY35" s="33">
        <v>47.40538</v>
      </c>
      <c r="DZ35" s="33">
        <v>9.083755</v>
      </c>
      <c r="EA35" s="35">
        <v>2980.38</v>
      </c>
    </row>
    <row r="36" ht="14.8" spans="1:131">
      <c r="A36" s="32">
        <v>43678</v>
      </c>
      <c r="B36" s="33">
        <v>120.9389</v>
      </c>
      <c r="C36" s="33">
        <v>30.86857</v>
      </c>
      <c r="D36" s="33">
        <v>108.2174</v>
      </c>
      <c r="E36" s="33">
        <v>59.29649</v>
      </c>
      <c r="F36" s="33">
        <v>76.85886</v>
      </c>
      <c r="G36" s="33">
        <v>195.8716</v>
      </c>
      <c r="H36" s="33">
        <v>44.8234</v>
      </c>
      <c r="I36" s="33">
        <v>285.5601</v>
      </c>
      <c r="J36" s="33">
        <v>281.34</v>
      </c>
      <c r="K36" s="33">
        <v>289.74</v>
      </c>
      <c r="L36" s="33">
        <v>171.61</v>
      </c>
      <c r="M36" s="33">
        <v>70.03926</v>
      </c>
      <c r="N36" s="33">
        <v>155.15</v>
      </c>
      <c r="O36" s="33">
        <v>656.79</v>
      </c>
      <c r="P36" s="33">
        <v>225.8226</v>
      </c>
      <c r="Q36" s="33">
        <v>57.48295</v>
      </c>
      <c r="R36" s="33">
        <v>254.1284</v>
      </c>
      <c r="S36" s="33">
        <v>290.05</v>
      </c>
      <c r="T36" s="33">
        <v>82.70498</v>
      </c>
      <c r="U36" s="33">
        <v>102.8185</v>
      </c>
      <c r="V36" s="33">
        <v>215.2432</v>
      </c>
      <c r="W36" s="33">
        <v>52.74</v>
      </c>
      <c r="X36" s="33">
        <v>125.0001</v>
      </c>
      <c r="Y36" s="33">
        <v>19.18786</v>
      </c>
      <c r="Z36" s="33">
        <v>246.5358</v>
      </c>
      <c r="AA36" s="33">
        <v>511.34</v>
      </c>
      <c r="AB36" s="33">
        <v>136.6056</v>
      </c>
      <c r="AC36" s="33">
        <v>85.63413</v>
      </c>
      <c r="AD36" s="33">
        <v>134.6205</v>
      </c>
      <c r="AE36" s="33">
        <v>284.51</v>
      </c>
      <c r="AF36" s="33">
        <v>50.33435</v>
      </c>
      <c r="AG36" s="33">
        <v>141.81</v>
      </c>
      <c r="AH36" s="33">
        <v>79.18</v>
      </c>
      <c r="AI36" s="33">
        <v>203.85</v>
      </c>
      <c r="AJ36" s="33">
        <v>89.13</v>
      </c>
      <c r="AK36" s="33">
        <v>12.80912</v>
      </c>
      <c r="AL36" s="33">
        <v>128.73</v>
      </c>
      <c r="AM36" s="33">
        <v>41.70506</v>
      </c>
      <c r="AN36" s="33">
        <v>44.85277</v>
      </c>
      <c r="AO36" s="33">
        <v>259.1444</v>
      </c>
      <c r="AP36" s="33">
        <v>117.289</v>
      </c>
      <c r="AQ36" s="33">
        <v>73.57838</v>
      </c>
      <c r="AR36" s="33">
        <v>31.45</v>
      </c>
      <c r="AS36" s="33">
        <v>45.20681</v>
      </c>
      <c r="AT36" s="33">
        <v>105.2218</v>
      </c>
      <c r="AU36" s="33">
        <v>99.31827</v>
      </c>
      <c r="AV36" s="33">
        <v>83.75367</v>
      </c>
      <c r="AW36" s="33">
        <v>101.7411</v>
      </c>
      <c r="AX36" s="33">
        <v>72.75114</v>
      </c>
      <c r="AY36" s="33">
        <v>51.14776</v>
      </c>
      <c r="AZ36" s="33">
        <v>156.07</v>
      </c>
      <c r="BA36" s="33">
        <v>261.84</v>
      </c>
      <c r="BB36" s="33">
        <v>77.46117</v>
      </c>
      <c r="BC36" s="33">
        <v>96.86</v>
      </c>
      <c r="BD36" s="33">
        <v>58.801</v>
      </c>
      <c r="BE36" s="33">
        <v>17.00394</v>
      </c>
      <c r="BF36" s="33">
        <v>121.3634</v>
      </c>
      <c r="BG36" s="33">
        <v>1776.29</v>
      </c>
      <c r="BH36" s="33">
        <v>39.09282</v>
      </c>
      <c r="BI36" s="33">
        <v>52.79</v>
      </c>
      <c r="BJ36" s="33">
        <v>35.89378</v>
      </c>
      <c r="BK36" s="33">
        <v>206.6328</v>
      </c>
      <c r="BL36" s="33">
        <v>92.65542</v>
      </c>
      <c r="BM36" s="33">
        <v>116.8171</v>
      </c>
      <c r="BN36" s="33">
        <v>82.79646</v>
      </c>
      <c r="BO36" s="33">
        <v>216.29</v>
      </c>
      <c r="BP36" s="33">
        <v>94.0103</v>
      </c>
      <c r="BQ36" s="33">
        <v>79.02184</v>
      </c>
      <c r="BR36" s="33">
        <v>8.911995</v>
      </c>
      <c r="BS36" s="33">
        <v>1966.41</v>
      </c>
      <c r="BT36" s="33">
        <v>42.60391</v>
      </c>
      <c r="BU36" s="33">
        <v>112.2424</v>
      </c>
      <c r="BV36" s="33">
        <v>222.3981</v>
      </c>
      <c r="BW36" s="33">
        <v>12.68412</v>
      </c>
      <c r="BX36" s="33">
        <v>99.06182</v>
      </c>
      <c r="BY36" s="33">
        <v>135.2494</v>
      </c>
      <c r="BZ36" s="33">
        <v>114.4319</v>
      </c>
      <c r="CA36" s="33">
        <v>51.23234</v>
      </c>
      <c r="CB36" s="33">
        <v>128.1694</v>
      </c>
      <c r="CC36" s="33">
        <v>63.21292</v>
      </c>
      <c r="CD36" s="33">
        <v>58.64892</v>
      </c>
      <c r="CE36" s="33">
        <v>161.1937</v>
      </c>
      <c r="CF36" s="33">
        <v>91.78903</v>
      </c>
      <c r="CG36" s="33">
        <v>194.7331</v>
      </c>
      <c r="CH36" s="33">
        <v>52.57177</v>
      </c>
      <c r="CI36" s="33">
        <v>143.603</v>
      </c>
      <c r="CJ36" s="33">
        <v>70.7905</v>
      </c>
      <c r="CK36" s="33">
        <v>22.82778</v>
      </c>
      <c r="CL36" s="33">
        <v>69.99764</v>
      </c>
      <c r="CM36" s="33">
        <v>40.91265</v>
      </c>
      <c r="CN36" s="33">
        <v>57.90127</v>
      </c>
      <c r="CO36" s="33">
        <v>79.0937</v>
      </c>
      <c r="CP36" s="33">
        <v>77.65874</v>
      </c>
      <c r="CQ36" s="33">
        <v>150.9568</v>
      </c>
      <c r="CR36" s="33">
        <v>42.38485</v>
      </c>
      <c r="CS36" s="33">
        <v>14.89837</v>
      </c>
      <c r="CT36" s="33">
        <v>40.45</v>
      </c>
      <c r="CU36" s="33">
        <v>31.16</v>
      </c>
      <c r="CV36" s="33">
        <v>111.1574</v>
      </c>
      <c r="CW36" s="33">
        <v>153.7707</v>
      </c>
      <c r="CX36" s="33">
        <v>4.88</v>
      </c>
      <c r="CY36" s="33">
        <v>17.75</v>
      </c>
      <c r="CZ36" s="33">
        <v>35.48</v>
      </c>
      <c r="DA36" s="33">
        <v>20.04</v>
      </c>
      <c r="DB36" s="33">
        <v>16.56</v>
      </c>
      <c r="DC36" s="33">
        <v>28.97924</v>
      </c>
      <c r="DD36" s="33">
        <v>2.984738</v>
      </c>
      <c r="DE36" s="33">
        <v>108.3233</v>
      </c>
      <c r="DF36" s="33">
        <v>43.06</v>
      </c>
      <c r="DG36" s="33">
        <v>4.13</v>
      </c>
      <c r="DH36" s="33">
        <v>57.21</v>
      </c>
      <c r="DI36" s="33">
        <v>59.0886</v>
      </c>
      <c r="DJ36" s="33">
        <v>104.9586</v>
      </c>
      <c r="DK36" s="33">
        <v>48.58329</v>
      </c>
      <c r="DL36" s="33">
        <v>117.1655</v>
      </c>
      <c r="DM36" s="33">
        <v>69.58578</v>
      </c>
      <c r="DN36" s="33">
        <v>60.43784</v>
      </c>
      <c r="DO36" s="33">
        <v>40.49999</v>
      </c>
      <c r="DP36" s="33">
        <v>19.71822</v>
      </c>
      <c r="DQ36" s="33">
        <v>92.71552</v>
      </c>
      <c r="DR36" s="33">
        <v>30.03895</v>
      </c>
      <c r="DS36" s="33">
        <v>19.98674</v>
      </c>
      <c r="DT36" s="33">
        <v>17.88639</v>
      </c>
      <c r="DU36" s="33">
        <v>20.24565</v>
      </c>
      <c r="DV36" s="34">
        <v>20.919731</v>
      </c>
      <c r="DW36" s="33">
        <v>45.122</v>
      </c>
      <c r="DX36" s="33">
        <v>155.7811</v>
      </c>
      <c r="DY36" s="33">
        <v>47.11391</v>
      </c>
      <c r="DZ36" s="33">
        <v>8.871069</v>
      </c>
      <c r="EA36" s="35">
        <v>2926.46</v>
      </c>
    </row>
    <row r="37" ht="14.8" spans="1:131">
      <c r="A37" s="32">
        <v>43709</v>
      </c>
      <c r="B37" s="33">
        <v>122.8134</v>
      </c>
      <c r="C37" s="33">
        <v>31.4904</v>
      </c>
      <c r="D37" s="33">
        <v>107.7259</v>
      </c>
      <c r="E37" s="33">
        <v>68.29829</v>
      </c>
      <c r="F37" s="33">
        <v>74.82338</v>
      </c>
      <c r="G37" s="33">
        <v>182.9722</v>
      </c>
      <c r="H37" s="33">
        <v>47.2851</v>
      </c>
      <c r="I37" s="33">
        <v>289.7481</v>
      </c>
      <c r="J37" s="33">
        <v>304.22</v>
      </c>
      <c r="K37" s="33">
        <v>271.93</v>
      </c>
      <c r="L37" s="33">
        <v>149.24</v>
      </c>
      <c r="M37" s="33">
        <v>75.47614</v>
      </c>
      <c r="N37" s="33">
        <v>149.38</v>
      </c>
      <c r="O37" s="33">
        <v>704.4</v>
      </c>
      <c r="P37" s="33">
        <v>209.7255</v>
      </c>
      <c r="Q37" s="33">
        <v>59.51165</v>
      </c>
      <c r="R37" s="33">
        <v>233.3139</v>
      </c>
      <c r="S37" s="33">
        <v>277.4</v>
      </c>
      <c r="T37" s="33">
        <v>81.10556</v>
      </c>
      <c r="U37" s="33">
        <v>103.5142</v>
      </c>
      <c r="V37" s="33">
        <v>210.9902</v>
      </c>
      <c r="W37" s="33">
        <v>47.66</v>
      </c>
      <c r="X37" s="33">
        <v>123.1907</v>
      </c>
      <c r="Y37" s="33">
        <v>19.49337</v>
      </c>
      <c r="Z37" s="33">
        <v>245.6037</v>
      </c>
      <c r="AA37" s="33">
        <v>539.93</v>
      </c>
      <c r="AB37" s="33">
        <v>132.8805</v>
      </c>
      <c r="AC37" s="33">
        <v>85.38284</v>
      </c>
      <c r="AD37" s="33">
        <v>136.2151</v>
      </c>
      <c r="AE37" s="33">
        <v>276.25</v>
      </c>
      <c r="AF37" s="33">
        <v>53.20591</v>
      </c>
      <c r="AG37" s="33">
        <v>137.25</v>
      </c>
      <c r="AH37" s="33">
        <v>76.76</v>
      </c>
      <c r="AI37" s="33">
        <v>188.63</v>
      </c>
      <c r="AJ37" s="33">
        <v>91.38</v>
      </c>
      <c r="AK37" s="33">
        <v>13.0601</v>
      </c>
      <c r="AL37" s="33">
        <v>140.42</v>
      </c>
      <c r="AM37" s="33">
        <v>43.38121</v>
      </c>
      <c r="AN37" s="33">
        <v>49.0797</v>
      </c>
      <c r="AO37" s="33">
        <v>253.1206</v>
      </c>
      <c r="AP37" s="33">
        <v>122.4924</v>
      </c>
      <c r="AQ37" s="33">
        <v>72.16869</v>
      </c>
      <c r="AR37" s="33">
        <v>28.99</v>
      </c>
      <c r="AS37" s="33">
        <v>42.79018</v>
      </c>
      <c r="AT37" s="33">
        <v>107.5798</v>
      </c>
      <c r="AU37" s="33">
        <v>106.1054</v>
      </c>
      <c r="AV37" s="33">
        <v>90.50514</v>
      </c>
      <c r="AW37" s="33">
        <v>94.08831</v>
      </c>
      <c r="AX37" s="33">
        <v>77.05893</v>
      </c>
      <c r="AY37" s="33">
        <v>55.08809</v>
      </c>
      <c r="AZ37" s="33">
        <v>148.44</v>
      </c>
      <c r="BA37" s="33">
        <v>253.85</v>
      </c>
      <c r="BB37" s="33">
        <v>80.42402</v>
      </c>
      <c r="BC37" s="33">
        <v>97.25</v>
      </c>
      <c r="BD37" s="33">
        <v>56.91753</v>
      </c>
      <c r="BE37" s="33">
        <v>17.58964</v>
      </c>
      <c r="BF37" s="33">
        <v>131.754</v>
      </c>
      <c r="BG37" s="33">
        <v>1735.91</v>
      </c>
      <c r="BH37" s="33">
        <v>37.95284</v>
      </c>
      <c r="BI37" s="33">
        <v>56.5</v>
      </c>
      <c r="BJ37" s="33">
        <v>36.2712</v>
      </c>
      <c r="BK37" s="33">
        <v>204.6187</v>
      </c>
      <c r="BL37" s="33">
        <v>85.16617</v>
      </c>
      <c r="BM37" s="33">
        <v>114.1521</v>
      </c>
      <c r="BN37" s="33">
        <v>92.26428</v>
      </c>
      <c r="BO37" s="33">
        <v>220.1905</v>
      </c>
      <c r="BP37" s="33">
        <v>99.16974</v>
      </c>
      <c r="BQ37" s="33">
        <v>71.68671</v>
      </c>
      <c r="BR37" s="33">
        <v>8.848466</v>
      </c>
      <c r="BS37" s="33">
        <v>1962.61</v>
      </c>
      <c r="BT37" s="33">
        <v>42.71104</v>
      </c>
      <c r="BU37" s="33">
        <v>109.4173</v>
      </c>
      <c r="BV37" s="33">
        <v>239.8005</v>
      </c>
      <c r="BW37" s="33">
        <v>15.27581</v>
      </c>
      <c r="BX37" s="33">
        <v>88.2427</v>
      </c>
      <c r="BY37" s="33">
        <v>162.162</v>
      </c>
      <c r="BZ37" s="33">
        <v>118.3818</v>
      </c>
      <c r="CA37" s="33">
        <v>50.67384</v>
      </c>
      <c r="CB37" s="33">
        <v>128.5162</v>
      </c>
      <c r="CC37" s="33">
        <v>66.58009</v>
      </c>
      <c r="CD37" s="33">
        <v>56.22434</v>
      </c>
      <c r="CE37" s="33">
        <v>155.8956</v>
      </c>
      <c r="CF37" s="33">
        <v>92.4204</v>
      </c>
      <c r="CG37" s="33">
        <v>196.0937</v>
      </c>
      <c r="CH37" s="33">
        <v>52.66697</v>
      </c>
      <c r="CI37" s="33">
        <v>145.4915</v>
      </c>
      <c r="CJ37" s="33">
        <v>70.17951</v>
      </c>
      <c r="CK37" s="33">
        <v>25.38292</v>
      </c>
      <c r="CL37" s="33">
        <v>74.77213</v>
      </c>
      <c r="CM37" s="33">
        <v>41.98803</v>
      </c>
      <c r="CN37" s="33">
        <v>59.8724</v>
      </c>
      <c r="CO37" s="33">
        <v>75.90316</v>
      </c>
      <c r="CP37" s="33">
        <v>73.453</v>
      </c>
      <c r="CQ37" s="33">
        <v>144.9533</v>
      </c>
      <c r="CR37" s="33">
        <v>44.19327</v>
      </c>
      <c r="CS37" s="33">
        <v>17.04211</v>
      </c>
      <c r="CT37" s="33">
        <v>41.1</v>
      </c>
      <c r="CU37" s="33">
        <v>32.05</v>
      </c>
      <c r="CV37" s="33">
        <v>113.1981</v>
      </c>
      <c r="CW37" s="33">
        <v>141.1286</v>
      </c>
      <c r="CX37" s="33">
        <v>5.17</v>
      </c>
      <c r="CY37" s="33">
        <v>18.78</v>
      </c>
      <c r="CZ37" s="33">
        <v>40.31</v>
      </c>
      <c r="DA37" s="33">
        <v>22.65</v>
      </c>
      <c r="DB37" s="33">
        <v>18.08</v>
      </c>
      <c r="DC37" s="33">
        <v>29.88711</v>
      </c>
      <c r="DD37" s="33">
        <v>3.104267</v>
      </c>
      <c r="DE37" s="33">
        <v>112.4311</v>
      </c>
      <c r="DF37" s="33">
        <v>46.5</v>
      </c>
      <c r="DG37" s="33">
        <v>4.46</v>
      </c>
      <c r="DH37" s="33">
        <v>62.51</v>
      </c>
      <c r="DI37" s="33">
        <v>61.68404</v>
      </c>
      <c r="DJ37" s="33">
        <v>106.8302</v>
      </c>
      <c r="DK37" s="33">
        <v>53.05243</v>
      </c>
      <c r="DL37" s="33">
        <v>119.3964</v>
      </c>
      <c r="DM37" s="33">
        <v>69.61391</v>
      </c>
      <c r="DN37" s="33">
        <v>58.06641</v>
      </c>
      <c r="DO37" s="33">
        <v>41.42214</v>
      </c>
      <c r="DP37" s="33">
        <v>21.57437</v>
      </c>
      <c r="DQ37" s="33">
        <v>85.15862</v>
      </c>
      <c r="DR37" s="33">
        <v>31.65065</v>
      </c>
      <c r="DS37" s="33">
        <v>21.54191</v>
      </c>
      <c r="DT37" s="33">
        <v>17.47797</v>
      </c>
      <c r="DU37" s="33">
        <v>21.0087</v>
      </c>
      <c r="DV37" s="34">
        <v>24.828239</v>
      </c>
      <c r="DW37" s="33">
        <v>48.174</v>
      </c>
      <c r="DX37" s="33">
        <v>152.1668</v>
      </c>
      <c r="DY37" s="33">
        <v>50.51988</v>
      </c>
      <c r="DZ37" s="33">
        <v>8.861395</v>
      </c>
      <c r="EA37" s="35">
        <v>2976.74</v>
      </c>
    </row>
    <row r="38" ht="14.8" spans="1:131">
      <c r="A38" s="32">
        <v>43739</v>
      </c>
      <c r="B38" s="33">
        <v>125.3384</v>
      </c>
      <c r="C38" s="33">
        <v>33.62891</v>
      </c>
      <c r="D38" s="33">
        <v>109.7681</v>
      </c>
      <c r="E38" s="33">
        <v>71.7529</v>
      </c>
      <c r="F38" s="33">
        <v>77.53964</v>
      </c>
      <c r="G38" s="33">
        <v>201.6372</v>
      </c>
      <c r="H38" s="33">
        <v>53.49529</v>
      </c>
      <c r="I38" s="33">
        <v>300.5941</v>
      </c>
      <c r="J38" s="33">
        <v>295.52</v>
      </c>
      <c r="K38" s="33">
        <v>285.01</v>
      </c>
      <c r="L38" s="33">
        <v>154.24</v>
      </c>
      <c r="M38" s="33">
        <v>74.76991</v>
      </c>
      <c r="N38" s="33">
        <v>144.42</v>
      </c>
      <c r="O38" s="33">
        <v>704.94</v>
      </c>
      <c r="P38" s="33">
        <v>245.0191</v>
      </c>
      <c r="Q38" s="33">
        <v>62.64433</v>
      </c>
      <c r="R38" s="33">
        <v>262.3163</v>
      </c>
      <c r="S38" s="33">
        <v>306.28</v>
      </c>
      <c r="T38" s="33">
        <v>81.0474</v>
      </c>
      <c r="U38" s="33">
        <v>104.3044</v>
      </c>
      <c r="V38" s="33">
        <v>211.4691</v>
      </c>
      <c r="W38" s="33">
        <v>48.65</v>
      </c>
      <c r="X38" s="33">
        <v>126.4833</v>
      </c>
      <c r="Y38" s="33">
        <v>18.8725</v>
      </c>
      <c r="Z38" s="33">
        <v>249.2979</v>
      </c>
      <c r="AA38" s="33">
        <v>552.95</v>
      </c>
      <c r="AB38" s="33">
        <v>145.4792</v>
      </c>
      <c r="AC38" s="33">
        <v>74.86984</v>
      </c>
      <c r="AD38" s="33">
        <v>140.4672</v>
      </c>
      <c r="AE38" s="33">
        <v>277.93</v>
      </c>
      <c r="AF38" s="33">
        <v>52.68381</v>
      </c>
      <c r="AG38" s="33">
        <v>135.75</v>
      </c>
      <c r="AH38" s="33">
        <v>81.56</v>
      </c>
      <c r="AI38" s="33">
        <v>190.02</v>
      </c>
      <c r="AJ38" s="33">
        <v>86.5</v>
      </c>
      <c r="AK38" s="33">
        <v>12.64558</v>
      </c>
      <c r="AL38" s="33">
        <v>144.08</v>
      </c>
      <c r="AM38" s="33">
        <v>50.0976</v>
      </c>
      <c r="AN38" s="33">
        <v>53.84193</v>
      </c>
      <c r="AO38" s="33">
        <v>270.9764</v>
      </c>
      <c r="AP38" s="33">
        <v>111.8298</v>
      </c>
      <c r="AQ38" s="33">
        <v>76.70871</v>
      </c>
      <c r="AR38" s="33">
        <v>33.93</v>
      </c>
      <c r="AS38" s="33">
        <v>47.48362</v>
      </c>
      <c r="AT38" s="33">
        <v>102.6693</v>
      </c>
      <c r="AU38" s="33">
        <v>110.9175</v>
      </c>
      <c r="AV38" s="33">
        <v>91.84943</v>
      </c>
      <c r="AW38" s="33">
        <v>89.02579</v>
      </c>
      <c r="AX38" s="33">
        <v>88.54241</v>
      </c>
      <c r="AY38" s="33">
        <v>61.18549</v>
      </c>
      <c r="AZ38" s="33">
        <v>156.49</v>
      </c>
      <c r="BA38" s="33">
        <v>247.26</v>
      </c>
      <c r="BB38" s="33">
        <v>89.62502</v>
      </c>
      <c r="BC38" s="33">
        <v>100.91</v>
      </c>
      <c r="BD38" s="33">
        <v>57.28281</v>
      </c>
      <c r="BE38" s="33">
        <v>16.2857</v>
      </c>
      <c r="BF38" s="33">
        <v>121.1626</v>
      </c>
      <c r="BG38" s="33">
        <v>1776.66</v>
      </c>
      <c r="BH38" s="33">
        <v>34.32113</v>
      </c>
      <c r="BI38" s="33">
        <v>44.49</v>
      </c>
      <c r="BJ38" s="33">
        <v>36.32246</v>
      </c>
      <c r="BK38" s="33">
        <v>187.4551</v>
      </c>
      <c r="BL38" s="33">
        <v>81.4482</v>
      </c>
      <c r="BM38" s="33">
        <v>108.4068</v>
      </c>
      <c r="BN38" s="33">
        <v>87.97131</v>
      </c>
      <c r="BO38" s="33">
        <v>223.9794</v>
      </c>
      <c r="BP38" s="33">
        <v>103.0635</v>
      </c>
      <c r="BQ38" s="33">
        <v>68.89053</v>
      </c>
      <c r="BR38" s="33">
        <v>8.746728</v>
      </c>
      <c r="BS38" s="33">
        <v>2048.77</v>
      </c>
      <c r="BT38" s="33">
        <v>41.90979</v>
      </c>
      <c r="BU38" s="33">
        <v>98.11193</v>
      </c>
      <c r="BV38" s="33">
        <v>266.998</v>
      </c>
      <c r="BW38" s="33">
        <v>13.28738</v>
      </c>
      <c r="BX38" s="33">
        <v>92.71143</v>
      </c>
      <c r="BY38" s="33">
        <v>159.3614</v>
      </c>
      <c r="BZ38" s="33">
        <v>118.5055</v>
      </c>
      <c r="CA38" s="33">
        <v>51.03496</v>
      </c>
      <c r="CB38" s="33">
        <v>129.4704</v>
      </c>
      <c r="CC38" s="33">
        <v>72.59121</v>
      </c>
      <c r="CD38" s="33">
        <v>56.23371</v>
      </c>
      <c r="CE38" s="33">
        <v>156.2293</v>
      </c>
      <c r="CF38" s="33">
        <v>78.4529</v>
      </c>
      <c r="CG38" s="33">
        <v>183.5957</v>
      </c>
      <c r="CH38" s="33">
        <v>50.19147</v>
      </c>
      <c r="CI38" s="33">
        <v>149.2361</v>
      </c>
      <c r="CJ38" s="33">
        <v>65.49195</v>
      </c>
      <c r="CK38" s="33">
        <v>29.3764</v>
      </c>
      <c r="CL38" s="33">
        <v>75.21472</v>
      </c>
      <c r="CM38" s="33">
        <v>39.26116</v>
      </c>
      <c r="CN38" s="33">
        <v>59.10946</v>
      </c>
      <c r="CO38" s="33">
        <v>78.03505</v>
      </c>
      <c r="CP38" s="33">
        <v>68.27885</v>
      </c>
      <c r="CQ38" s="33">
        <v>140.9636</v>
      </c>
      <c r="CR38" s="33">
        <v>43.61872</v>
      </c>
      <c r="CS38" s="33">
        <v>17.26971</v>
      </c>
      <c r="CT38" s="33">
        <v>39.67</v>
      </c>
      <c r="CU38" s="33">
        <v>30.36</v>
      </c>
      <c r="CV38" s="33">
        <v>108.8051</v>
      </c>
      <c r="CW38" s="33">
        <v>148.5898</v>
      </c>
      <c r="CX38" s="33">
        <v>5.39</v>
      </c>
      <c r="CY38" s="33">
        <v>18.71</v>
      </c>
      <c r="CZ38" s="33">
        <v>38.91</v>
      </c>
      <c r="DA38" s="33">
        <v>19.91</v>
      </c>
      <c r="DB38" s="33">
        <v>13.64</v>
      </c>
      <c r="DC38" s="33">
        <v>28.35594</v>
      </c>
      <c r="DD38" s="33">
        <v>3.142949</v>
      </c>
      <c r="DE38" s="33">
        <v>120.5667</v>
      </c>
      <c r="DF38" s="33">
        <v>45.8</v>
      </c>
      <c r="DG38" s="33">
        <v>4.19</v>
      </c>
      <c r="DH38" s="33">
        <v>73.94</v>
      </c>
      <c r="DI38" s="33">
        <v>59.02833</v>
      </c>
      <c r="DJ38" s="33">
        <v>104.6144</v>
      </c>
      <c r="DK38" s="33">
        <v>51.39512</v>
      </c>
      <c r="DL38" s="33">
        <v>117.1881</v>
      </c>
      <c r="DM38" s="33">
        <v>65.00862</v>
      </c>
      <c r="DN38" s="33">
        <v>63.3757</v>
      </c>
      <c r="DO38" s="33">
        <v>38.39139</v>
      </c>
      <c r="DP38" s="33">
        <v>18.25066</v>
      </c>
      <c r="DQ38" s="33">
        <v>81.22793</v>
      </c>
      <c r="DR38" s="33">
        <v>30.75394</v>
      </c>
      <c r="DS38" s="33">
        <v>19.87055</v>
      </c>
      <c r="DT38" s="33">
        <v>14.28502</v>
      </c>
      <c r="DU38" s="33">
        <v>22.46261</v>
      </c>
      <c r="DV38" s="34">
        <v>21.007017</v>
      </c>
      <c r="DW38" s="33">
        <v>62.984</v>
      </c>
      <c r="DX38" s="33">
        <v>158.1215</v>
      </c>
      <c r="DY38" s="33">
        <v>50.93669</v>
      </c>
      <c r="DZ38" s="33">
        <v>8.309977</v>
      </c>
      <c r="EA38" s="35">
        <v>3037.56</v>
      </c>
    </row>
    <row r="39" ht="14.8" spans="1:131">
      <c r="A39" s="32">
        <v>43770</v>
      </c>
      <c r="B39" s="33">
        <v>130.5117</v>
      </c>
      <c r="C39" s="33">
        <v>33.76038</v>
      </c>
      <c r="D39" s="33">
        <v>113.0434</v>
      </c>
      <c r="E39" s="33">
        <v>80.28499</v>
      </c>
      <c r="F39" s="33">
        <v>78.0049</v>
      </c>
      <c r="G39" s="33">
        <v>221.938</v>
      </c>
      <c r="H39" s="33">
        <v>53.54041</v>
      </c>
      <c r="I39" s="33">
        <v>312.5092</v>
      </c>
      <c r="J39" s="33">
        <v>320.76</v>
      </c>
      <c r="K39" s="33">
        <v>251.58</v>
      </c>
      <c r="L39" s="33">
        <v>227.31</v>
      </c>
      <c r="M39" s="33">
        <v>79.72496</v>
      </c>
      <c r="N39" s="33">
        <v>145.98</v>
      </c>
      <c r="O39" s="33">
        <v>719.41</v>
      </c>
      <c r="P39" s="33">
        <v>271.3633</v>
      </c>
      <c r="Q39" s="33">
        <v>71.5609</v>
      </c>
      <c r="R39" s="33">
        <v>281.4041</v>
      </c>
      <c r="S39" s="33">
        <v>369</v>
      </c>
      <c r="T39" s="33">
        <v>83.16308</v>
      </c>
      <c r="U39" s="33">
        <v>106.6893</v>
      </c>
      <c r="V39" s="33">
        <v>200.3124</v>
      </c>
      <c r="W39" s="33">
        <v>51.99</v>
      </c>
      <c r="X39" s="33">
        <v>119.3191</v>
      </c>
      <c r="Y39" s="33">
        <v>18.50786</v>
      </c>
      <c r="Z39" s="33">
        <v>251.7325</v>
      </c>
      <c r="AA39" s="33">
        <v>592.9</v>
      </c>
      <c r="AB39" s="33">
        <v>147.1315</v>
      </c>
      <c r="AC39" s="33">
        <v>80.01409</v>
      </c>
      <c r="AD39" s="33">
        <v>148.3151</v>
      </c>
      <c r="AE39" s="33">
        <v>309.53</v>
      </c>
      <c r="AF39" s="33">
        <v>54.52121</v>
      </c>
      <c r="AG39" s="33">
        <v>141.04</v>
      </c>
      <c r="AH39" s="33">
        <v>105.11</v>
      </c>
      <c r="AI39" s="33">
        <v>190.74</v>
      </c>
      <c r="AJ39" s="33">
        <v>87.12</v>
      </c>
      <c r="AK39" s="33">
        <v>13.76202</v>
      </c>
      <c r="AL39" s="33">
        <v>145.71</v>
      </c>
      <c r="AM39" s="33">
        <v>54.0153</v>
      </c>
      <c r="AN39" s="33">
        <v>55.28966</v>
      </c>
      <c r="AO39" s="33">
        <v>292.5915</v>
      </c>
      <c r="AP39" s="33">
        <v>114.7927</v>
      </c>
      <c r="AQ39" s="33">
        <v>79.67445</v>
      </c>
      <c r="AR39" s="33">
        <v>39.15</v>
      </c>
      <c r="AS39" s="33">
        <v>47.44368</v>
      </c>
      <c r="AT39" s="33">
        <v>108.7545</v>
      </c>
      <c r="AU39" s="33">
        <v>112.7713</v>
      </c>
      <c r="AV39" s="33">
        <v>92.09296</v>
      </c>
      <c r="AW39" s="33">
        <v>91.02725</v>
      </c>
      <c r="AX39" s="33">
        <v>95.58225</v>
      </c>
      <c r="AY39" s="33">
        <v>65.73331</v>
      </c>
      <c r="AZ39" s="33">
        <v>162.89</v>
      </c>
      <c r="BA39" s="33">
        <v>283.04</v>
      </c>
      <c r="BB39" s="33">
        <v>93.39166</v>
      </c>
      <c r="BC39" s="33">
        <v>107.03</v>
      </c>
      <c r="BD39" s="33">
        <v>59.91451</v>
      </c>
      <c r="BE39" s="33">
        <v>18.82653</v>
      </c>
      <c r="BF39" s="33">
        <v>121.815</v>
      </c>
      <c r="BG39" s="33">
        <v>1800.8</v>
      </c>
      <c r="BH39" s="33">
        <v>34.58401</v>
      </c>
      <c r="BI39" s="33">
        <v>43.39</v>
      </c>
      <c r="BJ39" s="33">
        <v>35.18861</v>
      </c>
      <c r="BK39" s="33">
        <v>185.3394</v>
      </c>
      <c r="BL39" s="33">
        <v>82.2862</v>
      </c>
      <c r="BM39" s="33">
        <v>115.2547</v>
      </c>
      <c r="BN39" s="33">
        <v>91.84185</v>
      </c>
      <c r="BO39" s="33">
        <v>210.5452</v>
      </c>
      <c r="BP39" s="33">
        <v>105.361</v>
      </c>
      <c r="BQ39" s="33">
        <v>65.04086</v>
      </c>
      <c r="BR39" s="33">
        <v>9.42662</v>
      </c>
      <c r="BS39" s="33">
        <v>1904.03</v>
      </c>
      <c r="BT39" s="33">
        <v>44.04974</v>
      </c>
      <c r="BU39" s="33">
        <v>97.10873</v>
      </c>
      <c r="BV39" s="33">
        <v>289.292</v>
      </c>
      <c r="BW39" s="33">
        <v>14.92491</v>
      </c>
      <c r="BX39" s="33">
        <v>92.14553</v>
      </c>
      <c r="BY39" s="33">
        <v>154.065</v>
      </c>
      <c r="BZ39" s="33">
        <v>116.9157</v>
      </c>
      <c r="CA39" s="33">
        <v>50.0692</v>
      </c>
      <c r="CB39" s="33">
        <v>128.2057</v>
      </c>
      <c r="CC39" s="33">
        <v>73.9193</v>
      </c>
      <c r="CD39" s="33">
        <v>56.07499</v>
      </c>
      <c r="CE39" s="33">
        <v>155.8193</v>
      </c>
      <c r="CF39" s="33">
        <v>77.07365</v>
      </c>
      <c r="CG39" s="33">
        <v>192.6636</v>
      </c>
      <c r="CH39" s="33">
        <v>50.27758</v>
      </c>
      <c r="CI39" s="33">
        <v>154.8889</v>
      </c>
      <c r="CJ39" s="33">
        <v>65.15751</v>
      </c>
      <c r="CK39" s="33">
        <v>27.71359</v>
      </c>
      <c r="CL39" s="33">
        <v>76.23321</v>
      </c>
      <c r="CM39" s="33">
        <v>42.97705</v>
      </c>
      <c r="CN39" s="33">
        <v>60.58883</v>
      </c>
      <c r="CO39" s="33">
        <v>82.47289</v>
      </c>
      <c r="CP39" s="33">
        <v>68.57173</v>
      </c>
      <c r="CQ39" s="33">
        <v>142.4807</v>
      </c>
      <c r="CR39" s="33">
        <v>44.19434</v>
      </c>
      <c r="CS39" s="33">
        <v>17.4973</v>
      </c>
      <c r="CT39" s="33">
        <v>39.77</v>
      </c>
      <c r="CU39" s="33">
        <v>31.5</v>
      </c>
      <c r="CV39" s="33">
        <v>113.1131</v>
      </c>
      <c r="CW39" s="33">
        <v>155.7827</v>
      </c>
      <c r="CX39" s="33">
        <v>5.35</v>
      </c>
      <c r="CY39" s="33">
        <v>22.07</v>
      </c>
      <c r="CZ39" s="33">
        <v>42.83</v>
      </c>
      <c r="DA39" s="33">
        <v>20.03</v>
      </c>
      <c r="DB39" s="33">
        <v>18.34</v>
      </c>
      <c r="DC39" s="33">
        <v>28.24798</v>
      </c>
      <c r="DD39" s="33">
        <v>2.939867</v>
      </c>
      <c r="DE39" s="33">
        <v>126.8639</v>
      </c>
      <c r="DF39" s="33">
        <v>51.07</v>
      </c>
      <c r="DG39" s="33">
        <v>4.3</v>
      </c>
      <c r="DH39" s="33">
        <v>75.9</v>
      </c>
      <c r="DI39" s="33">
        <v>59.51754</v>
      </c>
      <c r="DJ39" s="33">
        <v>105.5061</v>
      </c>
      <c r="DK39" s="33">
        <v>56.2305</v>
      </c>
      <c r="DL39" s="33">
        <v>121.7796</v>
      </c>
      <c r="DM39" s="33">
        <v>66.77766</v>
      </c>
      <c r="DN39" s="33">
        <v>59.84786</v>
      </c>
      <c r="DO39" s="33">
        <v>36.56187</v>
      </c>
      <c r="DP39" s="33">
        <v>19.69955</v>
      </c>
      <c r="DQ39" s="33">
        <v>73.25288</v>
      </c>
      <c r="DR39" s="33">
        <v>34.05606</v>
      </c>
      <c r="DS39" s="33">
        <v>20.81765</v>
      </c>
      <c r="DT39" s="33">
        <v>13.64064</v>
      </c>
      <c r="DU39" s="33">
        <v>22.39309</v>
      </c>
      <c r="DV39" s="34">
        <v>21.851776</v>
      </c>
      <c r="DW39" s="33">
        <v>65.988</v>
      </c>
      <c r="DX39" s="33">
        <v>166.1698</v>
      </c>
      <c r="DY39" s="33">
        <v>52.12082</v>
      </c>
      <c r="DZ39" s="33">
        <v>8.908496</v>
      </c>
      <c r="EA39" s="35">
        <v>3140.98</v>
      </c>
    </row>
    <row r="40" ht="14.8" spans="1:131">
      <c r="A40" s="32">
        <v>43800</v>
      </c>
      <c r="B40" s="33">
        <v>139.4258</v>
      </c>
      <c r="C40" s="33">
        <v>34.67069</v>
      </c>
      <c r="D40" s="33">
        <v>127.3348</v>
      </c>
      <c r="E40" s="33">
        <v>81.02625</v>
      </c>
      <c r="F40" s="33">
        <v>81.37815</v>
      </c>
      <c r="G40" s="33">
        <v>229.4568</v>
      </c>
      <c r="H40" s="33">
        <v>60.35755</v>
      </c>
      <c r="I40" s="33">
        <v>323.379</v>
      </c>
      <c r="J40" s="33">
        <v>331.74</v>
      </c>
      <c r="K40" s="33">
        <v>261.13</v>
      </c>
      <c r="L40" s="33">
        <v>218.74</v>
      </c>
      <c r="M40" s="33">
        <v>84.20622</v>
      </c>
      <c r="N40" s="33">
        <v>154.51</v>
      </c>
      <c r="O40" s="33">
        <v>793.28</v>
      </c>
      <c r="P40" s="33">
        <v>285.0444</v>
      </c>
      <c r="Q40" s="33">
        <v>70.62919</v>
      </c>
      <c r="R40" s="33">
        <v>294.438</v>
      </c>
      <c r="S40" s="33">
        <v>375.48</v>
      </c>
      <c r="T40" s="33">
        <v>84.53534</v>
      </c>
      <c r="U40" s="33">
        <v>108.6624</v>
      </c>
      <c r="V40" s="33">
        <v>205.2796</v>
      </c>
      <c r="W40" s="33">
        <v>56.3</v>
      </c>
      <c r="X40" s="33">
        <v>131.0313</v>
      </c>
      <c r="Y40" s="33">
        <v>19.80873</v>
      </c>
      <c r="Z40" s="33">
        <v>264.8498</v>
      </c>
      <c r="AA40" s="33">
        <v>591.15</v>
      </c>
      <c r="AB40" s="33">
        <v>152.8257</v>
      </c>
      <c r="AC40" s="33">
        <v>81.62472</v>
      </c>
      <c r="AD40" s="33">
        <v>155.0329</v>
      </c>
      <c r="AE40" s="33">
        <v>329.81</v>
      </c>
      <c r="AF40" s="33">
        <v>51.45232</v>
      </c>
      <c r="AG40" s="33">
        <v>139.2</v>
      </c>
      <c r="AH40" s="33">
        <v>106.76</v>
      </c>
      <c r="AI40" s="33">
        <v>192.68</v>
      </c>
      <c r="AJ40" s="33">
        <v>86.38</v>
      </c>
      <c r="AK40" s="33">
        <v>14.17681</v>
      </c>
      <c r="AL40" s="33">
        <v>139.65</v>
      </c>
      <c r="AM40" s="33">
        <v>58.68403</v>
      </c>
      <c r="AN40" s="33">
        <v>57.3178</v>
      </c>
      <c r="AO40" s="33">
        <v>292.4157</v>
      </c>
      <c r="AP40" s="33">
        <v>122.5086</v>
      </c>
      <c r="AQ40" s="33">
        <v>84.13737</v>
      </c>
      <c r="AR40" s="33">
        <v>45.86</v>
      </c>
      <c r="AS40" s="33">
        <v>53.70493</v>
      </c>
      <c r="AT40" s="33">
        <v>114.4257</v>
      </c>
      <c r="AU40" s="33">
        <v>124.1675</v>
      </c>
      <c r="AV40" s="33">
        <v>102.4152</v>
      </c>
      <c r="AW40" s="33">
        <v>96.29392</v>
      </c>
      <c r="AX40" s="33">
        <v>117.538</v>
      </c>
      <c r="AY40" s="33">
        <v>72.44356</v>
      </c>
      <c r="AZ40" s="33">
        <v>162.64</v>
      </c>
      <c r="BA40" s="33">
        <v>282.32</v>
      </c>
      <c r="BB40" s="33">
        <v>93.26737</v>
      </c>
      <c r="BC40" s="33">
        <v>102.63</v>
      </c>
      <c r="BD40" s="33">
        <v>63.47947</v>
      </c>
      <c r="BE40" s="33">
        <v>19.26719</v>
      </c>
      <c r="BF40" s="33">
        <v>122.8778</v>
      </c>
      <c r="BG40" s="33">
        <v>1847.84</v>
      </c>
      <c r="BH40" s="33">
        <v>35.29631</v>
      </c>
      <c r="BI40" s="33">
        <v>44.3</v>
      </c>
      <c r="BJ40" s="33">
        <v>35.77509</v>
      </c>
      <c r="BK40" s="33">
        <v>189.5293</v>
      </c>
      <c r="BL40" s="33">
        <v>85.10789</v>
      </c>
      <c r="BM40" s="33">
        <v>106.0783</v>
      </c>
      <c r="BN40" s="33">
        <v>99.78368</v>
      </c>
      <c r="BO40" s="33">
        <v>208.5114</v>
      </c>
      <c r="BP40" s="33">
        <v>105.4457</v>
      </c>
      <c r="BQ40" s="33">
        <v>63.81615</v>
      </c>
      <c r="BR40" s="33">
        <v>10.0741</v>
      </c>
      <c r="BS40" s="33">
        <v>2053.73</v>
      </c>
      <c r="BT40" s="33">
        <v>50.2436</v>
      </c>
      <c r="BU40" s="33">
        <v>97.58448</v>
      </c>
      <c r="BV40" s="33">
        <v>288.7809</v>
      </c>
      <c r="BW40" s="33">
        <v>14.40143</v>
      </c>
      <c r="BX40" s="33">
        <v>91.50066</v>
      </c>
      <c r="BY40" s="33">
        <v>157.0859</v>
      </c>
      <c r="BZ40" s="33">
        <v>119.6361</v>
      </c>
      <c r="CA40" s="33">
        <v>52.28523</v>
      </c>
      <c r="CB40" s="33">
        <v>128.9985</v>
      </c>
      <c r="CC40" s="33">
        <v>75.84461</v>
      </c>
      <c r="CD40" s="33">
        <v>53.88817</v>
      </c>
      <c r="CE40" s="33">
        <v>160.5671</v>
      </c>
      <c r="CF40" s="33">
        <v>80.58342</v>
      </c>
      <c r="CG40" s="33">
        <v>204.0759</v>
      </c>
      <c r="CH40" s="33">
        <v>52.70822</v>
      </c>
      <c r="CI40" s="33">
        <v>158.3735</v>
      </c>
      <c r="CJ40" s="33">
        <v>66.13746</v>
      </c>
      <c r="CK40" s="33">
        <v>29.54963</v>
      </c>
      <c r="CL40" s="33">
        <v>80.9558</v>
      </c>
      <c r="CM40" s="33">
        <v>43.53682</v>
      </c>
      <c r="CN40" s="33">
        <v>64.91165</v>
      </c>
      <c r="CO40" s="33">
        <v>82.7068</v>
      </c>
      <c r="CP40" s="33">
        <v>68.90892</v>
      </c>
      <c r="CQ40" s="33">
        <v>147.5848</v>
      </c>
      <c r="CR40" s="33">
        <v>46.89895</v>
      </c>
      <c r="CS40" s="33">
        <v>17.70855</v>
      </c>
      <c r="CT40" s="33">
        <v>41.89</v>
      </c>
      <c r="CU40" s="33">
        <v>32.72</v>
      </c>
      <c r="CV40" s="33">
        <v>111.453</v>
      </c>
      <c r="CW40" s="33">
        <v>147.1785</v>
      </c>
      <c r="CX40" s="33">
        <v>5.57</v>
      </c>
      <c r="CY40" s="33">
        <v>20.15</v>
      </c>
      <c r="CZ40" s="33">
        <v>42.72</v>
      </c>
      <c r="DA40" s="33">
        <v>20.7</v>
      </c>
      <c r="DB40" s="33">
        <v>19.67</v>
      </c>
      <c r="DC40" s="33">
        <v>27.15928</v>
      </c>
      <c r="DD40" s="33">
        <v>2.884886</v>
      </c>
      <c r="DE40" s="33">
        <v>125.6654</v>
      </c>
      <c r="DF40" s="33">
        <v>51.29</v>
      </c>
      <c r="DG40" s="33">
        <v>4.19</v>
      </c>
      <c r="DH40" s="33">
        <v>76.94</v>
      </c>
      <c r="DI40" s="33">
        <v>61.69412</v>
      </c>
      <c r="DJ40" s="33">
        <v>109.6203</v>
      </c>
      <c r="DK40" s="33">
        <v>61.0055</v>
      </c>
      <c r="DL40" s="33">
        <v>144.1942</v>
      </c>
      <c r="DM40" s="33">
        <v>78.88995</v>
      </c>
      <c r="DN40" s="33">
        <v>64.39742</v>
      </c>
      <c r="DO40" s="33">
        <v>39.06443</v>
      </c>
      <c r="DP40" s="33">
        <v>23.37128</v>
      </c>
      <c r="DQ40" s="33">
        <v>88.16795</v>
      </c>
      <c r="DR40" s="33">
        <v>37.81916</v>
      </c>
      <c r="DS40" s="33">
        <v>23.99501</v>
      </c>
      <c r="DT40" s="33">
        <v>15.62321</v>
      </c>
      <c r="DU40" s="33">
        <v>24.87569</v>
      </c>
      <c r="DV40" s="34">
        <v>25.098154</v>
      </c>
      <c r="DW40" s="33">
        <v>83.666</v>
      </c>
      <c r="DX40" s="33">
        <v>163.4739</v>
      </c>
      <c r="DY40" s="33">
        <v>52.30194</v>
      </c>
      <c r="DZ40" s="33">
        <v>9.144482</v>
      </c>
      <c r="EA40" s="35">
        <v>3230.78</v>
      </c>
    </row>
    <row r="41" ht="14.8" spans="1:131">
      <c r="A41" s="32">
        <v>43831</v>
      </c>
      <c r="B41" s="33">
        <v>142.2932</v>
      </c>
      <c r="C41" s="33">
        <v>32.95397</v>
      </c>
      <c r="D41" s="33">
        <v>135.289</v>
      </c>
      <c r="E41" s="33">
        <v>74.14442</v>
      </c>
      <c r="F41" s="33">
        <v>76.97224</v>
      </c>
      <c r="G41" s="33">
        <v>205.6421</v>
      </c>
      <c r="H41" s="33">
        <v>59.19159</v>
      </c>
      <c r="I41" s="33">
        <v>311.9376</v>
      </c>
      <c r="J41" s="33">
        <v>290.07</v>
      </c>
      <c r="K41" s="33">
        <v>271.01</v>
      </c>
      <c r="L41" s="33">
        <v>240.75</v>
      </c>
      <c r="M41" s="33">
        <v>81.66388</v>
      </c>
      <c r="N41" s="33">
        <v>155.25</v>
      </c>
      <c r="O41" s="33">
        <v>757.18</v>
      </c>
      <c r="P41" s="33">
        <v>265.1844</v>
      </c>
      <c r="Q41" s="33">
        <v>64.47803</v>
      </c>
      <c r="R41" s="33">
        <v>259.3368</v>
      </c>
      <c r="S41" s="33">
        <v>337.94</v>
      </c>
      <c r="T41" s="33">
        <v>84.80785</v>
      </c>
      <c r="U41" s="33">
        <v>111.0957</v>
      </c>
      <c r="V41" s="33">
        <v>206.5869</v>
      </c>
      <c r="W41" s="33">
        <v>61.1</v>
      </c>
      <c r="X41" s="33">
        <v>132.8727</v>
      </c>
      <c r="Y41" s="33">
        <v>21.1096</v>
      </c>
      <c r="Z41" s="33">
        <v>268.7903</v>
      </c>
      <c r="AA41" s="33">
        <v>559.78</v>
      </c>
      <c r="AB41" s="33">
        <v>156.7703</v>
      </c>
      <c r="AC41" s="33">
        <v>87.32416</v>
      </c>
      <c r="AD41" s="33">
        <v>167.3509</v>
      </c>
      <c r="AE41" s="33">
        <v>351.14</v>
      </c>
      <c r="AF41" s="33">
        <v>50.93761</v>
      </c>
      <c r="AG41" s="33">
        <v>147.51</v>
      </c>
      <c r="AH41" s="33">
        <v>115.36</v>
      </c>
      <c r="AI41" s="33">
        <v>208.14</v>
      </c>
      <c r="AJ41" s="33">
        <v>93.35</v>
      </c>
      <c r="AK41" s="33">
        <v>15.78781</v>
      </c>
      <c r="AL41" s="33">
        <v>122.12</v>
      </c>
      <c r="AM41" s="33">
        <v>58.96586</v>
      </c>
      <c r="AN41" s="33">
        <v>61.22518</v>
      </c>
      <c r="AO41" s="33">
        <v>285.2271</v>
      </c>
      <c r="AP41" s="33">
        <v>115.2129</v>
      </c>
      <c r="AQ41" s="33">
        <v>81.9836</v>
      </c>
      <c r="AR41" s="33">
        <v>47</v>
      </c>
      <c r="AS41" s="33">
        <v>53.01589</v>
      </c>
      <c r="AT41" s="33">
        <v>106.1746</v>
      </c>
      <c r="AU41" s="33">
        <v>124.1527</v>
      </c>
      <c r="AV41" s="33">
        <v>95.33453</v>
      </c>
      <c r="AW41" s="33">
        <v>83.20458</v>
      </c>
      <c r="AX41" s="33">
        <v>110.5164</v>
      </c>
      <c r="AY41" s="33">
        <v>76.35622</v>
      </c>
      <c r="AZ41" s="33">
        <v>182.31</v>
      </c>
      <c r="BA41" s="33">
        <v>338.23</v>
      </c>
      <c r="BB41" s="33">
        <v>93.22766</v>
      </c>
      <c r="BC41" s="33">
        <v>92.99</v>
      </c>
      <c r="BD41" s="33">
        <v>62.26622</v>
      </c>
      <c r="BE41" s="33">
        <v>20.16248</v>
      </c>
      <c r="BF41" s="33">
        <v>131.7609</v>
      </c>
      <c r="BG41" s="33">
        <v>2008.72</v>
      </c>
      <c r="BH41" s="33">
        <v>32.80376</v>
      </c>
      <c r="BI41" s="33">
        <v>48.81</v>
      </c>
      <c r="BJ41" s="33">
        <v>32.98758</v>
      </c>
      <c r="BK41" s="33">
        <v>205.2203</v>
      </c>
      <c r="BL41" s="33">
        <v>82.11671</v>
      </c>
      <c r="BM41" s="33">
        <v>113.2987</v>
      </c>
      <c r="BN41" s="33">
        <v>94.84917</v>
      </c>
      <c r="BO41" s="33">
        <v>219.1852</v>
      </c>
      <c r="BP41" s="33">
        <v>90.79641</v>
      </c>
      <c r="BQ41" s="33">
        <v>71.227</v>
      </c>
      <c r="BR41" s="33">
        <v>9.841763</v>
      </c>
      <c r="BS41" s="33">
        <v>1830.55</v>
      </c>
      <c r="BT41" s="33">
        <v>43.02781</v>
      </c>
      <c r="BU41" s="33">
        <v>102.4671</v>
      </c>
      <c r="BV41" s="33">
        <v>277.5701</v>
      </c>
      <c r="BW41" s="33">
        <v>18.40713</v>
      </c>
      <c r="BX41" s="33">
        <v>91.02083</v>
      </c>
      <c r="BY41" s="33">
        <v>129.2703</v>
      </c>
      <c r="BZ41" s="33">
        <v>119.3679</v>
      </c>
      <c r="CA41" s="33">
        <v>55.16635</v>
      </c>
      <c r="CB41" s="33">
        <v>134.9871</v>
      </c>
      <c r="CC41" s="33">
        <v>74.73158</v>
      </c>
      <c r="CD41" s="33">
        <v>56.33892</v>
      </c>
      <c r="CE41" s="33">
        <v>150.5853</v>
      </c>
      <c r="CF41" s="33">
        <v>73.96309</v>
      </c>
      <c r="CG41" s="33">
        <v>192.8317</v>
      </c>
      <c r="CH41" s="33">
        <v>55.19374</v>
      </c>
      <c r="CI41" s="33">
        <v>159.1349</v>
      </c>
      <c r="CJ41" s="33">
        <v>70.88354</v>
      </c>
      <c r="CK41" s="33">
        <v>26.85494</v>
      </c>
      <c r="CL41" s="33">
        <v>77.73801</v>
      </c>
      <c r="CM41" s="33">
        <v>45.61184</v>
      </c>
      <c r="CN41" s="33">
        <v>64.02</v>
      </c>
      <c r="CO41" s="33">
        <v>79.89591</v>
      </c>
      <c r="CP41" s="33">
        <v>72.69964</v>
      </c>
      <c r="CQ41" s="33">
        <v>151.2086</v>
      </c>
      <c r="CR41" s="33">
        <v>45.92149</v>
      </c>
      <c r="CS41" s="33">
        <v>17.99418</v>
      </c>
      <c r="CT41" s="33">
        <v>40.17</v>
      </c>
      <c r="CU41" s="33">
        <v>26.05</v>
      </c>
      <c r="CV41" s="33">
        <v>98.56152</v>
      </c>
      <c r="CW41" s="33">
        <v>141.3806</v>
      </c>
      <c r="CX41" s="33">
        <v>4.83</v>
      </c>
      <c r="CY41" s="33">
        <v>21.25</v>
      </c>
      <c r="CZ41" s="33">
        <v>44.81</v>
      </c>
      <c r="DA41" s="33">
        <v>19.38</v>
      </c>
      <c r="DB41" s="33">
        <v>14.08</v>
      </c>
      <c r="DC41" s="33">
        <v>21.95375</v>
      </c>
      <c r="DD41" s="33">
        <v>2.855548</v>
      </c>
      <c r="DE41" s="33">
        <v>130.055</v>
      </c>
      <c r="DF41" s="33">
        <v>52.87</v>
      </c>
      <c r="DG41" s="33">
        <v>4.33</v>
      </c>
      <c r="DH41" s="33">
        <v>71.12</v>
      </c>
      <c r="DI41" s="33">
        <v>54.92173</v>
      </c>
      <c r="DJ41" s="33">
        <v>97.45846</v>
      </c>
      <c r="DK41" s="33">
        <v>55.75207</v>
      </c>
      <c r="DL41" s="33">
        <v>128.9741</v>
      </c>
      <c r="DM41" s="33">
        <v>68.6708</v>
      </c>
      <c r="DN41" s="33">
        <v>54.74312</v>
      </c>
      <c r="DO41" s="33">
        <v>38.43026</v>
      </c>
      <c r="DP41" s="33">
        <v>19.62197</v>
      </c>
      <c r="DQ41" s="33">
        <v>70.64071</v>
      </c>
      <c r="DR41" s="33">
        <v>31.96494</v>
      </c>
      <c r="DS41" s="33">
        <v>20.27826</v>
      </c>
      <c r="DT41" s="33">
        <v>12.03074</v>
      </c>
      <c r="DU41" s="33">
        <v>20.51167</v>
      </c>
      <c r="DV41" s="34">
        <v>26.912598</v>
      </c>
      <c r="DW41" s="33">
        <v>130.114</v>
      </c>
      <c r="DX41" s="33">
        <v>166.713</v>
      </c>
      <c r="DY41" s="33">
        <v>48.34401</v>
      </c>
      <c r="DZ41" s="33">
        <v>8.672508</v>
      </c>
      <c r="EA41" s="35">
        <v>3225.52</v>
      </c>
    </row>
    <row r="42" ht="14.8" spans="1:131">
      <c r="A42" s="32">
        <v>43862</v>
      </c>
      <c r="B42" s="33">
        <v>128.539</v>
      </c>
      <c r="C42" s="33">
        <v>29.87572</v>
      </c>
      <c r="D42" s="33">
        <v>122.1999</v>
      </c>
      <c r="E42" s="33">
        <v>79.49612</v>
      </c>
      <c r="F42" s="33">
        <v>68.97231</v>
      </c>
      <c r="G42" s="33">
        <v>190.1083</v>
      </c>
      <c r="H42" s="33">
        <v>55.92591</v>
      </c>
      <c r="I42" s="33">
        <v>289.6371</v>
      </c>
      <c r="J42" s="33">
        <v>265.67</v>
      </c>
      <c r="K42" s="33">
        <v>254.51</v>
      </c>
      <c r="L42" s="33">
        <v>276</v>
      </c>
      <c r="M42" s="33">
        <v>76.23347</v>
      </c>
      <c r="N42" s="33">
        <v>139.49</v>
      </c>
      <c r="O42" s="33">
        <v>701.7</v>
      </c>
      <c r="P42" s="33">
        <v>248.1608</v>
      </c>
      <c r="Q42" s="33">
        <v>56.64347</v>
      </c>
      <c r="R42" s="33">
        <v>251.3302</v>
      </c>
      <c r="S42" s="33">
        <v>444.57</v>
      </c>
      <c r="T42" s="33">
        <v>75.28683</v>
      </c>
      <c r="U42" s="33">
        <v>96.88153</v>
      </c>
      <c r="V42" s="33">
        <v>186.8695</v>
      </c>
      <c r="W42" s="33">
        <v>51.53</v>
      </c>
      <c r="X42" s="33">
        <v>132.0932</v>
      </c>
      <c r="Y42" s="33">
        <v>16.9409</v>
      </c>
      <c r="Z42" s="33">
        <v>232.2978</v>
      </c>
      <c r="AA42" s="33">
        <v>533.96</v>
      </c>
      <c r="AB42" s="33">
        <v>156.7605</v>
      </c>
      <c r="AC42" s="33">
        <v>81.69634</v>
      </c>
      <c r="AD42" s="33">
        <v>159.27</v>
      </c>
      <c r="AE42" s="33">
        <v>345.12</v>
      </c>
      <c r="AF42" s="33">
        <v>48.24762</v>
      </c>
      <c r="AG42" s="33">
        <v>137.93</v>
      </c>
      <c r="AH42" s="33">
        <v>102.06</v>
      </c>
      <c r="AI42" s="33">
        <v>189.75</v>
      </c>
      <c r="AJ42" s="33">
        <v>86.51</v>
      </c>
      <c r="AK42" s="33">
        <v>10.5715</v>
      </c>
      <c r="AL42" s="33">
        <v>119.95</v>
      </c>
      <c r="AM42" s="33">
        <v>67.3557</v>
      </c>
      <c r="AN42" s="33">
        <v>53.171</v>
      </c>
      <c r="AO42" s="33">
        <v>254.8126</v>
      </c>
      <c r="AP42" s="33">
        <v>109.7836</v>
      </c>
      <c r="AQ42" s="33">
        <v>75.24694</v>
      </c>
      <c r="AR42" s="33">
        <v>45.48</v>
      </c>
      <c r="AS42" s="33">
        <v>52.48663</v>
      </c>
      <c r="AT42" s="33">
        <v>105.4974</v>
      </c>
      <c r="AU42" s="33">
        <v>111.2638</v>
      </c>
      <c r="AV42" s="33">
        <v>88.71353</v>
      </c>
      <c r="AW42" s="33">
        <v>82.22952</v>
      </c>
      <c r="AX42" s="33">
        <v>97.84825</v>
      </c>
      <c r="AY42" s="33">
        <v>67.438</v>
      </c>
      <c r="AZ42" s="33">
        <v>170.4</v>
      </c>
      <c r="BA42" s="33">
        <v>326.09</v>
      </c>
      <c r="BB42" s="33">
        <v>84.99632</v>
      </c>
      <c r="BC42" s="33">
        <v>94.76</v>
      </c>
      <c r="BD42" s="33">
        <v>57.47141</v>
      </c>
      <c r="BE42" s="33">
        <v>19.66126</v>
      </c>
      <c r="BF42" s="33">
        <v>119.3118</v>
      </c>
      <c r="BG42" s="33">
        <v>1883.75</v>
      </c>
      <c r="BH42" s="33">
        <v>33.85943</v>
      </c>
      <c r="BI42" s="33">
        <v>57.81</v>
      </c>
      <c r="BJ42" s="33">
        <v>30.13241</v>
      </c>
      <c r="BK42" s="33">
        <v>186.2299</v>
      </c>
      <c r="BL42" s="33">
        <v>75.92142</v>
      </c>
      <c r="BM42" s="33">
        <v>95.61691</v>
      </c>
      <c r="BN42" s="33">
        <v>88.03343</v>
      </c>
      <c r="BO42" s="33">
        <v>209.3262</v>
      </c>
      <c r="BP42" s="33">
        <v>85.9318</v>
      </c>
      <c r="BQ42" s="33">
        <v>69.52971</v>
      </c>
      <c r="BR42" s="33">
        <v>8.661496</v>
      </c>
      <c r="BS42" s="33">
        <v>1695.66</v>
      </c>
      <c r="BT42" s="33">
        <v>33.07398</v>
      </c>
      <c r="BU42" s="33">
        <v>86.46298</v>
      </c>
      <c r="BV42" s="33">
        <v>334.4239</v>
      </c>
      <c r="BW42" s="33">
        <v>17.21496</v>
      </c>
      <c r="BX42" s="33">
        <v>86.67298</v>
      </c>
      <c r="BY42" s="33">
        <v>130.4771</v>
      </c>
      <c r="BZ42" s="33">
        <v>109.1023</v>
      </c>
      <c r="CA42" s="33">
        <v>50.52822</v>
      </c>
      <c r="CB42" s="33">
        <v>125.4918</v>
      </c>
      <c r="CC42" s="33">
        <v>73.98157</v>
      </c>
      <c r="CD42" s="33">
        <v>50.83416</v>
      </c>
      <c r="CE42" s="33">
        <v>135.2932</v>
      </c>
      <c r="CF42" s="33">
        <v>57.33367</v>
      </c>
      <c r="CG42" s="33">
        <v>181.4096</v>
      </c>
      <c r="CH42" s="33">
        <v>50.78824</v>
      </c>
      <c r="CI42" s="33">
        <v>146.4057</v>
      </c>
      <c r="CJ42" s="33">
        <v>65.31126</v>
      </c>
      <c r="CK42" s="33">
        <v>22.78071</v>
      </c>
      <c r="CL42" s="33">
        <v>63.41172</v>
      </c>
      <c r="CM42" s="33">
        <v>40.3606</v>
      </c>
      <c r="CN42" s="33">
        <v>56.75545</v>
      </c>
      <c r="CO42" s="33">
        <v>71.49406</v>
      </c>
      <c r="CP42" s="33">
        <v>68.09592</v>
      </c>
      <c r="CQ42" s="33">
        <v>154.259</v>
      </c>
      <c r="CR42" s="33">
        <v>43.12949</v>
      </c>
      <c r="CS42" s="33">
        <v>14.2166</v>
      </c>
      <c r="CT42" s="33">
        <v>33.64</v>
      </c>
      <c r="CU42" s="33">
        <v>21.16</v>
      </c>
      <c r="CV42" s="33">
        <v>86.15565</v>
      </c>
      <c r="CW42" s="33">
        <v>137.9888</v>
      </c>
      <c r="CX42" s="33">
        <v>4.4</v>
      </c>
      <c r="CY42" s="33">
        <v>18.5</v>
      </c>
      <c r="CZ42" s="33">
        <v>41.32</v>
      </c>
      <c r="DA42" s="33">
        <v>18.45</v>
      </c>
      <c r="DB42" s="33">
        <v>12.04</v>
      </c>
      <c r="DC42" s="33">
        <v>19.49367</v>
      </c>
      <c r="DD42" s="33">
        <v>2.6893</v>
      </c>
      <c r="DE42" s="33">
        <v>128.4445</v>
      </c>
      <c r="DF42" s="33">
        <v>46.23</v>
      </c>
      <c r="DG42" s="33">
        <v>5.07</v>
      </c>
      <c r="DH42" s="33">
        <v>66.35</v>
      </c>
      <c r="DI42" s="33">
        <v>45.4793</v>
      </c>
      <c r="DJ42" s="33">
        <v>84.90547</v>
      </c>
      <c r="DK42" s="33">
        <v>45.42344</v>
      </c>
      <c r="DL42" s="33">
        <v>117.2995</v>
      </c>
      <c r="DM42" s="33">
        <v>59.78037</v>
      </c>
      <c r="DN42" s="33">
        <v>54.36572</v>
      </c>
      <c r="DO42" s="33">
        <v>31.67691</v>
      </c>
      <c r="DP42" s="33">
        <v>14.67131</v>
      </c>
      <c r="DQ42" s="33">
        <v>58.86725</v>
      </c>
      <c r="DR42" s="33">
        <v>25.84094</v>
      </c>
      <c r="DS42" s="33">
        <v>15.18589</v>
      </c>
      <c r="DT42" s="33">
        <v>10.81382</v>
      </c>
      <c r="DU42" s="33">
        <v>18.62073</v>
      </c>
      <c r="DV42" s="34">
        <v>24.629503</v>
      </c>
      <c r="DW42" s="33">
        <v>133.598</v>
      </c>
      <c r="DX42" s="33">
        <v>155.7811</v>
      </c>
      <c r="DY42" s="33">
        <v>43.6994</v>
      </c>
      <c r="DZ42" s="33">
        <v>6.96</v>
      </c>
      <c r="EA42" s="35">
        <v>2954.22</v>
      </c>
    </row>
    <row r="43" ht="14.8" spans="1:131">
      <c r="A43" s="32">
        <v>43891</v>
      </c>
      <c r="B43" s="33">
        <v>126.1362</v>
      </c>
      <c r="C43" s="33">
        <v>29.17844</v>
      </c>
      <c r="D43" s="33">
        <v>135.0943</v>
      </c>
      <c r="E43" s="33">
        <v>70.66631</v>
      </c>
      <c r="F43" s="33">
        <v>69.31465</v>
      </c>
      <c r="G43" s="33">
        <v>194.3335</v>
      </c>
      <c r="H43" s="33">
        <v>52.78209</v>
      </c>
      <c r="I43" s="33">
        <v>282.4659</v>
      </c>
      <c r="J43" s="33">
        <v>273.12</v>
      </c>
      <c r="K43" s="33">
        <v>242.24</v>
      </c>
      <c r="L43" s="33">
        <v>269.27</v>
      </c>
      <c r="M43" s="33">
        <v>70.84264</v>
      </c>
      <c r="N43" s="33">
        <v>107.86</v>
      </c>
      <c r="O43" s="33">
        <v>690.51</v>
      </c>
      <c r="P43" s="33">
        <v>242.7297</v>
      </c>
      <c r="Q43" s="33">
        <v>56.78705</v>
      </c>
      <c r="R43" s="33">
        <v>221.9534</v>
      </c>
      <c r="S43" s="33">
        <v>488.29</v>
      </c>
      <c r="T43" s="33">
        <v>77.12429</v>
      </c>
      <c r="U43" s="33">
        <v>86.78629</v>
      </c>
      <c r="V43" s="33">
        <v>163.2399</v>
      </c>
      <c r="W43" s="33">
        <v>51.95</v>
      </c>
      <c r="X43" s="33">
        <v>116.6858</v>
      </c>
      <c r="Y43" s="33">
        <v>14.69394</v>
      </c>
      <c r="Z43" s="33">
        <v>224.4348</v>
      </c>
      <c r="AA43" s="33">
        <v>495.21</v>
      </c>
      <c r="AB43" s="33">
        <v>145.5776</v>
      </c>
      <c r="AC43" s="33">
        <v>79.66617</v>
      </c>
      <c r="AD43" s="33">
        <v>155.4662</v>
      </c>
      <c r="AE43" s="33">
        <v>318.24</v>
      </c>
      <c r="AF43" s="33">
        <v>47.14532</v>
      </c>
      <c r="AG43" s="33">
        <v>128.79</v>
      </c>
      <c r="AH43" s="33">
        <v>101.17</v>
      </c>
      <c r="AI43" s="33">
        <v>180.09</v>
      </c>
      <c r="AJ43" s="33">
        <v>91.49</v>
      </c>
      <c r="AK43" s="33">
        <v>18.09846</v>
      </c>
      <c r="AL43" s="33">
        <v>106.63</v>
      </c>
      <c r="AM43" s="33">
        <v>65.7814</v>
      </c>
      <c r="AN43" s="33">
        <v>52.08547</v>
      </c>
      <c r="AO43" s="33">
        <v>221.6127</v>
      </c>
      <c r="AP43" s="33">
        <v>96.11597</v>
      </c>
      <c r="AQ43" s="33">
        <v>65.01221</v>
      </c>
      <c r="AR43" s="33">
        <v>45.48</v>
      </c>
      <c r="AS43" s="33">
        <v>42.00129</v>
      </c>
      <c r="AT43" s="33">
        <v>87.20019</v>
      </c>
      <c r="AU43" s="33">
        <v>81.16023</v>
      </c>
      <c r="AV43" s="33">
        <v>66.53011</v>
      </c>
      <c r="AW43" s="33">
        <v>77.09648</v>
      </c>
      <c r="AX43" s="33">
        <v>87.63805</v>
      </c>
      <c r="AY43" s="33">
        <v>62.88232</v>
      </c>
      <c r="AZ43" s="33">
        <v>143.98</v>
      </c>
      <c r="BA43" s="33">
        <v>286.58</v>
      </c>
      <c r="BB43" s="33">
        <v>72.08196</v>
      </c>
      <c r="BC43" s="33">
        <v>83.68</v>
      </c>
      <c r="BD43" s="33">
        <v>45.90786</v>
      </c>
      <c r="BE43" s="33">
        <v>16.41748</v>
      </c>
      <c r="BF43" s="33">
        <v>102.7542</v>
      </c>
      <c r="BG43" s="33">
        <v>1949.72</v>
      </c>
      <c r="BH43" s="33">
        <v>29.51742</v>
      </c>
      <c r="BI43" s="33">
        <v>38.44</v>
      </c>
      <c r="BJ43" s="33">
        <v>20.52956</v>
      </c>
      <c r="BK43" s="33">
        <v>159.5808</v>
      </c>
      <c r="BL43" s="33">
        <v>63.93389</v>
      </c>
      <c r="BM43" s="33">
        <v>53.40817</v>
      </c>
      <c r="BN43" s="33">
        <v>81.71956</v>
      </c>
      <c r="BO43" s="33">
        <v>179.4128</v>
      </c>
      <c r="BP43" s="33">
        <v>82.33788</v>
      </c>
      <c r="BQ43" s="33">
        <v>63.93948</v>
      </c>
      <c r="BR43" s="33">
        <v>7.546282</v>
      </c>
      <c r="BS43" s="33">
        <v>1345.32</v>
      </c>
      <c r="BT43" s="33">
        <v>13.17</v>
      </c>
      <c r="BU43" s="33">
        <v>66.68753</v>
      </c>
      <c r="BV43" s="33">
        <v>319.2622</v>
      </c>
      <c r="BW43" s="33">
        <v>9.301096</v>
      </c>
      <c r="BX43" s="33">
        <v>83.08892</v>
      </c>
      <c r="BY43" s="33">
        <v>91.56359</v>
      </c>
      <c r="BZ43" s="33">
        <v>105.99</v>
      </c>
      <c r="CA43" s="33">
        <v>41.79984</v>
      </c>
      <c r="CB43" s="33">
        <v>114.1526</v>
      </c>
      <c r="CC43" s="33">
        <v>65.93007</v>
      </c>
      <c r="CD43" s="33">
        <v>48.02916</v>
      </c>
      <c r="CE43" s="33">
        <v>122.3669</v>
      </c>
      <c r="CF43" s="33">
        <v>43.33667</v>
      </c>
      <c r="CG43" s="33">
        <v>157.8393</v>
      </c>
      <c r="CH43" s="33">
        <v>48.17188</v>
      </c>
      <c r="CI43" s="33">
        <v>125.453</v>
      </c>
      <c r="CJ43" s="33">
        <v>64.14171</v>
      </c>
      <c r="CK43" s="33">
        <v>22.75312</v>
      </c>
      <c r="CL43" s="33">
        <v>43.41301</v>
      </c>
      <c r="CM43" s="33">
        <v>45.25044</v>
      </c>
      <c r="CN43" s="33">
        <v>56.30494</v>
      </c>
      <c r="CO43" s="33">
        <v>69.05859</v>
      </c>
      <c r="CP43" s="33">
        <v>63.06531</v>
      </c>
      <c r="CQ43" s="33">
        <v>167.6413</v>
      </c>
      <c r="CR43" s="33">
        <v>44.1236</v>
      </c>
      <c r="CS43" s="33">
        <v>12.40769</v>
      </c>
      <c r="CT43" s="33">
        <v>17.71</v>
      </c>
      <c r="CU43" s="33">
        <v>18.12</v>
      </c>
      <c r="CV43" s="33">
        <v>89.82664</v>
      </c>
      <c r="CW43" s="33">
        <v>118.5274</v>
      </c>
      <c r="CX43" s="33">
        <v>3.87</v>
      </c>
      <c r="CY43" s="33">
        <v>12.51</v>
      </c>
      <c r="CZ43" s="33">
        <v>34.39</v>
      </c>
      <c r="DA43" s="33">
        <v>17.08</v>
      </c>
      <c r="DB43" s="33">
        <v>7.86</v>
      </c>
      <c r="DC43" s="33">
        <v>17.3002</v>
      </c>
      <c r="DD43" s="33">
        <v>1.955855</v>
      </c>
      <c r="DE43" s="33">
        <v>130.4924</v>
      </c>
      <c r="DF43" s="33">
        <v>45.47</v>
      </c>
      <c r="DG43" s="33">
        <v>4.21</v>
      </c>
      <c r="DH43" s="33">
        <v>54.56</v>
      </c>
      <c r="DI43" s="33">
        <v>34.05211</v>
      </c>
      <c r="DJ43" s="33">
        <v>66.68265</v>
      </c>
      <c r="DK43" s="33">
        <v>29.09839</v>
      </c>
      <c r="DL43" s="33">
        <v>67.01876</v>
      </c>
      <c r="DM43" s="33">
        <v>33.94421</v>
      </c>
      <c r="DN43" s="33">
        <v>32.22461</v>
      </c>
      <c r="DO43" s="33">
        <v>11.20399</v>
      </c>
      <c r="DP43" s="33">
        <v>6.242533</v>
      </c>
      <c r="DQ43" s="33">
        <v>24.87616</v>
      </c>
      <c r="DR43" s="33">
        <v>13.05808</v>
      </c>
      <c r="DS43" s="33">
        <v>9.909994</v>
      </c>
      <c r="DT43" s="33">
        <v>4.9114</v>
      </c>
      <c r="DU43" s="33">
        <v>9.783101</v>
      </c>
      <c r="DV43" s="34">
        <v>4.131272</v>
      </c>
      <c r="DW43" s="33">
        <v>104.8</v>
      </c>
      <c r="DX43" s="33">
        <v>150.6658</v>
      </c>
      <c r="DY43" s="33">
        <v>30.4427</v>
      </c>
      <c r="DZ43" s="33">
        <v>4.83</v>
      </c>
      <c r="EA43" s="35">
        <v>2584.59</v>
      </c>
    </row>
    <row r="44" ht="14.8" spans="1:131">
      <c r="A44" s="32">
        <v>43922</v>
      </c>
      <c r="B44" s="33">
        <v>144.326</v>
      </c>
      <c r="C44" s="33">
        <v>34.29182</v>
      </c>
      <c r="D44" s="33">
        <v>150.5982</v>
      </c>
      <c r="E44" s="33">
        <v>76.24059</v>
      </c>
      <c r="F44" s="33">
        <v>72.06728</v>
      </c>
      <c r="G44" s="33">
        <v>229.3122</v>
      </c>
      <c r="H44" s="33">
        <v>57.58304</v>
      </c>
      <c r="I44" s="33">
        <v>333.5997</v>
      </c>
      <c r="J44" s="33">
        <v>319.03</v>
      </c>
      <c r="K44" s="33">
        <v>277.6</v>
      </c>
      <c r="L44" s="33">
        <v>335.2</v>
      </c>
      <c r="M44" s="33">
        <v>76.02091</v>
      </c>
      <c r="N44" s="33">
        <v>142.59</v>
      </c>
      <c r="O44" s="33">
        <v>719.94</v>
      </c>
      <c r="P44" s="33">
        <v>285.9036</v>
      </c>
      <c r="Q44" s="33">
        <v>58.91189</v>
      </c>
      <c r="R44" s="33">
        <v>275.462</v>
      </c>
      <c r="S44" s="33">
        <v>525.88</v>
      </c>
      <c r="T44" s="33">
        <v>90.00602</v>
      </c>
      <c r="U44" s="33">
        <v>94.54397</v>
      </c>
      <c r="V44" s="33">
        <v>183.4532</v>
      </c>
      <c r="W44" s="33">
        <v>69.15</v>
      </c>
      <c r="X44" s="33">
        <v>128.2066</v>
      </c>
      <c r="Y44" s="33">
        <v>16.52699</v>
      </c>
      <c r="Z44" s="33">
        <v>247.4839</v>
      </c>
      <c r="AA44" s="33">
        <v>510.88</v>
      </c>
      <c r="AB44" s="33">
        <v>153.5142</v>
      </c>
      <c r="AC44" s="33">
        <v>87.11372</v>
      </c>
      <c r="AD44" s="33">
        <v>176.6603</v>
      </c>
      <c r="AE44" s="33">
        <v>353.64</v>
      </c>
      <c r="AF44" s="33">
        <v>51.67158</v>
      </c>
      <c r="AG44" s="33">
        <v>157.12</v>
      </c>
      <c r="AH44" s="33">
        <v>107.74</v>
      </c>
      <c r="AI44" s="33">
        <v>209.49</v>
      </c>
      <c r="AJ44" s="33">
        <v>97.71</v>
      </c>
      <c r="AK44" s="33">
        <v>20.57479</v>
      </c>
      <c r="AL44" s="33">
        <v>139.26</v>
      </c>
      <c r="AM44" s="33">
        <v>72.93849</v>
      </c>
      <c r="AN44" s="33">
        <v>57.72518</v>
      </c>
      <c r="AO44" s="33">
        <v>258.1933</v>
      </c>
      <c r="AP44" s="33">
        <v>111.64</v>
      </c>
      <c r="AQ44" s="33">
        <v>76.20393</v>
      </c>
      <c r="AR44" s="33">
        <v>52.39</v>
      </c>
      <c r="AS44" s="33">
        <v>47.82315</v>
      </c>
      <c r="AT44" s="33">
        <v>106.605</v>
      </c>
      <c r="AU44" s="33">
        <v>97.84406</v>
      </c>
      <c r="AV44" s="33">
        <v>86.08681</v>
      </c>
      <c r="AW44" s="33">
        <v>86.45409</v>
      </c>
      <c r="AX44" s="33">
        <v>101.8555</v>
      </c>
      <c r="AY44" s="33">
        <v>72.65258</v>
      </c>
      <c r="AZ44" s="33">
        <v>161.95</v>
      </c>
      <c r="BA44" s="33">
        <v>351.54</v>
      </c>
      <c r="BB44" s="33">
        <v>78.65912</v>
      </c>
      <c r="BC44" s="33">
        <v>96.77</v>
      </c>
      <c r="BD44" s="33">
        <v>53.23616</v>
      </c>
      <c r="BE44" s="33">
        <v>14.80535</v>
      </c>
      <c r="BF44" s="33">
        <v>116.3059</v>
      </c>
      <c r="BG44" s="33">
        <v>2474</v>
      </c>
      <c r="BH44" s="33">
        <v>39.11107</v>
      </c>
      <c r="BI44" s="33">
        <v>64.87</v>
      </c>
      <c r="BJ44" s="33">
        <v>22.29</v>
      </c>
      <c r="BK44" s="33">
        <v>181.0159</v>
      </c>
      <c r="BL44" s="33">
        <v>74.62197</v>
      </c>
      <c r="BM44" s="33">
        <v>72.36484</v>
      </c>
      <c r="BN44" s="33">
        <v>86.10481</v>
      </c>
      <c r="BO44" s="33">
        <v>212.6517</v>
      </c>
      <c r="BP44" s="33">
        <v>92.50588</v>
      </c>
      <c r="BQ44" s="33">
        <v>64.85911</v>
      </c>
      <c r="BR44" s="33">
        <v>8.435313</v>
      </c>
      <c r="BS44" s="33">
        <v>1480.57</v>
      </c>
      <c r="BT44" s="33">
        <v>15.9</v>
      </c>
      <c r="BU44" s="33">
        <v>84.10629</v>
      </c>
      <c r="BV44" s="33">
        <v>357.3985</v>
      </c>
      <c r="BW44" s="33">
        <v>9.566612</v>
      </c>
      <c r="BX44" s="33">
        <v>99.67722</v>
      </c>
      <c r="BY44" s="33">
        <v>118.9695</v>
      </c>
      <c r="BZ44" s="33">
        <v>113.5731</v>
      </c>
      <c r="CA44" s="33">
        <v>43.72921</v>
      </c>
      <c r="CB44" s="33">
        <v>126.588</v>
      </c>
      <c r="CC44" s="33">
        <v>68.62063</v>
      </c>
      <c r="CD44" s="33">
        <v>49.26385</v>
      </c>
      <c r="CE44" s="33">
        <v>133.4657</v>
      </c>
      <c r="CF44" s="33">
        <v>45.69406</v>
      </c>
      <c r="CG44" s="33">
        <v>174.7386</v>
      </c>
      <c r="CH44" s="33">
        <v>49.77628</v>
      </c>
      <c r="CI44" s="33">
        <v>142.634</v>
      </c>
      <c r="CJ44" s="33">
        <v>67.92101</v>
      </c>
      <c r="CK44" s="33">
        <v>28.37388</v>
      </c>
      <c r="CL44" s="33">
        <v>53.53605</v>
      </c>
      <c r="CM44" s="33">
        <v>45.45419</v>
      </c>
      <c r="CN44" s="33">
        <v>62.06148</v>
      </c>
      <c r="CO44" s="33">
        <v>76.70242</v>
      </c>
      <c r="CP44" s="33">
        <v>68.77439</v>
      </c>
      <c r="CQ44" s="33">
        <v>180.4042</v>
      </c>
      <c r="CR44" s="33">
        <v>47.77508</v>
      </c>
      <c r="CS44" s="33">
        <v>12.96828</v>
      </c>
      <c r="CT44" s="33">
        <v>21.5</v>
      </c>
      <c r="CU44" s="33">
        <v>22</v>
      </c>
      <c r="CV44" s="33">
        <v>91.01896</v>
      </c>
      <c r="CW44" s="33">
        <v>124.5363</v>
      </c>
      <c r="CX44" s="33">
        <v>4.28</v>
      </c>
      <c r="CY44" s="33">
        <v>12.01</v>
      </c>
      <c r="CZ44" s="33">
        <v>42.08</v>
      </c>
      <c r="DA44" s="33">
        <v>17.53</v>
      </c>
      <c r="DB44" s="33">
        <v>9.37</v>
      </c>
      <c r="DC44" s="33">
        <v>20.11445</v>
      </c>
      <c r="DD44" s="33">
        <v>2.327467</v>
      </c>
      <c r="DE44" s="33">
        <v>144.6067</v>
      </c>
      <c r="DF44" s="33">
        <v>48.11</v>
      </c>
      <c r="DG44" s="33">
        <v>5.6</v>
      </c>
      <c r="DH44" s="33">
        <v>62.69</v>
      </c>
      <c r="DI44" s="33">
        <v>41.67505</v>
      </c>
      <c r="DJ44" s="33">
        <v>84.6647</v>
      </c>
      <c r="DK44" s="33">
        <v>39.77411</v>
      </c>
      <c r="DL44" s="33">
        <v>86.01263</v>
      </c>
      <c r="DM44" s="33">
        <v>44.89669</v>
      </c>
      <c r="DN44" s="33">
        <v>47.43028</v>
      </c>
      <c r="DO44" s="33">
        <v>16.54768</v>
      </c>
      <c r="DP44" s="33">
        <v>11.38733</v>
      </c>
      <c r="DQ44" s="33">
        <v>41.59157</v>
      </c>
      <c r="DR44" s="33">
        <v>16.28147</v>
      </c>
      <c r="DS44" s="33">
        <v>13.16614</v>
      </c>
      <c r="DT44" s="33">
        <v>6.629464</v>
      </c>
      <c r="DU44" s="33">
        <v>12.64</v>
      </c>
      <c r="DV44" s="34">
        <v>12.927524</v>
      </c>
      <c r="DW44" s="33">
        <v>156.376</v>
      </c>
      <c r="DX44" s="33">
        <v>153.6777</v>
      </c>
      <c r="DY44" s="33">
        <v>37.53698</v>
      </c>
      <c r="DZ44" s="33">
        <v>5.09</v>
      </c>
      <c r="EA44" s="35">
        <v>2912.43</v>
      </c>
    </row>
    <row r="45" ht="14.8" spans="1:131">
      <c r="A45" s="32">
        <v>43952</v>
      </c>
      <c r="B45" s="33">
        <v>143.0851</v>
      </c>
      <c r="C45" s="33">
        <v>34.13985</v>
      </c>
      <c r="D45" s="33">
        <v>148.9523</v>
      </c>
      <c r="E45" s="33">
        <v>87.23341</v>
      </c>
      <c r="F45" s="33">
        <v>73.32078</v>
      </c>
      <c r="G45" s="33">
        <v>220.1865</v>
      </c>
      <c r="H45" s="33">
        <v>57.01894</v>
      </c>
      <c r="I45" s="33">
        <v>348.0629</v>
      </c>
      <c r="J45" s="33">
        <v>363.05</v>
      </c>
      <c r="K45" s="33">
        <v>308.88</v>
      </c>
      <c r="L45" s="33">
        <v>378.31</v>
      </c>
      <c r="M45" s="33">
        <v>87.4052</v>
      </c>
      <c r="N45" s="33">
        <v>149.52</v>
      </c>
      <c r="O45" s="33">
        <v>795</v>
      </c>
      <c r="P45" s="33">
        <v>298.0057</v>
      </c>
      <c r="Q45" s="33">
        <v>63.28478</v>
      </c>
      <c r="R45" s="33">
        <v>288.5909</v>
      </c>
      <c r="S45" s="33">
        <v>612.81</v>
      </c>
      <c r="T45" s="33">
        <v>93.16264</v>
      </c>
      <c r="U45" s="33">
        <v>95.46394</v>
      </c>
      <c r="V45" s="33">
        <v>192.6047</v>
      </c>
      <c r="W45" s="33">
        <v>77.73</v>
      </c>
      <c r="X45" s="33">
        <v>138.4242</v>
      </c>
      <c r="Y45" s="33">
        <v>16.82264</v>
      </c>
      <c r="Z45" s="33">
        <v>241.9958</v>
      </c>
      <c r="AA45" s="33">
        <v>580.03</v>
      </c>
      <c r="AB45" s="33">
        <v>158.9503</v>
      </c>
      <c r="AC45" s="33">
        <v>88.32063</v>
      </c>
      <c r="AD45" s="33">
        <v>180.6428</v>
      </c>
      <c r="AE45" s="33">
        <v>386.6</v>
      </c>
      <c r="AF45" s="33">
        <v>52.70115</v>
      </c>
      <c r="AG45" s="33">
        <v>180.91</v>
      </c>
      <c r="AH45" s="33">
        <v>139.2</v>
      </c>
      <c r="AI45" s="33">
        <v>219.01</v>
      </c>
      <c r="AJ45" s="33">
        <v>105.8</v>
      </c>
      <c r="AK45" s="33">
        <v>22.03543</v>
      </c>
      <c r="AL45" s="33">
        <v>144.92</v>
      </c>
      <c r="AM45" s="33">
        <v>88.59527</v>
      </c>
      <c r="AN45" s="33">
        <v>60.56428</v>
      </c>
      <c r="AO45" s="33">
        <v>276.872</v>
      </c>
      <c r="AP45" s="33">
        <v>114.2081</v>
      </c>
      <c r="AQ45" s="33">
        <v>78.34464</v>
      </c>
      <c r="AR45" s="33">
        <v>53.8</v>
      </c>
      <c r="AS45" s="33">
        <v>47.84312</v>
      </c>
      <c r="AT45" s="33">
        <v>109.8635</v>
      </c>
      <c r="AU45" s="33">
        <v>94.43421</v>
      </c>
      <c r="AV45" s="33">
        <v>94.22153</v>
      </c>
      <c r="AW45" s="33">
        <v>90.95483</v>
      </c>
      <c r="AX45" s="33">
        <v>116.2297</v>
      </c>
      <c r="AY45" s="33">
        <v>78.62206</v>
      </c>
      <c r="AZ45" s="33">
        <v>174.79</v>
      </c>
      <c r="BA45" s="33">
        <v>387.93</v>
      </c>
      <c r="BB45" s="33">
        <v>87.39148</v>
      </c>
      <c r="BC45" s="33">
        <v>108.13</v>
      </c>
      <c r="BD45" s="33">
        <v>50.72407</v>
      </c>
      <c r="BE45" s="33">
        <v>14.45217</v>
      </c>
      <c r="BF45" s="33">
        <v>115.6946</v>
      </c>
      <c r="BG45" s="33">
        <v>2442.37</v>
      </c>
      <c r="BH45" s="33">
        <v>44.718</v>
      </c>
      <c r="BI45" s="33">
        <v>80.98</v>
      </c>
      <c r="BJ45" s="33">
        <v>25.88</v>
      </c>
      <c r="BK45" s="33">
        <v>179.8192</v>
      </c>
      <c r="BL45" s="33">
        <v>75.84736</v>
      </c>
      <c r="BM45" s="33">
        <v>75.37555</v>
      </c>
      <c r="BN45" s="33">
        <v>97.3642</v>
      </c>
      <c r="BO45" s="33">
        <v>240.3661</v>
      </c>
      <c r="BP45" s="33">
        <v>97.06179</v>
      </c>
      <c r="BQ45" s="33">
        <v>70.46593</v>
      </c>
      <c r="BR45" s="33">
        <v>9.601399</v>
      </c>
      <c r="BS45" s="33">
        <v>1639.42</v>
      </c>
      <c r="BT45" s="33">
        <v>15.74</v>
      </c>
      <c r="BU45" s="33">
        <v>87.31757</v>
      </c>
      <c r="BV45" s="33">
        <v>381.0092</v>
      </c>
      <c r="BW45" s="33">
        <v>13.02636</v>
      </c>
      <c r="BX45" s="33">
        <v>119.9114</v>
      </c>
      <c r="BY45" s="33">
        <v>137.084</v>
      </c>
      <c r="BZ45" s="33">
        <v>112.4391</v>
      </c>
      <c r="CA45" s="33">
        <v>44.48201</v>
      </c>
      <c r="CB45" s="33">
        <v>125.8799</v>
      </c>
      <c r="CC45" s="33">
        <v>67.48002</v>
      </c>
      <c r="CD45" s="33">
        <v>51.33431</v>
      </c>
      <c r="CE45" s="33">
        <v>135.3525</v>
      </c>
      <c r="CF45" s="33">
        <v>46.04767</v>
      </c>
      <c r="CG45" s="33">
        <v>195.6102</v>
      </c>
      <c r="CH45" s="33">
        <v>50.43428</v>
      </c>
      <c r="CI45" s="33">
        <v>150.331</v>
      </c>
      <c r="CJ45" s="33">
        <v>70.33703</v>
      </c>
      <c r="CK45" s="33">
        <v>28.50485</v>
      </c>
      <c r="CL45" s="33">
        <v>53.05014</v>
      </c>
      <c r="CM45" s="33">
        <v>47.60938</v>
      </c>
      <c r="CN45" s="33">
        <v>61.88144</v>
      </c>
      <c r="CO45" s="33">
        <v>86.01949</v>
      </c>
      <c r="CP45" s="33">
        <v>73.76617</v>
      </c>
      <c r="CQ45" s="33">
        <v>200.6783</v>
      </c>
      <c r="CR45" s="33">
        <v>49.09863</v>
      </c>
      <c r="CS45" s="33">
        <v>12.28623</v>
      </c>
      <c r="CT45" s="33">
        <v>19.14</v>
      </c>
      <c r="CU45" s="33">
        <v>20.67</v>
      </c>
      <c r="CV45" s="33">
        <v>95.8747</v>
      </c>
      <c r="CW45" s="33">
        <v>128.2595</v>
      </c>
      <c r="CX45" s="33">
        <v>3.99</v>
      </c>
      <c r="CY45" s="33">
        <v>11.54</v>
      </c>
      <c r="CZ45" s="33">
        <v>47.59</v>
      </c>
      <c r="DA45" s="33">
        <v>20.7</v>
      </c>
      <c r="DB45" s="33">
        <v>12.46</v>
      </c>
      <c r="DC45" s="33">
        <v>22.10911</v>
      </c>
      <c r="DD45" s="33">
        <v>2.034089</v>
      </c>
      <c r="DE45" s="33">
        <v>170.2853</v>
      </c>
      <c r="DF45" s="33">
        <v>46.77</v>
      </c>
      <c r="DG45" s="33">
        <v>7.4</v>
      </c>
      <c r="DH45" s="33">
        <v>64.22</v>
      </c>
      <c r="DI45" s="33">
        <v>40.77823</v>
      </c>
      <c r="DJ45" s="33">
        <v>84.3886</v>
      </c>
      <c r="DK45" s="33">
        <v>39.84969</v>
      </c>
      <c r="DL45" s="33">
        <v>88.21809</v>
      </c>
      <c r="DM45" s="33">
        <v>48.59793</v>
      </c>
      <c r="DN45" s="33">
        <v>46.28938</v>
      </c>
      <c r="DO45" s="33">
        <v>12.90919</v>
      </c>
      <c r="DP45" s="33">
        <v>9.871456</v>
      </c>
      <c r="DQ45" s="33">
        <v>40.67453</v>
      </c>
      <c r="DR45" s="33">
        <v>17.87863</v>
      </c>
      <c r="DS45" s="33">
        <v>15.58229</v>
      </c>
      <c r="DT45" s="33">
        <v>5.505952</v>
      </c>
      <c r="DU45" s="33">
        <v>12.47</v>
      </c>
      <c r="DV45" s="34">
        <v>10.695752</v>
      </c>
      <c r="DW45" s="33">
        <v>167</v>
      </c>
      <c r="DX45" s="33">
        <v>167.8832</v>
      </c>
      <c r="DY45" s="33">
        <v>40.56648</v>
      </c>
      <c r="DZ45" s="33">
        <v>5.71</v>
      </c>
      <c r="EA45" s="35">
        <v>3044.31</v>
      </c>
    </row>
    <row r="46" ht="14.8" spans="1:131">
      <c r="A46" s="32">
        <v>43983</v>
      </c>
      <c r="B46" s="33">
        <v>136.2121</v>
      </c>
      <c r="C46" s="33">
        <v>29.5234</v>
      </c>
      <c r="D46" s="33">
        <v>160.6415</v>
      </c>
      <c r="E46" s="33">
        <v>92.42017</v>
      </c>
      <c r="F46" s="33">
        <v>70.24152</v>
      </c>
      <c r="G46" s="33">
        <v>227.6217</v>
      </c>
      <c r="H46" s="33">
        <v>56.14054</v>
      </c>
      <c r="I46" s="33">
        <v>361.1705</v>
      </c>
      <c r="J46" s="33">
        <v>370.35</v>
      </c>
      <c r="K46" s="33">
        <v>330.16</v>
      </c>
      <c r="L46" s="33">
        <v>405.4</v>
      </c>
      <c r="M46" s="33">
        <v>87.63329</v>
      </c>
      <c r="N46" s="33">
        <v>141.88</v>
      </c>
      <c r="O46" s="33">
        <v>805.55</v>
      </c>
      <c r="P46" s="33">
        <v>288.328</v>
      </c>
      <c r="Q46" s="33">
        <v>62.70569</v>
      </c>
      <c r="R46" s="33">
        <v>258.0451</v>
      </c>
      <c r="S46" s="33">
        <v>623.65</v>
      </c>
      <c r="T46" s="33">
        <v>89.73727</v>
      </c>
      <c r="U46" s="33">
        <v>88.80142</v>
      </c>
      <c r="V46" s="33">
        <v>177.3128</v>
      </c>
      <c r="W46" s="33">
        <v>73.3</v>
      </c>
      <c r="X46" s="33">
        <v>136.0905</v>
      </c>
      <c r="Y46" s="33">
        <v>15.84698</v>
      </c>
      <c r="Z46" s="33">
        <v>234.4889</v>
      </c>
      <c r="AA46" s="33">
        <v>569.83</v>
      </c>
      <c r="AB46" s="33">
        <v>190.2116</v>
      </c>
      <c r="AC46" s="33">
        <v>84.48402</v>
      </c>
      <c r="AD46" s="33">
        <v>201.1733</v>
      </c>
      <c r="AE46" s="33">
        <v>435.31</v>
      </c>
      <c r="AF46" s="33">
        <v>54.17134</v>
      </c>
      <c r="AG46" s="33">
        <v>195</v>
      </c>
      <c r="AH46" s="33">
        <v>137.27</v>
      </c>
      <c r="AI46" s="33">
        <v>206.83</v>
      </c>
      <c r="AJ46" s="33">
        <v>107.09</v>
      </c>
      <c r="AK46" s="33">
        <v>19.18185</v>
      </c>
      <c r="AL46" s="33">
        <v>139.48</v>
      </c>
      <c r="AM46" s="33">
        <v>94.80656</v>
      </c>
      <c r="AN46" s="33">
        <v>57.90608</v>
      </c>
      <c r="AO46" s="33">
        <v>300.0088</v>
      </c>
      <c r="AP46" s="33">
        <v>123.0783</v>
      </c>
      <c r="AQ46" s="33">
        <v>88.35082</v>
      </c>
      <c r="AR46" s="33">
        <v>52.61</v>
      </c>
      <c r="AS46" s="33">
        <v>51.44809</v>
      </c>
      <c r="AT46" s="33">
        <v>119.9371</v>
      </c>
      <c r="AU46" s="33">
        <v>112.0632</v>
      </c>
      <c r="AV46" s="33">
        <v>103.7708</v>
      </c>
      <c r="AW46" s="33">
        <v>97.75484</v>
      </c>
      <c r="AX46" s="33">
        <v>125.8601</v>
      </c>
      <c r="AY46" s="33">
        <v>90.45408</v>
      </c>
      <c r="AZ46" s="33">
        <v>187.33</v>
      </c>
      <c r="BA46" s="33">
        <v>405.06</v>
      </c>
      <c r="BB46" s="33">
        <v>94.49561</v>
      </c>
      <c r="BC46" s="33">
        <v>100.78</v>
      </c>
      <c r="BD46" s="33">
        <v>56.34255</v>
      </c>
      <c r="BE46" s="33">
        <v>16.63813</v>
      </c>
      <c r="BF46" s="33">
        <v>113.3693</v>
      </c>
      <c r="BG46" s="33">
        <v>2758.82</v>
      </c>
      <c r="BH46" s="33">
        <v>51.69026</v>
      </c>
      <c r="BI46" s="33">
        <v>106.23</v>
      </c>
      <c r="BJ46" s="33">
        <v>25.3</v>
      </c>
      <c r="BK46" s="33">
        <v>179.2207</v>
      </c>
      <c r="BL46" s="33">
        <v>71.97269</v>
      </c>
      <c r="BM46" s="33">
        <v>74.3066</v>
      </c>
      <c r="BN46" s="33">
        <v>97.08231</v>
      </c>
      <c r="BO46" s="33">
        <v>242.3298</v>
      </c>
      <c r="BP46" s="33">
        <v>95.52081</v>
      </c>
      <c r="BQ46" s="33">
        <v>68.86206</v>
      </c>
      <c r="BR46" s="33">
        <v>9.713099</v>
      </c>
      <c r="BS46" s="33">
        <v>1592.34</v>
      </c>
      <c r="BT46" s="33">
        <v>16.42</v>
      </c>
      <c r="BU46" s="33">
        <v>85.01617</v>
      </c>
      <c r="BV46" s="33">
        <v>364.8145</v>
      </c>
      <c r="BW46" s="33">
        <v>12.04476</v>
      </c>
      <c r="BX46" s="33">
        <v>129.93</v>
      </c>
      <c r="BY46" s="33">
        <v>140.1638</v>
      </c>
      <c r="BZ46" s="33">
        <v>115.9795</v>
      </c>
      <c r="CA46" s="33">
        <v>42.57619</v>
      </c>
      <c r="CB46" s="33">
        <v>126.5592</v>
      </c>
      <c r="CC46" s="33">
        <v>64.4445</v>
      </c>
      <c r="CD46" s="33">
        <v>52.57444</v>
      </c>
      <c r="CE46" s="33">
        <v>129.365</v>
      </c>
      <c r="CF46" s="33">
        <v>48.4247</v>
      </c>
      <c r="CG46" s="33">
        <v>186.903</v>
      </c>
      <c r="CH46" s="33">
        <v>49.47631</v>
      </c>
      <c r="CI46" s="33">
        <v>153.089</v>
      </c>
      <c r="CJ46" s="33">
        <v>71.24139</v>
      </c>
      <c r="CK46" s="33">
        <v>30.22286</v>
      </c>
      <c r="CL46" s="33">
        <v>52.56926</v>
      </c>
      <c r="CM46" s="33">
        <v>47.06338</v>
      </c>
      <c r="CN46" s="33">
        <v>63.14223</v>
      </c>
      <c r="CO46" s="33">
        <v>88.10664</v>
      </c>
      <c r="CP46" s="33">
        <v>76.20645</v>
      </c>
      <c r="CQ46" s="33">
        <v>213.4439</v>
      </c>
      <c r="CR46" s="33">
        <v>47.79845</v>
      </c>
      <c r="CS46" s="33">
        <v>15.0779</v>
      </c>
      <c r="CT46" s="33">
        <v>19.72</v>
      </c>
      <c r="CU46" s="33">
        <v>16.89</v>
      </c>
      <c r="CV46" s="33">
        <v>108.0247</v>
      </c>
      <c r="CW46" s="33">
        <v>137.7493</v>
      </c>
      <c r="CX46" s="33">
        <v>3.93</v>
      </c>
      <c r="CY46" s="33">
        <v>11.75</v>
      </c>
      <c r="CZ46" s="33">
        <v>52.9</v>
      </c>
      <c r="DA46" s="33">
        <v>21.62</v>
      </c>
      <c r="DB46" s="33">
        <v>16.96</v>
      </c>
      <c r="DC46" s="33">
        <v>26.28741</v>
      </c>
      <c r="DD46" s="33">
        <v>2.454597</v>
      </c>
      <c r="DE46" s="33">
        <v>168.7924</v>
      </c>
      <c r="DF46" s="33">
        <v>47.86</v>
      </c>
      <c r="DG46" s="33">
        <v>7.34</v>
      </c>
      <c r="DH46" s="33">
        <v>70.56</v>
      </c>
      <c r="DI46" s="33">
        <v>40.88323</v>
      </c>
      <c r="DJ46" s="33">
        <v>83.32108</v>
      </c>
      <c r="DK46" s="33">
        <v>40.09551</v>
      </c>
      <c r="DL46" s="33">
        <v>94.09287</v>
      </c>
      <c r="DM46" s="33">
        <v>48.30235</v>
      </c>
      <c r="DN46" s="33">
        <v>50.52145</v>
      </c>
      <c r="DO46" s="33">
        <v>18.24233</v>
      </c>
      <c r="DP46" s="33">
        <v>10.35544</v>
      </c>
      <c r="DQ46" s="33">
        <v>40.31847</v>
      </c>
      <c r="DR46" s="33">
        <v>17.8012</v>
      </c>
      <c r="DS46" s="33">
        <v>14.69678</v>
      </c>
      <c r="DT46" s="33">
        <v>5.089286</v>
      </c>
      <c r="DU46" s="33">
        <v>12.25</v>
      </c>
      <c r="DV46" s="34">
        <v>13.382081</v>
      </c>
      <c r="DW46" s="33">
        <v>215.962</v>
      </c>
      <c r="DX46" s="33">
        <v>170.1719</v>
      </c>
      <c r="DY46" s="33">
        <v>43.26292</v>
      </c>
      <c r="DZ46" s="33">
        <v>6.08</v>
      </c>
      <c r="EA46" s="35">
        <v>3100.29</v>
      </c>
    </row>
    <row r="47" ht="14.8" spans="1:131">
      <c r="A47" s="32">
        <v>44013</v>
      </c>
      <c r="B47" s="33">
        <v>141.181</v>
      </c>
      <c r="C47" s="33">
        <v>34.74191</v>
      </c>
      <c r="D47" s="33">
        <v>147.0509</v>
      </c>
      <c r="E47" s="33">
        <v>89.34201</v>
      </c>
      <c r="F47" s="33">
        <v>73.46413</v>
      </c>
      <c r="G47" s="33">
        <v>236.124</v>
      </c>
      <c r="H47" s="33">
        <v>56.00687</v>
      </c>
      <c r="I47" s="33">
        <v>412.8839</v>
      </c>
      <c r="J47" s="33">
        <v>382.16</v>
      </c>
      <c r="K47" s="33">
        <v>397.75</v>
      </c>
      <c r="L47" s="33">
        <v>435.54</v>
      </c>
      <c r="M47" s="33">
        <v>95.72752</v>
      </c>
      <c r="N47" s="33">
        <v>158.39</v>
      </c>
      <c r="O47" s="33">
        <v>935</v>
      </c>
      <c r="P47" s="33">
        <v>297.2569</v>
      </c>
      <c r="Q47" s="33">
        <v>60.74644</v>
      </c>
      <c r="R47" s="33">
        <v>269.5138</v>
      </c>
      <c r="S47" s="33">
        <v>632.07</v>
      </c>
      <c r="T47" s="33">
        <v>98.77675</v>
      </c>
      <c r="U47" s="33">
        <v>94.04367</v>
      </c>
      <c r="V47" s="33">
        <v>190.845</v>
      </c>
      <c r="W47" s="33">
        <v>87.34</v>
      </c>
      <c r="X47" s="33">
        <v>150.6291</v>
      </c>
      <c r="Y47" s="33">
        <v>15.87655</v>
      </c>
      <c r="Z47" s="33">
        <v>276.6212</v>
      </c>
      <c r="AA47" s="33">
        <v>685.44</v>
      </c>
      <c r="AB47" s="33">
        <v>200.6237</v>
      </c>
      <c r="AC47" s="33">
        <v>84.98888</v>
      </c>
      <c r="AD47" s="33">
        <v>202.656</v>
      </c>
      <c r="AE47" s="33">
        <v>444.32</v>
      </c>
      <c r="AF47" s="33">
        <v>54.34776</v>
      </c>
      <c r="AG47" s="33">
        <v>199.22</v>
      </c>
      <c r="AH47" s="33">
        <v>138.3</v>
      </c>
      <c r="AI47" s="33">
        <v>211.68</v>
      </c>
      <c r="AJ47" s="33">
        <v>112.44</v>
      </c>
      <c r="AK47" s="33">
        <v>20.86763</v>
      </c>
      <c r="AL47" s="33">
        <v>135.9</v>
      </c>
      <c r="AM47" s="33">
        <v>106.0048</v>
      </c>
      <c r="AN47" s="33">
        <v>46.19517</v>
      </c>
      <c r="AO47" s="33">
        <v>304.1944</v>
      </c>
      <c r="AP47" s="33">
        <v>123.6405</v>
      </c>
      <c r="AQ47" s="33">
        <v>103.0912</v>
      </c>
      <c r="AR47" s="33">
        <v>77.43</v>
      </c>
      <c r="AS47" s="33">
        <v>49.99012</v>
      </c>
      <c r="AT47" s="33">
        <v>112.3188</v>
      </c>
      <c r="AU47" s="33">
        <v>115.917</v>
      </c>
      <c r="AV47" s="33">
        <v>100.2431</v>
      </c>
      <c r="AW47" s="33">
        <v>106.657</v>
      </c>
      <c r="AX47" s="33">
        <v>143.303</v>
      </c>
      <c r="AY47" s="33">
        <v>105.3909</v>
      </c>
      <c r="AZ47" s="33">
        <v>194.85</v>
      </c>
      <c r="BA47" s="33">
        <v>439.2</v>
      </c>
      <c r="BB47" s="33">
        <v>96.19387</v>
      </c>
      <c r="BC47" s="33">
        <v>99.89</v>
      </c>
      <c r="BD47" s="33">
        <v>58.44935</v>
      </c>
      <c r="BE47" s="33">
        <v>16.94545</v>
      </c>
      <c r="BF47" s="33">
        <v>115.4063</v>
      </c>
      <c r="BG47" s="33">
        <v>3164.68</v>
      </c>
      <c r="BH47" s="33">
        <v>54.47927</v>
      </c>
      <c r="BI47" s="33">
        <v>118.38</v>
      </c>
      <c r="BJ47" s="33">
        <v>24.89</v>
      </c>
      <c r="BK47" s="33">
        <v>188.7516</v>
      </c>
      <c r="BL47" s="33">
        <v>74.84807</v>
      </c>
      <c r="BM47" s="33">
        <v>74.4341</v>
      </c>
      <c r="BN47" s="33">
        <v>96.64666</v>
      </c>
      <c r="BO47" s="33">
        <v>258.3542</v>
      </c>
      <c r="BP47" s="33">
        <v>92.74526</v>
      </c>
      <c r="BQ47" s="33">
        <v>72.96464</v>
      </c>
      <c r="BR47" s="33">
        <v>9.798719</v>
      </c>
      <c r="BS47" s="33">
        <v>1662.13</v>
      </c>
      <c r="BT47" s="33">
        <v>13.88</v>
      </c>
      <c r="BU47" s="33">
        <v>89.06597</v>
      </c>
      <c r="BV47" s="33">
        <v>382.549</v>
      </c>
      <c r="BW47" s="33">
        <v>19.64012</v>
      </c>
      <c r="BX47" s="33">
        <v>140.7254</v>
      </c>
      <c r="BY47" s="33">
        <v>147.9792</v>
      </c>
      <c r="BZ47" s="33">
        <v>127.1827</v>
      </c>
      <c r="CA47" s="33">
        <v>45.42461</v>
      </c>
      <c r="CB47" s="33">
        <v>132.749</v>
      </c>
      <c r="CC47" s="33">
        <v>71.77925</v>
      </c>
      <c r="CD47" s="33">
        <v>57.93918</v>
      </c>
      <c r="CE47" s="33">
        <v>141.7345</v>
      </c>
      <c r="CF47" s="33">
        <v>53.97712</v>
      </c>
      <c r="CG47" s="33">
        <v>195.6795</v>
      </c>
      <c r="CH47" s="33">
        <v>54.00261</v>
      </c>
      <c r="CI47" s="33">
        <v>162.6183</v>
      </c>
      <c r="CJ47" s="33">
        <v>75.07284</v>
      </c>
      <c r="CK47" s="33">
        <v>32.58269</v>
      </c>
      <c r="CL47" s="33">
        <v>50.82849</v>
      </c>
      <c r="CM47" s="33">
        <v>49.58863</v>
      </c>
      <c r="CN47" s="33">
        <v>65.9428</v>
      </c>
      <c r="CO47" s="33">
        <v>95.71362</v>
      </c>
      <c r="CP47" s="33">
        <v>94.96724</v>
      </c>
      <c r="CQ47" s="33">
        <v>230.1209</v>
      </c>
      <c r="CR47" s="33">
        <v>47.74067</v>
      </c>
      <c r="CS47" s="33">
        <v>15.57164</v>
      </c>
      <c r="CT47" s="33">
        <v>20.3</v>
      </c>
      <c r="CU47" s="33">
        <v>15.35</v>
      </c>
      <c r="CV47" s="33">
        <v>138.7085</v>
      </c>
      <c r="CW47" s="33">
        <v>166.2266</v>
      </c>
      <c r="CX47" s="33">
        <v>4.25</v>
      </c>
      <c r="CY47" s="33">
        <v>12.32</v>
      </c>
      <c r="CZ47" s="33">
        <v>56.33</v>
      </c>
      <c r="DA47" s="33">
        <v>25.07</v>
      </c>
      <c r="DB47" s="33">
        <v>15.31</v>
      </c>
      <c r="DC47" s="33">
        <v>30.13483</v>
      </c>
      <c r="DD47" s="33">
        <v>1.994972</v>
      </c>
      <c r="DE47" s="33">
        <v>182.1227</v>
      </c>
      <c r="DF47" s="33">
        <v>52.9</v>
      </c>
      <c r="DG47" s="33">
        <v>10.16</v>
      </c>
      <c r="DH47" s="33">
        <v>74.29</v>
      </c>
      <c r="DI47" s="33">
        <v>38.46974</v>
      </c>
      <c r="DJ47" s="33">
        <v>78.38138</v>
      </c>
      <c r="DK47" s="33">
        <v>35.67756</v>
      </c>
      <c r="DL47" s="33">
        <v>93.89038</v>
      </c>
      <c r="DM47" s="33">
        <v>44.66967</v>
      </c>
      <c r="DN47" s="33">
        <v>48.23438</v>
      </c>
      <c r="DO47" s="33">
        <v>15.69941</v>
      </c>
      <c r="DP47" s="33">
        <v>9.666394</v>
      </c>
      <c r="DQ47" s="33">
        <v>38.42885</v>
      </c>
      <c r="DR47" s="33">
        <v>17.67911</v>
      </c>
      <c r="DS47" s="33">
        <v>14.79227</v>
      </c>
      <c r="DT47" s="33">
        <v>5.974702</v>
      </c>
      <c r="DU47" s="33">
        <v>11.51</v>
      </c>
      <c r="DV47" s="34">
        <v>15.21592</v>
      </c>
      <c r="DW47" s="33">
        <v>286.152</v>
      </c>
      <c r="DX47" s="33">
        <v>180.8095</v>
      </c>
      <c r="DY47" s="33">
        <v>44.85626</v>
      </c>
      <c r="DZ47" s="33">
        <v>6.61</v>
      </c>
      <c r="EA47" s="35">
        <v>3271.12</v>
      </c>
    </row>
    <row r="48" ht="14.8" spans="1:131">
      <c r="A48" s="32">
        <v>44044</v>
      </c>
      <c r="B48" s="33">
        <v>148.5906</v>
      </c>
      <c r="C48" s="33">
        <v>34.4524</v>
      </c>
      <c r="D48" s="33">
        <v>145.1918</v>
      </c>
      <c r="E48" s="33">
        <v>91.25187</v>
      </c>
      <c r="F48" s="33">
        <v>78.06937</v>
      </c>
      <c r="G48" s="33">
        <v>244.4719</v>
      </c>
      <c r="H48" s="33">
        <v>59.83987</v>
      </c>
      <c r="I48" s="33">
        <v>427.8752</v>
      </c>
      <c r="J48" s="33">
        <v>357.22</v>
      </c>
      <c r="K48" s="33">
        <v>391.06</v>
      </c>
      <c r="L48" s="33">
        <v>425.41</v>
      </c>
      <c r="M48" s="33">
        <v>99.79192</v>
      </c>
      <c r="N48" s="33">
        <v>163.75</v>
      </c>
      <c r="O48" s="33">
        <v>970.78</v>
      </c>
      <c r="P48" s="33">
        <v>306.8487</v>
      </c>
      <c r="Q48" s="33">
        <v>60.42326</v>
      </c>
      <c r="R48" s="33">
        <v>277.113</v>
      </c>
      <c r="S48" s="33">
        <v>619.93</v>
      </c>
      <c r="T48" s="33">
        <v>107.8604</v>
      </c>
      <c r="U48" s="33">
        <v>104.7562</v>
      </c>
      <c r="V48" s="33">
        <v>195.6434</v>
      </c>
      <c r="W48" s="33">
        <v>92.5</v>
      </c>
      <c r="X48" s="33">
        <v>159.2135</v>
      </c>
      <c r="Y48" s="33">
        <v>16.14264</v>
      </c>
      <c r="Z48" s="33">
        <v>238.6981</v>
      </c>
      <c r="AA48" s="33">
        <v>730.84</v>
      </c>
      <c r="AB48" s="33">
        <v>179.0961</v>
      </c>
      <c r="AC48" s="33">
        <v>85.66778</v>
      </c>
      <c r="AD48" s="33">
        <v>222.9405</v>
      </c>
      <c r="AE48" s="33">
        <v>513.39</v>
      </c>
      <c r="AF48" s="33">
        <v>56.31967</v>
      </c>
      <c r="AG48" s="33">
        <v>221.3</v>
      </c>
      <c r="AH48" s="33">
        <v>132.01</v>
      </c>
      <c r="AI48" s="33">
        <v>214.8</v>
      </c>
      <c r="AJ48" s="33">
        <v>116.43</v>
      </c>
      <c r="AK48" s="33">
        <v>22.88143</v>
      </c>
      <c r="AL48" s="33">
        <v>132.33</v>
      </c>
      <c r="AM48" s="33">
        <v>133.5652</v>
      </c>
      <c r="AN48" s="33">
        <v>49.31163</v>
      </c>
      <c r="AO48" s="33">
        <v>333.3894</v>
      </c>
      <c r="AP48" s="33">
        <v>138.7416</v>
      </c>
      <c r="AQ48" s="33">
        <v>116.2595</v>
      </c>
      <c r="AR48" s="33">
        <v>90.82</v>
      </c>
      <c r="AS48" s="33">
        <v>45.44647</v>
      </c>
      <c r="AT48" s="33">
        <v>114.3041</v>
      </c>
      <c r="AU48" s="33">
        <v>124.034</v>
      </c>
      <c r="AV48" s="33">
        <v>108.0966</v>
      </c>
      <c r="AW48" s="33">
        <v>103.4876</v>
      </c>
      <c r="AX48" s="33">
        <v>142.5844</v>
      </c>
      <c r="AY48" s="33">
        <v>127.9846</v>
      </c>
      <c r="AZ48" s="33">
        <v>272.65</v>
      </c>
      <c r="BA48" s="33">
        <v>482.02</v>
      </c>
      <c r="BB48" s="33">
        <v>101.0919</v>
      </c>
      <c r="BC48" s="33">
        <v>98.52</v>
      </c>
      <c r="BD48" s="33">
        <v>60.0482</v>
      </c>
      <c r="BE48" s="33">
        <v>18.84434</v>
      </c>
      <c r="BF48" s="33">
        <v>115.7536</v>
      </c>
      <c r="BG48" s="33">
        <v>3450.96</v>
      </c>
      <c r="BH48" s="33">
        <v>53.98651</v>
      </c>
      <c r="BI48" s="33">
        <v>119.7</v>
      </c>
      <c r="BJ48" s="33">
        <v>29.63</v>
      </c>
      <c r="BK48" s="33">
        <v>207.4441</v>
      </c>
      <c r="BL48" s="33">
        <v>82.61358</v>
      </c>
      <c r="BM48" s="33">
        <v>84.99608</v>
      </c>
      <c r="BN48" s="33">
        <v>110.7857</v>
      </c>
      <c r="BO48" s="33">
        <v>277.3788</v>
      </c>
      <c r="BP48" s="33">
        <v>97.68549</v>
      </c>
      <c r="BQ48" s="33">
        <v>79.64375</v>
      </c>
      <c r="BR48" s="33">
        <v>10.52173</v>
      </c>
      <c r="BS48" s="33">
        <v>1910.45</v>
      </c>
      <c r="BT48" s="33">
        <v>16.48</v>
      </c>
      <c r="BU48" s="33">
        <v>93.76137</v>
      </c>
      <c r="BV48" s="33">
        <v>404.6643</v>
      </c>
      <c r="BW48" s="33">
        <v>23.65504</v>
      </c>
      <c r="BX48" s="33">
        <v>146.7295</v>
      </c>
      <c r="BY48" s="33">
        <v>154.0604</v>
      </c>
      <c r="BZ48" s="33">
        <v>135.0229</v>
      </c>
      <c r="CA48" s="33">
        <v>47.6266</v>
      </c>
      <c r="CB48" s="33">
        <v>135.0633</v>
      </c>
      <c r="CC48" s="33">
        <v>74.56408</v>
      </c>
      <c r="CD48" s="33">
        <v>57.07699</v>
      </c>
      <c r="CE48" s="33">
        <v>129.3746</v>
      </c>
      <c r="CF48" s="33">
        <v>57.66616</v>
      </c>
      <c r="CG48" s="33">
        <v>219.6318</v>
      </c>
      <c r="CH48" s="33">
        <v>56.85408</v>
      </c>
      <c r="CI48" s="33">
        <v>174.1721</v>
      </c>
      <c r="CJ48" s="33">
        <v>77.53105</v>
      </c>
      <c r="CK48" s="33">
        <v>33.20818</v>
      </c>
      <c r="CL48" s="33">
        <v>58.31978</v>
      </c>
      <c r="CM48" s="33">
        <v>49.95322</v>
      </c>
      <c r="CN48" s="33">
        <v>67.77802</v>
      </c>
      <c r="CO48" s="33">
        <v>101.6139</v>
      </c>
      <c r="CP48" s="33">
        <v>94.47431</v>
      </c>
      <c r="CQ48" s="33">
        <v>218.5205</v>
      </c>
      <c r="CR48" s="33">
        <v>51.02688</v>
      </c>
      <c r="CS48" s="33">
        <v>15.17285</v>
      </c>
      <c r="CT48" s="33">
        <v>24.35</v>
      </c>
      <c r="CU48" s="33">
        <v>16</v>
      </c>
      <c r="CV48" s="33">
        <v>158.9765</v>
      </c>
      <c r="CW48" s="33">
        <v>217.0027</v>
      </c>
      <c r="CX48" s="33">
        <v>5.28</v>
      </c>
      <c r="CY48" s="33">
        <v>11.32</v>
      </c>
      <c r="CZ48" s="33">
        <v>60.95</v>
      </c>
      <c r="DA48" s="33">
        <v>27.32</v>
      </c>
      <c r="DB48" s="33">
        <v>17.38</v>
      </c>
      <c r="DC48" s="33">
        <v>33.53603</v>
      </c>
      <c r="DD48" s="33">
        <v>2.395922</v>
      </c>
      <c r="DE48" s="33">
        <v>201.4089</v>
      </c>
      <c r="DF48" s="33">
        <v>53.84</v>
      </c>
      <c r="DG48" s="33">
        <v>8.25</v>
      </c>
      <c r="DH48" s="33">
        <v>76.07</v>
      </c>
      <c r="DI48" s="33">
        <v>36.51334</v>
      </c>
      <c r="DJ48" s="33">
        <v>78.37203</v>
      </c>
      <c r="DK48" s="33">
        <v>36.5235</v>
      </c>
      <c r="DL48" s="33">
        <v>100.6813</v>
      </c>
      <c r="DM48" s="33">
        <v>43.57424</v>
      </c>
      <c r="DN48" s="33">
        <v>45.12723</v>
      </c>
      <c r="DO48" s="33">
        <v>12.70715</v>
      </c>
      <c r="DP48" s="33">
        <v>10.01656</v>
      </c>
      <c r="DQ48" s="33">
        <v>37.56116</v>
      </c>
      <c r="DR48" s="33">
        <v>18.527</v>
      </c>
      <c r="DS48" s="33">
        <v>13.63678</v>
      </c>
      <c r="DT48" s="33">
        <v>5.729167</v>
      </c>
      <c r="DU48" s="33">
        <v>12</v>
      </c>
      <c r="DV48" s="34">
        <v>14.697742</v>
      </c>
      <c r="DW48" s="33">
        <v>498.32</v>
      </c>
      <c r="DX48" s="33">
        <v>193.7955</v>
      </c>
      <c r="DY48" s="33">
        <v>47.22683</v>
      </c>
      <c r="DZ48" s="33">
        <v>6.82</v>
      </c>
      <c r="EA48" s="35">
        <v>3500.31</v>
      </c>
    </row>
    <row r="49" ht="14.8" spans="1:131">
      <c r="A49" s="32">
        <v>44075</v>
      </c>
      <c r="B49" s="33">
        <v>145.1627</v>
      </c>
      <c r="C49" s="33">
        <v>33.45867</v>
      </c>
      <c r="D49" s="33">
        <v>145.5358</v>
      </c>
      <c r="E49" s="33">
        <v>83.45778</v>
      </c>
      <c r="F49" s="33">
        <v>75.94528</v>
      </c>
      <c r="G49" s="33">
        <v>246.9256</v>
      </c>
      <c r="H49" s="33">
        <v>58.00235</v>
      </c>
      <c r="I49" s="33">
        <v>440.3829</v>
      </c>
      <c r="J49" s="33">
        <v>309.08</v>
      </c>
      <c r="K49" s="33">
        <v>393.11</v>
      </c>
      <c r="L49" s="33">
        <v>412.23</v>
      </c>
      <c r="M49" s="33">
        <v>100.3087</v>
      </c>
      <c r="N49" s="33">
        <v>157.63</v>
      </c>
      <c r="O49" s="33">
        <v>965.75</v>
      </c>
      <c r="P49" s="33">
        <v>306.0829</v>
      </c>
      <c r="Q49" s="33">
        <v>56.80488</v>
      </c>
      <c r="R49" s="33">
        <v>264.3854</v>
      </c>
      <c r="S49" s="33">
        <v>559.78</v>
      </c>
      <c r="T49" s="33">
        <v>107.2298</v>
      </c>
      <c r="U49" s="33">
        <v>101.2958</v>
      </c>
      <c r="V49" s="33">
        <v>205.7237</v>
      </c>
      <c r="W49" s="33">
        <v>85.66</v>
      </c>
      <c r="X49" s="33">
        <v>164.4544</v>
      </c>
      <c r="Y49" s="33">
        <v>14.6151</v>
      </c>
      <c r="Z49" s="33">
        <v>228.7773</v>
      </c>
      <c r="AA49" s="33">
        <v>709.54</v>
      </c>
      <c r="AB49" s="33">
        <v>170.1958</v>
      </c>
      <c r="AC49" s="33">
        <v>79.35022</v>
      </c>
      <c r="AD49" s="33">
        <v>208.4176</v>
      </c>
      <c r="AE49" s="33">
        <v>490.43</v>
      </c>
      <c r="AF49" s="33">
        <v>58.76065</v>
      </c>
      <c r="AG49" s="33">
        <v>213.98</v>
      </c>
      <c r="AH49" s="33">
        <v>117.81</v>
      </c>
      <c r="AI49" s="33">
        <v>204.85</v>
      </c>
      <c r="AJ49" s="33">
        <v>110.54</v>
      </c>
      <c r="AK49" s="33">
        <v>20.3867</v>
      </c>
      <c r="AL49" s="33">
        <v>122.77</v>
      </c>
      <c r="AM49" s="33">
        <v>135.1231</v>
      </c>
      <c r="AN49" s="33">
        <v>50.4553</v>
      </c>
      <c r="AO49" s="33">
        <v>349.8788</v>
      </c>
      <c r="AP49" s="33">
        <v>139.3662</v>
      </c>
      <c r="AQ49" s="33">
        <v>114.8734</v>
      </c>
      <c r="AR49" s="33">
        <v>81.99</v>
      </c>
      <c r="AS49" s="33">
        <v>46.89445</v>
      </c>
      <c r="AT49" s="33">
        <v>114.7575</v>
      </c>
      <c r="AU49" s="33">
        <v>123.097</v>
      </c>
      <c r="AV49" s="33">
        <v>101.6039</v>
      </c>
      <c r="AW49" s="33">
        <v>103.9447</v>
      </c>
      <c r="AX49" s="33">
        <v>143.722</v>
      </c>
      <c r="AY49" s="33">
        <v>115.0699</v>
      </c>
      <c r="AZ49" s="33">
        <v>251.32</v>
      </c>
      <c r="BA49" s="33">
        <v>485</v>
      </c>
      <c r="BB49" s="33">
        <v>92.55454</v>
      </c>
      <c r="BC49" s="33">
        <v>98.78</v>
      </c>
      <c r="BD49" s="33">
        <v>63.52503</v>
      </c>
      <c r="BE49" s="33">
        <v>18.30456</v>
      </c>
      <c r="BF49" s="33">
        <v>115.7096</v>
      </c>
      <c r="BG49" s="33">
        <v>3148.73</v>
      </c>
      <c r="BH49" s="33">
        <v>51.49715</v>
      </c>
      <c r="BI49" s="33">
        <v>121.63</v>
      </c>
      <c r="BJ49" s="33">
        <v>29.59</v>
      </c>
      <c r="BK49" s="33">
        <v>214.4918</v>
      </c>
      <c r="BL49" s="33">
        <v>84.48882</v>
      </c>
      <c r="BM49" s="33">
        <v>98.79433</v>
      </c>
      <c r="BN49" s="33">
        <v>124.5764</v>
      </c>
      <c r="BO49" s="33">
        <v>270.2457</v>
      </c>
      <c r="BP49" s="33">
        <v>105.2213</v>
      </c>
      <c r="BQ49" s="33">
        <v>82.5231</v>
      </c>
      <c r="BR49" s="33">
        <v>10.51222</v>
      </c>
      <c r="BS49" s="33">
        <v>1710.68</v>
      </c>
      <c r="BT49" s="33">
        <v>15.18</v>
      </c>
      <c r="BU49" s="33">
        <v>89.74736</v>
      </c>
      <c r="BV49" s="33">
        <v>420.8128</v>
      </c>
      <c r="BW49" s="33">
        <v>25.59411</v>
      </c>
      <c r="BX49" s="33">
        <v>141.689</v>
      </c>
      <c r="BY49" s="33">
        <v>151.2909</v>
      </c>
      <c r="BZ49" s="33">
        <v>135.6671</v>
      </c>
      <c r="CA49" s="33">
        <v>47.47275</v>
      </c>
      <c r="CB49" s="33">
        <v>133.6554</v>
      </c>
      <c r="CC49" s="33">
        <v>70.07845</v>
      </c>
      <c r="CD49" s="33">
        <v>59.54524</v>
      </c>
      <c r="CE49" s="33">
        <v>134.6459</v>
      </c>
      <c r="CF49" s="33">
        <v>53.43169</v>
      </c>
      <c r="CG49" s="33">
        <v>216.675</v>
      </c>
      <c r="CH49" s="33">
        <v>55.91008</v>
      </c>
      <c r="CI49" s="33">
        <v>167.3243</v>
      </c>
      <c r="CJ49" s="33">
        <v>75.46708</v>
      </c>
      <c r="CK49" s="33">
        <v>28.70951</v>
      </c>
      <c r="CL49" s="33">
        <v>60.33683</v>
      </c>
      <c r="CM49" s="33">
        <v>47.90531</v>
      </c>
      <c r="CN49" s="33">
        <v>62.24009</v>
      </c>
      <c r="CO49" s="33">
        <v>95.65114</v>
      </c>
      <c r="CP49" s="33">
        <v>92.61871</v>
      </c>
      <c r="CQ49" s="33">
        <v>205.4875</v>
      </c>
      <c r="CR49" s="33">
        <v>46.91447</v>
      </c>
      <c r="CS49" s="33">
        <v>16.52805</v>
      </c>
      <c r="CT49" s="33">
        <v>22.22</v>
      </c>
      <c r="CU49" s="33">
        <v>14.97</v>
      </c>
      <c r="CV49" s="33">
        <v>162.9325</v>
      </c>
      <c r="CW49" s="33">
        <v>248.2738</v>
      </c>
      <c r="CX49" s="33">
        <v>5.14</v>
      </c>
      <c r="CY49" s="33">
        <v>9.74</v>
      </c>
      <c r="CZ49" s="33">
        <v>56.98</v>
      </c>
      <c r="DA49" s="33">
        <v>25.77</v>
      </c>
      <c r="DB49" s="33">
        <v>12.66</v>
      </c>
      <c r="DC49" s="33">
        <v>30.87886</v>
      </c>
      <c r="DD49" s="33">
        <v>2.532831</v>
      </c>
      <c r="DE49" s="33">
        <v>180.23</v>
      </c>
      <c r="DF49" s="33">
        <v>50.2</v>
      </c>
      <c r="DG49" s="33">
        <v>7.25</v>
      </c>
      <c r="DH49" s="33">
        <v>70.63</v>
      </c>
      <c r="DI49" s="33">
        <v>32.00381</v>
      </c>
      <c r="DJ49" s="33">
        <v>68.20132</v>
      </c>
      <c r="DK49" s="33">
        <v>31.65562</v>
      </c>
      <c r="DL49" s="33">
        <v>83.30206</v>
      </c>
      <c r="DM49" s="33">
        <v>34.54032</v>
      </c>
      <c r="DN49" s="33">
        <v>40.11854</v>
      </c>
      <c r="DO49" s="33">
        <v>9.984188</v>
      </c>
      <c r="DP49" s="33">
        <v>8.902282</v>
      </c>
      <c r="DQ49" s="33">
        <v>29.28563</v>
      </c>
      <c r="DR49" s="33">
        <v>15.16466</v>
      </c>
      <c r="DS49" s="33">
        <v>12.82907</v>
      </c>
      <c r="DT49" s="33">
        <v>4.69494</v>
      </c>
      <c r="DU49" s="33">
        <v>9.06</v>
      </c>
      <c r="DV49" s="34">
        <v>9.404569</v>
      </c>
      <c r="DW49" s="33">
        <v>429.01</v>
      </c>
      <c r="DX49" s="33">
        <v>183.1878</v>
      </c>
      <c r="DY49" s="33">
        <v>44.7923</v>
      </c>
      <c r="DZ49" s="33">
        <v>6.66</v>
      </c>
      <c r="EA49" s="35">
        <v>3363</v>
      </c>
    </row>
    <row r="50" ht="14.8" spans="1:131">
      <c r="A50" s="32">
        <v>44105</v>
      </c>
      <c r="B50" s="33">
        <v>133.6866</v>
      </c>
      <c r="C50" s="33">
        <v>32.34642</v>
      </c>
      <c r="D50" s="33">
        <v>128.2705</v>
      </c>
      <c r="E50" s="33">
        <v>81.08525</v>
      </c>
      <c r="F50" s="33">
        <v>69.35971</v>
      </c>
      <c r="G50" s="33">
        <v>210.765</v>
      </c>
      <c r="H50" s="33">
        <v>56.23216</v>
      </c>
      <c r="I50" s="33">
        <v>472.1424</v>
      </c>
      <c r="J50" s="33">
        <v>292.7</v>
      </c>
      <c r="K50" s="33">
        <v>424.82</v>
      </c>
      <c r="L50" s="33">
        <v>319.58</v>
      </c>
      <c r="M50" s="33">
        <v>101.4515</v>
      </c>
      <c r="N50" s="33">
        <v>153.99</v>
      </c>
      <c r="O50" s="33">
        <v>997.91</v>
      </c>
      <c r="P50" s="33">
        <v>300.8083</v>
      </c>
      <c r="Q50" s="33">
        <v>54.55797</v>
      </c>
      <c r="R50" s="33">
        <v>269.4875</v>
      </c>
      <c r="S50" s="33">
        <v>543.56</v>
      </c>
      <c r="T50" s="33">
        <v>103.5645</v>
      </c>
      <c r="U50" s="33">
        <v>98.58565</v>
      </c>
      <c r="V50" s="33">
        <v>199.9993</v>
      </c>
      <c r="W50" s="33">
        <v>87.77</v>
      </c>
      <c r="X50" s="33">
        <v>157.6721</v>
      </c>
      <c r="Y50" s="33">
        <v>14.3293</v>
      </c>
      <c r="Z50" s="33">
        <v>228.0229</v>
      </c>
      <c r="AA50" s="33">
        <v>667.08</v>
      </c>
      <c r="AB50" s="33">
        <v>190.5582</v>
      </c>
      <c r="AC50" s="33">
        <v>76.53814</v>
      </c>
      <c r="AD50" s="33">
        <v>200.629</v>
      </c>
      <c r="AE50" s="33">
        <v>447.1</v>
      </c>
      <c r="AF50" s="33">
        <v>55.22714</v>
      </c>
      <c r="AG50" s="33">
        <v>213.86</v>
      </c>
      <c r="AH50" s="33">
        <v>110.37</v>
      </c>
      <c r="AI50" s="33">
        <v>190.7</v>
      </c>
      <c r="AJ50" s="33">
        <v>95.12</v>
      </c>
      <c r="AK50" s="33">
        <v>20.12257</v>
      </c>
      <c r="AL50" s="33">
        <v>132.94</v>
      </c>
      <c r="AM50" s="33">
        <v>125.209</v>
      </c>
      <c r="AN50" s="33">
        <v>43.14717</v>
      </c>
      <c r="AO50" s="33">
        <v>338.8323</v>
      </c>
      <c r="AP50" s="33">
        <v>141.1231</v>
      </c>
      <c r="AQ50" s="33">
        <v>121.0628</v>
      </c>
      <c r="AR50" s="33">
        <v>75.29</v>
      </c>
      <c r="AS50" s="33">
        <v>50.26973</v>
      </c>
      <c r="AT50" s="33">
        <v>116.5171</v>
      </c>
      <c r="AU50" s="33">
        <v>133.6673</v>
      </c>
      <c r="AV50" s="33">
        <v>103.8978</v>
      </c>
      <c r="AW50" s="33">
        <v>118.3537</v>
      </c>
      <c r="AX50" s="33">
        <v>139.5634</v>
      </c>
      <c r="AY50" s="33">
        <v>108.1643</v>
      </c>
      <c r="AZ50" s="33">
        <v>232.27</v>
      </c>
      <c r="BA50" s="33">
        <v>497.57</v>
      </c>
      <c r="BB50" s="33">
        <v>102.1145</v>
      </c>
      <c r="BC50" s="33">
        <v>104.87</v>
      </c>
      <c r="BD50" s="33">
        <v>61.35945</v>
      </c>
      <c r="BE50" s="33">
        <v>17.47164</v>
      </c>
      <c r="BF50" s="33">
        <v>106.19</v>
      </c>
      <c r="BG50" s="33">
        <v>3036.15</v>
      </c>
      <c r="BH50" s="33">
        <v>47.07888</v>
      </c>
      <c r="BI50" s="33">
        <v>121.59</v>
      </c>
      <c r="BJ50" s="33">
        <v>34.53</v>
      </c>
      <c r="BK50" s="33">
        <v>208.1496</v>
      </c>
      <c r="BL50" s="33">
        <v>85.5115</v>
      </c>
      <c r="BM50" s="33">
        <v>90.14468</v>
      </c>
      <c r="BN50" s="33">
        <v>119.1583</v>
      </c>
      <c r="BO50" s="33">
        <v>260.9101</v>
      </c>
      <c r="BP50" s="33">
        <v>111.3109</v>
      </c>
      <c r="BQ50" s="33">
        <v>88.36088</v>
      </c>
      <c r="BR50" s="33">
        <v>10.02496</v>
      </c>
      <c r="BS50" s="33">
        <v>1622.5</v>
      </c>
      <c r="BT50" s="33">
        <v>13.71</v>
      </c>
      <c r="BU50" s="33">
        <v>91.74284</v>
      </c>
      <c r="BV50" s="33">
        <v>375.0874</v>
      </c>
      <c r="BW50" s="33">
        <v>25.75503</v>
      </c>
      <c r="BX50" s="33">
        <v>131.6757</v>
      </c>
      <c r="BY50" s="33">
        <v>145.3954</v>
      </c>
      <c r="BZ50" s="33">
        <v>133.8223</v>
      </c>
      <c r="CA50" s="33">
        <v>46.58718</v>
      </c>
      <c r="CB50" s="33">
        <v>129.4591</v>
      </c>
      <c r="CC50" s="33">
        <v>67.41902</v>
      </c>
      <c r="CD50" s="33">
        <v>54.8631</v>
      </c>
      <c r="CE50" s="33">
        <v>127.3297</v>
      </c>
      <c r="CF50" s="33">
        <v>51.47808</v>
      </c>
      <c r="CG50" s="33">
        <v>218.0749</v>
      </c>
      <c r="CH50" s="33">
        <v>51.98337</v>
      </c>
      <c r="CI50" s="33">
        <v>164.7355</v>
      </c>
      <c r="CJ50" s="33">
        <v>77.16912</v>
      </c>
      <c r="CK50" s="33">
        <v>29.323</v>
      </c>
      <c r="CL50" s="33">
        <v>53.63597</v>
      </c>
      <c r="CM50" s="33">
        <v>47.70934</v>
      </c>
      <c r="CN50" s="33">
        <v>60.60194</v>
      </c>
      <c r="CO50" s="33">
        <v>88.95407</v>
      </c>
      <c r="CP50" s="33">
        <v>87.36066</v>
      </c>
      <c r="CQ50" s="33">
        <v>202.6326</v>
      </c>
      <c r="CR50" s="33">
        <v>45.26562</v>
      </c>
      <c r="CS50" s="33">
        <v>17.00963</v>
      </c>
      <c r="CT50" s="33">
        <v>20.9</v>
      </c>
      <c r="CU50" s="33">
        <v>16.74</v>
      </c>
      <c r="CV50" s="33">
        <v>153.6237</v>
      </c>
      <c r="CW50" s="33">
        <v>256.8538</v>
      </c>
      <c r="CX50" s="33">
        <v>5.14</v>
      </c>
      <c r="CY50" s="33">
        <v>9.64</v>
      </c>
      <c r="CZ50" s="33">
        <v>53.76</v>
      </c>
      <c r="DA50" s="33">
        <v>26.97</v>
      </c>
      <c r="DB50" s="33">
        <v>14.4</v>
      </c>
      <c r="DC50" s="33">
        <v>30.34201</v>
      </c>
      <c r="DD50" s="33">
        <v>2.611066</v>
      </c>
      <c r="DE50" s="33">
        <v>189.7848</v>
      </c>
      <c r="DF50" s="33">
        <v>50.13</v>
      </c>
      <c r="DG50" s="33">
        <v>8.96</v>
      </c>
      <c r="DH50" s="33">
        <v>69.54</v>
      </c>
      <c r="DI50" s="33">
        <v>30.40967</v>
      </c>
      <c r="DJ50" s="33">
        <v>65.83322</v>
      </c>
      <c r="DK50" s="33">
        <v>27.58782</v>
      </c>
      <c r="DL50" s="33">
        <v>77.55607</v>
      </c>
      <c r="DM50" s="33">
        <v>32.90653</v>
      </c>
      <c r="DN50" s="33">
        <v>36.6942</v>
      </c>
      <c r="DO50" s="33">
        <v>9.115376</v>
      </c>
      <c r="DP50" s="33">
        <v>8.509052</v>
      </c>
      <c r="DQ50" s="33">
        <v>25.24086</v>
      </c>
      <c r="DR50" s="33">
        <v>14.65679</v>
      </c>
      <c r="DS50" s="33">
        <v>14.25774</v>
      </c>
      <c r="DT50" s="33">
        <v>4.114583</v>
      </c>
      <c r="DU50" s="33">
        <v>8.4</v>
      </c>
      <c r="DV50" s="34">
        <v>8.242653</v>
      </c>
      <c r="DW50" s="33">
        <v>388.04</v>
      </c>
      <c r="DX50" s="33">
        <v>177.5456</v>
      </c>
      <c r="DY50" s="33">
        <v>50.0401</v>
      </c>
      <c r="DZ50" s="33">
        <v>7.73</v>
      </c>
      <c r="EA50" s="35">
        <v>3269.96</v>
      </c>
    </row>
    <row r="51" ht="14.8" spans="1:131">
      <c r="A51" s="32">
        <v>44136</v>
      </c>
      <c r="B51" s="33">
        <v>141.0676</v>
      </c>
      <c r="C51" s="33">
        <v>36.81251</v>
      </c>
      <c r="D51" s="33">
        <v>143.2056</v>
      </c>
      <c r="E51" s="33">
        <v>101.0032</v>
      </c>
      <c r="F51" s="33">
        <v>74.13678</v>
      </c>
      <c r="G51" s="33">
        <v>215.7198</v>
      </c>
      <c r="H51" s="33">
        <v>60.48373</v>
      </c>
      <c r="I51" s="33">
        <v>464.0192</v>
      </c>
      <c r="J51" s="33">
        <v>322.09</v>
      </c>
      <c r="K51" s="33">
        <v>460.98</v>
      </c>
      <c r="L51" s="33">
        <v>319.68</v>
      </c>
      <c r="M51" s="33">
        <v>116.3783</v>
      </c>
      <c r="N51" s="33">
        <v>168.99</v>
      </c>
      <c r="O51" s="33">
        <v>1150.04</v>
      </c>
      <c r="P51" s="33">
        <v>331.5654</v>
      </c>
      <c r="Q51" s="33">
        <v>66.49786</v>
      </c>
      <c r="R51" s="33">
        <v>307.7374</v>
      </c>
      <c r="S51" s="33">
        <v>516.03</v>
      </c>
      <c r="T51" s="33">
        <v>106.9842</v>
      </c>
      <c r="U51" s="33">
        <v>111.4566</v>
      </c>
      <c r="V51" s="33">
        <v>231.0769</v>
      </c>
      <c r="W51" s="33">
        <v>96.14</v>
      </c>
      <c r="X51" s="33">
        <v>159.6916</v>
      </c>
      <c r="Y51" s="33">
        <v>16.57626</v>
      </c>
      <c r="Z51" s="33">
        <v>231.683</v>
      </c>
      <c r="AA51" s="33">
        <v>726.05</v>
      </c>
      <c r="AB51" s="33">
        <v>208.091</v>
      </c>
      <c r="AC51" s="33">
        <v>75.0581</v>
      </c>
      <c r="AD51" s="33">
        <v>212.1236</v>
      </c>
      <c r="AE51" s="33">
        <v>478.47</v>
      </c>
      <c r="AF51" s="33">
        <v>57.04185</v>
      </c>
      <c r="AG51" s="33">
        <v>227.5</v>
      </c>
      <c r="AH51" s="33">
        <v>123.23</v>
      </c>
      <c r="AI51" s="33">
        <v>200.72</v>
      </c>
      <c r="AJ51" s="33">
        <v>103.51</v>
      </c>
      <c r="AK51" s="33">
        <v>17.83347</v>
      </c>
      <c r="AL51" s="33">
        <v>162.81</v>
      </c>
      <c r="AM51" s="33">
        <v>133.8749</v>
      </c>
      <c r="AN51" s="33">
        <v>47.11305</v>
      </c>
      <c r="AO51" s="33">
        <v>389.1779</v>
      </c>
      <c r="AP51" s="33">
        <v>158.5143</v>
      </c>
      <c r="AQ51" s="33">
        <v>144.4295</v>
      </c>
      <c r="AR51" s="33">
        <v>92.66</v>
      </c>
      <c r="AS51" s="33">
        <v>64.00053</v>
      </c>
      <c r="AT51" s="33">
        <v>136.7182</v>
      </c>
      <c r="AU51" s="33">
        <v>156.7169</v>
      </c>
      <c r="AV51" s="33">
        <v>132.878</v>
      </c>
      <c r="AW51" s="33">
        <v>145.1376</v>
      </c>
      <c r="AX51" s="33">
        <v>139.4449</v>
      </c>
      <c r="AY51" s="33">
        <v>118.2892</v>
      </c>
      <c r="AZ51" s="33">
        <v>245.8</v>
      </c>
      <c r="BA51" s="33">
        <v>534.55</v>
      </c>
      <c r="BB51" s="33">
        <v>114.6211</v>
      </c>
      <c r="BC51" s="33">
        <v>120.04</v>
      </c>
      <c r="BD51" s="33">
        <v>69.85614</v>
      </c>
      <c r="BE51" s="33">
        <v>21.33369</v>
      </c>
      <c r="BF51" s="33">
        <v>117.4689</v>
      </c>
      <c r="BG51" s="33">
        <v>3168.04</v>
      </c>
      <c r="BH51" s="33">
        <v>49.84648</v>
      </c>
      <c r="BI51" s="33">
        <v>160.7</v>
      </c>
      <c r="BJ51" s="33">
        <v>43.84</v>
      </c>
      <c r="BK51" s="33">
        <v>212.4885</v>
      </c>
      <c r="BL51" s="33">
        <v>96.38727</v>
      </c>
      <c r="BM51" s="33">
        <v>106.2085</v>
      </c>
      <c r="BN51" s="33">
        <v>133.666</v>
      </c>
      <c r="BO51" s="33">
        <v>271.3774</v>
      </c>
      <c r="BP51" s="33">
        <v>126.3902</v>
      </c>
      <c r="BQ51" s="33">
        <v>95.32053</v>
      </c>
      <c r="BR51" s="33">
        <v>10.89001</v>
      </c>
      <c r="BS51" s="33">
        <v>2028.45</v>
      </c>
      <c r="BT51" s="33">
        <v>19.98</v>
      </c>
      <c r="BU51" s="33">
        <v>104.0008</v>
      </c>
      <c r="BV51" s="33">
        <v>389.2156</v>
      </c>
      <c r="BW51" s="33">
        <v>31.22626</v>
      </c>
      <c r="BX51" s="33">
        <v>139.1882</v>
      </c>
      <c r="BY51" s="33">
        <v>145.8101</v>
      </c>
      <c r="BZ51" s="33">
        <v>136.3026</v>
      </c>
      <c r="CA51" s="33">
        <v>50.0187</v>
      </c>
      <c r="CB51" s="33">
        <v>140.0847</v>
      </c>
      <c r="CC51" s="33">
        <v>71.90919</v>
      </c>
      <c r="CD51" s="33">
        <v>59.44068</v>
      </c>
      <c r="CE51" s="33">
        <v>151.5573</v>
      </c>
      <c r="CF51" s="33">
        <v>66.12519</v>
      </c>
      <c r="CG51" s="33">
        <v>243.5497</v>
      </c>
      <c r="CH51" s="33">
        <v>56.22072</v>
      </c>
      <c r="CI51" s="33">
        <v>184.1794</v>
      </c>
      <c r="CJ51" s="33">
        <v>84.23401</v>
      </c>
      <c r="CK51" s="33">
        <v>31.57567</v>
      </c>
      <c r="CL51" s="33">
        <v>69.63595</v>
      </c>
      <c r="CM51" s="33">
        <v>46.44417</v>
      </c>
      <c r="CN51" s="33">
        <v>61.58483</v>
      </c>
      <c r="CO51" s="33">
        <v>92.4391</v>
      </c>
      <c r="CP51" s="33">
        <v>86.74788</v>
      </c>
      <c r="CQ51" s="33">
        <v>198.4382</v>
      </c>
      <c r="CR51" s="33">
        <v>48.86689</v>
      </c>
      <c r="CS51" s="33">
        <v>20.47706</v>
      </c>
      <c r="CT51" s="33">
        <v>31.48</v>
      </c>
      <c r="CU51" s="33">
        <v>18.89</v>
      </c>
      <c r="CV51" s="33">
        <v>167.2739</v>
      </c>
      <c r="CW51" s="33">
        <v>283.6904</v>
      </c>
      <c r="CX51" s="33">
        <v>5.92</v>
      </c>
      <c r="CY51" s="33">
        <v>11</v>
      </c>
      <c r="CZ51" s="33">
        <v>59.29</v>
      </c>
      <c r="DA51" s="33">
        <v>28.39</v>
      </c>
      <c r="DB51" s="33">
        <v>18.58</v>
      </c>
      <c r="DC51" s="33">
        <v>41.66559</v>
      </c>
      <c r="DD51" s="33">
        <v>2.581728</v>
      </c>
      <c r="DE51" s="33">
        <v>202.7348</v>
      </c>
      <c r="DF51" s="33">
        <v>54.62</v>
      </c>
      <c r="DG51" s="33">
        <v>9.12</v>
      </c>
      <c r="DH51" s="33">
        <v>74.71</v>
      </c>
      <c r="DI51" s="33">
        <v>35.54631</v>
      </c>
      <c r="DJ51" s="33">
        <v>82.58043</v>
      </c>
      <c r="DK51" s="33">
        <v>38.60217</v>
      </c>
      <c r="DL51" s="33">
        <v>98.04662</v>
      </c>
      <c r="DM51" s="33">
        <v>45.50789</v>
      </c>
      <c r="DN51" s="33">
        <v>46.5135</v>
      </c>
      <c r="DO51" s="33">
        <v>15.73476</v>
      </c>
      <c r="DP51" s="33">
        <v>13.33053</v>
      </c>
      <c r="DQ51" s="33">
        <v>38.85304</v>
      </c>
      <c r="DR51" s="33">
        <v>20.39589</v>
      </c>
      <c r="DS51" s="33">
        <v>18.07074</v>
      </c>
      <c r="DT51" s="33">
        <v>6.183036</v>
      </c>
      <c r="DU51" s="33">
        <v>12.26</v>
      </c>
      <c r="DV51" s="34">
        <v>12.834328</v>
      </c>
      <c r="DW51" s="33">
        <v>567.6</v>
      </c>
      <c r="DX51" s="33">
        <v>210.0754</v>
      </c>
      <c r="DY51" s="33">
        <v>60.13427</v>
      </c>
      <c r="DZ51" s="33">
        <v>9.08</v>
      </c>
      <c r="EA51" s="35">
        <v>3621.63</v>
      </c>
    </row>
    <row r="52" ht="14.8" spans="1:131">
      <c r="A52" s="32">
        <v>44166</v>
      </c>
      <c r="B52" s="33">
        <v>154.5168</v>
      </c>
      <c r="C52" s="33">
        <v>35.73491</v>
      </c>
      <c r="D52" s="33">
        <v>166.8593</v>
      </c>
      <c r="E52" s="33">
        <v>103.4853</v>
      </c>
      <c r="F52" s="33">
        <v>75.4371</v>
      </c>
      <c r="G52" s="33">
        <v>224.8929</v>
      </c>
      <c r="H52" s="33">
        <v>60.12509</v>
      </c>
      <c r="I52" s="33">
        <v>464.8176</v>
      </c>
      <c r="J52" s="33">
        <v>370</v>
      </c>
      <c r="K52" s="33">
        <v>499.87</v>
      </c>
      <c r="L52" s="33">
        <v>369.72</v>
      </c>
      <c r="M52" s="33">
        <v>117.9612</v>
      </c>
      <c r="N52" s="33">
        <v>179.17</v>
      </c>
      <c r="O52" s="33">
        <v>1139.68</v>
      </c>
      <c r="P52" s="33">
        <v>345.7018</v>
      </c>
      <c r="Q52" s="33">
        <v>66.99815</v>
      </c>
      <c r="R52" s="33">
        <v>317.1912</v>
      </c>
      <c r="S52" s="33">
        <v>483.11</v>
      </c>
      <c r="T52" s="33">
        <v>108.2397</v>
      </c>
      <c r="U52" s="33">
        <v>114.8287</v>
      </c>
      <c r="V52" s="33">
        <v>242.601</v>
      </c>
      <c r="W52" s="33">
        <v>104.07</v>
      </c>
      <c r="X52" s="33">
        <v>164.7897</v>
      </c>
      <c r="Y52" s="33">
        <v>18.46844</v>
      </c>
      <c r="Z52" s="33">
        <v>246.8563</v>
      </c>
      <c r="AA52" s="33">
        <v>818.1</v>
      </c>
      <c r="AB52" s="33">
        <v>211.4035</v>
      </c>
      <c r="AC52" s="33">
        <v>79.17262</v>
      </c>
      <c r="AD52" s="33">
        <v>220.9746</v>
      </c>
      <c r="AE52" s="33">
        <v>500.12</v>
      </c>
      <c r="AF52" s="33">
        <v>63.92996</v>
      </c>
      <c r="AG52" s="33">
        <v>259.24</v>
      </c>
      <c r="AH52" s="33">
        <v>148.53</v>
      </c>
      <c r="AI52" s="33">
        <v>216.4</v>
      </c>
      <c r="AJ52" s="33">
        <v>104.99</v>
      </c>
      <c r="AK52" s="33">
        <v>20.46503</v>
      </c>
      <c r="AL52" s="33">
        <v>175.94</v>
      </c>
      <c r="AM52" s="33">
        <v>130.4135</v>
      </c>
      <c r="AN52" s="33">
        <v>48.89854</v>
      </c>
      <c r="AO52" s="33">
        <v>424.3278</v>
      </c>
      <c r="AP52" s="33">
        <v>161.3454</v>
      </c>
      <c r="AQ52" s="33">
        <v>149.5032</v>
      </c>
      <c r="AR52" s="33">
        <v>91.71</v>
      </c>
      <c r="AS52" s="33">
        <v>75.07506</v>
      </c>
      <c r="AT52" s="33">
        <v>145.2213</v>
      </c>
      <c r="AU52" s="33">
        <v>157.3005</v>
      </c>
      <c r="AV52" s="33">
        <v>136.961</v>
      </c>
      <c r="AW52" s="33">
        <v>141.77</v>
      </c>
      <c r="AX52" s="33">
        <v>151.5501</v>
      </c>
      <c r="AY52" s="33">
        <v>132.0695</v>
      </c>
      <c r="AZ52" s="33">
        <v>222.53</v>
      </c>
      <c r="BA52" s="33">
        <v>550.43</v>
      </c>
      <c r="BB52" s="33">
        <v>117.468</v>
      </c>
      <c r="BC52" s="33">
        <v>132.09</v>
      </c>
      <c r="BD52" s="33">
        <v>70.61117</v>
      </c>
      <c r="BE52" s="33">
        <v>23.92136</v>
      </c>
      <c r="BF52" s="33">
        <v>121.4492</v>
      </c>
      <c r="BG52" s="33">
        <v>3256.93</v>
      </c>
      <c r="BH52" s="33">
        <v>49.82383</v>
      </c>
      <c r="BI52" s="33">
        <v>177.91</v>
      </c>
      <c r="BJ52" s="33">
        <v>41.64</v>
      </c>
      <c r="BK52" s="33">
        <v>210.94</v>
      </c>
      <c r="BL52" s="33">
        <v>105.6941</v>
      </c>
      <c r="BM52" s="33">
        <v>117.1658</v>
      </c>
      <c r="BN52" s="33">
        <v>140.3841</v>
      </c>
      <c r="BO52" s="33">
        <v>259.8438</v>
      </c>
      <c r="BP52" s="33">
        <v>134.0806</v>
      </c>
      <c r="BQ52" s="33">
        <v>92.65509</v>
      </c>
      <c r="BR52" s="33">
        <v>11.42594</v>
      </c>
      <c r="BS52" s="33">
        <v>2227.27</v>
      </c>
      <c r="BT52" s="33">
        <v>21.66</v>
      </c>
      <c r="BU52" s="33">
        <v>107.1936</v>
      </c>
      <c r="BV52" s="33">
        <v>380.1835</v>
      </c>
      <c r="BW52" s="33">
        <v>29.92282</v>
      </c>
      <c r="BX52" s="33">
        <v>139.3856</v>
      </c>
      <c r="BY52" s="33">
        <v>155.4946</v>
      </c>
      <c r="BZ52" s="33">
        <v>136.5676</v>
      </c>
      <c r="CA52" s="33">
        <v>53.57622</v>
      </c>
      <c r="CB52" s="33">
        <v>144.0377</v>
      </c>
      <c r="CC52" s="33">
        <v>78.59224</v>
      </c>
      <c r="CD52" s="33">
        <v>58.75924</v>
      </c>
      <c r="CE52" s="33">
        <v>155.3328</v>
      </c>
      <c r="CF52" s="33">
        <v>69.32832</v>
      </c>
      <c r="CG52" s="33">
        <v>264.8377</v>
      </c>
      <c r="CH52" s="33">
        <v>57.2189</v>
      </c>
      <c r="CI52" s="33">
        <v>192.0122</v>
      </c>
      <c r="CJ52" s="33">
        <v>84.10615</v>
      </c>
      <c r="CK52" s="33">
        <v>33.62196</v>
      </c>
      <c r="CL52" s="33">
        <v>72.53705</v>
      </c>
      <c r="CM52" s="33">
        <v>45.88306</v>
      </c>
      <c r="CN52" s="33">
        <v>60.50928</v>
      </c>
      <c r="CO52" s="33">
        <v>94.52538</v>
      </c>
      <c r="CP52" s="33">
        <v>86.45129</v>
      </c>
      <c r="CQ52" s="33">
        <v>198.4409</v>
      </c>
      <c r="CR52" s="33">
        <v>47.23538</v>
      </c>
      <c r="CS52" s="33">
        <v>20.67074</v>
      </c>
      <c r="CT52" s="33">
        <v>33.31</v>
      </c>
      <c r="CU52" s="33">
        <v>19.61</v>
      </c>
      <c r="CV52" s="33">
        <v>165.6673</v>
      </c>
      <c r="CW52" s="33">
        <v>257.0022</v>
      </c>
      <c r="CX52" s="33">
        <v>5.8</v>
      </c>
      <c r="CY52" s="33">
        <v>24.9</v>
      </c>
      <c r="CZ52" s="33">
        <v>58.48</v>
      </c>
      <c r="DA52" s="33">
        <v>26.82</v>
      </c>
      <c r="DB52" s="33">
        <v>20.79</v>
      </c>
      <c r="DC52" s="33">
        <v>42.51616</v>
      </c>
      <c r="DD52" s="33">
        <v>2.708858</v>
      </c>
      <c r="DE52" s="33">
        <v>194.58</v>
      </c>
      <c r="DF52" s="33">
        <v>57</v>
      </c>
      <c r="DG52" s="33">
        <v>9.32</v>
      </c>
      <c r="DH52" s="33">
        <v>78.21</v>
      </c>
      <c r="DI52" s="33">
        <v>39.35404</v>
      </c>
      <c r="DJ52" s="33">
        <v>81.17152</v>
      </c>
      <c r="DK52" s="33">
        <v>39.02176</v>
      </c>
      <c r="DL52" s="33">
        <v>111.0214</v>
      </c>
      <c r="DM52" s="33">
        <v>48.41038</v>
      </c>
      <c r="DN52" s="33">
        <v>52.04424</v>
      </c>
      <c r="DO52" s="33">
        <v>17.28227</v>
      </c>
      <c r="DP52" s="33">
        <v>15.06474</v>
      </c>
      <c r="DQ52" s="33">
        <v>47.61029</v>
      </c>
      <c r="DR52" s="33">
        <v>21.41618</v>
      </c>
      <c r="DS52" s="33">
        <v>20.35985</v>
      </c>
      <c r="DT52" s="33">
        <v>6.994048</v>
      </c>
      <c r="DU52" s="33">
        <v>13.73</v>
      </c>
      <c r="DV52" s="34">
        <v>14.128712</v>
      </c>
      <c r="DW52" s="33">
        <v>705.67</v>
      </c>
      <c r="DX52" s="33">
        <v>228.3951</v>
      </c>
      <c r="DY52" s="33">
        <v>69.77396</v>
      </c>
      <c r="DZ52" s="33">
        <v>8.79</v>
      </c>
      <c r="EA52" s="35">
        <v>3756.07</v>
      </c>
    </row>
    <row r="53" ht="14.8" spans="1:131">
      <c r="A53" s="32">
        <v>44197</v>
      </c>
      <c r="B53" s="33">
        <v>160.1622</v>
      </c>
      <c r="C53" s="33">
        <v>34.85148</v>
      </c>
      <c r="D53" s="33">
        <v>205.5303</v>
      </c>
      <c r="E53" s="33">
        <v>98.97504</v>
      </c>
      <c r="F53" s="33">
        <v>71.63631</v>
      </c>
      <c r="G53" s="33">
        <v>236.1512</v>
      </c>
      <c r="H53" s="33">
        <v>60.01847</v>
      </c>
      <c r="I53" s="33">
        <v>508.8843</v>
      </c>
      <c r="J53" s="33">
        <v>426.44</v>
      </c>
      <c r="K53" s="33">
        <v>478.68</v>
      </c>
      <c r="L53" s="33">
        <v>374.85</v>
      </c>
      <c r="M53" s="33">
        <v>119.6337</v>
      </c>
      <c r="N53" s="33">
        <v>177.8</v>
      </c>
      <c r="O53" s="33">
        <v>1168.1</v>
      </c>
      <c r="P53" s="33">
        <v>330.0277</v>
      </c>
      <c r="Q53" s="33">
        <v>70.28429</v>
      </c>
      <c r="R53" s="33">
        <v>294.2393</v>
      </c>
      <c r="S53" s="33">
        <v>503.84</v>
      </c>
      <c r="T53" s="33">
        <v>122.1787</v>
      </c>
      <c r="U53" s="33">
        <v>109.6784</v>
      </c>
      <c r="V53" s="33">
        <v>219.3841</v>
      </c>
      <c r="W53" s="33">
        <v>115.05</v>
      </c>
      <c r="X53" s="33">
        <v>153.5879</v>
      </c>
      <c r="Y53" s="33">
        <v>16.7438</v>
      </c>
      <c r="Z53" s="33">
        <v>259.1661</v>
      </c>
      <c r="AA53" s="33">
        <v>747.64</v>
      </c>
      <c r="AB53" s="33">
        <v>200.4733</v>
      </c>
      <c r="AC53" s="33">
        <v>76.05203</v>
      </c>
      <c r="AD53" s="33">
        <v>230.4527</v>
      </c>
      <c r="AE53" s="33">
        <v>458.77</v>
      </c>
      <c r="AF53" s="33">
        <v>59.72001</v>
      </c>
      <c r="AG53" s="33">
        <v>255.45</v>
      </c>
      <c r="AH53" s="33">
        <v>144.75</v>
      </c>
      <c r="AI53" s="33">
        <v>194.07</v>
      </c>
      <c r="AJ53" s="33">
        <v>111.03</v>
      </c>
      <c r="AK53" s="33">
        <v>20.75063</v>
      </c>
      <c r="AL53" s="33">
        <v>195.95</v>
      </c>
      <c r="AM53" s="33">
        <v>129.8001</v>
      </c>
      <c r="AN53" s="33">
        <v>54.48329</v>
      </c>
      <c r="AO53" s="33">
        <v>440.3071</v>
      </c>
      <c r="AP53" s="33">
        <v>162.8789</v>
      </c>
      <c r="AQ53" s="33">
        <v>154.0317</v>
      </c>
      <c r="AR53" s="33">
        <v>85.64</v>
      </c>
      <c r="AS53" s="33">
        <v>78.16074</v>
      </c>
      <c r="AT53" s="33">
        <v>145.4693</v>
      </c>
      <c r="AU53" s="33">
        <v>159.1246</v>
      </c>
      <c r="AV53" s="33">
        <v>134.9776</v>
      </c>
      <c r="AW53" s="33">
        <v>130.57</v>
      </c>
      <c r="AX53" s="33">
        <v>167.7776</v>
      </c>
      <c r="AY53" s="33">
        <v>131.3429</v>
      </c>
      <c r="AZ53" s="33">
        <v>225.56</v>
      </c>
      <c r="BA53" s="33">
        <v>543.16</v>
      </c>
      <c r="BB53" s="33">
        <v>113.3372</v>
      </c>
      <c r="BC53" s="33">
        <v>141.59</v>
      </c>
      <c r="BD53" s="33">
        <v>65.88514</v>
      </c>
      <c r="BE53" s="33">
        <v>23.87375</v>
      </c>
      <c r="BF53" s="33">
        <v>114.9175</v>
      </c>
      <c r="BG53" s="33">
        <v>3206.2</v>
      </c>
      <c r="BH53" s="33">
        <v>56.03075</v>
      </c>
      <c r="BI53" s="33">
        <v>199.09</v>
      </c>
      <c r="BJ53" s="33">
        <v>50.68</v>
      </c>
      <c r="BK53" s="33">
        <v>204.3143</v>
      </c>
      <c r="BL53" s="33">
        <v>95.64633</v>
      </c>
      <c r="BM53" s="33">
        <v>114.9724</v>
      </c>
      <c r="BN53" s="33">
        <v>132.8313</v>
      </c>
      <c r="BO53" s="33">
        <v>266.3753</v>
      </c>
      <c r="BP53" s="33">
        <v>131.6972</v>
      </c>
      <c r="BQ53" s="33">
        <v>87.52415</v>
      </c>
      <c r="BR53" s="33">
        <v>10.6202</v>
      </c>
      <c r="BS53" s="33">
        <v>1944.33</v>
      </c>
      <c r="BT53" s="33">
        <v>18.67</v>
      </c>
      <c r="BU53" s="33">
        <v>100.2126</v>
      </c>
      <c r="BV53" s="33">
        <v>368.3415</v>
      </c>
      <c r="BW53" s="33">
        <v>32.79522</v>
      </c>
      <c r="BX53" s="33">
        <v>140.5358</v>
      </c>
      <c r="BY53" s="33">
        <v>147.4602</v>
      </c>
      <c r="BZ53" s="33">
        <v>125.8397</v>
      </c>
      <c r="CA53" s="33">
        <v>47.04039</v>
      </c>
      <c r="CB53" s="33">
        <v>133.5898</v>
      </c>
      <c r="CC53" s="33">
        <v>76.70503</v>
      </c>
      <c r="CD53" s="33">
        <v>56.79281</v>
      </c>
      <c r="CE53" s="33">
        <v>156.7609</v>
      </c>
      <c r="CF53" s="33">
        <v>62.16839</v>
      </c>
      <c r="CG53" s="33">
        <v>235.4478</v>
      </c>
      <c r="CH53" s="33">
        <v>54.5477</v>
      </c>
      <c r="CI53" s="33">
        <v>192.1484</v>
      </c>
      <c r="CJ53" s="33">
        <v>76.71944</v>
      </c>
      <c r="CK53" s="33">
        <v>32.50641</v>
      </c>
      <c r="CL53" s="33">
        <v>69.85085</v>
      </c>
      <c r="CM53" s="33">
        <v>46.12916</v>
      </c>
      <c r="CN53" s="33">
        <v>57.31025</v>
      </c>
      <c r="CO53" s="33">
        <v>88.8521</v>
      </c>
      <c r="CP53" s="33">
        <v>83.67629</v>
      </c>
      <c r="CQ53" s="33">
        <v>205.851</v>
      </c>
      <c r="CR53" s="33">
        <v>47.00092</v>
      </c>
      <c r="CS53" s="33">
        <v>23.38725</v>
      </c>
      <c r="CT53" s="33">
        <v>30.99</v>
      </c>
      <c r="CU53" s="33">
        <v>19.38</v>
      </c>
      <c r="CV53" s="33">
        <v>152.4847</v>
      </c>
      <c r="CW53" s="33">
        <v>233.4888</v>
      </c>
      <c r="CX53" s="33">
        <v>5.8</v>
      </c>
      <c r="CY53" s="33">
        <v>20.4</v>
      </c>
      <c r="CZ53" s="33">
        <v>61.06</v>
      </c>
      <c r="DA53" s="33">
        <v>26.33</v>
      </c>
      <c r="DB53" s="33">
        <v>18.32</v>
      </c>
      <c r="DC53" s="33">
        <v>46.1829</v>
      </c>
      <c r="DD53" s="33">
        <v>2.718638</v>
      </c>
      <c r="DE53" s="33">
        <v>193.5463</v>
      </c>
      <c r="DF53" s="33">
        <v>52.63</v>
      </c>
      <c r="DG53" s="33">
        <v>10.36</v>
      </c>
      <c r="DH53" s="33">
        <v>76.92</v>
      </c>
      <c r="DI53" s="33">
        <v>42.81017</v>
      </c>
      <c r="DJ53" s="33">
        <v>81.8924</v>
      </c>
      <c r="DK53" s="33">
        <v>39.06078</v>
      </c>
      <c r="DL53" s="33">
        <v>118.4436</v>
      </c>
      <c r="DM53" s="33">
        <v>49.46848</v>
      </c>
      <c r="DN53" s="33">
        <v>53.4534</v>
      </c>
      <c r="DO53" s="33">
        <v>20.03834</v>
      </c>
      <c r="DP53" s="33">
        <v>15.79469</v>
      </c>
      <c r="DQ53" s="33">
        <v>55.76502</v>
      </c>
      <c r="DR53" s="33">
        <v>21.92077</v>
      </c>
      <c r="DS53" s="33">
        <v>19.61772</v>
      </c>
      <c r="DT53" s="33">
        <v>7.953869</v>
      </c>
      <c r="DU53" s="33">
        <v>12.38</v>
      </c>
      <c r="DV53" s="34">
        <v>14.218323</v>
      </c>
      <c r="DW53" s="33">
        <v>793.53</v>
      </c>
      <c r="DX53" s="33">
        <v>207.1597</v>
      </c>
      <c r="DY53" s="33">
        <v>69.23193</v>
      </c>
      <c r="DZ53" s="33">
        <v>10.53</v>
      </c>
      <c r="EA53" s="35">
        <v>3714.24</v>
      </c>
    </row>
    <row r="54" ht="14.8" spans="1:131">
      <c r="A54" s="32">
        <v>44228</v>
      </c>
      <c r="B54" s="33">
        <v>155.5771</v>
      </c>
      <c r="C54" s="33">
        <v>32.86556</v>
      </c>
      <c r="D54" s="33">
        <v>202.4864</v>
      </c>
      <c r="E54" s="33">
        <v>105.2722</v>
      </c>
      <c r="F54" s="33">
        <v>67.50005</v>
      </c>
      <c r="G54" s="33">
        <v>220.0022</v>
      </c>
      <c r="H54" s="33">
        <v>59.92077</v>
      </c>
      <c r="I54" s="33">
        <v>449.3597</v>
      </c>
      <c r="J54" s="33">
        <v>439.41</v>
      </c>
      <c r="K54" s="33">
        <v>520.17</v>
      </c>
      <c r="L54" s="33">
        <v>397.78</v>
      </c>
      <c r="M54" s="33">
        <v>121.7245</v>
      </c>
      <c r="N54" s="33">
        <v>192.79</v>
      </c>
      <c r="O54" s="33">
        <v>1116.05</v>
      </c>
      <c r="P54" s="33">
        <v>328.6822</v>
      </c>
      <c r="Q54" s="33">
        <v>67.27841</v>
      </c>
      <c r="R54" s="33">
        <v>300.392</v>
      </c>
      <c r="S54" s="33">
        <v>450.57</v>
      </c>
      <c r="T54" s="33">
        <v>118.8892</v>
      </c>
      <c r="U54" s="33">
        <v>115.2347</v>
      </c>
      <c r="V54" s="33">
        <v>240.9046</v>
      </c>
      <c r="W54" s="33">
        <v>113.71</v>
      </c>
      <c r="X54" s="33">
        <v>154.8132</v>
      </c>
      <c r="Y54" s="33">
        <v>14.63481</v>
      </c>
      <c r="Z54" s="33">
        <v>238.733</v>
      </c>
      <c r="AA54" s="33">
        <v>736.8</v>
      </c>
      <c r="AB54" s="33">
        <v>191.7311</v>
      </c>
      <c r="AC54" s="33">
        <v>76.90332</v>
      </c>
      <c r="AD54" s="33">
        <v>230.8699</v>
      </c>
      <c r="AE54" s="33">
        <v>459.67</v>
      </c>
      <c r="AF54" s="33">
        <v>63.99603</v>
      </c>
      <c r="AG54" s="33">
        <v>245.21</v>
      </c>
      <c r="AH54" s="33">
        <v>168.85</v>
      </c>
      <c r="AI54" s="33">
        <v>194.03</v>
      </c>
      <c r="AJ54" s="33">
        <v>94.5</v>
      </c>
      <c r="AK54" s="33">
        <v>19.21427</v>
      </c>
      <c r="AL54" s="33">
        <v>189.98</v>
      </c>
      <c r="AM54" s="33">
        <v>137.0421</v>
      </c>
      <c r="AN54" s="33">
        <v>59.65582</v>
      </c>
      <c r="AO54" s="33">
        <v>459.2389</v>
      </c>
      <c r="AP54" s="33">
        <v>170.3742</v>
      </c>
      <c r="AQ54" s="33">
        <v>134.2308</v>
      </c>
      <c r="AR54" s="33">
        <v>84.51</v>
      </c>
      <c r="AS54" s="33">
        <v>91.40224</v>
      </c>
      <c r="AT54" s="33">
        <v>153.852</v>
      </c>
      <c r="AU54" s="33">
        <v>181.0195</v>
      </c>
      <c r="AV54" s="33">
        <v>151.3602</v>
      </c>
      <c r="AW54" s="33">
        <v>130.3</v>
      </c>
      <c r="AX54" s="33">
        <v>176.2731</v>
      </c>
      <c r="AY54" s="33">
        <v>120.6929</v>
      </c>
      <c r="AZ54" s="33">
        <v>216.5</v>
      </c>
      <c r="BA54" s="33">
        <v>533.46</v>
      </c>
      <c r="BB54" s="33">
        <v>122.3757</v>
      </c>
      <c r="BC54" s="33">
        <v>141.52</v>
      </c>
      <c r="BD54" s="33">
        <v>65.6259</v>
      </c>
      <c r="BE54" s="33">
        <v>28.41505</v>
      </c>
      <c r="BF54" s="33">
        <v>114.7439</v>
      </c>
      <c r="BG54" s="33">
        <v>3092.93</v>
      </c>
      <c r="BH54" s="33">
        <v>55.94151</v>
      </c>
      <c r="BI54" s="33">
        <v>220.27</v>
      </c>
      <c r="BJ54" s="33">
        <v>51.33</v>
      </c>
      <c r="BK54" s="33">
        <v>202.6431</v>
      </c>
      <c r="BL54" s="33">
        <v>106.7315</v>
      </c>
      <c r="BM54" s="33">
        <v>135.4917</v>
      </c>
      <c r="BN54" s="33">
        <v>134.0145</v>
      </c>
      <c r="BO54" s="33">
        <v>254.1001</v>
      </c>
      <c r="BP54" s="33">
        <v>129.3074</v>
      </c>
      <c r="BQ54" s="33">
        <v>84.90897</v>
      </c>
      <c r="BR54" s="33">
        <v>10.6202</v>
      </c>
      <c r="BS54" s="33">
        <v>2328.51</v>
      </c>
      <c r="BT54" s="33">
        <v>26.75</v>
      </c>
      <c r="BU54" s="33">
        <v>102.227</v>
      </c>
      <c r="BV54" s="33">
        <v>344.2496</v>
      </c>
      <c r="BW54" s="33">
        <v>43.97906</v>
      </c>
      <c r="BX54" s="33">
        <v>157.6095</v>
      </c>
      <c r="BY54" s="33">
        <v>158.5439</v>
      </c>
      <c r="BZ54" s="33">
        <v>121.9775</v>
      </c>
      <c r="CA54" s="33">
        <v>47.86103</v>
      </c>
      <c r="CB54" s="33">
        <v>126.3709</v>
      </c>
      <c r="CC54" s="33">
        <v>80.91345</v>
      </c>
      <c r="CD54" s="33">
        <v>50.67936</v>
      </c>
      <c r="CE54" s="33">
        <v>154.2863</v>
      </c>
      <c r="CF54" s="33">
        <v>57.24966</v>
      </c>
      <c r="CG54" s="33">
        <v>284.4078</v>
      </c>
      <c r="CH54" s="33">
        <v>52.30439</v>
      </c>
      <c r="CI54" s="33">
        <v>198.1806</v>
      </c>
      <c r="CJ54" s="33">
        <v>74.3782</v>
      </c>
      <c r="CK54" s="33">
        <v>35.29045</v>
      </c>
      <c r="CL54" s="33">
        <v>78.24574</v>
      </c>
      <c r="CM54" s="33">
        <v>45.89273</v>
      </c>
      <c r="CN54" s="33">
        <v>56.11426</v>
      </c>
      <c r="CO54" s="33">
        <v>83.63251</v>
      </c>
      <c r="CP54" s="33">
        <v>78.04699</v>
      </c>
      <c r="CQ54" s="33">
        <v>178.8672</v>
      </c>
      <c r="CR54" s="33">
        <v>44.77735</v>
      </c>
      <c r="CS54" s="33">
        <v>22.55964</v>
      </c>
      <c r="CT54" s="33">
        <v>36.46</v>
      </c>
      <c r="CU54" s="33">
        <v>22.39</v>
      </c>
      <c r="CV54" s="33">
        <v>155.2688</v>
      </c>
      <c r="CW54" s="33">
        <v>252.4981</v>
      </c>
      <c r="CX54" s="33">
        <v>6.77</v>
      </c>
      <c r="CY54" s="33">
        <v>24.56</v>
      </c>
      <c r="CZ54" s="33">
        <v>58.56</v>
      </c>
      <c r="DA54" s="33">
        <v>27.86</v>
      </c>
      <c r="DB54" s="33">
        <v>23.78</v>
      </c>
      <c r="DC54" s="33">
        <v>58.77733</v>
      </c>
      <c r="DD54" s="33">
        <v>2.938672</v>
      </c>
      <c r="DE54" s="33">
        <v>214.2678</v>
      </c>
      <c r="DF54" s="33">
        <v>57.58</v>
      </c>
      <c r="DG54" s="33">
        <v>10.14</v>
      </c>
      <c r="DH54" s="33">
        <v>83.98</v>
      </c>
      <c r="DI54" s="33">
        <v>51.90876</v>
      </c>
      <c r="DJ54" s="33">
        <v>96.11785</v>
      </c>
      <c r="DK54" s="33">
        <v>50.75072</v>
      </c>
      <c r="DL54" s="33">
        <v>145.5514</v>
      </c>
      <c r="DM54" s="33">
        <v>63.0615</v>
      </c>
      <c r="DN54" s="33">
        <v>64.89073</v>
      </c>
      <c r="DO54" s="33">
        <v>26.58127</v>
      </c>
      <c r="DP54" s="33">
        <v>20.66936</v>
      </c>
      <c r="DQ54" s="33">
        <v>68.14959</v>
      </c>
      <c r="DR54" s="33">
        <v>27.54654</v>
      </c>
      <c r="DS54" s="33">
        <v>23.90451</v>
      </c>
      <c r="DT54" s="33">
        <v>8.22</v>
      </c>
      <c r="DU54" s="33">
        <v>15.1</v>
      </c>
      <c r="DV54" s="34">
        <v>19.672935</v>
      </c>
      <c r="DW54" s="33">
        <v>675.5</v>
      </c>
      <c r="DX54" s="33">
        <v>196.4127</v>
      </c>
      <c r="DY54" s="33">
        <v>82.97976</v>
      </c>
      <c r="DZ54" s="33">
        <v>11.7</v>
      </c>
      <c r="EA54" s="35">
        <v>3811.15</v>
      </c>
    </row>
    <row r="55" ht="14.8" spans="1:131">
      <c r="A55" s="32">
        <v>44256</v>
      </c>
      <c r="B55" s="33">
        <v>162.3662</v>
      </c>
      <c r="C55" s="33">
        <v>35.55447</v>
      </c>
      <c r="D55" s="33">
        <v>185.3994</v>
      </c>
      <c r="E55" s="33">
        <v>105.7412</v>
      </c>
      <c r="F55" s="33">
        <v>71.65489</v>
      </c>
      <c r="G55" s="33">
        <v>245.1795</v>
      </c>
      <c r="H55" s="33">
        <v>61.6794</v>
      </c>
      <c r="I55" s="33">
        <v>455.6497</v>
      </c>
      <c r="J55" s="33">
        <v>384.06</v>
      </c>
      <c r="K55" s="33">
        <v>489.31</v>
      </c>
      <c r="L55" s="33">
        <v>359.39</v>
      </c>
      <c r="M55" s="33">
        <v>126.7802</v>
      </c>
      <c r="N55" s="33">
        <v>193.14</v>
      </c>
      <c r="O55" s="33">
        <v>1155.69</v>
      </c>
      <c r="P55" s="33">
        <v>368.1078</v>
      </c>
      <c r="Q55" s="33">
        <v>74.28967</v>
      </c>
      <c r="R55" s="33">
        <v>355.6374</v>
      </c>
      <c r="S55" s="33">
        <v>473.14</v>
      </c>
      <c r="T55" s="33">
        <v>118.9487</v>
      </c>
      <c r="U55" s="33">
        <v>116.3775</v>
      </c>
      <c r="V55" s="33">
        <v>241.788</v>
      </c>
      <c r="W55" s="33">
        <v>105.31</v>
      </c>
      <c r="X55" s="33">
        <v>157.0471</v>
      </c>
      <c r="Y55" s="33">
        <v>13.76756</v>
      </c>
      <c r="Z55" s="33">
        <v>240.7129</v>
      </c>
      <c r="AA55" s="33">
        <v>738.94</v>
      </c>
      <c r="AB55" s="33">
        <v>193.3416</v>
      </c>
      <c r="AC55" s="33">
        <v>83.74731</v>
      </c>
      <c r="AD55" s="33">
        <v>234.7774</v>
      </c>
      <c r="AE55" s="33">
        <v>475.37</v>
      </c>
      <c r="AF55" s="33">
        <v>69.61092</v>
      </c>
      <c r="AG55" s="33">
        <v>247.78</v>
      </c>
      <c r="AH55" s="33">
        <v>184.42</v>
      </c>
      <c r="AI55" s="33">
        <v>198.76</v>
      </c>
      <c r="AJ55" s="33">
        <v>101.9</v>
      </c>
      <c r="AK55" s="33">
        <v>21.0641</v>
      </c>
      <c r="AL55" s="33">
        <v>208.62</v>
      </c>
      <c r="AM55" s="33">
        <v>133.3824</v>
      </c>
      <c r="AN55" s="33">
        <v>63.19755</v>
      </c>
      <c r="AO55" s="33">
        <v>453.1694</v>
      </c>
      <c r="AP55" s="33">
        <v>186.9102</v>
      </c>
      <c r="AQ55" s="33">
        <v>130.6825</v>
      </c>
      <c r="AR55" s="33">
        <v>78.5</v>
      </c>
      <c r="AS55" s="33">
        <v>88.08687</v>
      </c>
      <c r="AT55" s="33">
        <v>153.7773</v>
      </c>
      <c r="AU55" s="33">
        <v>199.652</v>
      </c>
      <c r="AV55" s="33">
        <v>154.3131</v>
      </c>
      <c r="AW55" s="33">
        <v>123.9</v>
      </c>
      <c r="AX55" s="33">
        <v>182.3669</v>
      </c>
      <c r="AY55" s="33">
        <v>121.7604</v>
      </c>
      <c r="AZ55" s="33">
        <v>211.87</v>
      </c>
      <c r="BA55" s="33">
        <v>500.11</v>
      </c>
      <c r="BB55" s="33">
        <v>130.1019</v>
      </c>
      <c r="BC55" s="33">
        <v>143.4</v>
      </c>
      <c r="BD55" s="33">
        <v>70.50466</v>
      </c>
      <c r="BE55" s="33">
        <v>31.1418</v>
      </c>
      <c r="BF55" s="33">
        <v>130.2875</v>
      </c>
      <c r="BG55" s="33">
        <v>3094.08</v>
      </c>
      <c r="BH55" s="33">
        <v>60.91306</v>
      </c>
      <c r="BI55" s="33">
        <v>201.67</v>
      </c>
      <c r="BJ55" s="33">
        <v>57.46</v>
      </c>
      <c r="BK55" s="33">
        <v>221.6935</v>
      </c>
      <c r="BL55" s="33">
        <v>108.4162</v>
      </c>
      <c r="BM55" s="33">
        <v>140.0992</v>
      </c>
      <c r="BN55" s="33">
        <v>132.4039</v>
      </c>
      <c r="BO55" s="33">
        <v>300.2402</v>
      </c>
      <c r="BP55" s="33">
        <v>131.7168</v>
      </c>
      <c r="BQ55" s="33">
        <v>84.40941</v>
      </c>
      <c r="BR55" s="33">
        <v>11.45695</v>
      </c>
      <c r="BS55" s="33">
        <v>2329.84</v>
      </c>
      <c r="BT55" s="33">
        <v>26.54</v>
      </c>
      <c r="BU55" s="33">
        <v>107.3304</v>
      </c>
      <c r="BV55" s="33">
        <v>365.3908</v>
      </c>
      <c r="BW55" s="33">
        <v>49.77213</v>
      </c>
      <c r="BX55" s="33">
        <v>176.1083</v>
      </c>
      <c r="BY55" s="33">
        <v>181.4233</v>
      </c>
      <c r="BZ55" s="33">
        <v>133.728</v>
      </c>
      <c r="CA55" s="33">
        <v>51.4953</v>
      </c>
      <c r="CB55" s="33">
        <v>138.3633</v>
      </c>
      <c r="CC55" s="33">
        <v>85.45893</v>
      </c>
      <c r="CD55" s="33">
        <v>54.86914</v>
      </c>
      <c r="CE55" s="33">
        <v>162.1024</v>
      </c>
      <c r="CF55" s="33">
        <v>62.32705</v>
      </c>
      <c r="CG55" s="33">
        <v>289.8945</v>
      </c>
      <c r="CH55" s="33">
        <v>57.58796</v>
      </c>
      <c r="CI55" s="33">
        <v>204.7278</v>
      </c>
      <c r="CJ55" s="33">
        <v>77.96854</v>
      </c>
      <c r="CK55" s="33">
        <v>38.80204</v>
      </c>
      <c r="CL55" s="33">
        <v>77.37122</v>
      </c>
      <c r="CM55" s="33">
        <v>47.28821</v>
      </c>
      <c r="CN55" s="33">
        <v>61.54969</v>
      </c>
      <c r="CO55" s="33">
        <v>88.47502</v>
      </c>
      <c r="CP55" s="33">
        <v>86.8358</v>
      </c>
      <c r="CQ55" s="33">
        <v>190.5546</v>
      </c>
      <c r="CR55" s="33">
        <v>49.49335</v>
      </c>
      <c r="CS55" s="33">
        <v>26.32277</v>
      </c>
      <c r="CT55" s="33">
        <v>38.12</v>
      </c>
      <c r="CU55" s="33">
        <v>23.79</v>
      </c>
      <c r="CV55" s="33">
        <v>168.2903</v>
      </c>
      <c r="CW55" s="33">
        <v>281.8057</v>
      </c>
      <c r="CX55" s="33">
        <v>6.95</v>
      </c>
      <c r="CY55" s="33">
        <v>23.77</v>
      </c>
      <c r="CZ55" s="33">
        <v>60.91</v>
      </c>
      <c r="DA55" s="33">
        <v>31.41</v>
      </c>
      <c r="DB55" s="33">
        <v>42.54</v>
      </c>
      <c r="DC55" s="33">
        <v>70.2213</v>
      </c>
      <c r="DD55" s="33">
        <v>3.11099</v>
      </c>
      <c r="DE55" s="33">
        <v>239.8478</v>
      </c>
      <c r="DF55" s="33">
        <v>67.28</v>
      </c>
      <c r="DG55" s="33">
        <v>9.92</v>
      </c>
      <c r="DH55" s="33">
        <v>91.84</v>
      </c>
      <c r="DI55" s="33">
        <v>54.20787</v>
      </c>
      <c r="DJ55" s="33">
        <v>102.1457</v>
      </c>
      <c r="DK55" s="33">
        <v>52.16218</v>
      </c>
      <c r="DL55" s="33">
        <v>155.5932</v>
      </c>
      <c r="DM55" s="33">
        <v>70.8465</v>
      </c>
      <c r="DN55" s="33">
        <v>70.06972</v>
      </c>
      <c r="DO55" s="33">
        <v>26.59126</v>
      </c>
      <c r="DP55" s="33">
        <v>20.96683</v>
      </c>
      <c r="DQ55" s="33">
        <v>72.29089</v>
      </c>
      <c r="DR55" s="33">
        <v>26.96182</v>
      </c>
      <c r="DS55" s="33">
        <v>21.27543</v>
      </c>
      <c r="DT55" s="33">
        <v>7.72</v>
      </c>
      <c r="DU55" s="33">
        <v>13.72</v>
      </c>
      <c r="DV55" s="34">
        <v>17.848228</v>
      </c>
      <c r="DW55" s="33">
        <v>667.93</v>
      </c>
      <c r="DX55" s="33">
        <v>208.2543</v>
      </c>
      <c r="DY55" s="33">
        <v>86.76411</v>
      </c>
      <c r="DZ55" s="33">
        <v>12.25</v>
      </c>
      <c r="EA55" s="35">
        <v>3972.89</v>
      </c>
    </row>
    <row r="56" ht="14.8" spans="1:131">
      <c r="A56" s="32">
        <v>44287</v>
      </c>
      <c r="B56" s="33">
        <v>160.7657</v>
      </c>
      <c r="C56" s="33">
        <v>37.92935</v>
      </c>
      <c r="D56" s="33">
        <v>181.3802</v>
      </c>
      <c r="E56" s="33">
        <v>108.946</v>
      </c>
      <c r="F56" s="33">
        <v>69.85591</v>
      </c>
      <c r="G56" s="33">
        <v>236.1433</v>
      </c>
      <c r="H56" s="33">
        <v>61.46141</v>
      </c>
      <c r="I56" s="33">
        <v>469.7486</v>
      </c>
      <c r="J56" s="33">
        <v>392.84</v>
      </c>
      <c r="K56" s="33">
        <v>548.99</v>
      </c>
      <c r="L56" s="33">
        <v>386.1</v>
      </c>
      <c r="M56" s="33">
        <v>133.2618</v>
      </c>
      <c r="N56" s="33">
        <v>234.69</v>
      </c>
      <c r="O56" s="33">
        <v>1313.32</v>
      </c>
      <c r="P56" s="33">
        <v>395.9549</v>
      </c>
      <c r="Q56" s="33">
        <v>75.44505</v>
      </c>
      <c r="R56" s="33">
        <v>377.1437</v>
      </c>
      <c r="S56" s="33">
        <v>481.3</v>
      </c>
      <c r="T56" s="33">
        <v>119.187</v>
      </c>
      <c r="U56" s="33">
        <v>129.6261</v>
      </c>
      <c r="V56" s="33">
        <v>261.3782</v>
      </c>
      <c r="W56" s="33">
        <v>112.47</v>
      </c>
      <c r="X56" s="33">
        <v>172.5543</v>
      </c>
      <c r="Y56" s="33">
        <v>13.10727</v>
      </c>
      <c r="Z56" s="33">
        <v>247.1498</v>
      </c>
      <c r="AA56" s="33">
        <v>865</v>
      </c>
      <c r="AB56" s="33">
        <v>187.3128</v>
      </c>
      <c r="AC56" s="33">
        <v>85.08784</v>
      </c>
      <c r="AD56" s="33">
        <v>251.1183</v>
      </c>
      <c r="AE56" s="33">
        <v>508.34</v>
      </c>
      <c r="AF56" s="33">
        <v>75.18615</v>
      </c>
      <c r="AG56" s="33">
        <v>247.06</v>
      </c>
      <c r="AH56" s="33">
        <v>204.23</v>
      </c>
      <c r="AI56" s="33">
        <v>218.77</v>
      </c>
      <c r="AJ56" s="33">
        <v>108.7</v>
      </c>
      <c r="AK56" s="33">
        <v>21.41087</v>
      </c>
      <c r="AL56" s="33">
        <v>186.76</v>
      </c>
      <c r="AM56" s="33">
        <v>150.0342</v>
      </c>
      <c r="AN56" s="33">
        <v>56.80867</v>
      </c>
      <c r="AO56" s="33">
        <v>449.3635</v>
      </c>
      <c r="AP56" s="33">
        <v>178.5235</v>
      </c>
      <c r="AQ56" s="33">
        <v>137.4552</v>
      </c>
      <c r="AR56" s="33">
        <v>81.62</v>
      </c>
      <c r="AS56" s="33">
        <v>85.94986</v>
      </c>
      <c r="AT56" s="33">
        <v>151.8735</v>
      </c>
      <c r="AU56" s="33">
        <v>191.4679</v>
      </c>
      <c r="AV56" s="33">
        <v>149.4119</v>
      </c>
      <c r="AW56" s="33">
        <v>127.96</v>
      </c>
      <c r="AX56" s="33">
        <v>180.23</v>
      </c>
      <c r="AY56" s="33">
        <v>131.0408</v>
      </c>
      <c r="AZ56" s="33">
        <v>230.32</v>
      </c>
      <c r="BA56" s="33">
        <v>506.37</v>
      </c>
      <c r="BB56" s="33">
        <v>136.0704</v>
      </c>
      <c r="BC56" s="33">
        <v>144.35</v>
      </c>
      <c r="BD56" s="33">
        <v>70.68432</v>
      </c>
      <c r="BE56" s="33">
        <v>33.67319</v>
      </c>
      <c r="BF56" s="33">
        <v>138.7153</v>
      </c>
      <c r="BG56" s="33">
        <v>3467.42</v>
      </c>
      <c r="BH56" s="33">
        <v>55.49215</v>
      </c>
      <c r="BI56" s="33">
        <v>198.79</v>
      </c>
      <c r="BJ56" s="33">
        <v>57.22</v>
      </c>
      <c r="BK56" s="33">
        <v>233.5032</v>
      </c>
      <c r="BL56" s="33">
        <v>113.5954</v>
      </c>
      <c r="BM56" s="33">
        <v>144.756</v>
      </c>
      <c r="BN56" s="33">
        <v>132.1349</v>
      </c>
      <c r="BO56" s="33">
        <v>320.3529</v>
      </c>
      <c r="BP56" s="33">
        <v>145.6569</v>
      </c>
      <c r="BQ56" s="33">
        <v>93.2747</v>
      </c>
      <c r="BR56" s="33">
        <v>11.52561</v>
      </c>
      <c r="BS56" s="33">
        <v>2466.08</v>
      </c>
      <c r="BT56" s="33">
        <v>27.96</v>
      </c>
      <c r="BU56" s="33">
        <v>118.5814</v>
      </c>
      <c r="BV56" s="33">
        <v>420.6884</v>
      </c>
      <c r="BW56" s="33">
        <v>53.02269</v>
      </c>
      <c r="BX56" s="33">
        <v>187.565</v>
      </c>
      <c r="BY56" s="33">
        <v>198.1778</v>
      </c>
      <c r="BZ56" s="33">
        <v>131.7432</v>
      </c>
      <c r="CA56" s="33">
        <v>53.17498</v>
      </c>
      <c r="CB56" s="33">
        <v>142.1402</v>
      </c>
      <c r="CC56" s="33">
        <v>92.71604</v>
      </c>
      <c r="CD56" s="33">
        <v>57.70941</v>
      </c>
      <c r="CE56" s="33">
        <v>177.048</v>
      </c>
      <c r="CF56" s="33">
        <v>70.36958</v>
      </c>
      <c r="CG56" s="33">
        <v>312.7691</v>
      </c>
      <c r="CH56" s="33">
        <v>60.14609</v>
      </c>
      <c r="CI56" s="33">
        <v>215.7556</v>
      </c>
      <c r="CJ56" s="33">
        <v>79.8181</v>
      </c>
      <c r="CK56" s="33">
        <v>40.46305</v>
      </c>
      <c r="CL56" s="33">
        <v>83.72871</v>
      </c>
      <c r="CM56" s="33">
        <v>45.72448</v>
      </c>
      <c r="CN56" s="33">
        <v>61.29948</v>
      </c>
      <c r="CO56" s="33">
        <v>89.6658</v>
      </c>
      <c r="CP56" s="33">
        <v>85.23528</v>
      </c>
      <c r="CQ56" s="33">
        <v>180.2998</v>
      </c>
      <c r="CR56" s="33">
        <v>47.01228</v>
      </c>
      <c r="CS56" s="33">
        <v>26.49969</v>
      </c>
      <c r="CT56" s="33">
        <v>41.46</v>
      </c>
      <c r="CU56" s="33">
        <v>23.96</v>
      </c>
      <c r="CV56" s="33">
        <v>201.8216</v>
      </c>
      <c r="CW56" s="33">
        <v>288.7763</v>
      </c>
      <c r="CX56" s="33">
        <v>6.68</v>
      </c>
      <c r="CY56" s="33">
        <v>22.54</v>
      </c>
      <c r="CZ56" s="33">
        <v>64.06</v>
      </c>
      <c r="DA56" s="33">
        <v>32.7</v>
      </c>
      <c r="DB56" s="33">
        <v>41.88</v>
      </c>
      <c r="DC56" s="33">
        <v>72.60626</v>
      </c>
      <c r="DD56" s="33">
        <v>3.800133</v>
      </c>
      <c r="DE56" s="33">
        <v>257.4404</v>
      </c>
      <c r="DF56" s="33">
        <v>65.72</v>
      </c>
      <c r="DG56" s="33">
        <v>10.19</v>
      </c>
      <c r="DH56" s="33">
        <v>92.44</v>
      </c>
      <c r="DI56" s="33">
        <v>55.57691</v>
      </c>
      <c r="DJ56" s="33">
        <v>100.4691</v>
      </c>
      <c r="DK56" s="33">
        <v>50.36009</v>
      </c>
      <c r="DL56" s="33">
        <v>151.2264</v>
      </c>
      <c r="DM56" s="33">
        <v>71.93074</v>
      </c>
      <c r="DN56" s="33">
        <v>74.04209</v>
      </c>
      <c r="DO56" s="33">
        <v>25.34114</v>
      </c>
      <c r="DP56" s="33">
        <v>22.71151</v>
      </c>
      <c r="DQ56" s="33">
        <v>80.8519</v>
      </c>
      <c r="DR56" s="33">
        <v>26.82299</v>
      </c>
      <c r="DS56" s="33">
        <v>19.76911</v>
      </c>
      <c r="DT56" s="33">
        <v>7.4</v>
      </c>
      <c r="DU56" s="33">
        <v>14.95</v>
      </c>
      <c r="DV56" s="34">
        <v>19.942156</v>
      </c>
      <c r="DW56" s="33">
        <v>709.44</v>
      </c>
      <c r="DX56" s="33">
        <v>212.3442</v>
      </c>
      <c r="DY56" s="33">
        <v>93.5052</v>
      </c>
      <c r="DZ56" s="33">
        <v>11.54</v>
      </c>
      <c r="EA56" s="35">
        <v>4181.17</v>
      </c>
    </row>
    <row r="57" ht="14.8" spans="1:131">
      <c r="A57" s="32">
        <v>44317</v>
      </c>
      <c r="B57" s="33">
        <v>167.207</v>
      </c>
      <c r="C57" s="33">
        <v>38.00786</v>
      </c>
      <c r="D57" s="33">
        <v>198.2212</v>
      </c>
      <c r="E57" s="33">
        <v>111.9519</v>
      </c>
      <c r="F57" s="33">
        <v>71.15927</v>
      </c>
      <c r="G57" s="33">
        <v>234.4681</v>
      </c>
      <c r="H57" s="33">
        <v>64.71073</v>
      </c>
      <c r="I57" s="33">
        <v>469.0193</v>
      </c>
      <c r="J57" s="33">
        <v>405.64</v>
      </c>
      <c r="K57" s="33">
        <v>558.11</v>
      </c>
      <c r="L57" s="33">
        <v>369.39</v>
      </c>
      <c r="M57" s="33">
        <v>137.9487</v>
      </c>
      <c r="N57" s="33">
        <v>240.16</v>
      </c>
      <c r="O57" s="33">
        <v>1300.95</v>
      </c>
      <c r="P57" s="33">
        <v>408.9813</v>
      </c>
      <c r="Q57" s="33">
        <v>85.91966</v>
      </c>
      <c r="R57" s="33">
        <v>395.8622</v>
      </c>
      <c r="S57" s="33">
        <v>502.43</v>
      </c>
      <c r="T57" s="33">
        <v>116.2076</v>
      </c>
      <c r="U57" s="33">
        <v>125.3389</v>
      </c>
      <c r="V57" s="33">
        <v>254.0533</v>
      </c>
      <c r="W57" s="33">
        <v>104.83</v>
      </c>
      <c r="X57" s="33">
        <v>176.4567</v>
      </c>
      <c r="Y57" s="33">
        <v>15.01916</v>
      </c>
      <c r="Z57" s="33">
        <v>240.2759</v>
      </c>
      <c r="AA57" s="33">
        <v>842.18</v>
      </c>
      <c r="AB57" s="33">
        <v>205.1303</v>
      </c>
      <c r="AC57" s="33">
        <v>81.54292</v>
      </c>
      <c r="AD57" s="33">
        <v>248.6288</v>
      </c>
      <c r="AE57" s="33">
        <v>504.58</v>
      </c>
      <c r="AF57" s="33">
        <v>78.45061</v>
      </c>
      <c r="AG57" s="33">
        <v>254.34</v>
      </c>
      <c r="AH57" s="33">
        <v>218.54</v>
      </c>
      <c r="AI57" s="33">
        <v>219.92</v>
      </c>
      <c r="AJ57" s="33">
        <v>114.21</v>
      </c>
      <c r="AK57" s="33">
        <v>27.40512</v>
      </c>
      <c r="AL57" s="33">
        <v>185.43</v>
      </c>
      <c r="AM57" s="33">
        <v>162.3792</v>
      </c>
      <c r="AN57" s="33">
        <v>56.40381</v>
      </c>
      <c r="AO57" s="33">
        <v>465.2517</v>
      </c>
      <c r="AP57" s="33">
        <v>188.7672</v>
      </c>
      <c r="AQ57" s="33">
        <v>133.2364</v>
      </c>
      <c r="AR57" s="33">
        <v>80.08</v>
      </c>
      <c r="AS57" s="33">
        <v>84.02255</v>
      </c>
      <c r="AT57" s="33">
        <v>163.2174</v>
      </c>
      <c r="AU57" s="33">
        <v>210.2755</v>
      </c>
      <c r="AV57" s="33">
        <v>156.033</v>
      </c>
      <c r="AW57" s="33">
        <v>127</v>
      </c>
      <c r="AX57" s="33">
        <v>168.9687</v>
      </c>
      <c r="AY57" s="33">
        <v>124.2126</v>
      </c>
      <c r="AZ57" s="33">
        <v>238.1</v>
      </c>
      <c r="BA57" s="33">
        <v>473.88</v>
      </c>
      <c r="BB57" s="33">
        <v>141.0277</v>
      </c>
      <c r="BC57" s="33">
        <v>142.38</v>
      </c>
      <c r="BD57" s="33">
        <v>72.38106</v>
      </c>
      <c r="BE57" s="33">
        <v>28.85568</v>
      </c>
      <c r="BF57" s="33">
        <v>140.5338</v>
      </c>
      <c r="BG57" s="33">
        <v>3223.07</v>
      </c>
      <c r="BH57" s="33">
        <v>60.55498</v>
      </c>
      <c r="BI57" s="33">
        <v>164.73</v>
      </c>
      <c r="BJ57" s="33">
        <v>59.31</v>
      </c>
      <c r="BK57" s="33">
        <v>231.3371</v>
      </c>
      <c r="BL57" s="33">
        <v>112.9901</v>
      </c>
      <c r="BM57" s="33">
        <v>142.1711</v>
      </c>
      <c r="BN57" s="33">
        <v>135.9608</v>
      </c>
      <c r="BO57" s="33">
        <v>315.6416</v>
      </c>
      <c r="BP57" s="33">
        <v>146.6434</v>
      </c>
      <c r="BQ57" s="33">
        <v>81.83949</v>
      </c>
      <c r="BR57" s="33">
        <v>11.57466</v>
      </c>
      <c r="BS57" s="33">
        <v>2361.55</v>
      </c>
      <c r="BT57" s="33">
        <v>29.56</v>
      </c>
      <c r="BU57" s="33">
        <v>119.0278</v>
      </c>
      <c r="BV57" s="33">
        <v>425.2007</v>
      </c>
      <c r="BW57" s="33">
        <v>56.21692</v>
      </c>
      <c r="BX57" s="33">
        <v>180.7029</v>
      </c>
      <c r="BY57" s="33">
        <v>187.8511</v>
      </c>
      <c r="BZ57" s="33">
        <v>134.0072</v>
      </c>
      <c r="CA57" s="33">
        <v>54.46545</v>
      </c>
      <c r="CB57" s="33">
        <v>145.8672</v>
      </c>
      <c r="CC57" s="33">
        <v>94.11166</v>
      </c>
      <c r="CD57" s="33">
        <v>58.93789</v>
      </c>
      <c r="CE57" s="33">
        <v>190.7696</v>
      </c>
      <c r="CF57" s="33">
        <v>75.13955</v>
      </c>
      <c r="CG57" s="33">
        <v>305.513</v>
      </c>
      <c r="CH57" s="33">
        <v>62.83639</v>
      </c>
      <c r="CI57" s="33">
        <v>216.7394</v>
      </c>
      <c r="CJ57" s="33">
        <v>83.33102</v>
      </c>
      <c r="CK57" s="33">
        <v>42.71699</v>
      </c>
      <c r="CL57" s="33">
        <v>80.04279</v>
      </c>
      <c r="CM57" s="33">
        <v>48.29095</v>
      </c>
      <c r="CN57" s="33">
        <v>64.31437</v>
      </c>
      <c r="CO57" s="33">
        <v>88.71227</v>
      </c>
      <c r="CP57" s="33">
        <v>85.22535</v>
      </c>
      <c r="CQ57" s="33">
        <v>175.6255</v>
      </c>
      <c r="CR57" s="33">
        <v>48.27465</v>
      </c>
      <c r="CS57" s="33">
        <v>28.20016</v>
      </c>
      <c r="CT57" s="33">
        <v>38.94</v>
      </c>
      <c r="CU57" s="33">
        <v>24.04</v>
      </c>
      <c r="CV57" s="33">
        <v>212.4543</v>
      </c>
      <c r="CW57" s="33">
        <v>313.1469</v>
      </c>
      <c r="CX57" s="33">
        <v>7.69</v>
      </c>
      <c r="CY57" s="33">
        <v>23.24</v>
      </c>
      <c r="CZ57" s="33">
        <v>58.44</v>
      </c>
      <c r="DA57" s="33">
        <v>34.16</v>
      </c>
      <c r="DB57" s="33">
        <v>61.42</v>
      </c>
      <c r="DC57" s="33">
        <v>77.67551</v>
      </c>
      <c r="DD57" s="33">
        <v>3.987187</v>
      </c>
      <c r="DE57" s="33">
        <v>265.0695</v>
      </c>
      <c r="DF57" s="33">
        <v>69.81</v>
      </c>
      <c r="DG57" s="33">
        <v>11.38</v>
      </c>
      <c r="DH57" s="33">
        <v>98.81</v>
      </c>
      <c r="DI57" s="33">
        <v>56.67407</v>
      </c>
      <c r="DJ57" s="33">
        <v>101.1709</v>
      </c>
      <c r="DK57" s="33">
        <v>54.88994</v>
      </c>
      <c r="DL57" s="33">
        <v>149.6142</v>
      </c>
      <c r="DM57" s="33">
        <v>78.91494</v>
      </c>
      <c r="DN57" s="33">
        <v>83.29363</v>
      </c>
      <c r="DO57" s="33">
        <v>25.94069</v>
      </c>
      <c r="DP57" s="33">
        <v>25.80058</v>
      </c>
      <c r="DQ57" s="33">
        <v>79.20972</v>
      </c>
      <c r="DR57" s="33">
        <v>31.06707</v>
      </c>
      <c r="DS57" s="33">
        <v>24.02223</v>
      </c>
      <c r="DT57" s="33">
        <v>8.59</v>
      </c>
      <c r="DU57" s="33">
        <v>16.12</v>
      </c>
      <c r="DV57" s="34">
        <v>20.770386</v>
      </c>
      <c r="DW57" s="33">
        <v>625.22</v>
      </c>
      <c r="DX57" s="33">
        <v>210.91</v>
      </c>
      <c r="DY57" s="33">
        <v>99.61542</v>
      </c>
      <c r="DZ57" s="33">
        <v>14.53</v>
      </c>
      <c r="EA57" s="35">
        <v>4204.11</v>
      </c>
    </row>
    <row r="58" ht="14.8" spans="1:131">
      <c r="A58" s="32">
        <v>44348</v>
      </c>
      <c r="B58" s="33">
        <v>163.7668</v>
      </c>
      <c r="C58" s="33">
        <v>38.80851</v>
      </c>
      <c r="D58" s="33">
        <v>228.7813</v>
      </c>
      <c r="E58" s="33">
        <v>111.3981</v>
      </c>
      <c r="F58" s="33">
        <v>76.42233</v>
      </c>
      <c r="G58" s="33">
        <v>241.8822</v>
      </c>
      <c r="H58" s="33">
        <v>65.79385</v>
      </c>
      <c r="I58" s="33">
        <v>503.9536</v>
      </c>
      <c r="J58" s="33">
        <v>473.21</v>
      </c>
      <c r="K58" s="33">
        <v>631.55</v>
      </c>
      <c r="L58" s="33">
        <v>427</v>
      </c>
      <c r="M58" s="33">
        <v>147.616</v>
      </c>
      <c r="N58" s="33">
        <v>242.32</v>
      </c>
      <c r="O58" s="33">
        <v>1385.34</v>
      </c>
      <c r="P58" s="33">
        <v>397.5832</v>
      </c>
      <c r="Q58" s="33">
        <v>82.93771</v>
      </c>
      <c r="R58" s="33">
        <v>379.5394</v>
      </c>
      <c r="S58" s="33">
        <v>558.54</v>
      </c>
      <c r="T58" s="33">
        <v>115.4903</v>
      </c>
      <c r="U58" s="33">
        <v>122.9032</v>
      </c>
      <c r="V58" s="33">
        <v>258.4921</v>
      </c>
      <c r="W58" s="33">
        <v>108.12</v>
      </c>
      <c r="X58" s="33">
        <v>186.1245</v>
      </c>
      <c r="Y58" s="33">
        <v>14.183</v>
      </c>
      <c r="Z58" s="33">
        <v>241.5673</v>
      </c>
      <c r="AA58" s="33">
        <v>919.64</v>
      </c>
      <c r="AB58" s="33">
        <v>246.151</v>
      </c>
      <c r="AC58" s="33">
        <v>79.93431</v>
      </c>
      <c r="AD58" s="33">
        <v>270.3824</v>
      </c>
      <c r="AE58" s="33">
        <v>585.64</v>
      </c>
      <c r="AF58" s="33">
        <v>77.55392</v>
      </c>
      <c r="AG58" s="33">
        <v>275.79</v>
      </c>
      <c r="AH58" s="33">
        <v>238.19</v>
      </c>
      <c r="AI58" s="33">
        <v>227.69</v>
      </c>
      <c r="AJ58" s="33">
        <v>116.6</v>
      </c>
      <c r="AK58" s="33">
        <v>26.96917</v>
      </c>
      <c r="AL58" s="33">
        <v>186.66</v>
      </c>
      <c r="AM58" s="33">
        <v>199.9439</v>
      </c>
      <c r="AN58" s="33">
        <v>55.77754</v>
      </c>
      <c r="AO58" s="33">
        <v>469.6942</v>
      </c>
      <c r="AP58" s="33">
        <v>191.2335</v>
      </c>
      <c r="AQ58" s="33">
        <v>141.5452</v>
      </c>
      <c r="AR58" s="33">
        <v>93.93</v>
      </c>
      <c r="AS58" s="33">
        <v>84.86138</v>
      </c>
      <c r="AT58" s="33">
        <v>171.4357</v>
      </c>
      <c r="AU58" s="33">
        <v>204.6064</v>
      </c>
      <c r="AV58" s="33">
        <v>149.2845</v>
      </c>
      <c r="AW58" s="33">
        <v>144.64</v>
      </c>
      <c r="AX58" s="33">
        <v>191.1645</v>
      </c>
      <c r="AY58" s="33">
        <v>136.7551</v>
      </c>
      <c r="AZ58" s="33">
        <v>244.27</v>
      </c>
      <c r="BA58" s="33">
        <v>549.55</v>
      </c>
      <c r="BB58" s="33">
        <v>143.4073</v>
      </c>
      <c r="BC58" s="33">
        <v>154.41</v>
      </c>
      <c r="BD58" s="33">
        <v>69.67417</v>
      </c>
      <c r="BE58" s="33">
        <v>29.80339</v>
      </c>
      <c r="BF58" s="33">
        <v>144.9215</v>
      </c>
      <c r="BG58" s="33">
        <v>3440.16</v>
      </c>
      <c r="BH58" s="33">
        <v>70.04704</v>
      </c>
      <c r="BI58" s="33">
        <v>205.84</v>
      </c>
      <c r="BJ58" s="33">
        <v>59.17</v>
      </c>
      <c r="BK58" s="33">
        <v>229.7305</v>
      </c>
      <c r="BL58" s="33">
        <v>111.3777</v>
      </c>
      <c r="BM58" s="33">
        <v>144.9107</v>
      </c>
      <c r="BN58" s="33">
        <v>154.2355</v>
      </c>
      <c r="BO58" s="33">
        <v>315.6219</v>
      </c>
      <c r="BP58" s="33">
        <v>133.592</v>
      </c>
      <c r="BQ58" s="33">
        <v>80.85066</v>
      </c>
      <c r="BR58" s="33">
        <v>11.35335</v>
      </c>
      <c r="BS58" s="33">
        <v>2188.09</v>
      </c>
      <c r="BT58" s="33">
        <v>26.36</v>
      </c>
      <c r="BU58" s="33">
        <v>114.6022</v>
      </c>
      <c r="BV58" s="33">
        <v>464.6657</v>
      </c>
      <c r="BW58" s="33">
        <v>57.97898</v>
      </c>
      <c r="BX58" s="33">
        <v>185.5637</v>
      </c>
      <c r="BY58" s="33">
        <v>203.1085</v>
      </c>
      <c r="BZ58" s="33">
        <v>134.0867</v>
      </c>
      <c r="CA58" s="33">
        <v>53.30304</v>
      </c>
      <c r="CB58" s="33">
        <v>146.094</v>
      </c>
      <c r="CC58" s="33">
        <v>96.72723</v>
      </c>
      <c r="CD58" s="33">
        <v>57.98727</v>
      </c>
      <c r="CE58" s="33">
        <v>189.2296</v>
      </c>
      <c r="CF58" s="33">
        <v>72.01</v>
      </c>
      <c r="CG58" s="33">
        <v>317.5854</v>
      </c>
      <c r="CH58" s="33">
        <v>61.75829</v>
      </c>
      <c r="CI58" s="33">
        <v>221.4402</v>
      </c>
      <c r="CJ58" s="33">
        <v>80.91404</v>
      </c>
      <c r="CK58" s="33">
        <v>40.32839</v>
      </c>
      <c r="CL58" s="33">
        <v>76.8312</v>
      </c>
      <c r="CM58" s="33">
        <v>47.505</v>
      </c>
      <c r="CN58" s="33">
        <v>63.73926</v>
      </c>
      <c r="CO58" s="33">
        <v>87.97516</v>
      </c>
      <c r="CP58" s="33">
        <v>84.9643</v>
      </c>
      <c r="CQ58" s="33">
        <v>178.7857</v>
      </c>
      <c r="CR58" s="33">
        <v>45.21968</v>
      </c>
      <c r="CS58" s="33">
        <v>27.22262</v>
      </c>
      <c r="CT58" s="33">
        <v>38.36</v>
      </c>
      <c r="CU58" s="33">
        <v>22.18</v>
      </c>
      <c r="CV58" s="33">
        <v>206.8769</v>
      </c>
      <c r="CW58" s="33">
        <v>296.7539</v>
      </c>
      <c r="CX58" s="33">
        <v>6.93</v>
      </c>
      <c r="CY58" s="33">
        <v>24.71</v>
      </c>
      <c r="CZ58" s="33">
        <v>69.16</v>
      </c>
      <c r="DA58" s="33">
        <v>30.74</v>
      </c>
      <c r="DB58" s="33">
        <v>61.42</v>
      </c>
      <c r="DC58" s="33">
        <v>58.11995</v>
      </c>
      <c r="DD58" s="33">
        <v>4.983773</v>
      </c>
      <c r="DE58" s="33">
        <v>253.4362</v>
      </c>
      <c r="DF58" s="33">
        <v>65.98</v>
      </c>
      <c r="DG58" s="33">
        <v>11.68</v>
      </c>
      <c r="DH58" s="33">
        <v>91.41</v>
      </c>
      <c r="DI58" s="33">
        <v>62.13948</v>
      </c>
      <c r="DJ58" s="33">
        <v>103.3467</v>
      </c>
      <c r="DK58" s="33">
        <v>60.4379</v>
      </c>
      <c r="DL58" s="33">
        <v>159.7693</v>
      </c>
      <c r="DM58" s="33">
        <v>81.95995</v>
      </c>
      <c r="DN58" s="33">
        <v>86.77165</v>
      </c>
      <c r="DO58" s="33">
        <v>31.24674</v>
      </c>
      <c r="DP58" s="33">
        <v>28.35539</v>
      </c>
      <c r="DQ58" s="33">
        <v>93.34916</v>
      </c>
      <c r="DR58" s="33">
        <v>31.74136</v>
      </c>
      <c r="DS58" s="33">
        <v>22.67573</v>
      </c>
      <c r="DT58" s="33">
        <v>9.05</v>
      </c>
      <c r="DU58" s="33">
        <v>15.32</v>
      </c>
      <c r="DV58" s="34">
        <v>21.599205</v>
      </c>
      <c r="DW58" s="33">
        <v>679.7</v>
      </c>
      <c r="DX58" s="33">
        <v>206.05</v>
      </c>
      <c r="DY58" s="33">
        <v>92.15591</v>
      </c>
      <c r="DZ58" s="33">
        <v>14.86</v>
      </c>
      <c r="EA58" s="35">
        <v>4297.5</v>
      </c>
    </row>
    <row r="59" ht="14.8" spans="1:131">
      <c r="A59" s="32">
        <v>44378</v>
      </c>
      <c r="B59" s="33">
        <v>171.1828</v>
      </c>
      <c r="C59" s="33">
        <v>42.42574</v>
      </c>
      <c r="D59" s="33">
        <v>242.7163</v>
      </c>
      <c r="E59" s="33">
        <v>115.0178</v>
      </c>
      <c r="F59" s="33">
        <v>76.18723</v>
      </c>
      <c r="G59" s="33">
        <v>239.6891</v>
      </c>
      <c r="H59" s="33">
        <v>66.82772</v>
      </c>
      <c r="I59" s="33">
        <v>539.7589</v>
      </c>
      <c r="J59" s="33">
        <v>495.75</v>
      </c>
      <c r="K59" s="33">
        <v>678.53</v>
      </c>
      <c r="L59" s="33">
        <v>515.51</v>
      </c>
      <c r="M59" s="33">
        <v>153.0289</v>
      </c>
      <c r="N59" s="33">
        <v>247.7</v>
      </c>
      <c r="O59" s="33">
        <v>1473.71</v>
      </c>
      <c r="P59" s="33">
        <v>410.7781</v>
      </c>
      <c r="Q59" s="33">
        <v>81.86421</v>
      </c>
      <c r="R59" s="33">
        <v>382.8402</v>
      </c>
      <c r="S59" s="33">
        <v>574.61</v>
      </c>
      <c r="T59" s="33">
        <v>120.5212</v>
      </c>
      <c r="U59" s="33">
        <v>130.6683</v>
      </c>
      <c r="V59" s="33">
        <v>270.3027</v>
      </c>
      <c r="W59" s="33">
        <v>119.81</v>
      </c>
      <c r="X59" s="33">
        <v>202.4438</v>
      </c>
      <c r="Y59" s="33">
        <v>13.96464</v>
      </c>
      <c r="Z59" s="33">
        <v>254.9267</v>
      </c>
      <c r="AA59" s="33">
        <v>991.46</v>
      </c>
      <c r="AB59" s="33">
        <v>271.3932</v>
      </c>
      <c r="AC59" s="33">
        <v>77.0709</v>
      </c>
      <c r="AD59" s="33">
        <v>284.3656</v>
      </c>
      <c r="AE59" s="33">
        <v>621.63</v>
      </c>
      <c r="AF59" s="33">
        <v>86.81974</v>
      </c>
      <c r="AG59" s="33">
        <v>287.99</v>
      </c>
      <c r="AH59" s="33">
        <v>272.24</v>
      </c>
      <c r="AI59" s="33">
        <v>216.37</v>
      </c>
      <c r="AJ59" s="33">
        <v>119.92</v>
      </c>
      <c r="AK59" s="33">
        <v>24.69989</v>
      </c>
      <c r="AL59" s="33">
        <v>206.51</v>
      </c>
      <c r="AM59" s="33">
        <v>194.9556</v>
      </c>
      <c r="AN59" s="33">
        <v>53.37317</v>
      </c>
      <c r="AO59" s="33">
        <v>481.8685</v>
      </c>
      <c r="AP59" s="33">
        <v>189.5628</v>
      </c>
      <c r="AQ59" s="33">
        <v>149.1056</v>
      </c>
      <c r="AR59" s="33">
        <v>106.19</v>
      </c>
      <c r="AS59" s="33">
        <v>77.47171</v>
      </c>
      <c r="AT59" s="33">
        <v>166.7156</v>
      </c>
      <c r="AU59" s="33">
        <v>205.849</v>
      </c>
      <c r="AV59" s="33">
        <v>142.6847</v>
      </c>
      <c r="AW59" s="33">
        <v>149.84</v>
      </c>
      <c r="AX59" s="33">
        <v>183.9466</v>
      </c>
      <c r="AY59" s="33">
        <v>145.6418</v>
      </c>
      <c r="AZ59" s="33">
        <v>241.93</v>
      </c>
      <c r="BA59" s="33">
        <v>587.89</v>
      </c>
      <c r="BB59" s="33">
        <v>156.585</v>
      </c>
      <c r="BC59" s="33">
        <v>164.55</v>
      </c>
      <c r="BD59" s="33">
        <v>72.59142</v>
      </c>
      <c r="BE59" s="33">
        <v>28.68243</v>
      </c>
      <c r="BF59" s="33">
        <v>139.3556</v>
      </c>
      <c r="BG59" s="33">
        <v>3327.59</v>
      </c>
      <c r="BH59" s="33">
        <v>68.05168</v>
      </c>
      <c r="BI59" s="33">
        <v>183.51</v>
      </c>
      <c r="BJ59" s="33">
        <v>56.84</v>
      </c>
      <c r="BK59" s="33">
        <v>241.3866</v>
      </c>
      <c r="BL59" s="33">
        <v>120.9605</v>
      </c>
      <c r="BM59" s="33">
        <v>144.8015</v>
      </c>
      <c r="BN59" s="33">
        <v>167.234</v>
      </c>
      <c r="BO59" s="33">
        <v>326.5298</v>
      </c>
      <c r="BP59" s="33">
        <v>140.5671</v>
      </c>
      <c r="BQ59" s="33">
        <v>80.71095</v>
      </c>
      <c r="BR59" s="33">
        <v>11.45242</v>
      </c>
      <c r="BS59" s="33">
        <v>2178.26</v>
      </c>
      <c r="BT59" s="33">
        <v>21.65</v>
      </c>
      <c r="BU59" s="33">
        <v>130.9013</v>
      </c>
      <c r="BV59" s="33">
        <v>524.5236</v>
      </c>
      <c r="BW59" s="33">
        <v>64.56584</v>
      </c>
      <c r="BX59" s="33">
        <v>180.4474</v>
      </c>
      <c r="BY59" s="33">
        <v>211.0316</v>
      </c>
      <c r="BZ59" s="33">
        <v>141.341</v>
      </c>
      <c r="CA59" s="33">
        <v>56.60281</v>
      </c>
      <c r="CB59" s="33">
        <v>155.8815</v>
      </c>
      <c r="CC59" s="33">
        <v>98.86951</v>
      </c>
      <c r="CD59" s="33">
        <v>57.02577</v>
      </c>
      <c r="CE59" s="33">
        <v>195.666</v>
      </c>
      <c r="CF59" s="33">
        <v>62.98</v>
      </c>
      <c r="CG59" s="33">
        <v>333.3109</v>
      </c>
      <c r="CH59" s="33">
        <v>62.88281</v>
      </c>
      <c r="CI59" s="33">
        <v>225.9767</v>
      </c>
      <c r="CJ59" s="33">
        <v>79.07395</v>
      </c>
      <c r="CK59" s="33">
        <v>38.04398</v>
      </c>
      <c r="CL59" s="33">
        <v>73.32314</v>
      </c>
      <c r="CM59" s="33">
        <v>46.14203</v>
      </c>
      <c r="CN59" s="33">
        <v>62.77816</v>
      </c>
      <c r="CO59" s="33">
        <v>83.84136</v>
      </c>
      <c r="CP59" s="33">
        <v>86.32022</v>
      </c>
      <c r="CQ59" s="33">
        <v>179.7596</v>
      </c>
      <c r="CR59" s="33">
        <v>43.36487</v>
      </c>
      <c r="CS59" s="33">
        <v>24.52712</v>
      </c>
      <c r="CT59" s="33">
        <v>34.34</v>
      </c>
      <c r="CU59" s="33">
        <v>22.15</v>
      </c>
      <c r="CV59" s="33">
        <v>190.3542</v>
      </c>
      <c r="CW59" s="33">
        <v>279.1605</v>
      </c>
      <c r="CX59" s="33">
        <v>6.22</v>
      </c>
      <c r="CY59" s="33">
        <v>30.63</v>
      </c>
      <c r="CZ59" s="33">
        <v>72.66</v>
      </c>
      <c r="DA59" s="33">
        <v>30.93</v>
      </c>
      <c r="DB59" s="33">
        <v>61.28</v>
      </c>
      <c r="DC59" s="33">
        <v>59.03885</v>
      </c>
      <c r="DD59" s="33">
        <v>4.67601</v>
      </c>
      <c r="DE59" s="33">
        <v>268.9668</v>
      </c>
      <c r="DF59" s="33">
        <v>66.28</v>
      </c>
      <c r="DG59" s="33">
        <v>10.75</v>
      </c>
      <c r="DH59" s="33">
        <v>90.32</v>
      </c>
      <c r="DI59" s="33">
        <v>56.71163</v>
      </c>
      <c r="DJ59" s="33">
        <v>100.4556</v>
      </c>
      <c r="DK59" s="33">
        <v>55.63463</v>
      </c>
      <c r="DL59" s="33">
        <v>143.4108</v>
      </c>
      <c r="DM59" s="33">
        <v>71.56762</v>
      </c>
      <c r="DN59" s="33">
        <v>76.17232</v>
      </c>
      <c r="DO59" s="33">
        <v>26.08952</v>
      </c>
      <c r="DP59" s="33">
        <v>25.39495</v>
      </c>
      <c r="DQ59" s="33">
        <v>76.6857</v>
      </c>
      <c r="DR59" s="33">
        <v>28.70257</v>
      </c>
      <c r="DS59" s="33">
        <v>21.05958</v>
      </c>
      <c r="DT59" s="33">
        <v>7.22</v>
      </c>
      <c r="DU59" s="33">
        <v>13.81</v>
      </c>
      <c r="DV59" s="34">
        <v>18.723305</v>
      </c>
      <c r="DW59" s="33">
        <v>687.2</v>
      </c>
      <c r="DX59" s="33">
        <v>218.29</v>
      </c>
      <c r="DY59" s="33">
        <v>83.39195</v>
      </c>
      <c r="DZ59" s="33">
        <v>13.95</v>
      </c>
      <c r="EA59" s="35">
        <v>4395.26</v>
      </c>
    </row>
    <row r="60" ht="14.8" spans="1:131">
      <c r="A60" s="32">
        <v>44409</v>
      </c>
      <c r="B60" s="33">
        <v>172.1073</v>
      </c>
      <c r="C60" s="33">
        <v>46.07</v>
      </c>
      <c r="D60" s="33">
        <v>257.4587</v>
      </c>
      <c r="E60" s="33">
        <v>120.78</v>
      </c>
      <c r="F60" s="33">
        <v>75.61237</v>
      </c>
      <c r="G60" s="33">
        <v>223.8018</v>
      </c>
      <c r="H60" s="33">
        <v>66.31956</v>
      </c>
      <c r="I60" s="33">
        <v>554.692</v>
      </c>
      <c r="J60" s="33">
        <v>457.16</v>
      </c>
      <c r="K60" s="33">
        <v>673.76</v>
      </c>
      <c r="L60" s="33">
        <v>529.42</v>
      </c>
      <c r="M60" s="33">
        <v>175.47</v>
      </c>
      <c r="N60" s="33">
        <v>259.73</v>
      </c>
      <c r="O60" s="33">
        <v>1552.83</v>
      </c>
      <c r="P60" s="33">
        <v>414.814</v>
      </c>
      <c r="Q60" s="33">
        <v>86.39</v>
      </c>
      <c r="R60" s="33">
        <v>373.9873</v>
      </c>
      <c r="S60" s="33">
        <v>673.4</v>
      </c>
      <c r="T60" s="33">
        <v>126.37</v>
      </c>
      <c r="U60" s="33">
        <v>132.8277</v>
      </c>
      <c r="V60" s="33">
        <v>276.4482</v>
      </c>
      <c r="W60" s="33">
        <v>130.44</v>
      </c>
      <c r="X60" s="33">
        <v>204.56</v>
      </c>
      <c r="Y60" s="33">
        <v>14.52045</v>
      </c>
      <c r="Z60" s="33">
        <v>250.8897</v>
      </c>
      <c r="AA60" s="33">
        <v>1053.56</v>
      </c>
      <c r="AB60" s="33">
        <v>290.0951</v>
      </c>
      <c r="AC60" s="33">
        <v>75.94498</v>
      </c>
      <c r="AD60" s="33">
        <v>301.3032</v>
      </c>
      <c r="AE60" s="33">
        <v>663.7</v>
      </c>
      <c r="AF60" s="33">
        <v>89.13</v>
      </c>
      <c r="AG60" s="33">
        <v>332.24</v>
      </c>
      <c r="AH60" s="33">
        <v>315.14</v>
      </c>
      <c r="AI60" s="33">
        <v>216.26</v>
      </c>
      <c r="AJ60" s="33">
        <v>113.25</v>
      </c>
      <c r="AK60" s="33">
        <v>26.43147</v>
      </c>
      <c r="AL60" s="33">
        <v>203.57</v>
      </c>
      <c r="AM60" s="33">
        <v>223.8105</v>
      </c>
      <c r="AN60" s="33">
        <v>53.71097</v>
      </c>
      <c r="AO60" s="33">
        <v>493.5926</v>
      </c>
      <c r="AP60" s="33">
        <v>190.91</v>
      </c>
      <c r="AQ60" s="33">
        <v>146.01</v>
      </c>
      <c r="AR60" s="33">
        <v>110.72</v>
      </c>
      <c r="AS60" s="33">
        <v>73.59712</v>
      </c>
      <c r="AT60" s="33">
        <v>162.2644</v>
      </c>
      <c r="AU60" s="33">
        <v>214.5661</v>
      </c>
      <c r="AV60" s="33">
        <v>156.8814</v>
      </c>
      <c r="AW60" s="33">
        <v>155.59</v>
      </c>
      <c r="AX60" s="33">
        <v>182.8998</v>
      </c>
      <c r="AY60" s="33">
        <v>151.6029</v>
      </c>
      <c r="AZ60" s="33">
        <v>265.27</v>
      </c>
      <c r="BA60" s="33">
        <v>643.64</v>
      </c>
      <c r="BB60" s="33">
        <v>173.7476</v>
      </c>
      <c r="BC60" s="33">
        <v>179.38</v>
      </c>
      <c r="BD60" s="33">
        <v>73.80028</v>
      </c>
      <c r="BE60" s="33">
        <v>29.54678</v>
      </c>
      <c r="BF60" s="33">
        <v>138.7427</v>
      </c>
      <c r="BG60" s="33">
        <v>3470.79</v>
      </c>
      <c r="BH60" s="33">
        <v>76.56188</v>
      </c>
      <c r="BI60" s="33">
        <v>216.26</v>
      </c>
      <c r="BJ60" s="33">
        <v>49.01</v>
      </c>
      <c r="BK60" s="33">
        <v>236.1653</v>
      </c>
      <c r="BL60" s="33">
        <v>117.0357</v>
      </c>
      <c r="BM60" s="33">
        <v>150.65</v>
      </c>
      <c r="BN60" s="33">
        <v>164.4686</v>
      </c>
      <c r="BO60" s="33">
        <v>324.53</v>
      </c>
      <c r="BP60" s="33">
        <v>150.6999</v>
      </c>
      <c r="BQ60" s="33">
        <v>95.75943</v>
      </c>
      <c r="BR60" s="33">
        <v>12.73042</v>
      </c>
      <c r="BS60" s="33">
        <v>2299.67</v>
      </c>
      <c r="BT60" s="33">
        <v>24.14</v>
      </c>
      <c r="BU60" s="33">
        <v>130.5427</v>
      </c>
      <c r="BV60" s="33">
        <v>515.9394</v>
      </c>
      <c r="BW60" s="33">
        <v>67.30972</v>
      </c>
      <c r="BX60" s="33">
        <v>193.7318</v>
      </c>
      <c r="BY60" s="33">
        <v>201.8663</v>
      </c>
      <c r="BZ60" s="33">
        <v>142.39</v>
      </c>
      <c r="CA60" s="33">
        <v>55.8882</v>
      </c>
      <c r="CB60" s="33">
        <v>155.3253</v>
      </c>
      <c r="CC60" s="33">
        <v>101.744</v>
      </c>
      <c r="CD60" s="33">
        <v>55.19199</v>
      </c>
      <c r="CE60" s="33">
        <v>189.6443</v>
      </c>
      <c r="CF60" s="33">
        <v>61.25</v>
      </c>
      <c r="CG60" s="33">
        <v>339.9605</v>
      </c>
      <c r="CH60" s="33">
        <v>61.69991</v>
      </c>
      <c r="CI60" s="33">
        <v>232.4363</v>
      </c>
      <c r="CJ60" s="33">
        <v>77.95</v>
      </c>
      <c r="CK60" s="33">
        <v>35.59144</v>
      </c>
      <c r="CL60" s="33">
        <v>79.18744</v>
      </c>
      <c r="CM60" s="33">
        <v>45.54</v>
      </c>
      <c r="CN60" s="33">
        <v>62.56018</v>
      </c>
      <c r="CO60" s="33">
        <v>86.29</v>
      </c>
      <c r="CP60" s="33">
        <v>83.40898</v>
      </c>
      <c r="CQ60" s="33">
        <v>168.05</v>
      </c>
      <c r="CR60" s="33">
        <v>41.73</v>
      </c>
      <c r="CS60" s="33">
        <v>25.18117</v>
      </c>
      <c r="CT60" s="33">
        <v>34</v>
      </c>
      <c r="CU60" s="33">
        <v>27.84</v>
      </c>
      <c r="CV60" s="33">
        <v>194.6017</v>
      </c>
      <c r="CW60" s="33">
        <v>264.9407</v>
      </c>
      <c r="CX60" s="33">
        <v>6.85</v>
      </c>
      <c r="CY60" s="33">
        <v>34.31</v>
      </c>
      <c r="CZ60" s="33">
        <v>78.4</v>
      </c>
      <c r="DA60" s="33">
        <v>32.88</v>
      </c>
      <c r="DB60" s="33">
        <v>89.67</v>
      </c>
      <c r="DC60" s="33">
        <v>66.64968</v>
      </c>
      <c r="DD60" s="33">
        <v>4.864639</v>
      </c>
      <c r="DE60" s="33">
        <v>288.5235</v>
      </c>
      <c r="DF60" s="33">
        <v>70.2</v>
      </c>
      <c r="DG60" s="33">
        <v>11.7</v>
      </c>
      <c r="DH60" s="33">
        <v>91.83</v>
      </c>
      <c r="DI60" s="33">
        <v>53.7071</v>
      </c>
      <c r="DJ60" s="33">
        <v>95.48268</v>
      </c>
      <c r="DK60" s="33">
        <v>55.53</v>
      </c>
      <c r="DL60" s="33">
        <v>147.6528</v>
      </c>
      <c r="DM60" s="33">
        <v>67.52</v>
      </c>
      <c r="DN60" s="33">
        <v>68.50925</v>
      </c>
      <c r="DO60" s="33">
        <v>25.67969</v>
      </c>
      <c r="DP60" s="33">
        <v>29.04105</v>
      </c>
      <c r="DQ60" s="33">
        <v>76.69564</v>
      </c>
      <c r="DR60" s="33">
        <v>27.91606</v>
      </c>
      <c r="DS60" s="33">
        <v>22.58649</v>
      </c>
      <c r="DT60" s="33">
        <v>6.63</v>
      </c>
      <c r="DU60" s="33">
        <v>13.17</v>
      </c>
      <c r="DV60" s="34">
        <v>19.48</v>
      </c>
      <c r="DW60" s="33">
        <v>735.72</v>
      </c>
      <c r="DX60" s="33">
        <v>217.4</v>
      </c>
      <c r="DY60" s="33">
        <v>78.49767</v>
      </c>
      <c r="DZ60" s="33">
        <v>13.03</v>
      </c>
      <c r="EA60" s="35">
        <v>4522.68</v>
      </c>
    </row>
    <row r="61" ht="14.8" spans="1:131">
      <c r="A61" s="32">
        <v>44440</v>
      </c>
      <c r="B61" s="33">
        <v>161.5</v>
      </c>
      <c r="C61" s="33">
        <v>43.01</v>
      </c>
      <c r="D61" s="33">
        <v>231.05</v>
      </c>
      <c r="E61" s="33">
        <v>107.87</v>
      </c>
      <c r="F61" s="33">
        <v>74.44286</v>
      </c>
      <c r="G61" s="33">
        <v>212.65</v>
      </c>
      <c r="H61" s="33">
        <v>58.69172</v>
      </c>
      <c r="I61" s="33">
        <v>571.0643</v>
      </c>
      <c r="J61" s="33">
        <v>405.61</v>
      </c>
      <c r="K61" s="33">
        <v>621.9</v>
      </c>
      <c r="L61" s="33">
        <v>546.86</v>
      </c>
      <c r="M61" s="33">
        <v>157.53</v>
      </c>
      <c r="N61" s="33">
        <v>239.54</v>
      </c>
      <c r="O61" s="33">
        <v>1377.36</v>
      </c>
      <c r="P61" s="33">
        <v>389.3733</v>
      </c>
      <c r="Q61" s="33">
        <v>84.86</v>
      </c>
      <c r="R61" s="33">
        <v>371.6644</v>
      </c>
      <c r="S61" s="33">
        <v>605.18</v>
      </c>
      <c r="T61" s="33">
        <v>118.13</v>
      </c>
      <c r="U61" s="33">
        <v>124.7374</v>
      </c>
      <c r="V61" s="33">
        <v>263.0997</v>
      </c>
      <c r="W61" s="33">
        <v>133.07</v>
      </c>
      <c r="X61" s="33">
        <v>194.14</v>
      </c>
      <c r="Y61" s="33">
        <v>13.55</v>
      </c>
      <c r="Z61" s="33">
        <v>245.0287</v>
      </c>
      <c r="AA61" s="33">
        <v>994.15</v>
      </c>
      <c r="AB61" s="33">
        <v>263.55</v>
      </c>
      <c r="AC61" s="33">
        <v>80.13979</v>
      </c>
      <c r="AD61" s="33">
        <v>281.92</v>
      </c>
      <c r="AE61" s="33">
        <v>575.72</v>
      </c>
      <c r="AF61" s="33">
        <v>87.13</v>
      </c>
      <c r="AG61" s="33">
        <v>299.41</v>
      </c>
      <c r="AH61" s="33">
        <v>292.04</v>
      </c>
      <c r="AI61" s="33">
        <v>205.01</v>
      </c>
      <c r="AJ61" s="33">
        <v>104.59</v>
      </c>
      <c r="AK61" s="33">
        <v>25.3</v>
      </c>
      <c r="AL61" s="33">
        <v>198.78</v>
      </c>
      <c r="AM61" s="33">
        <v>207.16</v>
      </c>
      <c r="AN61" s="33">
        <v>53.28</v>
      </c>
      <c r="AO61" s="33">
        <v>481.4019</v>
      </c>
      <c r="AP61" s="33">
        <v>192.21</v>
      </c>
      <c r="AQ61" s="33">
        <v>128.3821</v>
      </c>
      <c r="AR61" s="33">
        <v>102.9</v>
      </c>
      <c r="AS61" s="33">
        <v>70.88092</v>
      </c>
      <c r="AT61" s="33">
        <v>167.48</v>
      </c>
      <c r="AU61" s="33">
        <v>195.3565</v>
      </c>
      <c r="AV61" s="33">
        <v>153.49</v>
      </c>
      <c r="AW61" s="33">
        <v>150.99</v>
      </c>
      <c r="AX61" s="33">
        <v>164.78</v>
      </c>
      <c r="AY61" s="33">
        <v>141.5</v>
      </c>
      <c r="AZ61" s="33">
        <v>271.22</v>
      </c>
      <c r="BA61" s="33">
        <v>622.27</v>
      </c>
      <c r="BB61" s="33">
        <v>154.8518</v>
      </c>
      <c r="BC61" s="33">
        <v>164.29</v>
      </c>
      <c r="BD61" s="33">
        <v>70.50339</v>
      </c>
      <c r="BE61" s="33">
        <v>27.18224</v>
      </c>
      <c r="BF61" s="33">
        <v>138.93</v>
      </c>
      <c r="BG61" s="33">
        <v>3285.04</v>
      </c>
      <c r="BH61" s="33">
        <v>69.67</v>
      </c>
      <c r="BI61" s="33">
        <v>207.96</v>
      </c>
      <c r="BJ61" s="33">
        <v>52.71</v>
      </c>
      <c r="BK61" s="33">
        <v>241.11</v>
      </c>
      <c r="BL61" s="33">
        <v>110.31</v>
      </c>
      <c r="BM61" s="33">
        <v>151.47</v>
      </c>
      <c r="BN61" s="33">
        <v>145.23</v>
      </c>
      <c r="BO61" s="33">
        <v>326.5995</v>
      </c>
      <c r="BP61" s="33">
        <v>136.5339</v>
      </c>
      <c r="BQ61" s="33">
        <v>89.97</v>
      </c>
      <c r="BR61" s="33">
        <v>11.48214</v>
      </c>
      <c r="BS61" s="33">
        <v>2373.87</v>
      </c>
      <c r="BT61" s="33">
        <v>25.01</v>
      </c>
      <c r="BU61" s="33">
        <v>122.31</v>
      </c>
      <c r="BV61" s="33">
        <v>476.0828</v>
      </c>
      <c r="BW61" s="33">
        <v>63.03</v>
      </c>
      <c r="BX61" s="33">
        <v>202.61</v>
      </c>
      <c r="BY61" s="33">
        <v>207.877</v>
      </c>
      <c r="BZ61" s="33">
        <v>139.8</v>
      </c>
      <c r="CA61" s="33">
        <v>52.07697</v>
      </c>
      <c r="CB61" s="33">
        <v>149.3861</v>
      </c>
      <c r="CC61" s="33">
        <v>93.63414</v>
      </c>
      <c r="CD61" s="33">
        <v>54.22</v>
      </c>
      <c r="CE61" s="33">
        <v>193</v>
      </c>
      <c r="CF61" s="33">
        <v>56.38</v>
      </c>
      <c r="CG61" s="33">
        <v>299.93</v>
      </c>
      <c r="CH61" s="33">
        <v>57.8331</v>
      </c>
      <c r="CI61" s="33">
        <v>221.3613</v>
      </c>
      <c r="CJ61" s="33">
        <v>75.58</v>
      </c>
      <c r="CK61" s="33">
        <v>36.82</v>
      </c>
      <c r="CL61" s="33">
        <v>78.04411</v>
      </c>
      <c r="CM61" s="33">
        <v>41</v>
      </c>
      <c r="CN61" s="33">
        <v>63.92</v>
      </c>
      <c r="CO61" s="33">
        <v>81.03</v>
      </c>
      <c r="CP61" s="33">
        <v>82.57</v>
      </c>
      <c r="CQ61" s="33">
        <v>165.61</v>
      </c>
      <c r="CR61" s="33">
        <v>41.81</v>
      </c>
      <c r="CS61" s="33">
        <v>22.14</v>
      </c>
      <c r="CT61" s="33">
        <v>34.66</v>
      </c>
      <c r="CU61" s="33">
        <v>29.08</v>
      </c>
      <c r="CV61" s="33">
        <v>182.1</v>
      </c>
      <c r="CW61" s="33">
        <v>218.6715</v>
      </c>
      <c r="CX61" s="33">
        <v>6.39</v>
      </c>
      <c r="CY61" s="33">
        <v>28.68</v>
      </c>
      <c r="CZ61" s="33">
        <v>81.26</v>
      </c>
      <c r="DA61" s="33">
        <v>47.71</v>
      </c>
      <c r="DB61" s="33">
        <v>89.56</v>
      </c>
      <c r="DC61" s="33">
        <v>81.77</v>
      </c>
      <c r="DD61" s="33">
        <v>5.05</v>
      </c>
      <c r="DE61" s="33">
        <v>285.98</v>
      </c>
      <c r="DF61" s="33">
        <v>68.75</v>
      </c>
      <c r="DG61" s="33">
        <v>12.3</v>
      </c>
      <c r="DH61" s="33">
        <v>89.41</v>
      </c>
      <c r="DI61" s="33">
        <v>58.82</v>
      </c>
      <c r="DJ61" s="33">
        <v>101.45</v>
      </c>
      <c r="DK61" s="33">
        <v>67.77</v>
      </c>
      <c r="DL61" s="33">
        <v>164.2659</v>
      </c>
      <c r="DM61" s="33">
        <v>80.27</v>
      </c>
      <c r="DN61" s="33">
        <v>77.83647</v>
      </c>
      <c r="DO61" s="33">
        <v>29.56813</v>
      </c>
      <c r="DP61" s="33">
        <v>34.8984</v>
      </c>
      <c r="DQ61" s="33">
        <v>94.67</v>
      </c>
      <c r="DR61" s="33">
        <v>29.64</v>
      </c>
      <c r="DS61" s="33">
        <v>24.73</v>
      </c>
      <c r="DT61" s="33">
        <v>7.53</v>
      </c>
      <c r="DU61" s="33">
        <v>13.11</v>
      </c>
      <c r="DV61" s="34">
        <v>21.43</v>
      </c>
      <c r="DW61" s="33">
        <v>775.48</v>
      </c>
      <c r="DX61" s="33">
        <v>209.12</v>
      </c>
      <c r="DY61" s="33">
        <v>75.24</v>
      </c>
      <c r="DZ61" s="33">
        <v>14.16</v>
      </c>
      <c r="EA61" s="35">
        <v>4307.54</v>
      </c>
    </row>
    <row r="63" ht="25.2" spans="1:1">
      <c r="A63" s="26" t="s">
        <v>132</v>
      </c>
    </row>
    <row r="64" ht="14" spans="1:130">
      <c r="A64" s="31" t="s">
        <v>1</v>
      </c>
      <c r="B64" s="31" t="s">
        <v>2</v>
      </c>
      <c r="C64" s="31" t="s">
        <v>3</v>
      </c>
      <c r="D64" s="31" t="s">
        <v>4</v>
      </c>
      <c r="E64" s="31" t="s">
        <v>5</v>
      </c>
      <c r="F64" s="31" t="s">
        <v>6</v>
      </c>
      <c r="G64" s="31" t="s">
        <v>7</v>
      </c>
      <c r="H64" s="31" t="s">
        <v>8</v>
      </c>
      <c r="I64" s="31" t="s">
        <v>9</v>
      </c>
      <c r="J64" s="31" t="s">
        <v>10</v>
      </c>
      <c r="K64" s="31" t="s">
        <v>11</v>
      </c>
      <c r="L64" s="31" t="s">
        <v>12</v>
      </c>
      <c r="M64" s="31" t="s">
        <v>13</v>
      </c>
      <c r="N64" s="31" t="s">
        <v>14</v>
      </c>
      <c r="O64" s="31" t="s">
        <v>15</v>
      </c>
      <c r="P64" s="31" t="s">
        <v>16</v>
      </c>
      <c r="Q64" s="31" t="s">
        <v>17</v>
      </c>
      <c r="R64" s="31" t="s">
        <v>18</v>
      </c>
      <c r="S64" s="31" t="s">
        <v>19</v>
      </c>
      <c r="T64" s="31" t="s">
        <v>20</v>
      </c>
      <c r="U64" s="31" t="s">
        <v>21</v>
      </c>
      <c r="V64" s="31" t="s">
        <v>22</v>
      </c>
      <c r="W64" s="31" t="s">
        <v>23</v>
      </c>
      <c r="X64" s="31" t="s">
        <v>24</v>
      </c>
      <c r="Y64" s="31" t="s">
        <v>25</v>
      </c>
      <c r="Z64" s="31" t="s">
        <v>26</v>
      </c>
      <c r="AA64" s="31" t="s">
        <v>27</v>
      </c>
      <c r="AB64" s="31" t="s">
        <v>28</v>
      </c>
      <c r="AC64" s="31" t="s">
        <v>29</v>
      </c>
      <c r="AD64" s="31" t="s">
        <v>30</v>
      </c>
      <c r="AE64" s="31" t="s">
        <v>31</v>
      </c>
      <c r="AF64" s="31" t="s">
        <v>32</v>
      </c>
      <c r="AG64" s="31" t="s">
        <v>33</v>
      </c>
      <c r="AH64" s="31" t="s">
        <v>34</v>
      </c>
      <c r="AI64" s="31" t="s">
        <v>35</v>
      </c>
      <c r="AJ64" s="31" t="s">
        <v>36</v>
      </c>
      <c r="AK64" s="31" t="s">
        <v>37</v>
      </c>
      <c r="AL64" s="31" t="s">
        <v>38</v>
      </c>
      <c r="AM64" s="31" t="s">
        <v>39</v>
      </c>
      <c r="AN64" s="31" t="s">
        <v>40</v>
      </c>
      <c r="AO64" s="31" t="s">
        <v>41</v>
      </c>
      <c r="AP64" s="31" t="s">
        <v>42</v>
      </c>
      <c r="AQ64" s="31" t="s">
        <v>43</v>
      </c>
      <c r="AR64" s="31" t="s">
        <v>44</v>
      </c>
      <c r="AS64" s="31" t="s">
        <v>45</v>
      </c>
      <c r="AT64" s="31" t="s">
        <v>46</v>
      </c>
      <c r="AU64" s="31" t="s">
        <v>47</v>
      </c>
      <c r="AV64" s="31" t="s">
        <v>48</v>
      </c>
      <c r="AW64" s="31" t="s">
        <v>49</v>
      </c>
      <c r="AX64" s="31" t="s">
        <v>50</v>
      </c>
      <c r="AY64" s="31" t="s">
        <v>51</v>
      </c>
      <c r="AZ64" s="31" t="s">
        <v>52</v>
      </c>
      <c r="BA64" s="31" t="s">
        <v>53</v>
      </c>
      <c r="BB64" s="31" t="s">
        <v>54</v>
      </c>
      <c r="BC64" s="31" t="s">
        <v>55</v>
      </c>
      <c r="BD64" s="31" t="s">
        <v>56</v>
      </c>
      <c r="BE64" s="31" t="s">
        <v>57</v>
      </c>
      <c r="BF64" s="31" t="s">
        <v>58</v>
      </c>
      <c r="BG64" s="31" t="s">
        <v>59</v>
      </c>
      <c r="BH64" s="31" t="s">
        <v>60</v>
      </c>
      <c r="BI64" s="31" t="s">
        <v>61</v>
      </c>
      <c r="BJ64" s="31" t="s">
        <v>62</v>
      </c>
      <c r="BK64" s="31" t="s">
        <v>63</v>
      </c>
      <c r="BL64" s="31" t="s">
        <v>64</v>
      </c>
      <c r="BM64" s="31" t="s">
        <v>65</v>
      </c>
      <c r="BN64" s="31" t="s">
        <v>66</v>
      </c>
      <c r="BO64" s="31" t="s">
        <v>67</v>
      </c>
      <c r="BP64" s="31" t="s">
        <v>68</v>
      </c>
      <c r="BQ64" s="31" t="s">
        <v>69</v>
      </c>
      <c r="BR64" s="31" t="s">
        <v>70</v>
      </c>
      <c r="BS64" s="31" t="s">
        <v>71</v>
      </c>
      <c r="BT64" s="31" t="s">
        <v>72</v>
      </c>
      <c r="BU64" s="31" t="s">
        <v>73</v>
      </c>
      <c r="BV64" s="31" t="s">
        <v>74</v>
      </c>
      <c r="BW64" s="31" t="s">
        <v>75</v>
      </c>
      <c r="BX64" s="31" t="s">
        <v>76</v>
      </c>
      <c r="BY64" s="31" t="s">
        <v>77</v>
      </c>
      <c r="BZ64" s="31" t="s">
        <v>78</v>
      </c>
      <c r="CA64" s="31" t="s">
        <v>79</v>
      </c>
      <c r="CB64" s="31" t="s">
        <v>80</v>
      </c>
      <c r="CC64" s="31" t="s">
        <v>81</v>
      </c>
      <c r="CD64" s="31" t="s">
        <v>82</v>
      </c>
      <c r="CE64" s="31" t="s">
        <v>83</v>
      </c>
      <c r="CF64" s="31" t="s">
        <v>84</v>
      </c>
      <c r="CG64" s="31" t="s">
        <v>85</v>
      </c>
      <c r="CH64" s="31" t="s">
        <v>86</v>
      </c>
      <c r="CI64" s="31" t="s">
        <v>87</v>
      </c>
      <c r="CJ64" s="31" t="s">
        <v>88</v>
      </c>
      <c r="CK64" s="31" t="s">
        <v>89</v>
      </c>
      <c r="CL64" s="31" t="s">
        <v>90</v>
      </c>
      <c r="CM64" s="31" t="s">
        <v>91</v>
      </c>
      <c r="CN64" s="31" t="s">
        <v>92</v>
      </c>
      <c r="CO64" s="31" t="s">
        <v>93</v>
      </c>
      <c r="CP64" s="31" t="s">
        <v>94</v>
      </c>
      <c r="CQ64" s="31" t="s">
        <v>95</v>
      </c>
      <c r="CR64" s="31" t="s">
        <v>96</v>
      </c>
      <c r="CS64" s="31" t="s">
        <v>97</v>
      </c>
      <c r="CT64" s="31" t="s">
        <v>98</v>
      </c>
      <c r="CU64" s="31" t="s">
        <v>99</v>
      </c>
      <c r="CV64" s="31" t="s">
        <v>100</v>
      </c>
      <c r="CW64" s="31" t="s">
        <v>101</v>
      </c>
      <c r="CX64" s="31" t="s">
        <v>102</v>
      </c>
      <c r="CY64" s="31" t="s">
        <v>103</v>
      </c>
      <c r="CZ64" s="31" t="s">
        <v>104</v>
      </c>
      <c r="DA64" s="31" t="s">
        <v>105</v>
      </c>
      <c r="DB64" s="31" t="s">
        <v>106</v>
      </c>
      <c r="DC64" s="31" t="s">
        <v>107</v>
      </c>
      <c r="DD64" s="31" t="s">
        <v>108</v>
      </c>
      <c r="DE64" s="31" t="s">
        <v>109</v>
      </c>
      <c r="DF64" s="31" t="s">
        <v>110</v>
      </c>
      <c r="DG64" s="31" t="s">
        <v>111</v>
      </c>
      <c r="DH64" s="31" t="s">
        <v>112</v>
      </c>
      <c r="DI64" s="31" t="s">
        <v>113</v>
      </c>
      <c r="DJ64" s="31" t="s">
        <v>114</v>
      </c>
      <c r="DK64" s="31" t="s">
        <v>115</v>
      </c>
      <c r="DL64" s="31" t="s">
        <v>116</v>
      </c>
      <c r="DM64" s="31" t="s">
        <v>117</v>
      </c>
      <c r="DN64" s="31" t="s">
        <v>118</v>
      </c>
      <c r="DO64" s="31" t="s">
        <v>119</v>
      </c>
      <c r="DP64" s="31" t="s">
        <v>120</v>
      </c>
      <c r="DQ64" s="31" t="s">
        <v>121</v>
      </c>
      <c r="DR64" s="31" t="s">
        <v>122</v>
      </c>
      <c r="DS64" s="31" t="s">
        <v>123</v>
      </c>
      <c r="DT64" s="31" t="s">
        <v>124</v>
      </c>
      <c r="DU64" s="31" t="s">
        <v>125</v>
      </c>
      <c r="DV64" s="31" t="s">
        <v>126</v>
      </c>
      <c r="DW64" s="31" t="s">
        <v>127</v>
      </c>
      <c r="DX64" s="31" t="s">
        <v>128</v>
      </c>
      <c r="DY64" s="31" t="s">
        <v>129</v>
      </c>
      <c r="DZ64" s="31" t="s">
        <v>130</v>
      </c>
    </row>
    <row r="65" ht="14" spans="1:1">
      <c r="A65" s="32">
        <v>42675</v>
      </c>
    </row>
    <row r="66" ht="14" spans="1:130">
      <c r="A66" s="32">
        <v>42705</v>
      </c>
      <c r="B66" s="16">
        <f>LN(B4/B3)</f>
        <v>0.0414137840946089</v>
      </c>
      <c r="C66" s="16">
        <f t="shared" ref="C66:D66" si="0">LN(C4/C3)</f>
        <v>0.0204467469736325</v>
      </c>
      <c r="D66" s="16">
        <f t="shared" si="0"/>
        <v>0.0980102864710222</v>
      </c>
      <c r="E66" s="16">
        <f t="shared" ref="E66:M66" si="1">LN(E4/E3)</f>
        <v>0.0294949589933521</v>
      </c>
      <c r="F66" s="16">
        <f t="shared" si="1"/>
        <v>-0.038652092531796</v>
      </c>
      <c r="G66" s="16">
        <f t="shared" si="1"/>
        <v>0.0214769773438074</v>
      </c>
      <c r="H66" s="16">
        <f t="shared" si="1"/>
        <v>0.0348221798670393</v>
      </c>
      <c r="I66" s="16">
        <f t="shared" si="1"/>
        <v>0.00704094675832401</v>
      </c>
      <c r="J66" s="16">
        <f t="shared" si="1"/>
        <v>-0.0390584910708952</v>
      </c>
      <c r="K66" s="16">
        <f t="shared" si="1"/>
        <v>-0.00323514670039842</v>
      </c>
      <c r="L66" s="16">
        <f t="shared" si="1"/>
        <v>-0.0895068647999857</v>
      </c>
      <c r="M66" s="16">
        <f t="shared" si="1"/>
        <v>0.0352948682416308</v>
      </c>
      <c r="N66" s="16">
        <f t="shared" ref="N66:AS66" si="2">LN(N4/N3)</f>
        <v>-0.0102041701742417</v>
      </c>
      <c r="O66" s="16">
        <f t="shared" si="2"/>
        <v>0.0157483569681391</v>
      </c>
      <c r="P66" s="16">
        <f t="shared" si="2"/>
        <v>0.0147789290742936</v>
      </c>
      <c r="Q66" s="16">
        <f t="shared" si="2"/>
        <v>0.0259323883931138</v>
      </c>
      <c r="R66" s="16">
        <f t="shared" si="2"/>
        <v>0.00866232113923618</v>
      </c>
      <c r="S66" s="16">
        <f t="shared" si="2"/>
        <v>-0.0325622004519144</v>
      </c>
      <c r="T66" s="16">
        <f t="shared" si="2"/>
        <v>0.00889109787240413</v>
      </c>
      <c r="U66" s="16">
        <f t="shared" si="2"/>
        <v>-0.0246825098299039</v>
      </c>
      <c r="V66" s="16">
        <f t="shared" si="2"/>
        <v>0.0526959285682843</v>
      </c>
      <c r="W66" s="16">
        <f t="shared" si="2"/>
        <v>0.119221384123824</v>
      </c>
      <c r="X66" s="16">
        <f t="shared" si="2"/>
        <v>0.0626375250204687</v>
      </c>
      <c r="Y66" s="16">
        <f t="shared" si="2"/>
        <v>0.0412044989320662</v>
      </c>
      <c r="Z66" s="16">
        <f t="shared" si="2"/>
        <v>-0.0212171272563079</v>
      </c>
      <c r="AA66" s="16">
        <f t="shared" si="2"/>
        <v>-0.0149778605810057</v>
      </c>
      <c r="AB66" s="16">
        <f t="shared" si="2"/>
        <v>0.0149384759141506</v>
      </c>
      <c r="AC66" s="16">
        <f t="shared" si="2"/>
        <v>0.00223238206898426</v>
      </c>
      <c r="AD66" s="16">
        <f t="shared" si="2"/>
        <v>0.0374543499037844</v>
      </c>
      <c r="AE66" s="16">
        <f t="shared" si="2"/>
        <v>0.0013608089191712</v>
      </c>
      <c r="AF66" s="16">
        <f t="shared" si="2"/>
        <v>-0.0442594872525271</v>
      </c>
      <c r="AG66" s="16">
        <f t="shared" si="2"/>
        <v>-0.0271509890659507</v>
      </c>
      <c r="AH66" s="16">
        <f t="shared" si="2"/>
        <v>0.000664231176862766</v>
      </c>
      <c r="AI66" s="16">
        <f t="shared" si="2"/>
        <v>-0.0358933443998376</v>
      </c>
      <c r="AJ66" s="16">
        <f t="shared" si="2"/>
        <v>-0.000299895038984734</v>
      </c>
      <c r="AK66" s="16">
        <f t="shared" si="2"/>
        <v>-0.0175698581942011</v>
      </c>
      <c r="AL66" s="16">
        <f t="shared" si="2"/>
        <v>0.0278155740672399</v>
      </c>
      <c r="AM66" s="16">
        <f t="shared" si="2"/>
        <v>0.147932080402485</v>
      </c>
      <c r="AN66" s="16">
        <f t="shared" si="2"/>
        <v>0.0517945380953568</v>
      </c>
      <c r="AO66" s="16">
        <f t="shared" si="2"/>
        <v>0.0361728952400854</v>
      </c>
      <c r="AP66" s="16">
        <f t="shared" si="2"/>
        <v>-0.00578066837461264</v>
      </c>
      <c r="AQ66" s="16">
        <f t="shared" si="2"/>
        <v>-0.0361669335442289</v>
      </c>
      <c r="AR66" s="16">
        <f t="shared" si="2"/>
        <v>0.241162056816888</v>
      </c>
      <c r="AS66" s="16">
        <f t="shared" si="2"/>
        <v>0.115447532863751</v>
      </c>
      <c r="AT66" s="16">
        <f t="shared" ref="AT66:BY66" si="3">LN(AT4/AT3)</f>
        <v>-0.0164114890692676</v>
      </c>
      <c r="AU66" s="16">
        <f t="shared" si="3"/>
        <v>-0.0115644947267452</v>
      </c>
      <c r="AV66" s="16">
        <f t="shared" si="3"/>
        <v>-0.0256400566339733</v>
      </c>
      <c r="AW66" s="16">
        <f t="shared" si="3"/>
        <v>0.1184099777923</v>
      </c>
      <c r="AX66" s="16">
        <f t="shared" si="3"/>
        <v>-0.0251220262999865</v>
      </c>
      <c r="AY66" s="16">
        <f t="shared" si="3"/>
        <v>0.0519618785511442</v>
      </c>
      <c r="AZ66" s="16">
        <f t="shared" si="3"/>
        <v>-0.0504164859140162</v>
      </c>
      <c r="BA66" s="16">
        <f t="shared" si="3"/>
        <v>-0.111997040769831</v>
      </c>
      <c r="BB66" s="16">
        <f t="shared" si="3"/>
        <v>-0.0729581445263242</v>
      </c>
      <c r="BC66" s="16">
        <f t="shared" si="3"/>
        <v>-0.00708449829568406</v>
      </c>
      <c r="BD66" s="16">
        <f t="shared" si="3"/>
        <v>-0.0237653831137862</v>
      </c>
      <c r="BE66" s="16">
        <f t="shared" si="3"/>
        <v>-0.0370415424031674</v>
      </c>
      <c r="BF66" s="16">
        <f t="shared" si="3"/>
        <v>0.0320055032827276</v>
      </c>
      <c r="BG66" s="16">
        <f t="shared" si="3"/>
        <v>-0.000933059703533762</v>
      </c>
      <c r="BH66" s="16">
        <f t="shared" si="3"/>
        <v>0.0654144812958249</v>
      </c>
      <c r="BI66" s="16">
        <f t="shared" si="3"/>
        <v>-0.0512932943875506</v>
      </c>
      <c r="BJ66" s="16">
        <f t="shared" si="3"/>
        <v>0.00893783078728808</v>
      </c>
      <c r="BK66" s="16">
        <f t="shared" si="3"/>
        <v>0.0280793803295689</v>
      </c>
      <c r="BL66" s="16">
        <f t="shared" si="3"/>
        <v>-0.0385608271788311</v>
      </c>
      <c r="BM66" s="16">
        <f t="shared" si="3"/>
        <v>-0.00794443973394815</v>
      </c>
      <c r="BN66" s="16">
        <f t="shared" si="3"/>
        <v>0.0150648073258483</v>
      </c>
      <c r="BO66" s="16">
        <f t="shared" si="3"/>
        <v>0.0408238712486046</v>
      </c>
      <c r="BP66" s="16">
        <f t="shared" si="3"/>
        <v>0.000707577235423444</v>
      </c>
      <c r="BQ66" s="16">
        <f t="shared" si="3"/>
        <v>0.00181508312401331</v>
      </c>
      <c r="BR66" s="16">
        <f t="shared" si="3"/>
        <v>-0.0967628603491102</v>
      </c>
      <c r="BS66" s="16">
        <f t="shared" si="3"/>
        <v>-0.0253369066109628</v>
      </c>
      <c r="BT66" s="16">
        <f t="shared" si="3"/>
        <v>0.0194155340564294</v>
      </c>
      <c r="BU66" s="16">
        <f t="shared" si="3"/>
        <v>-0.000946937539024284</v>
      </c>
      <c r="BV66" s="16">
        <f t="shared" si="3"/>
        <v>-0.0537892126383876</v>
      </c>
      <c r="BW66" s="16">
        <f t="shared" si="3"/>
        <v>-0.0556347002142086</v>
      </c>
      <c r="BX66" s="16">
        <f t="shared" si="3"/>
        <v>0.0134668472714278</v>
      </c>
      <c r="BY66" s="16">
        <f t="shared" si="3"/>
        <v>-0.00354167062080351</v>
      </c>
      <c r="BZ66" s="16">
        <f t="shared" ref="BZ66:DE66" si="4">LN(BZ4/BZ3)</f>
        <v>0.0194556312490579</v>
      </c>
      <c r="CA66" s="16">
        <f t="shared" si="4"/>
        <v>0.0355566966293227</v>
      </c>
      <c r="CB66" s="16">
        <f t="shared" si="4"/>
        <v>0.0516311578807741</v>
      </c>
      <c r="CC66" s="16">
        <f t="shared" si="4"/>
        <v>0.0357160378644117</v>
      </c>
      <c r="CD66" s="16">
        <f t="shared" si="4"/>
        <v>0.0178489388356187</v>
      </c>
      <c r="CE66" s="16">
        <f t="shared" si="4"/>
        <v>0.02631989832135</v>
      </c>
      <c r="CF66" s="16">
        <f t="shared" si="4"/>
        <v>0.037152688052046</v>
      </c>
      <c r="CG66" s="16">
        <f t="shared" si="4"/>
        <v>-0.0113627430650137</v>
      </c>
      <c r="CH66" s="16">
        <f t="shared" si="4"/>
        <v>0.0722532335234321</v>
      </c>
      <c r="CI66" s="16">
        <f t="shared" si="4"/>
        <v>0.01344413145434</v>
      </c>
      <c r="CJ66" s="16">
        <f t="shared" si="4"/>
        <v>0.00321415502884174</v>
      </c>
      <c r="CK66" s="16">
        <f t="shared" si="4"/>
        <v>0.074306210309914</v>
      </c>
      <c r="CL66" s="16">
        <f t="shared" si="4"/>
        <v>0.0390401404252544</v>
      </c>
      <c r="CM66" s="16">
        <f t="shared" si="4"/>
        <v>0.0165103067239534</v>
      </c>
      <c r="CN66" s="16">
        <f t="shared" si="4"/>
        <v>0.0305346516694364</v>
      </c>
      <c r="CO66" s="16">
        <f t="shared" si="4"/>
        <v>0.0230866133871529</v>
      </c>
      <c r="CP66" s="16">
        <f t="shared" si="4"/>
        <v>0.0131739444446224</v>
      </c>
      <c r="CQ66" s="16">
        <f t="shared" si="4"/>
        <v>0.0378684960899139</v>
      </c>
      <c r="CR66" s="16">
        <f t="shared" si="4"/>
        <v>0.0610278902113886</v>
      </c>
      <c r="CS66" s="16">
        <f t="shared" si="4"/>
        <v>-0.0475775725363728</v>
      </c>
      <c r="CT66" s="16">
        <f t="shared" si="4"/>
        <v>0.184069808987484</v>
      </c>
      <c r="CU66" s="16">
        <f t="shared" si="4"/>
        <v>0.0754456023160796</v>
      </c>
      <c r="CV66" s="16">
        <f t="shared" si="4"/>
        <v>-0.00411668622709632</v>
      </c>
      <c r="CW66" s="16">
        <f t="shared" si="4"/>
        <v>-0.0289536811555325</v>
      </c>
      <c r="CX66" s="16">
        <f t="shared" si="4"/>
        <v>0.0689928714869514</v>
      </c>
      <c r="CY66" s="16">
        <f t="shared" si="4"/>
        <v>0.159964177199342</v>
      </c>
      <c r="CZ66" s="16">
        <f t="shared" si="4"/>
        <v>-0.0344465744633389</v>
      </c>
      <c r="DA66" s="16">
        <f t="shared" si="4"/>
        <v>-0.0019940186068644</v>
      </c>
      <c r="DB66" s="16">
        <f t="shared" si="4"/>
        <v>0.137392658323341</v>
      </c>
      <c r="DC66" s="16">
        <f t="shared" si="4"/>
        <v>-0.093330483948605</v>
      </c>
      <c r="DD66" s="16">
        <f t="shared" si="4"/>
        <v>0.0512933434083106</v>
      </c>
      <c r="DE66" s="16">
        <f t="shared" si="4"/>
        <v>-0.0174479465699147</v>
      </c>
      <c r="DF66" s="16">
        <f t="shared" ref="DF66:DZ66" si="5">LN(DF4/DF3)</f>
        <v>0.0207859677598347</v>
      </c>
      <c r="DG66" s="16">
        <f t="shared" si="5"/>
        <v>-0.0492710490067827</v>
      </c>
      <c r="DH66" s="16">
        <f t="shared" si="5"/>
        <v>0.0559400158823392</v>
      </c>
      <c r="DI66" s="16">
        <f t="shared" si="5"/>
        <v>0.0421601288671388</v>
      </c>
      <c r="DJ66" s="16">
        <f t="shared" si="5"/>
        <v>0.0635378404452259</v>
      </c>
      <c r="DK66" s="16">
        <f t="shared" si="5"/>
        <v>0.0328429999811598</v>
      </c>
      <c r="DL66" s="16">
        <f t="shared" si="5"/>
        <v>-0.059137192383739</v>
      </c>
      <c r="DM66" s="16">
        <f t="shared" si="5"/>
        <v>-0.0139478974363329</v>
      </c>
      <c r="DN66" s="16">
        <f t="shared" si="5"/>
        <v>0.107163805390624</v>
      </c>
      <c r="DO66" s="16">
        <f t="shared" si="5"/>
        <v>-0.00182365225064672</v>
      </c>
      <c r="DP66" s="16">
        <f t="shared" si="5"/>
        <v>-0.0566108266129025</v>
      </c>
      <c r="DQ66" s="16">
        <f t="shared" si="5"/>
        <v>-0.065026966624245</v>
      </c>
      <c r="DR66" s="16">
        <f t="shared" si="5"/>
        <v>-0.00119023294866641</v>
      </c>
      <c r="DS66" s="16">
        <f t="shared" si="5"/>
        <v>0.0130257427024837</v>
      </c>
      <c r="DT66" s="16">
        <f t="shared" si="5"/>
        <v>0.0363989359156836</v>
      </c>
      <c r="DU66" s="16">
        <f t="shared" si="5"/>
        <v>0.00358502822010191</v>
      </c>
      <c r="DV66" s="16">
        <f t="shared" si="5"/>
        <v>-0.0383291910165669</v>
      </c>
      <c r="DW66" s="16">
        <f t="shared" si="5"/>
        <v>0.120665185906394</v>
      </c>
      <c r="DX66" s="16">
        <f t="shared" si="5"/>
        <v>0.0716501092530034</v>
      </c>
      <c r="DY66" s="16">
        <f t="shared" si="5"/>
        <v>0.0764912633025927</v>
      </c>
      <c r="DZ66" s="16">
        <f t="shared" si="5"/>
        <v>0.0141138282158511</v>
      </c>
    </row>
    <row r="67" ht="14" spans="1:130">
      <c r="A67" s="32">
        <v>42736</v>
      </c>
      <c r="B67" s="16">
        <f t="shared" ref="B67:C123" si="6">LN(B5/B4)</f>
        <v>-0.0171585967963964</v>
      </c>
      <c r="C67" s="16">
        <f t="shared" si="6"/>
        <v>-0.0233618096816246</v>
      </c>
      <c r="D67" s="16">
        <f t="shared" ref="D67:H123" si="7">LN(D5/D4)</f>
        <v>0.0462294293824994</v>
      </c>
      <c r="E67" s="16">
        <f t="shared" si="7"/>
        <v>-0.0244092681756049</v>
      </c>
      <c r="F67" s="16">
        <f t="shared" si="7"/>
        <v>0.0592858753385875</v>
      </c>
      <c r="G67" s="16">
        <f t="shared" si="7"/>
        <v>0.0691611029037896</v>
      </c>
      <c r="H67" s="16">
        <f t="shared" si="7"/>
        <v>-0.172920368261816</v>
      </c>
      <c r="I67" s="16">
        <f t="shared" ref="I67:M67" si="8">LN(I5/I4)</f>
        <v>0.0780080779892539</v>
      </c>
      <c r="J67" s="16">
        <f t="shared" si="8"/>
        <v>0.223455904901007</v>
      </c>
      <c r="K67" s="16">
        <f t="shared" si="8"/>
        <v>0.0422433425858519</v>
      </c>
      <c r="L67" s="16">
        <f t="shared" si="8"/>
        <v>0.282012765928465</v>
      </c>
      <c r="M67" s="16">
        <f t="shared" si="8"/>
        <v>0.0750691587277096</v>
      </c>
      <c r="N67" s="16">
        <f t="shared" ref="N67:AS67" si="9">LN(N5/N4)</f>
        <v>0.0315802094334204</v>
      </c>
      <c r="O67" s="16">
        <f t="shared" si="9"/>
        <v>0.0190968782239353</v>
      </c>
      <c r="P67" s="16">
        <f t="shared" si="9"/>
        <v>0.0127895152342127</v>
      </c>
      <c r="Q67" s="16">
        <f t="shared" si="9"/>
        <v>-0.00126807094259378</v>
      </c>
      <c r="R67" s="16">
        <f t="shared" si="9"/>
        <v>0.074217462932148</v>
      </c>
      <c r="S67" s="16">
        <f t="shared" si="9"/>
        <v>-0.0214771877610373</v>
      </c>
      <c r="T67" s="16">
        <f t="shared" si="9"/>
        <v>0.0838610985849754</v>
      </c>
      <c r="U67" s="16">
        <f t="shared" si="9"/>
        <v>0.0710358452463804</v>
      </c>
      <c r="V67" s="16">
        <f t="shared" si="9"/>
        <v>0.034100425662906</v>
      </c>
      <c r="W67" s="16">
        <f t="shared" si="9"/>
        <v>-0.00744605078407856</v>
      </c>
      <c r="X67" s="16">
        <f t="shared" si="9"/>
        <v>0.0259996450547294</v>
      </c>
      <c r="Y67" s="16">
        <f t="shared" si="9"/>
        <v>-0.00262464930654904</v>
      </c>
      <c r="Z67" s="16">
        <f t="shared" si="9"/>
        <v>0.0729540515945322</v>
      </c>
      <c r="AA67" s="16">
        <f t="shared" si="9"/>
        <v>0.0882656557294691</v>
      </c>
      <c r="AB67" s="16">
        <f t="shared" si="9"/>
        <v>0.0847793248516089</v>
      </c>
      <c r="AC67" s="16">
        <f t="shared" si="9"/>
        <v>0.0774367348132366</v>
      </c>
      <c r="AD67" s="16">
        <f t="shared" si="9"/>
        <v>0.0395981532048076</v>
      </c>
      <c r="AE67" s="16">
        <f t="shared" si="9"/>
        <v>0.0965015754223591</v>
      </c>
      <c r="AF67" s="16">
        <f t="shared" si="9"/>
        <v>0.0422668233637576</v>
      </c>
      <c r="AG67" s="16">
        <f t="shared" si="9"/>
        <v>0.0662254257500853</v>
      </c>
      <c r="AH67" s="16">
        <f t="shared" si="9"/>
        <v>0.0991660708330887</v>
      </c>
      <c r="AI67" s="16">
        <f t="shared" si="9"/>
        <v>0.0529942263696234</v>
      </c>
      <c r="AJ67" s="16">
        <f t="shared" si="9"/>
        <v>0.0282416936286368</v>
      </c>
      <c r="AK67" s="16">
        <f t="shared" si="9"/>
        <v>0.142542688048155</v>
      </c>
      <c r="AL67" s="16">
        <f t="shared" si="9"/>
        <v>-0.0767371855966344</v>
      </c>
      <c r="AM67" s="16">
        <f t="shared" si="9"/>
        <v>0.0226019909573025</v>
      </c>
      <c r="AN67" s="16">
        <f t="shared" si="9"/>
        <v>0.0150497486541983</v>
      </c>
      <c r="AO67" s="16">
        <f t="shared" si="9"/>
        <v>0.126665161589667</v>
      </c>
      <c r="AP67" s="16">
        <f t="shared" si="9"/>
        <v>0.0346138808635229</v>
      </c>
      <c r="AQ67" s="16">
        <f t="shared" si="9"/>
        <v>-0.19908716401368</v>
      </c>
      <c r="AR67" s="16">
        <f t="shared" si="9"/>
        <v>-0.0894192760581701</v>
      </c>
      <c r="AS67" s="16">
        <f t="shared" si="9"/>
        <v>0.0952275294954503</v>
      </c>
      <c r="AT67" s="16">
        <f t="shared" ref="AT67:BY67" si="10">LN(AT5/AT4)</f>
        <v>0.0314475047998085</v>
      </c>
      <c r="AU67" s="16">
        <f t="shared" si="10"/>
        <v>-0.00163392065928939</v>
      </c>
      <c r="AV67" s="16">
        <f t="shared" si="10"/>
        <v>0.048679096239741</v>
      </c>
      <c r="AW67" s="16">
        <f t="shared" si="10"/>
        <v>-0.0366068353740543</v>
      </c>
      <c r="AX67" s="16">
        <f t="shared" si="10"/>
        <v>0.206014120818331</v>
      </c>
      <c r="AY67" s="16">
        <f t="shared" si="10"/>
        <v>0.0466416274125647</v>
      </c>
      <c r="AZ67" s="16">
        <f t="shared" si="10"/>
        <v>0.144463241671569</v>
      </c>
      <c r="BA67" s="16">
        <f t="shared" si="10"/>
        <v>0.198025774369886</v>
      </c>
      <c r="BB67" s="16">
        <f t="shared" si="10"/>
        <v>0.0061152563388939</v>
      </c>
      <c r="BC67" s="16">
        <f t="shared" si="10"/>
        <v>0.0135797850013511</v>
      </c>
      <c r="BD67" s="16">
        <f t="shared" si="10"/>
        <v>0.0308452620234026</v>
      </c>
      <c r="BE67" s="16">
        <f t="shared" si="10"/>
        <v>0.0225165141047025</v>
      </c>
      <c r="BF67" s="16">
        <f t="shared" si="10"/>
        <v>0.0501116551985538</v>
      </c>
      <c r="BG67" s="16">
        <f t="shared" si="10"/>
        <v>0.0936394045680431</v>
      </c>
      <c r="BH67" s="16">
        <f t="shared" si="10"/>
        <v>0.0695988383416193</v>
      </c>
      <c r="BI67" s="16">
        <f t="shared" si="10"/>
        <v>0.0680869717533876</v>
      </c>
      <c r="BJ67" s="16">
        <f t="shared" si="10"/>
        <v>0.0603448571666203</v>
      </c>
      <c r="BK67" s="16">
        <f t="shared" si="10"/>
        <v>0.00695928896588175</v>
      </c>
      <c r="BL67" s="16">
        <f t="shared" si="10"/>
        <v>-0.00541819069359443</v>
      </c>
      <c r="BM67" s="16">
        <f t="shared" si="10"/>
        <v>0.00767160478709187</v>
      </c>
      <c r="BN67" s="16">
        <f t="shared" si="10"/>
        <v>0.0435178917756875</v>
      </c>
      <c r="BO67" s="16">
        <f t="shared" si="10"/>
        <v>0.0257691214291323</v>
      </c>
      <c r="BP67" s="16">
        <f t="shared" si="10"/>
        <v>0.0905030845063415</v>
      </c>
      <c r="BQ67" s="16">
        <f t="shared" si="10"/>
        <v>0.015727703801065</v>
      </c>
      <c r="BR67" s="16">
        <f t="shared" si="10"/>
        <v>0</v>
      </c>
      <c r="BS67" s="16">
        <f t="shared" si="10"/>
        <v>0.0717592782325728</v>
      </c>
      <c r="BT67" s="16">
        <f t="shared" si="10"/>
        <v>0.0618214232979401</v>
      </c>
      <c r="BU67" s="16">
        <f t="shared" si="10"/>
        <v>0.0341485882740004</v>
      </c>
      <c r="BV67" s="16">
        <f t="shared" si="10"/>
        <v>0.0940915191620514</v>
      </c>
      <c r="BW67" s="16">
        <f t="shared" si="10"/>
        <v>-0.0893893056305032</v>
      </c>
      <c r="BX67" s="16">
        <f t="shared" si="10"/>
        <v>-0.0286346263062164</v>
      </c>
      <c r="BY67" s="16">
        <f t="shared" si="10"/>
        <v>-0.0289383035889539</v>
      </c>
      <c r="BZ67" s="16">
        <f t="shared" ref="BZ67:DE67" si="11">LN(BZ5/BZ4)</f>
        <v>0.0410122031649602</v>
      </c>
      <c r="CA67" s="16">
        <f t="shared" si="11"/>
        <v>0.00264954176277579</v>
      </c>
      <c r="CB67" s="16">
        <f t="shared" si="11"/>
        <v>-0.00815719668423215</v>
      </c>
      <c r="CC67" s="16">
        <f t="shared" si="11"/>
        <v>0.0609081973668469</v>
      </c>
      <c r="CD67" s="16">
        <f t="shared" si="11"/>
        <v>0.010023354364247</v>
      </c>
      <c r="CE67" s="16">
        <f t="shared" si="11"/>
        <v>0.0749528044218864</v>
      </c>
      <c r="CF67" s="16">
        <f t="shared" si="11"/>
        <v>-0.0112542788586321</v>
      </c>
      <c r="CG67" s="16">
        <f t="shared" si="11"/>
        <v>0.0598785440284026</v>
      </c>
      <c r="CH67" s="16">
        <f t="shared" si="11"/>
        <v>0.00309843208031192</v>
      </c>
      <c r="CI67" s="16">
        <f t="shared" si="11"/>
        <v>0.0246149237639729</v>
      </c>
      <c r="CJ67" s="16">
        <f t="shared" si="11"/>
        <v>-0.013229035570826</v>
      </c>
      <c r="CK67" s="16">
        <f t="shared" si="11"/>
        <v>0.0223102035602994</v>
      </c>
      <c r="CL67" s="16">
        <f t="shared" si="11"/>
        <v>-0.0539870668239485</v>
      </c>
      <c r="CM67" s="16">
        <f t="shared" si="11"/>
        <v>0.0419131423910714</v>
      </c>
      <c r="CN67" s="16">
        <f t="shared" si="11"/>
        <v>-0.0136593945476648</v>
      </c>
      <c r="CO67" s="16">
        <f t="shared" si="11"/>
        <v>0.0285720538537031</v>
      </c>
      <c r="CP67" s="16">
        <f t="shared" si="11"/>
        <v>0.0230408748219669</v>
      </c>
      <c r="CQ67" s="16">
        <f t="shared" si="11"/>
        <v>-0.000167044080318029</v>
      </c>
      <c r="CR67" s="16">
        <f t="shared" si="11"/>
        <v>0.0286897472172216</v>
      </c>
      <c r="CS67" s="16">
        <f t="shared" si="11"/>
        <v>0.0582900063428752</v>
      </c>
      <c r="CT67" s="16">
        <f t="shared" si="11"/>
        <v>-0.010241494052197</v>
      </c>
      <c r="CU67" s="16">
        <f t="shared" si="11"/>
        <v>0.00786786120061374</v>
      </c>
      <c r="CV67" s="16">
        <f t="shared" si="11"/>
        <v>-0.0492570236844378</v>
      </c>
      <c r="CW67" s="16">
        <f t="shared" si="11"/>
        <v>0.0175450038390967</v>
      </c>
      <c r="CX67" s="16">
        <f t="shared" si="11"/>
        <v>-0.0607848910691219</v>
      </c>
      <c r="CY67" s="16">
        <f t="shared" si="11"/>
        <v>-0.0224234548876537</v>
      </c>
      <c r="CZ67" s="16">
        <f t="shared" si="11"/>
        <v>0.0208099995137935</v>
      </c>
      <c r="DA67" s="16">
        <f t="shared" si="11"/>
        <v>-0.0532912970502236</v>
      </c>
      <c r="DB67" s="16">
        <f t="shared" si="11"/>
        <v>0.0419004825103967</v>
      </c>
      <c r="DC67" s="16">
        <f t="shared" si="11"/>
        <v>0.133531297882187</v>
      </c>
      <c r="DD67" s="16">
        <f t="shared" si="11"/>
        <v>-0.0757383092693339</v>
      </c>
      <c r="DE67" s="16">
        <f t="shared" si="11"/>
        <v>0.0286109680667389</v>
      </c>
      <c r="DF67" s="16">
        <f t="shared" ref="DF67:DU67" si="12">LN(DF5/DF4)</f>
        <v>0.0136210959519651</v>
      </c>
      <c r="DG67" s="16">
        <f t="shared" si="12"/>
        <v>0.0216494716968533</v>
      </c>
      <c r="DH67" s="16">
        <f t="shared" si="12"/>
        <v>0.00479971384789157</v>
      </c>
      <c r="DI67" s="16">
        <f t="shared" si="12"/>
        <v>-0.0731884424981074</v>
      </c>
      <c r="DJ67" s="16">
        <f t="shared" si="12"/>
        <v>-0.0554606204685953</v>
      </c>
      <c r="DK67" s="16">
        <f t="shared" si="12"/>
        <v>-0.0279088841656209</v>
      </c>
      <c r="DL67" s="16">
        <f t="shared" si="12"/>
        <v>0.000888102133723673</v>
      </c>
      <c r="DM67" s="16">
        <f t="shared" si="12"/>
        <v>0.00473679077450061</v>
      </c>
      <c r="DN67" s="16">
        <f t="shared" si="12"/>
        <v>-0.135523539611151</v>
      </c>
      <c r="DO67" s="16">
        <f t="shared" si="12"/>
        <v>-0.0389418810508446</v>
      </c>
      <c r="DP67" s="16">
        <f t="shared" si="12"/>
        <v>-0.00160308490602216</v>
      </c>
      <c r="DQ67" s="16">
        <f t="shared" si="12"/>
        <v>0.0398637763881112</v>
      </c>
      <c r="DR67" s="16">
        <f t="shared" si="12"/>
        <v>0.00303593848100421</v>
      </c>
      <c r="DS67" s="16">
        <f t="shared" si="12"/>
        <v>-0.0295216229353898</v>
      </c>
      <c r="DT67" s="16">
        <f t="shared" si="12"/>
        <v>-0.055256613866984</v>
      </c>
      <c r="DU67" s="16">
        <f t="shared" si="12"/>
        <v>0.0098342603829383</v>
      </c>
      <c r="DV67" s="16">
        <f t="shared" ref="DV67:DV123" si="13">LN(DV5/DV4)</f>
        <v>-0.0592272865012863</v>
      </c>
      <c r="DW67" s="16">
        <f t="shared" ref="DW67:DZ86" si="14">LN(DW5/DW4)</f>
        <v>0.164624904487881</v>
      </c>
      <c r="DX67" s="16">
        <f t="shared" si="14"/>
        <v>0.0663749231115675</v>
      </c>
      <c r="DY67" s="16">
        <f t="shared" si="14"/>
        <v>-0.00276890666652297</v>
      </c>
      <c r="DZ67" s="16">
        <f t="shared" si="14"/>
        <v>0.0187835025982337</v>
      </c>
    </row>
    <row r="68" ht="14" spans="1:130">
      <c r="A68" s="32">
        <v>42767</v>
      </c>
      <c r="B68" s="16">
        <f t="shared" si="6"/>
        <v>0.076142629326611</v>
      </c>
      <c r="C68" s="16">
        <f t="shared" si="6"/>
        <v>0.0726213362313261</v>
      </c>
      <c r="D68" s="16">
        <f t="shared" si="7"/>
        <v>0.0723540263019686</v>
      </c>
      <c r="E68" s="16">
        <f t="shared" si="7"/>
        <v>0.0219140532501844</v>
      </c>
      <c r="F68" s="16">
        <f t="shared" si="7"/>
        <v>0.0607099461583997</v>
      </c>
      <c r="G68" s="16">
        <f t="shared" si="7"/>
        <v>0.119285156149359</v>
      </c>
      <c r="H68" s="16">
        <f t="shared" si="7"/>
        <v>0.149452186677637</v>
      </c>
      <c r="I68" s="16">
        <f t="shared" ref="I68:M68" si="15">LN(I6/I5)</f>
        <v>0.034124520197241</v>
      </c>
      <c r="J68" s="16">
        <f t="shared" si="15"/>
        <v>0.044587538052706</v>
      </c>
      <c r="K68" s="16">
        <f t="shared" si="15"/>
        <v>0.16959755262231</v>
      </c>
      <c r="L68" s="16">
        <f t="shared" si="15"/>
        <v>-0.012586778592494</v>
      </c>
      <c r="M68" s="16">
        <f t="shared" si="15"/>
        <v>0.0464828897690667</v>
      </c>
      <c r="N68" s="16">
        <f t="shared" ref="N68:AS68" si="16">LN(N6/N5)</f>
        <v>-0.0141136548563545</v>
      </c>
      <c r="O68" s="16">
        <f t="shared" si="16"/>
        <v>0.109962805278125</v>
      </c>
      <c r="P68" s="16">
        <f t="shared" si="16"/>
        <v>0.0200327832733704</v>
      </c>
      <c r="Q68" s="16">
        <f t="shared" si="16"/>
        <v>0.0282383860447603</v>
      </c>
      <c r="R68" s="16">
        <f t="shared" si="16"/>
        <v>0.0669928301794768</v>
      </c>
      <c r="S68" s="16">
        <f t="shared" si="16"/>
        <v>0.0387881427360653</v>
      </c>
      <c r="T68" s="16">
        <f t="shared" si="16"/>
        <v>0.0826987385467907</v>
      </c>
      <c r="U68" s="16">
        <f t="shared" si="16"/>
        <v>0.0623410633844709</v>
      </c>
      <c r="V68" s="16">
        <f t="shared" si="16"/>
        <v>0.0399114761376834</v>
      </c>
      <c r="W68" s="16">
        <f t="shared" si="16"/>
        <v>0.0699888875055475</v>
      </c>
      <c r="X68" s="16">
        <f t="shared" si="16"/>
        <v>-0.028143003940306</v>
      </c>
      <c r="Y68" s="16">
        <f t="shared" si="16"/>
        <v>0.0951906046190298</v>
      </c>
      <c r="Z68" s="16">
        <f t="shared" si="16"/>
        <v>0.0319728777007947</v>
      </c>
      <c r="AA68" s="16">
        <f t="shared" si="16"/>
        <v>0.0620053148493644</v>
      </c>
      <c r="AB68" s="16">
        <f t="shared" si="16"/>
        <v>0.0643628161609313</v>
      </c>
      <c r="AC68" s="16">
        <f t="shared" si="16"/>
        <v>0.0609314237080925</v>
      </c>
      <c r="AD68" s="16">
        <f t="shared" si="16"/>
        <v>-0.0104175528916499</v>
      </c>
      <c r="AE68" s="16">
        <f t="shared" si="16"/>
        <v>0.0428168283523905</v>
      </c>
      <c r="AF68" s="16">
        <f t="shared" si="16"/>
        <v>0.0639027263565261</v>
      </c>
      <c r="AG68" s="16">
        <f t="shared" si="16"/>
        <v>0.127470768012831</v>
      </c>
      <c r="AH68" s="16">
        <f t="shared" si="16"/>
        <v>0.115977437814045</v>
      </c>
      <c r="AI68" s="16">
        <f t="shared" si="16"/>
        <v>0.0277863954664308</v>
      </c>
      <c r="AJ68" s="16">
        <f t="shared" si="16"/>
        <v>-0.0913814734051772</v>
      </c>
      <c r="AK68" s="16">
        <f t="shared" si="16"/>
        <v>0.0363546104723198</v>
      </c>
      <c r="AL68" s="16">
        <f t="shared" si="16"/>
        <v>0.0666673064148757</v>
      </c>
      <c r="AM68" s="16">
        <f t="shared" si="16"/>
        <v>-0.0731361434087798</v>
      </c>
      <c r="AN68" s="16">
        <f t="shared" si="16"/>
        <v>-0.0169817427719912</v>
      </c>
      <c r="AO68" s="16">
        <f t="shared" si="16"/>
        <v>0.0557119452435862</v>
      </c>
      <c r="AP68" s="16">
        <f t="shared" si="16"/>
        <v>0.0205241696574838</v>
      </c>
      <c r="AQ68" s="16">
        <f t="shared" si="16"/>
        <v>0.0555142176070429</v>
      </c>
      <c r="AR68" s="16">
        <f t="shared" si="16"/>
        <v>0.332469194489183</v>
      </c>
      <c r="AS68" s="16">
        <f t="shared" si="16"/>
        <v>-0.0281829457886732</v>
      </c>
      <c r="AT68" s="16">
        <f t="shared" ref="AT68:BY68" si="17">LN(AT6/AT5)</f>
        <v>0.0891773603198178</v>
      </c>
      <c r="AU68" s="16">
        <f t="shared" si="17"/>
        <v>0.049447161316015</v>
      </c>
      <c r="AV68" s="16">
        <f t="shared" si="17"/>
        <v>0.0739592332672813</v>
      </c>
      <c r="AW68" s="16">
        <f t="shared" si="17"/>
        <v>0.0105964961715221</v>
      </c>
      <c r="AX68" s="16">
        <f t="shared" si="17"/>
        <v>0.0359317599020841</v>
      </c>
      <c r="AY68" s="16">
        <f t="shared" si="17"/>
        <v>0.121229219879621</v>
      </c>
      <c r="AZ68" s="16">
        <f t="shared" si="17"/>
        <v>0.0280479588914387</v>
      </c>
      <c r="BA68" s="16">
        <f t="shared" si="17"/>
        <v>-0.0416867838507633</v>
      </c>
      <c r="BB68" s="16">
        <f t="shared" si="17"/>
        <v>0.0664909328790142</v>
      </c>
      <c r="BC68" s="16">
        <f t="shared" si="17"/>
        <v>0.0141960332332079</v>
      </c>
      <c r="BD68" s="16">
        <f t="shared" si="17"/>
        <v>0.0414365448937782</v>
      </c>
      <c r="BE68" s="16">
        <f t="shared" si="17"/>
        <v>0.143366381291235</v>
      </c>
      <c r="BF68" s="16">
        <f t="shared" si="17"/>
        <v>0.02991684488641</v>
      </c>
      <c r="BG68" s="16">
        <f t="shared" si="17"/>
        <v>0.0258447007737992</v>
      </c>
      <c r="BH68" s="16">
        <f t="shared" si="17"/>
        <v>0.0630058123598505</v>
      </c>
      <c r="BI68" s="16">
        <f t="shared" si="17"/>
        <v>-0.0396331693356598</v>
      </c>
      <c r="BJ68" s="16">
        <f t="shared" si="17"/>
        <v>0.00626250664354432</v>
      </c>
      <c r="BK68" s="16">
        <f t="shared" si="17"/>
        <v>0.0406091076503484</v>
      </c>
      <c r="BL68" s="16">
        <f t="shared" si="17"/>
        <v>0.0294428039936613</v>
      </c>
      <c r="BM68" s="16">
        <f t="shared" si="17"/>
        <v>0.0266967852157097</v>
      </c>
      <c r="BN68" s="16">
        <f t="shared" si="17"/>
        <v>0.0774511749238902</v>
      </c>
      <c r="BO68" s="16">
        <f t="shared" si="17"/>
        <v>0.0519078469501698</v>
      </c>
      <c r="BP68" s="16">
        <f t="shared" si="17"/>
        <v>0.00270853119375949</v>
      </c>
      <c r="BQ68" s="16">
        <f t="shared" si="17"/>
        <v>-0.0364551286183648</v>
      </c>
      <c r="BR68" s="16">
        <f t="shared" si="17"/>
        <v>0</v>
      </c>
      <c r="BS68" s="16">
        <f t="shared" si="17"/>
        <v>0.0903847668771681</v>
      </c>
      <c r="BT68" s="16">
        <f t="shared" si="17"/>
        <v>0.0102400556554081</v>
      </c>
      <c r="BU68" s="16">
        <f t="shared" si="17"/>
        <v>0.00141787025352709</v>
      </c>
      <c r="BV68" s="16">
        <f t="shared" si="17"/>
        <v>0.0838689644649786</v>
      </c>
      <c r="BW68" s="16">
        <f t="shared" si="17"/>
        <v>-0.13474220317154</v>
      </c>
      <c r="BX68" s="16">
        <f t="shared" si="17"/>
        <v>-0.038183533974968</v>
      </c>
      <c r="BY68" s="16">
        <f t="shared" si="17"/>
        <v>-0.0475700309780772</v>
      </c>
      <c r="BZ68" s="16">
        <f t="shared" ref="BZ68:DE68" si="18">LN(BZ6/BZ5)</f>
        <v>0.0467414333944379</v>
      </c>
      <c r="CA68" s="16">
        <f t="shared" si="18"/>
        <v>0.0093376388949396</v>
      </c>
      <c r="CB68" s="16">
        <f t="shared" si="18"/>
        <v>0.0616558553448372</v>
      </c>
      <c r="CC68" s="16">
        <f t="shared" si="18"/>
        <v>0.128852094661085</v>
      </c>
      <c r="CD68" s="16">
        <f t="shared" si="18"/>
        <v>0.144057018674641</v>
      </c>
      <c r="CE68" s="16">
        <f t="shared" si="18"/>
        <v>0.0201472495368853</v>
      </c>
      <c r="CF68" s="16">
        <f t="shared" si="18"/>
        <v>0.0489453038413817</v>
      </c>
      <c r="CG68" s="16">
        <f t="shared" si="18"/>
        <v>0.0199931065197477</v>
      </c>
      <c r="CH68" s="16">
        <f t="shared" si="18"/>
        <v>-0.00816333932895543</v>
      </c>
      <c r="CI68" s="16">
        <f t="shared" si="18"/>
        <v>0.0362824987989834</v>
      </c>
      <c r="CJ68" s="16">
        <f t="shared" si="18"/>
        <v>0.128044522936703</v>
      </c>
      <c r="CK68" s="16">
        <f t="shared" si="18"/>
        <v>0.024558425464532</v>
      </c>
      <c r="CL68" s="16">
        <f t="shared" si="18"/>
        <v>0.0109620092541521</v>
      </c>
      <c r="CM68" s="16">
        <f t="shared" si="18"/>
        <v>-0.024493053720241</v>
      </c>
      <c r="CN68" s="16">
        <f t="shared" si="18"/>
        <v>0.0185318073896862</v>
      </c>
      <c r="CO68" s="16">
        <f t="shared" si="18"/>
        <v>0.0295942221964948</v>
      </c>
      <c r="CP68" s="16">
        <f t="shared" si="18"/>
        <v>0.0972782862485267</v>
      </c>
      <c r="CQ68" s="16">
        <f t="shared" si="18"/>
        <v>0.137711646814197</v>
      </c>
      <c r="CR68" s="16">
        <f t="shared" si="18"/>
        <v>-0.0416023057552184</v>
      </c>
      <c r="CS68" s="16">
        <f t="shared" si="18"/>
        <v>0.0352877922354555</v>
      </c>
      <c r="CT68" s="16">
        <f t="shared" si="18"/>
        <v>0.0127855622969719</v>
      </c>
      <c r="CU68" s="16">
        <f t="shared" si="18"/>
        <v>0.0627736417697704</v>
      </c>
      <c r="CV68" s="16">
        <f t="shared" si="18"/>
        <v>-0.0313673544103273</v>
      </c>
      <c r="CW68" s="16">
        <f t="shared" si="18"/>
        <v>0.0202575824598596</v>
      </c>
      <c r="CX68" s="16">
        <f t="shared" si="18"/>
        <v>0.422574935674625</v>
      </c>
      <c r="CY68" s="16">
        <f t="shared" si="18"/>
        <v>-0.0567134129856523</v>
      </c>
      <c r="CZ68" s="16">
        <f t="shared" si="18"/>
        <v>-0.0373003614132087</v>
      </c>
      <c r="DA68" s="16">
        <f t="shared" si="18"/>
        <v>-0.083381608939051</v>
      </c>
      <c r="DB68" s="16">
        <f t="shared" si="18"/>
        <v>-0.00716207179661506</v>
      </c>
      <c r="DC68" s="16">
        <f t="shared" si="18"/>
        <v>-0.0738648127079484</v>
      </c>
      <c r="DD68" s="16">
        <f t="shared" si="18"/>
        <v>-0.0166350609366512</v>
      </c>
      <c r="DE68" s="16">
        <f t="shared" si="18"/>
        <v>0.0386628318653354</v>
      </c>
      <c r="DF68" s="16">
        <f t="shared" ref="DF68:DU68" si="19">LN(DF6/DF5)</f>
        <v>0.129860627525726</v>
      </c>
      <c r="DG68" s="16">
        <f t="shared" si="19"/>
        <v>-0.0895606773130638</v>
      </c>
      <c r="DH68" s="16">
        <f t="shared" si="19"/>
        <v>0.0320766831956914</v>
      </c>
      <c r="DI68" s="16">
        <f t="shared" si="19"/>
        <v>-0.0311142959430661</v>
      </c>
      <c r="DJ68" s="16">
        <f t="shared" si="19"/>
        <v>0.0102750319772788</v>
      </c>
      <c r="DK68" s="16">
        <f t="shared" si="19"/>
        <v>-0.0247078222605463</v>
      </c>
      <c r="DL68" s="16">
        <f t="shared" si="19"/>
        <v>0.0313516424901</v>
      </c>
      <c r="DM68" s="16">
        <f t="shared" si="19"/>
        <v>-0.0446364245056866</v>
      </c>
      <c r="DN68" s="16">
        <f t="shared" si="19"/>
        <v>-0.0518960051671716</v>
      </c>
      <c r="DO68" s="16">
        <f t="shared" si="19"/>
        <v>-0.0333063673957381</v>
      </c>
      <c r="DP68" s="16">
        <f t="shared" si="19"/>
        <v>-0.0490535863607819</v>
      </c>
      <c r="DQ68" s="16">
        <f t="shared" si="19"/>
        <v>-0.0418445868992138</v>
      </c>
      <c r="DR68" s="16">
        <f t="shared" si="19"/>
        <v>-0.0408418997318495</v>
      </c>
      <c r="DS68" s="16">
        <f t="shared" si="19"/>
        <v>-0.0454034302547251</v>
      </c>
      <c r="DT68" s="16">
        <f t="shared" si="19"/>
        <v>-0.0394350401298066</v>
      </c>
      <c r="DU68" s="16">
        <f t="shared" si="19"/>
        <v>0.0667507478476087</v>
      </c>
      <c r="DV68" s="16">
        <f t="shared" si="13"/>
        <v>-0.124844221513348</v>
      </c>
      <c r="DW68" s="16">
        <f t="shared" si="14"/>
        <v>-0.00773035408402763</v>
      </c>
      <c r="DX68" s="16">
        <f t="shared" si="14"/>
        <v>0.046081030877816</v>
      </c>
      <c r="DY68" s="16">
        <f t="shared" si="14"/>
        <v>-0.00975160284989628</v>
      </c>
      <c r="DZ68" s="16">
        <f t="shared" si="14"/>
        <v>0.0296485800965665</v>
      </c>
    </row>
    <row r="69" ht="14" spans="1:130">
      <c r="A69" s="32">
        <v>42795</v>
      </c>
      <c r="B69" s="16">
        <f t="shared" si="6"/>
        <v>0.0255620800122592</v>
      </c>
      <c r="C69" s="16">
        <f t="shared" si="6"/>
        <v>0.0127704554407117</v>
      </c>
      <c r="D69" s="16">
        <f t="shared" si="7"/>
        <v>0.022283714026945</v>
      </c>
      <c r="E69" s="16">
        <f t="shared" si="7"/>
        <v>0.0522954780575125</v>
      </c>
      <c r="F69" s="16">
        <f t="shared" si="7"/>
        <v>-0.0360137498350799</v>
      </c>
      <c r="G69" s="16">
        <f t="shared" si="7"/>
        <v>-0.0663237405634233</v>
      </c>
      <c r="H69" s="16">
        <f t="shared" si="7"/>
        <v>-0.0419539137210566</v>
      </c>
      <c r="I69" s="16">
        <f t="shared" ref="I69:M69" si="20">LN(I7/I6)</f>
        <v>-0.0262156032053429</v>
      </c>
      <c r="J69" s="16">
        <f t="shared" si="20"/>
        <v>0.0191699161077201</v>
      </c>
      <c r="K69" s="16">
        <f t="shared" si="20"/>
        <v>0.064585953433368</v>
      </c>
      <c r="L69" s="16">
        <f t="shared" si="20"/>
        <v>0.0807117224758455</v>
      </c>
      <c r="M69" s="16">
        <f t="shared" si="20"/>
        <v>0.0301452265737561</v>
      </c>
      <c r="N69" s="16">
        <f t="shared" ref="N69:AS69" si="21">LN(N7/N6)</f>
        <v>0.0397722125250859</v>
      </c>
      <c r="O69" s="16">
        <f t="shared" si="21"/>
        <v>0.00563275598576691</v>
      </c>
      <c r="P69" s="16">
        <f t="shared" si="21"/>
        <v>-0.00831859357501361</v>
      </c>
      <c r="Q69" s="16">
        <f t="shared" si="21"/>
        <v>-0.0261519883775237</v>
      </c>
      <c r="R69" s="16">
        <f t="shared" si="21"/>
        <v>0.00339151148795316</v>
      </c>
      <c r="S69" s="16">
        <f t="shared" si="21"/>
        <v>0.0368236503391618</v>
      </c>
      <c r="T69" s="16">
        <f t="shared" si="21"/>
        <v>-0.0149742459192458</v>
      </c>
      <c r="U69" s="16">
        <f t="shared" si="21"/>
        <v>-0.004335406640372</v>
      </c>
      <c r="V69" s="16">
        <f t="shared" si="21"/>
        <v>0.0237508669267127</v>
      </c>
      <c r="W69" s="16">
        <f t="shared" si="21"/>
        <v>-0.0133288539400564</v>
      </c>
      <c r="X69" s="16">
        <f t="shared" si="21"/>
        <v>0.00112464209177327</v>
      </c>
      <c r="Y69" s="16">
        <f t="shared" si="21"/>
        <v>-0.070786447493599</v>
      </c>
      <c r="Z69" s="16">
        <f t="shared" si="21"/>
        <v>0.00212829755539133</v>
      </c>
      <c r="AA69" s="16">
        <f t="shared" si="21"/>
        <v>0.0392075307281343</v>
      </c>
      <c r="AB69" s="16">
        <f t="shared" si="21"/>
        <v>0.0039825344904289</v>
      </c>
      <c r="AC69" s="16">
        <f t="shared" si="21"/>
        <v>0.0182921885412638</v>
      </c>
      <c r="AD69" s="16">
        <f t="shared" si="21"/>
        <v>0.0350048025677138</v>
      </c>
      <c r="AE69" s="16">
        <f t="shared" si="21"/>
        <v>0.0949721135401179</v>
      </c>
      <c r="AF69" s="16">
        <f t="shared" si="21"/>
        <v>0.0463385481435683</v>
      </c>
      <c r="AG69" s="16">
        <f t="shared" si="21"/>
        <v>0.00961210994733767</v>
      </c>
      <c r="AH69" s="16">
        <f t="shared" si="21"/>
        <v>0.0264216162344388</v>
      </c>
      <c r="AI69" s="16">
        <f t="shared" si="21"/>
        <v>0.0547370969855367</v>
      </c>
      <c r="AJ69" s="16">
        <f t="shared" si="21"/>
        <v>-0.0474332577074964</v>
      </c>
      <c r="AK69" s="16">
        <f t="shared" si="21"/>
        <v>0.0738720255578282</v>
      </c>
      <c r="AL69" s="16">
        <f t="shared" si="21"/>
        <v>-0.00489785473941148</v>
      </c>
      <c r="AM69" s="16">
        <f t="shared" si="21"/>
        <v>0.0721049258736677</v>
      </c>
      <c r="AN69" s="16">
        <f t="shared" si="21"/>
        <v>0.00351590224411281</v>
      </c>
      <c r="AO69" s="16">
        <f t="shared" si="21"/>
        <v>0.0373630617960868</v>
      </c>
      <c r="AP69" s="16">
        <f t="shared" si="21"/>
        <v>0.050144355284701</v>
      </c>
      <c r="AQ69" s="16">
        <f t="shared" si="21"/>
        <v>0.0244177284322733</v>
      </c>
      <c r="AR69" s="16">
        <f t="shared" si="21"/>
        <v>0.00620477688688287</v>
      </c>
      <c r="AS69" s="16">
        <f t="shared" si="21"/>
        <v>0.209397687174807</v>
      </c>
      <c r="AT69" s="16">
        <f t="shared" ref="AT69:BY69" si="22">LN(AT7/AT6)</f>
        <v>0.00569232218729834</v>
      </c>
      <c r="AU69" s="16">
        <f t="shared" si="22"/>
        <v>0.00668888092695959</v>
      </c>
      <c r="AV69" s="16">
        <f t="shared" si="22"/>
        <v>0.0222585593401723</v>
      </c>
      <c r="AW69" s="16">
        <f t="shared" si="22"/>
        <v>-0.0102530222463661</v>
      </c>
      <c r="AX69" s="16">
        <f t="shared" si="22"/>
        <v>0.03288864489426</v>
      </c>
      <c r="AY69" s="16">
        <f t="shared" si="22"/>
        <v>0.0518676316483653</v>
      </c>
      <c r="AZ69" s="16">
        <f t="shared" si="22"/>
        <v>0.0139162402075936</v>
      </c>
      <c r="BA69" s="16">
        <f t="shared" si="22"/>
        <v>0.00630772204353465</v>
      </c>
      <c r="BB69" s="16">
        <f t="shared" si="22"/>
        <v>-0.00973547914239317</v>
      </c>
      <c r="BC69" s="16">
        <f t="shared" si="22"/>
        <v>-0.0396037652317665</v>
      </c>
      <c r="BD69" s="16">
        <f t="shared" si="22"/>
        <v>0.0448191729134608</v>
      </c>
      <c r="BE69" s="16">
        <f t="shared" si="22"/>
        <v>0.0289381427086052</v>
      </c>
      <c r="BF69" s="16">
        <f t="shared" si="22"/>
        <v>-0.0242206260550493</v>
      </c>
      <c r="BG69" s="16">
        <f t="shared" si="22"/>
        <v>0.0479422822448177</v>
      </c>
      <c r="BH69" s="16">
        <f t="shared" si="22"/>
        <v>-0.00978237969959353</v>
      </c>
      <c r="BI69" s="16">
        <f t="shared" si="22"/>
        <v>-0.131176788287312</v>
      </c>
      <c r="BJ69" s="16">
        <f t="shared" si="22"/>
        <v>-0.0410025720123227</v>
      </c>
      <c r="BK69" s="16">
        <f t="shared" si="22"/>
        <v>0.0225712898955372</v>
      </c>
      <c r="BL69" s="16">
        <f t="shared" si="22"/>
        <v>0.0308725165968383</v>
      </c>
      <c r="BM69" s="16">
        <f t="shared" si="22"/>
        <v>0.113668320078822</v>
      </c>
      <c r="BN69" s="16">
        <f t="shared" si="22"/>
        <v>-0.0253356707087436</v>
      </c>
      <c r="BO69" s="16">
        <f t="shared" si="22"/>
        <v>0.0131626142597015</v>
      </c>
      <c r="BP69" s="16">
        <f t="shared" si="22"/>
        <v>-0.00880218012175368</v>
      </c>
      <c r="BQ69" s="16">
        <f t="shared" si="22"/>
        <v>0.0116597614822639</v>
      </c>
      <c r="BR69" s="16">
        <f t="shared" si="22"/>
        <v>0.101807360289726</v>
      </c>
      <c r="BS69" s="16">
        <f t="shared" si="22"/>
        <v>0.0318739347982883</v>
      </c>
      <c r="BT69" s="16">
        <f t="shared" si="22"/>
        <v>0.057834535176996</v>
      </c>
      <c r="BU69" s="16">
        <f t="shared" si="22"/>
        <v>-0.021978785322038</v>
      </c>
      <c r="BV69" s="16">
        <f t="shared" si="22"/>
        <v>-0.0294580675525077</v>
      </c>
      <c r="BW69" s="16">
        <f t="shared" si="22"/>
        <v>-0.100449964470886</v>
      </c>
      <c r="BX69" s="16">
        <f t="shared" si="22"/>
        <v>-0.0244150739482117</v>
      </c>
      <c r="BY69" s="16">
        <f t="shared" si="22"/>
        <v>-0.0547911336720952</v>
      </c>
      <c r="BZ69" s="16">
        <f t="shared" ref="BZ69:DE69" si="23">LN(BZ7/BZ6)</f>
        <v>-0.0134867595027033</v>
      </c>
      <c r="CA69" s="16">
        <f t="shared" si="23"/>
        <v>0.0113744394476894</v>
      </c>
      <c r="CB69" s="16">
        <f t="shared" si="23"/>
        <v>0.0133190809868742</v>
      </c>
      <c r="CC69" s="16">
        <f t="shared" si="23"/>
        <v>0.0319488400292638</v>
      </c>
      <c r="CD69" s="16">
        <f t="shared" si="23"/>
        <v>0.0467142858768062</v>
      </c>
      <c r="CE69" s="16">
        <f t="shared" si="23"/>
        <v>0.0214298447326984</v>
      </c>
      <c r="CF69" s="16">
        <f t="shared" si="23"/>
        <v>0.00246316644024254</v>
      </c>
      <c r="CG69" s="16">
        <f t="shared" si="23"/>
        <v>0.0272008454150471</v>
      </c>
      <c r="CH69" s="16">
        <f t="shared" si="23"/>
        <v>-0.0193105854287657</v>
      </c>
      <c r="CI69" s="16">
        <f t="shared" si="23"/>
        <v>-0.00394896906530616</v>
      </c>
      <c r="CJ69" s="16">
        <f t="shared" si="23"/>
        <v>0.0028733849386975</v>
      </c>
      <c r="CK69" s="16">
        <f t="shared" si="23"/>
        <v>-0.00767863527326427</v>
      </c>
      <c r="CL69" s="16">
        <f t="shared" si="23"/>
        <v>-0.0152909613123887</v>
      </c>
      <c r="CM69" s="16">
        <f t="shared" si="23"/>
        <v>-0.0177450990102545</v>
      </c>
      <c r="CN69" s="16">
        <f t="shared" si="23"/>
        <v>-0.0129717299827404</v>
      </c>
      <c r="CO69" s="16">
        <f t="shared" si="23"/>
        <v>-0.00887882766054487</v>
      </c>
      <c r="CP69" s="16">
        <f t="shared" si="23"/>
        <v>0.00450346354558148</v>
      </c>
      <c r="CQ69" s="16">
        <f t="shared" si="23"/>
        <v>-0.0145781144463905</v>
      </c>
      <c r="CR69" s="16">
        <f t="shared" si="23"/>
        <v>-0.0361992296853041</v>
      </c>
      <c r="CS69" s="16">
        <f t="shared" si="23"/>
        <v>-0.0346223976045112</v>
      </c>
      <c r="CT69" s="16">
        <f t="shared" si="23"/>
        <v>0.0154874336384115</v>
      </c>
      <c r="CU69" s="16">
        <f t="shared" si="23"/>
        <v>0.0994056271240622</v>
      </c>
      <c r="CV69" s="16">
        <f t="shared" si="23"/>
        <v>0.0220986739765426</v>
      </c>
      <c r="CW69" s="16">
        <f t="shared" si="23"/>
        <v>0.0111817074733655</v>
      </c>
      <c r="CX69" s="16">
        <f t="shared" si="23"/>
        <v>-0.113328685307003</v>
      </c>
      <c r="CY69" s="16">
        <f t="shared" si="23"/>
        <v>-0.0521605308055159</v>
      </c>
      <c r="CZ69" s="16">
        <f t="shared" si="23"/>
        <v>0.0842363504318034</v>
      </c>
      <c r="DA69" s="16">
        <f t="shared" si="23"/>
        <v>-0.0231491818669656</v>
      </c>
      <c r="DB69" s="16">
        <f t="shared" si="23"/>
        <v>-0.0716919284561165</v>
      </c>
      <c r="DC69" s="16">
        <f t="shared" si="23"/>
        <v>-0.118644893604617</v>
      </c>
      <c r="DD69" s="16">
        <f t="shared" si="23"/>
        <v>0.0953100869380102</v>
      </c>
      <c r="DE69" s="16">
        <f t="shared" si="23"/>
        <v>-0.0698415962615762</v>
      </c>
      <c r="DF69" s="16">
        <f t="shared" ref="DF69:DU69" si="24">LN(DF7/DF6)</f>
        <v>-0.0846738770491046</v>
      </c>
      <c r="DG69" s="16">
        <f t="shared" si="24"/>
        <v>-0.0273989741881144</v>
      </c>
      <c r="DH69" s="16">
        <f t="shared" si="24"/>
        <v>0.0303878655427506</v>
      </c>
      <c r="DI69" s="16">
        <f t="shared" si="24"/>
        <v>0.0175516070759489</v>
      </c>
      <c r="DJ69" s="16">
        <f t="shared" si="24"/>
        <v>-0.0371460761385468</v>
      </c>
      <c r="DK69" s="16">
        <f t="shared" si="24"/>
        <v>0.0525517712363283</v>
      </c>
      <c r="DL69" s="16">
        <f t="shared" si="24"/>
        <v>0.00139702508168852</v>
      </c>
      <c r="DM69" s="16">
        <f t="shared" si="24"/>
        <v>0.00575745415024418</v>
      </c>
      <c r="DN69" s="16">
        <f t="shared" si="24"/>
        <v>-0.0648494429745409</v>
      </c>
      <c r="DO69" s="16">
        <f t="shared" si="24"/>
        <v>-0.0339804781550582</v>
      </c>
      <c r="DP69" s="16">
        <f t="shared" si="24"/>
        <v>-0.0385566859294385</v>
      </c>
      <c r="DQ69" s="16">
        <f t="shared" si="24"/>
        <v>0.0279616004051665</v>
      </c>
      <c r="DR69" s="16">
        <f t="shared" si="24"/>
        <v>-0.0224223676092911</v>
      </c>
      <c r="DS69" s="16">
        <f t="shared" si="24"/>
        <v>-0.00494000715446217</v>
      </c>
      <c r="DT69" s="16">
        <f t="shared" si="24"/>
        <v>0.00555408753451186</v>
      </c>
      <c r="DU69" s="16">
        <f t="shared" si="24"/>
        <v>-0.00819749432341804</v>
      </c>
      <c r="DV69" s="16">
        <f t="shared" si="13"/>
        <v>-0.0230824445459931</v>
      </c>
      <c r="DW69" s="16">
        <f t="shared" si="14"/>
        <v>0.10727875146962</v>
      </c>
      <c r="DX69" s="16">
        <f t="shared" si="14"/>
        <v>0.133608061294062</v>
      </c>
      <c r="DY69" s="16">
        <f t="shared" si="14"/>
        <v>0.0069750080465866</v>
      </c>
      <c r="DZ69" s="16">
        <f t="shared" si="14"/>
        <v>-0.0736787121897397</v>
      </c>
    </row>
    <row r="70" ht="14" spans="1:130">
      <c r="A70" s="32">
        <v>42826</v>
      </c>
      <c r="B70" s="16">
        <f t="shared" si="6"/>
        <v>-0.00870881556452138</v>
      </c>
      <c r="C70" s="16">
        <f t="shared" si="6"/>
        <v>-0.00851316406474663</v>
      </c>
      <c r="D70" s="16">
        <f t="shared" si="7"/>
        <v>-0.0246748199289365</v>
      </c>
      <c r="E70" s="16">
        <f t="shared" si="7"/>
        <v>0.0118995183650794</v>
      </c>
      <c r="F70" s="16">
        <f t="shared" si="7"/>
        <v>-0.0120362645961794</v>
      </c>
      <c r="G70" s="16">
        <f t="shared" si="7"/>
        <v>-0.00458161652601714</v>
      </c>
      <c r="H70" s="16">
        <f t="shared" si="7"/>
        <v>0.030247471294066</v>
      </c>
      <c r="I70" s="16">
        <f t="shared" ref="I70:M70" si="25">LN(I8/I7)</f>
        <v>0.0745336713338335</v>
      </c>
      <c r="J70" s="16">
        <f t="shared" si="25"/>
        <v>0.0800427076735366</v>
      </c>
      <c r="K70" s="16">
        <f t="shared" si="25"/>
        <v>0.0814497265921603</v>
      </c>
      <c r="L70" s="16">
        <f t="shared" si="25"/>
        <v>-0.0832738555710128</v>
      </c>
      <c r="M70" s="16">
        <f t="shared" si="25"/>
        <v>0.0428845836622196</v>
      </c>
      <c r="N70" s="16">
        <f t="shared" ref="N70:AS70" si="26">LN(N8/N7)</f>
        <v>0.0455148031285348</v>
      </c>
      <c r="O70" s="16">
        <f t="shared" si="26"/>
        <v>0.0695815353414123</v>
      </c>
      <c r="P70" s="16">
        <f t="shared" si="26"/>
        <v>0.0678934377703021</v>
      </c>
      <c r="Q70" s="16">
        <f t="shared" si="26"/>
        <v>0.0489721520022586</v>
      </c>
      <c r="R70" s="16">
        <f t="shared" si="26"/>
        <v>0.0768426270556021</v>
      </c>
      <c r="S70" s="16">
        <f t="shared" si="26"/>
        <v>0.00252577453864816</v>
      </c>
      <c r="T70" s="16">
        <f t="shared" si="26"/>
        <v>-0.017490377271802</v>
      </c>
      <c r="U70" s="16">
        <f t="shared" si="26"/>
        <v>0.0362372746934209</v>
      </c>
      <c r="V70" s="16">
        <f t="shared" si="26"/>
        <v>0.0384325861598711</v>
      </c>
      <c r="W70" s="16">
        <f t="shared" si="26"/>
        <v>0.0333364202675919</v>
      </c>
      <c r="X70" s="16">
        <f t="shared" si="26"/>
        <v>0.0500654132287732</v>
      </c>
      <c r="Y70" s="16">
        <f t="shared" si="26"/>
        <v>-0.0429724290993668</v>
      </c>
      <c r="Z70" s="16">
        <f t="shared" si="26"/>
        <v>0.0230370703459316</v>
      </c>
      <c r="AA70" s="16">
        <f t="shared" si="26"/>
        <v>0.0866774203620988</v>
      </c>
      <c r="AB70" s="16">
        <f t="shared" si="26"/>
        <v>-0.0568889316297311</v>
      </c>
      <c r="AC70" s="16">
        <f t="shared" si="26"/>
        <v>0.0736295443482056</v>
      </c>
      <c r="AD70" s="16">
        <f t="shared" si="26"/>
        <v>0.0387186981419905</v>
      </c>
      <c r="AE70" s="16">
        <f t="shared" si="26"/>
        <v>0.0273636658371667</v>
      </c>
      <c r="AF70" s="16">
        <f t="shared" si="26"/>
        <v>0.00781477537372451</v>
      </c>
      <c r="AG70" s="16">
        <f t="shared" si="26"/>
        <v>0.0215327526797097</v>
      </c>
      <c r="AH70" s="16">
        <f t="shared" si="26"/>
        <v>0.0168071183163812</v>
      </c>
      <c r="AI70" s="16">
        <f t="shared" si="26"/>
        <v>0.0205654012651952</v>
      </c>
      <c r="AJ70" s="16">
        <f t="shared" si="26"/>
        <v>0.0205577531590065</v>
      </c>
      <c r="AK70" s="16">
        <f t="shared" si="26"/>
        <v>0.0304948441394068</v>
      </c>
      <c r="AL70" s="16">
        <f t="shared" si="26"/>
        <v>-0.0990134583073094</v>
      </c>
      <c r="AM70" s="16">
        <f t="shared" si="26"/>
        <v>-0.0434343451957397</v>
      </c>
      <c r="AN70" s="16">
        <f t="shared" si="26"/>
        <v>0.00221500042320928</v>
      </c>
      <c r="AO70" s="16">
        <f t="shared" si="26"/>
        <v>0.0129379355174443</v>
      </c>
      <c r="AP70" s="16">
        <f t="shared" si="26"/>
        <v>-0.0172785165759927</v>
      </c>
      <c r="AQ70" s="16">
        <f t="shared" si="26"/>
        <v>-0.0648408811062171</v>
      </c>
      <c r="AR70" s="16">
        <f t="shared" si="26"/>
        <v>-0.0898269583897935</v>
      </c>
      <c r="AS70" s="16">
        <f t="shared" si="26"/>
        <v>-0.043492688865284</v>
      </c>
      <c r="AT70" s="16">
        <f t="shared" ref="AT70:BY70" si="27">LN(AT8/AT7)</f>
        <v>-0.0727477591852811</v>
      </c>
      <c r="AU70" s="16">
        <f t="shared" si="27"/>
        <v>0.0215060705347221</v>
      </c>
      <c r="AV70" s="16">
        <f t="shared" si="27"/>
        <v>0.0241042677369866</v>
      </c>
      <c r="AW70" s="16">
        <f t="shared" si="27"/>
        <v>0.0863346660760538</v>
      </c>
      <c r="AX70" s="16">
        <f t="shared" si="27"/>
        <v>0.0178030989474669</v>
      </c>
      <c r="AY70" s="16">
        <f t="shared" si="27"/>
        <v>-6.97036785148166e-5</v>
      </c>
      <c r="AZ70" s="16">
        <f t="shared" si="27"/>
        <v>0.0430645986235221</v>
      </c>
      <c r="BA70" s="16">
        <f t="shared" si="27"/>
        <v>0.0770922944573433</v>
      </c>
      <c r="BB70" s="16">
        <f t="shared" si="27"/>
        <v>0.00446354338540054</v>
      </c>
      <c r="BC70" s="16">
        <f t="shared" si="27"/>
        <v>0.0350722367522551</v>
      </c>
      <c r="BD70" s="16">
        <f t="shared" si="27"/>
        <v>0.0492487476878125</v>
      </c>
      <c r="BE70" s="16">
        <f t="shared" si="27"/>
        <v>0.0589325942733377</v>
      </c>
      <c r="BF70" s="16">
        <f t="shared" si="27"/>
        <v>-0.0828750005880582</v>
      </c>
      <c r="BG70" s="16">
        <f t="shared" si="27"/>
        <v>0.0424566808834528</v>
      </c>
      <c r="BH70" s="16">
        <f t="shared" si="27"/>
        <v>-0.00477732110217926</v>
      </c>
      <c r="BI70" s="16">
        <f t="shared" si="27"/>
        <v>0.0121553623797817</v>
      </c>
      <c r="BJ70" s="16">
        <f t="shared" si="27"/>
        <v>-0.0103929573178955</v>
      </c>
      <c r="BK70" s="16">
        <f t="shared" si="27"/>
        <v>0.0766126173202017</v>
      </c>
      <c r="BL70" s="16">
        <f t="shared" si="27"/>
        <v>0.0281995554832265</v>
      </c>
      <c r="BM70" s="16">
        <f t="shared" si="27"/>
        <v>0.0180036215287936</v>
      </c>
      <c r="BN70" s="16">
        <f t="shared" si="27"/>
        <v>-0.00264760486481346</v>
      </c>
      <c r="BO70" s="16">
        <f t="shared" si="27"/>
        <v>0.0672882725893245</v>
      </c>
      <c r="BP70" s="16">
        <f t="shared" si="27"/>
        <v>0.0821036241124238</v>
      </c>
      <c r="BQ70" s="16">
        <f t="shared" si="27"/>
        <v>0.0348034580008717</v>
      </c>
      <c r="BR70" s="16">
        <f t="shared" si="27"/>
        <v>0.00431979584345896</v>
      </c>
      <c r="BS70" s="16">
        <f t="shared" si="27"/>
        <v>0.0368687309056705</v>
      </c>
      <c r="BT70" s="16">
        <f t="shared" si="27"/>
        <v>0.0474068912723261</v>
      </c>
      <c r="BU70" s="16">
        <f t="shared" si="27"/>
        <v>0.0285401166481106</v>
      </c>
      <c r="BV70" s="16">
        <f t="shared" si="27"/>
        <v>-0.0134492612219492</v>
      </c>
      <c r="BW70" s="16">
        <f t="shared" si="27"/>
        <v>0.114428059280904</v>
      </c>
      <c r="BX70" s="16">
        <f t="shared" si="27"/>
        <v>-0.107989957323833</v>
      </c>
      <c r="BY70" s="16">
        <f t="shared" si="27"/>
        <v>-0.0417583977521446</v>
      </c>
      <c r="BZ70" s="16">
        <f t="shared" ref="BZ70:DE70" si="28">LN(BZ8/BZ7)</f>
        <v>-0.0284476276602066</v>
      </c>
      <c r="CA70" s="16">
        <f t="shared" si="28"/>
        <v>0.0253790440443984</v>
      </c>
      <c r="CB70" s="16">
        <f t="shared" si="28"/>
        <v>0.0194597429516426</v>
      </c>
      <c r="CC70" s="16">
        <f t="shared" si="28"/>
        <v>-0.0092509384468129</v>
      </c>
      <c r="CD70" s="16">
        <f t="shared" si="28"/>
        <v>0.0397351762119444</v>
      </c>
      <c r="CE70" s="16">
        <f t="shared" si="28"/>
        <v>0.0158799122024459</v>
      </c>
      <c r="CF70" s="16">
        <f t="shared" si="28"/>
        <v>0.031213111592164</v>
      </c>
      <c r="CG70" s="16">
        <f t="shared" si="28"/>
        <v>0.0273386172460039</v>
      </c>
      <c r="CH70" s="16">
        <f t="shared" si="28"/>
        <v>0.0486273021323818</v>
      </c>
      <c r="CI70" s="16">
        <f t="shared" si="28"/>
        <v>0.0150784777919098</v>
      </c>
      <c r="CJ70" s="16">
        <f t="shared" si="28"/>
        <v>-0.0158374286920611</v>
      </c>
      <c r="CK70" s="16">
        <f t="shared" si="28"/>
        <v>0.00194252809528951</v>
      </c>
      <c r="CL70" s="16">
        <f t="shared" si="28"/>
        <v>0.0181321944182289</v>
      </c>
      <c r="CM70" s="16">
        <f t="shared" si="28"/>
        <v>0.0129112203453775</v>
      </c>
      <c r="CN70" s="16">
        <f t="shared" si="28"/>
        <v>-0.0224231223402932</v>
      </c>
      <c r="CO70" s="16">
        <f t="shared" si="28"/>
        <v>0.0238045734300433</v>
      </c>
      <c r="CP70" s="16">
        <f t="shared" si="28"/>
        <v>-0.00684098666496488</v>
      </c>
      <c r="CQ70" s="16">
        <f t="shared" si="28"/>
        <v>-0.00849073221812709</v>
      </c>
      <c r="CR70" s="16">
        <f t="shared" si="28"/>
        <v>0.00522746870979886</v>
      </c>
      <c r="CS70" s="16">
        <f t="shared" si="28"/>
        <v>0.0120115109577162</v>
      </c>
      <c r="CT70" s="16">
        <f t="shared" si="28"/>
        <v>0.00783200870673282</v>
      </c>
      <c r="CU70" s="16">
        <f t="shared" si="28"/>
        <v>0.142597236917248</v>
      </c>
      <c r="CV70" s="16">
        <f t="shared" si="28"/>
        <v>0.00149003940899735</v>
      </c>
      <c r="CW70" s="16">
        <f t="shared" si="28"/>
        <v>-0.0262486361885163</v>
      </c>
      <c r="CX70" s="16">
        <f t="shared" si="28"/>
        <v>0.182321556793955</v>
      </c>
      <c r="CY70" s="16">
        <f t="shared" si="28"/>
        <v>-0.0671535877650703</v>
      </c>
      <c r="CZ70" s="16">
        <f t="shared" si="28"/>
        <v>0.0108578699720491</v>
      </c>
      <c r="DA70" s="16">
        <f t="shared" si="28"/>
        <v>-0.129857987258214</v>
      </c>
      <c r="DB70" s="16">
        <f t="shared" si="28"/>
        <v>-0.00289995369978976</v>
      </c>
      <c r="DC70" s="16">
        <f t="shared" si="28"/>
        <v>0.0171597175513515</v>
      </c>
      <c r="DD70" s="16">
        <f t="shared" si="28"/>
        <v>-0.03886887361819</v>
      </c>
      <c r="DE70" s="16">
        <f t="shared" si="28"/>
        <v>0.0349519228176256</v>
      </c>
      <c r="DF70" s="16">
        <f t="shared" ref="DF70:DU70" si="29">LN(DF8/DF7)</f>
        <v>-0.169899036795397</v>
      </c>
      <c r="DG70" s="16">
        <f t="shared" si="29"/>
        <v>-0.0769610411361284</v>
      </c>
      <c r="DH70" s="16">
        <f t="shared" si="29"/>
        <v>-0.105937383282707</v>
      </c>
      <c r="DI70" s="16">
        <f t="shared" si="29"/>
        <v>-0.00439899310810853</v>
      </c>
      <c r="DJ70" s="16">
        <f t="shared" si="29"/>
        <v>-0.00625955696020039</v>
      </c>
      <c r="DK70" s="16">
        <f t="shared" si="29"/>
        <v>-0.0400956450799894</v>
      </c>
      <c r="DL70" s="16">
        <f t="shared" si="29"/>
        <v>-0.0735324273890117</v>
      </c>
      <c r="DM70" s="16">
        <f t="shared" si="29"/>
        <v>-0.0531564757924329</v>
      </c>
      <c r="DN70" s="16">
        <f t="shared" si="29"/>
        <v>0.0180643853293534</v>
      </c>
      <c r="DO70" s="16">
        <f t="shared" si="29"/>
        <v>-0.0173295455853902</v>
      </c>
      <c r="DP70" s="16">
        <f t="shared" si="29"/>
        <v>-0.0534417657542575</v>
      </c>
      <c r="DQ70" s="16">
        <f t="shared" si="29"/>
        <v>-0.0381262868877226</v>
      </c>
      <c r="DR70" s="16">
        <f t="shared" si="29"/>
        <v>-0.0731626566674969</v>
      </c>
      <c r="DS70" s="16">
        <f t="shared" si="29"/>
        <v>-0.00755093861421743</v>
      </c>
      <c r="DT70" s="16">
        <f t="shared" si="29"/>
        <v>-0.0757187502876782</v>
      </c>
      <c r="DU70" s="16">
        <f t="shared" si="29"/>
        <v>-0.135311314972662</v>
      </c>
      <c r="DV70" s="16">
        <f t="shared" si="13"/>
        <v>-0.0549974042450006</v>
      </c>
      <c r="DW70" s="16">
        <f t="shared" si="14"/>
        <v>0.120916222467528</v>
      </c>
      <c r="DX70" s="16">
        <f t="shared" si="14"/>
        <v>0.0112330673597522</v>
      </c>
      <c r="DY70" s="16">
        <f t="shared" si="14"/>
        <v>-0.0262791026384873</v>
      </c>
      <c r="DZ70" s="16">
        <f t="shared" si="14"/>
        <v>-0.0147123785979393</v>
      </c>
    </row>
    <row r="71" ht="14" spans="1:130">
      <c r="A71" s="32">
        <v>42856</v>
      </c>
      <c r="B71" s="16">
        <f t="shared" si="6"/>
        <v>0.0379826754408753</v>
      </c>
      <c r="C71" s="16">
        <f t="shared" si="6"/>
        <v>-0.0381600033542689</v>
      </c>
      <c r="D71" s="16">
        <f t="shared" si="7"/>
        <v>-0.0308135947886721</v>
      </c>
      <c r="E71" s="16">
        <f t="shared" si="7"/>
        <v>0.0111120318899164</v>
      </c>
      <c r="F71" s="16">
        <f t="shared" si="7"/>
        <v>0.0436352346162789</v>
      </c>
      <c r="G71" s="16">
        <f t="shared" si="7"/>
        <v>-0.050739816903803</v>
      </c>
      <c r="H71" s="16">
        <f t="shared" si="7"/>
        <v>-0.030956791719588</v>
      </c>
      <c r="I71" s="16">
        <f t="shared" ref="I71:M71" si="30">LN(I9/I8)</f>
        <v>0.0441332168870365</v>
      </c>
      <c r="J71" s="16">
        <f t="shared" si="30"/>
        <v>-0.0414172165285755</v>
      </c>
      <c r="K71" s="16">
        <f t="shared" si="30"/>
        <v>0.00392717391555387</v>
      </c>
      <c r="L71" s="16">
        <f t="shared" si="30"/>
        <v>-0.153894170912167</v>
      </c>
      <c r="M71" s="16">
        <f t="shared" si="30"/>
        <v>0.0917532388207087</v>
      </c>
      <c r="N71" s="16">
        <f t="shared" ref="N71:AS71" si="31">LN(N9/N8)</f>
        <v>0.0253059427026969</v>
      </c>
      <c r="O71" s="16">
        <f t="shared" si="31"/>
        <v>0.12676700906078</v>
      </c>
      <c r="P71" s="16">
        <f t="shared" si="31"/>
        <v>0.00171371574014969</v>
      </c>
      <c r="Q71" s="16">
        <f t="shared" si="31"/>
        <v>-0.0640649926592591</v>
      </c>
      <c r="R71" s="16">
        <f t="shared" si="31"/>
        <v>0.024762874768752</v>
      </c>
      <c r="S71" s="16">
        <f t="shared" si="31"/>
        <v>0.166913491021133</v>
      </c>
      <c r="T71" s="16">
        <f t="shared" si="31"/>
        <v>0.0513465316857827</v>
      </c>
      <c r="U71" s="16">
        <f t="shared" si="31"/>
        <v>0.0142203056449385</v>
      </c>
      <c r="V71" s="16">
        <f t="shared" si="31"/>
        <v>0.047193786844939</v>
      </c>
      <c r="W71" s="16">
        <f t="shared" si="31"/>
        <v>0.193472720939825</v>
      </c>
      <c r="X71" s="16">
        <f t="shared" si="31"/>
        <v>0.106303008575766</v>
      </c>
      <c r="Y71" s="16">
        <f t="shared" si="31"/>
        <v>0.0427157923974005</v>
      </c>
      <c r="Z71" s="16">
        <f t="shared" si="31"/>
        <v>0.0120151692501471</v>
      </c>
      <c r="AA71" s="16">
        <f t="shared" si="31"/>
        <v>0.0901011890382652</v>
      </c>
      <c r="AB71" s="16">
        <f t="shared" si="31"/>
        <v>0.0447267476617815</v>
      </c>
      <c r="AC71" s="16">
        <f t="shared" si="31"/>
        <v>0.0631568716153518</v>
      </c>
      <c r="AD71" s="16">
        <f t="shared" si="31"/>
        <v>0.0199570558714278</v>
      </c>
      <c r="AE71" s="16">
        <f t="shared" si="31"/>
        <v>0.0589430391481083</v>
      </c>
      <c r="AF71" s="16">
        <f t="shared" si="31"/>
        <v>0.013818039587389</v>
      </c>
      <c r="AG71" s="16">
        <f t="shared" si="31"/>
        <v>0.015750477047303</v>
      </c>
      <c r="AH71" s="16">
        <f t="shared" si="31"/>
        <v>0.0086801668312666</v>
      </c>
      <c r="AI71" s="16">
        <f t="shared" si="31"/>
        <v>0.0138487806355251</v>
      </c>
      <c r="AJ71" s="16">
        <f t="shared" si="31"/>
        <v>-0.256555764478096</v>
      </c>
      <c r="AK71" s="16">
        <f t="shared" si="31"/>
        <v>-0.042628229573631</v>
      </c>
      <c r="AL71" s="16">
        <f t="shared" si="31"/>
        <v>-0.0077742753370754</v>
      </c>
      <c r="AM71" s="16">
        <f t="shared" si="31"/>
        <v>0.324969858878274</v>
      </c>
      <c r="AN71" s="16">
        <f t="shared" si="31"/>
        <v>-0.00110657670939674</v>
      </c>
      <c r="AO71" s="16">
        <f t="shared" si="31"/>
        <v>0.081167760474459</v>
      </c>
      <c r="AP71" s="16">
        <f t="shared" si="31"/>
        <v>0.0471368985248723</v>
      </c>
      <c r="AQ71" s="16">
        <f t="shared" si="31"/>
        <v>0.0636192894812174</v>
      </c>
      <c r="AR71" s="16">
        <f t="shared" si="31"/>
        <v>-0.172743512903874</v>
      </c>
      <c r="AS71" s="16">
        <f t="shared" si="31"/>
        <v>0.106191290738404</v>
      </c>
      <c r="AT71" s="16">
        <f t="shared" ref="AT71:BY71" si="32">LN(AT9/AT8)</f>
        <v>0.118191480343173</v>
      </c>
      <c r="AU71" s="16">
        <f t="shared" si="32"/>
        <v>0.0384930555634577</v>
      </c>
      <c r="AV71" s="16">
        <f t="shared" si="32"/>
        <v>0.0972572117760915</v>
      </c>
      <c r="AW71" s="16">
        <f t="shared" si="32"/>
        <v>0.0554755738725558</v>
      </c>
      <c r="AX71" s="16">
        <f t="shared" si="32"/>
        <v>0.0649209480479047</v>
      </c>
      <c r="AY71" s="16">
        <f t="shared" si="32"/>
        <v>0.0614881098296647</v>
      </c>
      <c r="AZ71" s="16">
        <f t="shared" si="32"/>
        <v>0.0400599764365639</v>
      </c>
      <c r="BA71" s="16">
        <f t="shared" si="32"/>
        <v>0.102233277002902</v>
      </c>
      <c r="BB71" s="16">
        <f t="shared" si="32"/>
        <v>0.0233289215981439</v>
      </c>
      <c r="BC71" s="16">
        <f t="shared" si="32"/>
        <v>0.0318154874279797</v>
      </c>
      <c r="BD71" s="16">
        <f t="shared" si="32"/>
        <v>-0.01288689496036</v>
      </c>
      <c r="BE71" s="16">
        <f t="shared" si="32"/>
        <v>-0.00319303176345992</v>
      </c>
      <c r="BF71" s="16">
        <f t="shared" si="32"/>
        <v>-0.0489680749263545</v>
      </c>
      <c r="BG71" s="16">
        <f t="shared" si="32"/>
        <v>0.0725778280216526</v>
      </c>
      <c r="BH71" s="16">
        <f t="shared" si="32"/>
        <v>0.0262900754193593</v>
      </c>
      <c r="BI71" s="16">
        <f t="shared" si="32"/>
        <v>0.220165142559949</v>
      </c>
      <c r="BJ71" s="16">
        <f t="shared" si="32"/>
        <v>-0.0207093510332222</v>
      </c>
      <c r="BK71" s="16">
        <f t="shared" si="32"/>
        <v>0.0754092471413492</v>
      </c>
      <c r="BL71" s="16">
        <f t="shared" si="32"/>
        <v>0.0574264664535666</v>
      </c>
      <c r="BM71" s="16">
        <f t="shared" si="32"/>
        <v>0.0497450836081942</v>
      </c>
      <c r="BN71" s="16">
        <f t="shared" si="32"/>
        <v>-0.0446567472069056</v>
      </c>
      <c r="BO71" s="16">
        <f t="shared" si="32"/>
        <v>-0.0167312517682339</v>
      </c>
      <c r="BP71" s="16">
        <f t="shared" si="32"/>
        <v>0.0336451846549359</v>
      </c>
      <c r="BQ71" s="16">
        <f t="shared" si="32"/>
        <v>0.0619015298334988</v>
      </c>
      <c r="BR71" s="16">
        <f t="shared" si="32"/>
        <v>-0.0531100958831469</v>
      </c>
      <c r="BS71" s="16">
        <f t="shared" si="32"/>
        <v>0.0162574641743662</v>
      </c>
      <c r="BT71" s="16">
        <f t="shared" si="32"/>
        <v>0.0365584737060579</v>
      </c>
      <c r="BU71" s="16">
        <f t="shared" si="32"/>
        <v>0.104345028754909</v>
      </c>
      <c r="BV71" s="16">
        <f t="shared" si="32"/>
        <v>0.154615119226758</v>
      </c>
      <c r="BW71" s="16">
        <f t="shared" si="32"/>
        <v>-0.0231794336892542</v>
      </c>
      <c r="BX71" s="16">
        <f t="shared" si="32"/>
        <v>-0.115625217526199</v>
      </c>
      <c r="BY71" s="16">
        <f t="shared" si="32"/>
        <v>-0.0617373223318224</v>
      </c>
      <c r="BZ71" s="16">
        <f t="shared" ref="BZ71:DE71" si="33">LN(BZ9/BZ8)</f>
        <v>0.0162927526226323</v>
      </c>
      <c r="CA71" s="16">
        <f t="shared" si="33"/>
        <v>0.0523705398341342</v>
      </c>
      <c r="CB71" s="16">
        <f t="shared" si="33"/>
        <v>0.0311994808454652</v>
      </c>
      <c r="CC71" s="16">
        <f t="shared" si="33"/>
        <v>0.07773607003776</v>
      </c>
      <c r="CD71" s="16">
        <f t="shared" si="33"/>
        <v>0.0800726609579487</v>
      </c>
      <c r="CE71" s="16">
        <f t="shared" si="33"/>
        <v>0.0375226493732911</v>
      </c>
      <c r="CF71" s="16">
        <f t="shared" si="33"/>
        <v>0.0322371018168513</v>
      </c>
      <c r="CG71" s="16">
        <f t="shared" si="33"/>
        <v>0.0772667331776829</v>
      </c>
      <c r="CH71" s="16">
        <f t="shared" si="33"/>
        <v>0.0340568594328032</v>
      </c>
      <c r="CI71" s="16">
        <f t="shared" si="33"/>
        <v>0.0100620390619362</v>
      </c>
      <c r="CJ71" s="16">
        <f t="shared" si="33"/>
        <v>0.063630651752831</v>
      </c>
      <c r="CK71" s="16">
        <f t="shared" si="33"/>
        <v>0.0198263874918021</v>
      </c>
      <c r="CL71" s="16">
        <f t="shared" si="33"/>
        <v>0.0378795065171567</v>
      </c>
      <c r="CM71" s="16">
        <f t="shared" si="33"/>
        <v>-0.0372372307960137</v>
      </c>
      <c r="CN71" s="16">
        <f t="shared" si="33"/>
        <v>0.00841527482982782</v>
      </c>
      <c r="CO71" s="16">
        <f t="shared" si="33"/>
        <v>0.0463435983088087</v>
      </c>
      <c r="CP71" s="16">
        <f t="shared" si="33"/>
        <v>0.0421052157524455</v>
      </c>
      <c r="CQ71" s="16">
        <f t="shared" si="33"/>
        <v>0.0211378250176582</v>
      </c>
      <c r="CR71" s="16">
        <f t="shared" si="33"/>
        <v>0.00813387454050351</v>
      </c>
      <c r="CS71" s="16">
        <f t="shared" si="33"/>
        <v>0.103578561057802</v>
      </c>
      <c r="CT71" s="16">
        <f t="shared" si="33"/>
        <v>0.0605411807049509</v>
      </c>
      <c r="CU71" s="16">
        <f t="shared" si="33"/>
        <v>-0.109391914521689</v>
      </c>
      <c r="CV71" s="16">
        <f t="shared" si="33"/>
        <v>-0.0139628208940961</v>
      </c>
      <c r="CW71" s="16">
        <f t="shared" si="33"/>
        <v>0.0215889116613081</v>
      </c>
      <c r="CX71" s="16">
        <f t="shared" si="33"/>
        <v>-0.0202027073175195</v>
      </c>
      <c r="CY71" s="16">
        <f t="shared" si="33"/>
        <v>0.00739623023037109</v>
      </c>
      <c r="CZ71" s="16">
        <f t="shared" si="33"/>
        <v>0.0788790469986308</v>
      </c>
      <c r="DA71" s="16">
        <f t="shared" si="33"/>
        <v>-0.00534760632659535</v>
      </c>
      <c r="DB71" s="16">
        <f t="shared" si="33"/>
        <v>-0.155765406481995</v>
      </c>
      <c r="DC71" s="16">
        <f t="shared" si="33"/>
        <v>-0.341399351524795</v>
      </c>
      <c r="DD71" s="16">
        <f t="shared" si="33"/>
        <v>-0.0436204728383059</v>
      </c>
      <c r="DE71" s="16">
        <f t="shared" si="33"/>
        <v>0.00899689002727152</v>
      </c>
      <c r="DF71" s="16">
        <f t="shared" ref="DF71:DU71" si="34">LN(DF9/DF8)</f>
        <v>-0.0880568553911827</v>
      </c>
      <c r="DG71" s="16">
        <f t="shared" si="34"/>
        <v>0.0525924501191704</v>
      </c>
      <c r="DH71" s="16">
        <f t="shared" si="34"/>
        <v>-0.000192363182280271</v>
      </c>
      <c r="DI71" s="16">
        <f t="shared" si="34"/>
        <v>-0.0141849015790142</v>
      </c>
      <c r="DJ71" s="16">
        <f t="shared" si="34"/>
        <v>-0.030643010313047</v>
      </c>
      <c r="DK71" s="16">
        <f t="shared" si="34"/>
        <v>-0.0695741831296422</v>
      </c>
      <c r="DL71" s="16">
        <f t="shared" si="34"/>
        <v>-0.0360792390238503</v>
      </c>
      <c r="DM71" s="16">
        <f t="shared" si="34"/>
        <v>-0.02225475804993</v>
      </c>
      <c r="DN71" s="16">
        <f t="shared" si="34"/>
        <v>-0.0620977943197157</v>
      </c>
      <c r="DO71" s="16">
        <f t="shared" si="34"/>
        <v>-0.0433368260511314</v>
      </c>
      <c r="DP71" s="16">
        <f t="shared" si="34"/>
        <v>-0.150275194816073</v>
      </c>
      <c r="DQ71" s="16">
        <f t="shared" si="34"/>
        <v>-0.0735532848054731</v>
      </c>
      <c r="DR71" s="16">
        <f t="shared" si="34"/>
        <v>-0.0422065647086351</v>
      </c>
      <c r="DS71" s="16">
        <f t="shared" si="34"/>
        <v>-0.0737324486289868</v>
      </c>
      <c r="DT71" s="16">
        <f t="shared" si="34"/>
        <v>-0.0399513015795989</v>
      </c>
      <c r="DU71" s="16">
        <f t="shared" si="34"/>
        <v>-0.0680330995707709</v>
      </c>
      <c r="DV71" s="16">
        <f t="shared" si="13"/>
        <v>-0.0344502437222315</v>
      </c>
      <c r="DW71" s="16">
        <f t="shared" si="14"/>
        <v>0.0822959113673556</v>
      </c>
      <c r="DX71" s="16">
        <f t="shared" si="14"/>
        <v>0.152195836080897</v>
      </c>
      <c r="DY71" s="16">
        <f t="shared" si="14"/>
        <v>0.0698064538592367</v>
      </c>
      <c r="DZ71" s="16">
        <f t="shared" si="14"/>
        <v>-0.0176028705770578</v>
      </c>
    </row>
    <row r="72" ht="14" spans="1:130">
      <c r="A72" s="32">
        <v>42887</v>
      </c>
      <c r="B72" s="16">
        <f t="shared" si="6"/>
        <v>0.0376248692072745</v>
      </c>
      <c r="C72" s="16">
        <f t="shared" si="6"/>
        <v>0.0380163967213106</v>
      </c>
      <c r="D72" s="16">
        <f t="shared" si="7"/>
        <v>0.0401705674963308</v>
      </c>
      <c r="E72" s="16">
        <f t="shared" si="7"/>
        <v>0.0937669088441431</v>
      </c>
      <c r="F72" s="16">
        <f t="shared" si="7"/>
        <v>-0.015789597442021</v>
      </c>
      <c r="G72" s="16">
        <f t="shared" si="7"/>
        <v>0.11106230526725</v>
      </c>
      <c r="H72" s="16">
        <f t="shared" si="7"/>
        <v>0.0322814115989287</v>
      </c>
      <c r="I72" s="16">
        <f t="shared" ref="I72:M72" si="35">LN(I10/I9)</f>
        <v>0.00967595199034028</v>
      </c>
      <c r="J72" s="16">
        <f t="shared" si="35"/>
        <v>-0.0218886987894371</v>
      </c>
      <c r="K72" s="16">
        <f t="shared" si="35"/>
        <v>-0.0422730537259914</v>
      </c>
      <c r="L72" s="16">
        <f t="shared" si="35"/>
        <v>0.0902104237389404</v>
      </c>
      <c r="M72" s="16">
        <f t="shared" si="35"/>
        <v>-0.0172171318852753</v>
      </c>
      <c r="N72" s="16">
        <f t="shared" ref="N72:AS72" si="36">LN(N10/N9)</f>
        <v>0.0347880936421246</v>
      </c>
      <c r="O72" s="16">
        <f t="shared" si="36"/>
        <v>0.00978366108548036</v>
      </c>
      <c r="P72" s="16">
        <f t="shared" si="36"/>
        <v>0.0568095730289796</v>
      </c>
      <c r="Q72" s="16">
        <f t="shared" si="36"/>
        <v>0.0461646233924514</v>
      </c>
      <c r="R72" s="16">
        <f t="shared" si="36"/>
        <v>0.0312053612416171</v>
      </c>
      <c r="S72" s="16">
        <f t="shared" si="36"/>
        <v>0.0675482990630848</v>
      </c>
      <c r="T72" s="16">
        <f t="shared" si="36"/>
        <v>0.0626063928198572</v>
      </c>
      <c r="U72" s="16">
        <f t="shared" si="36"/>
        <v>0.0516789679914603</v>
      </c>
      <c r="V72" s="16">
        <f t="shared" si="36"/>
        <v>-0.0296751163202957</v>
      </c>
      <c r="W72" s="16">
        <f t="shared" si="36"/>
        <v>-0.0121762795611156</v>
      </c>
      <c r="X72" s="16">
        <f t="shared" si="36"/>
        <v>0.00160439759080695</v>
      </c>
      <c r="Y72" s="16">
        <f t="shared" si="36"/>
        <v>-0.00411307878681038</v>
      </c>
      <c r="Z72" s="16">
        <f t="shared" si="36"/>
        <v>0.030600050141006</v>
      </c>
      <c r="AA72" s="16">
        <f t="shared" si="36"/>
        <v>0.022368004933514</v>
      </c>
      <c r="AB72" s="16">
        <f t="shared" si="36"/>
        <v>0.0957790483333058</v>
      </c>
      <c r="AC72" s="16">
        <f t="shared" si="36"/>
        <v>0.023226055968977</v>
      </c>
      <c r="AD72" s="16">
        <f t="shared" si="36"/>
        <v>-0.00739993410133647</v>
      </c>
      <c r="AE72" s="16">
        <f t="shared" si="36"/>
        <v>-0.00296505688460754</v>
      </c>
      <c r="AF72" s="16">
        <f t="shared" si="36"/>
        <v>0.0995272503002487</v>
      </c>
      <c r="AG72" s="16">
        <f t="shared" si="36"/>
        <v>-0.0262531992464522</v>
      </c>
      <c r="AH72" s="16">
        <f t="shared" si="36"/>
        <v>-0.0495021613515218</v>
      </c>
      <c r="AI72" s="16">
        <f t="shared" si="36"/>
        <v>0.0305834233720802</v>
      </c>
      <c r="AJ72" s="16">
        <f t="shared" si="36"/>
        <v>0.0548817580057257</v>
      </c>
      <c r="AK72" s="16">
        <f t="shared" si="36"/>
        <v>-0.0703836590375919</v>
      </c>
      <c r="AL72" s="16">
        <f t="shared" si="36"/>
        <v>-0.00838595768309753</v>
      </c>
      <c r="AM72" s="16">
        <f t="shared" si="36"/>
        <v>0.00250615398654281</v>
      </c>
      <c r="AN72" s="16">
        <f t="shared" si="36"/>
        <v>-0.0604742133023237</v>
      </c>
      <c r="AO72" s="16">
        <f t="shared" si="36"/>
        <v>-0.0272170716473791</v>
      </c>
      <c r="AP72" s="16">
        <f t="shared" si="36"/>
        <v>-0.0697812737697549</v>
      </c>
      <c r="AQ72" s="16">
        <f t="shared" si="36"/>
        <v>-0.0266519607837736</v>
      </c>
      <c r="AR72" s="16">
        <f t="shared" si="36"/>
        <v>0.109106840617448</v>
      </c>
      <c r="AS72" s="16">
        <f t="shared" si="36"/>
        <v>-0.0300204044162904</v>
      </c>
      <c r="AT72" s="16">
        <f t="shared" ref="AT72:BY72" si="37">LN(AT10/AT9)</f>
        <v>-0.097411605974556</v>
      </c>
      <c r="AU72" s="16">
        <f t="shared" si="37"/>
        <v>-0.00410299291460194</v>
      </c>
      <c r="AV72" s="16">
        <f t="shared" si="37"/>
        <v>-0.0717355797410684</v>
      </c>
      <c r="AW72" s="16">
        <f t="shared" si="37"/>
        <v>-0.0310500531923074</v>
      </c>
      <c r="AX72" s="16">
        <f t="shared" si="37"/>
        <v>-0.10092798444297</v>
      </c>
      <c r="AY72" s="16">
        <f t="shared" si="37"/>
        <v>-0.0547964099090658</v>
      </c>
      <c r="AZ72" s="16">
        <f t="shared" si="37"/>
        <v>-0.0345018333643368</v>
      </c>
      <c r="BA72" s="16">
        <f t="shared" si="37"/>
        <v>0.0128176452200583</v>
      </c>
      <c r="BB72" s="16">
        <f t="shared" si="37"/>
        <v>-0.0195987486180641</v>
      </c>
      <c r="BC72" s="16">
        <f t="shared" si="37"/>
        <v>0.00747715227804707</v>
      </c>
      <c r="BD72" s="16">
        <f t="shared" si="37"/>
        <v>0.0154269769942806</v>
      </c>
      <c r="BE72" s="16">
        <f t="shared" si="37"/>
        <v>-0.0706694170166765</v>
      </c>
      <c r="BF72" s="16">
        <f t="shared" si="37"/>
        <v>0.0175526796640599</v>
      </c>
      <c r="BG72" s="16">
        <f t="shared" si="37"/>
        <v>-0.0271286673882526</v>
      </c>
      <c r="BH72" s="16">
        <f t="shared" si="37"/>
        <v>0.0179143251237633</v>
      </c>
      <c r="BI72" s="16">
        <f t="shared" si="37"/>
        <v>0.112049503808623</v>
      </c>
      <c r="BJ72" s="16">
        <f t="shared" si="37"/>
        <v>0.0290464658905997</v>
      </c>
      <c r="BK72" s="16">
        <f t="shared" si="37"/>
        <v>0.0149316430740928</v>
      </c>
      <c r="BL72" s="16">
        <f t="shared" si="37"/>
        <v>-0.082885890259888</v>
      </c>
      <c r="BM72" s="16">
        <f t="shared" si="37"/>
        <v>0.0168372168318338</v>
      </c>
      <c r="BN72" s="16">
        <f t="shared" si="37"/>
        <v>0.107434121251243</v>
      </c>
      <c r="BO72" s="16">
        <f t="shared" si="37"/>
        <v>0.00504523170027853</v>
      </c>
      <c r="BP72" s="16">
        <f t="shared" si="37"/>
        <v>0.0864971608720875</v>
      </c>
      <c r="BQ72" s="16">
        <f t="shared" si="37"/>
        <v>0.0339874670447071</v>
      </c>
      <c r="BR72" s="16">
        <f t="shared" si="37"/>
        <v>0.122217883284156</v>
      </c>
      <c r="BS72" s="16">
        <f t="shared" si="37"/>
        <v>-0.00350623823226159</v>
      </c>
      <c r="BT72" s="16">
        <f t="shared" si="37"/>
        <v>0.029622799983154</v>
      </c>
      <c r="BU72" s="16">
        <f t="shared" si="37"/>
        <v>0.0153009182332823</v>
      </c>
      <c r="BV72" s="16">
        <f t="shared" si="37"/>
        <v>-0.000897585731960592</v>
      </c>
      <c r="BW72" s="16">
        <f t="shared" si="37"/>
        <v>0.0552019527321788</v>
      </c>
      <c r="BX72" s="16">
        <f t="shared" si="37"/>
        <v>-0.0125035048316815</v>
      </c>
      <c r="BY72" s="16">
        <f t="shared" si="37"/>
        <v>-0.13641100058172</v>
      </c>
      <c r="BZ72" s="16">
        <f t="shared" ref="BZ72:DE72" si="38">LN(BZ10/BZ9)</f>
        <v>-0.0107282336784549</v>
      </c>
      <c r="CA72" s="16">
        <f t="shared" si="38"/>
        <v>-0.0137294594883434</v>
      </c>
      <c r="CB72" s="16">
        <f t="shared" si="38"/>
        <v>-0.00503355698419499</v>
      </c>
      <c r="CC72" s="16">
        <f t="shared" si="38"/>
        <v>-0.0198109982282414</v>
      </c>
      <c r="CD72" s="16">
        <f t="shared" si="38"/>
        <v>-0.0199178442990898</v>
      </c>
      <c r="CE72" s="16">
        <f t="shared" si="38"/>
        <v>-0.0172914811402355</v>
      </c>
      <c r="CF72" s="16">
        <f t="shared" si="38"/>
        <v>-0.039099978478617</v>
      </c>
      <c r="CG72" s="16">
        <f t="shared" si="38"/>
        <v>0.0229965435051198</v>
      </c>
      <c r="CH72" s="16">
        <f t="shared" si="38"/>
        <v>-0.0757766845263541</v>
      </c>
      <c r="CI72" s="16">
        <f t="shared" si="38"/>
        <v>0.00483332116918346</v>
      </c>
      <c r="CJ72" s="16">
        <f t="shared" si="38"/>
        <v>-0.0296387235438963</v>
      </c>
      <c r="CK72" s="16">
        <f t="shared" si="38"/>
        <v>-0.0670517268063952</v>
      </c>
      <c r="CL72" s="16">
        <f t="shared" si="38"/>
        <v>-0.0806997420151666</v>
      </c>
      <c r="CM72" s="16">
        <f t="shared" si="38"/>
        <v>0.0141720370207477</v>
      </c>
      <c r="CN72" s="16">
        <f t="shared" si="38"/>
        <v>-0.0231576497019687</v>
      </c>
      <c r="CO72" s="16">
        <f t="shared" si="38"/>
        <v>-0.0658772416999795</v>
      </c>
      <c r="CP72" s="16">
        <f t="shared" si="38"/>
        <v>0.00800654738978229</v>
      </c>
      <c r="CQ72" s="16">
        <f t="shared" si="38"/>
        <v>-0.0185151653525305</v>
      </c>
      <c r="CR72" s="16">
        <f t="shared" si="38"/>
        <v>-0.100266248263246</v>
      </c>
      <c r="CS72" s="16">
        <f t="shared" si="38"/>
        <v>0.0169000794584922</v>
      </c>
      <c r="CT72" s="16">
        <f t="shared" si="38"/>
        <v>-0.0959111614256988</v>
      </c>
      <c r="CU72" s="16">
        <f t="shared" si="38"/>
        <v>-0.0597655152343855</v>
      </c>
      <c r="CV72" s="16">
        <f t="shared" si="38"/>
        <v>0.0506023237616734</v>
      </c>
      <c r="CW72" s="16">
        <f t="shared" si="38"/>
        <v>0.114383871809653</v>
      </c>
      <c r="CX72" s="16">
        <f t="shared" si="38"/>
        <v>-0.0888683877368425</v>
      </c>
      <c r="CY72" s="16">
        <f t="shared" si="38"/>
        <v>0.109561703504582</v>
      </c>
      <c r="CZ72" s="16">
        <f t="shared" si="38"/>
        <v>-0.028341978002275</v>
      </c>
      <c r="DA72" s="16">
        <f t="shared" si="38"/>
        <v>0.0648735856406222</v>
      </c>
      <c r="DB72" s="16">
        <f t="shared" si="38"/>
        <v>0.0179377006866673</v>
      </c>
      <c r="DC72" s="16">
        <f t="shared" si="38"/>
        <v>0.0958638509821602</v>
      </c>
      <c r="DD72" s="16">
        <f t="shared" si="38"/>
        <v>-0.121772014909374</v>
      </c>
      <c r="DE72" s="16">
        <f t="shared" si="38"/>
        <v>0.0641747012295347</v>
      </c>
      <c r="DF72" s="16">
        <f t="shared" ref="DF72:DU72" si="39">LN(DF10/DF9)</f>
        <v>0.0674109607676359</v>
      </c>
      <c r="DG72" s="16">
        <f t="shared" si="39"/>
        <v>0.0225150223676348</v>
      </c>
      <c r="DH72" s="16">
        <f t="shared" si="39"/>
        <v>0.0112865856180126</v>
      </c>
      <c r="DI72" s="16">
        <f t="shared" si="39"/>
        <v>0.0122520784298454</v>
      </c>
      <c r="DJ72" s="16">
        <f t="shared" si="39"/>
        <v>0.0183016833279372</v>
      </c>
      <c r="DK72" s="16">
        <f t="shared" si="39"/>
        <v>-0.0108880323086334</v>
      </c>
      <c r="DL72" s="16">
        <f t="shared" si="39"/>
        <v>-0.0446094718030648</v>
      </c>
      <c r="DM72" s="16">
        <f t="shared" si="39"/>
        <v>0.00232279388262216</v>
      </c>
      <c r="DN72" s="16">
        <f t="shared" si="39"/>
        <v>-0.0450162999031011</v>
      </c>
      <c r="DO72" s="16">
        <f t="shared" si="39"/>
        <v>0.0158251133528629</v>
      </c>
      <c r="DP72" s="16">
        <f t="shared" si="39"/>
        <v>-0.0609742942496035</v>
      </c>
      <c r="DQ72" s="16">
        <f t="shared" si="39"/>
        <v>-0.0435163923650418</v>
      </c>
      <c r="DR72" s="16">
        <f t="shared" si="39"/>
        <v>-0.0482337510106052</v>
      </c>
      <c r="DS72" s="16">
        <f t="shared" si="39"/>
        <v>-0.00878965764449294</v>
      </c>
      <c r="DT72" s="16">
        <f t="shared" si="39"/>
        <v>-0.0623533064844348</v>
      </c>
      <c r="DU72" s="16">
        <f t="shared" si="39"/>
        <v>0.00823036563260102</v>
      </c>
      <c r="DV72" s="16">
        <f t="shared" si="13"/>
        <v>0.0247133802886146</v>
      </c>
      <c r="DW72" s="16">
        <f t="shared" si="14"/>
        <v>0.0586544806361605</v>
      </c>
      <c r="DX72" s="16">
        <f t="shared" si="14"/>
        <v>-0.00810466801126967</v>
      </c>
      <c r="DY72" s="16">
        <f t="shared" si="14"/>
        <v>0.0399224768723236</v>
      </c>
      <c r="DZ72" s="16">
        <f t="shared" si="14"/>
        <v>0.00627535411092426</v>
      </c>
    </row>
    <row r="73" ht="14" spans="1:130">
      <c r="A73" s="32">
        <v>42917</v>
      </c>
      <c r="B73" s="16">
        <f t="shared" si="6"/>
        <v>0.00324545402465602</v>
      </c>
      <c r="C73" s="16">
        <f t="shared" si="6"/>
        <v>-0.0128836965575941</v>
      </c>
      <c r="D73" s="16">
        <f t="shared" si="7"/>
        <v>0.00436473123122902</v>
      </c>
      <c r="E73" s="16">
        <f t="shared" si="7"/>
        <v>-0.0365159429309606</v>
      </c>
      <c r="F73" s="16">
        <f t="shared" si="7"/>
        <v>0.00404376499883991</v>
      </c>
      <c r="G73" s="16">
        <f t="shared" si="7"/>
        <v>0.0131513075228258</v>
      </c>
      <c r="H73" s="16">
        <f t="shared" si="7"/>
        <v>0.0209562974788883</v>
      </c>
      <c r="I73" s="16">
        <f t="shared" ref="I73:M73" si="40">LN(I11/I10)</f>
        <v>0.00692283130570444</v>
      </c>
      <c r="J73" s="16">
        <f t="shared" si="40"/>
        <v>0.00189999193525146</v>
      </c>
      <c r="K73" s="16">
        <f t="shared" si="40"/>
        <v>0.030745376421723</v>
      </c>
      <c r="L73" s="16">
        <f t="shared" si="40"/>
        <v>-0.0936574110410453</v>
      </c>
      <c r="M73" s="16">
        <f t="shared" si="40"/>
        <v>0.0102851273784631</v>
      </c>
      <c r="N73" s="16">
        <f t="shared" ref="N73:AS73" si="41">LN(N11/N10)</f>
        <v>0.0116635590486127</v>
      </c>
      <c r="O73" s="16">
        <f t="shared" si="41"/>
        <v>-0.0266195707791076</v>
      </c>
      <c r="P73" s="16">
        <f t="shared" si="41"/>
        <v>0.038003052443847</v>
      </c>
      <c r="Q73" s="16">
        <f t="shared" si="41"/>
        <v>-0.00660856587680639</v>
      </c>
      <c r="R73" s="16">
        <f t="shared" si="41"/>
        <v>-0.00678839980100466</v>
      </c>
      <c r="S73" s="16">
        <f t="shared" si="41"/>
        <v>0.00097684081193513</v>
      </c>
      <c r="T73" s="16">
        <f t="shared" si="41"/>
        <v>0.0116579854442369</v>
      </c>
      <c r="U73" s="16">
        <f t="shared" si="41"/>
        <v>-0.0553639674305635</v>
      </c>
      <c r="V73" s="16">
        <f t="shared" si="41"/>
        <v>0.0612723555991487</v>
      </c>
      <c r="W73" s="16">
        <f t="shared" si="41"/>
        <v>-0.0114614435190065</v>
      </c>
      <c r="X73" s="16">
        <f t="shared" si="41"/>
        <v>0.00394112659752836</v>
      </c>
      <c r="Y73" s="16">
        <f t="shared" si="41"/>
        <v>0.00436971548877658</v>
      </c>
      <c r="Z73" s="16">
        <f t="shared" si="41"/>
        <v>0.035541008723074</v>
      </c>
      <c r="AA73" s="16">
        <f t="shared" si="41"/>
        <v>0.00308481658166629</v>
      </c>
      <c r="AB73" s="16">
        <f t="shared" si="41"/>
        <v>-0.00967821976598013</v>
      </c>
      <c r="AC73" s="16">
        <f t="shared" si="41"/>
        <v>-0.00099148305014951</v>
      </c>
      <c r="AD73" s="16">
        <f t="shared" si="41"/>
        <v>0.0532499383929606</v>
      </c>
      <c r="AE73" s="16">
        <f t="shared" si="41"/>
        <v>0.0350815678523454</v>
      </c>
      <c r="AF73" s="16">
        <f t="shared" si="41"/>
        <v>-0.00419690395357206</v>
      </c>
      <c r="AG73" s="16">
        <f t="shared" si="41"/>
        <v>0.0487052781288903</v>
      </c>
      <c r="AH73" s="16">
        <f t="shared" si="41"/>
        <v>-0.0142571345674842</v>
      </c>
      <c r="AI73" s="16">
        <f t="shared" si="41"/>
        <v>0.0846329771141981</v>
      </c>
      <c r="AJ73" s="16">
        <f t="shared" si="41"/>
        <v>-0.055093869577207</v>
      </c>
      <c r="AK73" s="16">
        <f t="shared" si="41"/>
        <v>0.0950671353577278</v>
      </c>
      <c r="AL73" s="16">
        <f t="shared" si="41"/>
        <v>-0.0509371233057051</v>
      </c>
      <c r="AM73" s="16">
        <f t="shared" si="41"/>
        <v>0.117044754070615</v>
      </c>
      <c r="AN73" s="16">
        <f t="shared" si="41"/>
        <v>0.0500035077585832</v>
      </c>
      <c r="AO73" s="16">
        <f t="shared" si="41"/>
        <v>0.0610074856055745</v>
      </c>
      <c r="AP73" s="16">
        <f t="shared" si="41"/>
        <v>0.0562335502738045</v>
      </c>
      <c r="AQ73" s="16">
        <f t="shared" si="41"/>
        <v>-0.0374551008149988</v>
      </c>
      <c r="AR73" s="16">
        <f t="shared" si="41"/>
        <v>0.0866774537220931</v>
      </c>
      <c r="AS73" s="16">
        <f t="shared" si="41"/>
        <v>-0.060038681518747</v>
      </c>
      <c r="AT73" s="16">
        <f t="shared" ref="AT73:BY73" si="42">LN(AT11/AT10)</f>
        <v>0.0210670766830439</v>
      </c>
      <c r="AU73" s="16">
        <f t="shared" si="42"/>
        <v>0.00800825732264354</v>
      </c>
      <c r="AV73" s="16">
        <f t="shared" si="42"/>
        <v>0.0363862246845904</v>
      </c>
      <c r="AW73" s="16">
        <f t="shared" si="42"/>
        <v>-0.0166173341014026</v>
      </c>
      <c r="AX73" s="16">
        <f t="shared" si="42"/>
        <v>0.0888943249253696</v>
      </c>
      <c r="AY73" s="16">
        <f t="shared" si="42"/>
        <v>0.0321800937726432</v>
      </c>
      <c r="AZ73" s="16">
        <f t="shared" si="42"/>
        <v>0.0473594700388582</v>
      </c>
      <c r="BA73" s="16">
        <f t="shared" si="42"/>
        <v>0.0411238357540591</v>
      </c>
      <c r="BB73" s="16">
        <f t="shared" si="42"/>
        <v>-0.00668806316393411</v>
      </c>
      <c r="BC73" s="16">
        <f t="shared" si="42"/>
        <v>0.0660945921324559</v>
      </c>
      <c r="BD73" s="16">
        <f t="shared" si="42"/>
        <v>0.0217043698981879</v>
      </c>
      <c r="BE73" s="16">
        <f t="shared" si="42"/>
        <v>0.0961307129398772</v>
      </c>
      <c r="BF73" s="16">
        <f t="shared" si="42"/>
        <v>-0.0613927908008164</v>
      </c>
      <c r="BG73" s="16">
        <f t="shared" si="42"/>
        <v>0.0202279136114084</v>
      </c>
      <c r="BH73" s="16">
        <f t="shared" si="42"/>
        <v>0.0229310309568037</v>
      </c>
      <c r="BI73" s="16">
        <f t="shared" si="42"/>
        <v>-0.0429075010112765</v>
      </c>
      <c r="BJ73" s="16">
        <f t="shared" si="42"/>
        <v>0.0407151512889561</v>
      </c>
      <c r="BK73" s="16">
        <f t="shared" si="42"/>
        <v>0.0190941750547338</v>
      </c>
      <c r="BL73" s="16">
        <f t="shared" si="42"/>
        <v>-0.0771603750136874</v>
      </c>
      <c r="BM73" s="16">
        <f t="shared" si="42"/>
        <v>-0.0752994830687897</v>
      </c>
      <c r="BN73" s="16">
        <f t="shared" si="42"/>
        <v>0.00424976814366505</v>
      </c>
      <c r="BO73" s="16">
        <f t="shared" si="42"/>
        <v>-0.0250833851353248</v>
      </c>
      <c r="BP73" s="16">
        <f t="shared" si="42"/>
        <v>-0.0112890754125454</v>
      </c>
      <c r="BQ73" s="16">
        <f t="shared" si="42"/>
        <v>-0.0073712064497097</v>
      </c>
      <c r="BR73" s="16">
        <f t="shared" si="42"/>
        <v>-0.0105135207620136</v>
      </c>
      <c r="BS73" s="16">
        <f t="shared" si="42"/>
        <v>0.0810801365872091</v>
      </c>
      <c r="BT73" s="16">
        <f t="shared" si="42"/>
        <v>0.0182855100915342</v>
      </c>
      <c r="BU73" s="16">
        <f t="shared" si="42"/>
        <v>0.0230510916863812</v>
      </c>
      <c r="BV73" s="16">
        <f t="shared" si="42"/>
        <v>-0.123678723839966</v>
      </c>
      <c r="BW73" s="16">
        <f t="shared" si="42"/>
        <v>-0.149860867971953</v>
      </c>
      <c r="BX73" s="16">
        <f t="shared" si="42"/>
        <v>0.0346270583939116</v>
      </c>
      <c r="BY73" s="16">
        <f t="shared" si="42"/>
        <v>-0.0395904858544818</v>
      </c>
      <c r="BZ73" s="16">
        <f t="shared" ref="BZ73:DE73" si="43">LN(BZ11/BZ10)</f>
        <v>0.0412490238272362</v>
      </c>
      <c r="CA73" s="16">
        <f t="shared" si="43"/>
        <v>0.0300294400300681</v>
      </c>
      <c r="CB73" s="16">
        <f t="shared" si="43"/>
        <v>0.00965072300556096</v>
      </c>
      <c r="CC73" s="16">
        <f t="shared" si="43"/>
        <v>0.00223298030473725</v>
      </c>
      <c r="CD73" s="16">
        <f t="shared" si="43"/>
        <v>0.0516720319283874</v>
      </c>
      <c r="CE73" s="16">
        <f t="shared" si="43"/>
        <v>0.0858359727217471</v>
      </c>
      <c r="CF73" s="16">
        <f t="shared" si="43"/>
        <v>0.0892286190186701</v>
      </c>
      <c r="CG73" s="16">
        <f t="shared" si="43"/>
        <v>0.0308787968585366</v>
      </c>
      <c r="CH73" s="16">
        <f t="shared" si="43"/>
        <v>0.0233651517068504</v>
      </c>
      <c r="CI73" s="16">
        <f t="shared" si="43"/>
        <v>0.0232234988405879</v>
      </c>
      <c r="CJ73" s="16">
        <f t="shared" si="43"/>
        <v>-0.0263802473000964</v>
      </c>
      <c r="CK73" s="16">
        <f t="shared" si="43"/>
        <v>0.0210291461240324</v>
      </c>
      <c r="CL73" s="16">
        <f t="shared" si="43"/>
        <v>0.0444948663447422</v>
      </c>
      <c r="CM73" s="16">
        <f t="shared" si="43"/>
        <v>0.00175738575942103</v>
      </c>
      <c r="CN73" s="16">
        <f t="shared" si="43"/>
        <v>-0.0212433988858182</v>
      </c>
      <c r="CO73" s="16">
        <f t="shared" si="43"/>
        <v>-0.0229253474248195</v>
      </c>
      <c r="CP73" s="16">
        <f t="shared" si="43"/>
        <v>0.0279406368673362</v>
      </c>
      <c r="CQ73" s="16">
        <f t="shared" si="43"/>
        <v>0.00187376768325898</v>
      </c>
      <c r="CR73" s="16">
        <f t="shared" si="43"/>
        <v>0.012955142686639</v>
      </c>
      <c r="CS73" s="16">
        <f t="shared" si="43"/>
        <v>-0.0169271082189274</v>
      </c>
      <c r="CT73" s="16">
        <f t="shared" si="43"/>
        <v>0.0335953573623794</v>
      </c>
      <c r="CU73" s="16">
        <f t="shared" si="43"/>
        <v>0.102665280934266</v>
      </c>
      <c r="CV73" s="16">
        <f t="shared" si="43"/>
        <v>-0.00271616394964497</v>
      </c>
      <c r="CW73" s="16">
        <f t="shared" si="43"/>
        <v>-0.0413615334626832</v>
      </c>
      <c r="CX73" s="16">
        <f t="shared" si="43"/>
        <v>-0.217120832159295</v>
      </c>
      <c r="CY73" s="16">
        <f t="shared" si="43"/>
        <v>-0.265908344745491</v>
      </c>
      <c r="CZ73" s="16">
        <f t="shared" si="43"/>
        <v>0.0303359966091395</v>
      </c>
      <c r="DA73" s="16">
        <f t="shared" si="43"/>
        <v>-0.376980210099478</v>
      </c>
      <c r="DB73" s="16">
        <f t="shared" si="43"/>
        <v>-0.191698718606552</v>
      </c>
      <c r="DC73" s="16">
        <f t="shared" si="43"/>
        <v>0.299745195647414</v>
      </c>
      <c r="DD73" s="16">
        <f t="shared" si="43"/>
        <v>-0.032909677627058</v>
      </c>
      <c r="DE73" s="16">
        <f t="shared" si="43"/>
        <v>0.008121852786191</v>
      </c>
      <c r="DF73" s="16">
        <f t="shared" ref="DF73:DU73" si="44">LN(DF11/DF10)</f>
        <v>-0.118924495217744</v>
      </c>
      <c r="DG73" s="16">
        <f t="shared" si="44"/>
        <v>0.0524058478121541</v>
      </c>
      <c r="DH73" s="16">
        <f t="shared" si="44"/>
        <v>0.0195900030080896</v>
      </c>
      <c r="DI73" s="16">
        <f t="shared" si="44"/>
        <v>-0.00858400427014934</v>
      </c>
      <c r="DJ73" s="16">
        <f t="shared" si="44"/>
        <v>0.0455302823354014</v>
      </c>
      <c r="DK73" s="16">
        <f t="shared" si="44"/>
        <v>0.0315708672604094</v>
      </c>
      <c r="DL73" s="16">
        <f t="shared" si="44"/>
        <v>0.0218181889130172</v>
      </c>
      <c r="DM73" s="16">
        <f t="shared" si="44"/>
        <v>0.0497784437770551</v>
      </c>
      <c r="DN73" s="16">
        <f t="shared" si="44"/>
        <v>0.0205395316543602</v>
      </c>
      <c r="DO73" s="16">
        <f t="shared" si="44"/>
        <v>0.0462334780522545</v>
      </c>
      <c r="DP73" s="16">
        <f t="shared" si="44"/>
        <v>0.0428954128344948</v>
      </c>
      <c r="DQ73" s="16">
        <f t="shared" si="44"/>
        <v>0.0765985600883659</v>
      </c>
      <c r="DR73" s="16">
        <f t="shared" si="44"/>
        <v>0.0410649030673005</v>
      </c>
      <c r="DS73" s="16">
        <f t="shared" si="44"/>
        <v>-0.390443752214101</v>
      </c>
      <c r="DT73" s="16">
        <f t="shared" si="44"/>
        <v>0.0480901495138822</v>
      </c>
      <c r="DU73" s="16">
        <f t="shared" si="44"/>
        <v>-0.00555715772584996</v>
      </c>
      <c r="DV73" s="16">
        <f t="shared" si="13"/>
        <v>0.0318270877086487</v>
      </c>
      <c r="DW73" s="16">
        <f t="shared" si="14"/>
        <v>-0.111459909065401</v>
      </c>
      <c r="DX73" s="16">
        <f t="shared" si="14"/>
        <v>0.201188566197067</v>
      </c>
      <c r="DY73" s="16">
        <f t="shared" si="14"/>
        <v>0.0289318777229215</v>
      </c>
      <c r="DZ73" s="16">
        <f t="shared" si="14"/>
        <v>0.00267727722495447</v>
      </c>
    </row>
    <row r="74" ht="14" spans="1:130">
      <c r="A74" s="32">
        <v>42948</v>
      </c>
      <c r="B74" s="16">
        <f t="shared" si="6"/>
        <v>-0.0026409881448345</v>
      </c>
      <c r="C74" s="16">
        <f t="shared" si="6"/>
        <v>0.0226598890092144</v>
      </c>
      <c r="D74" s="16">
        <f t="shared" si="7"/>
        <v>-0.0167128189044812</v>
      </c>
      <c r="E74" s="16">
        <f t="shared" si="7"/>
        <v>0.0832202307189116</v>
      </c>
      <c r="F74" s="16">
        <f t="shared" si="7"/>
        <v>-0.000312880355909093</v>
      </c>
      <c r="G74" s="16">
        <f t="shared" si="7"/>
        <v>0.0185086022692731</v>
      </c>
      <c r="H74" s="16">
        <f t="shared" si="7"/>
        <v>0.0679722399749927</v>
      </c>
      <c r="I74" s="16">
        <f t="shared" ref="I74:M74" si="45">LN(I12/I11)</f>
        <v>0.0640466178137015</v>
      </c>
      <c r="J74" s="16">
        <f t="shared" si="45"/>
        <v>0.162179498874998</v>
      </c>
      <c r="K74" s="16">
        <f t="shared" si="45"/>
        <v>-0.0685595708231425</v>
      </c>
      <c r="L74" s="16">
        <f t="shared" si="45"/>
        <v>0.113419830058335</v>
      </c>
      <c r="M74" s="16">
        <f t="shared" si="45"/>
        <v>0.0792320554479903</v>
      </c>
      <c r="N74" s="16">
        <f t="shared" ref="N74:AS74" si="46">LN(N12/N11)</f>
        <v>0.0587584583204591</v>
      </c>
      <c r="O74" s="16">
        <f t="shared" si="46"/>
        <v>0.0543518842725276</v>
      </c>
      <c r="P74" s="16">
        <f t="shared" si="46"/>
        <v>0.0362968505905977</v>
      </c>
      <c r="Q74" s="16">
        <f t="shared" si="46"/>
        <v>-0.0264584437591853</v>
      </c>
      <c r="R74" s="16">
        <f t="shared" si="46"/>
        <v>0.0514435740821177</v>
      </c>
      <c r="S74" s="16">
        <f t="shared" si="46"/>
        <v>0.0106827382614395</v>
      </c>
      <c r="T74" s="16">
        <f t="shared" si="46"/>
        <v>0.0406803238742831</v>
      </c>
      <c r="U74" s="16">
        <f t="shared" si="46"/>
        <v>-0.0355196903344623</v>
      </c>
      <c r="V74" s="16">
        <f t="shared" si="46"/>
        <v>-0.039732965561557</v>
      </c>
      <c r="W74" s="16">
        <f t="shared" si="46"/>
        <v>0.173880652945185</v>
      </c>
      <c r="X74" s="16">
        <f t="shared" si="46"/>
        <v>0.00287496215018496</v>
      </c>
      <c r="Y74" s="16">
        <f t="shared" si="46"/>
        <v>-0.213952992900968</v>
      </c>
      <c r="Z74" s="16">
        <f t="shared" si="46"/>
        <v>-0.00977971690432429</v>
      </c>
      <c r="AA74" s="16">
        <f t="shared" si="46"/>
        <v>0.0683874188446442</v>
      </c>
      <c r="AB74" s="16">
        <f t="shared" si="46"/>
        <v>0.00594730844100344</v>
      </c>
      <c r="AC74" s="16">
        <f t="shared" si="46"/>
        <v>0.0254663850857476</v>
      </c>
      <c r="AD74" s="16">
        <f t="shared" si="46"/>
        <v>0.0280754860709279</v>
      </c>
      <c r="AE74" s="16">
        <f t="shared" si="46"/>
        <v>0.0574996758300878</v>
      </c>
      <c r="AF74" s="16">
        <f t="shared" si="46"/>
        <v>0.0117442880773888</v>
      </c>
      <c r="AG74" s="16">
        <f t="shared" si="46"/>
        <v>0.049057546344096</v>
      </c>
      <c r="AH74" s="16">
        <f t="shared" si="46"/>
        <v>0.0343529985706224</v>
      </c>
      <c r="AI74" s="16">
        <f t="shared" si="46"/>
        <v>0.0251818888930086</v>
      </c>
      <c r="AJ74" s="16">
        <f t="shared" si="46"/>
        <v>0.000212111571481337</v>
      </c>
      <c r="AK74" s="16">
        <f t="shared" si="46"/>
        <v>-0.0331343171085011</v>
      </c>
      <c r="AL74" s="16">
        <f t="shared" si="46"/>
        <v>-0.0114106097921784</v>
      </c>
      <c r="AM74" s="16">
        <f t="shared" si="46"/>
        <v>0.041759520583171</v>
      </c>
      <c r="AN74" s="16">
        <f t="shared" si="46"/>
        <v>-0.0113415351961625</v>
      </c>
      <c r="AO74" s="16">
        <f t="shared" si="46"/>
        <v>0.0216960420946975</v>
      </c>
      <c r="AP74" s="16">
        <f t="shared" si="46"/>
        <v>0.0236171938435214</v>
      </c>
      <c r="AQ74" s="16">
        <f t="shared" si="46"/>
        <v>-0.017447703518857</v>
      </c>
      <c r="AR74" s="16">
        <f t="shared" si="46"/>
        <v>-0.0458554592018379</v>
      </c>
      <c r="AS74" s="16">
        <f t="shared" si="46"/>
        <v>0.128316703312087</v>
      </c>
      <c r="AT74" s="16">
        <f t="shared" ref="AT74:BY74" si="47">LN(AT12/AT11)</f>
        <v>0.0573059860418972</v>
      </c>
      <c r="AU74" s="16">
        <f t="shared" si="47"/>
        <v>0.0235577228194203</v>
      </c>
      <c r="AV74" s="16">
        <f t="shared" si="47"/>
        <v>0.0810801607794777</v>
      </c>
      <c r="AW74" s="16">
        <f t="shared" si="47"/>
        <v>0.0433103751488276</v>
      </c>
      <c r="AX74" s="16">
        <f t="shared" si="47"/>
        <v>0.00466170995609998</v>
      </c>
      <c r="AY74" s="16">
        <f t="shared" si="47"/>
        <v>0.0977339224315465</v>
      </c>
      <c r="AZ74" s="16">
        <f t="shared" si="47"/>
        <v>0.0503622443548635</v>
      </c>
      <c r="BA74" s="16">
        <f t="shared" si="47"/>
        <v>0.0506638523286442</v>
      </c>
      <c r="BB74" s="16">
        <f t="shared" si="47"/>
        <v>0.025765919441761</v>
      </c>
      <c r="BC74" s="16">
        <f t="shared" si="47"/>
        <v>-0.0177081643653444</v>
      </c>
      <c r="BD74" s="16">
        <f t="shared" si="47"/>
        <v>0.00354635672704763</v>
      </c>
      <c r="BE74" s="16">
        <f t="shared" si="47"/>
        <v>-0.00104772201461917</v>
      </c>
      <c r="BF74" s="16">
        <f t="shared" si="47"/>
        <v>-0.0114013424713449</v>
      </c>
      <c r="BG74" s="16">
        <f t="shared" si="47"/>
        <v>-0.00729537167085245</v>
      </c>
      <c r="BH74" s="16">
        <f t="shared" si="47"/>
        <v>0.0111329053833263</v>
      </c>
      <c r="BI74" s="16">
        <f t="shared" si="47"/>
        <v>0.13030769129211</v>
      </c>
      <c r="BJ74" s="16">
        <f t="shared" si="47"/>
        <v>0.01544460011657</v>
      </c>
      <c r="BK74" s="16">
        <f t="shared" si="47"/>
        <v>0.0306584300887785</v>
      </c>
      <c r="BL74" s="16">
        <f t="shared" si="47"/>
        <v>0.0161709104542289</v>
      </c>
      <c r="BM74" s="16">
        <f t="shared" si="47"/>
        <v>-0.0145565969657128</v>
      </c>
      <c r="BN74" s="16">
        <f t="shared" si="47"/>
        <v>-0.111683889394908</v>
      </c>
      <c r="BO74" s="16">
        <f t="shared" si="47"/>
        <v>0.0018032047005544</v>
      </c>
      <c r="BP74" s="16">
        <f t="shared" si="47"/>
        <v>0.0264111143525321</v>
      </c>
      <c r="BQ74" s="16">
        <f t="shared" si="47"/>
        <v>-0.0466565021028605</v>
      </c>
      <c r="BR74" s="16">
        <f t="shared" si="47"/>
        <v>0.0374989042717759</v>
      </c>
      <c r="BS74" s="16">
        <f t="shared" si="47"/>
        <v>-0.0909872718290446</v>
      </c>
      <c r="BT74" s="16">
        <f t="shared" si="47"/>
        <v>0.0396351604592371</v>
      </c>
      <c r="BU74" s="16">
        <f t="shared" si="47"/>
        <v>0.0216612441963699</v>
      </c>
      <c r="BV74" s="16">
        <f t="shared" si="47"/>
        <v>-0.0229973569895715</v>
      </c>
      <c r="BW74" s="16">
        <f t="shared" si="47"/>
        <v>-0.247472613023506</v>
      </c>
      <c r="BX74" s="16">
        <f t="shared" si="47"/>
        <v>0.0586520956804883</v>
      </c>
      <c r="BY74" s="16">
        <f t="shared" si="47"/>
        <v>-0.134641174883421</v>
      </c>
      <c r="BZ74" s="16">
        <f t="shared" ref="BZ74:DE74" si="48">LN(BZ12/BZ11)</f>
        <v>0.0236543403023532</v>
      </c>
      <c r="CA74" s="16">
        <f t="shared" si="48"/>
        <v>-0.00634630951301011</v>
      </c>
      <c r="CB74" s="16">
        <f t="shared" si="48"/>
        <v>-0.00757443566142777</v>
      </c>
      <c r="CC74" s="16">
        <f t="shared" si="48"/>
        <v>0.00188307618471114</v>
      </c>
      <c r="CD74" s="16">
        <f t="shared" si="48"/>
        <v>0.021181413662421</v>
      </c>
      <c r="CE74" s="16">
        <f t="shared" si="48"/>
        <v>0.0289851430205294</v>
      </c>
      <c r="CF74" s="16">
        <f t="shared" si="48"/>
        <v>-0.0191611987110738</v>
      </c>
      <c r="CG74" s="16">
        <f t="shared" si="48"/>
        <v>0.0777167536477698</v>
      </c>
      <c r="CH74" s="16">
        <f t="shared" si="48"/>
        <v>-0.0793990242269158</v>
      </c>
      <c r="CI74" s="16">
        <f t="shared" si="48"/>
        <v>0.00149755402074683</v>
      </c>
      <c r="CJ74" s="16">
        <f t="shared" si="48"/>
        <v>-0.00223310981363383</v>
      </c>
      <c r="CK74" s="16">
        <f t="shared" si="48"/>
        <v>-0.0798237293404886</v>
      </c>
      <c r="CL74" s="16">
        <f t="shared" si="48"/>
        <v>0.00750069380130756</v>
      </c>
      <c r="CM74" s="16">
        <f t="shared" si="48"/>
        <v>-0.100558066427762</v>
      </c>
      <c r="CN74" s="16">
        <f t="shared" si="48"/>
        <v>-0.0380684386119691</v>
      </c>
      <c r="CO74" s="16">
        <f t="shared" si="48"/>
        <v>0.00308453146589144</v>
      </c>
      <c r="CP74" s="16">
        <f t="shared" si="48"/>
        <v>-0.0614568928570874</v>
      </c>
      <c r="CQ74" s="16">
        <f t="shared" si="48"/>
        <v>0.0434498545275224</v>
      </c>
      <c r="CR74" s="16">
        <f t="shared" si="48"/>
        <v>-0.127207592423234</v>
      </c>
      <c r="CS74" s="16">
        <f t="shared" si="48"/>
        <v>-0.0879773745954305</v>
      </c>
      <c r="CT74" s="16">
        <f t="shared" si="48"/>
        <v>-0.0251811866301597</v>
      </c>
      <c r="CU74" s="16">
        <f t="shared" si="48"/>
        <v>0.192629167083515</v>
      </c>
      <c r="CV74" s="16">
        <f t="shared" si="48"/>
        <v>0.0362381631073436</v>
      </c>
      <c r="CW74" s="16">
        <f t="shared" si="48"/>
        <v>0.0300681097339405</v>
      </c>
      <c r="CX74" s="16">
        <f t="shared" si="48"/>
        <v>0.15382070127287</v>
      </c>
      <c r="CY74" s="16">
        <f t="shared" si="48"/>
        <v>0.0741085655603217</v>
      </c>
      <c r="CZ74" s="16">
        <f t="shared" si="48"/>
        <v>0.111120785830967</v>
      </c>
      <c r="DA74" s="16">
        <f t="shared" si="48"/>
        <v>0.107555906221262</v>
      </c>
      <c r="DB74" s="16">
        <f t="shared" si="48"/>
        <v>-0.282759260988564</v>
      </c>
      <c r="DC74" s="16">
        <f t="shared" si="48"/>
        <v>0.066111085605392</v>
      </c>
      <c r="DD74" s="16">
        <f t="shared" si="48"/>
        <v>-0.0853229826032357</v>
      </c>
      <c r="DE74" s="16">
        <f t="shared" si="48"/>
        <v>0.0407592787702143</v>
      </c>
      <c r="DF74" s="16">
        <f t="shared" ref="DF74:DU74" si="49">LN(DF12/DF11)</f>
        <v>0.121528663356132</v>
      </c>
      <c r="DG74" s="16">
        <f t="shared" si="49"/>
        <v>0.0430729802765741</v>
      </c>
      <c r="DH74" s="16">
        <f t="shared" si="49"/>
        <v>-0.0289546199391326</v>
      </c>
      <c r="DI74" s="16">
        <f t="shared" si="49"/>
        <v>-0.0474603384379097</v>
      </c>
      <c r="DJ74" s="16">
        <f t="shared" si="49"/>
        <v>-0.0144828335992223</v>
      </c>
      <c r="DK74" s="16">
        <f t="shared" si="49"/>
        <v>-0.0323307872398218</v>
      </c>
      <c r="DL74" s="16">
        <f t="shared" si="49"/>
        <v>-0.229525481676608</v>
      </c>
      <c r="DM74" s="16">
        <f t="shared" si="49"/>
        <v>-0.110959203204004</v>
      </c>
      <c r="DN74" s="16">
        <f t="shared" si="49"/>
        <v>-0.135393357861291</v>
      </c>
      <c r="DO74" s="16">
        <f t="shared" si="49"/>
        <v>-0.0366726317925938</v>
      </c>
      <c r="DP74" s="16">
        <f t="shared" si="49"/>
        <v>-0.0590497795960767</v>
      </c>
      <c r="DQ74" s="16">
        <f t="shared" si="49"/>
        <v>-0.0545485748609409</v>
      </c>
      <c r="DR74" s="16">
        <f t="shared" si="49"/>
        <v>-0.077095010326745</v>
      </c>
      <c r="DS74" s="16">
        <f t="shared" si="49"/>
        <v>0.277015705672145</v>
      </c>
      <c r="DT74" s="16">
        <f t="shared" si="49"/>
        <v>-0.0997701083001009</v>
      </c>
      <c r="DU74" s="16">
        <f t="shared" si="49"/>
        <v>-0.0643956050219763</v>
      </c>
      <c r="DV74" s="16">
        <f t="shared" si="13"/>
        <v>-0.236866542408993</v>
      </c>
      <c r="DW74" s="16">
        <f t="shared" si="14"/>
        <v>0.0955434185786588</v>
      </c>
      <c r="DX74" s="16">
        <f t="shared" si="14"/>
        <v>0.0847195114692483</v>
      </c>
      <c r="DY74" s="16">
        <f t="shared" si="14"/>
        <v>0.008560606635669</v>
      </c>
      <c r="DZ74" s="16">
        <f t="shared" si="14"/>
        <v>-0.00431818341025567</v>
      </c>
    </row>
    <row r="75" ht="14" spans="1:130">
      <c r="A75" s="32">
        <v>42979</v>
      </c>
      <c r="B75" s="16">
        <f t="shared" si="6"/>
        <v>-0.011648692521645</v>
      </c>
      <c r="C75" s="16">
        <f t="shared" si="6"/>
        <v>0.0608666664242819</v>
      </c>
      <c r="D75" s="16">
        <f t="shared" si="7"/>
        <v>0.0573186596063776</v>
      </c>
      <c r="E75" s="16">
        <f t="shared" si="7"/>
        <v>0.165581802077408</v>
      </c>
      <c r="F75" s="16">
        <f t="shared" si="7"/>
        <v>0.00265841867612665</v>
      </c>
      <c r="G75" s="16">
        <f t="shared" si="7"/>
        <v>0.0543943000633692</v>
      </c>
      <c r="H75" s="16">
        <f t="shared" si="7"/>
        <v>0.0524996989348833</v>
      </c>
      <c r="I75" s="16">
        <f t="shared" ref="I75:M75" si="50">LN(I13/I12)</f>
        <v>0.0109477189753207</v>
      </c>
      <c r="J75" s="16">
        <f t="shared" si="50"/>
        <v>-0.0260630121783702</v>
      </c>
      <c r="K75" s="16">
        <f t="shared" si="50"/>
        <v>0.000385951374918318</v>
      </c>
      <c r="L75" s="16">
        <f t="shared" si="50"/>
        <v>-0.421883841182391</v>
      </c>
      <c r="M75" s="16">
        <f t="shared" si="50"/>
        <v>-0.00806745285050457</v>
      </c>
      <c r="N75" s="16">
        <f t="shared" ref="N75:AS75" si="51">LN(N13/N12)</f>
        <v>-0.0100471802789424</v>
      </c>
      <c r="O75" s="16">
        <f t="shared" si="51"/>
        <v>0.0342287221988834</v>
      </c>
      <c r="P75" s="16">
        <f t="shared" si="51"/>
        <v>-0.0154530996028078</v>
      </c>
      <c r="Q75" s="16">
        <f t="shared" si="51"/>
        <v>0.0501805593830044</v>
      </c>
      <c r="R75" s="16">
        <f t="shared" si="51"/>
        <v>-0.0319264965844383</v>
      </c>
      <c r="S75" s="16">
        <f t="shared" si="51"/>
        <v>-0.105561783646832</v>
      </c>
      <c r="T75" s="16">
        <f t="shared" si="51"/>
        <v>0.0464127854563989</v>
      </c>
      <c r="U75" s="16">
        <f t="shared" si="51"/>
        <v>-0.035991234983203</v>
      </c>
      <c r="V75" s="16">
        <f t="shared" si="51"/>
        <v>0.0045881811941863</v>
      </c>
      <c r="W75" s="16">
        <f t="shared" si="51"/>
        <v>-0.0337428884547356</v>
      </c>
      <c r="X75" s="16">
        <f t="shared" si="51"/>
        <v>0.0167643636106772</v>
      </c>
      <c r="Y75" s="16">
        <f t="shared" si="51"/>
        <v>-0.0035002079674036</v>
      </c>
      <c r="Z75" s="16">
        <f t="shared" si="51"/>
        <v>-0.017653702298125</v>
      </c>
      <c r="AA75" s="16">
        <f t="shared" si="51"/>
        <v>0.0401996025407626</v>
      </c>
      <c r="AB75" s="16">
        <f t="shared" si="51"/>
        <v>-0.0032586208177054</v>
      </c>
      <c r="AC75" s="16">
        <f t="shared" si="51"/>
        <v>0.0139881529727946</v>
      </c>
      <c r="AD75" s="16">
        <f t="shared" si="51"/>
        <v>0.00156184353069361</v>
      </c>
      <c r="AE75" s="16">
        <f t="shared" si="51"/>
        <v>-0.0393032120447492</v>
      </c>
      <c r="AF75" s="16">
        <f t="shared" si="51"/>
        <v>-0.0401352180335707</v>
      </c>
      <c r="AG75" s="16">
        <f t="shared" si="51"/>
        <v>0.00136688433832549</v>
      </c>
      <c r="AH75" s="16">
        <f t="shared" si="51"/>
        <v>-0.0637709275057998</v>
      </c>
      <c r="AI75" s="16">
        <f t="shared" si="51"/>
        <v>0.025127428417467</v>
      </c>
      <c r="AJ75" s="16">
        <f t="shared" si="51"/>
        <v>0.0327556143221752</v>
      </c>
      <c r="AK75" s="16">
        <f t="shared" si="51"/>
        <v>0.0928569578855401</v>
      </c>
      <c r="AL75" s="16">
        <f t="shared" si="51"/>
        <v>0.00983587157773621</v>
      </c>
      <c r="AM75" s="16">
        <f t="shared" si="51"/>
        <v>0.0544813724707107</v>
      </c>
      <c r="AN75" s="16">
        <f t="shared" si="51"/>
        <v>0.0898220879989192</v>
      </c>
      <c r="AO75" s="16">
        <f t="shared" si="51"/>
        <v>-0.0385401331093301</v>
      </c>
      <c r="AP75" s="16">
        <f t="shared" si="51"/>
        <v>0.079131846945563</v>
      </c>
      <c r="AQ75" s="16">
        <f t="shared" si="51"/>
        <v>0.00275516789790909</v>
      </c>
      <c r="AR75" s="16">
        <f t="shared" si="51"/>
        <v>-0.0194180858571016</v>
      </c>
      <c r="AS75" s="16">
        <f t="shared" si="51"/>
        <v>0.207189738772676</v>
      </c>
      <c r="AT75" s="16">
        <f t="shared" ref="AT75:BY75" si="52">LN(AT13/AT12)</f>
        <v>0.0294415586388843</v>
      </c>
      <c r="AU75" s="16">
        <f t="shared" si="52"/>
        <v>0.00115015516769041</v>
      </c>
      <c r="AV75" s="16">
        <f t="shared" si="52"/>
        <v>0.0380660306759683</v>
      </c>
      <c r="AW75" s="16">
        <f t="shared" si="52"/>
        <v>0.0752175264863326</v>
      </c>
      <c r="AX75" s="16">
        <f t="shared" si="52"/>
        <v>-0.0302423815454916</v>
      </c>
      <c r="AY75" s="16">
        <f t="shared" si="52"/>
        <v>-0.0582154416574178</v>
      </c>
      <c r="AZ75" s="16">
        <f t="shared" si="52"/>
        <v>-0.0219160748881491</v>
      </c>
      <c r="BA75" s="16">
        <f t="shared" si="52"/>
        <v>0.0114668379499923</v>
      </c>
      <c r="BB75" s="16">
        <f t="shared" si="52"/>
        <v>0.0468465490852107</v>
      </c>
      <c r="BC75" s="16">
        <f t="shared" si="52"/>
        <v>0.0193898464433498</v>
      </c>
      <c r="BD75" s="16">
        <f t="shared" si="52"/>
        <v>0.0868557753045107</v>
      </c>
      <c r="BE75" s="16">
        <f t="shared" si="52"/>
        <v>0.0450895595319682</v>
      </c>
      <c r="BF75" s="16">
        <f t="shared" si="52"/>
        <v>0.0247417121821655</v>
      </c>
      <c r="BG75" s="16">
        <f t="shared" si="52"/>
        <v>-0.0198260825987873</v>
      </c>
      <c r="BH75" s="16">
        <f t="shared" si="52"/>
        <v>0.0624952278103167</v>
      </c>
      <c r="BI75" s="16">
        <f t="shared" si="52"/>
        <v>0.0306790977847673</v>
      </c>
      <c r="BJ75" s="16">
        <f t="shared" si="52"/>
        <v>0.0999271352083018</v>
      </c>
      <c r="BK75" s="16">
        <f t="shared" si="52"/>
        <v>-0.0148658203163449</v>
      </c>
      <c r="BL75" s="16">
        <f t="shared" si="52"/>
        <v>-0.0166813143523585</v>
      </c>
      <c r="BM75" s="16">
        <f t="shared" si="52"/>
        <v>-0.0411569963065129</v>
      </c>
      <c r="BN75" s="16">
        <f t="shared" si="52"/>
        <v>-0.0149151913354015</v>
      </c>
      <c r="BO75" s="16">
        <f t="shared" si="52"/>
        <v>0.0933075526758645</v>
      </c>
      <c r="BP75" s="16">
        <f t="shared" si="52"/>
        <v>0.0199925730068376</v>
      </c>
      <c r="BQ75" s="16">
        <f t="shared" si="52"/>
        <v>0.0347964134114173</v>
      </c>
      <c r="BR75" s="16">
        <f t="shared" si="52"/>
        <v>-0.0580337494231379</v>
      </c>
      <c r="BS75" s="16">
        <f t="shared" si="52"/>
        <v>-0.0115453779114906</v>
      </c>
      <c r="BT75" s="16">
        <f t="shared" si="52"/>
        <v>-0.0674144391521844</v>
      </c>
      <c r="BU75" s="16">
        <f t="shared" si="52"/>
        <v>-0.0426840125737185</v>
      </c>
      <c r="BV75" s="16">
        <f t="shared" si="52"/>
        <v>0.085607104525159</v>
      </c>
      <c r="BW75" s="16">
        <f t="shared" si="52"/>
        <v>0.154015776844203</v>
      </c>
      <c r="BX75" s="16">
        <f t="shared" si="52"/>
        <v>0.066620770127556</v>
      </c>
      <c r="BY75" s="16">
        <f t="shared" si="52"/>
        <v>0.013191482042076</v>
      </c>
      <c r="BZ75" s="16">
        <f t="shared" ref="BZ75:DE75" si="53">LN(BZ13/BZ12)</f>
        <v>-0.0140794572812537</v>
      </c>
      <c r="CA75" s="16">
        <f t="shared" si="53"/>
        <v>-0.0119262970313979</v>
      </c>
      <c r="CB75" s="16">
        <f t="shared" si="53"/>
        <v>-0.0308899997572395</v>
      </c>
      <c r="CC75" s="16">
        <f t="shared" si="53"/>
        <v>-0.051954973632997</v>
      </c>
      <c r="CD75" s="16">
        <f t="shared" si="53"/>
        <v>0.00300871136394927</v>
      </c>
      <c r="CE75" s="16">
        <f t="shared" si="53"/>
        <v>-0.00165992800763219</v>
      </c>
      <c r="CF75" s="16">
        <f t="shared" si="53"/>
        <v>0.00782655407158635</v>
      </c>
      <c r="CG75" s="16">
        <f t="shared" si="53"/>
        <v>0.011126793741007</v>
      </c>
      <c r="CH75" s="16">
        <f t="shared" si="53"/>
        <v>0</v>
      </c>
      <c r="CI75" s="16">
        <f t="shared" si="53"/>
        <v>0.0198059041276513</v>
      </c>
      <c r="CJ75" s="16">
        <f t="shared" si="53"/>
        <v>0.0167488262857517</v>
      </c>
      <c r="CK75" s="16">
        <f t="shared" si="53"/>
        <v>-0.0332034232947376</v>
      </c>
      <c r="CL75" s="16">
        <f t="shared" si="53"/>
        <v>0.0240115555477161</v>
      </c>
      <c r="CM75" s="16">
        <f t="shared" si="53"/>
        <v>0.0445365288544049</v>
      </c>
      <c r="CN75" s="16">
        <f t="shared" si="53"/>
        <v>-0.0401768138444606</v>
      </c>
      <c r="CO75" s="16">
        <f t="shared" si="53"/>
        <v>0.0759833440713041</v>
      </c>
      <c r="CP75" s="16">
        <f t="shared" si="53"/>
        <v>-0.0310452362771217</v>
      </c>
      <c r="CQ75" s="16">
        <f t="shared" si="53"/>
        <v>-0.0489669485795498</v>
      </c>
      <c r="CR75" s="16">
        <f t="shared" si="53"/>
        <v>0.0133304909166457</v>
      </c>
      <c r="CS75" s="16">
        <f t="shared" si="53"/>
        <v>-0.118736468424143</v>
      </c>
      <c r="CT75" s="16">
        <f t="shared" si="53"/>
        <v>-0.0277026025493358</v>
      </c>
      <c r="CU75" s="16">
        <f t="shared" si="53"/>
        <v>-0.0359527142314991</v>
      </c>
      <c r="CV75" s="16">
        <f t="shared" si="53"/>
        <v>0.0563008410007835</v>
      </c>
      <c r="CW75" s="16">
        <f t="shared" si="53"/>
        <v>0.0509244701771229</v>
      </c>
      <c r="CX75" s="16">
        <f t="shared" si="53"/>
        <v>0.0502035919665791</v>
      </c>
      <c r="CY75" s="16">
        <f t="shared" si="53"/>
        <v>0.00910074540635274</v>
      </c>
      <c r="CZ75" s="16">
        <f t="shared" si="53"/>
        <v>-0.0252721031007151</v>
      </c>
      <c r="DA75" s="16">
        <f t="shared" si="53"/>
        <v>0.215217486041789</v>
      </c>
      <c r="DB75" s="16">
        <f t="shared" si="53"/>
        <v>0.149035579160488</v>
      </c>
      <c r="DC75" s="16">
        <f t="shared" si="53"/>
        <v>0.122115961960975</v>
      </c>
      <c r="DD75" s="16">
        <f t="shared" si="53"/>
        <v>-0.00405660265053722</v>
      </c>
      <c r="DE75" s="16">
        <f t="shared" si="53"/>
        <v>0.0973101631010202</v>
      </c>
      <c r="DF75" s="16">
        <f t="shared" ref="DF75:DU75" si="54">LN(DF13/DF12)</f>
        <v>0.110677952478611</v>
      </c>
      <c r="DG75" s="16">
        <f t="shared" si="54"/>
        <v>0.0886962973545494</v>
      </c>
      <c r="DH75" s="16">
        <f t="shared" si="54"/>
        <v>0.0739982448260208</v>
      </c>
      <c r="DI75" s="16">
        <f t="shared" si="54"/>
        <v>0.0810555359115612</v>
      </c>
      <c r="DJ75" s="16">
        <f t="shared" si="54"/>
        <v>0.0978291819034254</v>
      </c>
      <c r="DK75" s="16">
        <f t="shared" si="54"/>
        <v>0.136590247529065</v>
      </c>
      <c r="DL75" s="16">
        <f t="shared" si="54"/>
        <v>0.129260936305313</v>
      </c>
      <c r="DM75" s="16">
        <f t="shared" si="54"/>
        <v>0.129493404837357</v>
      </c>
      <c r="DN75" s="16">
        <f t="shared" si="54"/>
        <v>0.186810091460785</v>
      </c>
      <c r="DO75" s="16">
        <f t="shared" si="54"/>
        <v>0.0728270743772079</v>
      </c>
      <c r="DP75" s="16">
        <f t="shared" si="54"/>
        <v>0.15624104320846</v>
      </c>
      <c r="DQ75" s="16">
        <f t="shared" si="54"/>
        <v>0.0760100611496092</v>
      </c>
      <c r="DR75" s="16">
        <f t="shared" si="54"/>
        <v>0.0938632881517439</v>
      </c>
      <c r="DS75" s="16">
        <f t="shared" si="54"/>
        <v>0.0820570001458</v>
      </c>
      <c r="DT75" s="16">
        <f t="shared" si="54"/>
        <v>0.0778063133555641</v>
      </c>
      <c r="DU75" s="16">
        <f t="shared" si="54"/>
        <v>0.152705423966348</v>
      </c>
      <c r="DV75" s="16">
        <f t="shared" si="13"/>
        <v>0.164833437098345</v>
      </c>
      <c r="DW75" s="16">
        <f t="shared" si="14"/>
        <v>-0.0424741030915471</v>
      </c>
      <c r="DX75" s="16">
        <f t="shared" si="14"/>
        <v>-0.0356532136862611</v>
      </c>
      <c r="DY75" s="16">
        <f t="shared" si="14"/>
        <v>0.110103423762424</v>
      </c>
      <c r="DZ75" s="16">
        <f t="shared" si="14"/>
        <v>0.0817845392212582</v>
      </c>
    </row>
    <row r="76" ht="14" spans="1:130">
      <c r="A76" s="32">
        <v>43009</v>
      </c>
      <c r="B76" s="16">
        <f t="shared" si="6"/>
        <v>0.0698082033718639</v>
      </c>
      <c r="C76" s="16">
        <f t="shared" si="6"/>
        <v>-0.0180899169494544</v>
      </c>
      <c r="D76" s="16">
        <f t="shared" si="7"/>
        <v>-0.0429966835394065</v>
      </c>
      <c r="E76" s="16">
        <f t="shared" si="7"/>
        <v>0.01552143691398</v>
      </c>
      <c r="F76" s="16">
        <f t="shared" si="7"/>
        <v>-0.143176397224529</v>
      </c>
      <c r="G76" s="16">
        <f t="shared" si="7"/>
        <v>-0.0621213505852131</v>
      </c>
      <c r="H76" s="16">
        <f t="shared" si="7"/>
        <v>-0.0331770238298964</v>
      </c>
      <c r="I76" s="16">
        <f t="shared" ref="I76:M76" si="55">LN(I14/I13)</f>
        <v>0.0249606408643382</v>
      </c>
      <c r="J76" s="16">
        <f t="shared" si="55"/>
        <v>0.0296270340151583</v>
      </c>
      <c r="K76" s="16">
        <f t="shared" si="55"/>
        <v>0.0664299398433972</v>
      </c>
      <c r="L76" s="16">
        <f t="shared" si="55"/>
        <v>-0.0843951045184162</v>
      </c>
      <c r="M76" s="16">
        <f t="shared" si="55"/>
        <v>0.0579457616106895</v>
      </c>
      <c r="N76" s="16">
        <f t="shared" ref="N76:AS76" si="56">LN(N14/N13)</f>
        <v>0.128443262274224</v>
      </c>
      <c r="O76" s="16">
        <f t="shared" si="56"/>
        <v>0.086347055614722</v>
      </c>
      <c r="P76" s="16">
        <f t="shared" si="56"/>
        <v>0.0745931894270682</v>
      </c>
      <c r="Q76" s="16">
        <f t="shared" si="56"/>
        <v>-0.171120337485575</v>
      </c>
      <c r="R76" s="16">
        <f t="shared" si="56"/>
        <v>0.100567517754219</v>
      </c>
      <c r="S76" s="16">
        <f t="shared" si="56"/>
        <v>-0.10483382589076</v>
      </c>
      <c r="T76" s="16">
        <f t="shared" si="56"/>
        <v>0.0161730434936202</v>
      </c>
      <c r="U76" s="16">
        <f t="shared" si="56"/>
        <v>0.0406770626880187</v>
      </c>
      <c r="V76" s="16">
        <f t="shared" si="56"/>
        <v>0.0896374216217798</v>
      </c>
      <c r="W76" s="16">
        <f t="shared" si="56"/>
        <v>0.0647420324918589</v>
      </c>
      <c r="X76" s="16">
        <f t="shared" si="56"/>
        <v>0.000940646620573792</v>
      </c>
      <c r="Y76" s="16">
        <f t="shared" si="56"/>
        <v>0.129578471466439</v>
      </c>
      <c r="Z76" s="16">
        <f t="shared" si="56"/>
        <v>0.0665654878304159</v>
      </c>
      <c r="AA76" s="16">
        <f t="shared" si="56"/>
        <v>0.0738838432295976</v>
      </c>
      <c r="AB76" s="16">
        <f t="shared" si="56"/>
        <v>0.0896716586944132</v>
      </c>
      <c r="AC76" s="16">
        <f t="shared" si="56"/>
        <v>0.0270414047379023</v>
      </c>
      <c r="AD76" s="16">
        <f t="shared" si="56"/>
        <v>0.110342127664272</v>
      </c>
      <c r="AE76" s="16">
        <f t="shared" si="56"/>
        <v>0.16054621140618</v>
      </c>
      <c r="AF76" s="16">
        <f t="shared" si="56"/>
        <v>0.0513967261829157</v>
      </c>
      <c r="AG76" s="16">
        <f t="shared" si="56"/>
        <v>0.0717458152774044</v>
      </c>
      <c r="AH76" s="16">
        <f t="shared" si="56"/>
        <v>0.0949550031001824</v>
      </c>
      <c r="AI76" s="16">
        <f t="shared" si="56"/>
        <v>0.0105652892465646</v>
      </c>
      <c r="AJ76" s="16">
        <f t="shared" si="56"/>
        <v>0.0699502674432789</v>
      </c>
      <c r="AK76" s="16">
        <f t="shared" si="56"/>
        <v>-0.00949354144745618</v>
      </c>
      <c r="AL76" s="16">
        <f t="shared" si="56"/>
        <v>0.00587191035046028</v>
      </c>
      <c r="AM76" s="16">
        <f t="shared" si="56"/>
        <v>0.145700222573334</v>
      </c>
      <c r="AN76" s="16">
        <f t="shared" si="56"/>
        <v>0.177803443097144</v>
      </c>
      <c r="AO76" s="16">
        <f t="shared" si="56"/>
        <v>0.0885207175424746</v>
      </c>
      <c r="AP76" s="16">
        <f t="shared" si="56"/>
        <v>0.0757083018592151</v>
      </c>
      <c r="AQ76" s="16">
        <f t="shared" si="56"/>
        <v>-0.0161402994508918</v>
      </c>
      <c r="AR76" s="16">
        <f t="shared" si="56"/>
        <v>-0.148545503188905</v>
      </c>
      <c r="AS76" s="16">
        <f t="shared" si="56"/>
        <v>0.119222832382966</v>
      </c>
      <c r="AT76" s="16">
        <f t="shared" ref="AT76:BY76" si="57">LN(AT14/AT13)</f>
        <v>0.0632975536301951</v>
      </c>
      <c r="AU76" s="16">
        <f t="shared" si="57"/>
        <v>0.0344172196405239</v>
      </c>
      <c r="AV76" s="16">
        <f t="shared" si="57"/>
        <v>0.0544073185786635</v>
      </c>
      <c r="AW76" s="16">
        <f t="shared" si="57"/>
        <v>0.0395843472195422</v>
      </c>
      <c r="AX76" s="16">
        <f t="shared" si="57"/>
        <v>0.110977644920176</v>
      </c>
      <c r="AY76" s="16">
        <f t="shared" si="57"/>
        <v>0.0924038332795953</v>
      </c>
      <c r="AZ76" s="16">
        <f t="shared" si="57"/>
        <v>0.0911951483029839</v>
      </c>
      <c r="BA76" s="16">
        <f t="shared" si="57"/>
        <v>0.0725204916258267</v>
      </c>
      <c r="BB76" s="16">
        <f t="shared" si="57"/>
        <v>0.0576114546873934</v>
      </c>
      <c r="BC76" s="16">
        <f t="shared" si="57"/>
        <v>0.0697606995312015</v>
      </c>
      <c r="BD76" s="16">
        <f t="shared" si="57"/>
        <v>0.0205529088549379</v>
      </c>
      <c r="BE76" s="16">
        <f t="shared" si="57"/>
        <v>0.0835530759074318</v>
      </c>
      <c r="BF76" s="16">
        <f t="shared" si="57"/>
        <v>0.0600567654930004</v>
      </c>
      <c r="BG76" s="16">
        <f t="shared" si="57"/>
        <v>0.139515428899913</v>
      </c>
      <c r="BH76" s="16">
        <f t="shared" si="57"/>
        <v>-0.0215515288898028</v>
      </c>
      <c r="BI76" s="16">
        <f t="shared" si="57"/>
        <v>-0.0107207697451017</v>
      </c>
      <c r="BJ76" s="16">
        <f t="shared" si="57"/>
        <v>0.0725387407594867</v>
      </c>
      <c r="BK76" s="16">
        <f t="shared" si="57"/>
        <v>0.0632495949280899</v>
      </c>
      <c r="BL76" s="16">
        <f t="shared" si="57"/>
        <v>0.0208208611873528</v>
      </c>
      <c r="BM76" s="16">
        <f t="shared" si="57"/>
        <v>0.0433473313150958</v>
      </c>
      <c r="BN76" s="16">
        <f t="shared" si="57"/>
        <v>0.0587963945202692</v>
      </c>
      <c r="BO76" s="16">
        <f t="shared" si="57"/>
        <v>0.0134820698147062</v>
      </c>
      <c r="BP76" s="16">
        <f t="shared" si="57"/>
        <v>0.0191868829278446</v>
      </c>
      <c r="BQ76" s="16">
        <f t="shared" si="57"/>
        <v>0.0387085172080758</v>
      </c>
      <c r="BR76" s="16">
        <f t="shared" si="57"/>
        <v>0.0188129228331826</v>
      </c>
      <c r="BS76" s="16">
        <f t="shared" si="57"/>
        <v>0.0433649399844511</v>
      </c>
      <c r="BT76" s="16">
        <f t="shared" si="57"/>
        <v>0.0277964126780754</v>
      </c>
      <c r="BU76" s="16">
        <f t="shared" si="57"/>
        <v>0.0113468421951408</v>
      </c>
      <c r="BV76" s="16">
        <f t="shared" si="57"/>
        <v>-0.0791126324378736</v>
      </c>
      <c r="BW76" s="16">
        <f t="shared" si="57"/>
        <v>0.0337897561622509</v>
      </c>
      <c r="BX76" s="16">
        <f t="shared" si="57"/>
        <v>-0.0490588986495394</v>
      </c>
      <c r="BY76" s="16">
        <f t="shared" si="57"/>
        <v>-0.192961077277328</v>
      </c>
      <c r="BZ76" s="16">
        <f t="shared" ref="BZ76:DE76" si="58">LN(BZ14/BZ13)</f>
        <v>-0.0523465563552104</v>
      </c>
      <c r="CA76" s="16">
        <f t="shared" si="58"/>
        <v>0.0292476524743884</v>
      </c>
      <c r="CB76" s="16">
        <f t="shared" si="58"/>
        <v>-0.0108274478463188</v>
      </c>
      <c r="CC76" s="16">
        <f t="shared" si="58"/>
        <v>-0.0496013432496267</v>
      </c>
      <c r="CD76" s="16">
        <f t="shared" si="58"/>
        <v>-0.0228611151444585</v>
      </c>
      <c r="CE76" s="16">
        <f t="shared" si="58"/>
        <v>0.0362681973367506</v>
      </c>
      <c r="CF76" s="16">
        <f t="shared" si="58"/>
        <v>0.0287522599013388</v>
      </c>
      <c r="CG76" s="16">
        <f t="shared" si="58"/>
        <v>0.0361521259630011</v>
      </c>
      <c r="CH76" s="16">
        <f t="shared" si="58"/>
        <v>0.0241977169992477</v>
      </c>
      <c r="CI76" s="16">
        <f t="shared" si="58"/>
        <v>0.0257650487795641</v>
      </c>
      <c r="CJ76" s="16">
        <f t="shared" si="58"/>
        <v>-0.033499549617639</v>
      </c>
      <c r="CK76" s="16">
        <f t="shared" si="58"/>
        <v>-0.00284084524120869</v>
      </c>
      <c r="CL76" s="16">
        <f t="shared" si="58"/>
        <v>0.030485330082674</v>
      </c>
      <c r="CM76" s="16">
        <f t="shared" si="58"/>
        <v>-0.0309662489437409</v>
      </c>
      <c r="CN76" s="16">
        <f t="shared" si="58"/>
        <v>0.00256227861369965</v>
      </c>
      <c r="CO76" s="16">
        <f t="shared" si="58"/>
        <v>-0.0307686346835494</v>
      </c>
      <c r="CP76" s="16">
        <f t="shared" si="58"/>
        <v>-0.0700991134753872</v>
      </c>
      <c r="CQ76" s="16">
        <f t="shared" si="58"/>
        <v>-0.0416405781523686</v>
      </c>
      <c r="CR76" s="16">
        <f t="shared" si="58"/>
        <v>0.0116787026061694</v>
      </c>
      <c r="CS76" s="16">
        <f t="shared" si="58"/>
        <v>-0.0453041462604525</v>
      </c>
      <c r="CT76" s="16">
        <f t="shared" si="58"/>
        <v>0.0214902675690576</v>
      </c>
      <c r="CU76" s="16">
        <f t="shared" si="58"/>
        <v>0.112095965242473</v>
      </c>
      <c r="CV76" s="16">
        <f t="shared" si="58"/>
        <v>-0.0215481142872427</v>
      </c>
      <c r="CW76" s="16">
        <f t="shared" si="58"/>
        <v>0.00336180121692558</v>
      </c>
      <c r="CX76" s="16">
        <f t="shared" si="58"/>
        <v>-0.0844466153887916</v>
      </c>
      <c r="CY76" s="16">
        <f t="shared" si="58"/>
        <v>0.099112553519635</v>
      </c>
      <c r="CZ76" s="16">
        <f t="shared" si="58"/>
        <v>0.06030195442993</v>
      </c>
      <c r="DA76" s="16">
        <f t="shared" si="58"/>
        <v>0.24362208265775</v>
      </c>
      <c r="DB76" s="16">
        <f t="shared" si="58"/>
        <v>-0.0108276386520635</v>
      </c>
      <c r="DC76" s="16">
        <f t="shared" si="58"/>
        <v>-0.0257393540989988</v>
      </c>
      <c r="DD76" s="16">
        <f t="shared" si="58"/>
        <v>-0.0246927091373417</v>
      </c>
      <c r="DE76" s="16">
        <f t="shared" si="58"/>
        <v>0.0963860307899931</v>
      </c>
      <c r="DF76" s="16">
        <f t="shared" ref="DF76:DU76" si="59">LN(DF14/DF13)</f>
        <v>0.00811598657817959</v>
      </c>
      <c r="DG76" s="16">
        <f t="shared" si="59"/>
        <v>-0.0555257604160634</v>
      </c>
      <c r="DH76" s="16">
        <f t="shared" si="59"/>
        <v>0.0911190724495013</v>
      </c>
      <c r="DI76" s="16">
        <f t="shared" si="59"/>
        <v>0.0165732377299333</v>
      </c>
      <c r="DJ76" s="16">
        <f t="shared" si="59"/>
        <v>-0.013796871734318</v>
      </c>
      <c r="DK76" s="16">
        <f t="shared" si="59"/>
        <v>0.0217399866364058</v>
      </c>
      <c r="DL76" s="16">
        <f t="shared" si="59"/>
        <v>0.0146007634787429</v>
      </c>
      <c r="DM76" s="16">
        <f t="shared" si="59"/>
        <v>0.0318426245610516</v>
      </c>
      <c r="DN76" s="16">
        <f t="shared" si="59"/>
        <v>-0.0540502316696612</v>
      </c>
      <c r="DO76" s="16">
        <f t="shared" si="59"/>
        <v>0.0181163187671177</v>
      </c>
      <c r="DP76" s="16">
        <f t="shared" si="59"/>
        <v>0.00695447697432329</v>
      </c>
      <c r="DQ76" s="16">
        <f t="shared" si="59"/>
        <v>0.0897638800758773</v>
      </c>
      <c r="DR76" s="16">
        <f t="shared" si="59"/>
        <v>-0.0782737938210905</v>
      </c>
      <c r="DS76" s="16">
        <f t="shared" si="59"/>
        <v>-0.152831685576926</v>
      </c>
      <c r="DT76" s="16">
        <f t="shared" si="59"/>
        <v>-0.0191653748926663</v>
      </c>
      <c r="DU76" s="16">
        <f t="shared" si="59"/>
        <v>-0.042578601244122</v>
      </c>
      <c r="DV76" s="16">
        <f t="shared" si="13"/>
        <v>-0.101727856650466</v>
      </c>
      <c r="DW76" s="16">
        <f t="shared" si="14"/>
        <v>-0.0284573861557995</v>
      </c>
      <c r="DX76" s="16">
        <f t="shared" si="14"/>
        <v>0.0799867108064821</v>
      </c>
      <c r="DY76" s="16">
        <f t="shared" si="14"/>
        <v>0.0216814078166116</v>
      </c>
      <c r="DZ76" s="16">
        <f t="shared" si="14"/>
        <v>0.0247535949139457</v>
      </c>
    </row>
    <row r="77" ht="14" spans="1:130">
      <c r="A77" s="32">
        <v>43040</v>
      </c>
      <c r="B77" s="16">
        <f t="shared" si="6"/>
        <v>-0.000574292758319053</v>
      </c>
      <c r="C77" s="16">
        <f t="shared" si="6"/>
        <v>0.0336547779473815</v>
      </c>
      <c r="D77" s="16">
        <f t="shared" si="7"/>
        <v>0.0324194558210239</v>
      </c>
      <c r="E77" s="16">
        <f t="shared" si="7"/>
        <v>0.0782543656191948</v>
      </c>
      <c r="F77" s="16">
        <f t="shared" si="7"/>
        <v>0.00326175915406211</v>
      </c>
      <c r="G77" s="16">
        <f t="shared" si="7"/>
        <v>0.0025082336507223</v>
      </c>
      <c r="H77" s="16">
        <f t="shared" si="7"/>
        <v>0.0305528827393941</v>
      </c>
      <c r="I77" s="16">
        <f t="shared" ref="I77:M77" si="60">LN(I15/I14)</f>
        <v>-0.00553544225959951</v>
      </c>
      <c r="J77" s="16">
        <f t="shared" si="60"/>
        <v>0.114273356034271</v>
      </c>
      <c r="K77" s="16">
        <f t="shared" si="60"/>
        <v>-0.060530596026972</v>
      </c>
      <c r="L77" s="16">
        <f t="shared" si="60"/>
        <v>0.26183385578373</v>
      </c>
      <c r="M77" s="16">
        <f t="shared" si="60"/>
        <v>0.0196882072296307</v>
      </c>
      <c r="N77" s="16">
        <f t="shared" ref="N77:AS77" si="61">LN(N15/N14)</f>
        <v>-0.057985876950735</v>
      </c>
      <c r="O77" s="16">
        <f t="shared" si="61"/>
        <v>-0.081487920855766</v>
      </c>
      <c r="P77" s="16">
        <f t="shared" si="61"/>
        <v>0.0819362931485571</v>
      </c>
      <c r="Q77" s="16">
        <f t="shared" si="61"/>
        <v>0.117883798928209</v>
      </c>
      <c r="R77" s="16">
        <f t="shared" si="61"/>
        <v>0.116076627481877</v>
      </c>
      <c r="S77" s="16">
        <f t="shared" si="61"/>
        <v>-0.106735792379732</v>
      </c>
      <c r="T77" s="16">
        <f t="shared" si="61"/>
        <v>0.0435822997247065</v>
      </c>
      <c r="U77" s="16">
        <f t="shared" si="61"/>
        <v>0.0197976580400161</v>
      </c>
      <c r="V77" s="16">
        <f t="shared" si="61"/>
        <v>0.00726940700258187</v>
      </c>
      <c r="W77" s="16">
        <f t="shared" si="61"/>
        <v>-0.068003859496285</v>
      </c>
      <c r="X77" s="16">
        <f t="shared" si="61"/>
        <v>0.124619108823082</v>
      </c>
      <c r="Y77" s="16">
        <f t="shared" si="61"/>
        <v>0.0227031560531375</v>
      </c>
      <c r="Z77" s="16">
        <f t="shared" si="61"/>
        <v>0.089511793102398</v>
      </c>
      <c r="AA77" s="16">
        <f t="shared" si="61"/>
        <v>0.0630288303373901</v>
      </c>
      <c r="AB77" s="16">
        <f t="shared" si="61"/>
        <v>0.0143887729625016</v>
      </c>
      <c r="AC77" s="16">
        <f t="shared" si="61"/>
        <v>0.0163078824800969</v>
      </c>
      <c r="AD77" s="16">
        <f t="shared" si="61"/>
        <v>0.0118314498417294</v>
      </c>
      <c r="AE77" s="16">
        <f t="shared" si="61"/>
        <v>0.0353905088537349</v>
      </c>
      <c r="AF77" s="16">
        <f t="shared" si="61"/>
        <v>-0.0328822230777179</v>
      </c>
      <c r="AG77" s="16">
        <f t="shared" si="61"/>
        <v>0.0436474028982755</v>
      </c>
      <c r="AH77" s="16">
        <f t="shared" si="61"/>
        <v>0.0650775790676416</v>
      </c>
      <c r="AI77" s="16">
        <f t="shared" si="61"/>
        <v>0.0681244389529975</v>
      </c>
      <c r="AJ77" s="16">
        <f t="shared" si="61"/>
        <v>0.0653754913544226</v>
      </c>
      <c r="AK77" s="16">
        <f t="shared" si="61"/>
        <v>-0.114979421003939</v>
      </c>
      <c r="AL77" s="16">
        <f t="shared" si="61"/>
        <v>0.101311759868881</v>
      </c>
      <c r="AM77" s="16">
        <f t="shared" si="61"/>
        <v>-0.029939396621444</v>
      </c>
      <c r="AN77" s="16">
        <f t="shared" si="61"/>
        <v>-0.0143922008933543</v>
      </c>
      <c r="AO77" s="16">
        <f t="shared" si="61"/>
        <v>0.0517972356456514</v>
      </c>
      <c r="AP77" s="16">
        <f t="shared" si="61"/>
        <v>0.0125657728134766</v>
      </c>
      <c r="AQ77" s="16">
        <f t="shared" si="61"/>
        <v>0.262771499461983</v>
      </c>
      <c r="AR77" s="16">
        <f t="shared" si="61"/>
        <v>-0.00914083147066086</v>
      </c>
      <c r="AS77" s="16">
        <f t="shared" si="61"/>
        <v>-0.0442979004866208</v>
      </c>
      <c r="AT77" s="16">
        <f t="shared" ref="AT77:BY77" si="62">LN(AT15/AT14)</f>
        <v>-0.0585254328416878</v>
      </c>
      <c r="AU77" s="16">
        <f t="shared" si="62"/>
        <v>-0.0317677005828585</v>
      </c>
      <c r="AV77" s="16">
        <f t="shared" si="62"/>
        <v>-0.0859763270182808</v>
      </c>
      <c r="AW77" s="16">
        <f t="shared" si="62"/>
        <v>-0.0583963139114591</v>
      </c>
      <c r="AX77" s="16">
        <f t="shared" si="62"/>
        <v>-0.0834885949302391</v>
      </c>
      <c r="AY77" s="16">
        <f t="shared" si="62"/>
        <v>0.016486521130811</v>
      </c>
      <c r="AZ77" s="16">
        <f t="shared" si="62"/>
        <v>0.0191624948013969</v>
      </c>
      <c r="BA77" s="16">
        <f t="shared" si="62"/>
        <v>-0.0270297563981719</v>
      </c>
      <c r="BB77" s="16">
        <f t="shared" si="62"/>
        <v>0.0922382777964482</v>
      </c>
      <c r="BC77" s="16">
        <f t="shared" si="62"/>
        <v>-0.026541197269389</v>
      </c>
      <c r="BD77" s="16">
        <f t="shared" si="62"/>
        <v>0.0325398930162516</v>
      </c>
      <c r="BE77" s="16">
        <f t="shared" si="62"/>
        <v>-0.00465086493579899</v>
      </c>
      <c r="BF77" s="16">
        <f t="shared" si="62"/>
        <v>-0.000584540564639267</v>
      </c>
      <c r="BG77" s="16">
        <f t="shared" si="62"/>
        <v>0.0626577047629925</v>
      </c>
      <c r="BH77" s="16">
        <f t="shared" si="62"/>
        <v>-0.0821925907517851</v>
      </c>
      <c r="BI77" s="16">
        <f t="shared" si="62"/>
        <v>-0.0144755241737856</v>
      </c>
      <c r="BJ77" s="16">
        <f t="shared" si="62"/>
        <v>0.0025564011575282</v>
      </c>
      <c r="BK77" s="16">
        <f t="shared" si="62"/>
        <v>0.0298653839173134</v>
      </c>
      <c r="BL77" s="16">
        <f t="shared" si="62"/>
        <v>0.0529148737686608</v>
      </c>
      <c r="BM77" s="16">
        <f t="shared" si="62"/>
        <v>0.0325465315680217</v>
      </c>
      <c r="BN77" s="16">
        <f t="shared" si="62"/>
        <v>0.0941688761066212</v>
      </c>
      <c r="BO77" s="16">
        <f t="shared" si="62"/>
        <v>0.0812947821982505</v>
      </c>
      <c r="BP77" s="16">
        <f t="shared" si="62"/>
        <v>0.0198415373796609</v>
      </c>
      <c r="BQ77" s="16">
        <f t="shared" si="62"/>
        <v>-0.072943922968698</v>
      </c>
      <c r="BR77" s="16">
        <f t="shared" si="62"/>
        <v>-0.064261556196558</v>
      </c>
      <c r="BS77" s="16">
        <f t="shared" si="62"/>
        <v>-0.094410461238942</v>
      </c>
      <c r="BT77" s="16">
        <f t="shared" si="62"/>
        <v>-0.0113609278053167</v>
      </c>
      <c r="BU77" s="16">
        <f t="shared" si="62"/>
        <v>0.114359803159585</v>
      </c>
      <c r="BV77" s="16">
        <f t="shared" si="62"/>
        <v>0.017120554791581</v>
      </c>
      <c r="BW77" s="16">
        <f t="shared" si="62"/>
        <v>0.264470922877543</v>
      </c>
      <c r="BX77" s="16">
        <f t="shared" si="62"/>
        <v>0.124362496926078</v>
      </c>
      <c r="BY77" s="16">
        <f t="shared" si="62"/>
        <v>0.211577128550342</v>
      </c>
      <c r="BZ77" s="16">
        <f t="shared" ref="BZ77:DE77" si="63">LN(BZ15/BZ14)</f>
        <v>0.0488709785165546</v>
      </c>
      <c r="CA77" s="16">
        <f t="shared" si="63"/>
        <v>-0.00457765806545478</v>
      </c>
      <c r="CB77" s="16">
        <f t="shared" si="63"/>
        <v>0.0554938025242242</v>
      </c>
      <c r="CC77" s="16">
        <f t="shared" si="63"/>
        <v>-0.0182270779255492</v>
      </c>
      <c r="CD77" s="16">
        <f t="shared" si="63"/>
        <v>-0.00300528131294103</v>
      </c>
      <c r="CE77" s="16">
        <f t="shared" si="63"/>
        <v>0.0105993791010097</v>
      </c>
      <c r="CF77" s="16">
        <f t="shared" si="63"/>
        <v>-0.069906592140141</v>
      </c>
      <c r="CG77" s="16">
        <f t="shared" si="63"/>
        <v>0.110152219037817</v>
      </c>
      <c r="CH77" s="16">
        <f t="shared" si="63"/>
        <v>0.0357985368521705</v>
      </c>
      <c r="CI77" s="16">
        <f t="shared" si="63"/>
        <v>0.0298531061838697</v>
      </c>
      <c r="CJ77" s="16">
        <f t="shared" si="63"/>
        <v>0.0334775178644491</v>
      </c>
      <c r="CK77" s="16">
        <f t="shared" si="63"/>
        <v>0.050924968198032</v>
      </c>
      <c r="CL77" s="16">
        <f t="shared" si="63"/>
        <v>0.0433367145822271</v>
      </c>
      <c r="CM77" s="16">
        <f t="shared" si="63"/>
        <v>0.162373965516787</v>
      </c>
      <c r="CN77" s="16">
        <f t="shared" si="63"/>
        <v>0.0564293751882913</v>
      </c>
      <c r="CO77" s="16">
        <f t="shared" si="63"/>
        <v>0.0310686523235149</v>
      </c>
      <c r="CP77" s="16">
        <f t="shared" si="63"/>
        <v>0.0416273599550591</v>
      </c>
      <c r="CQ77" s="16">
        <f t="shared" si="63"/>
        <v>0.10263353436936</v>
      </c>
      <c r="CR77" s="16">
        <f t="shared" si="63"/>
        <v>0.0476163478458142</v>
      </c>
      <c r="CS77" s="16">
        <f t="shared" si="63"/>
        <v>-0.275172643645521</v>
      </c>
      <c r="CT77" s="16">
        <f t="shared" si="63"/>
        <v>0.0652713903532238</v>
      </c>
      <c r="CU77" s="16">
        <f t="shared" si="63"/>
        <v>0.143121820974665</v>
      </c>
      <c r="CV77" s="16">
        <f t="shared" si="63"/>
        <v>0.0328090990850245</v>
      </c>
      <c r="CW77" s="16">
        <f t="shared" si="63"/>
        <v>0.0247134262949337</v>
      </c>
      <c r="CX77" s="16">
        <f t="shared" si="63"/>
        <v>-0.014448135747386</v>
      </c>
      <c r="CY77" s="16">
        <f t="shared" si="63"/>
        <v>0.209720323081839</v>
      </c>
      <c r="CZ77" s="16">
        <f t="shared" si="63"/>
        <v>-0.0457826431054767</v>
      </c>
      <c r="DA77" s="16">
        <f t="shared" si="63"/>
        <v>0.115701869452559</v>
      </c>
      <c r="DB77" s="16">
        <f t="shared" si="63"/>
        <v>-0.165358929574375</v>
      </c>
      <c r="DC77" s="16">
        <f t="shared" si="63"/>
        <v>0.149318839876663</v>
      </c>
      <c r="DD77" s="16">
        <f t="shared" si="63"/>
        <v>0.608405721720248</v>
      </c>
      <c r="DE77" s="16">
        <f t="shared" si="63"/>
        <v>0.0648068775599979</v>
      </c>
      <c r="DF77" s="16">
        <f t="shared" ref="DF77:DU77" si="64">LN(DF15/DF14)</f>
        <v>0.0988730044889661</v>
      </c>
      <c r="DG77" s="16">
        <f t="shared" si="64"/>
        <v>0.0241752305319874</v>
      </c>
      <c r="DH77" s="16">
        <f t="shared" si="64"/>
        <v>0.0174282287678849</v>
      </c>
      <c r="DI77" s="16">
        <f t="shared" si="64"/>
        <v>-0.000719926127652935</v>
      </c>
      <c r="DJ77" s="16">
        <f t="shared" si="64"/>
        <v>0.0263979102538122</v>
      </c>
      <c r="DK77" s="16">
        <f t="shared" si="64"/>
        <v>4.18629811607252e-5</v>
      </c>
      <c r="DL77" s="16">
        <f t="shared" si="64"/>
        <v>0.0416796907131895</v>
      </c>
      <c r="DM77" s="16">
        <f t="shared" si="64"/>
        <v>0.0259757978398784</v>
      </c>
      <c r="DN77" s="16">
        <f t="shared" si="64"/>
        <v>0.038210219299325</v>
      </c>
      <c r="DO77" s="16">
        <f t="shared" si="64"/>
        <v>0.0878627738270452</v>
      </c>
      <c r="DP77" s="16">
        <f t="shared" si="64"/>
        <v>0.043225402350553</v>
      </c>
      <c r="DQ77" s="16">
        <f t="shared" si="64"/>
        <v>0.0198648263626958</v>
      </c>
      <c r="DR77" s="16">
        <f t="shared" si="64"/>
        <v>-0.0181322186071955</v>
      </c>
      <c r="DS77" s="16">
        <f t="shared" si="64"/>
        <v>-0.055606337703645</v>
      </c>
      <c r="DT77" s="16">
        <f t="shared" si="64"/>
        <v>0.0446264865552462</v>
      </c>
      <c r="DU77" s="16">
        <f t="shared" si="64"/>
        <v>-0.0188964424347695</v>
      </c>
      <c r="DV77" s="16">
        <f t="shared" si="13"/>
        <v>0.0170065443176879</v>
      </c>
      <c r="DW77" s="16">
        <f t="shared" si="14"/>
        <v>-0.0708625811268923</v>
      </c>
      <c r="DX77" s="16">
        <f t="shared" si="14"/>
        <v>-0.0971503678429749</v>
      </c>
      <c r="DY77" s="16">
        <f t="shared" si="14"/>
        <v>0.0262342317809043</v>
      </c>
      <c r="DZ77" s="16">
        <f t="shared" si="14"/>
        <v>0.0325117120612905</v>
      </c>
    </row>
    <row r="78" ht="14" spans="1:130">
      <c r="A78" s="32">
        <v>43070</v>
      </c>
      <c r="B78" s="16">
        <f t="shared" si="6"/>
        <v>0.00890027269903839</v>
      </c>
      <c r="C78" s="16">
        <f t="shared" si="6"/>
        <v>0.00799217692441735</v>
      </c>
      <c r="D78" s="16">
        <f t="shared" si="7"/>
        <v>0.00416674757961344</v>
      </c>
      <c r="E78" s="16">
        <f t="shared" si="7"/>
        <v>-0.00216905594115568</v>
      </c>
      <c r="F78" s="16">
        <f t="shared" si="7"/>
        <v>0.0179314171764304</v>
      </c>
      <c r="G78" s="16">
        <f t="shared" si="7"/>
        <v>-0.00325706200000805</v>
      </c>
      <c r="H78" s="16">
        <f t="shared" si="7"/>
        <v>-0.0306922368847696</v>
      </c>
      <c r="I78" s="16">
        <f t="shared" ref="I78:M78" si="65">LN(I16/I15)</f>
        <v>-0.015053587708747</v>
      </c>
      <c r="J78" s="16">
        <f t="shared" si="65"/>
        <v>-0.051469488301994</v>
      </c>
      <c r="K78" s="16">
        <f t="shared" si="65"/>
        <v>-0.000191821989782223</v>
      </c>
      <c r="L78" s="16">
        <f t="shared" si="65"/>
        <v>-0.0179593844460745</v>
      </c>
      <c r="M78" s="16">
        <f t="shared" si="65"/>
        <v>-0.0333340168687497</v>
      </c>
      <c r="N78" s="16">
        <f t="shared" ref="N78:AS78" si="66">LN(N16/N15)</f>
        <v>-0.0411242981579628</v>
      </c>
      <c r="O78" s="16">
        <f t="shared" si="66"/>
        <v>-0.0155200796073811</v>
      </c>
      <c r="P78" s="16">
        <f t="shared" si="66"/>
        <v>-0.031004066193071</v>
      </c>
      <c r="Q78" s="16">
        <f t="shared" si="66"/>
        <v>-0.0550104780134875</v>
      </c>
      <c r="R78" s="16">
        <f t="shared" si="66"/>
        <v>-0.0432704372162612</v>
      </c>
      <c r="S78" s="16">
        <f t="shared" si="66"/>
        <v>0.0382253580611502</v>
      </c>
      <c r="T78" s="16">
        <f t="shared" si="66"/>
        <v>0.0123414795785562</v>
      </c>
      <c r="U78" s="16">
        <f t="shared" si="66"/>
        <v>-0.0169455031133321</v>
      </c>
      <c r="V78" s="16">
        <f t="shared" si="66"/>
        <v>-0.00746325355709374</v>
      </c>
      <c r="W78" s="16">
        <f t="shared" si="66"/>
        <v>0.0319057606215202</v>
      </c>
      <c r="X78" s="16">
        <f t="shared" si="66"/>
        <v>-0.00192913593044536</v>
      </c>
      <c r="Y78" s="16">
        <f t="shared" si="66"/>
        <v>0.146889589785839</v>
      </c>
      <c r="Z78" s="16">
        <f t="shared" si="66"/>
        <v>-0.0640095366102931</v>
      </c>
      <c r="AA78" s="16">
        <f t="shared" si="66"/>
        <v>-0.0911814392941116</v>
      </c>
      <c r="AB78" s="16">
        <f t="shared" si="66"/>
        <v>-0.00409656772279414</v>
      </c>
      <c r="AC78" s="16">
        <f t="shared" si="66"/>
        <v>-0.0112167269531845</v>
      </c>
      <c r="AD78" s="16">
        <f t="shared" si="66"/>
        <v>0.0211549888959643</v>
      </c>
      <c r="AE78" s="16">
        <f t="shared" si="66"/>
        <v>-0.0349338878412348</v>
      </c>
      <c r="AF78" s="16">
        <f t="shared" si="66"/>
        <v>-0.0369566409601602</v>
      </c>
      <c r="AG78" s="16">
        <f t="shared" si="66"/>
        <v>-0.0585521967527173</v>
      </c>
      <c r="AH78" s="16">
        <f t="shared" si="66"/>
        <v>0.0380220726887906</v>
      </c>
      <c r="AI78" s="16">
        <f t="shared" si="66"/>
        <v>-0.00575064754592741</v>
      </c>
      <c r="AJ78" s="16">
        <f t="shared" si="66"/>
        <v>0.153587083040212</v>
      </c>
      <c r="AK78" s="16">
        <f t="shared" si="66"/>
        <v>-0.0292597409098722</v>
      </c>
      <c r="AL78" s="16">
        <f t="shared" si="66"/>
        <v>-0.0224559206208498</v>
      </c>
      <c r="AM78" s="16">
        <f t="shared" si="66"/>
        <v>-0.0358890725590334</v>
      </c>
      <c r="AN78" s="16">
        <f t="shared" si="66"/>
        <v>0.0349217705140197</v>
      </c>
      <c r="AO78" s="16">
        <f t="shared" si="66"/>
        <v>-0.0787183926213928</v>
      </c>
      <c r="AP78" s="16">
        <f t="shared" si="66"/>
        <v>0.0709162888674446</v>
      </c>
      <c r="AQ78" s="16">
        <f t="shared" si="66"/>
        <v>-0.0271974996544264</v>
      </c>
      <c r="AR78" s="16">
        <f t="shared" si="66"/>
        <v>-0.0576446769178502</v>
      </c>
      <c r="AS78" s="16">
        <f t="shared" si="66"/>
        <v>-0.03041793062985</v>
      </c>
      <c r="AT78" s="16">
        <f t="shared" ref="AT78:BY78" si="67">LN(AT16/AT15)</f>
        <v>0.0386151017201429</v>
      </c>
      <c r="AU78" s="16">
        <f t="shared" si="67"/>
        <v>0.0321097083315572</v>
      </c>
      <c r="AV78" s="16">
        <f t="shared" si="67"/>
        <v>0.0141628089101093</v>
      </c>
      <c r="AW78" s="16">
        <f t="shared" si="67"/>
        <v>-0.0256784398032281</v>
      </c>
      <c r="AX78" s="16">
        <f t="shared" si="67"/>
        <v>-0.0952175141891065</v>
      </c>
      <c r="AY78" s="16">
        <f t="shared" si="67"/>
        <v>-0.0117746201723598</v>
      </c>
      <c r="AZ78" s="16">
        <f t="shared" si="67"/>
        <v>-0.02023792140942</v>
      </c>
      <c r="BA78" s="16">
        <f t="shared" si="67"/>
        <v>0.0583456040629634</v>
      </c>
      <c r="BB78" s="16">
        <f t="shared" si="67"/>
        <v>-0.0412717439049453</v>
      </c>
      <c r="BC78" s="16">
        <f t="shared" si="67"/>
        <v>-0.0446607708274208</v>
      </c>
      <c r="BD78" s="16">
        <f t="shared" si="67"/>
        <v>-0.0303285446298636</v>
      </c>
      <c r="BE78" s="16">
        <f t="shared" si="67"/>
        <v>-0.0207258221629015</v>
      </c>
      <c r="BF78" s="16">
        <f t="shared" si="67"/>
        <v>0.00636761693940059</v>
      </c>
      <c r="BG78" s="16">
        <f t="shared" si="67"/>
        <v>-0.00620574657406492</v>
      </c>
      <c r="BH78" s="16">
        <f t="shared" si="67"/>
        <v>0.0848460301776819</v>
      </c>
      <c r="BI78" s="16">
        <f t="shared" si="67"/>
        <v>0.217049687239887</v>
      </c>
      <c r="BJ78" s="16">
        <f t="shared" si="67"/>
        <v>-0.0499629546066637</v>
      </c>
      <c r="BK78" s="16">
        <f t="shared" si="67"/>
        <v>0.00681536069123643</v>
      </c>
      <c r="BL78" s="16">
        <f t="shared" si="67"/>
        <v>-0.00148411943850538</v>
      </c>
      <c r="BM78" s="16">
        <f t="shared" si="67"/>
        <v>0.129937475769345</v>
      </c>
      <c r="BN78" s="16">
        <f t="shared" si="67"/>
        <v>0.0346460535992728</v>
      </c>
      <c r="BO78" s="16">
        <f t="shared" si="67"/>
        <v>0.057644114163037</v>
      </c>
      <c r="BP78" s="16">
        <f t="shared" si="67"/>
        <v>0.0163080457792671</v>
      </c>
      <c r="BQ78" s="16">
        <f t="shared" si="67"/>
        <v>-0.0504647343644201</v>
      </c>
      <c r="BR78" s="16">
        <f t="shared" si="67"/>
        <v>0.0432967826536747</v>
      </c>
      <c r="BS78" s="16">
        <f t="shared" si="67"/>
        <v>-0.00113301425512614</v>
      </c>
      <c r="BT78" s="16">
        <f t="shared" si="67"/>
        <v>0.0177991209006169</v>
      </c>
      <c r="BU78" s="16">
        <f t="shared" si="67"/>
        <v>-0.0187664524236712</v>
      </c>
      <c r="BV78" s="16">
        <f t="shared" si="67"/>
        <v>0.0149291064278148</v>
      </c>
      <c r="BW78" s="16">
        <f t="shared" si="67"/>
        <v>0.0835519933724752</v>
      </c>
      <c r="BX78" s="16">
        <f t="shared" si="67"/>
        <v>0.0953930167547433</v>
      </c>
      <c r="BY78" s="16">
        <f t="shared" si="67"/>
        <v>-0.0130551719714334</v>
      </c>
      <c r="BZ78" s="16">
        <f t="shared" ref="BZ78:DE78" si="68">LN(BZ16/BZ15)</f>
        <v>0.0207848517878347</v>
      </c>
      <c r="CA78" s="16">
        <f t="shared" si="68"/>
        <v>0.0105656296499499</v>
      </c>
      <c r="CB78" s="16">
        <f t="shared" si="68"/>
        <v>0.0356756410399759</v>
      </c>
      <c r="CC78" s="16">
        <f t="shared" si="68"/>
        <v>0.0278326552311443</v>
      </c>
      <c r="CD78" s="16">
        <f t="shared" si="68"/>
        <v>-0.0128507000538222</v>
      </c>
      <c r="CE78" s="16">
        <f t="shared" si="68"/>
        <v>0.0531584792974004</v>
      </c>
      <c r="CF78" s="16">
        <f t="shared" si="68"/>
        <v>-0.0100656802402705</v>
      </c>
      <c r="CG78" s="16">
        <f t="shared" si="68"/>
        <v>0.0221593648998235</v>
      </c>
      <c r="CH78" s="16">
        <f t="shared" si="68"/>
        <v>-0.00326565612834008</v>
      </c>
      <c r="CI78" s="16">
        <f t="shared" si="68"/>
        <v>0.00665208655906138</v>
      </c>
      <c r="CJ78" s="16">
        <f t="shared" si="68"/>
        <v>0.0405735755487635</v>
      </c>
      <c r="CK78" s="16">
        <f t="shared" si="68"/>
        <v>-0.0374144328049981</v>
      </c>
      <c r="CL78" s="16">
        <f t="shared" si="68"/>
        <v>0.0506610202301048</v>
      </c>
      <c r="CM78" s="16">
        <f t="shared" si="68"/>
        <v>-0.0016477557726833</v>
      </c>
      <c r="CN78" s="16">
        <f t="shared" si="68"/>
        <v>0.0352540649130642</v>
      </c>
      <c r="CO78" s="16">
        <f t="shared" si="68"/>
        <v>-0.00264595539510789</v>
      </c>
      <c r="CP78" s="16">
        <f t="shared" si="68"/>
        <v>0.067537240868965</v>
      </c>
      <c r="CQ78" s="16">
        <f t="shared" si="68"/>
        <v>0.0656414808790591</v>
      </c>
      <c r="CR78" s="16">
        <f t="shared" si="68"/>
        <v>-0.0244339565899422</v>
      </c>
      <c r="CS78" s="16">
        <f t="shared" si="68"/>
        <v>0.00523757363505358</v>
      </c>
      <c r="CT78" s="16">
        <f t="shared" si="68"/>
        <v>0.0921207833982054</v>
      </c>
      <c r="CU78" s="16">
        <f t="shared" si="68"/>
        <v>-0.166038164362694</v>
      </c>
      <c r="CV78" s="16">
        <f t="shared" si="68"/>
        <v>-0.0117168991163956</v>
      </c>
      <c r="CW78" s="16">
        <f t="shared" si="68"/>
        <v>0.0752120670735233</v>
      </c>
      <c r="CX78" s="16">
        <f t="shared" si="68"/>
        <v>-0.0446407806226204</v>
      </c>
      <c r="CY78" s="16">
        <f t="shared" si="68"/>
        <v>0.0262635147055476</v>
      </c>
      <c r="CZ78" s="16">
        <f t="shared" si="68"/>
        <v>0.0231533049747168</v>
      </c>
      <c r="DA78" s="16">
        <f t="shared" si="68"/>
        <v>0.0363676441708748</v>
      </c>
      <c r="DB78" s="16">
        <f t="shared" si="68"/>
        <v>0.0587880740091333</v>
      </c>
      <c r="DC78" s="16">
        <f t="shared" si="68"/>
        <v>-0.0545735082383763</v>
      </c>
      <c r="DD78" s="16">
        <f t="shared" si="68"/>
        <v>-0.180961764261802</v>
      </c>
      <c r="DE78" s="16">
        <f t="shared" si="68"/>
        <v>0.0177156876749032</v>
      </c>
      <c r="DF78" s="16">
        <f t="shared" ref="DF78:DU78" si="69">LN(DF16/DF15)</f>
        <v>0.00208986491945924</v>
      </c>
      <c r="DG78" s="16">
        <f t="shared" si="69"/>
        <v>-0.0192932029346789</v>
      </c>
      <c r="DH78" s="16">
        <f t="shared" si="69"/>
        <v>-0.0290534108563465</v>
      </c>
      <c r="DI78" s="16">
        <f t="shared" si="69"/>
        <v>0.0134055522574874</v>
      </c>
      <c r="DJ78" s="16">
        <f t="shared" si="69"/>
        <v>0.060110861550481</v>
      </c>
      <c r="DK78" s="16">
        <f t="shared" si="69"/>
        <v>0.0758612009684281</v>
      </c>
      <c r="DL78" s="16">
        <f t="shared" si="69"/>
        <v>0.102312022967629</v>
      </c>
      <c r="DM78" s="16">
        <f t="shared" si="69"/>
        <v>0.0531925474228579</v>
      </c>
      <c r="DN78" s="16">
        <f t="shared" si="69"/>
        <v>0.0340684080357794</v>
      </c>
      <c r="DO78" s="16">
        <f t="shared" si="69"/>
        <v>0.0438473523066316</v>
      </c>
      <c r="DP78" s="16">
        <f t="shared" si="69"/>
        <v>0.0718439007191357</v>
      </c>
      <c r="DQ78" s="16">
        <f t="shared" si="69"/>
        <v>0.144076036003123</v>
      </c>
      <c r="DR78" s="16">
        <f t="shared" si="69"/>
        <v>0.0697457455782022</v>
      </c>
      <c r="DS78" s="16">
        <f t="shared" si="69"/>
        <v>0.0680366289602899</v>
      </c>
      <c r="DT78" s="16">
        <f t="shared" si="69"/>
        <v>0.0940290140035293</v>
      </c>
      <c r="DU78" s="16">
        <f t="shared" si="69"/>
        <v>0.0710375630386886</v>
      </c>
      <c r="DV78" s="16">
        <f t="shared" si="13"/>
        <v>0.00928024031860163</v>
      </c>
      <c r="DW78" s="16">
        <f t="shared" si="14"/>
        <v>0.0080619591765528</v>
      </c>
      <c r="DX78" s="16">
        <f t="shared" si="14"/>
        <v>-0.0352352377847002</v>
      </c>
      <c r="DY78" s="16">
        <f t="shared" si="14"/>
        <v>0.0169713064768181</v>
      </c>
      <c r="DZ78" s="16">
        <f t="shared" si="14"/>
        <v>-0.00239935004530405</v>
      </c>
    </row>
    <row r="79" ht="14" spans="1:130">
      <c r="A79" s="32">
        <v>43101</v>
      </c>
      <c r="B79" s="16">
        <f t="shared" si="6"/>
        <v>-0.0110104381339965</v>
      </c>
      <c r="C79" s="16">
        <f t="shared" si="6"/>
        <v>0.0223868022374754</v>
      </c>
      <c r="D79" s="16">
        <f t="shared" si="7"/>
        <v>-0.0362888618155453</v>
      </c>
      <c r="E79" s="16">
        <f t="shared" si="7"/>
        <v>0.148744413210896</v>
      </c>
      <c r="F79" s="16">
        <f t="shared" si="7"/>
        <v>0.0600743885408539</v>
      </c>
      <c r="G79" s="16">
        <f t="shared" si="7"/>
        <v>0.0675343891762624</v>
      </c>
      <c r="H79" s="16">
        <f t="shared" si="7"/>
        <v>0.0213116644478666</v>
      </c>
      <c r="I79" s="16">
        <f t="shared" ref="I79:M79" si="70">LN(I17/I16)</f>
        <v>0.16652830075716</v>
      </c>
      <c r="J79" s="16">
        <f t="shared" si="70"/>
        <v>0.0627519474472209</v>
      </c>
      <c r="K79" s="16">
        <f t="shared" si="70"/>
        <v>0.17903355502739</v>
      </c>
      <c r="L79" s="16">
        <f t="shared" si="70"/>
        <v>0.0140152826171209</v>
      </c>
      <c r="M79" s="16">
        <f t="shared" si="70"/>
        <v>0.0942995190934265</v>
      </c>
      <c r="N79" s="16">
        <f t="shared" ref="N79:AS79" si="71">LN(N17/N16)</f>
        <v>0.0428872760876529</v>
      </c>
      <c r="O79" s="16">
        <f t="shared" si="71"/>
        <v>0.0861528172447883</v>
      </c>
      <c r="P79" s="16">
        <f t="shared" si="71"/>
        <v>0.0714153057075767</v>
      </c>
      <c r="Q79" s="16">
        <f t="shared" si="71"/>
        <v>0.0819294349350945</v>
      </c>
      <c r="R79" s="16">
        <f t="shared" si="71"/>
        <v>0.0996965255669584</v>
      </c>
      <c r="S79" s="16">
        <f t="shared" si="71"/>
        <v>-0.0250750402122922</v>
      </c>
      <c r="T79" s="16">
        <f t="shared" si="71"/>
        <v>0.0854330267604145</v>
      </c>
      <c r="U79" s="16">
        <f t="shared" si="71"/>
        <v>0.0673517267523831</v>
      </c>
      <c r="V79" s="16">
        <f t="shared" si="71"/>
        <v>0.0628133125382199</v>
      </c>
      <c r="W79" s="16">
        <f t="shared" si="71"/>
        <v>0.124790772813788</v>
      </c>
      <c r="X79" s="16">
        <f t="shared" si="71"/>
        <v>0.0630711520915104</v>
      </c>
      <c r="Y79" s="16">
        <f t="shared" si="71"/>
        <v>0.0126823037788692</v>
      </c>
      <c r="Z79" s="16">
        <f t="shared" si="71"/>
        <v>0.129989798778869</v>
      </c>
      <c r="AA79" s="16">
        <f t="shared" si="71"/>
        <v>0.167928450935047</v>
      </c>
      <c r="AB79" s="16">
        <f t="shared" si="71"/>
        <v>0.174041656065202</v>
      </c>
      <c r="AC79" s="16">
        <f t="shared" si="71"/>
        <v>0.10824915283299</v>
      </c>
      <c r="AD79" s="16">
        <f t="shared" si="71"/>
        <v>0.1049982626924</v>
      </c>
      <c r="AE79" s="16">
        <f t="shared" si="71"/>
        <v>0.13096018302582</v>
      </c>
      <c r="AF79" s="16">
        <f t="shared" si="71"/>
        <v>0.0872402756380174</v>
      </c>
      <c r="AG79" s="16">
        <f t="shared" si="71"/>
        <v>0.0829263199517613</v>
      </c>
      <c r="AH79" s="16">
        <f t="shared" si="71"/>
        <v>0.0523913408903374</v>
      </c>
      <c r="AI79" s="16">
        <f t="shared" si="71"/>
        <v>0.00418556592917936</v>
      </c>
      <c r="AJ79" s="16">
        <f t="shared" si="71"/>
        <v>0.029540889280621</v>
      </c>
      <c r="AK79" s="16">
        <f t="shared" si="71"/>
        <v>-0.0300260623809785</v>
      </c>
      <c r="AL79" s="16">
        <f t="shared" si="71"/>
        <v>0.0966809819381034</v>
      </c>
      <c r="AM79" s="16">
        <f t="shared" si="71"/>
        <v>0.239240691790979</v>
      </c>
      <c r="AN79" s="16">
        <f t="shared" si="71"/>
        <v>0.0419995876759889</v>
      </c>
      <c r="AO79" s="16">
        <f t="shared" si="71"/>
        <v>-0.0285298479194558</v>
      </c>
      <c r="AP79" s="16">
        <f t="shared" si="71"/>
        <v>0.0488632474308251</v>
      </c>
      <c r="AQ79" s="16">
        <f t="shared" si="71"/>
        <v>0.0639822241517791</v>
      </c>
      <c r="AR79" s="16">
        <f t="shared" si="71"/>
        <v>0.290111026767184</v>
      </c>
      <c r="AS79" s="16">
        <f t="shared" si="71"/>
        <v>0.06131102790163</v>
      </c>
      <c r="AT79" s="16">
        <f t="shared" ref="AT79:BY79" si="72">LN(AT17/AT16)</f>
        <v>0.0315099816299733</v>
      </c>
      <c r="AU79" s="16">
        <f t="shared" si="72"/>
        <v>0.0272114786333826</v>
      </c>
      <c r="AV79" s="16">
        <f t="shared" si="72"/>
        <v>0.0802181529659574</v>
      </c>
      <c r="AW79" s="16">
        <f t="shared" si="72"/>
        <v>0.0797917097542364</v>
      </c>
      <c r="AX79" s="16">
        <f t="shared" si="72"/>
        <v>0.0235233344271209</v>
      </c>
      <c r="AY79" s="16">
        <f t="shared" si="72"/>
        <v>-0.0106934688209405</v>
      </c>
      <c r="AZ79" s="16">
        <f t="shared" si="72"/>
        <v>0.108183486142898</v>
      </c>
      <c r="BA79" s="16">
        <f t="shared" si="72"/>
        <v>0.132543482453585</v>
      </c>
      <c r="BB79" s="16">
        <f t="shared" si="72"/>
        <v>0.063448951843923</v>
      </c>
      <c r="BC79" s="16">
        <f t="shared" si="72"/>
        <v>0.116072171252754</v>
      </c>
      <c r="BD79" s="16">
        <f t="shared" si="72"/>
        <v>0.0494809389599598</v>
      </c>
      <c r="BE79" s="16">
        <f t="shared" si="72"/>
        <v>0.110859792485027</v>
      </c>
      <c r="BF79" s="16">
        <f t="shared" si="72"/>
        <v>0.0648556941355168</v>
      </c>
      <c r="BG79" s="16">
        <f t="shared" si="72"/>
        <v>0.21562650651694</v>
      </c>
      <c r="BH79" s="16">
        <f t="shared" si="72"/>
        <v>0.0725545510187497</v>
      </c>
      <c r="BI79" s="16">
        <f t="shared" si="72"/>
        <v>-0.086255938910732</v>
      </c>
      <c r="BJ79" s="16">
        <f t="shared" si="72"/>
        <v>0.0431121513661688</v>
      </c>
      <c r="BK79" s="16">
        <f t="shared" si="72"/>
        <v>-0.00570992882499751</v>
      </c>
      <c r="BL79" s="16">
        <f t="shared" si="72"/>
        <v>-0.0108546320488249</v>
      </c>
      <c r="BM79" s="16">
        <f t="shared" si="72"/>
        <v>-0.00177210777998347</v>
      </c>
      <c r="BN79" s="16">
        <f t="shared" si="72"/>
        <v>0.0900872908107956</v>
      </c>
      <c r="BO79" s="16">
        <f t="shared" si="72"/>
        <v>0.0582599407597185</v>
      </c>
      <c r="BP79" s="16">
        <f t="shared" si="72"/>
        <v>0.0465278091652969</v>
      </c>
      <c r="BQ79" s="16">
        <f t="shared" si="72"/>
        <v>0.0112963209496082</v>
      </c>
      <c r="BR79" s="16">
        <f t="shared" si="72"/>
        <v>-0.0042461575915665</v>
      </c>
      <c r="BS79" s="16">
        <f t="shared" si="72"/>
        <v>0.0955905465006903</v>
      </c>
      <c r="BT79" s="16">
        <f t="shared" si="72"/>
        <v>0.0759894562752942</v>
      </c>
      <c r="BU79" s="16">
        <f t="shared" si="72"/>
        <v>0.03586433342618</v>
      </c>
      <c r="BV79" s="16">
        <f t="shared" si="72"/>
        <v>0.1402217027523</v>
      </c>
      <c r="BW79" s="16">
        <f t="shared" si="72"/>
        <v>-0.184183066548066</v>
      </c>
      <c r="BX79" s="16">
        <f t="shared" si="72"/>
        <v>0.0198679841962899</v>
      </c>
      <c r="BY79" s="16">
        <f t="shared" si="72"/>
        <v>0.160631533563909</v>
      </c>
      <c r="BZ79" s="16">
        <f t="shared" ref="BZ79:DE79" si="73">LN(BZ17/BZ16)</f>
        <v>-0.0621903639931478</v>
      </c>
      <c r="CA79" s="16">
        <f t="shared" si="73"/>
        <v>0.0365930531455427</v>
      </c>
      <c r="CB79" s="16">
        <f t="shared" si="73"/>
        <v>0.0031637501001091</v>
      </c>
      <c r="CC79" s="16">
        <f t="shared" si="73"/>
        <v>0.0247901587437904</v>
      </c>
      <c r="CD79" s="16">
        <f t="shared" si="73"/>
        <v>0.0202134268076514</v>
      </c>
      <c r="CE79" s="16">
        <f t="shared" si="73"/>
        <v>-0.0142765672997113</v>
      </c>
      <c r="CF79" s="16">
        <f t="shared" si="73"/>
        <v>0.0170642495805274</v>
      </c>
      <c r="CG79" s="16">
        <f t="shared" si="73"/>
        <v>0.0589035504619014</v>
      </c>
      <c r="CH79" s="16">
        <f t="shared" si="73"/>
        <v>0.0418011912277976</v>
      </c>
      <c r="CI79" s="16">
        <f t="shared" si="73"/>
        <v>0.0558817155446471</v>
      </c>
      <c r="CJ79" s="16">
        <f t="shared" si="73"/>
        <v>-0.016167081218859</v>
      </c>
      <c r="CK79" s="16">
        <f t="shared" si="73"/>
        <v>0.00806899994088175</v>
      </c>
      <c r="CL79" s="16">
        <f t="shared" si="73"/>
        <v>0.0346312600147115</v>
      </c>
      <c r="CM79" s="16">
        <f t="shared" si="73"/>
        <v>-0.0582740375282459</v>
      </c>
      <c r="CN79" s="16">
        <f t="shared" si="73"/>
        <v>0.00191074172182626</v>
      </c>
      <c r="CO79" s="16">
        <f t="shared" si="73"/>
        <v>0.0702500033419498</v>
      </c>
      <c r="CP79" s="16">
        <f t="shared" si="73"/>
        <v>-0.0266628392054475</v>
      </c>
      <c r="CQ79" s="16">
        <f t="shared" si="73"/>
        <v>-0.0485583222425948</v>
      </c>
      <c r="CR79" s="16">
        <f t="shared" si="73"/>
        <v>-0.0329631622846146</v>
      </c>
      <c r="CS79" s="16">
        <f t="shared" si="73"/>
        <v>-0.155878151983551</v>
      </c>
      <c r="CT79" s="16">
        <f t="shared" si="73"/>
        <v>0.00624416640107663</v>
      </c>
      <c r="CU79" s="16">
        <f t="shared" si="73"/>
        <v>-0.111964516401833</v>
      </c>
      <c r="CV79" s="16">
        <f t="shared" si="73"/>
        <v>0.0663199624824798</v>
      </c>
      <c r="CW79" s="16">
        <f t="shared" si="73"/>
        <v>0.0526473669941585</v>
      </c>
      <c r="CX79" s="16">
        <f t="shared" si="73"/>
        <v>0.0446407806226206</v>
      </c>
      <c r="CY79" s="16">
        <f t="shared" si="73"/>
        <v>0.266809459194479</v>
      </c>
      <c r="CZ79" s="16">
        <f t="shared" si="73"/>
        <v>-0.00176211499339922</v>
      </c>
      <c r="DA79" s="16">
        <f t="shared" si="73"/>
        <v>0.0419641990990322</v>
      </c>
      <c r="DB79" s="16">
        <f t="shared" si="73"/>
        <v>-0.00694447235281105</v>
      </c>
      <c r="DC79" s="16">
        <f t="shared" si="73"/>
        <v>-0.00561051016292791</v>
      </c>
      <c r="DD79" s="16">
        <f t="shared" si="73"/>
        <v>-0.41502160578803</v>
      </c>
      <c r="DE79" s="16">
        <f t="shared" si="73"/>
        <v>0.108080412236931</v>
      </c>
      <c r="DF79" s="16">
        <f t="shared" ref="DF79:DU79" si="74">LN(DF17/DF16)</f>
        <v>0.00312663099943192</v>
      </c>
      <c r="DG79" s="16">
        <f t="shared" si="74"/>
        <v>-0.00815000436192441</v>
      </c>
      <c r="DH79" s="16">
        <f t="shared" si="74"/>
        <v>-0.0161039422757544</v>
      </c>
      <c r="DI79" s="16">
        <f t="shared" si="74"/>
        <v>0.0428287078701522</v>
      </c>
      <c r="DJ79" s="16">
        <f t="shared" si="74"/>
        <v>0.00127758211993819</v>
      </c>
      <c r="DK79" s="16">
        <f t="shared" si="74"/>
        <v>0.0689808395223734</v>
      </c>
      <c r="DL79" s="16">
        <f t="shared" si="74"/>
        <v>0.0565700883800595</v>
      </c>
      <c r="DM79" s="16">
        <f t="shared" si="74"/>
        <v>0.0636341531648624</v>
      </c>
      <c r="DN79" s="16">
        <f t="shared" si="74"/>
        <v>0.0679494890303007</v>
      </c>
      <c r="DO79" s="16">
        <f t="shared" si="74"/>
        <v>0.0287836945129846</v>
      </c>
      <c r="DP79" s="16">
        <f t="shared" si="74"/>
        <v>0.000850427351968841</v>
      </c>
      <c r="DQ79" s="16">
        <f t="shared" si="74"/>
        <v>-0.00595842545587649</v>
      </c>
      <c r="DR79" s="16">
        <f t="shared" si="74"/>
        <v>0.0956464804346061</v>
      </c>
      <c r="DS79" s="16">
        <f t="shared" si="74"/>
        <v>0.0159903258679408</v>
      </c>
      <c r="DT79" s="16">
        <f t="shared" si="74"/>
        <v>0.0360707964570223</v>
      </c>
      <c r="DU79" s="16">
        <f t="shared" si="74"/>
        <v>0.0196869008704876</v>
      </c>
      <c r="DV79" s="16">
        <f t="shared" si="13"/>
        <v>0.0608754328887024</v>
      </c>
      <c r="DW79" s="16">
        <f t="shared" si="14"/>
        <v>0.129254554823017</v>
      </c>
      <c r="DX79" s="16">
        <f t="shared" si="14"/>
        <v>0.13088067950639</v>
      </c>
      <c r="DY79" s="16">
        <f t="shared" si="14"/>
        <v>0.00843469713875084</v>
      </c>
      <c r="DZ79" s="16">
        <f t="shared" si="14"/>
        <v>-0.129764333992264</v>
      </c>
    </row>
    <row r="80" ht="14" spans="1:130">
      <c r="A80" s="32">
        <v>43132</v>
      </c>
      <c r="B80" s="16">
        <f t="shared" si="6"/>
        <v>-0.0620184471413673</v>
      </c>
      <c r="C80" s="16">
        <f t="shared" si="6"/>
        <v>-0.0199054657897797</v>
      </c>
      <c r="D80" s="16">
        <f t="shared" si="7"/>
        <v>-0.0559242265304726</v>
      </c>
      <c r="E80" s="16">
        <f t="shared" si="7"/>
        <v>0.03880977376498</v>
      </c>
      <c r="F80" s="16">
        <f t="shared" si="7"/>
        <v>-0.088715987963842</v>
      </c>
      <c r="G80" s="16">
        <f t="shared" si="7"/>
        <v>-0.0123299020242501</v>
      </c>
      <c r="H80" s="16">
        <f t="shared" si="7"/>
        <v>0.0624552592380667</v>
      </c>
      <c r="I80" s="16">
        <f t="shared" ref="I80:M80" si="75">LN(I18/I17)</f>
        <v>-0.0718145051518714</v>
      </c>
      <c r="J80" s="16">
        <f t="shared" si="75"/>
        <v>-0.0200588499395807</v>
      </c>
      <c r="K80" s="16">
        <f t="shared" si="75"/>
        <v>0.00101530989030292</v>
      </c>
      <c r="L80" s="16">
        <f t="shared" si="75"/>
        <v>-0.0360367838036557</v>
      </c>
      <c r="M80" s="16">
        <f t="shared" si="75"/>
        <v>-0.0681859563540593</v>
      </c>
      <c r="N80" s="16">
        <f t="shared" ref="N80:AS80" si="76">LN(N18/N17)</f>
        <v>-0.0385046568320529</v>
      </c>
      <c r="O80" s="16">
        <f t="shared" si="76"/>
        <v>-0.0914937592626127</v>
      </c>
      <c r="P80" s="16">
        <f t="shared" si="76"/>
        <v>-0.045888566434639</v>
      </c>
      <c r="Q80" s="16">
        <f t="shared" si="76"/>
        <v>-0.143791000660811</v>
      </c>
      <c r="R80" s="16">
        <f t="shared" si="76"/>
        <v>-0.0516225887803889</v>
      </c>
      <c r="S80" s="16">
        <f t="shared" si="76"/>
        <v>-0.134712663192892</v>
      </c>
      <c r="T80" s="16">
        <f t="shared" si="76"/>
        <v>-0.0251112563300675</v>
      </c>
      <c r="U80" s="16">
        <f t="shared" si="76"/>
        <v>-0.0724167086194311</v>
      </c>
      <c r="V80" s="16">
        <f t="shared" si="76"/>
        <v>-0.0135976486683559</v>
      </c>
      <c r="W80" s="16">
        <f t="shared" si="76"/>
        <v>-0.108612706577281</v>
      </c>
      <c r="X80" s="16">
        <f t="shared" si="76"/>
        <v>0.0540692413205371</v>
      </c>
      <c r="Y80" s="16">
        <f t="shared" si="76"/>
        <v>-0.0608580783672967</v>
      </c>
      <c r="Z80" s="16">
        <f t="shared" si="76"/>
        <v>-0.0900472355806976</v>
      </c>
      <c r="AA80" s="16">
        <f t="shared" si="76"/>
        <v>-0.0121662806783175</v>
      </c>
      <c r="AB80" s="16">
        <f t="shared" si="76"/>
        <v>-0.0563244759587534</v>
      </c>
      <c r="AC80" s="16">
        <f t="shared" si="76"/>
        <v>-0.0606678884607626</v>
      </c>
      <c r="AD80" s="16">
        <f t="shared" si="76"/>
        <v>-0.0131371213350067</v>
      </c>
      <c r="AE80" s="16">
        <f t="shared" si="76"/>
        <v>0.0458394221948993</v>
      </c>
      <c r="AF80" s="16">
        <f t="shared" si="76"/>
        <v>-0.0141071170360723</v>
      </c>
      <c r="AG80" s="16">
        <f t="shared" si="76"/>
        <v>-0.0896357795279917</v>
      </c>
      <c r="AH80" s="16">
        <f t="shared" si="76"/>
        <v>0.0918685164984891</v>
      </c>
      <c r="AI80" s="16">
        <f t="shared" si="76"/>
        <v>0.00952635592682931</v>
      </c>
      <c r="AJ80" s="16">
        <f t="shared" si="76"/>
        <v>0.00699147511332803</v>
      </c>
      <c r="AK80" s="16">
        <f t="shared" si="76"/>
        <v>-0.0351304463903515</v>
      </c>
      <c r="AL80" s="16">
        <f t="shared" si="76"/>
        <v>0.0271633434540445</v>
      </c>
      <c r="AM80" s="16">
        <f t="shared" si="76"/>
        <v>-0.0155804768111254</v>
      </c>
      <c r="AN80" s="16">
        <f t="shared" si="76"/>
        <v>0.0236079944941944</v>
      </c>
      <c r="AO80" s="16">
        <f t="shared" si="76"/>
        <v>-0.00635005202008962</v>
      </c>
      <c r="AP80" s="16">
        <f t="shared" si="76"/>
        <v>-0.00659020952488064</v>
      </c>
      <c r="AQ80" s="16">
        <f t="shared" si="76"/>
        <v>-0.0487904024844256</v>
      </c>
      <c r="AR80" s="16">
        <f t="shared" si="76"/>
        <v>-0.126279729229202</v>
      </c>
      <c r="AS80" s="16">
        <f t="shared" si="76"/>
        <v>0.110129654850034</v>
      </c>
      <c r="AT80" s="16">
        <f t="shared" ref="AT80:BY80" si="77">LN(AT18/AT17)</f>
        <v>-0.0190082892587356</v>
      </c>
      <c r="AU80" s="16">
        <f t="shared" si="77"/>
        <v>0.0354352072336659</v>
      </c>
      <c r="AV80" s="16">
        <f t="shared" si="77"/>
        <v>-0.068340595975523</v>
      </c>
      <c r="AW80" s="16">
        <f t="shared" si="77"/>
        <v>-0.0245383406004973</v>
      </c>
      <c r="AX80" s="16">
        <f t="shared" si="77"/>
        <v>0.116765719526893</v>
      </c>
      <c r="AY80" s="16">
        <f t="shared" si="77"/>
        <v>0.061891910730953</v>
      </c>
      <c r="AZ80" s="16">
        <f t="shared" si="77"/>
        <v>0.020334381555645</v>
      </c>
      <c r="BA80" s="16">
        <f t="shared" si="77"/>
        <v>0.0783930329678812</v>
      </c>
      <c r="BB80" s="16">
        <f t="shared" si="77"/>
        <v>-0.060584781438579</v>
      </c>
      <c r="BC80" s="16">
        <f t="shared" si="77"/>
        <v>0.00618800651606758</v>
      </c>
      <c r="BD80" s="16">
        <f t="shared" si="77"/>
        <v>0.0102083657115744</v>
      </c>
      <c r="BE80" s="16">
        <f t="shared" si="77"/>
        <v>0.00299737504467809</v>
      </c>
      <c r="BF80" s="16">
        <f t="shared" si="77"/>
        <v>-0.0492697587580304</v>
      </c>
      <c r="BG80" s="16">
        <f t="shared" si="77"/>
        <v>0.0415536912832074</v>
      </c>
      <c r="BH80" s="16">
        <f t="shared" si="77"/>
        <v>0.0546638384787351</v>
      </c>
      <c r="BI80" s="16">
        <f t="shared" si="77"/>
        <v>0.299472630978954</v>
      </c>
      <c r="BJ80" s="16">
        <f t="shared" si="77"/>
        <v>-0.0748881053338859</v>
      </c>
      <c r="BK80" s="16">
        <f t="shared" si="77"/>
        <v>-0.0815337064868975</v>
      </c>
      <c r="BL80" s="16">
        <f t="shared" si="77"/>
        <v>0.00509180307415779</v>
      </c>
      <c r="BM80" s="16">
        <f t="shared" si="77"/>
        <v>-0.0325344432567357</v>
      </c>
      <c r="BN80" s="16">
        <f t="shared" si="77"/>
        <v>-0.0175975979160702</v>
      </c>
      <c r="BO80" s="16">
        <f t="shared" si="77"/>
        <v>-0.0973181069517152</v>
      </c>
      <c r="BP80" s="16">
        <f t="shared" si="77"/>
        <v>-0.0525384924303037</v>
      </c>
      <c r="BQ80" s="16">
        <f t="shared" si="77"/>
        <v>0.0427014310824062</v>
      </c>
      <c r="BR80" s="16">
        <f t="shared" si="77"/>
        <v>-0.0560079574631633</v>
      </c>
      <c r="BS80" s="16">
        <f t="shared" si="77"/>
        <v>0.0618479982014807</v>
      </c>
      <c r="BT80" s="16">
        <f t="shared" si="77"/>
        <v>-0.0678864323828441</v>
      </c>
      <c r="BU80" s="16">
        <f t="shared" si="77"/>
        <v>-0.0386865356302599</v>
      </c>
      <c r="BV80" s="16">
        <f t="shared" si="77"/>
        <v>0.0253170570700383</v>
      </c>
      <c r="BW80" s="16">
        <f t="shared" si="77"/>
        <v>-0.0152890410192958</v>
      </c>
      <c r="BX80" s="16">
        <f t="shared" si="77"/>
        <v>-0.160707490354619</v>
      </c>
      <c r="BY80" s="16">
        <f t="shared" si="77"/>
        <v>-0.0236994597420374</v>
      </c>
      <c r="BZ80" s="16">
        <f t="shared" ref="BZ80:DE80" si="78">LN(BZ18/BZ17)</f>
        <v>-0.0873448109038745</v>
      </c>
      <c r="CA80" s="16">
        <f t="shared" si="78"/>
        <v>-0.0963192481299969</v>
      </c>
      <c r="CB80" s="16">
        <f t="shared" si="78"/>
        <v>-0.091965744429071</v>
      </c>
      <c r="CC80" s="16">
        <f t="shared" si="78"/>
        <v>-0.0349214314549428</v>
      </c>
      <c r="CD80" s="16">
        <f t="shared" si="78"/>
        <v>-0.090187758651021</v>
      </c>
      <c r="CE80" s="16">
        <f t="shared" si="78"/>
        <v>-0.0595311164168101</v>
      </c>
      <c r="CF80" s="16">
        <f t="shared" si="78"/>
        <v>-0.0664909719224165</v>
      </c>
      <c r="CG80" s="16">
        <f t="shared" si="78"/>
        <v>0.0254589487011007</v>
      </c>
      <c r="CH80" s="16">
        <f t="shared" si="78"/>
        <v>-0.0113254401879598</v>
      </c>
      <c r="CI80" s="16">
        <f t="shared" si="78"/>
        <v>-0.0383208388196715</v>
      </c>
      <c r="CJ80" s="16">
        <f t="shared" si="78"/>
        <v>-0.0684564320593383</v>
      </c>
      <c r="CK80" s="16">
        <f t="shared" si="78"/>
        <v>-0.156257879249944</v>
      </c>
      <c r="CL80" s="16">
        <f t="shared" si="78"/>
        <v>-0.0466195889265525</v>
      </c>
      <c r="CM80" s="16">
        <f t="shared" si="78"/>
        <v>-0.0506848360037554</v>
      </c>
      <c r="CN80" s="16">
        <f t="shared" si="78"/>
        <v>-0.0284436502617892</v>
      </c>
      <c r="CO80" s="16">
        <f t="shared" si="78"/>
        <v>-0.0184648514756488</v>
      </c>
      <c r="CP80" s="16">
        <f t="shared" si="78"/>
        <v>0.00693616435924893</v>
      </c>
      <c r="CQ80" s="16">
        <f t="shared" si="78"/>
        <v>-0.087378632783188</v>
      </c>
      <c r="CR80" s="16">
        <f t="shared" si="78"/>
        <v>-0.0707891668857458</v>
      </c>
      <c r="CS80" s="16">
        <f t="shared" si="78"/>
        <v>-0.0287761785729802</v>
      </c>
      <c r="CT80" s="16">
        <f t="shared" si="78"/>
        <v>0.0384662808277959</v>
      </c>
      <c r="CU80" s="16">
        <f t="shared" si="78"/>
        <v>-0.0971123068013305</v>
      </c>
      <c r="CV80" s="16">
        <f t="shared" si="78"/>
        <v>-0.198377973042955</v>
      </c>
      <c r="CW80" s="16">
        <f t="shared" si="78"/>
        <v>-0.0631779796113863</v>
      </c>
      <c r="CX80" s="16">
        <f t="shared" si="78"/>
        <v>-0.262364264467491</v>
      </c>
      <c r="CY80" s="16">
        <f t="shared" si="78"/>
        <v>-0.256334140754861</v>
      </c>
      <c r="CZ80" s="16">
        <f t="shared" si="78"/>
        <v>-0.0693708718694528</v>
      </c>
      <c r="DA80" s="16">
        <f t="shared" si="78"/>
        <v>-0.0989125509699277</v>
      </c>
      <c r="DB80" s="16">
        <f t="shared" si="78"/>
        <v>-0.168480505382083</v>
      </c>
      <c r="DC80" s="16">
        <f t="shared" si="78"/>
        <v>-0.0714068162748193</v>
      </c>
      <c r="DD80" s="16">
        <f t="shared" si="78"/>
        <v>0.105360341899715</v>
      </c>
      <c r="DE80" s="16">
        <f t="shared" si="78"/>
        <v>-0.0527859525950679</v>
      </c>
      <c r="DF80" s="16">
        <f t="shared" ref="DF80:DU80" si="79">LN(DF18/DF17)</f>
        <v>-0.0960388531306903</v>
      </c>
      <c r="DG80" s="16">
        <f t="shared" si="79"/>
        <v>-0.0434851119397389</v>
      </c>
      <c r="DH80" s="16">
        <f t="shared" si="79"/>
        <v>0.00949453288808049</v>
      </c>
      <c r="DI80" s="16">
        <f t="shared" si="79"/>
        <v>-0.14204409234394</v>
      </c>
      <c r="DJ80" s="16">
        <f t="shared" si="79"/>
        <v>-0.113325841733408</v>
      </c>
      <c r="DK80" s="16">
        <f t="shared" si="79"/>
        <v>-0.0796036369756771</v>
      </c>
      <c r="DL80" s="16">
        <f t="shared" si="79"/>
        <v>-0.0718436228456951</v>
      </c>
      <c r="DM80" s="16">
        <f t="shared" si="79"/>
        <v>-0.124208548636021</v>
      </c>
      <c r="DN80" s="16">
        <f t="shared" si="79"/>
        <v>-0.106218905629347</v>
      </c>
      <c r="DO80" s="16">
        <f t="shared" si="79"/>
        <v>-0.133512382305673</v>
      </c>
      <c r="DP80" s="16">
        <f t="shared" si="79"/>
        <v>-0.299270770320527</v>
      </c>
      <c r="DQ80" s="16">
        <f t="shared" si="79"/>
        <v>-0.00687583284746609</v>
      </c>
      <c r="DR80" s="16">
        <f t="shared" si="79"/>
        <v>-0.114187852309159</v>
      </c>
      <c r="DS80" s="16">
        <f t="shared" si="79"/>
        <v>-0.19704852562827</v>
      </c>
      <c r="DT80" s="16">
        <f t="shared" si="79"/>
        <v>-0.118938758029569</v>
      </c>
      <c r="DU80" s="16">
        <f t="shared" si="79"/>
        <v>-0.0443157184340532</v>
      </c>
      <c r="DV80" s="16">
        <f t="shared" si="13"/>
        <v>-0.267639205471581</v>
      </c>
      <c r="DW80" s="16">
        <f t="shared" si="14"/>
        <v>-0.032266877159799</v>
      </c>
      <c r="DX80" s="16">
        <f t="shared" si="14"/>
        <v>0.0386570896462038</v>
      </c>
      <c r="DY80" s="16">
        <f t="shared" si="14"/>
        <v>-0.0388918982319917</v>
      </c>
      <c r="DZ80" s="16">
        <f t="shared" si="14"/>
        <v>-0.0090394880912034</v>
      </c>
    </row>
    <row r="81" ht="14" spans="1:130">
      <c r="A81" s="32">
        <v>43160</v>
      </c>
      <c r="B81" s="16">
        <f t="shared" si="6"/>
        <v>-0.00702673868992653</v>
      </c>
      <c r="C81" s="16">
        <f t="shared" si="6"/>
        <v>-0.0136203023893097</v>
      </c>
      <c r="D81" s="16">
        <f t="shared" si="7"/>
        <v>0.0119490309554896</v>
      </c>
      <c r="E81" s="16">
        <f t="shared" si="7"/>
        <v>-0.2019375623502</v>
      </c>
      <c r="F81" s="16">
        <f t="shared" si="7"/>
        <v>0.00460024756381498</v>
      </c>
      <c r="G81" s="16">
        <f t="shared" si="7"/>
        <v>-0.0675363764632492</v>
      </c>
      <c r="H81" s="16">
        <f t="shared" si="7"/>
        <v>-0.0455850943736685</v>
      </c>
      <c r="I81" s="16">
        <f t="shared" ref="I81:M81" si="80">LN(I19/I18)</f>
        <v>-0.0102154353059785</v>
      </c>
      <c r="J81" s="16">
        <f t="shared" si="80"/>
        <v>0.0361765399166571</v>
      </c>
      <c r="K81" s="16">
        <f t="shared" si="80"/>
        <v>0.0219754234359204</v>
      </c>
      <c r="L81" s="16">
        <f t="shared" si="80"/>
        <v>0.278376350323863</v>
      </c>
      <c r="M81" s="16">
        <f t="shared" si="80"/>
        <v>-0.0249476993602218</v>
      </c>
      <c r="N81" s="16">
        <f t="shared" ref="N81:AS81" si="81">LN(N19/N18)</f>
        <v>-0.00223987061676546</v>
      </c>
      <c r="O81" s="16">
        <f t="shared" si="81"/>
        <v>-0.0691818292809505</v>
      </c>
      <c r="P81" s="16">
        <f t="shared" si="81"/>
        <v>-0.0552670573395623</v>
      </c>
      <c r="Q81" s="16">
        <f t="shared" si="81"/>
        <v>-0.0850134705883455</v>
      </c>
      <c r="R81" s="16">
        <f t="shared" si="81"/>
        <v>-0.0689383146510515</v>
      </c>
      <c r="S81" s="16">
        <f t="shared" si="81"/>
        <v>0.071992570442838</v>
      </c>
      <c r="T81" s="16">
        <f t="shared" si="81"/>
        <v>-0.00681922144695515</v>
      </c>
      <c r="U81" s="16">
        <f t="shared" si="81"/>
        <v>0.00412225329348904</v>
      </c>
      <c r="V81" s="16">
        <f t="shared" si="81"/>
        <v>-0.00767588220985557</v>
      </c>
      <c r="W81" s="16">
        <f t="shared" si="81"/>
        <v>-0.0166650397060769</v>
      </c>
      <c r="X81" s="16">
        <f t="shared" si="81"/>
        <v>0.0322471827108112</v>
      </c>
      <c r="Y81" s="16">
        <f t="shared" si="81"/>
        <v>0.0208621482013805</v>
      </c>
      <c r="Z81" s="16">
        <f t="shared" si="81"/>
        <v>-0.0242534777097441</v>
      </c>
      <c r="AA81" s="16">
        <f t="shared" si="81"/>
        <v>-0.0324592408198185</v>
      </c>
      <c r="AB81" s="16">
        <f t="shared" si="81"/>
        <v>0.0367261945516064</v>
      </c>
      <c r="AC81" s="16">
        <f t="shared" si="81"/>
        <v>-0.0414120775440933</v>
      </c>
      <c r="AD81" s="16">
        <f t="shared" si="81"/>
        <v>-0.0223365042251695</v>
      </c>
      <c r="AE81" s="16">
        <f t="shared" si="81"/>
        <v>0.0326926413179432</v>
      </c>
      <c r="AF81" s="16">
        <f t="shared" si="81"/>
        <v>-0.102142116244387</v>
      </c>
      <c r="AG81" s="16">
        <f t="shared" si="81"/>
        <v>-0.0170333461287522</v>
      </c>
      <c r="AH81" s="16">
        <f t="shared" si="81"/>
        <v>0.0597967637642917</v>
      </c>
      <c r="AI81" s="16">
        <f t="shared" si="81"/>
        <v>0.0216565715098586</v>
      </c>
      <c r="AJ81" s="16">
        <f t="shared" si="81"/>
        <v>0.0508633175848463</v>
      </c>
      <c r="AK81" s="16">
        <f t="shared" si="81"/>
        <v>-0.0140986356063026</v>
      </c>
      <c r="AL81" s="16">
        <f t="shared" si="81"/>
        <v>-0.0266791656821786</v>
      </c>
      <c r="AM81" s="16">
        <f t="shared" si="81"/>
        <v>-0.0433478692392176</v>
      </c>
      <c r="AN81" s="16">
        <f t="shared" si="81"/>
        <v>0.0618212320755454</v>
      </c>
      <c r="AO81" s="16">
        <f t="shared" si="81"/>
        <v>-0.0448517827305757</v>
      </c>
      <c r="AP81" s="16">
        <f t="shared" si="81"/>
        <v>-0.0420341686541068</v>
      </c>
      <c r="AQ81" s="16">
        <f t="shared" si="81"/>
        <v>-0.15108095169209</v>
      </c>
      <c r="AR81" s="16">
        <f t="shared" si="81"/>
        <v>-0.186458923059916</v>
      </c>
      <c r="AS81" s="16">
        <f t="shared" si="81"/>
        <v>0.0659971617762212</v>
      </c>
      <c r="AT81" s="16">
        <f t="shared" ref="AT81:BY81" si="82">LN(AT19/AT18)</f>
        <v>0.0108118841007766</v>
      </c>
      <c r="AU81" s="16">
        <f t="shared" si="82"/>
        <v>-0.0634161456394336</v>
      </c>
      <c r="AV81" s="16">
        <f t="shared" si="82"/>
        <v>0.0313195687636826</v>
      </c>
      <c r="AW81" s="16">
        <f t="shared" si="82"/>
        <v>0.0190388426497773</v>
      </c>
      <c r="AX81" s="16">
        <f t="shared" si="82"/>
        <v>-0.0828605569733314</v>
      </c>
      <c r="AY81" s="16">
        <f t="shared" si="82"/>
        <v>-0.0557348163690902</v>
      </c>
      <c r="AZ81" s="16">
        <f t="shared" si="82"/>
        <v>0.000430015057153101</v>
      </c>
      <c r="BA81" s="16">
        <f t="shared" si="82"/>
        <v>0.0272025595107739</v>
      </c>
      <c r="BB81" s="16">
        <f t="shared" si="82"/>
        <v>-0.0052468749785648</v>
      </c>
      <c r="BC81" s="16">
        <f t="shared" si="82"/>
        <v>0.108355388384089</v>
      </c>
      <c r="BD81" s="16">
        <f t="shared" si="82"/>
        <v>0.0102527069671987</v>
      </c>
      <c r="BE81" s="16">
        <f t="shared" si="82"/>
        <v>-0.0649095348804844</v>
      </c>
      <c r="BF81" s="16">
        <f t="shared" si="82"/>
        <v>-0.0057234608720208</v>
      </c>
      <c r="BG81" s="16">
        <f t="shared" si="82"/>
        <v>-0.0440034635755442</v>
      </c>
      <c r="BH81" s="16">
        <f t="shared" si="82"/>
        <v>-0.0630775561407558</v>
      </c>
      <c r="BI81" s="16">
        <f t="shared" si="82"/>
        <v>0.103145500117282</v>
      </c>
      <c r="BJ81" s="16">
        <f t="shared" si="82"/>
        <v>-0.0795768189936266</v>
      </c>
      <c r="BK81" s="16">
        <f t="shared" si="82"/>
        <v>-0.00235291937129929</v>
      </c>
      <c r="BL81" s="16">
        <f t="shared" si="82"/>
        <v>0.0191496928306254</v>
      </c>
      <c r="BM81" s="16">
        <f t="shared" si="82"/>
        <v>-0.0782636656614479</v>
      </c>
      <c r="BN81" s="16">
        <f t="shared" si="82"/>
        <v>-0.00884102619380147</v>
      </c>
      <c r="BO81" s="16">
        <f t="shared" si="82"/>
        <v>-0.0223580774075534</v>
      </c>
      <c r="BP81" s="16">
        <f t="shared" si="82"/>
        <v>-0.0560730973498</v>
      </c>
      <c r="BQ81" s="16">
        <f t="shared" si="82"/>
        <v>-0.00352342831353942</v>
      </c>
      <c r="BR81" s="16">
        <f t="shared" si="82"/>
        <v>-0.0142235784696546</v>
      </c>
      <c r="BS81" s="16">
        <f t="shared" si="82"/>
        <v>0.0225314130209147</v>
      </c>
      <c r="BT81" s="16">
        <f t="shared" si="82"/>
        <v>-0.0135892594791101</v>
      </c>
      <c r="BU81" s="16">
        <f t="shared" si="82"/>
        <v>0.0496719086521181</v>
      </c>
      <c r="BV81" s="16">
        <f t="shared" si="82"/>
        <v>0.0489162638857885</v>
      </c>
      <c r="BW81" s="16">
        <f t="shared" si="82"/>
        <v>-0.242835390015866</v>
      </c>
      <c r="BX81" s="16">
        <f t="shared" si="82"/>
        <v>-0.02574535406516</v>
      </c>
      <c r="BY81" s="16">
        <f t="shared" si="82"/>
        <v>0.0369464689433592</v>
      </c>
      <c r="BZ81" s="16">
        <f t="shared" ref="BZ81:DE81" si="83">LN(BZ19/BZ18)</f>
        <v>0.00963217098598115</v>
      </c>
      <c r="CA81" s="16">
        <f t="shared" si="83"/>
        <v>0.00484679484159668</v>
      </c>
      <c r="CB81" s="16">
        <f t="shared" si="83"/>
        <v>-0.00529995205928626</v>
      </c>
      <c r="CC81" s="16">
        <f t="shared" si="83"/>
        <v>-0.040902710248758</v>
      </c>
      <c r="CD81" s="16">
        <f t="shared" si="83"/>
        <v>0.082325663470695</v>
      </c>
      <c r="CE81" s="16">
        <f t="shared" si="83"/>
        <v>0.00873403935168858</v>
      </c>
      <c r="CF81" s="16">
        <f t="shared" si="83"/>
        <v>0.0347992378598308</v>
      </c>
      <c r="CG81" s="16">
        <f t="shared" si="83"/>
        <v>0.08098500477782</v>
      </c>
      <c r="CH81" s="16">
        <f t="shared" si="83"/>
        <v>-0.050693645673831</v>
      </c>
      <c r="CI81" s="16">
        <f t="shared" si="83"/>
        <v>-0.023880249623544</v>
      </c>
      <c r="CJ81" s="16">
        <f t="shared" si="83"/>
        <v>0.0385397633418732</v>
      </c>
      <c r="CK81" s="16">
        <f t="shared" si="83"/>
        <v>-0.0736376579618962</v>
      </c>
      <c r="CL81" s="16">
        <f t="shared" si="83"/>
        <v>0.00518336097233265</v>
      </c>
      <c r="CM81" s="16">
        <f t="shared" si="83"/>
        <v>0.0557199183089152</v>
      </c>
      <c r="CN81" s="16">
        <f t="shared" si="83"/>
        <v>-0.0181394298120057</v>
      </c>
      <c r="CO81" s="16">
        <f t="shared" si="83"/>
        <v>-0.00365905715995158</v>
      </c>
      <c r="CP81" s="16">
        <f t="shared" si="83"/>
        <v>0.0279988024148564</v>
      </c>
      <c r="CQ81" s="16">
        <f t="shared" si="83"/>
        <v>0.030743806205416</v>
      </c>
      <c r="CR81" s="16">
        <f t="shared" si="83"/>
        <v>0.00602141266549317</v>
      </c>
      <c r="CS81" s="16">
        <f t="shared" si="83"/>
        <v>9.37900320454111e-5</v>
      </c>
      <c r="CT81" s="16">
        <f t="shared" si="83"/>
        <v>-0.0187429912448398</v>
      </c>
      <c r="CU81" s="16">
        <f t="shared" si="83"/>
        <v>-0.0236911301144132</v>
      </c>
      <c r="CV81" s="16">
        <f t="shared" si="83"/>
        <v>0.010828838242841</v>
      </c>
      <c r="CW81" s="16">
        <f t="shared" si="83"/>
        <v>-0.0258997020445048</v>
      </c>
      <c r="CX81" s="16">
        <f t="shared" si="83"/>
        <v>0.0449216873915117</v>
      </c>
      <c r="CY81" s="16">
        <f t="shared" si="83"/>
        <v>0.0139309715652074</v>
      </c>
      <c r="CZ81" s="16">
        <f t="shared" si="83"/>
        <v>0.0764007777977109</v>
      </c>
      <c r="DA81" s="16">
        <f t="shared" si="83"/>
        <v>0.0425596144187959</v>
      </c>
      <c r="DB81" s="16">
        <f t="shared" si="83"/>
        <v>0.480260129412925</v>
      </c>
      <c r="DC81" s="16">
        <f t="shared" si="83"/>
        <v>-0.0299702998055185</v>
      </c>
      <c r="DD81" s="16">
        <f t="shared" si="83"/>
        <v>-0.0186920149877716</v>
      </c>
      <c r="DE81" s="16">
        <f t="shared" si="83"/>
        <v>0.056330377921192</v>
      </c>
      <c r="DF81" s="16">
        <f t="shared" ref="DF81:DU81" si="84">LN(DF19/DF18)</f>
        <v>-0.0421114853501268</v>
      </c>
      <c r="DG81" s="16">
        <f t="shared" si="84"/>
        <v>-0.00171086440362943</v>
      </c>
      <c r="DH81" s="16">
        <f t="shared" si="84"/>
        <v>-0.00982931695548602</v>
      </c>
      <c r="DI81" s="16">
        <f t="shared" si="84"/>
        <v>-0.00485826285202993</v>
      </c>
      <c r="DJ81" s="16">
        <f t="shared" si="84"/>
        <v>0.0286703231596294</v>
      </c>
      <c r="DK81" s="16">
        <f t="shared" si="84"/>
        <v>0.0930997055869468</v>
      </c>
      <c r="DL81" s="16">
        <f t="shared" si="84"/>
        <v>0.00906390695994735</v>
      </c>
      <c r="DM81" s="16">
        <f t="shared" si="84"/>
        <v>0.0372582625546556</v>
      </c>
      <c r="DN81" s="16">
        <f t="shared" si="84"/>
        <v>0.108394353715151</v>
      </c>
      <c r="DO81" s="16">
        <f t="shared" si="84"/>
        <v>-0.00980392223851703</v>
      </c>
      <c r="DP81" s="16">
        <f t="shared" si="84"/>
        <v>0.0358667072916483</v>
      </c>
      <c r="DQ81" s="16">
        <f t="shared" si="84"/>
        <v>0.014970697260104</v>
      </c>
      <c r="DR81" s="16">
        <f t="shared" si="84"/>
        <v>-0.0061558468024747</v>
      </c>
      <c r="DS81" s="16">
        <f t="shared" si="84"/>
        <v>0.0561547833146301</v>
      </c>
      <c r="DT81" s="16">
        <f t="shared" si="84"/>
        <v>0.0216239611745159</v>
      </c>
      <c r="DU81" s="16">
        <f t="shared" si="84"/>
        <v>0.0478536578978958</v>
      </c>
      <c r="DV81" s="16">
        <f t="shared" si="13"/>
        <v>0.119376150597463</v>
      </c>
      <c r="DW81" s="16">
        <f t="shared" si="14"/>
        <v>-0.253920447781074</v>
      </c>
      <c r="DX81" s="16">
        <f t="shared" si="14"/>
        <v>-0.0301578285888577</v>
      </c>
      <c r="DY81" s="16">
        <f t="shared" si="14"/>
        <v>0.0247944803696897</v>
      </c>
      <c r="DZ81" s="16">
        <f t="shared" si="14"/>
        <v>0.0433447319745585</v>
      </c>
    </row>
    <row r="82" ht="14" spans="1:130">
      <c r="A82" s="32">
        <v>43191</v>
      </c>
      <c r="B82" s="16">
        <f t="shared" si="6"/>
        <v>-0.0130387723374617</v>
      </c>
      <c r="C82" s="16">
        <f t="shared" si="6"/>
        <v>0.0310703982669585</v>
      </c>
      <c r="D82" s="16">
        <f t="shared" si="7"/>
        <v>0.0467138046190814</v>
      </c>
      <c r="E82" s="16">
        <f t="shared" si="7"/>
        <v>0.019875118773248</v>
      </c>
      <c r="F82" s="16">
        <f t="shared" si="7"/>
        <v>0.0863883801721581</v>
      </c>
      <c r="G82" s="16">
        <f t="shared" si="7"/>
        <v>0.023192132913167</v>
      </c>
      <c r="H82" s="16">
        <f t="shared" si="7"/>
        <v>-0.193354633527168</v>
      </c>
      <c r="I82" s="16">
        <f t="shared" ref="I82:M82" si="85">LN(I20/I19)</f>
        <v>0.0194564932214493</v>
      </c>
      <c r="J82" s="16">
        <f t="shared" si="85"/>
        <v>0.0188965505462496</v>
      </c>
      <c r="K82" s="16">
        <f t="shared" si="85"/>
        <v>0.0160675168050324</v>
      </c>
      <c r="L82" s="16">
        <f t="shared" si="85"/>
        <v>-0.0133027616665389</v>
      </c>
      <c r="M82" s="16">
        <f t="shared" si="85"/>
        <v>-0.017491565867577</v>
      </c>
      <c r="N82" s="16">
        <f t="shared" ref="N82:AS82" si="86">LN(N20/N19)</f>
        <v>-0.0242442369255817</v>
      </c>
      <c r="O82" s="16">
        <f t="shared" si="86"/>
        <v>-0.0266104374333388</v>
      </c>
      <c r="P82" s="16">
        <f t="shared" si="86"/>
        <v>0.10285485193476</v>
      </c>
      <c r="Q82" s="16">
        <f t="shared" si="86"/>
        <v>0.115547906902458</v>
      </c>
      <c r="R82" s="16">
        <f t="shared" si="86"/>
        <v>0.0747666951452603</v>
      </c>
      <c r="S82" s="16">
        <f t="shared" si="86"/>
        <v>-0.125713106368191</v>
      </c>
      <c r="T82" s="16">
        <f t="shared" si="86"/>
        <v>-0.0303284911403707</v>
      </c>
      <c r="U82" s="16">
        <f t="shared" si="86"/>
        <v>0.00464116877284854</v>
      </c>
      <c r="V82" s="16">
        <f t="shared" si="86"/>
        <v>0.0544420384694436</v>
      </c>
      <c r="W82" s="16">
        <f t="shared" si="86"/>
        <v>0.00121698931899957</v>
      </c>
      <c r="X82" s="16">
        <f t="shared" si="86"/>
        <v>-0.000359225182784533</v>
      </c>
      <c r="Y82" s="16">
        <f t="shared" si="86"/>
        <v>-0.0603208820952428</v>
      </c>
      <c r="Z82" s="16">
        <f t="shared" si="86"/>
        <v>0.0710919937543195</v>
      </c>
      <c r="AA82" s="16">
        <f t="shared" si="86"/>
        <v>0.0655099988132455</v>
      </c>
      <c r="AB82" s="16">
        <f t="shared" si="86"/>
        <v>-0.0396715712354856</v>
      </c>
      <c r="AC82" s="16">
        <f t="shared" si="86"/>
        <v>0.0686871276790105</v>
      </c>
      <c r="AD82" s="16">
        <f t="shared" si="86"/>
        <v>0.0243531689574247</v>
      </c>
      <c r="AE82" s="16">
        <f t="shared" si="86"/>
        <v>0.0252252453887686</v>
      </c>
      <c r="AF82" s="16">
        <f t="shared" si="86"/>
        <v>-0.00175052668896918</v>
      </c>
      <c r="AG82" s="16">
        <f t="shared" si="86"/>
        <v>0.0269053266424303</v>
      </c>
      <c r="AH82" s="16">
        <f t="shared" si="86"/>
        <v>0.0326814471929515</v>
      </c>
      <c r="AI82" s="16">
        <f t="shared" si="86"/>
        <v>-0.00966191091173686</v>
      </c>
      <c r="AJ82" s="16">
        <f t="shared" si="86"/>
        <v>0.00939500705583045</v>
      </c>
      <c r="AK82" s="16">
        <f t="shared" si="86"/>
        <v>0.07236610757733</v>
      </c>
      <c r="AL82" s="16">
        <f t="shared" si="86"/>
        <v>0.120261732042126</v>
      </c>
      <c r="AM82" s="16">
        <f t="shared" si="86"/>
        <v>-0.0293125915928641</v>
      </c>
      <c r="AN82" s="16">
        <f t="shared" si="86"/>
        <v>-0.00887182841808007</v>
      </c>
      <c r="AO82" s="16">
        <f t="shared" si="86"/>
        <v>-0.0122467008690984</v>
      </c>
      <c r="AP82" s="16">
        <f t="shared" si="86"/>
        <v>-0.0239634864888764</v>
      </c>
      <c r="AQ82" s="16">
        <f t="shared" si="86"/>
        <v>-0.0827384011751</v>
      </c>
      <c r="AR82" s="16">
        <f t="shared" si="86"/>
        <v>0.0793536069227118</v>
      </c>
      <c r="AS82" s="16">
        <f t="shared" si="86"/>
        <v>-0.125725856088316</v>
      </c>
      <c r="AT82" s="16">
        <f t="shared" ref="AT82:BY82" si="87">LN(AT20/AT19)</f>
        <v>-0.0371747593103306</v>
      </c>
      <c r="AU82" s="16">
        <f t="shared" si="87"/>
        <v>-0.109165960135291</v>
      </c>
      <c r="AV82" s="16">
        <f t="shared" si="87"/>
        <v>-0.0880466194740117</v>
      </c>
      <c r="AW82" s="16">
        <f t="shared" si="87"/>
        <v>-0.117367853512834</v>
      </c>
      <c r="AX82" s="16">
        <f t="shared" si="87"/>
        <v>-0.144621361086605</v>
      </c>
      <c r="AY82" s="16">
        <f t="shared" si="87"/>
        <v>-0.0151337730398553</v>
      </c>
      <c r="AZ82" s="16">
        <f t="shared" si="87"/>
        <v>0.0395348380287677</v>
      </c>
      <c r="BA82" s="16">
        <f t="shared" si="87"/>
        <v>0.00416177204330435</v>
      </c>
      <c r="BB82" s="16">
        <f t="shared" si="87"/>
        <v>0.0039536728269042</v>
      </c>
      <c r="BC82" s="16">
        <f t="shared" si="87"/>
        <v>-0.0136448739457819</v>
      </c>
      <c r="BD82" s="16">
        <f t="shared" si="87"/>
        <v>-0.0976221768506395</v>
      </c>
      <c r="BE82" s="16">
        <f t="shared" si="87"/>
        <v>-0.0139613220593077</v>
      </c>
      <c r="BF82" s="16">
        <f t="shared" si="87"/>
        <v>-0.0567861860386795</v>
      </c>
      <c r="BG82" s="16">
        <f t="shared" si="87"/>
        <v>0.0788802192220145</v>
      </c>
      <c r="BH82" s="16">
        <f t="shared" si="87"/>
        <v>-0.0604383553088456</v>
      </c>
      <c r="BI82" s="16">
        <f t="shared" si="87"/>
        <v>0.0648503043171675</v>
      </c>
      <c r="BJ82" s="16">
        <f t="shared" si="87"/>
        <v>0.0210671053309912</v>
      </c>
      <c r="BK82" s="16">
        <f t="shared" si="87"/>
        <v>0.0683365973120034</v>
      </c>
      <c r="BL82" s="16">
        <f t="shared" si="87"/>
        <v>-0.00554290415087984</v>
      </c>
      <c r="BM82" s="16">
        <f t="shared" si="87"/>
        <v>0.0855050077170777</v>
      </c>
      <c r="BN82" s="16">
        <f t="shared" si="87"/>
        <v>0.031947613847625</v>
      </c>
      <c r="BO82" s="16">
        <f t="shared" si="87"/>
        <v>0.0418296554145565</v>
      </c>
      <c r="BP82" s="16">
        <f t="shared" si="87"/>
        <v>0.0314385819471813</v>
      </c>
      <c r="BQ82" s="16">
        <f t="shared" si="87"/>
        <v>0.00952385571703586</v>
      </c>
      <c r="BR82" s="16">
        <f t="shared" si="87"/>
        <v>0.0092590687261415</v>
      </c>
      <c r="BS82" s="16">
        <f t="shared" si="87"/>
        <v>0.0458516483734702</v>
      </c>
      <c r="BT82" s="16">
        <f t="shared" si="87"/>
        <v>-0.039184167882952</v>
      </c>
      <c r="BU82" s="16">
        <f t="shared" si="87"/>
        <v>0.0228772457133088</v>
      </c>
      <c r="BV82" s="16">
        <f t="shared" si="87"/>
        <v>0.0368147891105156</v>
      </c>
      <c r="BW82" s="16">
        <f t="shared" si="87"/>
        <v>-0.0903237869120315</v>
      </c>
      <c r="BX82" s="16">
        <f t="shared" si="87"/>
        <v>0.0760555397260607</v>
      </c>
      <c r="BY82" s="16">
        <f t="shared" si="87"/>
        <v>-0.0346768013615121</v>
      </c>
      <c r="BZ82" s="16">
        <f t="shared" ref="BZ82:DE82" si="88">LN(BZ20/BZ19)</f>
        <v>-0.0916084555978754</v>
      </c>
      <c r="CA82" s="16">
        <f t="shared" si="88"/>
        <v>0.00371072875550183</v>
      </c>
      <c r="CB82" s="16">
        <f t="shared" si="88"/>
        <v>-0.0708334067229686</v>
      </c>
      <c r="CC82" s="16">
        <f t="shared" si="88"/>
        <v>-0.181704216517674</v>
      </c>
      <c r="CD82" s="16">
        <f t="shared" si="88"/>
        <v>0.00735255094067176</v>
      </c>
      <c r="CE82" s="16">
        <f t="shared" si="88"/>
        <v>0.0471644408807439</v>
      </c>
      <c r="CF82" s="16">
        <f t="shared" si="88"/>
        <v>-0.0939651427261434</v>
      </c>
      <c r="CG82" s="16">
        <f t="shared" si="88"/>
        <v>-0.0109468038815063</v>
      </c>
      <c r="CH82" s="16">
        <f t="shared" si="88"/>
        <v>-0.0495275573028113</v>
      </c>
      <c r="CI82" s="16">
        <f t="shared" si="88"/>
        <v>0.0085378543288353</v>
      </c>
      <c r="CJ82" s="16">
        <f t="shared" si="88"/>
        <v>-0.0942921576161873</v>
      </c>
      <c r="CK82" s="16">
        <f t="shared" si="88"/>
        <v>-0.0903783121546154</v>
      </c>
      <c r="CL82" s="16">
        <f t="shared" si="88"/>
        <v>0.0421288069160489</v>
      </c>
      <c r="CM82" s="16">
        <f t="shared" si="88"/>
        <v>0.0547108665199855</v>
      </c>
      <c r="CN82" s="16">
        <f t="shared" si="88"/>
        <v>-0.0905966661818428</v>
      </c>
      <c r="CO82" s="16">
        <f t="shared" si="88"/>
        <v>-0.00925429898358192</v>
      </c>
      <c r="CP82" s="16">
        <f t="shared" si="88"/>
        <v>-0.0862175021221799</v>
      </c>
      <c r="CQ82" s="16">
        <f t="shared" si="88"/>
        <v>-0.127293576803201</v>
      </c>
      <c r="CR82" s="16">
        <f t="shared" si="88"/>
        <v>-0.0601919788839722</v>
      </c>
      <c r="CS82" s="16">
        <f t="shared" si="88"/>
        <v>0.0810085260068617</v>
      </c>
      <c r="CT82" s="16">
        <f t="shared" si="88"/>
        <v>0.0421272149767214</v>
      </c>
      <c r="CU82" s="16">
        <f t="shared" si="88"/>
        <v>-0.130459549712845</v>
      </c>
      <c r="CV82" s="16">
        <f t="shared" si="88"/>
        <v>0.0810855574685204</v>
      </c>
      <c r="CW82" s="16">
        <f t="shared" si="88"/>
        <v>0.0311818377853979</v>
      </c>
      <c r="CX82" s="16">
        <f t="shared" si="88"/>
        <v>-0.0919566360964852</v>
      </c>
      <c r="CY82" s="16">
        <f t="shared" si="88"/>
        <v>0.0742491112335613</v>
      </c>
      <c r="CZ82" s="16">
        <f t="shared" si="88"/>
        <v>0.034426807750088</v>
      </c>
      <c r="DA82" s="16">
        <f t="shared" si="88"/>
        <v>-0.0109290705321903</v>
      </c>
      <c r="DB82" s="16">
        <f t="shared" si="88"/>
        <v>-0.0297756624887221</v>
      </c>
      <c r="DC82" s="16">
        <f t="shared" si="88"/>
        <v>0.00155864759765654</v>
      </c>
      <c r="DD82" s="16">
        <f t="shared" si="88"/>
        <v>0.139269603751515</v>
      </c>
      <c r="DE82" s="16">
        <f t="shared" si="88"/>
        <v>-0.0924969592136341</v>
      </c>
      <c r="DF82" s="16">
        <f t="shared" ref="DF82:DU82" si="89">LN(DF20/DF19)</f>
        <v>0.0489608271957017</v>
      </c>
      <c r="DG82" s="16">
        <f t="shared" si="89"/>
        <v>-0.00171379647773463</v>
      </c>
      <c r="DH82" s="16">
        <f t="shared" si="89"/>
        <v>-0.0854145520501008</v>
      </c>
      <c r="DI82" s="16">
        <f t="shared" si="89"/>
        <v>0.0412239862720043</v>
      </c>
      <c r="DJ82" s="16">
        <f t="shared" si="89"/>
        <v>0.0926443077095923</v>
      </c>
      <c r="DK82" s="16">
        <f t="shared" si="89"/>
        <v>0.0996096421012129</v>
      </c>
      <c r="DL82" s="16">
        <f t="shared" si="89"/>
        <v>0.160754804547699</v>
      </c>
      <c r="DM82" s="16">
        <f t="shared" si="89"/>
        <v>0.11559614027939</v>
      </c>
      <c r="DN82" s="16">
        <f t="shared" si="89"/>
        <v>0.123658806701454</v>
      </c>
      <c r="DO82" s="16">
        <f t="shared" si="89"/>
        <v>0.185286595476668</v>
      </c>
      <c r="DP82" s="16">
        <f t="shared" si="89"/>
        <v>0.135323279493279</v>
      </c>
      <c r="DQ82" s="16">
        <f t="shared" si="89"/>
        <v>0.0151393828147452</v>
      </c>
      <c r="DR82" s="16">
        <f t="shared" si="89"/>
        <v>0.0567123307995575</v>
      </c>
      <c r="DS82" s="16">
        <f t="shared" si="89"/>
        <v>0.262613522890784</v>
      </c>
      <c r="DT82" s="16">
        <f t="shared" si="89"/>
        <v>0.116970156153806</v>
      </c>
      <c r="DU82" s="16">
        <f t="shared" si="89"/>
        <v>0.0506326385842776</v>
      </c>
      <c r="DV82" s="16">
        <f t="shared" si="13"/>
        <v>0.0622131857447005</v>
      </c>
      <c r="DW82" s="16">
        <f t="shared" si="14"/>
        <v>0.0992546622242665</v>
      </c>
      <c r="DX82" s="16">
        <f t="shared" si="14"/>
        <v>0.017763604116938</v>
      </c>
      <c r="DY82" s="16">
        <f t="shared" si="14"/>
        <v>0.0522632643752636</v>
      </c>
      <c r="DZ82" s="16">
        <f t="shared" si="14"/>
        <v>0.0143373639305064</v>
      </c>
    </row>
    <row r="83" ht="14" spans="1:130">
      <c r="A83" s="32">
        <v>43221</v>
      </c>
      <c r="B83" s="16">
        <f t="shared" si="6"/>
        <v>-0.0558429181226468</v>
      </c>
      <c r="C83" s="16">
        <f t="shared" si="6"/>
        <v>-0.0187487408797983</v>
      </c>
      <c r="D83" s="16">
        <f t="shared" si="7"/>
        <v>0.0478087194533757</v>
      </c>
      <c r="E83" s="16">
        <f t="shared" si="7"/>
        <v>0.0347576446358283</v>
      </c>
      <c r="F83" s="16">
        <f t="shared" si="7"/>
        <v>0.0111487964373113</v>
      </c>
      <c r="G83" s="16">
        <f t="shared" si="7"/>
        <v>0.0290331940155953</v>
      </c>
      <c r="H83" s="16">
        <f t="shared" si="7"/>
        <v>0.0157270903621173</v>
      </c>
      <c r="I83" s="16">
        <f t="shared" ref="I83:M83" si="90">LN(I21/I20)</f>
        <v>-0.00993787059476167</v>
      </c>
      <c r="J83" s="16">
        <f t="shared" si="90"/>
        <v>0.122911971504637</v>
      </c>
      <c r="K83" s="16">
        <f t="shared" si="90"/>
        <v>0.0681664379120889</v>
      </c>
      <c r="L83" s="16">
        <f t="shared" si="90"/>
        <v>0.184301012066408</v>
      </c>
      <c r="M83" s="16">
        <f t="shared" si="90"/>
        <v>-0.0576347493990799</v>
      </c>
      <c r="N83" s="16">
        <f t="shared" ref="N83:AS83" si="91">LN(N21/N20)</f>
        <v>0.0325674680854136</v>
      </c>
      <c r="O83" s="16">
        <f t="shared" si="91"/>
        <v>-0.0165489474569891</v>
      </c>
      <c r="P83" s="16">
        <f t="shared" si="91"/>
        <v>0.021385974494664</v>
      </c>
      <c r="Q83" s="16">
        <f t="shared" si="91"/>
        <v>-0.0891367803679492</v>
      </c>
      <c r="R83" s="16">
        <f t="shared" si="91"/>
        <v>-0.0637281980241376</v>
      </c>
      <c r="S83" s="16">
        <f t="shared" si="91"/>
        <v>-0.0111259425833644</v>
      </c>
      <c r="T83" s="16">
        <f t="shared" si="91"/>
        <v>0.0616449717311863</v>
      </c>
      <c r="U83" s="16">
        <f t="shared" si="91"/>
        <v>0.0744108045224251</v>
      </c>
      <c r="V83" s="16">
        <f t="shared" si="91"/>
        <v>0.0267896976438297</v>
      </c>
      <c r="W83" s="16">
        <f t="shared" si="91"/>
        <v>-0.046045212061472</v>
      </c>
      <c r="X83" s="16">
        <f t="shared" si="91"/>
        <v>0.00409847417803949</v>
      </c>
      <c r="Y83" s="16">
        <f t="shared" si="91"/>
        <v>-0.00776997538998255</v>
      </c>
      <c r="Z83" s="16">
        <f t="shared" si="91"/>
        <v>-0.0453477827649293</v>
      </c>
      <c r="AA83" s="16">
        <f t="shared" si="91"/>
        <v>0.041962955971971</v>
      </c>
      <c r="AB83" s="16">
        <f t="shared" si="91"/>
        <v>0.0828023860772159</v>
      </c>
      <c r="AC83" s="16">
        <f t="shared" si="91"/>
        <v>0.0190970164526411</v>
      </c>
      <c r="AD83" s="16">
        <f t="shared" si="91"/>
        <v>0.0553271035325873</v>
      </c>
      <c r="AE83" s="16">
        <f t="shared" si="91"/>
        <v>0.117702807809255</v>
      </c>
      <c r="AF83" s="16">
        <f t="shared" si="91"/>
        <v>0.0268628430910436</v>
      </c>
      <c r="AG83" s="16">
        <f t="shared" si="91"/>
        <v>0.0294986246495042</v>
      </c>
      <c r="AH83" s="16">
        <f t="shared" si="91"/>
        <v>0.0999630274133432</v>
      </c>
      <c r="AI83" s="16">
        <f t="shared" si="91"/>
        <v>0.105156100285078</v>
      </c>
      <c r="AJ83" s="16">
        <f t="shared" si="91"/>
        <v>0.0507488335648084</v>
      </c>
      <c r="AK83" s="16">
        <f t="shared" si="91"/>
        <v>-0.290685435983574</v>
      </c>
      <c r="AL83" s="16">
        <f t="shared" si="91"/>
        <v>0.0596250349198118</v>
      </c>
      <c r="AM83" s="16">
        <f t="shared" si="91"/>
        <v>0.114526749564004</v>
      </c>
      <c r="AN83" s="16">
        <f t="shared" si="91"/>
        <v>0.0670536063944344</v>
      </c>
      <c r="AO83" s="16">
        <f t="shared" si="91"/>
        <v>0.0941521277154521</v>
      </c>
      <c r="AP83" s="16">
        <f t="shared" si="91"/>
        <v>0.0983258242101785</v>
      </c>
      <c r="AQ83" s="16">
        <f t="shared" si="91"/>
        <v>0.130488553944299</v>
      </c>
      <c r="AR83" s="16">
        <f t="shared" si="91"/>
        <v>0.232656978352083</v>
      </c>
      <c r="AS83" s="16">
        <f t="shared" si="91"/>
        <v>0.225142344279894</v>
      </c>
      <c r="AT83" s="16">
        <f t="shared" ref="AT83:BY83" si="92">LN(AT21/AT20)</f>
        <v>0.106642048586082</v>
      </c>
      <c r="AU83" s="16">
        <f t="shared" si="92"/>
        <v>0.0831904503408829</v>
      </c>
      <c r="AV83" s="16">
        <f t="shared" si="92"/>
        <v>0.15185980341224</v>
      </c>
      <c r="AW83" s="16">
        <f t="shared" si="92"/>
        <v>0.058497970936441</v>
      </c>
      <c r="AX83" s="16">
        <f t="shared" si="92"/>
        <v>0.128027143061697</v>
      </c>
      <c r="AY83" s="16">
        <f t="shared" si="92"/>
        <v>0.122893208917038</v>
      </c>
      <c r="AZ83" s="16">
        <f t="shared" si="92"/>
        <v>0.0666593798737666</v>
      </c>
      <c r="BA83" s="16">
        <f t="shared" si="92"/>
        <v>0.0667593288683102</v>
      </c>
      <c r="BB83" s="16">
        <f t="shared" si="92"/>
        <v>0.0239148558471076</v>
      </c>
      <c r="BC83" s="16">
        <f t="shared" si="92"/>
        <v>0.128050066296128</v>
      </c>
      <c r="BD83" s="16">
        <f t="shared" si="92"/>
        <v>0.0332899626734666</v>
      </c>
      <c r="BE83" s="16">
        <f t="shared" si="92"/>
        <v>0.0248172630809694</v>
      </c>
      <c r="BF83" s="16">
        <f t="shared" si="92"/>
        <v>-0.0255025247305811</v>
      </c>
      <c r="BG83" s="16">
        <f t="shared" si="92"/>
        <v>0.0397392506338969</v>
      </c>
      <c r="BH83" s="16">
        <f t="shared" si="92"/>
        <v>-0.00423260297270127</v>
      </c>
      <c r="BI83" s="16">
        <f t="shared" si="92"/>
        <v>0.0771094751574786</v>
      </c>
      <c r="BJ83" s="16">
        <f t="shared" si="92"/>
        <v>0.150332760221687</v>
      </c>
      <c r="BK83" s="16">
        <f t="shared" si="92"/>
        <v>-0.0453893920799329</v>
      </c>
      <c r="BL83" s="16">
        <f t="shared" si="92"/>
        <v>-0.0157567376282087</v>
      </c>
      <c r="BM83" s="16">
        <f t="shared" si="92"/>
        <v>-0.0532037635380823</v>
      </c>
      <c r="BN83" s="16">
        <f t="shared" si="92"/>
        <v>0.0486577973406687</v>
      </c>
      <c r="BO83" s="16">
        <f t="shared" si="92"/>
        <v>0.0094253059915528</v>
      </c>
      <c r="BP83" s="16">
        <f t="shared" si="92"/>
        <v>0.0155232404959155</v>
      </c>
      <c r="BQ83" s="16">
        <f t="shared" si="92"/>
        <v>-0.0815611674732911</v>
      </c>
      <c r="BR83" s="16">
        <f t="shared" si="92"/>
        <v>-0.0404378534051669</v>
      </c>
      <c r="BS83" s="16">
        <f t="shared" si="92"/>
        <v>-0.0322310564031047</v>
      </c>
      <c r="BT83" s="16">
        <f t="shared" si="92"/>
        <v>-0.012446154451143</v>
      </c>
      <c r="BU83" s="16">
        <f t="shared" si="92"/>
        <v>-0.0685417712158498</v>
      </c>
      <c r="BV83" s="16">
        <f t="shared" si="92"/>
        <v>0.0395417069544124</v>
      </c>
      <c r="BW83" s="16">
        <f t="shared" si="92"/>
        <v>-0.0290635270150248</v>
      </c>
      <c r="BX83" s="16">
        <f t="shared" si="92"/>
        <v>0.0887378658613226</v>
      </c>
      <c r="BY83" s="16">
        <f t="shared" si="92"/>
        <v>0.116724478617616</v>
      </c>
      <c r="BZ83" s="16">
        <f t="shared" ref="BZ83:DE83" si="93">LN(BZ21/BZ20)</f>
        <v>0.0206191783137785</v>
      </c>
      <c r="CA83" s="16">
        <f t="shared" si="93"/>
        <v>-0.00487203770005434</v>
      </c>
      <c r="CB83" s="16">
        <f t="shared" si="93"/>
        <v>-0.00685910206138503</v>
      </c>
      <c r="CC83" s="16">
        <f t="shared" si="93"/>
        <v>-0.030459241347564</v>
      </c>
      <c r="CD83" s="16">
        <f t="shared" si="93"/>
        <v>-0.0124048791327961</v>
      </c>
      <c r="CE83" s="16">
        <f t="shared" si="93"/>
        <v>0.0316166195465388</v>
      </c>
      <c r="CF83" s="16">
        <f t="shared" si="93"/>
        <v>-0.0670464377489336</v>
      </c>
      <c r="CG83" s="16">
        <f t="shared" si="93"/>
        <v>0.00907523070425867</v>
      </c>
      <c r="CH83" s="16">
        <f t="shared" si="93"/>
        <v>-0.00583987225424209</v>
      </c>
      <c r="CI83" s="16">
        <f t="shared" si="93"/>
        <v>0.0268500126890081</v>
      </c>
      <c r="CJ83" s="16">
        <f t="shared" si="93"/>
        <v>-0.0275132776197251</v>
      </c>
      <c r="CK83" s="16">
        <f t="shared" si="93"/>
        <v>0.0193224020659156</v>
      </c>
      <c r="CL83" s="16">
        <f t="shared" si="93"/>
        <v>0.0449409444913874</v>
      </c>
      <c r="CM83" s="16">
        <f t="shared" si="93"/>
        <v>-0.0046084220573954</v>
      </c>
      <c r="CN83" s="16">
        <f t="shared" si="93"/>
        <v>0.0891172684638912</v>
      </c>
      <c r="CO83" s="16">
        <f t="shared" si="93"/>
        <v>-0.0377862921426922</v>
      </c>
      <c r="CP83" s="16">
        <f t="shared" si="93"/>
        <v>0.0161034712484587</v>
      </c>
      <c r="CQ83" s="16">
        <f t="shared" si="93"/>
        <v>0.0388997694650379</v>
      </c>
      <c r="CR83" s="16">
        <f t="shared" si="93"/>
        <v>-0.184352536228011</v>
      </c>
      <c r="CS83" s="16">
        <f t="shared" si="93"/>
        <v>-0.158503582103139</v>
      </c>
      <c r="CT83" s="16">
        <f t="shared" si="93"/>
        <v>0.0429496300243637</v>
      </c>
      <c r="CU83" s="16">
        <f t="shared" si="93"/>
        <v>-0.10279180117065</v>
      </c>
      <c r="CV83" s="16">
        <f t="shared" si="93"/>
        <v>0.0228212113533038</v>
      </c>
      <c r="CW83" s="16">
        <f t="shared" si="93"/>
        <v>0.00773706092372923</v>
      </c>
      <c r="CX83" s="16">
        <f t="shared" si="93"/>
        <v>0.137419010173242</v>
      </c>
      <c r="CY83" s="16">
        <f t="shared" si="93"/>
        <v>0.152839178223528</v>
      </c>
      <c r="CZ83" s="16">
        <f t="shared" si="93"/>
        <v>0.00842464965925162</v>
      </c>
      <c r="DA83" s="16">
        <f t="shared" si="93"/>
        <v>0.0181493185056773</v>
      </c>
      <c r="DB83" s="16">
        <f t="shared" si="93"/>
        <v>-0.134846317205832</v>
      </c>
      <c r="DC83" s="16">
        <f t="shared" si="93"/>
        <v>0.390820746697863</v>
      </c>
      <c r="DD83" s="16">
        <f t="shared" si="93"/>
        <v>0.0493214602490221</v>
      </c>
      <c r="DE83" s="16">
        <f t="shared" si="93"/>
        <v>0.152804906311159</v>
      </c>
      <c r="DF83" s="16">
        <f t="shared" ref="DF83:DU83" si="94">LN(DF21/DF20)</f>
        <v>0.127969880963377</v>
      </c>
      <c r="DG83" s="16">
        <f t="shared" si="94"/>
        <v>-0.0582689081239758</v>
      </c>
      <c r="DH83" s="16">
        <f t="shared" si="94"/>
        <v>0.0586060242705596</v>
      </c>
      <c r="DI83" s="16">
        <f t="shared" si="94"/>
        <v>0.043909494115831</v>
      </c>
      <c r="DJ83" s="16">
        <f t="shared" si="94"/>
        <v>-0.00649513122016906</v>
      </c>
      <c r="DK83" s="16">
        <f t="shared" si="94"/>
        <v>0.0284463960263636</v>
      </c>
      <c r="DL83" s="16">
        <f t="shared" si="94"/>
        <v>-0.0428294175513457</v>
      </c>
      <c r="DM83" s="16">
        <f t="shared" si="94"/>
        <v>-0.00136768410999659</v>
      </c>
      <c r="DN83" s="16">
        <f t="shared" si="94"/>
        <v>0.058444185351969</v>
      </c>
      <c r="DO83" s="16">
        <f t="shared" si="94"/>
        <v>0.0860184172214628</v>
      </c>
      <c r="DP83" s="16">
        <f t="shared" si="94"/>
        <v>0.134735181132972</v>
      </c>
      <c r="DQ83" s="16">
        <f t="shared" si="94"/>
        <v>-0.0617347499744517</v>
      </c>
      <c r="DR83" s="16">
        <f t="shared" si="94"/>
        <v>0.00160316285689819</v>
      </c>
      <c r="DS83" s="16">
        <f t="shared" si="94"/>
        <v>-0.0430052060506897</v>
      </c>
      <c r="DT83" s="16">
        <f t="shared" si="94"/>
        <v>-0.0564808191287804</v>
      </c>
      <c r="DU83" s="16">
        <f t="shared" si="94"/>
        <v>0.0686998313974352</v>
      </c>
      <c r="DV83" s="16">
        <f t="shared" si="13"/>
        <v>-0.0175065385069469</v>
      </c>
      <c r="DW83" s="16">
        <f t="shared" si="14"/>
        <v>-0.0316982106143612</v>
      </c>
      <c r="DX83" s="16">
        <f t="shared" si="14"/>
        <v>0.0754194664291951</v>
      </c>
      <c r="DY83" s="16">
        <f t="shared" si="14"/>
        <v>0.0824387766815904</v>
      </c>
      <c r="DZ83" s="16">
        <f t="shared" si="14"/>
        <v>0.0405340558851944</v>
      </c>
    </row>
    <row r="84" ht="14" spans="1:130">
      <c r="A84" s="32">
        <v>43252</v>
      </c>
      <c r="B84" s="16">
        <f t="shared" si="6"/>
        <v>0.0216657120462716</v>
      </c>
      <c r="C84" s="16">
        <f t="shared" si="6"/>
        <v>0.019408539079059</v>
      </c>
      <c r="D84" s="16">
        <f t="shared" si="7"/>
        <v>0.0102762531963853</v>
      </c>
      <c r="E84" s="16">
        <f t="shared" si="7"/>
        <v>-0.065684672960948</v>
      </c>
      <c r="F84" s="16">
        <f t="shared" si="7"/>
        <v>0.0194630698359088</v>
      </c>
      <c r="G84" s="16">
        <f t="shared" si="7"/>
        <v>0.0349823897109283</v>
      </c>
      <c r="H84" s="16">
        <f t="shared" si="7"/>
        <v>0.0503997448546224</v>
      </c>
      <c r="I84" s="16">
        <f t="shared" ref="I84:M84" si="95">LN(I22/I21)</f>
        <v>-0.00544056791836666</v>
      </c>
      <c r="J84" s="16">
        <f t="shared" si="95"/>
        <v>0.0248322621418402</v>
      </c>
      <c r="K84" s="16">
        <f t="shared" si="95"/>
        <v>0.0456726097816372</v>
      </c>
      <c r="L84" s="16">
        <f t="shared" si="95"/>
        <v>0.0764431714635065</v>
      </c>
      <c r="M84" s="16">
        <f t="shared" si="95"/>
        <v>-0.00129274455887418</v>
      </c>
      <c r="N84" s="16">
        <f t="shared" ref="N84:AS84" si="96">LN(N22/N21)</f>
        <v>0.00895603470633186</v>
      </c>
      <c r="O84" s="16">
        <f t="shared" si="96"/>
        <v>0.0494004120302451</v>
      </c>
      <c r="P84" s="16">
        <f t="shared" si="96"/>
        <v>0.0157338338690732</v>
      </c>
      <c r="Q84" s="16">
        <f t="shared" si="96"/>
        <v>0.0150308172361567</v>
      </c>
      <c r="R84" s="16">
        <f t="shared" si="96"/>
        <v>0.0723352192134741</v>
      </c>
      <c r="S84" s="16">
        <f t="shared" si="96"/>
        <v>0.138666858265827</v>
      </c>
      <c r="T84" s="16">
        <f t="shared" si="96"/>
        <v>-0.00881472546413025</v>
      </c>
      <c r="U84" s="16">
        <f t="shared" si="96"/>
        <v>-0.00825890823667928</v>
      </c>
      <c r="V84" s="16">
        <f t="shared" si="96"/>
        <v>-0.0301003910752027</v>
      </c>
      <c r="W84" s="16">
        <f t="shared" si="96"/>
        <v>0.0648409461106285</v>
      </c>
      <c r="X84" s="16">
        <f t="shared" si="96"/>
        <v>0.0176451417204837</v>
      </c>
      <c r="Y84" s="16">
        <f t="shared" si="96"/>
        <v>-0.0622187045215404</v>
      </c>
      <c r="Z84" s="16">
        <f t="shared" si="96"/>
        <v>0.0779748205061474</v>
      </c>
      <c r="AA84" s="16">
        <f t="shared" si="96"/>
        <v>0.0401055720057853</v>
      </c>
      <c r="AB84" s="16">
        <f t="shared" si="96"/>
        <v>0.0110459597671345</v>
      </c>
      <c r="AC84" s="16">
        <f t="shared" si="96"/>
        <v>0.044123921163803</v>
      </c>
      <c r="AD84" s="16">
        <f t="shared" si="96"/>
        <v>0.00199535813875751</v>
      </c>
      <c r="AE84" s="16">
        <f t="shared" si="96"/>
        <v>-0.0221875292491603</v>
      </c>
      <c r="AF84" s="16">
        <f t="shared" si="96"/>
        <v>-0.0586199042262917</v>
      </c>
      <c r="AG84" s="16">
        <f t="shared" si="96"/>
        <v>-0.0287971983874046</v>
      </c>
      <c r="AH84" s="16">
        <f t="shared" si="96"/>
        <v>0.0202255903508953</v>
      </c>
      <c r="AI84" s="16">
        <f t="shared" si="96"/>
        <v>0.0521285786818114</v>
      </c>
      <c r="AJ84" s="16">
        <f t="shared" si="96"/>
        <v>-0.0289368147660109</v>
      </c>
      <c r="AK84" s="16">
        <f t="shared" si="96"/>
        <v>-0.00627593237257972</v>
      </c>
      <c r="AL84" s="16">
        <f t="shared" si="96"/>
        <v>-0.00381989120578833</v>
      </c>
      <c r="AM84" s="16">
        <f t="shared" si="96"/>
        <v>-0.0619264011456213</v>
      </c>
      <c r="AN84" s="16">
        <f t="shared" si="96"/>
        <v>-0.0990019764483045</v>
      </c>
      <c r="AO84" s="16">
        <f t="shared" si="96"/>
        <v>-0.0381278065082212</v>
      </c>
      <c r="AP84" s="16">
        <f t="shared" si="96"/>
        <v>-0.00894220479448891</v>
      </c>
      <c r="AQ84" s="16">
        <f t="shared" si="96"/>
        <v>-0.0246237496701194</v>
      </c>
      <c r="AR84" s="16">
        <f t="shared" si="96"/>
        <v>0.0878000923346266</v>
      </c>
      <c r="AS84" s="16">
        <f t="shared" si="96"/>
        <v>-0.0936792615341781</v>
      </c>
      <c r="AT84" s="16">
        <f t="shared" ref="AT84:BY84" si="97">LN(AT22/AT21)</f>
        <v>-0.013050539263966</v>
      </c>
      <c r="AU84" s="16">
        <f t="shared" si="97"/>
        <v>-0.0423765059540033</v>
      </c>
      <c r="AV84" s="16">
        <f t="shared" si="97"/>
        <v>-0.0644050693133573</v>
      </c>
      <c r="AW84" s="16">
        <f t="shared" si="97"/>
        <v>-0.0375285090737002</v>
      </c>
      <c r="AX84" s="16">
        <f t="shared" si="97"/>
        <v>-0.0168221750002806</v>
      </c>
      <c r="AY84" s="16">
        <f t="shared" si="97"/>
        <v>-0.00561410199091424</v>
      </c>
      <c r="AZ84" s="16">
        <f t="shared" si="97"/>
        <v>0.0532244679822087</v>
      </c>
      <c r="BA84" s="16">
        <f t="shared" si="97"/>
        <v>-0.0293668269759263</v>
      </c>
      <c r="BB84" s="16">
        <f t="shared" si="97"/>
        <v>0.0150303310371599</v>
      </c>
      <c r="BC84" s="16">
        <f t="shared" si="97"/>
        <v>0.00492486348212386</v>
      </c>
      <c r="BD84" s="16">
        <f t="shared" si="97"/>
        <v>0.0599485737867388</v>
      </c>
      <c r="BE84" s="16">
        <f t="shared" si="97"/>
        <v>0.0295192487459078</v>
      </c>
      <c r="BF84" s="16">
        <f t="shared" si="97"/>
        <v>-0.000418747849567531</v>
      </c>
      <c r="BG84" s="16">
        <f t="shared" si="97"/>
        <v>0.0421637382768246</v>
      </c>
      <c r="BH84" s="16">
        <f t="shared" si="97"/>
        <v>-0.0394753500836061</v>
      </c>
      <c r="BI84" s="16">
        <f t="shared" si="97"/>
        <v>0.265878371987286</v>
      </c>
      <c r="BJ84" s="16">
        <f t="shared" si="97"/>
        <v>-0.0804330264077421</v>
      </c>
      <c r="BK84" s="16">
        <f t="shared" si="97"/>
        <v>-0.0209670760678568</v>
      </c>
      <c r="BL84" s="16">
        <f t="shared" si="97"/>
        <v>-0.143275009352788</v>
      </c>
      <c r="BM84" s="16">
        <f t="shared" si="97"/>
        <v>0.20277968847749</v>
      </c>
      <c r="BN84" s="16">
        <f t="shared" si="97"/>
        <v>0.10413417136214</v>
      </c>
      <c r="BO84" s="16">
        <f t="shared" si="97"/>
        <v>0.0503962174461996</v>
      </c>
      <c r="BP84" s="16">
        <f t="shared" si="97"/>
        <v>-0.0498155316672095</v>
      </c>
      <c r="BQ84" s="16">
        <f t="shared" si="97"/>
        <v>-0.0359672404118374</v>
      </c>
      <c r="BR84" s="16">
        <f t="shared" si="97"/>
        <v>0.00764823061501862</v>
      </c>
      <c r="BS84" s="16">
        <f t="shared" si="97"/>
        <v>-0.0395747010314704</v>
      </c>
      <c r="BT84" s="16">
        <f t="shared" si="97"/>
        <v>-0.0754047391204223</v>
      </c>
      <c r="BU84" s="16">
        <f t="shared" si="97"/>
        <v>-0.0346742691730349</v>
      </c>
      <c r="BV84" s="16">
        <f t="shared" si="97"/>
        <v>0.115146420164764</v>
      </c>
      <c r="BW84" s="16">
        <f t="shared" si="97"/>
        <v>0.10068236350323</v>
      </c>
      <c r="BX84" s="16">
        <f t="shared" si="97"/>
        <v>0.0331005833975307</v>
      </c>
      <c r="BY84" s="16">
        <f t="shared" si="97"/>
        <v>0.053584653765929</v>
      </c>
      <c r="BZ84" s="16">
        <f t="shared" ref="BZ84:DE84" si="98">LN(BZ22/BZ21)</f>
        <v>0.0646923320797379</v>
      </c>
      <c r="CA84" s="16">
        <f t="shared" si="98"/>
        <v>0.019802754980495</v>
      </c>
      <c r="CB84" s="16">
        <f t="shared" si="98"/>
        <v>0.0916423905198216</v>
      </c>
      <c r="CC84" s="16">
        <f t="shared" si="98"/>
        <v>0.0149741515958961</v>
      </c>
      <c r="CD84" s="16">
        <f t="shared" si="98"/>
        <v>0.00894813111066264</v>
      </c>
      <c r="CE84" s="16">
        <f t="shared" si="98"/>
        <v>-0.0172794018579562</v>
      </c>
      <c r="CF84" s="16">
        <f t="shared" si="98"/>
        <v>0.0988898990875069</v>
      </c>
      <c r="CG84" s="16">
        <f t="shared" si="98"/>
        <v>-0.0436862594746834</v>
      </c>
      <c r="CH84" s="16">
        <f t="shared" si="98"/>
        <v>0.0431111936867228</v>
      </c>
      <c r="CI84" s="16">
        <f t="shared" si="98"/>
        <v>0.00278044740544125</v>
      </c>
      <c r="CJ84" s="16">
        <f t="shared" si="98"/>
        <v>0.0268973103377502</v>
      </c>
      <c r="CK84" s="16">
        <f t="shared" si="98"/>
        <v>0.0994337500391962</v>
      </c>
      <c r="CL84" s="16">
        <f t="shared" si="98"/>
        <v>0.048914731970096</v>
      </c>
      <c r="CM84" s="16">
        <f t="shared" si="98"/>
        <v>0.0361185596740938</v>
      </c>
      <c r="CN84" s="16">
        <f t="shared" si="98"/>
        <v>0.0898971844803461</v>
      </c>
      <c r="CO84" s="16">
        <f t="shared" si="98"/>
        <v>0.139245223777605</v>
      </c>
      <c r="CP84" s="16">
        <f t="shared" si="98"/>
        <v>0.128827049832795</v>
      </c>
      <c r="CQ84" s="16">
        <f t="shared" si="98"/>
        <v>0.112740399021952</v>
      </c>
      <c r="CR84" s="16">
        <f t="shared" si="98"/>
        <v>0.186573566461228</v>
      </c>
      <c r="CS84" s="16">
        <f t="shared" si="98"/>
        <v>0.0988941143316571</v>
      </c>
      <c r="CT84" s="16">
        <f t="shared" si="98"/>
        <v>0.0582477555185027</v>
      </c>
      <c r="CU84" s="16">
        <f t="shared" si="98"/>
        <v>0.0323097261322306</v>
      </c>
      <c r="CV84" s="16">
        <f t="shared" si="98"/>
        <v>-0.0811815126126831</v>
      </c>
      <c r="CW84" s="16">
        <f t="shared" si="98"/>
        <v>-0.0927203892283002</v>
      </c>
      <c r="CX84" s="16">
        <f t="shared" si="98"/>
        <v>-0.0351795071211733</v>
      </c>
      <c r="CY84" s="16">
        <f t="shared" si="98"/>
        <v>0.0491647396175807</v>
      </c>
      <c r="CZ84" s="16">
        <f t="shared" si="98"/>
        <v>0.0867316958243331</v>
      </c>
      <c r="DA84" s="16">
        <f t="shared" si="98"/>
        <v>0.050843552981274</v>
      </c>
      <c r="DB84" s="16">
        <f t="shared" si="98"/>
        <v>0.181067638134361</v>
      </c>
      <c r="DC84" s="16">
        <f t="shared" si="98"/>
        <v>-0.0358853824791794</v>
      </c>
      <c r="DD84" s="16">
        <f t="shared" si="98"/>
        <v>-0.0612108263890797</v>
      </c>
      <c r="DE84" s="16">
        <f t="shared" si="98"/>
        <v>-0.0459215396065615</v>
      </c>
      <c r="DF84" s="16">
        <f t="shared" ref="DF84:DU84" si="99">LN(DF22/DF21)</f>
        <v>-0.00300752106395544</v>
      </c>
      <c r="DG84" s="16">
        <f t="shared" si="99"/>
        <v>-0.00364299127850098</v>
      </c>
      <c r="DH84" s="16">
        <f t="shared" si="99"/>
        <v>0.0236224766229568</v>
      </c>
      <c r="DI84" s="16">
        <f t="shared" si="99"/>
        <v>0.028259346627178</v>
      </c>
      <c r="DJ84" s="16">
        <f t="shared" si="99"/>
        <v>0.0256730637968709</v>
      </c>
      <c r="DK84" s="16">
        <f t="shared" si="99"/>
        <v>0.0366737926803395</v>
      </c>
      <c r="DL84" s="16">
        <f t="shared" si="99"/>
        <v>-0.0201918191516852</v>
      </c>
      <c r="DM84" s="16">
        <f t="shared" si="99"/>
        <v>0.0546700719770898</v>
      </c>
      <c r="DN84" s="16">
        <f t="shared" si="99"/>
        <v>0.10172916658</v>
      </c>
      <c r="DO84" s="16">
        <f t="shared" si="99"/>
        <v>-0.00619485236033768</v>
      </c>
      <c r="DP84" s="16">
        <f t="shared" si="99"/>
        <v>0.0559011284146846</v>
      </c>
      <c r="DQ84" s="16">
        <f t="shared" si="99"/>
        <v>0.0866518000583121</v>
      </c>
      <c r="DR84" s="16">
        <f t="shared" si="99"/>
        <v>-0.0241724561099434</v>
      </c>
      <c r="DS84" s="16">
        <f t="shared" si="99"/>
        <v>-0.0411176829413701</v>
      </c>
      <c r="DT84" s="16">
        <f t="shared" si="99"/>
        <v>0.0225732768557441</v>
      </c>
      <c r="DU84" s="16">
        <f t="shared" si="99"/>
        <v>0.0466955996273888</v>
      </c>
      <c r="DV84" s="16">
        <f t="shared" si="13"/>
        <v>0.155934839095803</v>
      </c>
      <c r="DW84" s="16">
        <f t="shared" si="14"/>
        <v>0.18604330113482</v>
      </c>
      <c r="DX84" s="16">
        <f t="shared" si="14"/>
        <v>0.0274831608375084</v>
      </c>
      <c r="DY84" s="16">
        <f t="shared" si="14"/>
        <v>-0.0922439671935703</v>
      </c>
      <c r="DZ84" s="16">
        <f t="shared" si="14"/>
        <v>-0.04244675329051</v>
      </c>
    </row>
    <row r="85" ht="14" spans="1:130">
      <c r="A85" s="32">
        <v>43282</v>
      </c>
      <c r="B85" s="16">
        <f t="shared" si="6"/>
        <v>0.0881372079473565</v>
      </c>
      <c r="C85" s="16">
        <f t="shared" si="6"/>
        <v>0.0958611459372779</v>
      </c>
      <c r="D85" s="16">
        <f t="shared" si="7"/>
        <v>0.146672728375903</v>
      </c>
      <c r="E85" s="16">
        <f t="shared" si="7"/>
        <v>-0.00454337458921206</v>
      </c>
      <c r="F85" s="16">
        <f t="shared" si="7"/>
        <v>0.0894380636308503</v>
      </c>
      <c r="G85" s="16">
        <f t="shared" si="7"/>
        <v>0.0627797235322802</v>
      </c>
      <c r="H85" s="16">
        <f t="shared" si="7"/>
        <v>0.0597953769874019</v>
      </c>
      <c r="I85" s="16">
        <f t="shared" ref="I85:M85" si="100">LN(I23/I22)</f>
        <v>0.124975068474239</v>
      </c>
      <c r="J85" s="16">
        <f t="shared" si="100"/>
        <v>0.149603341561399</v>
      </c>
      <c r="K85" s="16">
        <f t="shared" si="100"/>
        <v>0.11675265988617</v>
      </c>
      <c r="L85" s="16">
        <f t="shared" si="100"/>
        <v>0.00157803409738986</v>
      </c>
      <c r="M85" s="16">
        <f t="shared" si="100"/>
        <v>0.0657100641241841</v>
      </c>
      <c r="N85" s="16">
        <f t="shared" ref="N85:AS85" si="101">LN(N23/N22)</f>
        <v>0.200160556438207</v>
      </c>
      <c r="O85" s="16">
        <f t="shared" si="101"/>
        <v>0.0237045100146915</v>
      </c>
      <c r="P85" s="16">
        <f t="shared" si="101"/>
        <v>0.0351446737354434</v>
      </c>
      <c r="Q85" s="16">
        <f t="shared" si="101"/>
        <v>0.00789419523555982</v>
      </c>
      <c r="R85" s="16">
        <f t="shared" si="101"/>
        <v>0.0642900092645469</v>
      </c>
      <c r="S85" s="16">
        <f t="shared" si="101"/>
        <v>0.0645946806087449</v>
      </c>
      <c r="T85" s="16">
        <f t="shared" si="101"/>
        <v>0.0719506974955768</v>
      </c>
      <c r="U85" s="16">
        <f t="shared" si="101"/>
        <v>0.0525596482521443</v>
      </c>
      <c r="V85" s="16">
        <f t="shared" si="101"/>
        <v>-0.0310047681456145</v>
      </c>
      <c r="W85" s="16">
        <f t="shared" si="101"/>
        <v>-0.0045460061541877</v>
      </c>
      <c r="X85" s="16">
        <f t="shared" si="101"/>
        <v>0.0150289028065151</v>
      </c>
      <c r="Y85" s="16">
        <f t="shared" si="101"/>
        <v>0.0318612282689121</v>
      </c>
      <c r="Z85" s="16">
        <f t="shared" si="101"/>
        <v>0.0473794680259873</v>
      </c>
      <c r="AA85" s="16">
        <f t="shared" si="101"/>
        <v>0.060240980663757</v>
      </c>
      <c r="AB85" s="16">
        <f t="shared" si="101"/>
        <v>0.021016838201761</v>
      </c>
      <c r="AC85" s="16">
        <f t="shared" si="101"/>
        <v>-0.0190039596187535</v>
      </c>
      <c r="AD85" s="16">
        <f t="shared" si="101"/>
        <v>0.0730210517940844</v>
      </c>
      <c r="AE85" s="16">
        <f t="shared" si="101"/>
        <v>0.00356200094114092</v>
      </c>
      <c r="AF85" s="16">
        <f t="shared" si="101"/>
        <v>0.0789595308411335</v>
      </c>
      <c r="AG85" s="16">
        <f t="shared" si="101"/>
        <v>0.0441214419281265</v>
      </c>
      <c r="AH85" s="16">
        <f t="shared" si="101"/>
        <v>0.00765920450828555</v>
      </c>
      <c r="AI85" s="16">
        <f t="shared" si="101"/>
        <v>0.0552767630167829</v>
      </c>
      <c r="AJ85" s="16">
        <f t="shared" si="101"/>
        <v>0.0273436120923129</v>
      </c>
      <c r="AK85" s="16">
        <f t="shared" si="101"/>
        <v>-0.0175548570167541</v>
      </c>
      <c r="AL85" s="16">
        <f t="shared" si="101"/>
        <v>-0.00622402614187716</v>
      </c>
      <c r="AM85" s="16">
        <f t="shared" si="101"/>
        <v>0.0330484862835813</v>
      </c>
      <c r="AN85" s="16">
        <f t="shared" si="101"/>
        <v>-0.0329240049409506</v>
      </c>
      <c r="AO85" s="16">
        <f t="shared" si="101"/>
        <v>-0.0766170136080394</v>
      </c>
      <c r="AP85" s="16">
        <f t="shared" si="101"/>
        <v>0.00965845426829903</v>
      </c>
      <c r="AQ85" s="16">
        <f t="shared" si="101"/>
        <v>0.132796078438831</v>
      </c>
      <c r="AR85" s="16">
        <f t="shared" si="101"/>
        <v>0.201155749737107</v>
      </c>
      <c r="AS85" s="16">
        <f t="shared" si="101"/>
        <v>0.00665209259274786</v>
      </c>
      <c r="AT85" s="16">
        <f t="shared" ref="AT85:BY85" si="102">LN(AT23/AT22)</f>
        <v>0.00700332191601308</v>
      </c>
      <c r="AU85" s="16">
        <f t="shared" si="102"/>
        <v>-0.136372191258095</v>
      </c>
      <c r="AV85" s="16">
        <f t="shared" si="102"/>
        <v>0.0269026381460812</v>
      </c>
      <c r="AW85" s="16">
        <f t="shared" si="102"/>
        <v>0.0992584566562047</v>
      </c>
      <c r="AX85" s="16">
        <f t="shared" si="102"/>
        <v>-0.0216503391751966</v>
      </c>
      <c r="AY85" s="16">
        <f t="shared" si="102"/>
        <v>0.0275985584974147</v>
      </c>
      <c r="AZ85" s="16">
        <f t="shared" si="102"/>
        <v>0.00548347197425062</v>
      </c>
      <c r="BA85" s="16">
        <f t="shared" si="102"/>
        <v>0.0200333881772097</v>
      </c>
      <c r="BB85" s="16">
        <f t="shared" si="102"/>
        <v>0.0320857460249896</v>
      </c>
      <c r="BC85" s="16">
        <f t="shared" si="102"/>
        <v>-0.0176027787061787</v>
      </c>
      <c r="BD85" s="16">
        <f t="shared" si="102"/>
        <v>0.0624610852587355</v>
      </c>
      <c r="BE85" s="16">
        <f t="shared" si="102"/>
        <v>0.022847957578322</v>
      </c>
      <c r="BF85" s="16">
        <f t="shared" si="102"/>
        <v>0.0367534369398591</v>
      </c>
      <c r="BG85" s="16">
        <f t="shared" si="102"/>
        <v>0.0446635297688865</v>
      </c>
      <c r="BH85" s="16">
        <f t="shared" si="102"/>
        <v>-0.0806633733728611</v>
      </c>
      <c r="BI85" s="16">
        <f t="shared" si="102"/>
        <v>-0.0320316367467712</v>
      </c>
      <c r="BJ85" s="16">
        <f t="shared" si="102"/>
        <v>-0.0298630945102948</v>
      </c>
      <c r="BK85" s="16">
        <f t="shared" si="102"/>
        <v>0.0117421799051816</v>
      </c>
      <c r="BL85" s="16">
        <f t="shared" si="102"/>
        <v>0.0699613680036492</v>
      </c>
      <c r="BM85" s="16">
        <f t="shared" si="102"/>
        <v>-0.00112146569687242</v>
      </c>
      <c r="BN85" s="16">
        <f t="shared" si="102"/>
        <v>-0.0325933223172456</v>
      </c>
      <c r="BO85" s="16">
        <f t="shared" si="102"/>
        <v>0.0123274539061071</v>
      </c>
      <c r="BP85" s="16">
        <f t="shared" si="102"/>
        <v>0.0164449572736854</v>
      </c>
      <c r="BQ85" s="16">
        <f t="shared" si="102"/>
        <v>0.0918518404079451</v>
      </c>
      <c r="BR85" s="16">
        <f t="shared" si="102"/>
        <v>0.0555700247354016</v>
      </c>
      <c r="BS85" s="16">
        <f t="shared" si="102"/>
        <v>0.00080378523045124</v>
      </c>
      <c r="BT85" s="16">
        <f t="shared" si="102"/>
        <v>0.0331217991607973</v>
      </c>
      <c r="BU85" s="16">
        <f t="shared" si="102"/>
        <v>0.0135868956664487</v>
      </c>
      <c r="BV85" s="16">
        <f t="shared" si="102"/>
        <v>-0.0696367195396948</v>
      </c>
      <c r="BW85" s="16">
        <f t="shared" si="102"/>
        <v>-0.152299586743903</v>
      </c>
      <c r="BX85" s="16">
        <f t="shared" si="102"/>
        <v>0.0200614340793943</v>
      </c>
      <c r="BY85" s="16">
        <f t="shared" si="102"/>
        <v>0.040374262144648</v>
      </c>
      <c r="BZ85" s="16">
        <f t="shared" ref="BZ85:DE85" si="103">LN(BZ23/BZ22)</f>
        <v>0.0354889777564548</v>
      </c>
      <c r="CA85" s="16">
        <f t="shared" si="103"/>
        <v>0.070108006043181</v>
      </c>
      <c r="CB85" s="16">
        <f t="shared" si="103"/>
        <v>0.0547777029756081</v>
      </c>
      <c r="CC85" s="16">
        <f t="shared" si="103"/>
        <v>0.08063873311325</v>
      </c>
      <c r="CD85" s="16">
        <f t="shared" si="103"/>
        <v>0.0308156758589357</v>
      </c>
      <c r="CE85" s="16">
        <f t="shared" si="103"/>
        <v>0.0223849223659787</v>
      </c>
      <c r="CF85" s="16">
        <f t="shared" si="103"/>
        <v>0.0094824461142757</v>
      </c>
      <c r="CG85" s="16">
        <f t="shared" si="103"/>
        <v>-0.055844763468533</v>
      </c>
      <c r="CH85" s="16">
        <f t="shared" si="103"/>
        <v>0.0618080962279563</v>
      </c>
      <c r="CI85" s="16">
        <f t="shared" si="103"/>
        <v>0.0368757969443518</v>
      </c>
      <c r="CJ85" s="16">
        <f t="shared" si="103"/>
        <v>0.0333822577136433</v>
      </c>
      <c r="CK85" s="16">
        <f t="shared" si="103"/>
        <v>-0.041770864453136</v>
      </c>
      <c r="CL85" s="16">
        <f t="shared" si="103"/>
        <v>-0.0159411965467529</v>
      </c>
      <c r="CM85" s="16">
        <f t="shared" si="103"/>
        <v>-0.033892114454849</v>
      </c>
      <c r="CN85" s="16">
        <f t="shared" si="103"/>
        <v>0.0164659031406387</v>
      </c>
      <c r="CO85" s="16">
        <f t="shared" si="103"/>
        <v>0.0124128344423286</v>
      </c>
      <c r="CP85" s="16">
        <f t="shared" si="103"/>
        <v>0.0502579024183121</v>
      </c>
      <c r="CQ85" s="16">
        <f t="shared" si="103"/>
        <v>-0.000591547137099748</v>
      </c>
      <c r="CR85" s="16">
        <f t="shared" si="103"/>
        <v>0.00884082218172343</v>
      </c>
      <c r="CS85" s="16">
        <f t="shared" si="103"/>
        <v>0.0153910626439727</v>
      </c>
      <c r="CT85" s="16">
        <f t="shared" si="103"/>
        <v>-0.112081446510517</v>
      </c>
      <c r="CU85" s="16">
        <f t="shared" si="103"/>
        <v>-0.121889817609037</v>
      </c>
      <c r="CV85" s="16">
        <f t="shared" si="103"/>
        <v>0.120967705991631</v>
      </c>
      <c r="CW85" s="16">
        <f t="shared" si="103"/>
        <v>0.0822267167771866</v>
      </c>
      <c r="CX85" s="16">
        <f t="shared" si="103"/>
        <v>0.0202538569044976</v>
      </c>
      <c r="CY85" s="16">
        <f t="shared" si="103"/>
        <v>-0.0181548130270904</v>
      </c>
      <c r="CZ85" s="16">
        <f t="shared" si="103"/>
        <v>-0.018634079544893</v>
      </c>
      <c r="DA85" s="16">
        <f t="shared" si="103"/>
        <v>0.163629423781802</v>
      </c>
      <c r="DB85" s="16">
        <f t="shared" si="103"/>
        <v>-0.0396725090496239</v>
      </c>
      <c r="DC85" s="16">
        <f t="shared" si="103"/>
        <v>0.018428474993129</v>
      </c>
      <c r="DD85" s="16">
        <f t="shared" si="103"/>
        <v>0.0549415183486084</v>
      </c>
      <c r="DE85" s="16">
        <f t="shared" si="103"/>
        <v>-0.0137628797428911</v>
      </c>
      <c r="DF85" s="16">
        <f t="shared" ref="DF85:DU85" si="104">LN(DF23/DF22)</f>
        <v>-0.0707155247983976</v>
      </c>
      <c r="DG85" s="16">
        <f t="shared" si="104"/>
        <v>-0.00548949228477148</v>
      </c>
      <c r="DH85" s="16">
        <f t="shared" si="104"/>
        <v>-0.00201748555316871</v>
      </c>
      <c r="DI85" s="16">
        <f t="shared" si="104"/>
        <v>-0.0148564642313186</v>
      </c>
      <c r="DJ85" s="16">
        <f t="shared" si="104"/>
        <v>-0.00126641066163246</v>
      </c>
      <c r="DK85" s="16">
        <f t="shared" si="104"/>
        <v>0.0359728570204634</v>
      </c>
      <c r="DL85" s="16">
        <f t="shared" si="104"/>
        <v>0.000158562928877795</v>
      </c>
      <c r="DM85" s="16">
        <f t="shared" si="104"/>
        <v>0.0356039074376948</v>
      </c>
      <c r="DN85" s="16">
        <f t="shared" si="104"/>
        <v>-0.0149073613978943</v>
      </c>
      <c r="DO85" s="16">
        <f t="shared" si="104"/>
        <v>0.0119267184072107</v>
      </c>
      <c r="DP85" s="16">
        <f t="shared" si="104"/>
        <v>0.0254849123768354</v>
      </c>
      <c r="DQ85" s="16">
        <f t="shared" si="104"/>
        <v>0.00288428371333333</v>
      </c>
      <c r="DR85" s="16">
        <f t="shared" si="104"/>
        <v>0.0145489692894065</v>
      </c>
      <c r="DS85" s="16">
        <f t="shared" si="104"/>
        <v>0.045859342430561</v>
      </c>
      <c r="DT85" s="16">
        <f t="shared" si="104"/>
        <v>0.0251998216676596</v>
      </c>
      <c r="DU85" s="16">
        <f t="shared" si="104"/>
        <v>0.114758421638351</v>
      </c>
      <c r="DV85" s="16">
        <f t="shared" si="13"/>
        <v>-0.0161729920811423</v>
      </c>
      <c r="DW85" s="16">
        <f t="shared" si="14"/>
        <v>-0.140021489103046</v>
      </c>
      <c r="DX85" s="16">
        <f t="shared" si="14"/>
        <v>-0.0178610924099731</v>
      </c>
      <c r="DY85" s="16">
        <f t="shared" si="14"/>
        <v>0.0445786273525133</v>
      </c>
      <c r="DZ85" s="16">
        <f t="shared" si="14"/>
        <v>-0.0976616394072615</v>
      </c>
    </row>
    <row r="86" ht="14" spans="1:130">
      <c r="A86" s="32">
        <v>43313</v>
      </c>
      <c r="B86" s="16">
        <f t="shared" si="6"/>
        <v>0.0162419913245231</v>
      </c>
      <c r="C86" s="16">
        <f t="shared" si="6"/>
        <v>0.0390473503284423</v>
      </c>
      <c r="D86" s="16">
        <f t="shared" si="7"/>
        <v>0.0669328574127237</v>
      </c>
      <c r="E86" s="16">
        <f t="shared" si="7"/>
        <v>0.0500153301656424</v>
      </c>
      <c r="F86" s="16">
        <f t="shared" si="7"/>
        <v>0.0404635553596949</v>
      </c>
      <c r="G86" s="16">
        <f t="shared" si="7"/>
        <v>0.0164501795979525</v>
      </c>
      <c r="H86" s="16">
        <f t="shared" si="7"/>
        <v>0.0373917167115265</v>
      </c>
      <c r="I86" s="16">
        <f t="shared" ref="I86:M86" si="105">LN(I24/I23)</f>
        <v>0.0192983471531799</v>
      </c>
      <c r="J86" s="16">
        <f t="shared" si="105"/>
        <v>0.0897847914632146</v>
      </c>
      <c r="K86" s="16">
        <f t="shared" si="105"/>
        <v>0.0365192794998641</v>
      </c>
      <c r="L86" s="16">
        <f t="shared" si="105"/>
        <v>0.417204335492649</v>
      </c>
      <c r="M86" s="16">
        <f t="shared" si="105"/>
        <v>0.0248717728955096</v>
      </c>
      <c r="N86" s="16">
        <f t="shared" ref="N86:AS86" si="106">LN(N24/N23)</f>
        <v>0.0413663764143092</v>
      </c>
      <c r="O86" s="16">
        <f t="shared" si="106"/>
        <v>-0.013679406493072</v>
      </c>
      <c r="P86" s="16">
        <f t="shared" si="106"/>
        <v>0.0584430880673411</v>
      </c>
      <c r="Q86" s="16">
        <f t="shared" si="106"/>
        <v>0.156017266999298</v>
      </c>
      <c r="R86" s="16">
        <f t="shared" si="106"/>
        <v>0.0453208095422418</v>
      </c>
      <c r="S86" s="16">
        <f t="shared" si="106"/>
        <v>0.100088634386377</v>
      </c>
      <c r="T86" s="16">
        <f t="shared" si="106"/>
        <v>0.0241258621687356</v>
      </c>
      <c r="U86" s="16">
        <f t="shared" si="106"/>
        <v>0.072080363377002</v>
      </c>
      <c r="V86" s="16">
        <f t="shared" si="106"/>
        <v>0.0371570019151372</v>
      </c>
      <c r="W86" s="16">
        <f t="shared" si="106"/>
        <v>0.00239521072595463</v>
      </c>
      <c r="X86" s="16">
        <f t="shared" si="106"/>
        <v>0.0480082890759738</v>
      </c>
      <c r="Y86" s="16">
        <f t="shared" si="106"/>
        <v>0.0476281438610127</v>
      </c>
      <c r="Z86" s="16">
        <f t="shared" si="106"/>
        <v>0.0449081466210294</v>
      </c>
      <c r="AA86" s="16">
        <f t="shared" si="106"/>
        <v>0.0970813903291362</v>
      </c>
      <c r="AB86" s="16">
        <f t="shared" si="106"/>
        <v>0.0518552884857892</v>
      </c>
      <c r="AC86" s="16">
        <f t="shared" si="106"/>
        <v>0.0261560233467627</v>
      </c>
      <c r="AD86" s="16">
        <f t="shared" si="106"/>
        <v>0.0572473034870528</v>
      </c>
      <c r="AE86" s="16">
        <f t="shared" si="106"/>
        <v>0.0741400835510811</v>
      </c>
      <c r="AF86" s="16">
        <f t="shared" si="106"/>
        <v>0.0226146835478804</v>
      </c>
      <c r="AG86" s="16">
        <f t="shared" si="106"/>
        <v>0.132888224861408</v>
      </c>
      <c r="AH86" s="16">
        <f t="shared" si="106"/>
        <v>0.286250432980343</v>
      </c>
      <c r="AI86" s="16">
        <f t="shared" si="106"/>
        <v>0.088129666295756</v>
      </c>
      <c r="AJ86" s="16">
        <f t="shared" si="106"/>
        <v>-0.0015957450194684</v>
      </c>
      <c r="AK86" s="16">
        <f t="shared" si="106"/>
        <v>-0.00297214168602607</v>
      </c>
      <c r="AL86" s="16">
        <f t="shared" si="106"/>
        <v>0.0984984209767607</v>
      </c>
      <c r="AM86" s="16">
        <f t="shared" si="106"/>
        <v>0.136528746678308</v>
      </c>
      <c r="AN86" s="16">
        <f t="shared" si="106"/>
        <v>0.00683739516737973</v>
      </c>
      <c r="AO86" s="16">
        <f t="shared" si="106"/>
        <v>-0.0124324528921702</v>
      </c>
      <c r="AP86" s="16">
        <f t="shared" si="106"/>
        <v>0.0151770698380724</v>
      </c>
      <c r="AQ86" s="16">
        <f t="shared" si="106"/>
        <v>0.0696065257515407</v>
      </c>
      <c r="AR86" s="16">
        <f t="shared" si="106"/>
        <v>0.317113747295611</v>
      </c>
      <c r="AS86" s="16">
        <f t="shared" si="106"/>
        <v>-0.00512767020263156</v>
      </c>
      <c r="AT86" s="16">
        <f t="shared" ref="AT86:BY86" si="107">LN(AT24/AT23)</f>
        <v>0.0277981477414288</v>
      </c>
      <c r="AU86" s="16">
        <f t="shared" si="107"/>
        <v>-0.023345652213144</v>
      </c>
      <c r="AV86" s="16">
        <f t="shared" si="107"/>
        <v>-0.0825163624726242</v>
      </c>
      <c r="AW86" s="16">
        <f t="shared" si="107"/>
        <v>0.0768888173773778</v>
      </c>
      <c r="AX86" s="16">
        <f t="shared" si="107"/>
        <v>-0.0352950364388959</v>
      </c>
      <c r="AY86" s="16">
        <f t="shared" si="107"/>
        <v>0.179172684886094</v>
      </c>
      <c r="AZ86" s="16">
        <f t="shared" si="107"/>
        <v>0.107269010493417</v>
      </c>
      <c r="BA86" s="16">
        <f t="shared" si="107"/>
        <v>0.109693012709333</v>
      </c>
      <c r="BB86" s="16">
        <f t="shared" si="107"/>
        <v>0.0871983689836548</v>
      </c>
      <c r="BC86" s="16">
        <f t="shared" si="107"/>
        <v>0.112250518086658</v>
      </c>
      <c r="BD86" s="16">
        <f t="shared" si="107"/>
        <v>0.0228844706075252</v>
      </c>
      <c r="BE86" s="16">
        <f t="shared" si="107"/>
        <v>0.0658106478887209</v>
      </c>
      <c r="BF86" s="16">
        <f t="shared" si="107"/>
        <v>0.0106377958269993</v>
      </c>
      <c r="BG86" s="16">
        <f t="shared" si="107"/>
        <v>0.124307945841537</v>
      </c>
      <c r="BH86" s="16">
        <f t="shared" si="107"/>
        <v>0.0340908760067267</v>
      </c>
      <c r="BI86" s="16">
        <f t="shared" si="107"/>
        <v>0.175322080805134</v>
      </c>
      <c r="BJ86" s="16">
        <f t="shared" si="107"/>
        <v>-0.050308168682161</v>
      </c>
      <c r="BK86" s="16">
        <f t="shared" si="107"/>
        <v>0.0293362980859312</v>
      </c>
      <c r="BL86" s="16">
        <f t="shared" si="107"/>
        <v>0.020030930152322</v>
      </c>
      <c r="BM86" s="16">
        <f t="shared" si="107"/>
        <v>0.0884416916967809</v>
      </c>
      <c r="BN86" s="16">
        <f t="shared" si="107"/>
        <v>0.0665192433819194</v>
      </c>
      <c r="BO86" s="16">
        <f t="shared" si="107"/>
        <v>0.0163201955731823</v>
      </c>
      <c r="BP86" s="16">
        <f t="shared" si="107"/>
        <v>-0.026750001742151</v>
      </c>
      <c r="BQ86" s="16">
        <f t="shared" si="107"/>
        <v>0.0720163070282422</v>
      </c>
      <c r="BR86" s="16">
        <f t="shared" si="107"/>
        <v>-0.0718930478626521</v>
      </c>
      <c r="BS86" s="16">
        <f t="shared" si="107"/>
        <v>-0.0387811236793969</v>
      </c>
      <c r="BT86" s="16">
        <f t="shared" si="107"/>
        <v>0.0372774647449209</v>
      </c>
      <c r="BU86" s="16">
        <f t="shared" si="107"/>
        <v>0.0915308531628515</v>
      </c>
      <c r="BV86" s="16">
        <f t="shared" si="107"/>
        <v>0.128110355589961</v>
      </c>
      <c r="BW86" s="16">
        <f t="shared" si="107"/>
        <v>-0.18087004188913</v>
      </c>
      <c r="BX86" s="16">
        <f t="shared" si="107"/>
        <v>0.123292149106003</v>
      </c>
      <c r="BY86" s="16">
        <f t="shared" si="107"/>
        <v>0.149659666484487</v>
      </c>
      <c r="BZ86" s="16">
        <f t="shared" ref="BZ86:DE86" si="108">LN(BZ24/BZ23)</f>
        <v>0.0343059757632351</v>
      </c>
      <c r="CA86" s="16">
        <f t="shared" si="108"/>
        <v>-0.0451831470980465</v>
      </c>
      <c r="CB86" s="16">
        <f t="shared" si="108"/>
        <v>-0.0263445867053165</v>
      </c>
      <c r="CC86" s="16">
        <f t="shared" si="108"/>
        <v>-0.102532168863231</v>
      </c>
      <c r="CD86" s="16">
        <f t="shared" si="108"/>
        <v>-0.00245880484703454</v>
      </c>
      <c r="CE86" s="16">
        <f t="shared" si="108"/>
        <v>-0.0548479079052304</v>
      </c>
      <c r="CF86" s="16">
        <f t="shared" si="108"/>
        <v>-0.0871543360098454</v>
      </c>
      <c r="CG86" s="16">
        <f t="shared" si="108"/>
        <v>0.0376693258194523</v>
      </c>
      <c r="CH86" s="16">
        <f t="shared" si="108"/>
        <v>-0.0153311789186425</v>
      </c>
      <c r="CI86" s="16">
        <f t="shared" si="108"/>
        <v>0.033747430364637</v>
      </c>
      <c r="CJ86" s="16">
        <f t="shared" si="108"/>
        <v>-0.00257323667105761</v>
      </c>
      <c r="CK86" s="16">
        <f t="shared" si="108"/>
        <v>-0.0334150605404587</v>
      </c>
      <c r="CL86" s="16">
        <f t="shared" si="108"/>
        <v>0.112529273206522</v>
      </c>
      <c r="CM86" s="16">
        <f t="shared" si="108"/>
        <v>0.0897329269038706</v>
      </c>
      <c r="CN86" s="16">
        <f t="shared" si="108"/>
        <v>0.0106430699761207</v>
      </c>
      <c r="CO86" s="16">
        <f t="shared" si="108"/>
        <v>0.0649865780908888</v>
      </c>
      <c r="CP86" s="16">
        <f t="shared" si="108"/>
        <v>0.0120913142869546</v>
      </c>
      <c r="CQ86" s="16">
        <f t="shared" si="108"/>
        <v>0.0772184499852472</v>
      </c>
      <c r="CR86" s="16">
        <f t="shared" si="108"/>
        <v>-0.0278070589175371</v>
      </c>
      <c r="CS86" s="16">
        <f t="shared" si="108"/>
        <v>-0.187144667216987</v>
      </c>
      <c r="CT86" s="16">
        <f t="shared" si="108"/>
        <v>-0.0367511238703244</v>
      </c>
      <c r="CU86" s="16">
        <f t="shared" si="108"/>
        <v>0.0369086233563701</v>
      </c>
      <c r="CV86" s="16">
        <f t="shared" si="108"/>
        <v>0.0246334481413526</v>
      </c>
      <c r="CW86" s="16">
        <f t="shared" si="108"/>
        <v>-0.00783956547690379</v>
      </c>
      <c r="CX86" s="16">
        <f t="shared" si="108"/>
        <v>0.0863846141988204</v>
      </c>
      <c r="CY86" s="16">
        <f t="shared" si="108"/>
        <v>-0.0153847661677121</v>
      </c>
      <c r="CZ86" s="16">
        <f t="shared" si="108"/>
        <v>0.0927420516986148</v>
      </c>
      <c r="DA86" s="16">
        <f t="shared" si="108"/>
        <v>-0.0369591215372247</v>
      </c>
      <c r="DB86" s="16">
        <f t="shared" si="108"/>
        <v>0.220529170740139</v>
      </c>
      <c r="DC86" s="16">
        <f t="shared" si="108"/>
        <v>0.0327552649797191</v>
      </c>
      <c r="DD86" s="16">
        <f t="shared" si="108"/>
        <v>0.0520788785356838</v>
      </c>
      <c r="DE86" s="16">
        <f t="shared" si="108"/>
        <v>0.0374378221412142</v>
      </c>
      <c r="DF86" s="16">
        <f t="shared" ref="DF86:DU86" si="109">LN(DF24/DF23)</f>
        <v>0.130158253084037</v>
      </c>
      <c r="DG86" s="16">
        <f t="shared" si="109"/>
        <v>-0.00183654780730139</v>
      </c>
      <c r="DH86" s="16">
        <f t="shared" si="109"/>
        <v>0.0630964687527523</v>
      </c>
      <c r="DI86" s="16">
        <f t="shared" si="109"/>
        <v>-0.0165764172554988</v>
      </c>
      <c r="DJ86" s="16">
        <f t="shared" si="109"/>
        <v>-0.0638479500397369</v>
      </c>
      <c r="DK86" s="16">
        <f t="shared" si="109"/>
        <v>0.0214060768660223</v>
      </c>
      <c r="DL86" s="16">
        <f t="shared" si="109"/>
        <v>-0.0801044921161961</v>
      </c>
      <c r="DM86" s="16">
        <f t="shared" si="109"/>
        <v>-0.085245802878795</v>
      </c>
      <c r="DN86" s="16">
        <f t="shared" si="109"/>
        <v>0.0257212246848804</v>
      </c>
      <c r="DO86" s="16">
        <f t="shared" si="109"/>
        <v>-0.0495828282578881</v>
      </c>
      <c r="DP86" s="16">
        <f t="shared" si="109"/>
        <v>-0.0473140870053534</v>
      </c>
      <c r="DQ86" s="16">
        <f t="shared" si="109"/>
        <v>-0.085972143587122</v>
      </c>
      <c r="DR86" s="16">
        <f t="shared" si="109"/>
        <v>-0.0667523933649723</v>
      </c>
      <c r="DS86" s="16">
        <f t="shared" si="109"/>
        <v>-0.0476774567660164</v>
      </c>
      <c r="DT86" s="16">
        <f t="shared" si="109"/>
        <v>-0.0607977577897241</v>
      </c>
      <c r="DU86" s="16">
        <f t="shared" si="109"/>
        <v>-0.0323993829105838</v>
      </c>
      <c r="DV86" s="16">
        <f t="shared" si="13"/>
        <v>-0.0426954258949094</v>
      </c>
      <c r="DW86" s="16">
        <f t="shared" si="14"/>
        <v>0.0117373804978221</v>
      </c>
      <c r="DX86" s="16">
        <f t="shared" si="14"/>
        <v>-0.0116032871901241</v>
      </c>
      <c r="DY86" s="16">
        <f t="shared" si="14"/>
        <v>-0.116056734410379</v>
      </c>
      <c r="DZ86" s="16">
        <f t="shared" si="14"/>
        <v>-0.0434325761898329</v>
      </c>
    </row>
    <row r="87" ht="14" spans="1:130">
      <c r="A87" s="32">
        <v>43344</v>
      </c>
      <c r="B87" s="16">
        <f t="shared" si="6"/>
        <v>0.0321514479177173</v>
      </c>
      <c r="C87" s="16">
        <f t="shared" si="6"/>
        <v>0.0680830339352532</v>
      </c>
      <c r="D87" s="16">
        <f t="shared" si="7"/>
        <v>0.0211010063438425</v>
      </c>
      <c r="E87" s="16">
        <f t="shared" si="7"/>
        <v>-0.0146938238163987</v>
      </c>
      <c r="F87" s="16">
        <f t="shared" si="7"/>
        <v>0.0336877414564174</v>
      </c>
      <c r="G87" s="16">
        <f t="shared" si="7"/>
        <v>0.0435349326334597</v>
      </c>
      <c r="H87" s="16">
        <f t="shared" si="7"/>
        <v>0.024954667837726</v>
      </c>
      <c r="I87" s="16">
        <f t="shared" ref="I87:M87" si="110">LN(I25/I24)</f>
        <v>0.0206140815804175</v>
      </c>
      <c r="J87" s="16">
        <f t="shared" si="110"/>
        <v>0.0338865208907547</v>
      </c>
      <c r="K87" s="16">
        <f t="shared" si="110"/>
        <v>-0.0173917427118692</v>
      </c>
      <c r="L87" s="16">
        <f t="shared" si="110"/>
        <v>-0.00932440128581097</v>
      </c>
      <c r="M87" s="16">
        <f t="shared" si="110"/>
        <v>0.0434598591979813</v>
      </c>
      <c r="N87" s="16">
        <f t="shared" ref="N87:AS87" si="111">LN(N25/N24)</f>
        <v>0.0206369508909302</v>
      </c>
      <c r="O87" s="16">
        <f t="shared" si="111"/>
        <v>0.0410970824372135</v>
      </c>
      <c r="P87" s="16">
        <f t="shared" si="111"/>
        <v>-0.00905505627456</v>
      </c>
      <c r="Q87" s="16">
        <f t="shared" si="111"/>
        <v>0.0452141888390301</v>
      </c>
      <c r="R87" s="16">
        <f t="shared" si="111"/>
        <v>0.0345999609198876</v>
      </c>
      <c r="S87" s="16">
        <f t="shared" si="111"/>
        <v>-0.00668486313816375</v>
      </c>
      <c r="T87" s="16">
        <f t="shared" si="111"/>
        <v>0.0930771652043405</v>
      </c>
      <c r="U87" s="16">
        <f t="shared" si="111"/>
        <v>0.0201259050538733</v>
      </c>
      <c r="V87" s="16">
        <f t="shared" si="111"/>
        <v>0.0475439410229253</v>
      </c>
      <c r="W87" s="16">
        <f t="shared" si="111"/>
        <v>0.0859142841752568</v>
      </c>
      <c r="X87" s="16">
        <f t="shared" si="111"/>
        <v>0.010540322528558</v>
      </c>
      <c r="Y87" s="16">
        <f t="shared" si="111"/>
        <v>-0.0668412525669742</v>
      </c>
      <c r="Z87" s="16">
        <f t="shared" si="111"/>
        <v>-0.00332755646502422</v>
      </c>
      <c r="AA87" s="16">
        <f t="shared" si="111"/>
        <v>0.0246926125903714</v>
      </c>
      <c r="AB87" s="16">
        <f t="shared" si="111"/>
        <v>0.0380908665333784</v>
      </c>
      <c r="AC87" s="16">
        <f t="shared" si="111"/>
        <v>0.0384934275251565</v>
      </c>
      <c r="AD87" s="16">
        <f t="shared" si="111"/>
        <v>0.0218382762610439</v>
      </c>
      <c r="AE87" s="16">
        <f t="shared" si="111"/>
        <v>0.0241454387388506</v>
      </c>
      <c r="AF87" s="16">
        <f t="shared" si="111"/>
        <v>0.0595339571222768</v>
      </c>
      <c r="AG87" s="16">
        <f t="shared" si="111"/>
        <v>-0.0351717448752601</v>
      </c>
      <c r="AH87" s="16">
        <f t="shared" si="111"/>
        <v>0.0967634950281829</v>
      </c>
      <c r="AI87" s="16">
        <f t="shared" si="111"/>
        <v>0.00947517520890432</v>
      </c>
      <c r="AJ87" s="16">
        <f t="shared" si="111"/>
        <v>-0.0268409126796894</v>
      </c>
      <c r="AK87" s="16">
        <f t="shared" si="111"/>
        <v>0.0579386566890853</v>
      </c>
      <c r="AL87" s="16">
        <f t="shared" si="111"/>
        <v>0.0530314191829134</v>
      </c>
      <c r="AM87" s="16">
        <f t="shared" si="111"/>
        <v>0.00175724485187367</v>
      </c>
      <c r="AN87" s="16">
        <f t="shared" si="111"/>
        <v>-0.0177573883999362</v>
      </c>
      <c r="AO87" s="16">
        <f t="shared" si="111"/>
        <v>0.119086181412641</v>
      </c>
      <c r="AP87" s="16">
        <f t="shared" si="111"/>
        <v>-0.0465288204282223</v>
      </c>
      <c r="AQ87" s="16">
        <f t="shared" si="111"/>
        <v>0.0471876033208204</v>
      </c>
      <c r="AR87" s="16">
        <f t="shared" si="111"/>
        <v>0.204779697783266</v>
      </c>
      <c r="AS87" s="16">
        <f t="shared" si="111"/>
        <v>-0.149433593044001</v>
      </c>
      <c r="AT87" s="16">
        <f t="shared" ref="AT87:BY87" si="112">LN(AT25/AT24)</f>
        <v>-0.0620240808802951</v>
      </c>
      <c r="AU87" s="16">
        <f t="shared" si="112"/>
        <v>-0.0855875405755997</v>
      </c>
      <c r="AV87" s="16">
        <f t="shared" si="112"/>
        <v>-0.0819934541218412</v>
      </c>
      <c r="AW87" s="16">
        <f t="shared" si="112"/>
        <v>0.0345580317077898</v>
      </c>
      <c r="AX87" s="16">
        <f t="shared" si="112"/>
        <v>-0.0025009236184098</v>
      </c>
      <c r="AY87" s="16">
        <f t="shared" si="112"/>
        <v>-0.00483693427009529</v>
      </c>
      <c r="AZ87" s="16">
        <f t="shared" si="112"/>
        <v>0.0407486357907954</v>
      </c>
      <c r="BA87" s="16">
        <f t="shared" si="112"/>
        <v>-0.00372458911663123</v>
      </c>
      <c r="BB87" s="16">
        <f t="shared" si="112"/>
        <v>0.0276449159550974</v>
      </c>
      <c r="BC87" s="16">
        <f t="shared" si="112"/>
        <v>0.021194663925285</v>
      </c>
      <c r="BD87" s="16">
        <f t="shared" si="112"/>
        <v>0.0034511275434543</v>
      </c>
      <c r="BE87" s="16">
        <f t="shared" si="112"/>
        <v>0.0444342969698133</v>
      </c>
      <c r="BF87" s="16">
        <f t="shared" si="112"/>
        <v>0.0425268923201699</v>
      </c>
      <c r="BG87" s="16">
        <f t="shared" si="112"/>
        <v>-0.0048360160091314</v>
      </c>
      <c r="BH87" s="16">
        <f t="shared" si="112"/>
        <v>-0.0470293317456882</v>
      </c>
      <c r="BI87" s="16">
        <f t="shared" si="112"/>
        <v>0.053775321487128</v>
      </c>
      <c r="BJ87" s="16">
        <f t="shared" si="112"/>
        <v>-0.0682998200756129</v>
      </c>
      <c r="BK87" s="16">
        <f t="shared" si="112"/>
        <v>0.0369366302487316</v>
      </c>
      <c r="BL87" s="16">
        <f t="shared" si="112"/>
        <v>0.0684314738384158</v>
      </c>
      <c r="BM87" s="16">
        <f t="shared" si="112"/>
        <v>-0.0426941495918996</v>
      </c>
      <c r="BN87" s="16">
        <f t="shared" si="112"/>
        <v>0.0326565426031602</v>
      </c>
      <c r="BO87" s="16">
        <f t="shared" si="112"/>
        <v>0.0363955054146148</v>
      </c>
      <c r="BP87" s="16">
        <f t="shared" si="112"/>
        <v>-0.00209469380458004</v>
      </c>
      <c r="BQ87" s="16">
        <f t="shared" si="112"/>
        <v>0.051546929612692</v>
      </c>
      <c r="BR87" s="16">
        <f t="shared" si="112"/>
        <v>-0.0374798408959758</v>
      </c>
      <c r="BS87" s="16">
        <f t="shared" si="112"/>
        <v>0.0164910802354331</v>
      </c>
      <c r="BT87" s="16">
        <f t="shared" si="112"/>
        <v>0.0445226826245197</v>
      </c>
      <c r="BU87" s="16">
        <f t="shared" si="112"/>
        <v>0.0495116804842492</v>
      </c>
      <c r="BV87" s="16">
        <f t="shared" si="112"/>
        <v>-0.0126737724997974</v>
      </c>
      <c r="BW87" s="16">
        <f t="shared" si="112"/>
        <v>0.155287575029415</v>
      </c>
      <c r="BX87" s="16">
        <f t="shared" si="112"/>
        <v>0.0325211141557962</v>
      </c>
      <c r="BY87" s="16">
        <f t="shared" si="112"/>
        <v>0.0258768319915487</v>
      </c>
      <c r="BZ87" s="16">
        <f t="shared" ref="BZ87:DE87" si="113">LN(BZ25/BZ24)</f>
        <v>0.00336986837355971</v>
      </c>
      <c r="CA87" s="16">
        <f t="shared" si="113"/>
        <v>0.0357021062511335</v>
      </c>
      <c r="CB87" s="16">
        <f t="shared" si="113"/>
        <v>-0.00187615562286268</v>
      </c>
      <c r="CC87" s="16">
        <f t="shared" si="113"/>
        <v>0.0457961650940736</v>
      </c>
      <c r="CD87" s="16">
        <f t="shared" si="113"/>
        <v>-0.0260027177913559</v>
      </c>
      <c r="CE87" s="16">
        <f t="shared" si="113"/>
        <v>0.0307853262473119</v>
      </c>
      <c r="CF87" s="16">
        <f t="shared" si="113"/>
        <v>-0.0626310489701834</v>
      </c>
      <c r="CG87" s="16">
        <f t="shared" si="113"/>
        <v>0.0391499599575436</v>
      </c>
      <c r="CH87" s="16">
        <f t="shared" si="113"/>
        <v>0.00560213893961072</v>
      </c>
      <c r="CI87" s="16">
        <f t="shared" si="113"/>
        <v>-0.00280279021368846</v>
      </c>
      <c r="CJ87" s="16">
        <f t="shared" si="113"/>
        <v>0.00809831531179929</v>
      </c>
      <c r="CK87" s="16">
        <f t="shared" si="113"/>
        <v>-0.0451229706224471</v>
      </c>
      <c r="CL87" s="16">
        <f t="shared" si="113"/>
        <v>-0.0212069673475794</v>
      </c>
      <c r="CM87" s="16">
        <f t="shared" si="113"/>
        <v>0.00636547787263471</v>
      </c>
      <c r="CN87" s="16">
        <f t="shared" si="113"/>
        <v>-0.0171287367362954</v>
      </c>
      <c r="CO87" s="16">
        <f t="shared" si="113"/>
        <v>0.0535528757482189</v>
      </c>
      <c r="CP87" s="16">
        <f t="shared" si="113"/>
        <v>0.0520414603035642</v>
      </c>
      <c r="CQ87" s="16">
        <f t="shared" si="113"/>
        <v>0.0367694284414198</v>
      </c>
      <c r="CR87" s="16">
        <f t="shared" si="113"/>
        <v>-0.0741663934096474</v>
      </c>
      <c r="CS87" s="16">
        <f t="shared" si="113"/>
        <v>-0.0573376769351463</v>
      </c>
      <c r="CT87" s="16">
        <f t="shared" si="113"/>
        <v>-0.0558416629575006</v>
      </c>
      <c r="CU87" s="16">
        <f t="shared" si="113"/>
        <v>-0.0218707459918297</v>
      </c>
      <c r="CV87" s="16">
        <f t="shared" si="113"/>
        <v>-0.0436303551949297</v>
      </c>
      <c r="CW87" s="16">
        <f t="shared" si="113"/>
        <v>-0.0130380966792137</v>
      </c>
      <c r="CX87" s="16">
        <f t="shared" si="113"/>
        <v>0.306469986317414</v>
      </c>
      <c r="CY87" s="16">
        <f t="shared" si="113"/>
        <v>0.0439799424844761</v>
      </c>
      <c r="CZ87" s="16">
        <f t="shared" si="113"/>
        <v>-0.0319330471030091</v>
      </c>
      <c r="DA87" s="16">
        <f t="shared" si="113"/>
        <v>-0.0701768767918378</v>
      </c>
      <c r="DB87" s="16">
        <f t="shared" si="113"/>
        <v>-0.271410292284044</v>
      </c>
      <c r="DC87" s="16">
        <f t="shared" si="113"/>
        <v>0.0109869814200743</v>
      </c>
      <c r="DD87" s="16">
        <f t="shared" si="113"/>
        <v>0.0438026541682602</v>
      </c>
      <c r="DE87" s="16">
        <f t="shared" si="113"/>
        <v>0.0565089369267114</v>
      </c>
      <c r="DF87" s="16">
        <f t="shared" ref="DF87:DU87" si="114">LN(DF25/DF24)</f>
        <v>-0.147549995795906</v>
      </c>
      <c r="DG87" s="16">
        <f t="shared" si="114"/>
        <v>0.0571584138399484</v>
      </c>
      <c r="DH87" s="16">
        <f t="shared" si="114"/>
        <v>-0.0785296589870692</v>
      </c>
      <c r="DI87" s="16">
        <f t="shared" si="114"/>
        <v>0.0689986350625748</v>
      </c>
      <c r="DJ87" s="16">
        <f t="shared" si="114"/>
        <v>0.0412804391819592</v>
      </c>
      <c r="DK87" s="16">
        <f t="shared" si="114"/>
        <v>0.0526539099799824</v>
      </c>
      <c r="DL87" s="16">
        <f t="shared" si="114"/>
        <v>-0.00292320825607216</v>
      </c>
      <c r="DM87" s="16">
        <f t="shared" si="114"/>
        <v>0.0760338612167996</v>
      </c>
      <c r="DN87" s="16">
        <f t="shared" si="114"/>
        <v>0.0610614372744702</v>
      </c>
      <c r="DO87" s="16">
        <f t="shared" si="114"/>
        <v>0.0283902131764489</v>
      </c>
      <c r="DP87" s="16">
        <f t="shared" si="114"/>
        <v>-0.0721926404051587</v>
      </c>
      <c r="DQ87" s="16">
        <f t="shared" si="114"/>
        <v>0.111268434993553</v>
      </c>
      <c r="DR87" s="16">
        <f t="shared" si="114"/>
        <v>-0.0361098455852427</v>
      </c>
      <c r="DS87" s="16">
        <f t="shared" si="114"/>
        <v>0.0309431019665819</v>
      </c>
      <c r="DT87" s="16">
        <f t="shared" si="114"/>
        <v>0.0246880251567511</v>
      </c>
      <c r="DU87" s="16">
        <f t="shared" si="114"/>
        <v>-0.0885770691234453</v>
      </c>
      <c r="DV87" s="16">
        <f t="shared" si="13"/>
        <v>0.0839839621393224</v>
      </c>
      <c r="DW87" s="16">
        <f t="shared" ref="DW87:DZ106" si="115">LN(DW25/DW24)</f>
        <v>-0.130439030746755</v>
      </c>
      <c r="DX87" s="16">
        <f t="shared" si="115"/>
        <v>0.0434392031123416</v>
      </c>
      <c r="DY87" s="16">
        <f t="shared" si="115"/>
        <v>-0.0239177427763207</v>
      </c>
      <c r="DZ87" s="16">
        <f t="shared" si="115"/>
        <v>-0.0245607049404987</v>
      </c>
    </row>
    <row r="88" ht="14" spans="1:130">
      <c r="A88" s="32">
        <v>43374</v>
      </c>
      <c r="B88" s="16">
        <f t="shared" si="6"/>
        <v>0.0130862048203306</v>
      </c>
      <c r="C88" s="16">
        <f t="shared" si="6"/>
        <v>-0.0231850005808384</v>
      </c>
      <c r="D88" s="16">
        <f t="shared" si="7"/>
        <v>0.0104756040232124</v>
      </c>
      <c r="E88" s="16">
        <f t="shared" si="7"/>
        <v>-0.194662373996502</v>
      </c>
      <c r="F88" s="16">
        <f t="shared" si="7"/>
        <v>0.0437465540059209</v>
      </c>
      <c r="G88" s="16">
        <f t="shared" si="7"/>
        <v>-0.0725167988927567</v>
      </c>
      <c r="H88" s="16">
        <f t="shared" si="7"/>
        <v>-0.205658734251866</v>
      </c>
      <c r="I88" s="16">
        <f t="shared" ref="I88:M88" si="116">LN(I26/I25)</f>
        <v>-0.0429749005088676</v>
      </c>
      <c r="J88" s="16">
        <f t="shared" si="116"/>
        <v>-0.165250211415099</v>
      </c>
      <c r="K88" s="16">
        <f t="shared" si="116"/>
        <v>-0.162947839953976</v>
      </c>
      <c r="L88" s="16">
        <f t="shared" si="116"/>
        <v>-0.0745060035173932</v>
      </c>
      <c r="M88" s="16">
        <f t="shared" si="116"/>
        <v>-0.0850284213967595</v>
      </c>
      <c r="N88" s="16">
        <f t="shared" ref="N88:AS88" si="117">LN(N26/N25)</f>
        <v>-0.0539173601056597</v>
      </c>
      <c r="O88" s="16">
        <f t="shared" si="117"/>
        <v>-0.107665745822471</v>
      </c>
      <c r="P88" s="16">
        <f t="shared" si="117"/>
        <v>-0.0144175315231217</v>
      </c>
      <c r="Q88" s="16">
        <f t="shared" si="117"/>
        <v>-0.083829068524262</v>
      </c>
      <c r="R88" s="16">
        <f t="shared" si="117"/>
        <v>0.008303972811986</v>
      </c>
      <c r="S88" s="16">
        <f t="shared" si="117"/>
        <v>-0.174806061467484</v>
      </c>
      <c r="T88" s="16">
        <f t="shared" si="117"/>
        <v>-0.062142159392716</v>
      </c>
      <c r="U88" s="16">
        <f t="shared" si="117"/>
        <v>-0.0909284376902489</v>
      </c>
      <c r="V88" s="16">
        <f t="shared" si="117"/>
        <v>-0.0883530341587369</v>
      </c>
      <c r="W88" s="16">
        <f t="shared" si="117"/>
        <v>-0.121467091179901</v>
      </c>
      <c r="X88" s="16">
        <f t="shared" si="117"/>
        <v>-0.0155195805069497</v>
      </c>
      <c r="Y88" s="16">
        <f t="shared" si="117"/>
        <v>-0.158029083800239</v>
      </c>
      <c r="Z88" s="16">
        <f t="shared" si="117"/>
        <v>-0.121353845459656</v>
      </c>
      <c r="AA88" s="16">
        <f t="shared" si="117"/>
        <v>-0.0965339247905565</v>
      </c>
      <c r="AB88" s="16">
        <f t="shared" si="117"/>
        <v>-0.0851997505306296</v>
      </c>
      <c r="AC88" s="16">
        <f t="shared" si="117"/>
        <v>-0.209647300995931</v>
      </c>
      <c r="AD88" s="16">
        <f t="shared" si="117"/>
        <v>-0.0683868361057249</v>
      </c>
      <c r="AE88" s="16">
        <f t="shared" si="117"/>
        <v>-0.0938813067049886</v>
      </c>
      <c r="AF88" s="16">
        <f t="shared" si="117"/>
        <v>-0.0541963065254648</v>
      </c>
      <c r="AG88" s="16">
        <f t="shared" si="117"/>
        <v>-0.096598911698173</v>
      </c>
      <c r="AH88" s="16">
        <f t="shared" si="117"/>
        <v>-0.115807098135201</v>
      </c>
      <c r="AI88" s="16">
        <f t="shared" si="117"/>
        <v>-0.116300872050648</v>
      </c>
      <c r="AJ88" s="16">
        <f t="shared" si="117"/>
        <v>-0.0123798004735919</v>
      </c>
      <c r="AK88" s="16">
        <f t="shared" si="117"/>
        <v>-0.159097127222075</v>
      </c>
      <c r="AL88" s="16">
        <f t="shared" si="117"/>
        <v>-0.129028458113436</v>
      </c>
      <c r="AM88" s="16">
        <f t="shared" si="117"/>
        <v>-0.28737342054066</v>
      </c>
      <c r="AN88" s="16">
        <f t="shared" si="117"/>
        <v>-0.00870771041545732</v>
      </c>
      <c r="AO88" s="16">
        <f t="shared" si="117"/>
        <v>-0.0914480956377813</v>
      </c>
      <c r="AP88" s="16">
        <f t="shared" si="117"/>
        <v>-0.144765524293612</v>
      </c>
      <c r="AQ88" s="16">
        <f t="shared" si="117"/>
        <v>-0.126630986088032</v>
      </c>
      <c r="AR88" s="16">
        <f t="shared" si="117"/>
        <v>-0.528461613190974</v>
      </c>
      <c r="AS88" s="16">
        <f t="shared" si="117"/>
        <v>-0.181569960612695</v>
      </c>
      <c r="AT88" s="16">
        <f t="shared" ref="AT88:BY88" si="118">LN(AT26/AT25)</f>
        <v>-0.0994175380582851</v>
      </c>
      <c r="AU88" s="16">
        <f t="shared" si="118"/>
        <v>-0.128490731512764</v>
      </c>
      <c r="AV88" s="16">
        <f t="shared" si="118"/>
        <v>-0.181992076248049</v>
      </c>
      <c r="AW88" s="16">
        <f t="shared" si="118"/>
        <v>0.0628454725635598</v>
      </c>
      <c r="AX88" s="16">
        <f t="shared" si="118"/>
        <v>-0.0445216853489465</v>
      </c>
      <c r="AY88" s="16">
        <f t="shared" si="118"/>
        <v>-0.0309514587804426</v>
      </c>
      <c r="AZ88" s="16">
        <f t="shared" si="118"/>
        <v>-0.147361645677575</v>
      </c>
      <c r="BA88" s="16">
        <f t="shared" si="118"/>
        <v>-0.0775071187479386</v>
      </c>
      <c r="BB88" s="16">
        <f t="shared" si="118"/>
        <v>-0.0493602189381115</v>
      </c>
      <c r="BC88" s="16">
        <f t="shared" si="118"/>
        <v>-0.149434399949727</v>
      </c>
      <c r="BD88" s="16">
        <f t="shared" si="118"/>
        <v>-0.125757230977111</v>
      </c>
      <c r="BE88" s="16">
        <f t="shared" si="118"/>
        <v>-0.0596858558622865</v>
      </c>
      <c r="BF88" s="16">
        <f t="shared" si="118"/>
        <v>-0.270005263220327</v>
      </c>
      <c r="BG88" s="16">
        <f t="shared" si="118"/>
        <v>-0.2258869515369</v>
      </c>
      <c r="BH88" s="16">
        <f t="shared" si="118"/>
        <v>-0.128783680064798</v>
      </c>
      <c r="BI88" s="16">
        <f t="shared" si="118"/>
        <v>-0.18927443820799</v>
      </c>
      <c r="BJ88" s="16">
        <f t="shared" si="118"/>
        <v>0.0939941218067469</v>
      </c>
      <c r="BK88" s="16">
        <f t="shared" si="118"/>
        <v>0.0558560185058641</v>
      </c>
      <c r="BL88" s="16">
        <f t="shared" si="118"/>
        <v>0.0248470481199774</v>
      </c>
      <c r="BM88" s="16">
        <f t="shared" si="118"/>
        <v>-0.0426265462487522</v>
      </c>
      <c r="BN88" s="16">
        <f t="shared" si="118"/>
        <v>-0.121330278362599</v>
      </c>
      <c r="BO88" s="16">
        <f t="shared" si="118"/>
        <v>-0.163641006581405</v>
      </c>
      <c r="BP88" s="16">
        <f t="shared" si="118"/>
        <v>-0.170914322217523</v>
      </c>
      <c r="BQ88" s="16">
        <f t="shared" si="118"/>
        <v>0.0182457893559494</v>
      </c>
      <c r="BR88" s="16">
        <f t="shared" si="118"/>
        <v>-0.0773359021910215</v>
      </c>
      <c r="BS88" s="16">
        <f t="shared" si="118"/>
        <v>-0.056730374532054</v>
      </c>
      <c r="BT88" s="16">
        <f t="shared" si="118"/>
        <v>-0.12921712580764</v>
      </c>
      <c r="BU88" s="16">
        <f t="shared" si="118"/>
        <v>-0.00551501825983473</v>
      </c>
      <c r="BV88" s="16">
        <f t="shared" si="118"/>
        <v>-0.0904367419409701</v>
      </c>
      <c r="BW88" s="16">
        <f t="shared" si="118"/>
        <v>0.0676280218179748</v>
      </c>
      <c r="BX88" s="16">
        <f t="shared" si="118"/>
        <v>0.0110522845841703</v>
      </c>
      <c r="BY88" s="16">
        <f t="shared" si="118"/>
        <v>-0.0518995827475221</v>
      </c>
      <c r="BZ88" s="16">
        <f t="shared" ref="BZ88:DE88" si="119">LN(BZ26/BZ25)</f>
        <v>0.0634266794760997</v>
      </c>
      <c r="CA88" s="16">
        <f t="shared" si="119"/>
        <v>0.0444046326724339</v>
      </c>
      <c r="CB88" s="16">
        <f t="shared" si="119"/>
        <v>0.0134115577858825</v>
      </c>
      <c r="CC88" s="16">
        <f t="shared" si="119"/>
        <v>0.0911057635316634</v>
      </c>
      <c r="CD88" s="16">
        <f t="shared" si="119"/>
        <v>-0.0368730104765106</v>
      </c>
      <c r="CE88" s="16">
        <f t="shared" si="119"/>
        <v>-0.0250879790580015</v>
      </c>
      <c r="CF88" s="16">
        <f t="shared" si="119"/>
        <v>-0.168643811154899</v>
      </c>
      <c r="CG88" s="16">
        <f t="shared" si="119"/>
        <v>-0.0557509398868891</v>
      </c>
      <c r="CH88" s="16">
        <f t="shared" si="119"/>
        <v>-0.0170449149734507</v>
      </c>
      <c r="CI88" s="16">
        <f t="shared" si="119"/>
        <v>-0.0722334858306972</v>
      </c>
      <c r="CJ88" s="16">
        <f t="shared" si="119"/>
        <v>-0.117129703440435</v>
      </c>
      <c r="CK88" s="16">
        <f t="shared" si="119"/>
        <v>-0.00254354877899794</v>
      </c>
      <c r="CL88" s="16">
        <f t="shared" si="119"/>
        <v>-0.0265611894484274</v>
      </c>
      <c r="CM88" s="16">
        <f t="shared" si="119"/>
        <v>0.102208532449374</v>
      </c>
      <c r="CN88" s="16">
        <f t="shared" si="119"/>
        <v>-0.06703636078396</v>
      </c>
      <c r="CO88" s="16">
        <f t="shared" si="119"/>
        <v>0.0889070735843402</v>
      </c>
      <c r="CP88" s="16">
        <f t="shared" si="119"/>
        <v>0</v>
      </c>
      <c r="CQ88" s="16">
        <f t="shared" si="119"/>
        <v>-0.013116415770011</v>
      </c>
      <c r="CR88" s="16">
        <f t="shared" si="119"/>
        <v>0.0210706809591834</v>
      </c>
      <c r="CS88" s="16">
        <f t="shared" si="119"/>
        <v>-0.245560672054958</v>
      </c>
      <c r="CT88" s="16">
        <f t="shared" si="119"/>
        <v>-0.0550230460123396</v>
      </c>
      <c r="CU88" s="16">
        <f t="shared" si="119"/>
        <v>-0.0240571042313898</v>
      </c>
      <c r="CV88" s="16">
        <f t="shared" si="119"/>
        <v>-0.0915147050978037</v>
      </c>
      <c r="CW88" s="16">
        <f t="shared" si="119"/>
        <v>-0.0861094744444119</v>
      </c>
      <c r="CX88" s="16">
        <f t="shared" si="119"/>
        <v>-0.0828667705501555</v>
      </c>
      <c r="CY88" s="16">
        <f t="shared" si="119"/>
        <v>0.0712849900090966</v>
      </c>
      <c r="CZ88" s="16">
        <f t="shared" si="119"/>
        <v>-0.102741856223592</v>
      </c>
      <c r="DA88" s="16">
        <f t="shared" si="119"/>
        <v>-0.185492977852807</v>
      </c>
      <c r="DB88" s="16">
        <f t="shared" si="119"/>
        <v>-0.0878108973200469</v>
      </c>
      <c r="DC88" s="16">
        <f t="shared" si="119"/>
        <v>-0.268438402421313</v>
      </c>
      <c r="DD88" s="16">
        <f t="shared" si="119"/>
        <v>-0.0319330284201679</v>
      </c>
      <c r="DE88" s="16">
        <f t="shared" si="119"/>
        <v>-0.211415876131656</v>
      </c>
      <c r="DF88" s="16">
        <f t="shared" ref="DF88:DU88" si="120">LN(DF26/DF25)</f>
        <v>0.00481296050500903</v>
      </c>
      <c r="DG88" s="16">
        <f t="shared" si="120"/>
        <v>-0.060841659256245</v>
      </c>
      <c r="DH88" s="16">
        <f t="shared" si="120"/>
        <v>-0.0018817899659634</v>
      </c>
      <c r="DI88" s="16">
        <f t="shared" si="120"/>
        <v>-0.0648678029789602</v>
      </c>
      <c r="DJ88" s="16">
        <f t="shared" si="120"/>
        <v>-0.0909445935513872</v>
      </c>
      <c r="DK88" s="16">
        <f t="shared" si="120"/>
        <v>-0.10192088983561</v>
      </c>
      <c r="DL88" s="16">
        <f t="shared" si="120"/>
        <v>-0.166959072474873</v>
      </c>
      <c r="DM88" s="16">
        <f t="shared" si="120"/>
        <v>-0.1914724623831</v>
      </c>
      <c r="DN88" s="16">
        <f t="shared" si="120"/>
        <v>-0.216932050665124</v>
      </c>
      <c r="DO88" s="16">
        <f t="shared" si="120"/>
        <v>-0.192947305487697</v>
      </c>
      <c r="DP88" s="16">
        <f t="shared" si="120"/>
        <v>-0.207310684731411</v>
      </c>
      <c r="DQ88" s="16">
        <f t="shared" si="120"/>
        <v>-0.184973596164189</v>
      </c>
      <c r="DR88" s="16">
        <f t="shared" si="120"/>
        <v>-0.163727952754288</v>
      </c>
      <c r="DS88" s="16">
        <f t="shared" si="120"/>
        <v>-0.237058544602223</v>
      </c>
      <c r="DT88" s="16">
        <f t="shared" si="120"/>
        <v>-0.172450081269695</v>
      </c>
      <c r="DU88" s="16">
        <f t="shared" si="120"/>
        <v>-0.156442884286893</v>
      </c>
      <c r="DV88" s="16">
        <f t="shared" si="13"/>
        <v>-0.231199802873533</v>
      </c>
      <c r="DW88" s="16">
        <f t="shared" si="115"/>
        <v>0.24217051011309</v>
      </c>
      <c r="DX88" s="16">
        <f t="shared" si="115"/>
        <v>-0.156210166743818</v>
      </c>
      <c r="DY88" s="16">
        <f t="shared" si="115"/>
        <v>-0.0646781365501222</v>
      </c>
      <c r="DZ88" s="16">
        <f t="shared" si="115"/>
        <v>0.0319176310879786</v>
      </c>
    </row>
    <row r="89" ht="14" spans="1:130">
      <c r="A89" s="32">
        <v>43405</v>
      </c>
      <c r="B89" s="16">
        <f t="shared" si="6"/>
        <v>0.0481810492634864</v>
      </c>
      <c r="C89" s="16">
        <f t="shared" si="6"/>
        <v>0.0710346148580242</v>
      </c>
      <c r="D89" s="16">
        <f t="shared" si="7"/>
        <v>0.0898966949666424</v>
      </c>
      <c r="E89" s="16">
        <f t="shared" si="7"/>
        <v>0.202019925184582</v>
      </c>
      <c r="F89" s="16">
        <f t="shared" si="7"/>
        <v>0.0749615522351413</v>
      </c>
      <c r="G89" s="16">
        <f t="shared" si="7"/>
        <v>0.0771376326249716</v>
      </c>
      <c r="H89" s="16">
        <f t="shared" si="7"/>
        <v>0.062573694382351</v>
      </c>
      <c r="I89" s="16">
        <f t="shared" ref="I89:M89" si="121">LN(I27/I26)</f>
        <v>0.0658351572961592</v>
      </c>
      <c r="J89" s="16">
        <f t="shared" si="121"/>
        <v>0.0812903992973577</v>
      </c>
      <c r="K89" s="16">
        <f t="shared" si="121"/>
        <v>-0.0402093215977278</v>
      </c>
      <c r="L89" s="16">
        <f t="shared" si="121"/>
        <v>-0.0242426874604876</v>
      </c>
      <c r="M89" s="16">
        <f t="shared" si="121"/>
        <v>0.112478514889867</v>
      </c>
      <c r="N89" s="16">
        <f t="shared" ref="N89:AS89" si="122">LN(N27/N26)</f>
        <v>0.0172584928815655</v>
      </c>
      <c r="O89" s="16">
        <f t="shared" si="122"/>
        <v>0.152116080487892</v>
      </c>
      <c r="P89" s="16">
        <f t="shared" si="122"/>
        <v>0.0737741673907661</v>
      </c>
      <c r="Q89" s="16">
        <f t="shared" si="122"/>
        <v>0.109343344664113</v>
      </c>
      <c r="R89" s="16">
        <f t="shared" si="122"/>
        <v>0.0512799301407693</v>
      </c>
      <c r="S89" s="16">
        <f t="shared" si="122"/>
        <v>0.0749687702234609</v>
      </c>
      <c r="T89" s="16">
        <f t="shared" si="122"/>
        <v>0.0756071837371465</v>
      </c>
      <c r="U89" s="16">
        <f t="shared" si="122"/>
        <v>0.0823524121755312</v>
      </c>
      <c r="V89" s="16">
        <f t="shared" si="122"/>
        <v>0.0784574238132376</v>
      </c>
      <c r="W89" s="16">
        <f t="shared" si="122"/>
        <v>-0.0172525844452088</v>
      </c>
      <c r="X89" s="16">
        <f t="shared" si="122"/>
        <v>0.0404357377799977</v>
      </c>
      <c r="Y89" s="16">
        <f t="shared" si="122"/>
        <v>0.0802150614168208</v>
      </c>
      <c r="Z89" s="16">
        <f t="shared" si="122"/>
        <v>0.0921503015574552</v>
      </c>
      <c r="AA89" s="16">
        <f t="shared" si="122"/>
        <v>0.0184216986470744</v>
      </c>
      <c r="AB89" s="16">
        <f t="shared" si="122"/>
        <v>0.0539375330166844</v>
      </c>
      <c r="AC89" s="16">
        <f t="shared" si="122"/>
        <v>0.0922370081673304</v>
      </c>
      <c r="AD89" s="16">
        <f t="shared" si="122"/>
        <v>0.0374866802676018</v>
      </c>
      <c r="AE89" s="16">
        <f t="shared" si="122"/>
        <v>0.0206591461022367</v>
      </c>
      <c r="AF89" s="16">
        <f t="shared" si="122"/>
        <v>0.00237868644959386</v>
      </c>
      <c r="AG89" s="16">
        <f t="shared" si="122"/>
        <v>0.0265624257320173</v>
      </c>
      <c r="AH89" s="16">
        <f t="shared" si="122"/>
        <v>-0.107011373260667</v>
      </c>
      <c r="AI89" s="16">
        <f t="shared" si="122"/>
        <v>0.0906178866148905</v>
      </c>
      <c r="AJ89" s="16">
        <f t="shared" si="122"/>
        <v>-0.0496555904458608</v>
      </c>
      <c r="AK89" s="16">
        <f t="shared" si="122"/>
        <v>0.197359420583772</v>
      </c>
      <c r="AL89" s="16">
        <f t="shared" si="122"/>
        <v>-0.019064652291103</v>
      </c>
      <c r="AM89" s="16">
        <f t="shared" si="122"/>
        <v>-0.254667491850027</v>
      </c>
      <c r="AN89" s="16">
        <f t="shared" si="122"/>
        <v>0.0505356642129596</v>
      </c>
      <c r="AO89" s="16">
        <f t="shared" si="122"/>
        <v>0.060422131228807</v>
      </c>
      <c r="AP89" s="16">
        <f t="shared" si="122"/>
        <v>0.0814742172389066</v>
      </c>
      <c r="AQ89" s="16">
        <f t="shared" si="122"/>
        <v>-0.0764712288808415</v>
      </c>
      <c r="AR89" s="16">
        <f t="shared" si="122"/>
        <v>0.156736178975863</v>
      </c>
      <c r="AS89" s="16">
        <f t="shared" si="122"/>
        <v>0.0220250764197903</v>
      </c>
      <c r="AT89" s="16">
        <f t="shared" ref="AT89:BY89" si="123">LN(AT27/AT26)</f>
        <v>0.0935599369782721</v>
      </c>
      <c r="AU89" s="16">
        <f t="shared" si="123"/>
        <v>0.105933969596419</v>
      </c>
      <c r="AV89" s="16">
        <f t="shared" si="123"/>
        <v>0.131172318385824</v>
      </c>
      <c r="AW89" s="16">
        <f t="shared" si="123"/>
        <v>0.0799976586682036</v>
      </c>
      <c r="AX89" s="16">
        <f t="shared" si="123"/>
        <v>-0.175842090391967</v>
      </c>
      <c r="AY89" s="16">
        <f t="shared" si="123"/>
        <v>-0.203395448607367</v>
      </c>
      <c r="AZ89" s="16">
        <f t="shared" si="123"/>
        <v>0.0394336806317106</v>
      </c>
      <c r="BA89" s="16">
        <f t="shared" si="123"/>
        <v>0.0230962192366394</v>
      </c>
      <c r="BB89" s="16">
        <f t="shared" si="123"/>
        <v>0.00752888803758321</v>
      </c>
      <c r="BC89" s="16">
        <f t="shared" si="123"/>
        <v>0.0797731440953346</v>
      </c>
      <c r="BD89" s="16">
        <f t="shared" si="123"/>
        <v>0.0242161762781905</v>
      </c>
      <c r="BE89" s="16">
        <f t="shared" si="123"/>
        <v>-0.048376006484659</v>
      </c>
      <c r="BF89" s="16">
        <f t="shared" si="123"/>
        <v>0.0737922759374123</v>
      </c>
      <c r="BG89" s="16">
        <f t="shared" si="123"/>
        <v>0.0560700104451704</v>
      </c>
      <c r="BH89" s="16">
        <f t="shared" si="123"/>
        <v>0.0278551953086352</v>
      </c>
      <c r="BI89" s="16">
        <f t="shared" si="123"/>
        <v>0.239749959618251</v>
      </c>
      <c r="BJ89" s="16">
        <f t="shared" si="123"/>
        <v>0.0364945167509241</v>
      </c>
      <c r="BK89" s="16">
        <f t="shared" si="123"/>
        <v>0.0635664951465493</v>
      </c>
      <c r="BL89" s="16">
        <f t="shared" si="123"/>
        <v>0.135417270100574</v>
      </c>
      <c r="BM89" s="16">
        <f t="shared" si="123"/>
        <v>0.0437096527650574</v>
      </c>
      <c r="BN89" s="16">
        <f t="shared" si="123"/>
        <v>0.00106541701453803</v>
      </c>
      <c r="BO89" s="16">
        <f t="shared" si="123"/>
        <v>0.0249313910852506</v>
      </c>
      <c r="BP89" s="16">
        <f t="shared" si="123"/>
        <v>0.0634078690396214</v>
      </c>
      <c r="BQ89" s="16">
        <f t="shared" si="123"/>
        <v>0.0918546610340076</v>
      </c>
      <c r="BR89" s="16">
        <f t="shared" si="123"/>
        <v>0.091261592814823</v>
      </c>
      <c r="BS89" s="16">
        <f t="shared" si="123"/>
        <v>0.00918640934046666</v>
      </c>
      <c r="BT89" s="16">
        <f t="shared" si="123"/>
        <v>0.0731004425168762</v>
      </c>
      <c r="BU89" s="16">
        <f t="shared" si="123"/>
        <v>0.0198220037212705</v>
      </c>
      <c r="BV89" s="16">
        <f t="shared" si="123"/>
        <v>0.0312418242878213</v>
      </c>
      <c r="BW89" s="16">
        <f t="shared" si="123"/>
        <v>0.0210597565596599</v>
      </c>
      <c r="BX89" s="16">
        <f t="shared" si="123"/>
        <v>0.0346521029924306</v>
      </c>
      <c r="BY89" s="16">
        <f t="shared" si="123"/>
        <v>0.106480026320268</v>
      </c>
      <c r="BZ89" s="16">
        <f t="shared" ref="BZ89:DE89" si="124">LN(BZ27/BZ26)</f>
        <v>0.0724685023620911</v>
      </c>
      <c r="CA89" s="16">
        <f t="shared" si="124"/>
        <v>0.0512934783134225</v>
      </c>
      <c r="CB89" s="16">
        <f t="shared" si="124"/>
        <v>0.0816437185385878</v>
      </c>
      <c r="CC89" s="16">
        <f t="shared" si="124"/>
        <v>-0.0176409601415132</v>
      </c>
      <c r="CD89" s="16">
        <f t="shared" si="124"/>
        <v>0.0244256937078336</v>
      </c>
      <c r="CE89" s="16">
        <f t="shared" si="124"/>
        <v>0.0438289586128646</v>
      </c>
      <c r="CF89" s="16">
        <f t="shared" si="124"/>
        <v>0.0383209192244837</v>
      </c>
      <c r="CG89" s="16">
        <f t="shared" si="124"/>
        <v>0.0372764350723507</v>
      </c>
      <c r="CH89" s="16">
        <f t="shared" si="124"/>
        <v>0.0690244984468771</v>
      </c>
      <c r="CI89" s="16">
        <f t="shared" si="124"/>
        <v>0.0199356004890099</v>
      </c>
      <c r="CJ89" s="16">
        <f t="shared" si="124"/>
        <v>0.071169392201081</v>
      </c>
      <c r="CK89" s="16">
        <f t="shared" si="124"/>
        <v>-0.0726117788300547</v>
      </c>
      <c r="CL89" s="16">
        <f t="shared" si="124"/>
        <v>-0.0517015807300448</v>
      </c>
      <c r="CM89" s="16">
        <f t="shared" si="124"/>
        <v>0.0372685572964099</v>
      </c>
      <c r="CN89" s="16">
        <f t="shared" si="124"/>
        <v>-0.0283453493352115</v>
      </c>
      <c r="CO89" s="16">
        <f t="shared" si="124"/>
        <v>0.0446610151457917</v>
      </c>
      <c r="CP89" s="16">
        <f t="shared" si="124"/>
        <v>0.108740686428433</v>
      </c>
      <c r="CQ89" s="16">
        <f t="shared" si="124"/>
        <v>0.115878549815063</v>
      </c>
      <c r="CR89" s="16">
        <f t="shared" si="124"/>
        <v>0.056060697232501</v>
      </c>
      <c r="CS89" s="16">
        <f t="shared" si="124"/>
        <v>0.38767606479443</v>
      </c>
      <c r="CT89" s="16">
        <f t="shared" si="124"/>
        <v>0.128806500882668</v>
      </c>
      <c r="CU89" s="16">
        <f t="shared" si="124"/>
        <v>0.116397906680913</v>
      </c>
      <c r="CV89" s="16">
        <f t="shared" si="124"/>
        <v>0.0789303012060773</v>
      </c>
      <c r="CW89" s="16">
        <f t="shared" si="124"/>
        <v>0.0385499165909631</v>
      </c>
      <c r="CX89" s="16">
        <f t="shared" si="124"/>
        <v>0</v>
      </c>
      <c r="CY89" s="16">
        <f t="shared" si="124"/>
        <v>-0.183593572803661</v>
      </c>
      <c r="CZ89" s="16">
        <f t="shared" si="124"/>
        <v>-0.0389984429895205</v>
      </c>
      <c r="DA89" s="16">
        <f t="shared" si="124"/>
        <v>-0.0133126476666076</v>
      </c>
      <c r="DB89" s="16">
        <f t="shared" si="124"/>
        <v>-0.0939613598171407</v>
      </c>
      <c r="DC89" s="16">
        <f t="shared" si="124"/>
        <v>0.0812026713194767</v>
      </c>
      <c r="DD89" s="16">
        <f t="shared" si="124"/>
        <v>-0.115573080726024</v>
      </c>
      <c r="DE89" s="16">
        <f t="shared" si="124"/>
        <v>0.0472479137178399</v>
      </c>
      <c r="DF89" s="16">
        <f t="shared" ref="DF89:DU89" si="125">LN(DF27/DF26)</f>
        <v>-0.0305807122539203</v>
      </c>
      <c r="DG89" s="16">
        <f t="shared" si="125"/>
        <v>-0.0375984135570075</v>
      </c>
      <c r="DH89" s="16">
        <f t="shared" si="125"/>
        <v>0.0442134971420203</v>
      </c>
      <c r="DI89" s="16">
        <f t="shared" si="125"/>
        <v>-0.00226152516259467</v>
      </c>
      <c r="DJ89" s="16">
        <f t="shared" si="125"/>
        <v>0.0632503553253973</v>
      </c>
      <c r="DK89" s="16">
        <f t="shared" si="125"/>
        <v>-0.0504883140439999</v>
      </c>
      <c r="DL89" s="16">
        <f t="shared" si="125"/>
        <v>0.00325413002015312</v>
      </c>
      <c r="DM89" s="16">
        <f t="shared" si="125"/>
        <v>-0.0176625630631328</v>
      </c>
      <c r="DN89" s="16">
        <f t="shared" si="125"/>
        <v>-0.0630994401454576</v>
      </c>
      <c r="DO89" s="16">
        <f t="shared" si="125"/>
        <v>0.0466078804489684</v>
      </c>
      <c r="DP89" s="16">
        <f t="shared" si="125"/>
        <v>-0.181211097980964</v>
      </c>
      <c r="DQ89" s="16">
        <f t="shared" si="125"/>
        <v>-0.0177789073602574</v>
      </c>
      <c r="DR89" s="16">
        <f t="shared" si="125"/>
        <v>-0.12900327269306</v>
      </c>
      <c r="DS89" s="16">
        <f t="shared" si="125"/>
        <v>-0.156652045407807</v>
      </c>
      <c r="DT89" s="16">
        <f t="shared" si="125"/>
        <v>-0.130169715392196</v>
      </c>
      <c r="DU89" s="16">
        <f t="shared" si="125"/>
        <v>-0.136330409487475</v>
      </c>
      <c r="DV89" s="16">
        <f t="shared" si="13"/>
        <v>-0.0681236893092605</v>
      </c>
      <c r="DW89" s="16">
        <f t="shared" si="115"/>
        <v>0.0382716087992023</v>
      </c>
      <c r="DX89" s="16">
        <f t="shared" si="115"/>
        <v>-0.0662761528639914</v>
      </c>
      <c r="DY89" s="16">
        <f t="shared" si="115"/>
        <v>0.0127134023265777</v>
      </c>
      <c r="DZ89" s="16">
        <f t="shared" si="115"/>
        <v>0.00303632526197083</v>
      </c>
    </row>
    <row r="90" ht="14" spans="1:130">
      <c r="A90" s="32">
        <v>43435</v>
      </c>
      <c r="B90" s="16">
        <f t="shared" si="6"/>
        <v>-0.123204806295347</v>
      </c>
      <c r="C90" s="16">
        <f t="shared" si="6"/>
        <v>-0.0497386317426917</v>
      </c>
      <c r="D90" s="16">
        <f t="shared" si="7"/>
        <v>-0.0198984629937735</v>
      </c>
      <c r="E90" s="16">
        <f t="shared" si="7"/>
        <v>-0.0223112058707047</v>
      </c>
      <c r="F90" s="16">
        <f t="shared" si="7"/>
        <v>-0.0376291748513718</v>
      </c>
      <c r="G90" s="16">
        <f t="shared" si="7"/>
        <v>-0.0604756084002899</v>
      </c>
      <c r="H90" s="16">
        <f t="shared" si="7"/>
        <v>-0.0280748015272139</v>
      </c>
      <c r="I90" s="16">
        <f t="shared" ref="I90:M90" si="126">LN(I28/I27)</f>
        <v>-0.108951497435158</v>
      </c>
      <c r="J90" s="16">
        <f t="shared" si="126"/>
        <v>-0.118016396216174</v>
      </c>
      <c r="K90" s="16">
        <f t="shared" si="126"/>
        <v>-0.0910886358568806</v>
      </c>
      <c r="L90" s="16">
        <f t="shared" si="126"/>
        <v>-0.0785519347659741</v>
      </c>
      <c r="M90" s="16">
        <f t="shared" si="126"/>
        <v>-0.0699805786070877</v>
      </c>
      <c r="N90" s="16">
        <f t="shared" ref="N90:AS90" si="127">LN(N28/N27)</f>
        <v>-0.0738189450354318</v>
      </c>
      <c r="O90" s="16">
        <f t="shared" si="127"/>
        <v>-0.118384007835319</v>
      </c>
      <c r="P90" s="16">
        <f t="shared" si="127"/>
        <v>-0.118509613013983</v>
      </c>
      <c r="Q90" s="16">
        <f t="shared" si="127"/>
        <v>-0.202167908808676</v>
      </c>
      <c r="R90" s="16">
        <f t="shared" si="127"/>
        <v>-0.0993757192422758</v>
      </c>
      <c r="S90" s="16">
        <f t="shared" si="127"/>
        <v>0.0212414128559118</v>
      </c>
      <c r="T90" s="16">
        <f t="shared" si="127"/>
        <v>-0.023501607632817</v>
      </c>
      <c r="U90" s="16">
        <f t="shared" si="127"/>
        <v>-0.0697399397868331</v>
      </c>
      <c r="V90" s="16">
        <f t="shared" si="127"/>
        <v>-0.112758341441977</v>
      </c>
      <c r="W90" s="16">
        <f t="shared" si="127"/>
        <v>-0.240314084451226</v>
      </c>
      <c r="X90" s="16">
        <f t="shared" si="127"/>
        <v>-0.0915603576070993</v>
      </c>
      <c r="Y90" s="16">
        <f t="shared" si="127"/>
        <v>-0.211691095352194</v>
      </c>
      <c r="Z90" s="16">
        <f t="shared" si="127"/>
        <v>-0.114879091891684</v>
      </c>
      <c r="AA90" s="16">
        <f t="shared" si="127"/>
        <v>-0.102983601327441</v>
      </c>
      <c r="AB90" s="16">
        <f t="shared" si="127"/>
        <v>0.0219655374235744</v>
      </c>
      <c r="AC90" s="16">
        <f t="shared" si="127"/>
        <v>-0.0378426856741456</v>
      </c>
      <c r="AD90" s="16">
        <f t="shared" si="127"/>
        <v>-0.0834793711101889</v>
      </c>
      <c r="AE90" s="16">
        <f t="shared" si="127"/>
        <v>-0.103418213353336</v>
      </c>
      <c r="AF90" s="16">
        <f t="shared" si="127"/>
        <v>-0.0769200282226561</v>
      </c>
      <c r="AG90" s="16">
        <f t="shared" si="127"/>
        <v>-0.0874663225523619</v>
      </c>
      <c r="AH90" s="16">
        <f t="shared" si="127"/>
        <v>-0.0472812814372776</v>
      </c>
      <c r="AI90" s="16">
        <f t="shared" si="127"/>
        <v>-0.0510707327016376</v>
      </c>
      <c r="AJ90" s="16">
        <f t="shared" si="127"/>
        <v>-0.118292256196249</v>
      </c>
      <c r="AK90" s="16">
        <f t="shared" si="127"/>
        <v>-0.153646568796048</v>
      </c>
      <c r="AL90" s="16">
        <f t="shared" si="127"/>
        <v>-0.0595385397231986</v>
      </c>
      <c r="AM90" s="16">
        <f t="shared" si="127"/>
        <v>-0.201283028351965</v>
      </c>
      <c r="AN90" s="16">
        <f t="shared" si="127"/>
        <v>-0.0431964442108723</v>
      </c>
      <c r="AO90" s="16">
        <f t="shared" si="127"/>
        <v>0.0686472621994262</v>
      </c>
      <c r="AP90" s="16">
        <f t="shared" si="127"/>
        <v>-0.0550692570227954</v>
      </c>
      <c r="AQ90" s="16">
        <f t="shared" si="127"/>
        <v>-0.0234447764248347</v>
      </c>
      <c r="AR90" s="16">
        <f t="shared" si="127"/>
        <v>-0.143100843640673</v>
      </c>
      <c r="AS90" s="16">
        <f t="shared" si="127"/>
        <v>-0.194952957288429</v>
      </c>
      <c r="AT90" s="16">
        <f t="shared" ref="AT90:BY90" si="128">LN(AT28/AT27)</f>
        <v>-0.0631773790220243</v>
      </c>
      <c r="AU90" s="16">
        <f t="shared" si="128"/>
        <v>-0.129000662063251</v>
      </c>
      <c r="AV90" s="16">
        <f t="shared" si="128"/>
        <v>-0.03698131150544</v>
      </c>
      <c r="AW90" s="16">
        <f t="shared" si="128"/>
        <v>-0.0781815255370131</v>
      </c>
      <c r="AX90" s="16">
        <f t="shared" si="128"/>
        <v>-0.0769156235024689</v>
      </c>
      <c r="AY90" s="16">
        <f t="shared" si="128"/>
        <v>-0.120605567622501</v>
      </c>
      <c r="AZ90" s="16">
        <f t="shared" si="128"/>
        <v>-0.0414029748752297</v>
      </c>
      <c r="BA90" s="16">
        <f t="shared" si="128"/>
        <v>-0.0397498108381346</v>
      </c>
      <c r="BB90" s="16">
        <f t="shared" si="128"/>
        <v>-0.0514037580840256</v>
      </c>
      <c r="BC90" s="16">
        <f t="shared" si="128"/>
        <v>0.00419693917099312</v>
      </c>
      <c r="BD90" s="16">
        <f t="shared" si="128"/>
        <v>-0.116224995086023</v>
      </c>
      <c r="BE90" s="16">
        <f t="shared" si="128"/>
        <v>-0.117022964217477</v>
      </c>
      <c r="BF90" s="16">
        <f t="shared" si="128"/>
        <v>-0.0765012305615679</v>
      </c>
      <c r="BG90" s="16">
        <f t="shared" si="128"/>
        <v>-0.11805153581832</v>
      </c>
      <c r="BH90" s="16">
        <f t="shared" si="128"/>
        <v>-0.0614837582068902</v>
      </c>
      <c r="BI90" s="16">
        <f t="shared" si="128"/>
        <v>-0.127522202647808</v>
      </c>
      <c r="BJ90" s="16">
        <f t="shared" si="128"/>
        <v>-0.126217702153975</v>
      </c>
      <c r="BK90" s="16">
        <f t="shared" si="128"/>
        <v>-0.0536385639539898</v>
      </c>
      <c r="BL90" s="16">
        <f t="shared" si="128"/>
        <v>-0.0300361811829353</v>
      </c>
      <c r="BM90" s="16">
        <f t="shared" si="128"/>
        <v>-0.101607964673216</v>
      </c>
      <c r="BN90" s="16">
        <f t="shared" si="128"/>
        <v>-0.0101677945230246</v>
      </c>
      <c r="BO90" s="16">
        <f t="shared" si="128"/>
        <v>-0.0423220718122659</v>
      </c>
      <c r="BP90" s="16">
        <f t="shared" si="128"/>
        <v>-0.158761610089096</v>
      </c>
      <c r="BQ90" s="16">
        <f t="shared" si="128"/>
        <v>-0.0638367642947297</v>
      </c>
      <c r="BR90" s="16">
        <f t="shared" si="128"/>
        <v>-0.0584715989448831</v>
      </c>
      <c r="BS90" s="16">
        <f t="shared" si="128"/>
        <v>-0.0938407649658946</v>
      </c>
      <c r="BT90" s="16">
        <f t="shared" si="128"/>
        <v>-0.192857244259732</v>
      </c>
      <c r="BU90" s="16">
        <f t="shared" si="128"/>
        <v>0.000886598801669478</v>
      </c>
      <c r="BV90" s="16">
        <f t="shared" si="128"/>
        <v>-0.11178380599824</v>
      </c>
      <c r="BW90" s="16">
        <f t="shared" si="128"/>
        <v>-0.233181999956316</v>
      </c>
      <c r="BX90" s="16">
        <f t="shared" si="128"/>
        <v>-0.127627343032951</v>
      </c>
      <c r="BY90" s="16">
        <f t="shared" si="128"/>
        <v>-0.120981226171924</v>
      </c>
      <c r="BZ90" s="16">
        <f t="shared" ref="BZ90:DE90" si="129">LN(BZ28/BZ27)</f>
        <v>-0.0277871094171688</v>
      </c>
      <c r="CA90" s="16">
        <f t="shared" si="129"/>
        <v>-0.0545480494239425</v>
      </c>
      <c r="CB90" s="16">
        <f t="shared" si="129"/>
        <v>-0.0986946305067403</v>
      </c>
      <c r="CC90" s="16">
        <f t="shared" si="129"/>
        <v>-0.259386817960668</v>
      </c>
      <c r="CD90" s="16">
        <f t="shared" si="129"/>
        <v>-0.0297890683734326</v>
      </c>
      <c r="CE90" s="16">
        <f t="shared" si="129"/>
        <v>-0.0178235507264385</v>
      </c>
      <c r="CF90" s="16">
        <f t="shared" si="129"/>
        <v>-0.143433044147608</v>
      </c>
      <c r="CG90" s="16">
        <f t="shared" si="129"/>
        <v>-0.089088987081254</v>
      </c>
      <c r="CH90" s="16">
        <f t="shared" si="129"/>
        <v>-0.116588595543022</v>
      </c>
      <c r="CI90" s="16">
        <f t="shared" si="129"/>
        <v>-0.102103577653711</v>
      </c>
      <c r="CJ90" s="16">
        <f t="shared" si="129"/>
        <v>-0.0650425677903388</v>
      </c>
      <c r="CK90" s="16">
        <f t="shared" si="129"/>
        <v>-0.160101665907597</v>
      </c>
      <c r="CL90" s="16">
        <f t="shared" si="129"/>
        <v>-0.0729219713201448</v>
      </c>
      <c r="CM90" s="16">
        <f t="shared" si="129"/>
        <v>-0.054930193348241</v>
      </c>
      <c r="CN90" s="16">
        <f t="shared" si="129"/>
        <v>-0.101279657949125</v>
      </c>
      <c r="CO90" s="16">
        <f t="shared" si="129"/>
        <v>-0.0744362830862426</v>
      </c>
      <c r="CP90" s="16">
        <f t="shared" si="129"/>
        <v>-0.00318616489449623</v>
      </c>
      <c r="CQ90" s="16">
        <f t="shared" si="129"/>
        <v>-0.0718347600456571</v>
      </c>
      <c r="CR90" s="16">
        <f t="shared" si="129"/>
        <v>-0.172472241802693</v>
      </c>
      <c r="CS90" s="16">
        <f t="shared" si="129"/>
        <v>-0.220310378998416</v>
      </c>
      <c r="CT90" s="16">
        <f t="shared" si="129"/>
        <v>-0.0475251418628453</v>
      </c>
      <c r="CU90" s="16">
        <f t="shared" si="129"/>
        <v>-0.246215124668279</v>
      </c>
      <c r="CV90" s="16">
        <f t="shared" si="129"/>
        <v>-0.159017672957078</v>
      </c>
      <c r="CW90" s="16">
        <f t="shared" si="129"/>
        <v>-0.350270410981019</v>
      </c>
      <c r="CX90" s="16">
        <f t="shared" si="129"/>
        <v>-0.246860077931526</v>
      </c>
      <c r="CY90" s="16">
        <f t="shared" si="129"/>
        <v>-0.206516489462665</v>
      </c>
      <c r="CZ90" s="16">
        <f t="shared" si="129"/>
        <v>-0.106040556486482</v>
      </c>
      <c r="DA90" s="16">
        <f t="shared" si="129"/>
        <v>-0.221469745970935</v>
      </c>
      <c r="DB90" s="16">
        <f t="shared" si="129"/>
        <v>-0.195121413213825</v>
      </c>
      <c r="DC90" s="16">
        <f t="shared" si="129"/>
        <v>-0.159449959932947</v>
      </c>
      <c r="DD90" s="16">
        <f t="shared" si="129"/>
        <v>0.00330597616545558</v>
      </c>
      <c r="DE90" s="16">
        <f t="shared" si="129"/>
        <v>-0.10184774707745</v>
      </c>
      <c r="DF90" s="16">
        <f t="shared" ref="DF90:DU90" si="130">LN(DF28/DF27)</f>
        <v>-0.181331947608788</v>
      </c>
      <c r="DG90" s="16">
        <f t="shared" si="130"/>
        <v>-0.115630182295282</v>
      </c>
      <c r="DH90" s="16">
        <f t="shared" si="130"/>
        <v>-0.178136355811863</v>
      </c>
      <c r="DI90" s="16">
        <f t="shared" si="130"/>
        <v>-0.143372894664622</v>
      </c>
      <c r="DJ90" s="16">
        <f t="shared" si="130"/>
        <v>-0.0794742926860118</v>
      </c>
      <c r="DK90" s="16">
        <f t="shared" si="130"/>
        <v>-0.0596147931632357</v>
      </c>
      <c r="DL90" s="16">
        <f t="shared" si="130"/>
        <v>-0.116363345767427</v>
      </c>
      <c r="DM90" s="16">
        <f t="shared" si="130"/>
        <v>-0.1694149476112</v>
      </c>
      <c r="DN90" s="16">
        <f t="shared" si="130"/>
        <v>-0.285643136549936</v>
      </c>
      <c r="DO90" s="16">
        <f t="shared" si="130"/>
        <v>-0.135260662621215</v>
      </c>
      <c r="DP90" s="16">
        <f t="shared" si="130"/>
        <v>-0.181655706472781</v>
      </c>
      <c r="DQ90" s="16">
        <f t="shared" si="130"/>
        <v>-0.1734459291804</v>
      </c>
      <c r="DR90" s="16">
        <f t="shared" si="130"/>
        <v>-0.223143427168403</v>
      </c>
      <c r="DS90" s="16">
        <f t="shared" si="130"/>
        <v>-0.0517784659879492</v>
      </c>
      <c r="DT90" s="16">
        <f t="shared" si="130"/>
        <v>-0.159517848102107</v>
      </c>
      <c r="DU90" s="16">
        <f t="shared" si="130"/>
        <v>-0.22267644485949</v>
      </c>
      <c r="DV90" s="16">
        <f t="shared" si="13"/>
        <v>-0.291389380523596</v>
      </c>
      <c r="DW90" s="16">
        <f t="shared" si="115"/>
        <v>-0.0517619345585895</v>
      </c>
      <c r="DX90" s="16">
        <f t="shared" si="115"/>
        <v>-0.0972827054488948</v>
      </c>
      <c r="DY90" s="16">
        <f t="shared" si="115"/>
        <v>-0.0861927031615529</v>
      </c>
      <c r="DZ90" s="16">
        <f t="shared" si="115"/>
        <v>-0.207067308018699</v>
      </c>
    </row>
    <row r="91" ht="14" spans="1:130">
      <c r="A91" s="32">
        <v>43466</v>
      </c>
      <c r="B91" s="16">
        <f t="shared" si="6"/>
        <v>0.0307508951655324</v>
      </c>
      <c r="C91" s="16">
        <f t="shared" si="6"/>
        <v>-0.0278762414434778</v>
      </c>
      <c r="D91" s="16">
        <f t="shared" si="7"/>
        <v>0.0351504776759678</v>
      </c>
      <c r="E91" s="16">
        <f t="shared" si="7"/>
        <v>-0.13820677185656</v>
      </c>
      <c r="F91" s="16">
        <f t="shared" si="7"/>
        <v>-0.0192689310833147</v>
      </c>
      <c r="G91" s="16">
        <f t="shared" si="7"/>
        <v>-0.0396089246422197</v>
      </c>
      <c r="H91" s="16">
        <f t="shared" si="7"/>
        <v>-0.0515160712840948</v>
      </c>
      <c r="I91" s="16">
        <f t="shared" ref="I91:M91" si="131">LN(I29/I28)</f>
        <v>0.0939856428351267</v>
      </c>
      <c r="J91" s="16">
        <f t="shared" si="131"/>
        <v>-0.0695097923178646</v>
      </c>
      <c r="K91" s="16">
        <f t="shared" si="131"/>
        <v>0.134404573273899</v>
      </c>
      <c r="L91" s="16">
        <f t="shared" si="131"/>
        <v>0.1631489480228</v>
      </c>
      <c r="M91" s="16">
        <f t="shared" si="131"/>
        <v>0.12232633324944</v>
      </c>
      <c r="N91" s="16">
        <f t="shared" ref="N91:AS91" si="132">LN(N29/N28)</f>
        <v>0.104835285211662</v>
      </c>
      <c r="O91" s="16">
        <f t="shared" si="132"/>
        <v>0.12073728232464</v>
      </c>
      <c r="P91" s="16">
        <f t="shared" si="132"/>
        <v>0.0812275755136985</v>
      </c>
      <c r="Q91" s="16">
        <f t="shared" si="132"/>
        <v>0.000457784265793123</v>
      </c>
      <c r="R91" s="16">
        <f t="shared" si="132"/>
        <v>0.145521495104745</v>
      </c>
      <c r="S91" s="16">
        <f t="shared" si="132"/>
        <v>0.139168087013881</v>
      </c>
      <c r="T91" s="16">
        <f t="shared" si="132"/>
        <v>0.00894655001741435</v>
      </c>
      <c r="U91" s="16">
        <f t="shared" si="132"/>
        <v>-0.0230055873986223</v>
      </c>
      <c r="V91" s="16">
        <f t="shared" si="132"/>
        <v>0.128081636459724</v>
      </c>
      <c r="W91" s="16">
        <f t="shared" si="132"/>
        <v>0.169247365234841</v>
      </c>
      <c r="X91" s="16">
        <f t="shared" si="132"/>
        <v>0.00722210485150535</v>
      </c>
      <c r="Y91" s="16">
        <f t="shared" si="132"/>
        <v>0.0889863699008899</v>
      </c>
      <c r="Z91" s="16">
        <f t="shared" si="132"/>
        <v>0.104973951960759</v>
      </c>
      <c r="AA91" s="16">
        <f t="shared" si="132"/>
        <v>0.0892708564632555</v>
      </c>
      <c r="AB91" s="16">
        <f t="shared" si="132"/>
        <v>-0.179392315595126</v>
      </c>
      <c r="AC91" s="16">
        <f t="shared" si="132"/>
        <v>0.0965248960850414</v>
      </c>
      <c r="AD91" s="16">
        <f t="shared" si="132"/>
        <v>0.0277685547188629</v>
      </c>
      <c r="AE91" s="16">
        <f t="shared" si="132"/>
        <v>0.0911062934801389</v>
      </c>
      <c r="AF91" s="16">
        <f t="shared" si="132"/>
        <v>0.106622288909527</v>
      </c>
      <c r="AG91" s="16">
        <f t="shared" si="132"/>
        <v>0.102686002162012</v>
      </c>
      <c r="AH91" s="16">
        <f t="shared" si="132"/>
        <v>0.0835860463677128</v>
      </c>
      <c r="AI91" s="16">
        <f t="shared" si="132"/>
        <v>0.132325257214028</v>
      </c>
      <c r="AJ91" s="16">
        <f t="shared" si="132"/>
        <v>0.0637400688640919</v>
      </c>
      <c r="AK91" s="16">
        <f t="shared" si="132"/>
        <v>0.106312891617588</v>
      </c>
      <c r="AL91" s="16">
        <f t="shared" si="132"/>
        <v>-0.00668774552809233</v>
      </c>
      <c r="AM91" s="16">
        <f t="shared" si="132"/>
        <v>0.0739740675960252</v>
      </c>
      <c r="AN91" s="16">
        <f t="shared" si="132"/>
        <v>0.00404058700969618</v>
      </c>
      <c r="AO91" s="16">
        <f t="shared" si="132"/>
        <v>0.0639660253022431</v>
      </c>
      <c r="AP91" s="16">
        <f t="shared" si="132"/>
        <v>0.0633475119449546</v>
      </c>
      <c r="AQ91" s="16">
        <f t="shared" si="132"/>
        <v>-0.12829684697202</v>
      </c>
      <c r="AR91" s="16">
        <f t="shared" si="132"/>
        <v>0.279386655330163</v>
      </c>
      <c r="AS91" s="16">
        <f t="shared" si="132"/>
        <v>0.186096307040911</v>
      </c>
      <c r="AT91" s="16">
        <f t="shared" ref="AT91:BY91" si="133">LN(AT29/AT28)</f>
        <v>0.141336252391689</v>
      </c>
      <c r="AU91" s="16">
        <f t="shared" si="133"/>
        <v>0.175104986769913</v>
      </c>
      <c r="AV91" s="16">
        <f t="shared" si="133"/>
        <v>0.111086696887189</v>
      </c>
      <c r="AW91" s="16">
        <f t="shared" si="133"/>
        <v>0.273313920669991</v>
      </c>
      <c r="AX91" s="16">
        <f t="shared" si="133"/>
        <v>0.0860160104279866</v>
      </c>
      <c r="AY91" s="16">
        <f t="shared" si="133"/>
        <v>0.0536867148384326</v>
      </c>
      <c r="AZ91" s="16">
        <f t="shared" si="133"/>
        <v>0.103921209198784</v>
      </c>
      <c r="BA91" s="16">
        <f t="shared" si="133"/>
        <v>0.211654041587503</v>
      </c>
      <c r="BB91" s="16">
        <f t="shared" si="133"/>
        <v>0.0965402359984349</v>
      </c>
      <c r="BC91" s="16">
        <f t="shared" si="133"/>
        <v>0.175911451083047</v>
      </c>
      <c r="BD91" s="16">
        <f t="shared" si="133"/>
        <v>0.102859721042374</v>
      </c>
      <c r="BE91" s="16">
        <f t="shared" si="133"/>
        <v>0.0810544095844624</v>
      </c>
      <c r="BF91" s="16">
        <f t="shared" si="133"/>
        <v>0.167669519861691</v>
      </c>
      <c r="BG91" s="16">
        <f t="shared" si="133"/>
        <v>0.134808066227774</v>
      </c>
      <c r="BH91" s="16">
        <f t="shared" si="133"/>
        <v>0.181312139366366</v>
      </c>
      <c r="BI91" s="16">
        <f t="shared" si="133"/>
        <v>0.138746904178357</v>
      </c>
      <c r="BJ91" s="16">
        <f t="shared" si="133"/>
        <v>0.164482555821409</v>
      </c>
      <c r="BK91" s="16">
        <f t="shared" si="133"/>
        <v>0.00679127083768319</v>
      </c>
      <c r="BL91" s="16">
        <f t="shared" si="133"/>
        <v>0.056450799316459</v>
      </c>
      <c r="BM91" s="16">
        <f t="shared" si="133"/>
        <v>0.0495242612121208</v>
      </c>
      <c r="BN91" s="16">
        <f t="shared" si="133"/>
        <v>0.0992994293420193</v>
      </c>
      <c r="BO91" s="16">
        <f t="shared" si="133"/>
        <v>0.0659313728683218</v>
      </c>
      <c r="BP91" s="16">
        <f t="shared" si="133"/>
        <v>0.130833643708331</v>
      </c>
      <c r="BQ91" s="16">
        <f t="shared" si="133"/>
        <v>0.128407212637234</v>
      </c>
      <c r="BR91" s="16">
        <f t="shared" si="133"/>
        <v>0.0410799977525902</v>
      </c>
      <c r="BS91" s="16">
        <f t="shared" si="133"/>
        <v>0.062120029569758</v>
      </c>
      <c r="BT91" s="16">
        <f t="shared" si="133"/>
        <v>0.155251310872081</v>
      </c>
      <c r="BU91" s="16">
        <f t="shared" si="133"/>
        <v>0.022163570912027</v>
      </c>
      <c r="BV91" s="16">
        <f t="shared" si="133"/>
        <v>0.13683989083547</v>
      </c>
      <c r="BW91" s="16">
        <f t="shared" si="133"/>
        <v>0.0811511572728616</v>
      </c>
      <c r="BX91" s="16">
        <f t="shared" si="133"/>
        <v>0.0232183348510295</v>
      </c>
      <c r="BY91" s="16">
        <f t="shared" si="133"/>
        <v>0.0113739917349781</v>
      </c>
      <c r="BZ91" s="16">
        <f t="shared" ref="BZ91:DE91" si="134">LN(BZ29/BZ28)</f>
        <v>0.0483134239024509</v>
      </c>
      <c r="CA91" s="16">
        <f t="shared" si="134"/>
        <v>0.0163390675983081</v>
      </c>
      <c r="CB91" s="16">
        <f t="shared" si="134"/>
        <v>0.0275379197358665</v>
      </c>
      <c r="CC91" s="16">
        <f t="shared" si="134"/>
        <v>0.154339919188744</v>
      </c>
      <c r="CD91" s="16">
        <f t="shared" si="134"/>
        <v>0.00667611998532987</v>
      </c>
      <c r="CE91" s="16">
        <f t="shared" si="134"/>
        <v>0.0737300169301652</v>
      </c>
      <c r="CF91" s="16">
        <f t="shared" si="134"/>
        <v>0.149734511778514</v>
      </c>
      <c r="CG91" s="16">
        <f t="shared" si="134"/>
        <v>0.0474349471043854</v>
      </c>
      <c r="CH91" s="16">
        <f t="shared" si="134"/>
        <v>0.151132223285955</v>
      </c>
      <c r="CI91" s="16">
        <f t="shared" si="134"/>
        <v>0.0878065746567074</v>
      </c>
      <c r="CJ91" s="16">
        <f t="shared" si="134"/>
        <v>0.0831398381397679</v>
      </c>
      <c r="CK91" s="16">
        <f t="shared" si="134"/>
        <v>0.110320057112863</v>
      </c>
      <c r="CL91" s="16">
        <f t="shared" si="134"/>
        <v>0.0188135102632082</v>
      </c>
      <c r="CM91" s="16">
        <f t="shared" si="134"/>
        <v>-0.008470652931922</v>
      </c>
      <c r="CN91" s="16">
        <f t="shared" si="134"/>
        <v>0.0344803623424578</v>
      </c>
      <c r="CO91" s="16">
        <f t="shared" si="134"/>
        <v>-0.114746054369175</v>
      </c>
      <c r="CP91" s="16">
        <f t="shared" si="134"/>
        <v>-0.017642328230844</v>
      </c>
      <c r="CQ91" s="16">
        <f t="shared" si="134"/>
        <v>-0.0380845197934648</v>
      </c>
      <c r="CR91" s="16">
        <f t="shared" si="134"/>
        <v>0.0713544027221744</v>
      </c>
      <c r="CS91" s="16">
        <f t="shared" si="134"/>
        <v>0.131848416206174</v>
      </c>
      <c r="CT91" s="16">
        <f t="shared" si="134"/>
        <v>0.0636689902342015</v>
      </c>
      <c r="CU91" s="16">
        <f t="shared" si="134"/>
        <v>0.26716352163209</v>
      </c>
      <c r="CV91" s="16">
        <f t="shared" si="134"/>
        <v>0.0776026698629245</v>
      </c>
      <c r="CW91" s="16">
        <f t="shared" si="134"/>
        <v>0.0989403739764752</v>
      </c>
      <c r="CX91" s="16">
        <f t="shared" si="134"/>
        <v>0.150446348263506</v>
      </c>
      <c r="CY91" s="16">
        <f t="shared" si="134"/>
        <v>0.216427373362119</v>
      </c>
      <c r="CZ91" s="16">
        <f t="shared" si="134"/>
        <v>0.160286659033731</v>
      </c>
      <c r="DA91" s="16">
        <f t="shared" si="134"/>
        <v>0.155905866854189</v>
      </c>
      <c r="DB91" s="16">
        <f t="shared" si="134"/>
        <v>0.313087481725117</v>
      </c>
      <c r="DC91" s="16">
        <f t="shared" si="134"/>
        <v>0.0935572869992461</v>
      </c>
      <c r="DD91" s="16">
        <f t="shared" si="134"/>
        <v>0.00657865127708936</v>
      </c>
      <c r="DE91" s="16">
        <f t="shared" si="134"/>
        <v>0.0969827740550023</v>
      </c>
      <c r="DF91" s="16">
        <f t="shared" ref="DF91:DU91" si="135">LN(DF29/DF28)</f>
        <v>0.182905865865122</v>
      </c>
      <c r="DG91" s="16">
        <f t="shared" si="135"/>
        <v>0.0625203569813339</v>
      </c>
      <c r="DH91" s="16">
        <f t="shared" si="135"/>
        <v>0.0940992240699217</v>
      </c>
      <c r="DI91" s="16">
        <f t="shared" si="135"/>
        <v>0.0719897341797139</v>
      </c>
      <c r="DJ91" s="16">
        <f t="shared" si="135"/>
        <v>0.0524650580935854</v>
      </c>
      <c r="DK91" s="16">
        <f t="shared" si="135"/>
        <v>0.082174547596428</v>
      </c>
      <c r="DL91" s="16">
        <f t="shared" si="135"/>
        <v>0.0789191350606147</v>
      </c>
      <c r="DM91" s="16">
        <f t="shared" si="135"/>
        <v>0.128818788342631</v>
      </c>
      <c r="DN91" s="16">
        <f t="shared" si="135"/>
        <v>0.29248221932616</v>
      </c>
      <c r="DO91" s="16">
        <f t="shared" si="135"/>
        <v>0.095938954529091</v>
      </c>
      <c r="DP91" s="16">
        <f t="shared" si="135"/>
        <v>0.170434317636857</v>
      </c>
      <c r="DQ91" s="16">
        <f t="shared" si="135"/>
        <v>0.106524875758649</v>
      </c>
      <c r="DR91" s="16">
        <f t="shared" si="135"/>
        <v>0.214070035266991</v>
      </c>
      <c r="DS91" s="16">
        <f t="shared" si="135"/>
        <v>0.0919218311886705</v>
      </c>
      <c r="DT91" s="16">
        <f t="shared" si="135"/>
        <v>0.159244997472062</v>
      </c>
      <c r="DU91" s="16">
        <f t="shared" si="135"/>
        <v>0.138800532361474</v>
      </c>
      <c r="DV91" s="16">
        <f t="shared" si="13"/>
        <v>0.223372057807494</v>
      </c>
      <c r="DW91" s="16">
        <f t="shared" si="115"/>
        <v>-0.080628816901998</v>
      </c>
      <c r="DX91" s="16">
        <f t="shared" si="115"/>
        <v>0.239105408977422</v>
      </c>
      <c r="DY91" s="16">
        <f t="shared" si="115"/>
        <v>0.151979263739256</v>
      </c>
      <c r="DZ91" s="16">
        <f t="shared" si="115"/>
        <v>0.140046085728238</v>
      </c>
    </row>
    <row r="92" ht="14" spans="1:130">
      <c r="A92" s="32">
        <v>43497</v>
      </c>
      <c r="B92" s="16">
        <f t="shared" si="6"/>
        <v>0.026398997776358</v>
      </c>
      <c r="C92" s="16">
        <f t="shared" si="6"/>
        <v>0.0296754759064002</v>
      </c>
      <c r="D92" s="16">
        <f t="shared" si="7"/>
        <v>0.0522571970093146</v>
      </c>
      <c r="E92" s="16">
        <f t="shared" si="7"/>
        <v>-0.000973495663315404</v>
      </c>
      <c r="F92" s="16">
        <f t="shared" si="7"/>
        <v>0.088164199984055</v>
      </c>
      <c r="G92" s="16">
        <f t="shared" si="7"/>
        <v>0.0157483931287285</v>
      </c>
      <c r="H92" s="16">
        <f t="shared" si="7"/>
        <v>0.0531914562420818</v>
      </c>
      <c r="I92" s="16">
        <f t="shared" ref="I92:M92" si="136">LN(I30/I29)</f>
        <v>0.0550371522384162</v>
      </c>
      <c r="J92" s="16">
        <f t="shared" si="136"/>
        <v>0.111428774364762</v>
      </c>
      <c r="K92" s="16">
        <f t="shared" si="136"/>
        <v>-0.00825846462399849</v>
      </c>
      <c r="L92" s="16">
        <f t="shared" si="136"/>
        <v>-0.0121274135786484</v>
      </c>
      <c r="M92" s="16">
        <f t="shared" si="136"/>
        <v>0.0436108189636509</v>
      </c>
      <c r="N92" s="16">
        <f t="shared" ref="N92:AS92" si="137">LN(N30/N29)</f>
        <v>0.0824665326059162</v>
      </c>
      <c r="O92" s="16">
        <f t="shared" si="137"/>
        <v>0.064841103222614</v>
      </c>
      <c r="P92" s="16">
        <f t="shared" si="137"/>
        <v>-0.109315848964177</v>
      </c>
      <c r="Q92" s="16">
        <f t="shared" si="137"/>
        <v>-0.117713548117825</v>
      </c>
      <c r="R92" s="16">
        <f t="shared" si="137"/>
        <v>-0.00751988013752542</v>
      </c>
      <c r="S92" s="16">
        <f t="shared" si="137"/>
        <v>0.00341856822969337</v>
      </c>
      <c r="T92" s="16">
        <f t="shared" si="137"/>
        <v>0.0662658413383627</v>
      </c>
      <c r="U92" s="16">
        <f t="shared" si="137"/>
        <v>0.0235909391980381</v>
      </c>
      <c r="V92" s="16">
        <f t="shared" si="137"/>
        <v>0.0597860995827356</v>
      </c>
      <c r="W92" s="16">
        <f t="shared" si="137"/>
        <v>0.157279122214268</v>
      </c>
      <c r="X92" s="16">
        <f t="shared" si="137"/>
        <v>0.0915054107907437</v>
      </c>
      <c r="Y92" s="16">
        <f t="shared" si="137"/>
        <v>-0.126544455202179</v>
      </c>
      <c r="Z92" s="16">
        <f t="shared" si="137"/>
        <v>-0.00268977020380557</v>
      </c>
      <c r="AA92" s="16">
        <f t="shared" si="137"/>
        <v>0.0447589294404044</v>
      </c>
      <c r="AB92" s="16">
        <f t="shared" si="137"/>
        <v>0.0735149306499124</v>
      </c>
      <c r="AC92" s="16">
        <f t="shared" si="137"/>
        <v>0.03043327176448</v>
      </c>
      <c r="AD92" s="16">
        <f t="shared" si="137"/>
        <v>0.0702497266074901</v>
      </c>
      <c r="AE92" s="16">
        <f t="shared" si="137"/>
        <v>0.0575484058433316</v>
      </c>
      <c r="AF92" s="16">
        <f t="shared" si="137"/>
        <v>0.0410796313530352</v>
      </c>
      <c r="AG92" s="16">
        <f t="shared" si="137"/>
        <v>0.0854747568934671</v>
      </c>
      <c r="AH92" s="16">
        <f t="shared" si="137"/>
        <v>0.125286052531121</v>
      </c>
      <c r="AI92" s="16">
        <f t="shared" si="137"/>
        <v>0.0505131709466475</v>
      </c>
      <c r="AJ92" s="16">
        <f t="shared" si="137"/>
        <v>0.0677017157233316</v>
      </c>
      <c r="AK92" s="16">
        <f t="shared" si="137"/>
        <v>0.0675957299160143</v>
      </c>
      <c r="AL92" s="16">
        <f t="shared" si="137"/>
        <v>0.0437032079623335</v>
      </c>
      <c r="AM92" s="16">
        <f t="shared" si="137"/>
        <v>0.0705636430822279</v>
      </c>
      <c r="AN92" s="16">
        <f t="shared" si="137"/>
        <v>0.116839377431832</v>
      </c>
      <c r="AO92" s="16">
        <f t="shared" si="137"/>
        <v>0.0261596390008862</v>
      </c>
      <c r="AP92" s="16">
        <f t="shared" si="137"/>
        <v>0.0570407617487614</v>
      </c>
      <c r="AQ92" s="16">
        <f t="shared" si="137"/>
        <v>0.07524688449845</v>
      </c>
      <c r="AR92" s="16">
        <f t="shared" si="137"/>
        <v>-0.0367166816655975</v>
      </c>
      <c r="AS92" s="16">
        <f t="shared" si="137"/>
        <v>0.0672820806611466</v>
      </c>
      <c r="AT92" s="16">
        <f t="shared" ref="AT92:BY92" si="138">LN(AT30/AT29)</f>
        <v>0.0787501218349209</v>
      </c>
      <c r="AU92" s="16">
        <f t="shared" si="138"/>
        <v>0.048116945632081</v>
      </c>
      <c r="AV92" s="16">
        <f t="shared" si="138"/>
        <v>0.0777718675833707</v>
      </c>
      <c r="AW92" s="16">
        <f t="shared" si="138"/>
        <v>0.112748220574931</v>
      </c>
      <c r="AX92" s="16">
        <f t="shared" si="138"/>
        <v>0.111557239326611</v>
      </c>
      <c r="AY92" s="16">
        <f t="shared" si="138"/>
        <v>0.0395234878695804</v>
      </c>
      <c r="AZ92" s="16">
        <f t="shared" si="138"/>
        <v>0.0740468680016759</v>
      </c>
      <c r="BA92" s="16">
        <f t="shared" si="138"/>
        <v>0.0845844122331537</v>
      </c>
      <c r="BB92" s="16">
        <f t="shared" si="138"/>
        <v>0.193747685118112</v>
      </c>
      <c r="BC92" s="16">
        <f t="shared" si="138"/>
        <v>0.131350551037619</v>
      </c>
      <c r="BD92" s="16">
        <f t="shared" si="138"/>
        <v>0.0841069925244566</v>
      </c>
      <c r="BE92" s="16">
        <f t="shared" si="138"/>
        <v>-0.11026473309831</v>
      </c>
      <c r="BF92" s="16">
        <f t="shared" si="138"/>
        <v>0.027226113372454</v>
      </c>
      <c r="BG92" s="16">
        <f t="shared" si="138"/>
        <v>-0.0469930680748008</v>
      </c>
      <c r="BH92" s="16">
        <f t="shared" si="138"/>
        <v>0.0989504766507959</v>
      </c>
      <c r="BI92" s="16">
        <f t="shared" si="138"/>
        <v>0.265526266891232</v>
      </c>
      <c r="BJ92" s="16">
        <f t="shared" si="138"/>
        <v>0.0117197139502543</v>
      </c>
      <c r="BK92" s="16">
        <f t="shared" si="138"/>
        <v>0.0279097031998675</v>
      </c>
      <c r="BL92" s="16">
        <f t="shared" si="138"/>
        <v>0.0306382683267716</v>
      </c>
      <c r="BM92" s="16">
        <f t="shared" si="138"/>
        <v>0.073313034602869</v>
      </c>
      <c r="BN92" s="16">
        <f t="shared" si="138"/>
        <v>0.045947971126173</v>
      </c>
      <c r="BO92" s="16">
        <f t="shared" si="138"/>
        <v>0.00873382178873465</v>
      </c>
      <c r="BP92" s="16">
        <f t="shared" si="138"/>
        <v>0.013374968243852</v>
      </c>
      <c r="BQ92" s="16">
        <f t="shared" si="138"/>
        <v>0.0467113176126301</v>
      </c>
      <c r="BR92" s="16">
        <f t="shared" si="138"/>
        <v>0.0991491654297308</v>
      </c>
      <c r="BS92" s="16">
        <f t="shared" si="138"/>
        <v>-0.0769647512929992</v>
      </c>
      <c r="BT92" s="16">
        <f t="shared" si="138"/>
        <v>0.00312110828742593</v>
      </c>
      <c r="BU92" s="16">
        <f t="shared" si="138"/>
        <v>0.00551764998202672</v>
      </c>
      <c r="BV92" s="16">
        <f t="shared" si="138"/>
        <v>-0.122809008273987</v>
      </c>
      <c r="BW92" s="16">
        <f t="shared" si="138"/>
        <v>-0.0630075425418062</v>
      </c>
      <c r="BX92" s="16">
        <f t="shared" si="138"/>
        <v>0.110208253883043</v>
      </c>
      <c r="BY92" s="16">
        <f t="shared" si="138"/>
        <v>0.0160762303014478</v>
      </c>
      <c r="BZ92" s="16">
        <f t="shared" ref="BZ92:DE92" si="139">LN(BZ30/BZ29)</f>
        <v>0.0292102874030309</v>
      </c>
      <c r="CA92" s="16">
        <f t="shared" si="139"/>
        <v>-0.0597160124607903</v>
      </c>
      <c r="CB92" s="16">
        <f t="shared" si="139"/>
        <v>0.0260188759642123</v>
      </c>
      <c r="CC92" s="16">
        <f t="shared" si="139"/>
        <v>0.125055770379452</v>
      </c>
      <c r="CD92" s="16">
        <f t="shared" si="139"/>
        <v>0.0119059994924092</v>
      </c>
      <c r="CE92" s="16">
        <f t="shared" si="139"/>
        <v>0.0138572537119077</v>
      </c>
      <c r="CF92" s="16">
        <f t="shared" si="139"/>
        <v>0.0222518306953379</v>
      </c>
      <c r="CG92" s="16">
        <f t="shared" si="139"/>
        <v>0.140125062956874</v>
      </c>
      <c r="CH92" s="16">
        <f t="shared" si="139"/>
        <v>0.0192681947686948</v>
      </c>
      <c r="CI92" s="16">
        <f t="shared" si="139"/>
        <v>0.0349693279046394</v>
      </c>
      <c r="CJ92" s="16">
        <f t="shared" si="139"/>
        <v>0.024959638854206</v>
      </c>
      <c r="CK92" s="16">
        <f t="shared" si="139"/>
        <v>-0.370201489524667</v>
      </c>
      <c r="CL92" s="16">
        <f t="shared" si="139"/>
        <v>0.0626364367097572</v>
      </c>
      <c r="CM92" s="16">
        <f t="shared" si="139"/>
        <v>0.0291449729829274</v>
      </c>
      <c r="CN92" s="16">
        <f t="shared" si="139"/>
        <v>-0.0477232039591497</v>
      </c>
      <c r="CO92" s="16">
        <f t="shared" si="139"/>
        <v>0.0951335695629687</v>
      </c>
      <c r="CP92" s="16">
        <f t="shared" si="139"/>
        <v>0.0182505762273765</v>
      </c>
      <c r="CQ92" s="16">
        <f t="shared" si="139"/>
        <v>0.0692469458942262</v>
      </c>
      <c r="CR92" s="16">
        <f t="shared" si="139"/>
        <v>0.02695862403604</v>
      </c>
      <c r="CS92" s="16">
        <f t="shared" si="139"/>
        <v>-0.267611106736696</v>
      </c>
      <c r="CT92" s="16">
        <f t="shared" si="139"/>
        <v>0.0440906679343241</v>
      </c>
      <c r="CU92" s="16">
        <f t="shared" si="139"/>
        <v>-0.0295538664195696</v>
      </c>
      <c r="CV92" s="16">
        <f t="shared" si="139"/>
        <v>0.0445342091318818</v>
      </c>
      <c r="CW92" s="16">
        <f t="shared" si="139"/>
        <v>0.019131761384742</v>
      </c>
      <c r="CX92" s="16">
        <f t="shared" si="139"/>
        <v>0.257368937189612</v>
      </c>
      <c r="CY92" s="16">
        <f t="shared" si="139"/>
        <v>0.0612045673178139</v>
      </c>
      <c r="CZ92" s="16">
        <f t="shared" si="139"/>
        <v>0.106197254997991</v>
      </c>
      <c r="DA92" s="16">
        <f t="shared" si="139"/>
        <v>0.0108833221573932</v>
      </c>
      <c r="DB92" s="16">
        <f t="shared" si="139"/>
        <v>-0.167267071538655</v>
      </c>
      <c r="DC92" s="16">
        <f t="shared" si="139"/>
        <v>-0.0770565666982392</v>
      </c>
      <c r="DD92" s="16">
        <f t="shared" si="139"/>
        <v>0.171332679012429</v>
      </c>
      <c r="DE92" s="16">
        <f t="shared" si="139"/>
        <v>0.103615687549266</v>
      </c>
      <c r="DF92" s="16">
        <f t="shared" ref="DF92:DU92" si="140">LN(DF30/DF29)</f>
        <v>-0.0349789918133986</v>
      </c>
      <c r="DG92" s="16">
        <f t="shared" si="140"/>
        <v>0.272414600320993</v>
      </c>
      <c r="DH92" s="16">
        <f t="shared" si="140"/>
        <v>0.0957636504822605</v>
      </c>
      <c r="DI92" s="16">
        <f t="shared" si="140"/>
        <v>0.0755397383931171</v>
      </c>
      <c r="DJ92" s="16">
        <f t="shared" si="140"/>
        <v>0.0421013836195275</v>
      </c>
      <c r="DK92" s="16">
        <f t="shared" si="140"/>
        <v>0.00236113835044498</v>
      </c>
      <c r="DL92" s="16">
        <f t="shared" si="140"/>
        <v>-0.0096724900963486</v>
      </c>
      <c r="DM92" s="16">
        <f t="shared" si="140"/>
        <v>-0.0516091914891274</v>
      </c>
      <c r="DN92" s="16">
        <f t="shared" si="140"/>
        <v>0.0688693231673871</v>
      </c>
      <c r="DO92" s="16">
        <f t="shared" si="140"/>
        <v>-0.00947864476035264</v>
      </c>
      <c r="DP92" s="16">
        <f t="shared" si="140"/>
        <v>0.101939819446202</v>
      </c>
      <c r="DQ92" s="16">
        <f t="shared" si="140"/>
        <v>-0.0018441146871447</v>
      </c>
      <c r="DR92" s="16">
        <f t="shared" si="140"/>
        <v>-0.00339853004072471</v>
      </c>
      <c r="DS92" s="16">
        <f t="shared" si="140"/>
        <v>0.112631238710895</v>
      </c>
      <c r="DT92" s="16">
        <f t="shared" si="140"/>
        <v>-0.029615498442566</v>
      </c>
      <c r="DU92" s="16">
        <f t="shared" si="140"/>
        <v>-0.0465199501546324</v>
      </c>
      <c r="DV92" s="16">
        <f t="shared" si="13"/>
        <v>0.0188293162065676</v>
      </c>
      <c r="DW92" s="16">
        <f t="shared" si="115"/>
        <v>0.0410330334186338</v>
      </c>
      <c r="DX92" s="16">
        <f t="shared" si="115"/>
        <v>0.0153996380517592</v>
      </c>
      <c r="DY92" s="16">
        <f t="shared" si="115"/>
        <v>-0.00340768018175148</v>
      </c>
      <c r="DZ92" s="16">
        <f t="shared" si="115"/>
        <v>0.0138567322103566</v>
      </c>
    </row>
    <row r="93" ht="14" spans="1:130">
      <c r="A93" s="32">
        <v>43525</v>
      </c>
      <c r="B93" s="16">
        <f t="shared" si="6"/>
        <v>0.0294022245591028</v>
      </c>
      <c r="C93" s="16">
        <f t="shared" si="6"/>
        <v>-0.0205090584765658</v>
      </c>
      <c r="D93" s="16">
        <f t="shared" si="7"/>
        <v>0.0325102944031651</v>
      </c>
      <c r="E93" s="16">
        <f t="shared" si="7"/>
        <v>0.016893553728739</v>
      </c>
      <c r="F93" s="16">
        <f t="shared" si="7"/>
        <v>0.022863379535331</v>
      </c>
      <c r="G93" s="16">
        <f t="shared" si="7"/>
        <v>0.00717645472057472</v>
      </c>
      <c r="H93" s="16">
        <f t="shared" si="7"/>
        <v>-0.0795427472816776</v>
      </c>
      <c r="I93" s="16">
        <f t="shared" ref="I93:M93" si="141">LN(I31/I30)</f>
        <v>0.0530793877640019</v>
      </c>
      <c r="J93" s="16">
        <f t="shared" si="141"/>
        <v>-0.0066724656501007</v>
      </c>
      <c r="K93" s="16">
        <f t="shared" si="141"/>
        <v>0.0578584378167226</v>
      </c>
      <c r="L93" s="16">
        <f t="shared" si="141"/>
        <v>-0.156881743764246</v>
      </c>
      <c r="M93" s="16">
        <f t="shared" si="141"/>
        <v>0.0117634012196471</v>
      </c>
      <c r="N93" s="16">
        <f t="shared" ref="N93:AS93" si="142">LN(N31/N30)</f>
        <v>0.0264146366545956</v>
      </c>
      <c r="O93" s="16">
        <f t="shared" si="142"/>
        <v>0.0599790833332768</v>
      </c>
      <c r="P93" s="16">
        <f t="shared" si="142"/>
        <v>0.02059352137751</v>
      </c>
      <c r="Q93" s="16">
        <f t="shared" si="142"/>
        <v>-0.0698208308732665</v>
      </c>
      <c r="R93" s="16">
        <f t="shared" si="142"/>
        <v>-0.0468004690667049</v>
      </c>
      <c r="S93" s="16">
        <f t="shared" si="142"/>
        <v>-0.0478364472118283</v>
      </c>
      <c r="T93" s="16">
        <f t="shared" si="142"/>
        <v>0.0294513477867891</v>
      </c>
      <c r="U93" s="16">
        <f t="shared" si="142"/>
        <v>0.00638828613639843</v>
      </c>
      <c r="V93" s="16">
        <f t="shared" si="142"/>
        <v>0.0466887750981969</v>
      </c>
      <c r="W93" s="16">
        <f t="shared" si="142"/>
        <v>-0.0627816202279334</v>
      </c>
      <c r="X93" s="16">
        <f t="shared" si="142"/>
        <v>0.0661091571586476</v>
      </c>
      <c r="Y93" s="16">
        <f t="shared" si="142"/>
        <v>0.0712889990860238</v>
      </c>
      <c r="Z93" s="16">
        <f t="shared" si="142"/>
        <v>0.00377112658907931</v>
      </c>
      <c r="AA93" s="16">
        <f t="shared" si="142"/>
        <v>0.0410900325891083</v>
      </c>
      <c r="AB93" s="16">
        <f t="shared" si="142"/>
        <v>0.0188188577605151</v>
      </c>
      <c r="AC93" s="16">
        <f t="shared" si="142"/>
        <v>0.0869215230426519</v>
      </c>
      <c r="AD93" s="16">
        <f t="shared" si="142"/>
        <v>0.0556714490178567</v>
      </c>
      <c r="AE93" s="16">
        <f t="shared" si="142"/>
        <v>0.015085637418041</v>
      </c>
      <c r="AF93" s="16">
        <f t="shared" si="142"/>
        <v>0.0298583069805898</v>
      </c>
      <c r="AG93" s="16">
        <f t="shared" si="142"/>
        <v>0.124404999385496</v>
      </c>
      <c r="AH93" s="16">
        <f t="shared" si="142"/>
        <v>-0.0330318154606817</v>
      </c>
      <c r="AI93" s="16">
        <f t="shared" si="142"/>
        <v>0.0195779334406113</v>
      </c>
      <c r="AJ93" s="16">
        <f t="shared" si="142"/>
        <v>0.0290039429566284</v>
      </c>
      <c r="AK93" s="16">
        <f t="shared" si="142"/>
        <v>0.025246775979159</v>
      </c>
      <c r="AL93" s="16">
        <f t="shared" si="142"/>
        <v>-0.0689971196565213</v>
      </c>
      <c r="AM93" s="16">
        <f t="shared" si="142"/>
        <v>0.152900254228553</v>
      </c>
      <c r="AN93" s="16">
        <f t="shared" si="142"/>
        <v>0.0201947209900473</v>
      </c>
      <c r="AO93" s="16">
        <f t="shared" si="142"/>
        <v>0.088067305026969</v>
      </c>
      <c r="AP93" s="16">
        <f t="shared" si="142"/>
        <v>0.00273769102165448</v>
      </c>
      <c r="AQ93" s="16">
        <f t="shared" si="142"/>
        <v>0.0659541020120405</v>
      </c>
      <c r="AR93" s="16">
        <f t="shared" si="142"/>
        <v>0.081186255737318</v>
      </c>
      <c r="AS93" s="16">
        <f t="shared" si="142"/>
        <v>0.010947636753698</v>
      </c>
      <c r="AT93" s="16">
        <f t="shared" ref="AT93:BY93" si="143">LN(AT31/AT30)</f>
        <v>-0.0108158905153729</v>
      </c>
      <c r="AU93" s="16">
        <f t="shared" si="143"/>
        <v>-0.0326107705149</v>
      </c>
      <c r="AV93" s="16">
        <f t="shared" si="143"/>
        <v>-0.0420213782036832</v>
      </c>
      <c r="AW93" s="16">
        <f t="shared" si="143"/>
        <v>0.0150931706652561</v>
      </c>
      <c r="AX93" s="16">
        <f t="shared" si="143"/>
        <v>0.0146126875474438</v>
      </c>
      <c r="AY93" s="16">
        <f t="shared" si="143"/>
        <v>0.096882079750032</v>
      </c>
      <c r="AZ93" s="16">
        <f t="shared" si="143"/>
        <v>-0.032795933443555</v>
      </c>
      <c r="BA93" s="16">
        <f t="shared" si="143"/>
        <v>0.0290185611640813</v>
      </c>
      <c r="BB93" s="16">
        <f t="shared" si="143"/>
        <v>0.0279492075691737</v>
      </c>
      <c r="BC93" s="16">
        <f t="shared" si="143"/>
        <v>0.0325184529193054</v>
      </c>
      <c r="BD93" s="16">
        <f t="shared" si="143"/>
        <v>0.0289087539683909</v>
      </c>
      <c r="BE93" s="16">
        <f t="shared" si="143"/>
        <v>-0.0153222854225581</v>
      </c>
      <c r="BF93" s="16">
        <f t="shared" si="143"/>
        <v>0.032857683450529</v>
      </c>
      <c r="BG93" s="16">
        <f t="shared" si="143"/>
        <v>0.082442045949722</v>
      </c>
      <c r="BH93" s="16">
        <f t="shared" si="143"/>
        <v>0.0034631358909944</v>
      </c>
      <c r="BI93" s="16">
        <f t="shared" si="143"/>
        <v>-0.0585046592168197</v>
      </c>
      <c r="BJ93" s="16">
        <f t="shared" si="143"/>
        <v>-0.0621773336706316</v>
      </c>
      <c r="BK93" s="16">
        <f t="shared" si="143"/>
        <v>0.0387783574088217</v>
      </c>
      <c r="BL93" s="16">
        <f t="shared" si="143"/>
        <v>0.061651571280561</v>
      </c>
      <c r="BM93" s="16">
        <f t="shared" si="143"/>
        <v>0.0801869444686938</v>
      </c>
      <c r="BN93" s="16">
        <f t="shared" si="143"/>
        <v>-0.0178890138598767</v>
      </c>
      <c r="BO93" s="16">
        <f t="shared" si="143"/>
        <v>0.0358099169457512</v>
      </c>
      <c r="BP93" s="16">
        <f t="shared" si="143"/>
        <v>0.0388826454616049</v>
      </c>
      <c r="BQ93" s="16">
        <f t="shared" si="143"/>
        <v>0.0565045535295009</v>
      </c>
      <c r="BR93" s="16">
        <f t="shared" si="143"/>
        <v>0.00466224919488739</v>
      </c>
      <c r="BS93" s="16">
        <f t="shared" si="143"/>
        <v>0.0278174214111163</v>
      </c>
      <c r="BT93" s="16">
        <f t="shared" si="143"/>
        <v>-0.121443491876647</v>
      </c>
      <c r="BU93" s="16">
        <f t="shared" si="143"/>
        <v>0.0591442376621926</v>
      </c>
      <c r="BV93" s="16">
        <f t="shared" si="143"/>
        <v>0.0281329895544987</v>
      </c>
      <c r="BW93" s="16">
        <f t="shared" si="143"/>
        <v>0.0646014971495507</v>
      </c>
      <c r="BX93" s="16">
        <f t="shared" si="143"/>
        <v>0.028161747273436</v>
      </c>
      <c r="BY93" s="16">
        <f t="shared" si="143"/>
        <v>0.0526736947065122</v>
      </c>
      <c r="BZ93" s="16">
        <f t="shared" ref="BZ93:DE93" si="144">LN(BZ31/BZ30)</f>
        <v>0.0543074055721073</v>
      </c>
      <c r="CA93" s="16">
        <f t="shared" si="144"/>
        <v>0.0329748420779567</v>
      </c>
      <c r="CB93" s="16">
        <f t="shared" si="144"/>
        <v>0.0661126274483849</v>
      </c>
      <c r="CC93" s="16">
        <f t="shared" si="144"/>
        <v>0.0165406528417485</v>
      </c>
      <c r="CD93" s="16">
        <f t="shared" si="144"/>
        <v>0.0890845120595129</v>
      </c>
      <c r="CE93" s="16">
        <f t="shared" si="144"/>
        <v>0.0642998101962944</v>
      </c>
      <c r="CF93" s="16">
        <f t="shared" si="144"/>
        <v>0.0717015176018507</v>
      </c>
      <c r="CG93" s="16">
        <f t="shared" si="144"/>
        <v>0.0561625320334026</v>
      </c>
      <c r="CH93" s="16">
        <f t="shared" si="144"/>
        <v>0.0568756208112277</v>
      </c>
      <c r="CI93" s="16">
        <f t="shared" si="144"/>
        <v>0.00867560306933669</v>
      </c>
      <c r="CJ93" s="16">
        <f t="shared" si="144"/>
        <v>0.0397343527881001</v>
      </c>
      <c r="CK93" s="16">
        <f t="shared" si="144"/>
        <v>-0.0164034837291912</v>
      </c>
      <c r="CL93" s="16">
        <f t="shared" si="144"/>
        <v>-0.0117637935165964</v>
      </c>
      <c r="CM93" s="16">
        <f t="shared" si="144"/>
        <v>0.0317776340851487</v>
      </c>
      <c r="CN93" s="16">
        <f t="shared" si="144"/>
        <v>0.019712044193474</v>
      </c>
      <c r="CO93" s="16">
        <f t="shared" si="144"/>
        <v>0.102318811631677</v>
      </c>
      <c r="CP93" s="16">
        <f t="shared" si="144"/>
        <v>0.0828179395796902</v>
      </c>
      <c r="CQ93" s="16">
        <f t="shared" si="144"/>
        <v>0.0152595064413627</v>
      </c>
      <c r="CR93" s="16">
        <f t="shared" si="144"/>
        <v>0.0569269788248444</v>
      </c>
      <c r="CS93" s="16">
        <f t="shared" si="144"/>
        <v>-0.0428716451575554</v>
      </c>
      <c r="CT93" s="16">
        <f t="shared" si="144"/>
        <v>-0.00940847995103421</v>
      </c>
      <c r="CU93" s="16">
        <f t="shared" si="144"/>
        <v>0.12504351499681</v>
      </c>
      <c r="CV93" s="16">
        <f t="shared" si="144"/>
        <v>0.0226152140712183</v>
      </c>
      <c r="CW93" s="16">
        <f t="shared" si="144"/>
        <v>0.00226281360435467</v>
      </c>
      <c r="CX93" s="16">
        <f t="shared" si="144"/>
        <v>-0.0141846349919564</v>
      </c>
      <c r="CY93" s="16">
        <f t="shared" si="144"/>
        <v>-0.0687939448124728</v>
      </c>
      <c r="CZ93" s="16">
        <f t="shared" si="144"/>
        <v>0.0519011003714438</v>
      </c>
      <c r="DA93" s="16">
        <f t="shared" si="144"/>
        <v>0.0311500595491591</v>
      </c>
      <c r="DB93" s="16">
        <f t="shared" si="144"/>
        <v>-0.0931664080210274</v>
      </c>
      <c r="DC93" s="16">
        <f t="shared" si="144"/>
        <v>-0.121139610536984</v>
      </c>
      <c r="DD93" s="16">
        <f t="shared" si="144"/>
        <v>-0.164796336011979</v>
      </c>
      <c r="DE93" s="16">
        <f t="shared" si="144"/>
        <v>-0.0432376489002773</v>
      </c>
      <c r="DF93" s="16">
        <f t="shared" ref="DF93:DU93" si="145">LN(DF31/DF30)</f>
        <v>-0.0508280699083524</v>
      </c>
      <c r="DG93" s="16">
        <f t="shared" si="145"/>
        <v>-0.0155041865359652</v>
      </c>
      <c r="DH93" s="16">
        <f t="shared" si="145"/>
        <v>-0.0132020497892401</v>
      </c>
      <c r="DI93" s="16">
        <f t="shared" si="145"/>
        <v>0.0331904121909733</v>
      </c>
      <c r="DJ93" s="16">
        <f t="shared" si="145"/>
        <v>0.03966308258679</v>
      </c>
      <c r="DK93" s="16">
        <f t="shared" si="145"/>
        <v>-0.0119647291847497</v>
      </c>
      <c r="DL93" s="16">
        <f t="shared" si="145"/>
        <v>0.0773153811756948</v>
      </c>
      <c r="DM93" s="16">
        <f t="shared" si="145"/>
        <v>0.0124751312236533</v>
      </c>
      <c r="DN93" s="16">
        <f t="shared" si="145"/>
        <v>0.0403171081393714</v>
      </c>
      <c r="DO93" s="16">
        <f t="shared" si="145"/>
        <v>0.000755429434474648</v>
      </c>
      <c r="DP93" s="16">
        <f t="shared" si="145"/>
        <v>0.0671614580048843</v>
      </c>
      <c r="DQ93" s="16">
        <f t="shared" si="145"/>
        <v>-0.0125014620082542</v>
      </c>
      <c r="DR93" s="16">
        <f t="shared" si="145"/>
        <v>0.000326525280017129</v>
      </c>
      <c r="DS93" s="16">
        <f t="shared" si="145"/>
        <v>0.0572140763192158</v>
      </c>
      <c r="DT93" s="16">
        <f t="shared" si="145"/>
        <v>0.053713224837663</v>
      </c>
      <c r="DU93" s="16">
        <f t="shared" si="145"/>
        <v>-0.0547781930359855</v>
      </c>
      <c r="DV93" s="16">
        <f t="shared" si="13"/>
        <v>0.0436392242472255</v>
      </c>
      <c r="DW93" s="16">
        <f t="shared" si="115"/>
        <v>-0.133656447336122</v>
      </c>
      <c r="DX93" s="16">
        <f t="shared" si="115"/>
        <v>0.0422863062627478</v>
      </c>
      <c r="DY93" s="16">
        <f t="shared" si="115"/>
        <v>-0.0797109351789009</v>
      </c>
      <c r="DZ93" s="16">
        <f t="shared" si="115"/>
        <v>0.00113944995365931</v>
      </c>
    </row>
    <row r="94" ht="14" spans="1:130">
      <c r="A94" s="32">
        <v>43556</v>
      </c>
      <c r="B94" s="16">
        <f t="shared" si="6"/>
        <v>0.0100363845433825</v>
      </c>
      <c r="C94" s="16">
        <f t="shared" si="6"/>
        <v>-0.0447834397352353</v>
      </c>
      <c r="D94" s="16">
        <f t="shared" si="7"/>
        <v>-0.103170852456601</v>
      </c>
      <c r="E94" s="16">
        <f t="shared" si="7"/>
        <v>-0.0150023847862526</v>
      </c>
      <c r="F94" s="16">
        <f t="shared" si="7"/>
        <v>-0.0483530249031051</v>
      </c>
      <c r="G94" s="16">
        <f t="shared" si="7"/>
        <v>-0.0577471277387113</v>
      </c>
      <c r="H94" s="16">
        <f t="shared" ref="H94:M94" si="146">LN(H32/H31)</f>
        <v>-0.0271952147369068</v>
      </c>
      <c r="I94" s="16">
        <f t="shared" si="146"/>
        <v>0.0142690735758318</v>
      </c>
      <c r="J94" s="16">
        <f t="shared" si="146"/>
        <v>0.00420755731627536</v>
      </c>
      <c r="K94" s="16">
        <f t="shared" si="146"/>
        <v>0.036878630385366</v>
      </c>
      <c r="L94" s="16">
        <f t="shared" si="146"/>
        <v>0.0164054143583945</v>
      </c>
      <c r="M94" s="16">
        <f t="shared" si="146"/>
        <v>-0.0236666989828119</v>
      </c>
      <c r="N94" s="16">
        <f t="shared" ref="N94:AS94" si="147">LN(N32/N31)</f>
        <v>-0.0350168402372588</v>
      </c>
      <c r="O94" s="16">
        <f t="shared" si="147"/>
        <v>0.0303239286253927</v>
      </c>
      <c r="P94" s="16">
        <f t="shared" si="147"/>
        <v>-0.0552914358389026</v>
      </c>
      <c r="Q94" s="16">
        <f t="shared" si="147"/>
        <v>0.00830952293479215</v>
      </c>
      <c r="R94" s="16">
        <f t="shared" si="147"/>
        <v>-0.0845218722501749</v>
      </c>
      <c r="S94" s="16">
        <f t="shared" si="147"/>
        <v>-0.179529685449339</v>
      </c>
      <c r="T94" s="16">
        <f t="shared" si="147"/>
        <v>-0.00476511907622347</v>
      </c>
      <c r="U94" s="16">
        <f t="shared" si="147"/>
        <v>-0.0197726139044369</v>
      </c>
      <c r="V94" s="16">
        <f t="shared" si="147"/>
        <v>-0.0419151344983426</v>
      </c>
      <c r="W94" s="16">
        <f t="shared" si="147"/>
        <v>0.0991327375219744</v>
      </c>
      <c r="X94" s="16">
        <f t="shared" si="147"/>
        <v>0.0115548164483081</v>
      </c>
      <c r="Y94" s="16">
        <f t="shared" si="147"/>
        <v>-0.0488075474863123</v>
      </c>
      <c r="Z94" s="16">
        <f t="shared" si="147"/>
        <v>-0.0335602871501591</v>
      </c>
      <c r="AA94" s="16">
        <f t="shared" si="147"/>
        <v>-0.111008129853419</v>
      </c>
      <c r="AB94" s="16">
        <f t="shared" si="147"/>
        <v>0.00518025520693149</v>
      </c>
      <c r="AC94" s="16">
        <f t="shared" si="147"/>
        <v>-0.0635960795497021</v>
      </c>
      <c r="AD94" s="16">
        <f t="shared" si="147"/>
        <v>0.101963023570296</v>
      </c>
      <c r="AE94" s="16">
        <f t="shared" si="147"/>
        <v>0.0819546466240667</v>
      </c>
      <c r="AF94" s="16">
        <f t="shared" si="147"/>
        <v>0.0297162160014856</v>
      </c>
      <c r="AG94" s="16">
        <f t="shared" si="147"/>
        <v>0.0502158578868237</v>
      </c>
      <c r="AH94" s="16">
        <f t="shared" si="147"/>
        <v>0.10664586287849</v>
      </c>
      <c r="AI94" s="16">
        <f t="shared" si="147"/>
        <v>0.0838992101443936</v>
      </c>
      <c r="AJ94" s="16">
        <f t="shared" si="147"/>
        <v>0.110146145669944</v>
      </c>
      <c r="AK94" s="16">
        <f t="shared" si="147"/>
        <v>0.0517061057469059</v>
      </c>
      <c r="AL94" s="16">
        <f t="shared" si="147"/>
        <v>-0.000191186311642492</v>
      </c>
      <c r="AM94" s="16">
        <f t="shared" si="147"/>
        <v>0.00798741968821987</v>
      </c>
      <c r="AN94" s="16">
        <f t="shared" si="147"/>
        <v>-0.0508034576969087</v>
      </c>
      <c r="AO94" s="16">
        <f t="shared" si="147"/>
        <v>0.066055190051159</v>
      </c>
      <c r="AP94" s="16">
        <f t="shared" si="147"/>
        <v>0.105143532985368</v>
      </c>
      <c r="AQ94" s="16">
        <f t="shared" si="147"/>
        <v>0.423841096221761</v>
      </c>
      <c r="AR94" s="16">
        <f t="shared" si="147"/>
        <v>0.079439680458736</v>
      </c>
      <c r="AS94" s="16">
        <f t="shared" si="147"/>
        <v>0.0175085170376974</v>
      </c>
      <c r="AT94" s="16">
        <f t="shared" ref="AT94:BY94" si="148">LN(AT32/AT31)</f>
        <v>0.0991287514006799</v>
      </c>
      <c r="AU94" s="16">
        <f t="shared" si="148"/>
        <v>0.1807850378139</v>
      </c>
      <c r="AV94" s="16">
        <f t="shared" si="148"/>
        <v>0.185710916525703</v>
      </c>
      <c r="AW94" s="16">
        <f t="shared" si="148"/>
        <v>-0.0538747997291156</v>
      </c>
      <c r="AX94" s="16">
        <f t="shared" si="148"/>
        <v>0.0668242269162407</v>
      </c>
      <c r="AY94" s="16">
        <f t="shared" si="148"/>
        <v>0.054900997428695</v>
      </c>
      <c r="AZ94" s="16">
        <f t="shared" si="148"/>
        <v>0.0431303719241672</v>
      </c>
      <c r="BA94" s="16">
        <f t="shared" si="148"/>
        <v>0.0966775463996916</v>
      </c>
      <c r="BB94" s="16">
        <f t="shared" si="148"/>
        <v>-0.000755238949447044</v>
      </c>
      <c r="BC94" s="16">
        <f t="shared" si="148"/>
        <v>-0.00195144411351166</v>
      </c>
      <c r="BD94" s="16">
        <f t="shared" si="148"/>
        <v>0.0287863800858055</v>
      </c>
      <c r="BE94" s="16">
        <f t="shared" si="148"/>
        <v>0.0348497458566042</v>
      </c>
      <c r="BF94" s="16">
        <f t="shared" si="148"/>
        <v>-0.00589957996524099</v>
      </c>
      <c r="BG94" s="16">
        <f t="shared" si="148"/>
        <v>0.0786806426747543</v>
      </c>
      <c r="BH94" s="16">
        <f t="shared" si="148"/>
        <v>0.0424361505576</v>
      </c>
      <c r="BI94" s="16">
        <f t="shared" si="148"/>
        <v>0.00474919266046209</v>
      </c>
      <c r="BJ94" s="16">
        <f t="shared" si="148"/>
        <v>0.058537281195949</v>
      </c>
      <c r="BK94" s="16">
        <f t="shared" si="148"/>
        <v>0.039595706589704</v>
      </c>
      <c r="BL94" s="16">
        <f t="shared" si="148"/>
        <v>0.0439486429417432</v>
      </c>
      <c r="BM94" s="16">
        <f t="shared" si="148"/>
        <v>-0.0323782682588178</v>
      </c>
      <c r="BN94" s="16">
        <f t="shared" si="148"/>
        <v>0.0446589554891657</v>
      </c>
      <c r="BO94" s="16">
        <f t="shared" si="148"/>
        <v>0.0671446422890183</v>
      </c>
      <c r="BP94" s="16">
        <f t="shared" si="148"/>
        <v>0.00563188831558343</v>
      </c>
      <c r="BQ94" s="16">
        <f t="shared" si="148"/>
        <v>0.0353177853413347</v>
      </c>
      <c r="BR94" s="16">
        <f t="shared" si="148"/>
        <v>0.0429059755943205</v>
      </c>
      <c r="BS94" s="16">
        <f t="shared" si="148"/>
        <v>0.0611763268162139</v>
      </c>
      <c r="BT94" s="16">
        <f t="shared" si="148"/>
        <v>0.0784641507537669</v>
      </c>
      <c r="BU94" s="16">
        <f t="shared" si="148"/>
        <v>0.0448656671522654</v>
      </c>
      <c r="BV94" s="16">
        <f t="shared" si="148"/>
        <v>0.0498732490461291</v>
      </c>
      <c r="BW94" s="16">
        <f t="shared" si="148"/>
        <v>-0.0729371201821381</v>
      </c>
      <c r="BX94" s="16">
        <f t="shared" si="148"/>
        <v>0.0570562583394468</v>
      </c>
      <c r="BY94" s="16">
        <f t="shared" si="148"/>
        <v>-0.0246320991617439</v>
      </c>
      <c r="BZ94" s="16">
        <f t="shared" ref="BZ94:DE94" si="149">LN(BZ32/BZ31)</f>
        <v>0.0230856887811822</v>
      </c>
      <c r="CA94" s="16">
        <f t="shared" si="149"/>
        <v>0.0545714915032333</v>
      </c>
      <c r="CB94" s="16">
        <f t="shared" si="149"/>
        <v>0.0439019293355308</v>
      </c>
      <c r="CC94" s="16">
        <f t="shared" si="149"/>
        <v>-0.00833816564600551</v>
      </c>
      <c r="CD94" s="16">
        <f t="shared" si="149"/>
        <v>0.0519859917120012</v>
      </c>
      <c r="CE94" s="16">
        <f t="shared" si="149"/>
        <v>0.0302801173891525</v>
      </c>
      <c r="CF94" s="16">
        <f t="shared" si="149"/>
        <v>0.0575023058988952</v>
      </c>
      <c r="CG94" s="16">
        <f t="shared" si="149"/>
        <v>0.0371154292530443</v>
      </c>
      <c r="CH94" s="16">
        <f t="shared" si="149"/>
        <v>0.0237109226723879</v>
      </c>
      <c r="CI94" s="16">
        <f t="shared" si="149"/>
        <v>0.0438920133935959</v>
      </c>
      <c r="CJ94" s="16">
        <f t="shared" si="149"/>
        <v>0.0601610360844979</v>
      </c>
      <c r="CK94" s="16">
        <f t="shared" si="149"/>
        <v>0.0301564976982472</v>
      </c>
      <c r="CL94" s="16">
        <f t="shared" si="149"/>
        <v>0.0526628159715229</v>
      </c>
      <c r="CM94" s="16">
        <f t="shared" si="149"/>
        <v>-0.11393672118819</v>
      </c>
      <c r="CN94" s="16">
        <f t="shared" si="149"/>
        <v>0.0595373668243826</v>
      </c>
      <c r="CO94" s="16">
        <f t="shared" si="149"/>
        <v>0.021931259985418</v>
      </c>
      <c r="CP94" s="16">
        <f t="shared" si="149"/>
        <v>0.050907019645184</v>
      </c>
      <c r="CQ94" s="16">
        <f t="shared" si="149"/>
        <v>-0.00455989586562334</v>
      </c>
      <c r="CR94" s="16">
        <f t="shared" si="149"/>
        <v>0.014579754712837</v>
      </c>
      <c r="CS94" s="16">
        <f t="shared" si="149"/>
        <v>-0.0646250624320451</v>
      </c>
      <c r="CT94" s="16">
        <f t="shared" si="149"/>
        <v>0.0459078650788429</v>
      </c>
      <c r="CU94" s="16">
        <f t="shared" si="149"/>
        <v>0.188359817341037</v>
      </c>
      <c r="CV94" s="16">
        <f t="shared" si="149"/>
        <v>-0.0506627757908867</v>
      </c>
      <c r="CW94" s="16">
        <f t="shared" si="149"/>
        <v>0.0471857867083632</v>
      </c>
      <c r="CX94" s="16">
        <f t="shared" si="149"/>
        <v>0.0373875320716204</v>
      </c>
      <c r="CY94" s="16">
        <f t="shared" si="149"/>
        <v>-0.111674043332159</v>
      </c>
      <c r="CZ94" s="16">
        <f t="shared" si="149"/>
        <v>0.0943601559822776</v>
      </c>
      <c r="DA94" s="16">
        <f t="shared" si="149"/>
        <v>-0.0771547644997718</v>
      </c>
      <c r="DB94" s="16">
        <f t="shared" si="149"/>
        <v>0.0579390951822811</v>
      </c>
      <c r="DC94" s="16">
        <f t="shared" si="149"/>
        <v>-0.00749826562542997</v>
      </c>
      <c r="DD94" s="16">
        <f t="shared" si="149"/>
        <v>0.125354743055695</v>
      </c>
      <c r="DE94" s="16">
        <f t="shared" si="149"/>
        <v>0.034450163095842</v>
      </c>
      <c r="DF94" s="16">
        <f t="shared" ref="DF94:DU94" si="150">LN(DF32/DF31)</f>
        <v>0.0174719319585342</v>
      </c>
      <c r="DG94" s="16">
        <f t="shared" si="150"/>
        <v>-0.023716526617316</v>
      </c>
      <c r="DH94" s="16">
        <f t="shared" si="150"/>
        <v>-0.0127137847253814</v>
      </c>
      <c r="DI94" s="16">
        <f t="shared" si="150"/>
        <v>-0.00645655805083304</v>
      </c>
      <c r="DJ94" s="16">
        <f t="shared" si="150"/>
        <v>-0.0256553154078288</v>
      </c>
      <c r="DK94" s="16">
        <f t="shared" si="150"/>
        <v>-0.0557668826452094</v>
      </c>
      <c r="DL94" s="16">
        <f t="shared" si="150"/>
        <v>0.0912112515150756</v>
      </c>
      <c r="DM94" s="16">
        <f t="shared" si="150"/>
        <v>0.0090990453494871</v>
      </c>
      <c r="DN94" s="16">
        <f t="shared" si="150"/>
        <v>0.0669083624054915</v>
      </c>
      <c r="DO94" s="16">
        <f t="shared" si="150"/>
        <v>-0.105242929694913</v>
      </c>
      <c r="DP94" s="16">
        <f t="shared" si="150"/>
        <v>0.0209421715740285</v>
      </c>
      <c r="DQ94" s="16">
        <f t="shared" si="150"/>
        <v>0.0467576616814825</v>
      </c>
      <c r="DR94" s="16">
        <f t="shared" si="150"/>
        <v>-0.0206382519947465</v>
      </c>
      <c r="DS94" s="16">
        <f t="shared" si="150"/>
        <v>-0.143266920692702</v>
      </c>
      <c r="DT94" s="16">
        <f t="shared" si="150"/>
        <v>0.0501790601108937</v>
      </c>
      <c r="DU94" s="16">
        <f t="shared" si="150"/>
        <v>-0.0171006906261991</v>
      </c>
      <c r="DV94" s="16">
        <f t="shared" si="13"/>
        <v>-0.0518100631217629</v>
      </c>
      <c r="DW94" s="16">
        <f t="shared" si="115"/>
        <v>-0.159123839250625</v>
      </c>
      <c r="DX94" s="16">
        <f t="shared" si="115"/>
        <v>0.0165293770165389</v>
      </c>
      <c r="DY94" s="16">
        <f t="shared" si="115"/>
        <v>0.140569254807515</v>
      </c>
      <c r="DZ94" s="16">
        <f t="shared" si="115"/>
        <v>0.17412568357388</v>
      </c>
    </row>
    <row r="95" ht="14" spans="1:130">
      <c r="A95" s="32">
        <v>43586</v>
      </c>
      <c r="B95" s="16">
        <f t="shared" si="6"/>
        <v>-0.073836312085816</v>
      </c>
      <c r="C95" s="16">
        <f t="shared" si="6"/>
        <v>0.0221609149376086</v>
      </c>
      <c r="D95" s="16">
        <f t="shared" si="7"/>
        <v>-0.00944253403061956</v>
      </c>
      <c r="E95" s="16">
        <f t="shared" si="7"/>
        <v>-0.0211684425805426</v>
      </c>
      <c r="F95" s="16">
        <f t="shared" si="7"/>
        <v>0.00633181858515881</v>
      </c>
      <c r="G95" s="16">
        <f t="shared" si="7"/>
        <v>-0.0729762755788712</v>
      </c>
      <c r="H95" s="16">
        <f t="shared" ref="H95:M95" si="151">LN(H33/H32)</f>
        <v>-0.0143104177743254</v>
      </c>
      <c r="I95" s="16">
        <f t="shared" si="151"/>
        <v>-0.038466771350121</v>
      </c>
      <c r="J95" s="16">
        <f t="shared" si="151"/>
        <v>-0.016448642811084</v>
      </c>
      <c r="K95" s="16">
        <f t="shared" si="151"/>
        <v>0.0738031227361946</v>
      </c>
      <c r="L95" s="16">
        <f t="shared" si="151"/>
        <v>0.00189792523035558</v>
      </c>
      <c r="M95" s="16">
        <f t="shared" si="151"/>
        <v>-0.155617385335211</v>
      </c>
      <c r="N95" s="16">
        <f t="shared" ref="N95:AS95" si="152">LN(N33/N32)</f>
        <v>-0.0222029138879414</v>
      </c>
      <c r="O95" s="16">
        <f t="shared" si="152"/>
        <v>-0.0301994550447493</v>
      </c>
      <c r="P95" s="16">
        <f t="shared" si="152"/>
        <v>0.0367717641334139</v>
      </c>
      <c r="Q95" s="16">
        <f t="shared" si="152"/>
        <v>-0.0281168583852214</v>
      </c>
      <c r="R95" s="16">
        <f t="shared" si="152"/>
        <v>0.0552811707098592</v>
      </c>
      <c r="S95" s="16">
        <f t="shared" si="152"/>
        <v>-0.12863909216985</v>
      </c>
      <c r="T95" s="16">
        <f t="shared" si="152"/>
        <v>-0.039984814811696</v>
      </c>
      <c r="U95" s="16">
        <f t="shared" si="152"/>
        <v>0.0415740873344767</v>
      </c>
      <c r="V95" s="16">
        <f t="shared" si="152"/>
        <v>-0.0304739424174457</v>
      </c>
      <c r="W95" s="16">
        <f t="shared" si="152"/>
        <v>0.0150578575841238</v>
      </c>
      <c r="X95" s="16">
        <f t="shared" si="152"/>
        <v>-0.0061320509468595</v>
      </c>
      <c r="Y95" s="16">
        <f t="shared" si="152"/>
        <v>-0.474087691674276</v>
      </c>
      <c r="Z95" s="16">
        <f t="shared" si="152"/>
        <v>-0.0307923950083425</v>
      </c>
      <c r="AA95" s="16">
        <f t="shared" si="152"/>
        <v>-0.0939304845861244</v>
      </c>
      <c r="AB95" s="16">
        <f t="shared" si="152"/>
        <v>0.087967917658604</v>
      </c>
      <c r="AC95" s="16">
        <f t="shared" si="152"/>
        <v>-0.0382041321289018</v>
      </c>
      <c r="AD95" s="16">
        <f t="shared" si="152"/>
        <v>-0.0544418715214661</v>
      </c>
      <c r="AE95" s="16">
        <f t="shared" si="152"/>
        <v>-0.0655416169827366</v>
      </c>
      <c r="AF95" s="16">
        <f t="shared" si="152"/>
        <v>-0.0848952914235564</v>
      </c>
      <c r="AG95" s="16">
        <f t="shared" si="152"/>
        <v>-0.0390753652760954</v>
      </c>
      <c r="AH95" s="16">
        <f t="shared" si="152"/>
        <v>-0.253794793339238</v>
      </c>
      <c r="AI95" s="16">
        <f t="shared" si="152"/>
        <v>-0.0125883985315329</v>
      </c>
      <c r="AJ95" s="16">
        <f t="shared" si="152"/>
        <v>-0.06049972329632</v>
      </c>
      <c r="AK95" s="16">
        <f t="shared" si="152"/>
        <v>-0.256639639894372</v>
      </c>
      <c r="AL95" s="16">
        <f t="shared" si="152"/>
        <v>-0.172200860127114</v>
      </c>
      <c r="AM95" s="16">
        <f t="shared" si="152"/>
        <v>-0.289820588835104</v>
      </c>
      <c r="AN95" s="16">
        <f t="shared" si="152"/>
        <v>-0.147511353109212</v>
      </c>
      <c r="AO95" s="16">
        <f t="shared" si="152"/>
        <v>-0.235308850093646</v>
      </c>
      <c r="AP95" s="16">
        <f t="shared" si="152"/>
        <v>-0.121875577307238</v>
      </c>
      <c r="AQ95" s="16">
        <f t="shared" si="152"/>
        <v>-0.253855372152683</v>
      </c>
      <c r="AR95" s="16">
        <f t="shared" si="152"/>
        <v>-0.00799422862063075</v>
      </c>
      <c r="AS95" s="16">
        <f t="shared" si="152"/>
        <v>-0.254478208290407</v>
      </c>
      <c r="AT95" s="16">
        <f t="shared" ref="AT95:BY95" si="153">LN(AT33/AT32)</f>
        <v>-0.18487100934742</v>
      </c>
      <c r="AU95" s="16">
        <f t="shared" si="153"/>
        <v>-0.180694386104664</v>
      </c>
      <c r="AV95" s="16">
        <f t="shared" si="153"/>
        <v>-0.221667981249761</v>
      </c>
      <c r="AW95" s="16">
        <f t="shared" si="153"/>
        <v>-0.160650141711488</v>
      </c>
      <c r="AX95" s="16">
        <f t="shared" si="153"/>
        <v>-0.280225299635853</v>
      </c>
      <c r="AY95" s="16">
        <f t="shared" si="153"/>
        <v>-0.136475681952078</v>
      </c>
      <c r="AZ95" s="16">
        <f t="shared" si="153"/>
        <v>-0.0880730504075211</v>
      </c>
      <c r="BA95" s="16">
        <f t="shared" si="153"/>
        <v>-0.0359216786173905</v>
      </c>
      <c r="BB95" s="16">
        <f t="shared" si="153"/>
        <v>-0.114290127636024</v>
      </c>
      <c r="BC95" s="16">
        <f t="shared" si="153"/>
        <v>-0.147032940420353</v>
      </c>
      <c r="BD95" s="16">
        <f t="shared" si="153"/>
        <v>-0.125587830350428</v>
      </c>
      <c r="BE95" s="16">
        <f t="shared" si="153"/>
        <v>-0.0657758740624814</v>
      </c>
      <c r="BF95" s="16">
        <f t="shared" si="153"/>
        <v>-0.0994609356925852</v>
      </c>
      <c r="BG95" s="16">
        <f t="shared" si="153"/>
        <v>-0.0818754077815861</v>
      </c>
      <c r="BH95" s="16">
        <f t="shared" si="153"/>
        <v>-0.0755580278233511</v>
      </c>
      <c r="BI95" s="16">
        <f t="shared" si="153"/>
        <v>-0.0805980884012911</v>
      </c>
      <c r="BJ95" s="16">
        <f t="shared" si="153"/>
        <v>-0.155521047078755</v>
      </c>
      <c r="BK95" s="16">
        <f t="shared" si="153"/>
        <v>0.00353663667980071</v>
      </c>
      <c r="BL95" s="16">
        <f t="shared" si="153"/>
        <v>-0.0210754044848368</v>
      </c>
      <c r="BM95" s="16">
        <f t="shared" si="153"/>
        <v>-0.00463923384013509</v>
      </c>
      <c r="BN95" s="16">
        <f t="shared" si="153"/>
        <v>-0.129781020833114</v>
      </c>
      <c r="BO95" s="16">
        <f t="shared" si="153"/>
        <v>-0.0704140222869077</v>
      </c>
      <c r="BP95" s="16">
        <f t="shared" si="153"/>
        <v>-0.10720001646423</v>
      </c>
      <c r="BQ95" s="16">
        <f t="shared" si="153"/>
        <v>0.0239027912307368</v>
      </c>
      <c r="BR95" s="16">
        <f t="shared" si="153"/>
        <v>0.0243299060920544</v>
      </c>
      <c r="BS95" s="16">
        <f t="shared" si="153"/>
        <v>-0.113341407828486</v>
      </c>
      <c r="BT95" s="16">
        <f t="shared" si="153"/>
        <v>-0.069240376281886</v>
      </c>
      <c r="BU95" s="16">
        <f t="shared" si="153"/>
        <v>-0.019735636757013</v>
      </c>
      <c r="BV95" s="16">
        <f t="shared" si="153"/>
        <v>0.0324345884259639</v>
      </c>
      <c r="BW95" s="16">
        <f t="shared" si="153"/>
        <v>-0.132418106964136</v>
      </c>
      <c r="BX95" s="16">
        <f t="shared" si="153"/>
        <v>-0.0266317111202489</v>
      </c>
      <c r="BY95" s="16">
        <f t="shared" si="153"/>
        <v>-0.0704887713954262</v>
      </c>
      <c r="BZ95" s="16">
        <f t="shared" ref="BZ95:DE95" si="154">LN(BZ33/BZ32)</f>
        <v>-0.0270678056146147</v>
      </c>
      <c r="CA95" s="16">
        <f t="shared" si="154"/>
        <v>0.00142574774174451</v>
      </c>
      <c r="CB95" s="16">
        <f t="shared" si="154"/>
        <v>-0.000390306471073988</v>
      </c>
      <c r="CC95" s="16">
        <f t="shared" si="154"/>
        <v>-0.115345614911201</v>
      </c>
      <c r="CD95" s="16">
        <f t="shared" si="154"/>
        <v>0.00180766921415523</v>
      </c>
      <c r="CE95" s="16">
        <f t="shared" si="154"/>
        <v>-0.0034449231916265</v>
      </c>
      <c r="CF95" s="16">
        <f t="shared" si="154"/>
        <v>-0.0885864785048056</v>
      </c>
      <c r="CG95" s="16">
        <f t="shared" si="154"/>
        <v>-0.0647980369837358</v>
      </c>
      <c r="CH95" s="16">
        <f t="shared" si="154"/>
        <v>0</v>
      </c>
      <c r="CI95" s="16">
        <f t="shared" si="154"/>
        <v>-0.0666729589335304</v>
      </c>
      <c r="CJ95" s="16">
        <f t="shared" si="154"/>
        <v>-0.0382787721196037</v>
      </c>
      <c r="CK95" s="16">
        <f t="shared" si="154"/>
        <v>-0.184128385975472</v>
      </c>
      <c r="CL95" s="16">
        <f t="shared" si="154"/>
        <v>-0.016388008764713</v>
      </c>
      <c r="CM95" s="16">
        <f t="shared" si="154"/>
        <v>-0.0062649673895358</v>
      </c>
      <c r="CN95" s="16">
        <f t="shared" si="154"/>
        <v>-0.137376745746493</v>
      </c>
      <c r="CO95" s="16">
        <f t="shared" si="154"/>
        <v>0.0171116084740971</v>
      </c>
      <c r="CP95" s="16">
        <f t="shared" si="154"/>
        <v>-0.00723073818367443</v>
      </c>
      <c r="CQ95" s="16">
        <f t="shared" si="154"/>
        <v>-0.0645820551546848</v>
      </c>
      <c r="CR95" s="16">
        <f t="shared" si="154"/>
        <v>-0.0545853206142153</v>
      </c>
      <c r="CS95" s="16">
        <f t="shared" si="154"/>
        <v>-0.0690926294894331</v>
      </c>
      <c r="CT95" s="16">
        <f t="shared" si="154"/>
        <v>-0.0559842422599325</v>
      </c>
      <c r="CU95" s="16">
        <f t="shared" si="154"/>
        <v>-0.0510781754357192</v>
      </c>
      <c r="CV95" s="16">
        <f t="shared" si="154"/>
        <v>-0.133773490844478</v>
      </c>
      <c r="CW95" s="16">
        <f t="shared" si="154"/>
        <v>-0.205409006174822</v>
      </c>
      <c r="CX95" s="16">
        <f t="shared" si="154"/>
        <v>-0.0279087881170765</v>
      </c>
      <c r="CY95" s="16">
        <f t="shared" si="154"/>
        <v>0.00774768679082596</v>
      </c>
      <c r="CZ95" s="16">
        <f t="shared" si="154"/>
        <v>0.00299700524026951</v>
      </c>
      <c r="DA95" s="16">
        <f t="shared" si="154"/>
        <v>-0.153787479300257</v>
      </c>
      <c r="DB95" s="16">
        <f t="shared" si="154"/>
        <v>-0.456966006463584</v>
      </c>
      <c r="DC95" s="16">
        <f t="shared" si="154"/>
        <v>-0.198020142936904</v>
      </c>
      <c r="DD95" s="16">
        <f t="shared" si="154"/>
        <v>-0.00865825001498939</v>
      </c>
      <c r="DE95" s="16">
        <f t="shared" si="154"/>
        <v>-0.119693976000741</v>
      </c>
      <c r="DF95" s="16">
        <f t="shared" ref="DF95:DU95" si="155">LN(DF33/DF32)</f>
        <v>-0.0648432744902118</v>
      </c>
      <c r="DG95" s="16">
        <f t="shared" si="155"/>
        <v>-0.27443684570176</v>
      </c>
      <c r="DH95" s="16">
        <f t="shared" si="155"/>
        <v>-0.194761524601753</v>
      </c>
      <c r="DI95" s="16">
        <f t="shared" si="155"/>
        <v>-0.126085215569127</v>
      </c>
      <c r="DJ95" s="16">
        <f t="shared" si="155"/>
        <v>-0.0531092078300779</v>
      </c>
      <c r="DK95" s="16">
        <f t="shared" si="155"/>
        <v>-0.0681783990392207</v>
      </c>
      <c r="DL95" s="16">
        <f t="shared" si="155"/>
        <v>-0.159209510338857</v>
      </c>
      <c r="DM95" s="16">
        <f t="shared" si="155"/>
        <v>-0.157522996530364</v>
      </c>
      <c r="DN95" s="16">
        <f t="shared" si="155"/>
        <v>-0.137907664597685</v>
      </c>
      <c r="DO95" s="16">
        <f t="shared" si="155"/>
        <v>-0.168089344970992</v>
      </c>
      <c r="DP95" s="16">
        <f t="shared" si="155"/>
        <v>-0.244845896921807</v>
      </c>
      <c r="DQ95" s="16">
        <f t="shared" si="155"/>
        <v>-0.0815324382345982</v>
      </c>
      <c r="DR95" s="16">
        <f t="shared" si="155"/>
        <v>-0.207278855251847</v>
      </c>
      <c r="DS95" s="16">
        <f t="shared" si="155"/>
        <v>-0.115028846558107</v>
      </c>
      <c r="DT95" s="16">
        <f t="shared" si="155"/>
        <v>-0.167387072710206</v>
      </c>
      <c r="DU95" s="16">
        <f t="shared" si="155"/>
        <v>-0.226112616295009</v>
      </c>
      <c r="DV95" s="16">
        <f t="shared" si="13"/>
        <v>-0.226181992520681</v>
      </c>
      <c r="DW95" s="16">
        <f t="shared" si="115"/>
        <v>-0.253945322713873</v>
      </c>
      <c r="DX95" s="16">
        <f t="shared" si="115"/>
        <v>0.0584435401447223</v>
      </c>
      <c r="DY95" s="16">
        <f t="shared" si="115"/>
        <v>-0.259098807481981</v>
      </c>
      <c r="DZ95" s="16">
        <f t="shared" si="115"/>
        <v>-0.0772916014406451</v>
      </c>
    </row>
    <row r="96" ht="14" spans="1:130">
      <c r="A96" s="32">
        <v>43617</v>
      </c>
      <c r="B96" s="16">
        <f t="shared" si="6"/>
        <v>0.0669635632835757</v>
      </c>
      <c r="C96" s="16">
        <f t="shared" si="6"/>
        <v>0.0512692703421802</v>
      </c>
      <c r="D96" s="16">
        <f t="shared" si="7"/>
        <v>-0.0398423677472185</v>
      </c>
      <c r="E96" s="16">
        <f t="shared" si="7"/>
        <v>-0.0534155576421473</v>
      </c>
      <c r="F96" s="16">
        <f t="shared" si="7"/>
        <v>0.0569270653955452</v>
      </c>
      <c r="G96" s="16">
        <f t="shared" si="7"/>
        <v>0.108833080891815</v>
      </c>
      <c r="H96" s="16">
        <f t="shared" ref="H96:M96" si="156">LN(H34/H33)</f>
        <v>-0.000441026331935806</v>
      </c>
      <c r="I96" s="16">
        <f t="shared" si="156"/>
        <v>0.0953169617873089</v>
      </c>
      <c r="J96" s="16">
        <f t="shared" si="156"/>
        <v>0.181935918816327</v>
      </c>
      <c r="K96" s="16">
        <f t="shared" si="156"/>
        <v>0.0974298838395488</v>
      </c>
      <c r="L96" s="16">
        <f t="shared" si="156"/>
        <v>0.211301242185829</v>
      </c>
      <c r="M96" s="16">
        <f t="shared" si="156"/>
        <v>0.107639534121959</v>
      </c>
      <c r="N96" s="16">
        <f t="shared" ref="N96:AS96" si="157">LN(N34/N33)</f>
        <v>0.169231718125981</v>
      </c>
      <c r="O96" s="16">
        <f t="shared" si="157"/>
        <v>0.149868196097951</v>
      </c>
      <c r="P96" s="16">
        <f t="shared" si="157"/>
        <v>0.00909841572843429</v>
      </c>
      <c r="Q96" s="16">
        <f t="shared" si="157"/>
        <v>0.039683357976619</v>
      </c>
      <c r="R96" s="16">
        <f t="shared" si="157"/>
        <v>0.0151023269526545</v>
      </c>
      <c r="S96" s="16">
        <f t="shared" si="157"/>
        <v>0.036703755554723</v>
      </c>
      <c r="T96" s="16">
        <f t="shared" si="157"/>
        <v>0.0995641740493026</v>
      </c>
      <c r="U96" s="16">
        <f t="shared" si="157"/>
        <v>0.0506501866104308</v>
      </c>
      <c r="V96" s="16">
        <f t="shared" si="157"/>
        <v>0.115038491587774</v>
      </c>
      <c r="W96" s="16">
        <f t="shared" si="157"/>
        <v>0.175153067315342</v>
      </c>
      <c r="X96" s="16">
        <f t="shared" si="157"/>
        <v>0.116099677722752</v>
      </c>
      <c r="Y96" s="16">
        <f t="shared" si="157"/>
        <v>0.125163142954006</v>
      </c>
      <c r="Z96" s="16">
        <f t="shared" si="157"/>
        <v>0.0765438324835143</v>
      </c>
      <c r="AA96" s="16">
        <f t="shared" si="157"/>
        <v>0.120825979275628</v>
      </c>
      <c r="AB96" s="16">
        <f t="shared" si="157"/>
        <v>0.0703145836550349</v>
      </c>
      <c r="AC96" s="16">
        <f t="shared" si="157"/>
        <v>0.109030157006902</v>
      </c>
      <c r="AD96" s="16">
        <f t="shared" si="157"/>
        <v>0.0835388663096758</v>
      </c>
      <c r="AE96" s="16">
        <f t="shared" si="157"/>
        <v>0.084038462192873</v>
      </c>
      <c r="AF96" s="16">
        <f t="shared" si="157"/>
        <v>0.118573388249402</v>
      </c>
      <c r="AG96" s="16">
        <f t="shared" si="157"/>
        <v>0.100030292628151</v>
      </c>
      <c r="AH96" s="16">
        <f t="shared" si="157"/>
        <v>0.0582845271448195</v>
      </c>
      <c r="AI96" s="16">
        <f t="shared" si="157"/>
        <v>0.0702025201188044</v>
      </c>
      <c r="AJ96" s="16">
        <f t="shared" si="157"/>
        <v>0.0614984749398909</v>
      </c>
      <c r="AK96" s="16">
        <f t="shared" si="157"/>
        <v>0.149946933253532</v>
      </c>
      <c r="AL96" s="16">
        <f t="shared" si="157"/>
        <v>0.0976613588826163</v>
      </c>
      <c r="AM96" s="16">
        <f t="shared" si="157"/>
        <v>0.193732163185372</v>
      </c>
      <c r="AN96" s="16">
        <f t="shared" si="157"/>
        <v>0.0894963578491049</v>
      </c>
      <c r="AO96" s="16">
        <f t="shared" si="157"/>
        <v>0.134474367227962</v>
      </c>
      <c r="AP96" s="16">
        <f t="shared" si="157"/>
        <v>0.102052820819732</v>
      </c>
      <c r="AQ96" s="16">
        <f t="shared" si="157"/>
        <v>0.129651557807301</v>
      </c>
      <c r="AR96" s="16">
        <f t="shared" si="157"/>
        <v>0.102547368742963</v>
      </c>
      <c r="AS96" s="16">
        <f t="shared" si="157"/>
        <v>0.168374118984192</v>
      </c>
      <c r="AT96" s="16">
        <f t="shared" ref="AT96:BY96" si="158">LN(AT34/AT33)</f>
        <v>0.160970476471075</v>
      </c>
      <c r="AU96" s="16">
        <f t="shared" si="158"/>
        <v>0.101826566408881</v>
      </c>
      <c r="AV96" s="16">
        <f t="shared" si="158"/>
        <v>0.084457991934512</v>
      </c>
      <c r="AW96" s="16">
        <f t="shared" si="158"/>
        <v>0.145273572080397</v>
      </c>
      <c r="AX96" s="16">
        <f t="shared" si="158"/>
        <v>0.153562531149712</v>
      </c>
      <c r="AY96" s="16">
        <f t="shared" si="158"/>
        <v>0.126520353304595</v>
      </c>
      <c r="AZ96" s="16">
        <f t="shared" si="158"/>
        <v>0.00211123651686914</v>
      </c>
      <c r="BA96" s="16">
        <f t="shared" si="158"/>
        <v>0.0471289450569316</v>
      </c>
      <c r="BB96" s="16">
        <f t="shared" si="158"/>
        <v>0.0424943792490196</v>
      </c>
      <c r="BC96" s="16">
        <f t="shared" si="158"/>
        <v>0.178476381301789</v>
      </c>
      <c r="BD96" s="16">
        <f t="shared" si="158"/>
        <v>0.0690577215222186</v>
      </c>
      <c r="BE96" s="16">
        <f t="shared" si="158"/>
        <v>0.107018827106236</v>
      </c>
      <c r="BF96" s="16">
        <f t="shared" si="158"/>
        <v>0.0942286962065932</v>
      </c>
      <c r="BG96" s="16">
        <f t="shared" si="158"/>
        <v>0.0646557631616831</v>
      </c>
      <c r="BH96" s="16">
        <f t="shared" si="158"/>
        <v>0.0986137059939575</v>
      </c>
      <c r="BI96" s="16">
        <f t="shared" si="158"/>
        <v>-0.015200810155125</v>
      </c>
      <c r="BJ96" s="16">
        <f t="shared" si="158"/>
        <v>0.144679291640798</v>
      </c>
      <c r="BK96" s="16">
        <f t="shared" si="158"/>
        <v>0.0521114460751301</v>
      </c>
      <c r="BL96" s="16">
        <f t="shared" si="158"/>
        <v>0.101897151466897</v>
      </c>
      <c r="BM96" s="16">
        <f t="shared" si="158"/>
        <v>0.0454607999617593</v>
      </c>
      <c r="BN96" s="16">
        <f t="shared" si="158"/>
        <v>0.0873788714492652</v>
      </c>
      <c r="BO96" s="16">
        <f t="shared" si="158"/>
        <v>0.0911597045030148</v>
      </c>
      <c r="BP96" s="16">
        <f t="shared" si="158"/>
        <v>0.0677047781803013</v>
      </c>
      <c r="BQ96" s="16">
        <f t="shared" si="158"/>
        <v>0.133565870818045</v>
      </c>
      <c r="BR96" s="16">
        <f t="shared" si="158"/>
        <v>0.0300373978550726</v>
      </c>
      <c r="BS96" s="16">
        <f t="shared" si="158"/>
        <v>0.123916083412783</v>
      </c>
      <c r="BT96" s="16">
        <f t="shared" si="158"/>
        <v>-0.0854715575120914</v>
      </c>
      <c r="BU96" s="16">
        <f t="shared" si="158"/>
        <v>0.0823351122173279</v>
      </c>
      <c r="BV96" s="16">
        <f t="shared" si="158"/>
        <v>-0.00437429548409463</v>
      </c>
      <c r="BW96" s="16">
        <f t="shared" si="158"/>
        <v>0.163538984432736</v>
      </c>
      <c r="BX96" s="16">
        <f t="shared" si="158"/>
        <v>0.0800075522975034</v>
      </c>
      <c r="BY96" s="16">
        <f t="shared" si="158"/>
        <v>-0.00556360517768158</v>
      </c>
      <c r="BZ96" s="16">
        <f t="shared" ref="BZ96:DE96" si="159">LN(BZ34/BZ33)</f>
        <v>0.0634384930317985</v>
      </c>
      <c r="CA96" s="16">
        <f t="shared" si="159"/>
        <v>0.0357858865668092</v>
      </c>
      <c r="CB96" s="16">
        <f t="shared" si="159"/>
        <v>0.0241588755549234</v>
      </c>
      <c r="CC96" s="16">
        <f t="shared" si="159"/>
        <v>0.017988586104658</v>
      </c>
      <c r="CD96" s="16">
        <f t="shared" si="159"/>
        <v>0.0249838770140721</v>
      </c>
      <c r="CE96" s="16">
        <f t="shared" si="159"/>
        <v>0.0250325399424422</v>
      </c>
      <c r="CF96" s="16">
        <f t="shared" si="159"/>
        <v>0.0965252358365373</v>
      </c>
      <c r="CG96" s="16">
        <f t="shared" si="159"/>
        <v>0.13112077192826</v>
      </c>
      <c r="CH96" s="16">
        <f t="shared" si="159"/>
        <v>0.0582506471127866</v>
      </c>
      <c r="CI96" s="16">
        <f t="shared" si="159"/>
        <v>0.0646767419983918</v>
      </c>
      <c r="CJ96" s="16">
        <f t="shared" si="159"/>
        <v>0.0290202921174579</v>
      </c>
      <c r="CK96" s="16">
        <f t="shared" si="159"/>
        <v>0.129696313531515</v>
      </c>
      <c r="CL96" s="16">
        <f t="shared" si="159"/>
        <v>0.0272340642058724</v>
      </c>
      <c r="CM96" s="16">
        <f t="shared" si="159"/>
        <v>0.0262417321599956</v>
      </c>
      <c r="CN96" s="16">
        <f t="shared" si="159"/>
        <v>0.0298426620283642</v>
      </c>
      <c r="CO96" s="16">
        <f t="shared" si="159"/>
        <v>-0.00662278714430415</v>
      </c>
      <c r="CP96" s="16">
        <f t="shared" si="159"/>
        <v>-0.015219775650937</v>
      </c>
      <c r="CQ96" s="16">
        <f t="shared" si="159"/>
        <v>0.0284866093895666</v>
      </c>
      <c r="CR96" s="16">
        <f t="shared" si="159"/>
        <v>0.0985344706030654</v>
      </c>
      <c r="CS96" s="16">
        <f t="shared" si="159"/>
        <v>0.155912672904156</v>
      </c>
      <c r="CT96" s="16">
        <f t="shared" si="159"/>
        <v>0.0341330063694584</v>
      </c>
      <c r="CU96" s="16">
        <f t="shared" si="159"/>
        <v>-0.00706439358650814</v>
      </c>
      <c r="CV96" s="16">
        <f t="shared" si="159"/>
        <v>0.11512896055336</v>
      </c>
      <c r="CW96" s="16">
        <f t="shared" si="159"/>
        <v>0.0622553154078186</v>
      </c>
      <c r="CX96" s="16">
        <f t="shared" si="159"/>
        <v>-0.0352036351929798</v>
      </c>
      <c r="CY96" s="16">
        <f t="shared" si="159"/>
        <v>-0.0364901556564799</v>
      </c>
      <c r="CZ96" s="16">
        <f t="shared" si="159"/>
        <v>-0.0818106869183127</v>
      </c>
      <c r="DA96" s="16">
        <f t="shared" si="159"/>
        <v>0.0592180886881416</v>
      </c>
      <c r="DB96" s="16">
        <f t="shared" si="159"/>
        <v>0.0950012676873649</v>
      </c>
      <c r="DC96" s="16">
        <f t="shared" si="159"/>
        <v>0.117249940404495</v>
      </c>
      <c r="DD96" s="16">
        <f t="shared" si="159"/>
        <v>-0.0196440457938904</v>
      </c>
      <c r="DE96" s="16">
        <f t="shared" si="159"/>
        <v>0.119560116762657</v>
      </c>
      <c r="DF96" s="16">
        <f t="shared" ref="DF96:DU96" si="160">LN(DF34/DF33)</f>
        <v>0.0746578356181525</v>
      </c>
      <c r="DG96" s="16">
        <f t="shared" si="160"/>
        <v>0.0671666435438407</v>
      </c>
      <c r="DH96" s="16">
        <f t="shared" si="160"/>
        <v>0.164223512615553</v>
      </c>
      <c r="DI96" s="16">
        <f t="shared" si="160"/>
        <v>0.0909506843126562</v>
      </c>
      <c r="DJ96" s="16">
        <f t="shared" si="160"/>
        <v>0.0987326979622477</v>
      </c>
      <c r="DK96" s="16">
        <f t="shared" si="160"/>
        <v>0.0389831261393176</v>
      </c>
      <c r="DL96" s="16">
        <f t="shared" si="160"/>
        <v>0.0804974097043155</v>
      </c>
      <c r="DM96" s="16">
        <f t="shared" si="160"/>
        <v>0.129063909314161</v>
      </c>
      <c r="DN96" s="16">
        <f t="shared" si="160"/>
        <v>0.129293278326642</v>
      </c>
      <c r="DO96" s="16">
        <f t="shared" si="160"/>
        <v>0.0101949895437392</v>
      </c>
      <c r="DP96" s="16">
        <f t="shared" si="160"/>
        <v>0.125350263533043</v>
      </c>
      <c r="DQ96" s="16">
        <f t="shared" si="160"/>
        <v>0.107301910477124</v>
      </c>
      <c r="DR96" s="16">
        <f t="shared" si="160"/>
        <v>0.135906635469052</v>
      </c>
      <c r="DS96" s="16">
        <f t="shared" si="160"/>
        <v>0.147994678788266</v>
      </c>
      <c r="DT96" s="16">
        <f t="shared" si="160"/>
        <v>0.226638160649502</v>
      </c>
      <c r="DU96" s="16">
        <f t="shared" si="160"/>
        <v>0.0640888543720051</v>
      </c>
      <c r="DV96" s="16">
        <f t="shared" si="13"/>
        <v>0.105475684884046</v>
      </c>
      <c r="DW96" s="16">
        <f t="shared" si="115"/>
        <v>0.188012110956122</v>
      </c>
      <c r="DX96" s="16">
        <f t="shared" si="115"/>
        <v>0.12102484579245</v>
      </c>
      <c r="DY96" s="16">
        <f t="shared" si="115"/>
        <v>0.154493534904429</v>
      </c>
      <c r="DZ96" s="16">
        <f t="shared" si="115"/>
        <v>0.0719297208187001</v>
      </c>
    </row>
    <row r="97" ht="14" spans="1:130">
      <c r="A97" s="32">
        <v>43647</v>
      </c>
      <c r="B97" s="16">
        <f t="shared" si="6"/>
        <v>-0.0672601985938277</v>
      </c>
      <c r="C97" s="16">
        <f t="shared" si="6"/>
        <v>-0.109163852906391</v>
      </c>
      <c r="D97" s="16">
        <f t="shared" si="7"/>
        <v>-0.0167475348428516</v>
      </c>
      <c r="E97" s="16">
        <f t="shared" si="7"/>
        <v>-0.0876114905275657</v>
      </c>
      <c r="F97" s="16">
        <f t="shared" si="7"/>
        <v>-0.00365261187043426</v>
      </c>
      <c r="G97" s="16">
        <f t="shared" si="7"/>
        <v>0.0124040390201037</v>
      </c>
      <c r="H97" s="16">
        <f t="shared" ref="H97:M97" si="161">LN(H35/H34)</f>
        <v>-0.0209453917036644</v>
      </c>
      <c r="I97" s="16">
        <f t="shared" si="161"/>
        <v>-0.0553553861064316</v>
      </c>
      <c r="J97" s="16">
        <f t="shared" si="161"/>
        <v>-0.206776794327636</v>
      </c>
      <c r="K97" s="16">
        <f t="shared" si="161"/>
        <v>0.0241139819439317</v>
      </c>
      <c r="L97" s="16">
        <f t="shared" si="161"/>
        <v>0.0458493787323158</v>
      </c>
      <c r="M97" s="16">
        <f t="shared" si="161"/>
        <v>-0.0730473326984398</v>
      </c>
      <c r="N97" s="16">
        <f t="shared" ref="N97:AS97" si="162">LN(N35/N34)</f>
        <v>-0.0108102405565746</v>
      </c>
      <c r="O97" s="16">
        <f t="shared" si="162"/>
        <v>-0.104368943935531</v>
      </c>
      <c r="P97" s="16">
        <f t="shared" si="162"/>
        <v>0.0247021212661694</v>
      </c>
      <c r="Q97" s="16">
        <f t="shared" si="162"/>
        <v>0.025010341167478</v>
      </c>
      <c r="R97" s="16">
        <f t="shared" si="162"/>
        <v>0.0458876250289993</v>
      </c>
      <c r="S97" s="16">
        <f t="shared" si="162"/>
        <v>-0.0266786089353444</v>
      </c>
      <c r="T97" s="16">
        <f t="shared" si="162"/>
        <v>0.0350504159733299</v>
      </c>
      <c r="U97" s="16">
        <f t="shared" si="162"/>
        <v>0.0456609258702752</v>
      </c>
      <c r="V97" s="16">
        <f t="shared" si="162"/>
        <v>0.022796585254898</v>
      </c>
      <c r="W97" s="16">
        <f t="shared" si="162"/>
        <v>0.041198238064924</v>
      </c>
      <c r="X97" s="16">
        <f t="shared" si="162"/>
        <v>0.0122597207502475</v>
      </c>
      <c r="Y97" s="16">
        <f t="shared" si="162"/>
        <v>0.0932072943322323</v>
      </c>
      <c r="Z97" s="16">
        <f t="shared" si="162"/>
        <v>0.00635180972457211</v>
      </c>
      <c r="AA97" s="16">
        <f t="shared" si="162"/>
        <v>-0.00965469254532526</v>
      </c>
      <c r="AB97" s="16">
        <f t="shared" si="162"/>
        <v>0.0532173281861376</v>
      </c>
      <c r="AC97" s="16">
        <f t="shared" si="162"/>
        <v>0.0278221877446418</v>
      </c>
      <c r="AD97" s="16">
        <f t="shared" si="162"/>
        <v>0.0170968174185471</v>
      </c>
      <c r="AE97" s="16">
        <f t="shared" si="162"/>
        <v>0.0141870250293247</v>
      </c>
      <c r="AF97" s="16">
        <f t="shared" si="162"/>
        <v>-0.0118302824909427</v>
      </c>
      <c r="AG97" s="16">
        <f t="shared" si="162"/>
        <v>0.0311365753462004</v>
      </c>
      <c r="AH97" s="16">
        <f t="shared" si="162"/>
        <v>0.0442989573208273</v>
      </c>
      <c r="AI97" s="16">
        <f t="shared" si="162"/>
        <v>0.00918507349804915</v>
      </c>
      <c r="AJ97" s="16">
        <f t="shared" si="162"/>
        <v>0.0950378919035706</v>
      </c>
      <c r="AK97" s="16">
        <f t="shared" si="162"/>
        <v>-0.0052672734162491</v>
      </c>
      <c r="AL97" s="16">
        <f t="shared" si="162"/>
        <v>0.00745685001366575</v>
      </c>
      <c r="AM97" s="16">
        <f t="shared" si="162"/>
        <v>0.0269727071503458</v>
      </c>
      <c r="AN97" s="16">
        <f t="shared" si="162"/>
        <v>0.0544740550657167</v>
      </c>
      <c r="AO97" s="16">
        <f t="shared" si="162"/>
        <v>0.0169142565269363</v>
      </c>
      <c r="AP97" s="16">
        <f t="shared" si="162"/>
        <v>0.0855507983287436</v>
      </c>
      <c r="AQ97" s="16">
        <f t="shared" si="162"/>
        <v>-0.0299059580138827</v>
      </c>
      <c r="AR97" s="16">
        <f t="shared" si="162"/>
        <v>0.00263071509824858</v>
      </c>
      <c r="AS97" s="16">
        <f t="shared" si="162"/>
        <v>0.151221978349185</v>
      </c>
      <c r="AT97" s="16">
        <f t="shared" ref="AT97:BY97" si="163">LN(AT35/AT34)</f>
        <v>0.0398609866163957</v>
      </c>
      <c r="AU97" s="16">
        <f t="shared" si="163"/>
        <v>0.060197772759146</v>
      </c>
      <c r="AV97" s="16">
        <f t="shared" si="163"/>
        <v>0.0852988822995587</v>
      </c>
      <c r="AW97" s="16">
        <f t="shared" si="163"/>
        <v>-0.0319673250655127</v>
      </c>
      <c r="AX97" s="16">
        <f t="shared" si="163"/>
        <v>0.0986341838888465</v>
      </c>
      <c r="AY97" s="16">
        <f t="shared" si="163"/>
        <v>0.0736170800947768</v>
      </c>
      <c r="AZ97" s="16">
        <f t="shared" si="163"/>
        <v>0.0180914708006504</v>
      </c>
      <c r="BA97" s="16">
        <f t="shared" si="163"/>
        <v>0.0102182206565154</v>
      </c>
      <c r="BB97" s="16">
        <f t="shared" si="163"/>
        <v>-0.00817232292603388</v>
      </c>
      <c r="BC97" s="16">
        <f t="shared" si="163"/>
        <v>-0.00323426367918866</v>
      </c>
      <c r="BD97" s="16">
        <f t="shared" si="163"/>
        <v>-0.0694575010622867</v>
      </c>
      <c r="BE97" s="16">
        <f t="shared" si="163"/>
        <v>0.0200341504170153</v>
      </c>
      <c r="BF97" s="16">
        <f t="shared" si="163"/>
        <v>0.0723038814147298</v>
      </c>
      <c r="BG97" s="16">
        <f t="shared" si="163"/>
        <v>-0.014280600415507</v>
      </c>
      <c r="BH97" s="16">
        <f t="shared" si="163"/>
        <v>0.0418947604637255</v>
      </c>
      <c r="BI97" s="16">
        <f t="shared" si="163"/>
        <v>0.0880699659081586</v>
      </c>
      <c r="BJ97" s="16">
        <f t="shared" si="163"/>
        <v>0.0565656675338369</v>
      </c>
      <c r="BK97" s="16">
        <f t="shared" si="163"/>
        <v>0.0146279009569541</v>
      </c>
      <c r="BL97" s="16">
        <f t="shared" si="163"/>
        <v>0.121817489594242</v>
      </c>
      <c r="BM97" s="16">
        <f t="shared" si="163"/>
        <v>-0.00139755596250826</v>
      </c>
      <c r="BN97" s="16">
        <f t="shared" si="163"/>
        <v>0.0244747305560687</v>
      </c>
      <c r="BO97" s="16">
        <f t="shared" si="163"/>
        <v>0.0341222847348052</v>
      </c>
      <c r="BP97" s="16">
        <f t="shared" si="163"/>
        <v>0.065886150855413</v>
      </c>
      <c r="BQ97" s="16">
        <f t="shared" si="163"/>
        <v>0.0210653551299619</v>
      </c>
      <c r="BR97" s="16">
        <f t="shared" si="163"/>
        <v>-0.0806232601048424</v>
      </c>
      <c r="BS97" s="16">
        <f t="shared" si="163"/>
        <v>0.00632758696663791</v>
      </c>
      <c r="BT97" s="16">
        <f t="shared" si="163"/>
        <v>0.0145023024444653</v>
      </c>
      <c r="BU97" s="16">
        <f t="shared" si="163"/>
        <v>0.0165780327024002</v>
      </c>
      <c r="BV97" s="16">
        <f t="shared" si="163"/>
        <v>-0.126982343959868</v>
      </c>
      <c r="BW97" s="16">
        <f t="shared" si="163"/>
        <v>-0.00576368742052427</v>
      </c>
      <c r="BX97" s="16">
        <f t="shared" si="163"/>
        <v>9.16865360854763e-5</v>
      </c>
      <c r="BY97" s="16">
        <f t="shared" si="163"/>
        <v>-0.0225780248639483</v>
      </c>
      <c r="BZ97" s="16">
        <f t="shared" ref="BZ97:DE97" si="164">LN(BZ35/BZ34)</f>
        <v>0.0737299907312181</v>
      </c>
      <c r="CA97" s="16">
        <f t="shared" si="164"/>
        <v>0.0408066340658875</v>
      </c>
      <c r="CB97" s="16">
        <f t="shared" si="164"/>
        <v>-0.0183494270085277</v>
      </c>
      <c r="CC97" s="16">
        <f t="shared" si="164"/>
        <v>0.0776668379587004</v>
      </c>
      <c r="CD97" s="16">
        <f t="shared" si="164"/>
        <v>-0.0303077671467647</v>
      </c>
      <c r="CE97" s="16">
        <f t="shared" si="164"/>
        <v>-0.0320785289913279</v>
      </c>
      <c r="CF97" s="16">
        <f t="shared" si="164"/>
        <v>0.131806852094489</v>
      </c>
      <c r="CG97" s="16">
        <f t="shared" si="164"/>
        <v>0.00588113075872498</v>
      </c>
      <c r="CH97" s="16">
        <f t="shared" si="164"/>
        <v>-0.00285034276082275</v>
      </c>
      <c r="CI97" s="16">
        <f t="shared" si="164"/>
        <v>0.0177381882388216</v>
      </c>
      <c r="CJ97" s="16">
        <f t="shared" si="164"/>
        <v>0.000976180912521192</v>
      </c>
      <c r="CK97" s="16">
        <f t="shared" si="164"/>
        <v>0.0307716477528191</v>
      </c>
      <c r="CL97" s="16">
        <f t="shared" si="164"/>
        <v>-0.0308734519974193</v>
      </c>
      <c r="CM97" s="16">
        <f t="shared" si="164"/>
        <v>0.0110389114720701</v>
      </c>
      <c r="CN97" s="16">
        <f t="shared" si="164"/>
        <v>0.0832398247884901</v>
      </c>
      <c r="CO97" s="16">
        <f t="shared" si="164"/>
        <v>0.022517333423193</v>
      </c>
      <c r="CP97" s="16">
        <f t="shared" si="164"/>
        <v>0.0320566362680569</v>
      </c>
      <c r="CQ97" s="16">
        <f t="shared" si="164"/>
        <v>0.0601363730158343</v>
      </c>
      <c r="CR97" s="16">
        <f t="shared" si="164"/>
        <v>0.0312025843577829</v>
      </c>
      <c r="CS97" s="16">
        <f t="shared" si="164"/>
        <v>-0.0831282359609884</v>
      </c>
      <c r="CT97" s="16">
        <f t="shared" si="164"/>
        <v>-0.0109659470879242</v>
      </c>
      <c r="CU97" s="16">
        <f t="shared" si="164"/>
        <v>0.0637012270260549</v>
      </c>
      <c r="CV97" s="16">
        <f t="shared" si="164"/>
        <v>0.14571855119104</v>
      </c>
      <c r="CW97" s="16">
        <f t="shared" si="164"/>
        <v>0.0417518978349663</v>
      </c>
      <c r="CX97" s="16">
        <f t="shared" si="164"/>
        <v>-0.111896486637612</v>
      </c>
      <c r="CY97" s="16">
        <f t="shared" si="164"/>
        <v>0.0045636131684952</v>
      </c>
      <c r="CZ97" s="16">
        <f t="shared" si="164"/>
        <v>-0.0177479061234059</v>
      </c>
      <c r="DA97" s="16">
        <f t="shared" si="164"/>
        <v>0.00906278561671995</v>
      </c>
      <c r="DB97" s="16">
        <f t="shared" si="164"/>
        <v>-0.108684491438822</v>
      </c>
      <c r="DC97" s="16">
        <f t="shared" si="164"/>
        <v>0.062735926380352</v>
      </c>
      <c r="DD97" s="16">
        <f t="shared" si="164"/>
        <v>0.0551664095152762</v>
      </c>
      <c r="DE97" s="16">
        <f t="shared" si="164"/>
        <v>0.113476414756522</v>
      </c>
      <c r="DF97" s="16">
        <f t="shared" ref="DF97:DU97" si="165">LN(DF35/DF34)</f>
        <v>0.0772168621686588</v>
      </c>
      <c r="DG97" s="16">
        <f t="shared" si="165"/>
        <v>-0.0566953436765453</v>
      </c>
      <c r="DH97" s="16">
        <f t="shared" si="165"/>
        <v>0.0226974513432015</v>
      </c>
      <c r="DI97" s="16">
        <f t="shared" si="165"/>
        <v>-0.0300706322282282</v>
      </c>
      <c r="DJ97" s="16">
        <f t="shared" si="165"/>
        <v>-0.0107461123957279</v>
      </c>
      <c r="DK97" s="16">
        <f t="shared" si="165"/>
        <v>-0.031981634995862</v>
      </c>
      <c r="DL97" s="16">
        <f t="shared" si="165"/>
        <v>-0.108499627575289</v>
      </c>
      <c r="DM97" s="16">
        <f t="shared" si="165"/>
        <v>-0.0817170622974008</v>
      </c>
      <c r="DN97" s="16">
        <f t="shared" si="165"/>
        <v>0.0240773076857501</v>
      </c>
      <c r="DO97" s="16">
        <f t="shared" si="165"/>
        <v>0.037285484610142</v>
      </c>
      <c r="DP97" s="16">
        <f t="shared" si="165"/>
        <v>-0.0512303448757643</v>
      </c>
      <c r="DQ97" s="16">
        <f t="shared" si="165"/>
        <v>-0.0521776575875645</v>
      </c>
      <c r="DR97" s="16">
        <f t="shared" si="165"/>
        <v>0.0199596283917902</v>
      </c>
      <c r="DS97" s="16">
        <f t="shared" si="165"/>
        <v>0.0303902321743395</v>
      </c>
      <c r="DT97" s="16">
        <f t="shared" si="165"/>
        <v>0.0598531938845542</v>
      </c>
      <c r="DU97" s="16">
        <f t="shared" si="165"/>
        <v>0.0715201580075185</v>
      </c>
      <c r="DV97" s="16">
        <f t="shared" si="13"/>
        <v>-0.170858505729948</v>
      </c>
      <c r="DW97" s="16">
        <f t="shared" si="115"/>
        <v>0.0780924288133723</v>
      </c>
      <c r="DX97" s="16">
        <f t="shared" si="115"/>
        <v>-0.00210817319877908</v>
      </c>
      <c r="DY97" s="16">
        <f t="shared" si="115"/>
        <v>0.0143829654827843</v>
      </c>
      <c r="DZ97" s="16">
        <f t="shared" si="115"/>
        <v>-0.0708799342895599</v>
      </c>
    </row>
    <row r="98" ht="14" spans="1:130">
      <c r="A98" s="32">
        <v>43678</v>
      </c>
      <c r="B98" s="16">
        <f t="shared" si="6"/>
        <v>-0.0143868002264326</v>
      </c>
      <c r="C98" s="16">
        <f t="shared" si="6"/>
        <v>-0.0885103764089217</v>
      </c>
      <c r="D98" s="16">
        <f t="shared" si="7"/>
        <v>0.0362334240629064</v>
      </c>
      <c r="E98" s="16">
        <f t="shared" si="7"/>
        <v>0.00183636366290034</v>
      </c>
      <c r="F98" s="16">
        <f t="shared" si="7"/>
        <v>0.0410774412020784</v>
      </c>
      <c r="G98" s="16">
        <f t="shared" si="7"/>
        <v>0.111653888439619</v>
      </c>
      <c r="H98" s="16">
        <f t="shared" ref="H98:M98" si="166">LN(H36/H35)</f>
        <v>0.0880154963493414</v>
      </c>
      <c r="I98" s="16">
        <f t="shared" si="166"/>
        <v>0.033221920962003</v>
      </c>
      <c r="J98" s="16">
        <f t="shared" si="166"/>
        <v>-0.0621497671575399</v>
      </c>
      <c r="K98" s="16">
        <f t="shared" si="166"/>
        <v>0.0268996089275204</v>
      </c>
      <c r="L98" s="16">
        <f t="shared" si="166"/>
        <v>0.0898070235460629</v>
      </c>
      <c r="M98" s="16">
        <f t="shared" si="166"/>
        <v>0.0263957112292158</v>
      </c>
      <c r="N98" s="16">
        <f t="shared" ref="N98:AS98" si="167">LN(N36/N35)</f>
        <v>-0.0255804225473738</v>
      </c>
      <c r="O98" s="16">
        <f t="shared" si="167"/>
        <v>-0.141668615214474</v>
      </c>
      <c r="P98" s="16">
        <f t="shared" si="167"/>
        <v>-0.0621716986259575</v>
      </c>
      <c r="Q98" s="16">
        <f t="shared" si="167"/>
        <v>0.0954594003984044</v>
      </c>
      <c r="R98" s="16">
        <f t="shared" si="167"/>
        <v>-0.119141530269712</v>
      </c>
      <c r="S98" s="16">
        <f t="shared" si="167"/>
        <v>-0.0494712596927355</v>
      </c>
      <c r="T98" s="16">
        <f t="shared" si="167"/>
        <v>-0.0169102043362306</v>
      </c>
      <c r="U98" s="16">
        <f t="shared" si="167"/>
        <v>0.0622077942120892</v>
      </c>
      <c r="V98" s="16">
        <f t="shared" si="167"/>
        <v>0.0505641039277174</v>
      </c>
      <c r="W98" s="16">
        <f t="shared" si="167"/>
        <v>-0.06868945041203</v>
      </c>
      <c r="X98" s="16">
        <f t="shared" si="167"/>
        <v>0.0970783807373006</v>
      </c>
      <c r="Y98" s="16">
        <f t="shared" si="167"/>
        <v>-0.0708744438192235</v>
      </c>
      <c r="Z98" s="16">
        <f t="shared" si="167"/>
        <v>0.0044208817772451</v>
      </c>
      <c r="AA98" s="16">
        <f t="shared" si="167"/>
        <v>-0.0158513286484209</v>
      </c>
      <c r="AB98" s="16">
        <f t="shared" si="167"/>
        <v>0.0791460016633077</v>
      </c>
      <c r="AC98" s="16">
        <f t="shared" si="167"/>
        <v>0.0463088793496735</v>
      </c>
      <c r="AD98" s="16">
        <f t="shared" si="167"/>
        <v>0.0116001844707205</v>
      </c>
      <c r="AE98" s="16">
        <f t="shared" si="167"/>
        <v>-0.0492068339797009</v>
      </c>
      <c r="AF98" s="16">
        <f t="shared" si="167"/>
        <v>-0.0742580713850906</v>
      </c>
      <c r="AG98" s="16">
        <f t="shared" si="167"/>
        <v>0.0659451466214809</v>
      </c>
      <c r="AH98" s="16">
        <f t="shared" si="167"/>
        <v>-0.0141704045223862</v>
      </c>
      <c r="AI98" s="16">
        <f t="shared" si="167"/>
        <v>-0.0349001535527167</v>
      </c>
      <c r="AJ98" s="16">
        <f t="shared" si="167"/>
        <v>0.0112829810310569</v>
      </c>
      <c r="AK98" s="16">
        <f t="shared" si="167"/>
        <v>0.0754652581702693</v>
      </c>
      <c r="AL98" s="16">
        <f t="shared" si="167"/>
        <v>-0.130808820836612</v>
      </c>
      <c r="AM98" s="16">
        <f t="shared" si="167"/>
        <v>-0.00719738072503595</v>
      </c>
      <c r="AN98" s="16">
        <f t="shared" si="167"/>
        <v>-0.0641299205388825</v>
      </c>
      <c r="AO98" s="16">
        <f t="shared" si="167"/>
        <v>-0.0256724315198635</v>
      </c>
      <c r="AP98" s="16">
        <f t="shared" si="167"/>
        <v>-0.00418854036207101</v>
      </c>
      <c r="AQ98" s="16">
        <f t="shared" si="167"/>
        <v>0.0611067580155263</v>
      </c>
      <c r="AR98" s="16">
        <f t="shared" si="167"/>
        <v>0.0323129889905435</v>
      </c>
      <c r="AS98" s="16">
        <f t="shared" si="167"/>
        <v>0.00842951806598264</v>
      </c>
      <c r="AT98" s="16">
        <f t="shared" ref="AT98:BY98" si="168">LN(AT36/AT35)</f>
        <v>-0.067164456560137</v>
      </c>
      <c r="AU98" s="16">
        <f t="shared" si="168"/>
        <v>-0.0121634526310603</v>
      </c>
      <c r="AV98" s="16">
        <f t="shared" si="168"/>
        <v>-0.0895756257213255</v>
      </c>
      <c r="AW98" s="16">
        <f t="shared" si="168"/>
        <v>-0.0930719664628641</v>
      </c>
      <c r="AX98" s="16">
        <f t="shared" si="168"/>
        <v>-0.124858164906192</v>
      </c>
      <c r="AY98" s="16">
        <f t="shared" si="168"/>
        <v>-0.0203904242142244</v>
      </c>
      <c r="AZ98" s="16">
        <f t="shared" si="168"/>
        <v>0.010110528216662</v>
      </c>
      <c r="BA98" s="16">
        <f t="shared" si="168"/>
        <v>-0.0576908280113481</v>
      </c>
      <c r="BB98" s="16">
        <f t="shared" si="168"/>
        <v>0.037216922274708</v>
      </c>
      <c r="BC98" s="16">
        <f t="shared" si="168"/>
        <v>0.0788045729714133</v>
      </c>
      <c r="BD98" s="16">
        <f t="shared" si="168"/>
        <v>-0.0701206061877624</v>
      </c>
      <c r="BE98" s="16">
        <f t="shared" si="168"/>
        <v>-0.140070723377564</v>
      </c>
      <c r="BF98" s="16">
        <f t="shared" si="168"/>
        <v>-0.0896398908364191</v>
      </c>
      <c r="BG98" s="16">
        <f t="shared" si="168"/>
        <v>-0.0496881019874853</v>
      </c>
      <c r="BH98" s="16">
        <f t="shared" si="168"/>
        <v>-0.0220920257309313</v>
      </c>
      <c r="BI98" s="16">
        <f t="shared" si="168"/>
        <v>-0.238669303473639</v>
      </c>
      <c r="BJ98" s="16">
        <f t="shared" si="168"/>
        <v>-0.0839961004155711</v>
      </c>
      <c r="BK98" s="16">
        <f t="shared" si="168"/>
        <v>0.0338271596043</v>
      </c>
      <c r="BL98" s="16">
        <f t="shared" si="168"/>
        <v>0.0195560342456394</v>
      </c>
      <c r="BM98" s="16">
        <f t="shared" si="168"/>
        <v>0.00228309231794379</v>
      </c>
      <c r="BN98" s="16">
        <f t="shared" si="168"/>
        <v>-0.0179444808784129</v>
      </c>
      <c r="BO98" s="16">
        <f t="shared" si="168"/>
        <v>0.0644244832244647</v>
      </c>
      <c r="BP98" s="16">
        <f t="shared" si="168"/>
        <v>-0.00387005550781761</v>
      </c>
      <c r="BQ98" s="16">
        <f t="shared" si="168"/>
        <v>0.117720902865429</v>
      </c>
      <c r="BR98" s="16">
        <f t="shared" si="168"/>
        <v>-0.076432836832311</v>
      </c>
      <c r="BS98" s="16">
        <f t="shared" si="168"/>
        <v>0.0414279774917928</v>
      </c>
      <c r="BT98" s="16">
        <f t="shared" si="168"/>
        <v>-0.0690229621690501</v>
      </c>
      <c r="BU98" s="16">
        <f t="shared" si="168"/>
        <v>0.0371610835820269</v>
      </c>
      <c r="BV98" s="16">
        <f t="shared" si="168"/>
        <v>-0.0750930745946126</v>
      </c>
      <c r="BW98" s="16">
        <f t="shared" si="168"/>
        <v>-0.452205417910474</v>
      </c>
      <c r="BX98" s="16">
        <f t="shared" si="168"/>
        <v>-0.0658073649086088</v>
      </c>
      <c r="BY98" s="16">
        <f t="shared" si="168"/>
        <v>-0.0880017718668798</v>
      </c>
      <c r="BZ98" s="16">
        <f t="shared" ref="BZ98:DE98" si="169">LN(BZ36/BZ35)</f>
        <v>0.0248384304655897</v>
      </c>
      <c r="CA98" s="16">
        <f t="shared" si="169"/>
        <v>0.0447739653923892</v>
      </c>
      <c r="CB98" s="16">
        <f t="shared" si="169"/>
        <v>0.0674631997021835</v>
      </c>
      <c r="CC98" s="16">
        <f t="shared" si="169"/>
        <v>-0.14824805909415</v>
      </c>
      <c r="CD98" s="16">
        <f t="shared" si="169"/>
        <v>0.0496451232847221</v>
      </c>
      <c r="CE98" s="16">
        <f t="shared" si="169"/>
        <v>0.0260246928802602</v>
      </c>
      <c r="CF98" s="16">
        <f t="shared" si="169"/>
        <v>-0.066322694782129</v>
      </c>
      <c r="CG98" s="16">
        <f t="shared" si="169"/>
        <v>0.0722481803811544</v>
      </c>
      <c r="CH98" s="16">
        <f t="shared" si="169"/>
        <v>0.0318306234735114</v>
      </c>
      <c r="CI98" s="16">
        <f t="shared" si="169"/>
        <v>-0.0210467066691553</v>
      </c>
      <c r="CJ98" s="16">
        <f t="shared" si="169"/>
        <v>0.0388301268531355</v>
      </c>
      <c r="CK98" s="16">
        <f t="shared" si="169"/>
        <v>-0.226585874429999</v>
      </c>
      <c r="CL98" s="16">
        <f t="shared" si="169"/>
        <v>0.0861353157102601</v>
      </c>
      <c r="CM98" s="16">
        <f t="shared" si="169"/>
        <v>0.0438685278859152</v>
      </c>
      <c r="CN98" s="16">
        <f t="shared" si="169"/>
        <v>0.0757262109202786</v>
      </c>
      <c r="CO98" s="16">
        <f t="shared" si="169"/>
        <v>0.0304621923346596</v>
      </c>
      <c r="CP98" s="16">
        <f t="shared" si="169"/>
        <v>0.0559351495029894</v>
      </c>
      <c r="CQ98" s="16">
        <f t="shared" si="169"/>
        <v>-0.0212554609441624</v>
      </c>
      <c r="CR98" s="16">
        <f t="shared" si="169"/>
        <v>0.0933221537347209</v>
      </c>
      <c r="CS98" s="16">
        <f t="shared" si="169"/>
        <v>0.156865508341994</v>
      </c>
      <c r="CT98" s="16">
        <f t="shared" si="169"/>
        <v>0.134202640287112</v>
      </c>
      <c r="CU98" s="16">
        <f t="shared" si="169"/>
        <v>0.141078598259906</v>
      </c>
      <c r="CV98" s="16">
        <f t="shared" si="169"/>
        <v>-0.00680316206513912</v>
      </c>
      <c r="CW98" s="16">
        <f t="shared" si="169"/>
        <v>-0.0724627991008886</v>
      </c>
      <c r="CX98" s="16">
        <f t="shared" si="169"/>
        <v>-0.117783035656384</v>
      </c>
      <c r="CY98" s="16">
        <f t="shared" si="169"/>
        <v>0.0101926137224189</v>
      </c>
      <c r="CZ98" s="16">
        <f t="shared" si="169"/>
        <v>-0.0228485838294263</v>
      </c>
      <c r="DA98" s="16">
        <f t="shared" si="169"/>
        <v>-0.0496452304891654</v>
      </c>
      <c r="DB98" s="16">
        <f t="shared" si="169"/>
        <v>-0.0506288224672433</v>
      </c>
      <c r="DC98" s="16">
        <f t="shared" si="169"/>
        <v>-0.0107494093012158</v>
      </c>
      <c r="DD98" s="16">
        <f t="shared" si="169"/>
        <v>-0.126293827539203</v>
      </c>
      <c r="DE98" s="16">
        <f t="shared" si="169"/>
        <v>-0.0194725332045993</v>
      </c>
      <c r="DF98" s="16">
        <f t="shared" ref="DF98:DU98" si="170">LN(DF36/DF35)</f>
        <v>-0.0518156846249286</v>
      </c>
      <c r="DG98" s="16">
        <f t="shared" si="170"/>
        <v>-0.150338510940904</v>
      </c>
      <c r="DH98" s="16">
        <f t="shared" si="170"/>
        <v>-0.0427708022784637</v>
      </c>
      <c r="DI98" s="16">
        <f t="shared" si="170"/>
        <v>-0.0823762398424908</v>
      </c>
      <c r="DJ98" s="16">
        <f t="shared" si="170"/>
        <v>-0.0447693529028529</v>
      </c>
      <c r="DK98" s="16">
        <f t="shared" si="170"/>
        <v>-0.119123772883196</v>
      </c>
      <c r="DL98" s="16">
        <f t="shared" si="170"/>
        <v>-0.111950258066451</v>
      </c>
      <c r="DM98" s="16">
        <f t="shared" si="170"/>
        <v>-0.142721719241959</v>
      </c>
      <c r="DN98" s="16">
        <f t="shared" si="170"/>
        <v>-0.0295818506108358</v>
      </c>
      <c r="DO98" s="16">
        <f t="shared" si="170"/>
        <v>-0.166558501170821</v>
      </c>
      <c r="DP98" s="16">
        <f t="shared" si="170"/>
        <v>-0.205249124549056</v>
      </c>
      <c r="DQ98" s="16">
        <f t="shared" si="170"/>
        <v>-0.0531115621789622</v>
      </c>
      <c r="DR98" s="16">
        <f t="shared" si="170"/>
        <v>-0.209045278556357</v>
      </c>
      <c r="DS98" s="16">
        <f t="shared" si="170"/>
        <v>-0.157503707501727</v>
      </c>
      <c r="DT98" s="16">
        <f t="shared" si="170"/>
        <v>-0.103184093723534</v>
      </c>
      <c r="DU98" s="16">
        <f t="shared" si="170"/>
        <v>-0.15352114016765</v>
      </c>
      <c r="DV98" s="16">
        <f t="shared" si="13"/>
        <v>-0.113426387335301</v>
      </c>
      <c r="DW98" s="16">
        <f t="shared" si="115"/>
        <v>-0.0685170110499044</v>
      </c>
      <c r="DX98" s="16">
        <f t="shared" si="115"/>
        <v>-0.0208900255838182</v>
      </c>
      <c r="DY98" s="16">
        <f t="shared" si="115"/>
        <v>-0.00616743786148819</v>
      </c>
      <c r="DZ98" s="16">
        <f t="shared" si="115"/>
        <v>-0.0236923457202893</v>
      </c>
    </row>
    <row r="99" ht="14" spans="1:130">
      <c r="A99" s="32">
        <v>43709</v>
      </c>
      <c r="B99" s="16">
        <f t="shared" si="6"/>
        <v>0.0153806708965165</v>
      </c>
      <c r="C99" s="16">
        <f t="shared" si="6"/>
        <v>0.0199442233275887</v>
      </c>
      <c r="D99" s="16">
        <f t="shared" si="7"/>
        <v>-0.00455212871835536</v>
      </c>
      <c r="E99" s="16">
        <f t="shared" si="7"/>
        <v>0.141334615964745</v>
      </c>
      <c r="F99" s="16">
        <f t="shared" si="7"/>
        <v>-0.0268403498778155</v>
      </c>
      <c r="G99" s="16">
        <f t="shared" si="7"/>
        <v>-0.0681251137833668</v>
      </c>
      <c r="H99" s="16">
        <f t="shared" ref="H99:M99" si="171">LN(H37/H36)</f>
        <v>0.053464910813656</v>
      </c>
      <c r="I99" s="16">
        <f t="shared" si="171"/>
        <v>0.0145594099980117</v>
      </c>
      <c r="J99" s="16">
        <f t="shared" si="171"/>
        <v>0.0781872215540472</v>
      </c>
      <c r="K99" s="16">
        <f t="shared" si="171"/>
        <v>-0.0634392888796355</v>
      </c>
      <c r="L99" s="16">
        <f t="shared" si="171"/>
        <v>-0.139668712061255</v>
      </c>
      <c r="M99" s="16">
        <f t="shared" si="171"/>
        <v>0.0747606378473863</v>
      </c>
      <c r="N99" s="16">
        <f t="shared" ref="N99:AS99" si="172">LN(N37/N36)</f>
        <v>-0.0378989959654687</v>
      </c>
      <c r="O99" s="16">
        <f t="shared" si="172"/>
        <v>0.0699820439346965</v>
      </c>
      <c r="P99" s="16">
        <f t="shared" si="172"/>
        <v>-0.0739502024770942</v>
      </c>
      <c r="Q99" s="16">
        <f t="shared" si="172"/>
        <v>0.0346837096120118</v>
      </c>
      <c r="R99" s="16">
        <f t="shared" si="172"/>
        <v>-0.0854548939089467</v>
      </c>
      <c r="S99" s="16">
        <f t="shared" si="172"/>
        <v>-0.0445928140313422</v>
      </c>
      <c r="T99" s="16">
        <f t="shared" si="172"/>
        <v>-0.0195283017627654</v>
      </c>
      <c r="U99" s="16">
        <f t="shared" si="172"/>
        <v>0.00674350344275796</v>
      </c>
      <c r="V99" s="16">
        <f t="shared" si="172"/>
        <v>-0.0199568647359634</v>
      </c>
      <c r="W99" s="16">
        <f t="shared" si="172"/>
        <v>-0.101281709254545</v>
      </c>
      <c r="X99" s="16">
        <f t="shared" si="172"/>
        <v>-0.0145809760648366</v>
      </c>
      <c r="Y99" s="16">
        <f t="shared" si="172"/>
        <v>0.0157966203702049</v>
      </c>
      <c r="Z99" s="16">
        <f t="shared" si="172"/>
        <v>-0.00378795489704608</v>
      </c>
      <c r="AA99" s="16">
        <f t="shared" si="172"/>
        <v>0.0544047705422956</v>
      </c>
      <c r="AB99" s="16">
        <f t="shared" si="172"/>
        <v>-0.0276477138125481</v>
      </c>
      <c r="AC99" s="16">
        <f t="shared" si="172"/>
        <v>-0.00293877479940531</v>
      </c>
      <c r="AD99" s="16">
        <f t="shared" si="172"/>
        <v>0.0117755452091295</v>
      </c>
      <c r="AE99" s="16">
        <f t="shared" si="172"/>
        <v>-0.0294621495015836</v>
      </c>
      <c r="AF99" s="16">
        <f t="shared" si="172"/>
        <v>0.0554817337847797</v>
      </c>
      <c r="AG99" s="16">
        <f t="shared" si="172"/>
        <v>-0.0326840530836147</v>
      </c>
      <c r="AH99" s="16">
        <f t="shared" si="172"/>
        <v>-0.0310400705384854</v>
      </c>
      <c r="AI99" s="16">
        <f t="shared" si="172"/>
        <v>-0.0775970049076292</v>
      </c>
      <c r="AJ99" s="16">
        <f t="shared" si="172"/>
        <v>0.0249306579924995</v>
      </c>
      <c r="AK99" s="16">
        <f t="shared" si="172"/>
        <v>0.0194043635688609</v>
      </c>
      <c r="AL99" s="16">
        <f t="shared" si="172"/>
        <v>0.0869207439175596</v>
      </c>
      <c r="AM99" s="16">
        <f t="shared" si="172"/>
        <v>0.0394039336790333</v>
      </c>
      <c r="AN99" s="16">
        <f t="shared" si="172"/>
        <v>0.0900601593299663</v>
      </c>
      <c r="AO99" s="16">
        <f t="shared" si="172"/>
        <v>-0.0235193803018675</v>
      </c>
      <c r="AP99" s="16">
        <f t="shared" si="172"/>
        <v>0.0434080126228096</v>
      </c>
      <c r="AQ99" s="16">
        <f t="shared" si="172"/>
        <v>-0.0193449372489402</v>
      </c>
      <c r="AR99" s="16">
        <f t="shared" si="172"/>
        <v>-0.0814480402128855</v>
      </c>
      <c r="AS99" s="16">
        <f t="shared" si="172"/>
        <v>-0.054939102196159</v>
      </c>
      <c r="AT99" s="16">
        <f t="shared" ref="AT99:BY99" si="173">LN(AT37/AT36)</f>
        <v>0.0221623945915411</v>
      </c>
      <c r="AU99" s="16">
        <f t="shared" si="173"/>
        <v>0.0661033976636929</v>
      </c>
      <c r="AV99" s="16">
        <f t="shared" si="173"/>
        <v>0.0775266540325922</v>
      </c>
      <c r="AW99" s="16">
        <f t="shared" si="173"/>
        <v>-0.078197541878408</v>
      </c>
      <c r="AX99" s="16">
        <f t="shared" si="173"/>
        <v>0.0575258777854959</v>
      </c>
      <c r="AY99" s="16">
        <f t="shared" si="173"/>
        <v>0.0742148416721394</v>
      </c>
      <c r="AZ99" s="16">
        <f t="shared" si="173"/>
        <v>-0.0501237883620654</v>
      </c>
      <c r="BA99" s="16">
        <f t="shared" si="173"/>
        <v>-0.0309900887995216</v>
      </c>
      <c r="BB99" s="16">
        <f t="shared" si="173"/>
        <v>0.0375361092424396</v>
      </c>
      <c r="BC99" s="16">
        <f t="shared" si="173"/>
        <v>0.00401834552347262</v>
      </c>
      <c r="BD99" s="16">
        <f t="shared" si="173"/>
        <v>-0.0325554835201203</v>
      </c>
      <c r="BE99" s="16">
        <f t="shared" si="173"/>
        <v>0.0338650104572613</v>
      </c>
      <c r="BF99" s="16">
        <f t="shared" si="173"/>
        <v>0.0821471970233695</v>
      </c>
      <c r="BG99" s="16">
        <f t="shared" si="173"/>
        <v>-0.0229951479519103</v>
      </c>
      <c r="BH99" s="16">
        <f t="shared" si="173"/>
        <v>-0.0295944820641629</v>
      </c>
      <c r="BI99" s="16">
        <f t="shared" si="173"/>
        <v>0.0679188593168703</v>
      </c>
      <c r="BJ99" s="16">
        <f t="shared" si="173"/>
        <v>0.0104600165116589</v>
      </c>
      <c r="BK99" s="16">
        <f t="shared" si="173"/>
        <v>-0.00979505778451213</v>
      </c>
      <c r="BL99" s="16">
        <f t="shared" si="173"/>
        <v>-0.0842831614943928</v>
      </c>
      <c r="BM99" s="16">
        <f t="shared" si="173"/>
        <v>-0.0230776941348403</v>
      </c>
      <c r="BN99" s="16">
        <f t="shared" si="173"/>
        <v>0.10827176083476</v>
      </c>
      <c r="BO99" s="16">
        <f t="shared" si="173"/>
        <v>0.0178729809550623</v>
      </c>
      <c r="BP99" s="16">
        <f t="shared" si="173"/>
        <v>0.0534285766987384</v>
      </c>
      <c r="BQ99" s="16">
        <f t="shared" si="173"/>
        <v>-0.0974188951798316</v>
      </c>
      <c r="BR99" s="16">
        <f t="shared" si="173"/>
        <v>-0.00715401148093156</v>
      </c>
      <c r="BS99" s="16">
        <f t="shared" si="173"/>
        <v>-0.0019343251929716</v>
      </c>
      <c r="BT99" s="16">
        <f t="shared" si="173"/>
        <v>0.00251140172518356</v>
      </c>
      <c r="BU99" s="16">
        <f t="shared" si="173"/>
        <v>-0.0254918055476664</v>
      </c>
      <c r="BV99" s="16">
        <f t="shared" si="173"/>
        <v>0.0753383084876659</v>
      </c>
      <c r="BW99" s="16">
        <f t="shared" si="173"/>
        <v>0.185919714105688</v>
      </c>
      <c r="BX99" s="16">
        <f t="shared" si="173"/>
        <v>-0.115653126849514</v>
      </c>
      <c r="BY99" s="16">
        <f t="shared" si="173"/>
        <v>0.181475354077922</v>
      </c>
      <c r="BZ99" s="16">
        <f t="shared" ref="BZ99:DE99" si="174">LN(BZ37/BZ36)</f>
        <v>0.0339351081889599</v>
      </c>
      <c r="CA99" s="16">
        <f t="shared" si="174"/>
        <v>-0.0109611721653029</v>
      </c>
      <c r="CB99" s="16">
        <f t="shared" si="174"/>
        <v>0.00270213997992153</v>
      </c>
      <c r="CC99" s="16">
        <f t="shared" si="174"/>
        <v>0.051896873263734</v>
      </c>
      <c r="CD99" s="16">
        <f t="shared" si="174"/>
        <v>-0.0422194013816729</v>
      </c>
      <c r="CE99" s="16">
        <f t="shared" si="174"/>
        <v>-0.0334201949775196</v>
      </c>
      <c r="CF99" s="16">
        <f t="shared" si="174"/>
        <v>0.00685494192506644</v>
      </c>
      <c r="CG99" s="16">
        <f t="shared" si="174"/>
        <v>0.00696270315512073</v>
      </c>
      <c r="CH99" s="16">
        <f t="shared" si="174"/>
        <v>0.00180922017819679</v>
      </c>
      <c r="CI99" s="16">
        <f t="shared" si="174"/>
        <v>0.0130651179002856</v>
      </c>
      <c r="CJ99" s="16">
        <f t="shared" si="174"/>
        <v>-0.00866842282113844</v>
      </c>
      <c r="CK99" s="16">
        <f t="shared" si="174"/>
        <v>0.106098291549311</v>
      </c>
      <c r="CL99" s="16">
        <f t="shared" si="174"/>
        <v>0.0659836947720028</v>
      </c>
      <c r="CM99" s="16">
        <f t="shared" si="174"/>
        <v>0.0259452714814359</v>
      </c>
      <c r="CN99" s="16">
        <f t="shared" si="174"/>
        <v>0.0334763122806588</v>
      </c>
      <c r="CO99" s="16">
        <f t="shared" si="174"/>
        <v>-0.0411749083204817</v>
      </c>
      <c r="CP99" s="16">
        <f t="shared" si="174"/>
        <v>-0.05567835370584</v>
      </c>
      <c r="CQ99" s="16">
        <f t="shared" si="174"/>
        <v>-0.0405820815876551</v>
      </c>
      <c r="CR99" s="16">
        <f t="shared" si="174"/>
        <v>0.0417815279808537</v>
      </c>
      <c r="CS99" s="16">
        <f t="shared" si="174"/>
        <v>0.134435529032324</v>
      </c>
      <c r="CT99" s="16">
        <f t="shared" si="174"/>
        <v>0.0159414779976882</v>
      </c>
      <c r="CU99" s="16">
        <f t="shared" si="174"/>
        <v>0.0281619623641315</v>
      </c>
      <c r="CV99" s="16">
        <f t="shared" si="174"/>
        <v>0.0181921662836941</v>
      </c>
      <c r="CW99" s="16">
        <f t="shared" si="174"/>
        <v>-0.0857910003258703</v>
      </c>
      <c r="CX99" s="16">
        <f t="shared" si="174"/>
        <v>0.0577274686552819</v>
      </c>
      <c r="CY99" s="16">
        <f t="shared" si="174"/>
        <v>0.056406957858692</v>
      </c>
      <c r="CZ99" s="16">
        <f t="shared" si="174"/>
        <v>0.127630419687696</v>
      </c>
      <c r="DA99" s="16">
        <f t="shared" si="174"/>
        <v>0.122429575712379</v>
      </c>
      <c r="DB99" s="16">
        <f t="shared" si="174"/>
        <v>0.0878162060069168</v>
      </c>
      <c r="DC99" s="16">
        <f t="shared" si="174"/>
        <v>0.0308475721998958</v>
      </c>
      <c r="DD99" s="16">
        <f t="shared" si="174"/>
        <v>0.0392656458648137</v>
      </c>
      <c r="DE99" s="16">
        <f t="shared" si="174"/>
        <v>0.03722031559138</v>
      </c>
      <c r="DF99" s="16">
        <f t="shared" ref="DF99:DU99" si="175">LN(DF37/DF36)</f>
        <v>0.0768578206570937</v>
      </c>
      <c r="DG99" s="16">
        <f t="shared" si="175"/>
        <v>0.0768713590590313</v>
      </c>
      <c r="DH99" s="16">
        <f t="shared" si="175"/>
        <v>0.0885978356632836</v>
      </c>
      <c r="DI99" s="16">
        <f t="shared" si="175"/>
        <v>0.0429872140568643</v>
      </c>
      <c r="DJ99" s="16">
        <f t="shared" si="175"/>
        <v>0.0176746713971521</v>
      </c>
      <c r="DK99" s="16">
        <f t="shared" si="175"/>
        <v>0.0880010252306366</v>
      </c>
      <c r="DL99" s="16">
        <f t="shared" si="175"/>
        <v>0.0188615845429013</v>
      </c>
      <c r="DM99" s="16">
        <f t="shared" si="175"/>
        <v>0.000404167572254299</v>
      </c>
      <c r="DN99" s="16">
        <f t="shared" si="175"/>
        <v>-0.0400280433101536</v>
      </c>
      <c r="DO99" s="16">
        <f t="shared" si="175"/>
        <v>0.0225137932958233</v>
      </c>
      <c r="DP99" s="16">
        <f t="shared" si="175"/>
        <v>0.0899629546708567</v>
      </c>
      <c r="DQ99" s="16">
        <f t="shared" si="175"/>
        <v>-0.0850202452460703</v>
      </c>
      <c r="DR99" s="16">
        <f t="shared" si="175"/>
        <v>0.0522638126145267</v>
      </c>
      <c r="DS99" s="16">
        <f t="shared" si="175"/>
        <v>0.0749312863624915</v>
      </c>
      <c r="DT99" s="16">
        <f t="shared" si="175"/>
        <v>-0.0230988576894207</v>
      </c>
      <c r="DU99" s="16">
        <f t="shared" si="175"/>
        <v>0.0369966819833503</v>
      </c>
      <c r="DV99" s="16">
        <f t="shared" si="13"/>
        <v>0.17128889412808</v>
      </c>
      <c r="DW99" s="16">
        <f t="shared" si="115"/>
        <v>0.0654495239820425</v>
      </c>
      <c r="DX99" s="16">
        <f t="shared" si="115"/>
        <v>-0.0234745291083516</v>
      </c>
      <c r="DY99" s="16">
        <f t="shared" si="115"/>
        <v>0.0697986356741869</v>
      </c>
      <c r="DZ99" s="16">
        <f t="shared" si="115"/>
        <v>-0.00109110622863834</v>
      </c>
    </row>
    <row r="100" ht="14" spans="1:130">
      <c r="A100" s="32">
        <v>43739</v>
      </c>
      <c r="B100" s="16">
        <f t="shared" si="6"/>
        <v>0.020351149155606</v>
      </c>
      <c r="C100" s="16">
        <f t="shared" si="6"/>
        <v>0.0657033762121164</v>
      </c>
      <c r="D100" s="16">
        <f t="shared" si="7"/>
        <v>0.0187799205571365</v>
      </c>
      <c r="E100" s="16">
        <f t="shared" si="7"/>
        <v>0.049343542281305</v>
      </c>
      <c r="F100" s="16">
        <f t="shared" si="7"/>
        <v>0.0356588864804693</v>
      </c>
      <c r="G100" s="16">
        <f t="shared" si="7"/>
        <v>0.0971358142510814</v>
      </c>
      <c r="H100" s="16">
        <f t="shared" ref="H100:M100" si="176">LN(H38/H37)</f>
        <v>0.123398377342455</v>
      </c>
      <c r="I100" s="16">
        <f t="shared" si="176"/>
        <v>0.0367489248930988</v>
      </c>
      <c r="J100" s="16">
        <f t="shared" si="176"/>
        <v>-0.0290146074326672</v>
      </c>
      <c r="K100" s="16">
        <f t="shared" si="176"/>
        <v>0.046979587138519</v>
      </c>
      <c r="L100" s="16">
        <f t="shared" si="176"/>
        <v>0.0329540825092783</v>
      </c>
      <c r="M100" s="16">
        <f t="shared" si="176"/>
        <v>-0.00940104849823864</v>
      </c>
      <c r="N100" s="16">
        <f t="shared" ref="N100:AS100" si="177">LN(N38/N37)</f>
        <v>-0.0337676739058851</v>
      </c>
      <c r="O100" s="16">
        <f t="shared" si="177"/>
        <v>0.000766316185485302</v>
      </c>
      <c r="P100" s="16">
        <f t="shared" si="177"/>
        <v>0.155536633885842</v>
      </c>
      <c r="Q100" s="16">
        <f t="shared" si="177"/>
        <v>0.0513010827482336</v>
      </c>
      <c r="R100" s="16">
        <f t="shared" si="177"/>
        <v>0.117166270334323</v>
      </c>
      <c r="S100" s="16">
        <f t="shared" si="177"/>
        <v>0.0990392083641915</v>
      </c>
      <c r="T100" s="16">
        <f t="shared" si="177"/>
        <v>-0.000717347404500415</v>
      </c>
      <c r="U100" s="16">
        <f t="shared" si="177"/>
        <v>0.0076047457565775</v>
      </c>
      <c r="V100" s="16">
        <f t="shared" si="177"/>
        <v>0.00226720162220094</v>
      </c>
      <c r="W100" s="16">
        <f t="shared" si="177"/>
        <v>0.0205593369614179</v>
      </c>
      <c r="X100" s="16">
        <f t="shared" si="177"/>
        <v>0.0263767224052996</v>
      </c>
      <c r="Y100" s="16">
        <f t="shared" si="177"/>
        <v>-0.0323685717249535</v>
      </c>
      <c r="Z100" s="16">
        <f t="shared" si="177"/>
        <v>0.0149293056019037</v>
      </c>
      <c r="AA100" s="16">
        <f t="shared" si="177"/>
        <v>0.0238280799953253</v>
      </c>
      <c r="AB100" s="16">
        <f t="shared" si="177"/>
        <v>0.0905828929745419</v>
      </c>
      <c r="AC100" s="16">
        <f t="shared" si="177"/>
        <v>-0.131394004633099</v>
      </c>
      <c r="AD100" s="16">
        <f t="shared" si="177"/>
        <v>0.0307387556191842</v>
      </c>
      <c r="AE100" s="16">
        <f t="shared" si="177"/>
        <v>0.0060630305909432</v>
      </c>
      <c r="AF100" s="16">
        <f t="shared" si="177"/>
        <v>-0.00986128268082118</v>
      </c>
      <c r="AG100" s="16">
        <f t="shared" si="177"/>
        <v>-0.0109891215755952</v>
      </c>
      <c r="AH100" s="16">
        <f t="shared" si="177"/>
        <v>0.0606552745667552</v>
      </c>
      <c r="AI100" s="16">
        <f t="shared" si="177"/>
        <v>0.00734190542097021</v>
      </c>
      <c r="AJ100" s="16">
        <f t="shared" si="177"/>
        <v>-0.0548822221972917</v>
      </c>
      <c r="AK100" s="16">
        <f t="shared" si="177"/>
        <v>-0.0322540337847954</v>
      </c>
      <c r="AL100" s="16">
        <f t="shared" si="177"/>
        <v>0.0257307692785981</v>
      </c>
      <c r="AM100" s="16">
        <f t="shared" si="177"/>
        <v>0.143946704703769</v>
      </c>
      <c r="AN100" s="16">
        <f t="shared" si="177"/>
        <v>0.0926070242933313</v>
      </c>
      <c r="AO100" s="16">
        <f t="shared" si="177"/>
        <v>0.0681656772230717</v>
      </c>
      <c r="AP100" s="16">
        <f t="shared" si="177"/>
        <v>-0.0910709146342116</v>
      </c>
      <c r="AQ100" s="16">
        <f t="shared" si="177"/>
        <v>0.0610089659149647</v>
      </c>
      <c r="AR100" s="16">
        <f t="shared" si="177"/>
        <v>0.157348635862575</v>
      </c>
      <c r="AS100" s="16">
        <f t="shared" si="177"/>
        <v>0.104076172453418</v>
      </c>
      <c r="AT100" s="16">
        <f t="shared" ref="AT100:BY100" si="178">LN(AT38/AT37)</f>
        <v>-0.0467197544345796</v>
      </c>
      <c r="AU100" s="16">
        <f t="shared" si="178"/>
        <v>0.0443537420203699</v>
      </c>
      <c r="AV100" s="16">
        <f t="shared" si="178"/>
        <v>0.0147439611984181</v>
      </c>
      <c r="AW100" s="16">
        <f t="shared" si="178"/>
        <v>-0.0553077062948749</v>
      </c>
      <c r="AX100" s="16">
        <f t="shared" si="178"/>
        <v>0.138911192452033</v>
      </c>
      <c r="AY100" s="16">
        <f t="shared" si="178"/>
        <v>0.104976529559908</v>
      </c>
      <c r="AZ100" s="16">
        <f t="shared" si="178"/>
        <v>0.0528112739826837</v>
      </c>
      <c r="BA100" s="16">
        <f t="shared" si="178"/>
        <v>-0.0263031268146224</v>
      </c>
      <c r="BB100" s="16">
        <f t="shared" si="178"/>
        <v>0.108321634286708</v>
      </c>
      <c r="BC100" s="16">
        <f t="shared" si="178"/>
        <v>0.0369440479778816</v>
      </c>
      <c r="BD100" s="16">
        <f t="shared" si="178"/>
        <v>0.00639720066912377</v>
      </c>
      <c r="BE100" s="16">
        <f t="shared" si="178"/>
        <v>-0.0770226702202544</v>
      </c>
      <c r="BF100" s="16">
        <f t="shared" si="178"/>
        <v>-0.0838031023356509</v>
      </c>
      <c r="BG100" s="16">
        <f t="shared" si="178"/>
        <v>0.0232034255811128</v>
      </c>
      <c r="BH100" s="16">
        <f t="shared" si="178"/>
        <v>-0.100583136865577</v>
      </c>
      <c r="BI100" s="16">
        <f t="shared" si="178"/>
        <v>-0.238976193334445</v>
      </c>
      <c r="BJ100" s="16">
        <f t="shared" si="178"/>
        <v>0.00141224477508257</v>
      </c>
      <c r="BK100" s="16">
        <f t="shared" si="178"/>
        <v>-0.0876088971233811</v>
      </c>
      <c r="BL100" s="16">
        <f t="shared" si="178"/>
        <v>-0.044637053899757</v>
      </c>
      <c r="BM100" s="16">
        <f t="shared" si="178"/>
        <v>-0.0516409519874709</v>
      </c>
      <c r="BN100" s="16">
        <f t="shared" si="178"/>
        <v>-0.0476463290948531</v>
      </c>
      <c r="BO100" s="16">
        <f t="shared" si="178"/>
        <v>0.0170610025800791</v>
      </c>
      <c r="BP100" s="16">
        <f t="shared" si="178"/>
        <v>0.0385123756889738</v>
      </c>
      <c r="BQ100" s="16">
        <f t="shared" si="178"/>
        <v>-0.0397866517767481</v>
      </c>
      <c r="BR100" s="16">
        <f t="shared" si="178"/>
        <v>-0.0115644230842314</v>
      </c>
      <c r="BS100" s="16">
        <f t="shared" si="178"/>
        <v>0.04296439301924</v>
      </c>
      <c r="BT100" s="16">
        <f t="shared" si="178"/>
        <v>-0.0189379836390377</v>
      </c>
      <c r="BU100" s="16">
        <f t="shared" si="178"/>
        <v>-0.109060042990404</v>
      </c>
      <c r="BV100" s="16">
        <f t="shared" si="178"/>
        <v>0.107433840073358</v>
      </c>
      <c r="BW100" s="16">
        <f t="shared" si="178"/>
        <v>-0.139455818891903</v>
      </c>
      <c r="BX100" s="16">
        <f t="shared" si="178"/>
        <v>0.0494007930965297</v>
      </c>
      <c r="BY100" s="16">
        <f t="shared" si="178"/>
        <v>-0.0174212566272064</v>
      </c>
      <c r="BZ100" s="16">
        <f t="shared" ref="BZ100:DE100" si="179">LN(BZ38/BZ37)</f>
        <v>0.0010443785820817</v>
      </c>
      <c r="CA100" s="16">
        <f t="shared" si="179"/>
        <v>0.00710108697513265</v>
      </c>
      <c r="CB100" s="16">
        <f t="shared" si="179"/>
        <v>0.00739731715656543</v>
      </c>
      <c r="CC100" s="16">
        <f t="shared" si="179"/>
        <v>0.086438256217241</v>
      </c>
      <c r="CD100" s="16">
        <f t="shared" si="179"/>
        <v>0.000166639916336672</v>
      </c>
      <c r="CE100" s="16">
        <f t="shared" si="179"/>
        <v>0.002138247394825</v>
      </c>
      <c r="CF100" s="16">
        <f t="shared" si="179"/>
        <v>-0.163849288783942</v>
      </c>
      <c r="CG100" s="16">
        <f t="shared" si="179"/>
        <v>-0.0658565487873224</v>
      </c>
      <c r="CH100" s="16">
        <f t="shared" si="179"/>
        <v>-0.0481434118950767</v>
      </c>
      <c r="CI100" s="16">
        <f t="shared" si="179"/>
        <v>0.0254119499462281</v>
      </c>
      <c r="CJ100" s="16">
        <f t="shared" si="179"/>
        <v>-0.0691291537595975</v>
      </c>
      <c r="CK100" s="16">
        <f t="shared" si="179"/>
        <v>0.146115124013318</v>
      </c>
      <c r="CL100" s="16">
        <f t="shared" si="179"/>
        <v>0.0059017345138467</v>
      </c>
      <c r="CM100" s="16">
        <f t="shared" si="179"/>
        <v>-0.0671488426389999</v>
      </c>
      <c r="CN100" s="16">
        <f t="shared" si="179"/>
        <v>-0.0128246517041733</v>
      </c>
      <c r="CO100" s="16">
        <f t="shared" si="179"/>
        <v>0.0276997674689271</v>
      </c>
      <c r="CP100" s="16">
        <f t="shared" si="179"/>
        <v>-0.0730456905266151</v>
      </c>
      <c r="CQ100" s="16">
        <f t="shared" si="179"/>
        <v>-0.0279099205579133</v>
      </c>
      <c r="CR100" s="16">
        <f t="shared" si="179"/>
        <v>-0.0130860990416412</v>
      </c>
      <c r="CS100" s="16">
        <f t="shared" si="179"/>
        <v>0.0132667598661183</v>
      </c>
      <c r="CT100" s="16">
        <f t="shared" si="179"/>
        <v>-0.0354128869759502</v>
      </c>
      <c r="CU100" s="16">
        <f t="shared" si="179"/>
        <v>-0.0541712308392499</v>
      </c>
      <c r="CV100" s="16">
        <f t="shared" si="179"/>
        <v>-0.0395811728526814</v>
      </c>
      <c r="CW100" s="16">
        <f t="shared" si="179"/>
        <v>0.0515179578370169</v>
      </c>
      <c r="CX100" s="16">
        <f t="shared" si="179"/>
        <v>0.0416726964005681</v>
      </c>
      <c r="CY100" s="16">
        <f t="shared" si="179"/>
        <v>-0.00373433349411867</v>
      </c>
      <c r="CZ100" s="16">
        <f t="shared" si="179"/>
        <v>-0.0353482901326123</v>
      </c>
      <c r="DA100" s="16">
        <f t="shared" si="179"/>
        <v>-0.128937733852938</v>
      </c>
      <c r="DB100" s="16">
        <f t="shared" si="179"/>
        <v>-0.281799702548714</v>
      </c>
      <c r="DC100" s="16">
        <f t="shared" si="179"/>
        <v>-0.0525907517295674</v>
      </c>
      <c r="DD100" s="16">
        <f t="shared" si="179"/>
        <v>0.0123839144857516</v>
      </c>
      <c r="DE100" s="16">
        <f t="shared" si="179"/>
        <v>0.069862537182796</v>
      </c>
      <c r="DF100" s="16">
        <f t="shared" ref="DF100:DU100" si="180">LN(DF38/DF37)</f>
        <v>-0.0151682214731714</v>
      </c>
      <c r="DG100" s="16">
        <f t="shared" si="180"/>
        <v>-0.0624480320979263</v>
      </c>
      <c r="DH100" s="16">
        <f t="shared" si="180"/>
        <v>0.167927409564765</v>
      </c>
      <c r="DI100" s="16">
        <f t="shared" si="180"/>
        <v>-0.0440077283088125</v>
      </c>
      <c r="DJ100" s="16">
        <f t="shared" si="180"/>
        <v>-0.0209594486297754</v>
      </c>
      <c r="DK100" s="16">
        <f t="shared" si="180"/>
        <v>-0.0317374435348445</v>
      </c>
      <c r="DL100" s="16">
        <f t="shared" si="180"/>
        <v>-0.0186687135985669</v>
      </c>
      <c r="DM100" s="16">
        <f t="shared" si="180"/>
        <v>-0.0684445272059894</v>
      </c>
      <c r="DN100" s="16">
        <f t="shared" si="180"/>
        <v>0.0874931516813747</v>
      </c>
      <c r="DO100" s="16">
        <f t="shared" si="180"/>
        <v>-0.0759823047918067</v>
      </c>
      <c r="DP100" s="16">
        <f t="shared" si="180"/>
        <v>-0.167304792321504</v>
      </c>
      <c r="DQ100" s="16">
        <f t="shared" si="180"/>
        <v>-0.0472564815607013</v>
      </c>
      <c r="DR100" s="16">
        <f t="shared" si="180"/>
        <v>-0.0287405693782339</v>
      </c>
      <c r="DS100" s="16">
        <f t="shared" si="180"/>
        <v>-0.0807616039346691</v>
      </c>
      <c r="DT100" s="16">
        <f t="shared" si="180"/>
        <v>-0.201729795008591</v>
      </c>
      <c r="DU100" s="16">
        <f t="shared" si="180"/>
        <v>0.0669155115032504</v>
      </c>
      <c r="DV100" s="16">
        <f t="shared" si="13"/>
        <v>-0.167125149966252</v>
      </c>
      <c r="DW100" s="16">
        <f t="shared" si="115"/>
        <v>0.268061269451564</v>
      </c>
      <c r="DX100" s="16">
        <f t="shared" si="115"/>
        <v>0.0383864372507326</v>
      </c>
      <c r="DY100" s="16">
        <f t="shared" si="115"/>
        <v>0.0082165668515979</v>
      </c>
      <c r="DZ100" s="16">
        <f t="shared" si="115"/>
        <v>-0.0642473603192684</v>
      </c>
    </row>
    <row r="101" ht="14" spans="1:130">
      <c r="A101" s="32">
        <v>43770</v>
      </c>
      <c r="B101" s="16">
        <f t="shared" si="6"/>
        <v>0.0404455984797672</v>
      </c>
      <c r="C101" s="16">
        <f t="shared" si="6"/>
        <v>0.0039018118989845</v>
      </c>
      <c r="D101" s="16">
        <f t="shared" si="7"/>
        <v>0.0294018571417158</v>
      </c>
      <c r="E101" s="16">
        <f t="shared" si="7"/>
        <v>0.112354407503965</v>
      </c>
      <c r="F101" s="16">
        <f t="shared" si="7"/>
        <v>0.00598235576230566</v>
      </c>
      <c r="G101" s="16">
        <f t="shared" si="7"/>
        <v>0.0959280206029665</v>
      </c>
      <c r="H101" s="16">
        <f t="shared" ref="H101:M101" si="181">LN(H39/H38)</f>
        <v>0.00084308324554477</v>
      </c>
      <c r="I101" s="16">
        <f t="shared" si="181"/>
        <v>0.0388730590286969</v>
      </c>
      <c r="J101" s="16">
        <f t="shared" si="181"/>
        <v>0.0819566634878982</v>
      </c>
      <c r="K101" s="16">
        <f t="shared" si="181"/>
        <v>-0.124763236961663</v>
      </c>
      <c r="L101" s="16">
        <f t="shared" si="181"/>
        <v>0.387804893749156</v>
      </c>
      <c r="M101" s="16">
        <f t="shared" si="181"/>
        <v>0.0641671798515372</v>
      </c>
      <c r="N101" s="16">
        <f t="shared" ref="N101:AS101" si="182">LN(N39/N38)</f>
        <v>0.0107439050004506</v>
      </c>
      <c r="O101" s="16">
        <f t="shared" si="182"/>
        <v>0.0203187388299927</v>
      </c>
      <c r="P101" s="16">
        <f t="shared" si="182"/>
        <v>0.102122346806834</v>
      </c>
      <c r="Q101" s="16">
        <f t="shared" si="182"/>
        <v>0.133075660966854</v>
      </c>
      <c r="R101" s="16">
        <f t="shared" si="182"/>
        <v>0.0702406870543704</v>
      </c>
      <c r="S101" s="16">
        <f t="shared" si="182"/>
        <v>0.186296927795605</v>
      </c>
      <c r="T101" s="16">
        <f t="shared" si="182"/>
        <v>0.0257693306374536</v>
      </c>
      <c r="U101" s="16">
        <f t="shared" si="182"/>
        <v>0.022607324998239</v>
      </c>
      <c r="V101" s="16">
        <f t="shared" si="182"/>
        <v>-0.0542007406271158</v>
      </c>
      <c r="W101" s="16">
        <f t="shared" si="182"/>
        <v>0.0663995837636105</v>
      </c>
      <c r="X101" s="16">
        <f t="shared" si="182"/>
        <v>-0.0583088667665488</v>
      </c>
      <c r="Y101" s="16">
        <f t="shared" si="182"/>
        <v>-0.0195103293120194</v>
      </c>
      <c r="Z101" s="16">
        <f t="shared" si="182"/>
        <v>0.00971844886835316</v>
      </c>
      <c r="AA101" s="16">
        <f t="shared" si="182"/>
        <v>0.069758169191953</v>
      </c>
      <c r="AB101" s="16">
        <f t="shared" si="182"/>
        <v>0.0112936236574745</v>
      </c>
      <c r="AC101" s="16">
        <f t="shared" si="182"/>
        <v>0.0664516049629161</v>
      </c>
      <c r="AD101" s="16">
        <f t="shared" si="182"/>
        <v>0.0543650550320128</v>
      </c>
      <c r="AE101" s="16">
        <f t="shared" si="182"/>
        <v>0.107685734537402</v>
      </c>
      <c r="AF101" s="16">
        <f t="shared" si="182"/>
        <v>0.0342816025501651</v>
      </c>
      <c r="AG101" s="16">
        <f t="shared" si="182"/>
        <v>0.0382285792755698</v>
      </c>
      <c r="AH101" s="16">
        <f t="shared" si="182"/>
        <v>0.253668475129009</v>
      </c>
      <c r="AI101" s="16">
        <f t="shared" si="182"/>
        <v>0.0037819143721629</v>
      </c>
      <c r="AJ101" s="16">
        <f t="shared" si="182"/>
        <v>0.00714206468687156</v>
      </c>
      <c r="AK101" s="16">
        <f t="shared" si="182"/>
        <v>0.084604877054356</v>
      </c>
      <c r="AL101" s="16">
        <f t="shared" si="182"/>
        <v>0.0112496441580624</v>
      </c>
      <c r="AM101" s="16">
        <f t="shared" si="182"/>
        <v>0.0752942370145392</v>
      </c>
      <c r="AN101" s="16">
        <f t="shared" si="182"/>
        <v>0.0265333792889069</v>
      </c>
      <c r="AO101" s="16">
        <f t="shared" si="182"/>
        <v>0.0767457060498518</v>
      </c>
      <c r="AP101" s="16">
        <f t="shared" si="182"/>
        <v>0.0261498204038026</v>
      </c>
      <c r="AQ101" s="16">
        <f t="shared" si="182"/>
        <v>0.0379336959880866</v>
      </c>
      <c r="AR101" s="16">
        <f t="shared" si="182"/>
        <v>0.143100843640673</v>
      </c>
      <c r="AS101" s="16">
        <f t="shared" si="182"/>
        <v>-0.000841486113200166</v>
      </c>
      <c r="AT101" s="16">
        <f t="shared" ref="AT101:BY101" si="183">LN(AT39/AT38)</f>
        <v>0.0575799050958629</v>
      </c>
      <c r="AU101" s="16">
        <f t="shared" si="183"/>
        <v>0.0165751923394768</v>
      </c>
      <c r="AV101" s="16">
        <f t="shared" si="183"/>
        <v>0.00264789581443995</v>
      </c>
      <c r="AW101" s="16">
        <f t="shared" si="183"/>
        <v>0.0222328092036423</v>
      </c>
      <c r="AX101" s="16">
        <f t="shared" si="183"/>
        <v>0.0765054870931325</v>
      </c>
      <c r="AY101" s="16">
        <f t="shared" si="183"/>
        <v>0.0716957286264096</v>
      </c>
      <c r="AZ101" s="16">
        <f t="shared" si="183"/>
        <v>0.0400830161944329</v>
      </c>
      <c r="BA101" s="16">
        <f t="shared" si="183"/>
        <v>0.135147815832694</v>
      </c>
      <c r="BB101" s="16">
        <f t="shared" si="183"/>
        <v>0.041167525814241</v>
      </c>
      <c r="BC101" s="16">
        <f t="shared" si="183"/>
        <v>0.0588801385198469</v>
      </c>
      <c r="BD101" s="16">
        <f t="shared" si="183"/>
        <v>0.0449181341368216</v>
      </c>
      <c r="BE101" s="16">
        <f t="shared" si="183"/>
        <v>0.144979623137915</v>
      </c>
      <c r="BF101" s="16">
        <f t="shared" si="183"/>
        <v>0.00537005524622551</v>
      </c>
      <c r="BG101" s="16">
        <f t="shared" si="183"/>
        <v>0.0134958134529978</v>
      </c>
      <c r="BH101" s="16">
        <f t="shared" si="183"/>
        <v>0.00763023703068383</v>
      </c>
      <c r="BI101" s="16">
        <f t="shared" si="183"/>
        <v>-0.0250354450076911</v>
      </c>
      <c r="BJ101" s="16">
        <f t="shared" si="183"/>
        <v>-0.0317138320215266</v>
      </c>
      <c r="BK101" s="16">
        <f t="shared" si="183"/>
        <v>-0.0113506112073956</v>
      </c>
      <c r="BL101" s="16">
        <f t="shared" si="183"/>
        <v>0.0102361790445903</v>
      </c>
      <c r="BM101" s="16">
        <f t="shared" si="183"/>
        <v>0.0612536442909333</v>
      </c>
      <c r="BN101" s="16">
        <f t="shared" si="183"/>
        <v>0.0430573375026265</v>
      </c>
      <c r="BO101" s="16">
        <f t="shared" si="183"/>
        <v>-0.0618537264275686</v>
      </c>
      <c r="BP101" s="16">
        <f t="shared" si="183"/>
        <v>0.0220472455350595</v>
      </c>
      <c r="BQ101" s="16">
        <f t="shared" si="183"/>
        <v>-0.0575030352154467</v>
      </c>
      <c r="BR101" s="16">
        <f t="shared" si="183"/>
        <v>0.0748579142746439</v>
      </c>
      <c r="BS101" s="16">
        <f t="shared" si="183"/>
        <v>-0.073266920530719</v>
      </c>
      <c r="BT101" s="16">
        <f t="shared" si="183"/>
        <v>0.0497999987939823</v>
      </c>
      <c r="BU101" s="16">
        <f t="shared" si="183"/>
        <v>-0.0102776912108664</v>
      </c>
      <c r="BV101" s="16">
        <f t="shared" si="183"/>
        <v>0.0801953909088394</v>
      </c>
      <c r="BW101" s="16">
        <f t="shared" si="183"/>
        <v>0.116216916526659</v>
      </c>
      <c r="BX101" s="16">
        <f t="shared" si="183"/>
        <v>-0.00612259087006281</v>
      </c>
      <c r="BY101" s="16">
        <f t="shared" si="183"/>
        <v>-0.0337999876523839</v>
      </c>
      <c r="BZ101" s="16">
        <f t="shared" ref="BZ101:DE101" si="184">LN(BZ39/BZ38)</f>
        <v>-0.0135062107170907</v>
      </c>
      <c r="CA101" s="16">
        <f t="shared" si="184"/>
        <v>-0.0191048394964209</v>
      </c>
      <c r="CB101" s="16">
        <f t="shared" si="184"/>
        <v>-0.00981627830794557</v>
      </c>
      <c r="CC101" s="16">
        <f t="shared" si="184"/>
        <v>0.0181301174711305</v>
      </c>
      <c r="CD101" s="16">
        <f t="shared" si="184"/>
        <v>-0.00282649706868588</v>
      </c>
      <c r="CE101" s="16">
        <f t="shared" si="184"/>
        <v>-0.00262779731062208</v>
      </c>
      <c r="CF101" s="16">
        <f t="shared" si="184"/>
        <v>-0.0177369865045838</v>
      </c>
      <c r="CG101" s="16">
        <f t="shared" si="184"/>
        <v>0.0482096054897509</v>
      </c>
      <c r="CH101" s="16">
        <f t="shared" si="184"/>
        <v>0.00171416015350152</v>
      </c>
      <c r="CI101" s="16">
        <f t="shared" si="184"/>
        <v>0.0371784701129401</v>
      </c>
      <c r="CJ101" s="16">
        <f t="shared" si="184"/>
        <v>-0.0051196649492374</v>
      </c>
      <c r="CK101" s="16">
        <f t="shared" si="184"/>
        <v>-0.0582687243029663</v>
      </c>
      <c r="CL101" s="16">
        <f t="shared" si="184"/>
        <v>0.0134502380381972</v>
      </c>
      <c r="CM101" s="16">
        <f t="shared" si="184"/>
        <v>0.0904305172594652</v>
      </c>
      <c r="CN101" s="16">
        <f t="shared" si="184"/>
        <v>0.0247195733687909</v>
      </c>
      <c r="CO101" s="16">
        <f t="shared" si="184"/>
        <v>0.055311548544785</v>
      </c>
      <c r="CP101" s="16">
        <f t="shared" si="184"/>
        <v>0.00428029529948131</v>
      </c>
      <c r="CQ101" s="16">
        <f t="shared" si="184"/>
        <v>0.0107048509177831</v>
      </c>
      <c r="CR101" s="16">
        <f t="shared" si="184"/>
        <v>0.0131103105798883</v>
      </c>
      <c r="CS101" s="16">
        <f t="shared" si="184"/>
        <v>0.0130924834193919</v>
      </c>
      <c r="CT101" s="16">
        <f t="shared" si="184"/>
        <v>0.00251762469336049</v>
      </c>
      <c r="CU101" s="16">
        <f t="shared" si="184"/>
        <v>0.0368615933041582</v>
      </c>
      <c r="CV101" s="16">
        <f t="shared" si="184"/>
        <v>0.0388299947934701</v>
      </c>
      <c r="CW101" s="16">
        <f t="shared" si="184"/>
        <v>0.0472725981949127</v>
      </c>
      <c r="CX101" s="16">
        <f t="shared" si="184"/>
        <v>-0.00744882401299062</v>
      </c>
      <c r="CY101" s="16">
        <f t="shared" si="184"/>
        <v>0.165161079982647</v>
      </c>
      <c r="CZ101" s="16">
        <f t="shared" si="184"/>
        <v>0.0959875046308175</v>
      </c>
      <c r="DA101" s="16">
        <f t="shared" si="184"/>
        <v>0.00600903160162209</v>
      </c>
      <c r="DB101" s="16">
        <f t="shared" si="184"/>
        <v>0.296077814413003</v>
      </c>
      <c r="DC101" s="16">
        <f t="shared" si="184"/>
        <v>-0.00381458142512926</v>
      </c>
      <c r="DD101" s="16">
        <f t="shared" si="184"/>
        <v>-0.0667971889165428</v>
      </c>
      <c r="DE101" s="16">
        <f t="shared" si="184"/>
        <v>0.0509117315219332</v>
      </c>
      <c r="DF101" s="16">
        <f t="shared" ref="DF101:DU101" si="185">LN(DF39/DF38)</f>
        <v>0.108913149539413</v>
      </c>
      <c r="DG101" s="16">
        <f t="shared" si="185"/>
        <v>0.0259142887654701</v>
      </c>
      <c r="DH101" s="16">
        <f t="shared" si="185"/>
        <v>0.0261627308930985</v>
      </c>
      <c r="DI101" s="16">
        <f t="shared" si="185"/>
        <v>0.00825356087277608</v>
      </c>
      <c r="DJ101" s="16">
        <f t="shared" si="185"/>
        <v>0.00848756169026411</v>
      </c>
      <c r="DK101" s="16">
        <f t="shared" si="185"/>
        <v>0.0899160879954473</v>
      </c>
      <c r="DL101" s="16">
        <f t="shared" si="185"/>
        <v>0.0384325174118162</v>
      </c>
      <c r="DM101" s="16">
        <f t="shared" si="185"/>
        <v>0.0268487169827018</v>
      </c>
      <c r="DN101" s="16">
        <f t="shared" si="185"/>
        <v>-0.0572748319073288</v>
      </c>
      <c r="DO101" s="16">
        <f t="shared" si="185"/>
        <v>-0.0488273216285061</v>
      </c>
      <c r="DP101" s="16">
        <f t="shared" si="185"/>
        <v>0.0763945490853052</v>
      </c>
      <c r="DQ101" s="16">
        <f t="shared" si="185"/>
        <v>-0.103341589011886</v>
      </c>
      <c r="DR101" s="16">
        <f t="shared" si="185"/>
        <v>0.101989874202517</v>
      </c>
      <c r="DS101" s="16">
        <f t="shared" si="185"/>
        <v>0.0465624484779197</v>
      </c>
      <c r="DT101" s="16">
        <f t="shared" si="185"/>
        <v>-0.0461578636160766</v>
      </c>
      <c r="DU101" s="16">
        <f t="shared" si="185"/>
        <v>-0.00309972002059352</v>
      </c>
      <c r="DV101" s="16">
        <f t="shared" si="13"/>
        <v>0.0394256749356967</v>
      </c>
      <c r="DW101" s="16">
        <f t="shared" si="115"/>
        <v>0.0465921814315119</v>
      </c>
      <c r="DX101" s="16">
        <f t="shared" si="115"/>
        <v>0.0496464322762459</v>
      </c>
      <c r="DY101" s="16">
        <f t="shared" si="115"/>
        <v>0.0229809960227497</v>
      </c>
      <c r="DZ101" s="16">
        <f t="shared" si="115"/>
        <v>0.0695485870185861</v>
      </c>
    </row>
    <row r="102" ht="14" spans="1:130">
      <c r="A102" s="32">
        <v>43800</v>
      </c>
      <c r="B102" s="16">
        <f t="shared" si="6"/>
        <v>0.0660696821946706</v>
      </c>
      <c r="C102" s="16">
        <f t="shared" si="6"/>
        <v>0.0266067358428184</v>
      </c>
      <c r="D102" s="16">
        <f t="shared" si="7"/>
        <v>0.119048022424246</v>
      </c>
      <c r="E102" s="16">
        <f t="shared" si="7"/>
        <v>0.0091904968004807</v>
      </c>
      <c r="F102" s="16">
        <f t="shared" si="7"/>
        <v>0.042335164227666</v>
      </c>
      <c r="G102" s="16">
        <f t="shared" si="7"/>
        <v>0.0333167129007159</v>
      </c>
      <c r="H102" s="16">
        <f t="shared" ref="H102:M102" si="186">LN(H40/H39)</f>
        <v>0.119849347392484</v>
      </c>
      <c r="I102" s="16">
        <f t="shared" si="186"/>
        <v>0.0341911012265909</v>
      </c>
      <c r="J102" s="16">
        <f t="shared" si="186"/>
        <v>0.0336583496390687</v>
      </c>
      <c r="K102" s="16">
        <f t="shared" si="186"/>
        <v>0.0372573372003483</v>
      </c>
      <c r="L102" s="16">
        <f t="shared" si="186"/>
        <v>-0.0384309147043119</v>
      </c>
      <c r="M102" s="16">
        <f t="shared" si="186"/>
        <v>0.0546860790825489</v>
      </c>
      <c r="N102" s="16">
        <f t="shared" ref="N102:AS102" si="187">LN(N40/N39)</f>
        <v>0.0567891931388405</v>
      </c>
      <c r="O102" s="16">
        <f t="shared" si="187"/>
        <v>0.0977448172092967</v>
      </c>
      <c r="P102" s="16">
        <f t="shared" si="187"/>
        <v>0.0491864441118396</v>
      </c>
      <c r="Q102" s="16">
        <f t="shared" si="187"/>
        <v>-0.01310532027958</v>
      </c>
      <c r="R102" s="16">
        <f t="shared" si="187"/>
        <v>0.0452767400308217</v>
      </c>
      <c r="S102" s="16">
        <f t="shared" si="187"/>
        <v>0.0174085634282639</v>
      </c>
      <c r="T102" s="16">
        <f t="shared" si="187"/>
        <v>0.0163661724425672</v>
      </c>
      <c r="U102" s="16">
        <f t="shared" si="187"/>
        <v>0.0183249560069946</v>
      </c>
      <c r="V102" s="16">
        <f t="shared" si="187"/>
        <v>0.024494804412465</v>
      </c>
      <c r="W102" s="16">
        <f t="shared" si="187"/>
        <v>0.0796431427500202</v>
      </c>
      <c r="X102" s="16">
        <f t="shared" si="187"/>
        <v>0.0936348090834294</v>
      </c>
      <c r="Y102" s="16">
        <f t="shared" si="187"/>
        <v>0.0679272428999237</v>
      </c>
      <c r="Z102" s="16">
        <f t="shared" si="187"/>
        <v>0.0507958570694832</v>
      </c>
      <c r="AA102" s="16">
        <f t="shared" si="187"/>
        <v>-0.00295595840419964</v>
      </c>
      <c r="AB102" s="16">
        <f t="shared" si="187"/>
        <v>0.0379713115832458</v>
      </c>
      <c r="AC102" s="16">
        <f t="shared" si="187"/>
        <v>0.0199294131034243</v>
      </c>
      <c r="AD102" s="16">
        <f t="shared" si="187"/>
        <v>0.0442982878658392</v>
      </c>
      <c r="AE102" s="16">
        <f t="shared" si="187"/>
        <v>0.0634617131124193</v>
      </c>
      <c r="AF102" s="16">
        <f t="shared" si="187"/>
        <v>-0.0579342466863707</v>
      </c>
      <c r="AG102" s="16">
        <f t="shared" si="187"/>
        <v>-0.0131317901892955</v>
      </c>
      <c r="AH102" s="16">
        <f t="shared" si="187"/>
        <v>0.0155759037010605</v>
      </c>
      <c r="AI102" s="16">
        <f t="shared" si="187"/>
        <v>0.0101195376112538</v>
      </c>
      <c r="AJ102" s="16">
        <f t="shared" si="187"/>
        <v>-0.00853031109215012</v>
      </c>
      <c r="AK102" s="16">
        <f t="shared" si="187"/>
        <v>0.0296949070001776</v>
      </c>
      <c r="AL102" s="16">
        <f t="shared" si="187"/>
        <v>-0.0424790526345774</v>
      </c>
      <c r="AM102" s="16">
        <f t="shared" si="187"/>
        <v>0.0829002887235642</v>
      </c>
      <c r="AN102" s="16">
        <f t="shared" si="187"/>
        <v>0.0360253102677291</v>
      </c>
      <c r="AO102" s="16">
        <f t="shared" si="187"/>
        <v>-0.000601018261969744</v>
      </c>
      <c r="AP102" s="16">
        <f t="shared" si="187"/>
        <v>0.065053338588788</v>
      </c>
      <c r="AQ102" s="16">
        <f t="shared" si="187"/>
        <v>0.054501863009796</v>
      </c>
      <c r="AR102" s="16">
        <f t="shared" si="187"/>
        <v>0.158192854992946</v>
      </c>
      <c r="AS102" s="16">
        <f t="shared" si="187"/>
        <v>0.123961480281926</v>
      </c>
      <c r="AT102" s="16">
        <f t="shared" ref="AT102:BY102" si="188">LN(AT40/AT39)</f>
        <v>0.0508326556421985</v>
      </c>
      <c r="AU102" s="16">
        <f t="shared" si="188"/>
        <v>0.0962695864720055</v>
      </c>
      <c r="AV102" s="16">
        <f t="shared" si="188"/>
        <v>0.106236637403611</v>
      </c>
      <c r="AW102" s="16">
        <f t="shared" si="188"/>
        <v>0.0562462685377537</v>
      </c>
      <c r="AX102" s="16">
        <f t="shared" si="188"/>
        <v>0.206774552193067</v>
      </c>
      <c r="AY102" s="16">
        <f t="shared" si="188"/>
        <v>0.0972019773961628</v>
      </c>
      <c r="AZ102" s="16">
        <f t="shared" si="188"/>
        <v>-0.00153595704942248</v>
      </c>
      <c r="BA102" s="16">
        <f t="shared" si="188"/>
        <v>-0.00254705104446057</v>
      </c>
      <c r="BB102" s="16">
        <f t="shared" si="188"/>
        <v>-0.00133173325039954</v>
      </c>
      <c r="BC102" s="16">
        <f t="shared" si="188"/>
        <v>-0.0419788813386613</v>
      </c>
      <c r="BD102" s="16">
        <f t="shared" si="188"/>
        <v>0.0577978336885146</v>
      </c>
      <c r="BE102" s="16">
        <f t="shared" si="188"/>
        <v>0.0231366039873523</v>
      </c>
      <c r="BF102" s="16">
        <f t="shared" si="188"/>
        <v>0.00868686519077266</v>
      </c>
      <c r="BG102" s="16">
        <f t="shared" si="188"/>
        <v>0.0257863787742547</v>
      </c>
      <c r="BH102" s="16">
        <f t="shared" si="188"/>
        <v>0.0203869893810954</v>
      </c>
      <c r="BI102" s="16">
        <f t="shared" si="188"/>
        <v>0.0207556772408306</v>
      </c>
      <c r="BJ102" s="16">
        <f t="shared" si="188"/>
        <v>0.016529390467181</v>
      </c>
      <c r="BK102" s="16">
        <f t="shared" si="188"/>
        <v>0.0223548911250058</v>
      </c>
      <c r="BL102" s="16">
        <f t="shared" si="188"/>
        <v>0.0337163313342588</v>
      </c>
      <c r="BM102" s="16">
        <f t="shared" si="188"/>
        <v>-0.0829669612881873</v>
      </c>
      <c r="BN102" s="16">
        <f t="shared" si="188"/>
        <v>0.0829365667947065</v>
      </c>
      <c r="BO102" s="16">
        <f t="shared" si="188"/>
        <v>-0.00970664090962588</v>
      </c>
      <c r="BP102" s="16">
        <f t="shared" si="188"/>
        <v>0.000803579815611552</v>
      </c>
      <c r="BQ102" s="16">
        <f t="shared" si="188"/>
        <v>-0.0190093946705875</v>
      </c>
      <c r="BR102" s="16">
        <f t="shared" si="188"/>
        <v>0.0664301719648094</v>
      </c>
      <c r="BS102" s="16">
        <f t="shared" si="188"/>
        <v>0.0756849594907306</v>
      </c>
      <c r="BT102" s="16">
        <f t="shared" si="188"/>
        <v>0.131563725662612</v>
      </c>
      <c r="BU102" s="16">
        <f t="shared" si="188"/>
        <v>0.00488718581324861</v>
      </c>
      <c r="BV102" s="16">
        <f t="shared" si="188"/>
        <v>-0.00176828954679467</v>
      </c>
      <c r="BW102" s="16">
        <f t="shared" si="188"/>
        <v>-0.0357041219026904</v>
      </c>
      <c r="BX102" s="16">
        <f t="shared" si="188"/>
        <v>-0.00702298970146514</v>
      </c>
      <c r="BY102" s="16">
        <f t="shared" si="188"/>
        <v>0.0194181981972914</v>
      </c>
      <c r="BZ102" s="16">
        <f t="shared" ref="BZ102:DE102" si="189">LN(BZ40/BZ39)</f>
        <v>0.0230014731539159</v>
      </c>
      <c r="CA102" s="16">
        <f t="shared" si="189"/>
        <v>0.043307873425182</v>
      </c>
      <c r="CB102" s="16">
        <f t="shared" si="189"/>
        <v>0.0061647711104454</v>
      </c>
      <c r="CC102" s="16">
        <f t="shared" si="189"/>
        <v>0.0257126843727383</v>
      </c>
      <c r="CD102" s="16">
        <f t="shared" si="189"/>
        <v>-0.0397789287675689</v>
      </c>
      <c r="CE102" s="16">
        <f t="shared" si="189"/>
        <v>0.0300149212099566</v>
      </c>
      <c r="CF102" s="16">
        <f t="shared" si="189"/>
        <v>0.0445314629441792</v>
      </c>
      <c r="CG102" s="16">
        <f t="shared" si="189"/>
        <v>0.0575463205484501</v>
      </c>
      <c r="CH102" s="16">
        <f t="shared" si="189"/>
        <v>0.0472121685193677</v>
      </c>
      <c r="CI102" s="16">
        <f t="shared" si="189"/>
        <v>0.0222480816844008</v>
      </c>
      <c r="CJ102" s="16">
        <f t="shared" si="189"/>
        <v>0.0149277340537699</v>
      </c>
      <c r="CK102" s="16">
        <f t="shared" si="189"/>
        <v>0.0641483160229813</v>
      </c>
      <c r="CL102" s="16">
        <f t="shared" si="189"/>
        <v>0.060106132203765</v>
      </c>
      <c r="CM102" s="16">
        <f t="shared" si="189"/>
        <v>0.0129407645670357</v>
      </c>
      <c r="CN102" s="16">
        <f t="shared" si="189"/>
        <v>0.0689165618810727</v>
      </c>
      <c r="CO102" s="16">
        <f t="shared" si="189"/>
        <v>0.00283219028144688</v>
      </c>
      <c r="CP102" s="16">
        <f t="shared" si="189"/>
        <v>0.00490528195954849</v>
      </c>
      <c r="CQ102" s="16">
        <f t="shared" si="189"/>
        <v>0.0351963738940723</v>
      </c>
      <c r="CR102" s="16">
        <f t="shared" si="189"/>
        <v>0.0593985605565576</v>
      </c>
      <c r="CS102" s="16">
        <f t="shared" si="189"/>
        <v>0.0120009904838207</v>
      </c>
      <c r="CT102" s="16">
        <f t="shared" si="189"/>
        <v>0.0519342757393442</v>
      </c>
      <c r="CU102" s="16">
        <f t="shared" si="189"/>
        <v>0.0379989659029589</v>
      </c>
      <c r="CV102" s="16">
        <f t="shared" si="189"/>
        <v>-0.0147852257467124</v>
      </c>
      <c r="CW102" s="16">
        <f t="shared" si="189"/>
        <v>-0.0568159516322666</v>
      </c>
      <c r="CX102" s="16">
        <f t="shared" si="189"/>
        <v>0.0402984930312775</v>
      </c>
      <c r="CY102" s="16">
        <f t="shared" si="189"/>
        <v>-0.0910149318759532</v>
      </c>
      <c r="CZ102" s="16">
        <f t="shared" si="189"/>
        <v>-0.00257159697534019</v>
      </c>
      <c r="DA102" s="16">
        <f t="shared" si="189"/>
        <v>0.0329025505935964</v>
      </c>
      <c r="DB102" s="16">
        <f t="shared" si="189"/>
        <v>0.0700101655726491</v>
      </c>
      <c r="DC102" s="16">
        <f t="shared" si="189"/>
        <v>-0.0393031578448988</v>
      </c>
      <c r="DD102" s="16">
        <f t="shared" si="189"/>
        <v>-0.0188789577841126</v>
      </c>
      <c r="DE102" s="16">
        <f t="shared" si="189"/>
        <v>-0.00949203913054699</v>
      </c>
      <c r="DF102" s="16">
        <f t="shared" ref="DF102:DU102" si="190">LN(DF40/DF39)</f>
        <v>0.00429856074162453</v>
      </c>
      <c r="DG102" s="16">
        <f t="shared" si="190"/>
        <v>-0.0259142887654702</v>
      </c>
      <c r="DH102" s="16">
        <f t="shared" si="190"/>
        <v>0.0136092129225647</v>
      </c>
      <c r="DI102" s="16">
        <f t="shared" si="190"/>
        <v>0.0359175675065581</v>
      </c>
      <c r="DJ102" s="16">
        <f t="shared" si="190"/>
        <v>0.038253805191272</v>
      </c>
      <c r="DK102" s="16">
        <f t="shared" si="190"/>
        <v>0.0815047097281311</v>
      </c>
      <c r="DL102" s="16">
        <f t="shared" si="190"/>
        <v>0.168948148564478</v>
      </c>
      <c r="DM102" s="16">
        <f t="shared" si="190"/>
        <v>0.166685249842596</v>
      </c>
      <c r="DN102" s="16">
        <f t="shared" si="190"/>
        <v>0.0732678948880885</v>
      </c>
      <c r="DO102" s="16">
        <f t="shared" si="190"/>
        <v>0.0662064402016923</v>
      </c>
      <c r="DP102" s="16">
        <f t="shared" si="190"/>
        <v>0.170912125281461</v>
      </c>
      <c r="DQ102" s="16">
        <f t="shared" si="190"/>
        <v>0.185325953759495</v>
      </c>
      <c r="DR102" s="16">
        <f t="shared" si="190"/>
        <v>0.104807862184618</v>
      </c>
      <c r="DS102" s="16">
        <f t="shared" si="190"/>
        <v>0.142044707485572</v>
      </c>
      <c r="DT102" s="16">
        <f t="shared" si="190"/>
        <v>0.135704056924284</v>
      </c>
      <c r="DU102" s="16">
        <f t="shared" si="190"/>
        <v>0.10513859222568</v>
      </c>
      <c r="DV102" s="16">
        <f t="shared" si="13"/>
        <v>0.138512097913408</v>
      </c>
      <c r="DW102" s="16">
        <f t="shared" si="115"/>
        <v>0.23735977499076</v>
      </c>
      <c r="DX102" s="16">
        <f t="shared" si="115"/>
        <v>-0.0163568125586324</v>
      </c>
      <c r="DY102" s="16">
        <f t="shared" si="115"/>
        <v>0.00346897901626711</v>
      </c>
      <c r="DZ102" s="16">
        <f t="shared" si="115"/>
        <v>0.0261452091318387</v>
      </c>
    </row>
    <row r="103" ht="14" spans="1:130">
      <c r="A103" s="32">
        <v>43831</v>
      </c>
      <c r="B103" s="16">
        <f t="shared" si="6"/>
        <v>0.0203571574761235</v>
      </c>
      <c r="C103" s="16">
        <f t="shared" si="6"/>
        <v>-0.0507829221564681</v>
      </c>
      <c r="D103" s="16">
        <f t="shared" si="7"/>
        <v>0.0605933928619064</v>
      </c>
      <c r="E103" s="16">
        <f t="shared" si="7"/>
        <v>-0.0887583633593631</v>
      </c>
      <c r="F103" s="16">
        <f t="shared" si="7"/>
        <v>-0.0556619720865597</v>
      </c>
      <c r="G103" s="16">
        <f t="shared" si="7"/>
        <v>-0.109577497331827</v>
      </c>
      <c r="H103" s="16">
        <f t="shared" ref="H103:M103" si="191">LN(H41/H40)</f>
        <v>-0.0195065722937379</v>
      </c>
      <c r="I103" s="16">
        <f t="shared" si="191"/>
        <v>-0.0360218421628837</v>
      </c>
      <c r="J103" s="16">
        <f t="shared" si="191"/>
        <v>-0.134229256414331</v>
      </c>
      <c r="K103" s="16">
        <f t="shared" si="191"/>
        <v>0.0371373529568279</v>
      </c>
      <c r="L103" s="16">
        <f t="shared" si="191"/>
        <v>0.0958752407711552</v>
      </c>
      <c r="M103" s="16">
        <f t="shared" si="191"/>
        <v>-0.0306569914084119</v>
      </c>
      <c r="N103" s="16">
        <f t="shared" ref="N103:AS103" si="192">LN(N41/N40)</f>
        <v>0.0047779016512613</v>
      </c>
      <c r="O103" s="16">
        <f t="shared" si="192"/>
        <v>-0.046575242961388</v>
      </c>
      <c r="P103" s="16">
        <f t="shared" si="192"/>
        <v>-0.0722195245562909</v>
      </c>
      <c r="Q103" s="16">
        <f t="shared" si="192"/>
        <v>-0.0911189695179641</v>
      </c>
      <c r="R103" s="16">
        <f t="shared" si="192"/>
        <v>-0.126940851581886</v>
      </c>
      <c r="S103" s="16">
        <f t="shared" si="192"/>
        <v>-0.105336842536287</v>
      </c>
      <c r="T103" s="16">
        <f t="shared" si="192"/>
        <v>0.00321843748460419</v>
      </c>
      <c r="U103" s="16">
        <f t="shared" si="192"/>
        <v>0.0221461639021093</v>
      </c>
      <c r="V103" s="16">
        <f t="shared" si="192"/>
        <v>0.00634819481701081</v>
      </c>
      <c r="W103" s="16">
        <f t="shared" si="192"/>
        <v>0.081817331031905</v>
      </c>
      <c r="X103" s="16">
        <f t="shared" si="192"/>
        <v>0.013955301051565</v>
      </c>
      <c r="Y103" s="16">
        <f t="shared" si="192"/>
        <v>0.0636051636954562</v>
      </c>
      <c r="Z103" s="16">
        <f t="shared" si="192"/>
        <v>0.0147686488425149</v>
      </c>
      <c r="AA103" s="16">
        <f t="shared" si="192"/>
        <v>-0.0545259429113687</v>
      </c>
      <c r="AB103" s="16">
        <f t="shared" si="192"/>
        <v>0.0254836204033231</v>
      </c>
      <c r="AC103" s="16">
        <f t="shared" si="192"/>
        <v>0.0674950141390348</v>
      </c>
      <c r="AD103" s="16">
        <f t="shared" si="192"/>
        <v>0.0764554531330708</v>
      </c>
      <c r="AE103" s="16">
        <f t="shared" si="192"/>
        <v>0.0626682732683352</v>
      </c>
      <c r="AF103" s="16">
        <f t="shared" si="192"/>
        <v>-0.0100540030781216</v>
      </c>
      <c r="AG103" s="16">
        <f t="shared" si="192"/>
        <v>0.0579842221916385</v>
      </c>
      <c r="AH103" s="16">
        <f t="shared" si="192"/>
        <v>0.0774743490003155</v>
      </c>
      <c r="AI103" s="16">
        <f t="shared" si="192"/>
        <v>0.0771801484476931</v>
      </c>
      <c r="AJ103" s="16">
        <f t="shared" si="192"/>
        <v>0.0775997024551765</v>
      </c>
      <c r="AK103" s="16">
        <f t="shared" si="192"/>
        <v>0.107630592215087</v>
      </c>
      <c r="AL103" s="16">
        <f t="shared" si="192"/>
        <v>-0.134135124524509</v>
      </c>
      <c r="AM103" s="16">
        <f t="shared" si="192"/>
        <v>0.00479100386897077</v>
      </c>
      <c r="AN103" s="16">
        <f t="shared" si="192"/>
        <v>0.0659473216048505</v>
      </c>
      <c r="AO103" s="16">
        <f t="shared" si="192"/>
        <v>-0.0248907149408306</v>
      </c>
      <c r="AP103" s="16">
        <f t="shared" si="192"/>
        <v>-0.0613995104429644</v>
      </c>
      <c r="AQ103" s="16">
        <f t="shared" si="192"/>
        <v>-0.0259315929841693</v>
      </c>
      <c r="AR103" s="16">
        <f t="shared" si="192"/>
        <v>0.0245543242803002</v>
      </c>
      <c r="AS103" s="16">
        <f t="shared" si="192"/>
        <v>-0.0129131236939032</v>
      </c>
      <c r="AT103" s="16">
        <f t="shared" ref="AT103:BY103" si="193">LN(AT41/AT40)</f>
        <v>-0.0748407952381974</v>
      </c>
      <c r="AU103" s="16">
        <f t="shared" si="193"/>
        <v>-0.00011920093506315</v>
      </c>
      <c r="AV103" s="16">
        <f t="shared" si="193"/>
        <v>-0.0716430645691377</v>
      </c>
      <c r="AW103" s="16">
        <f t="shared" si="193"/>
        <v>-0.146102786388691</v>
      </c>
      <c r="AX103" s="16">
        <f t="shared" si="193"/>
        <v>-0.0615977593208564</v>
      </c>
      <c r="AY103" s="16">
        <f t="shared" si="193"/>
        <v>0.0526017193480584</v>
      </c>
      <c r="AZ103" s="16">
        <f t="shared" si="193"/>
        <v>0.114169365495282</v>
      </c>
      <c r="BA103" s="16">
        <f t="shared" si="193"/>
        <v>0.180684958071756</v>
      </c>
      <c r="BB103" s="16">
        <f t="shared" si="193"/>
        <v>-0.00042585585900202</v>
      </c>
      <c r="BC103" s="16">
        <f t="shared" si="193"/>
        <v>-0.0986383271675171</v>
      </c>
      <c r="BD103" s="16">
        <f t="shared" si="193"/>
        <v>-0.0192974828836623</v>
      </c>
      <c r="BE103" s="16">
        <f t="shared" si="193"/>
        <v>0.0454198022392694</v>
      </c>
      <c r="BF103" s="16">
        <f t="shared" si="193"/>
        <v>0.0697985508538928</v>
      </c>
      <c r="BG103" s="16">
        <f t="shared" si="193"/>
        <v>0.0834803139125631</v>
      </c>
      <c r="BH103" s="16">
        <f t="shared" si="193"/>
        <v>-0.0732352829309888</v>
      </c>
      <c r="BI103" s="16">
        <f t="shared" si="193"/>
        <v>0.0969505328479663</v>
      </c>
      <c r="BJ103" s="16">
        <f t="shared" si="193"/>
        <v>-0.0811207141750729</v>
      </c>
      <c r="BK103" s="16">
        <f t="shared" si="193"/>
        <v>0.07954040629413</v>
      </c>
      <c r="BL103" s="16">
        <f t="shared" si="193"/>
        <v>-0.0357782177089846</v>
      </c>
      <c r="BM103" s="16">
        <f t="shared" si="193"/>
        <v>0.0658501933370892</v>
      </c>
      <c r="BN103" s="16">
        <f t="shared" si="193"/>
        <v>-0.0507166972075028</v>
      </c>
      <c r="BO103" s="16">
        <f t="shared" si="193"/>
        <v>0.049923318543069</v>
      </c>
      <c r="BP103" s="16">
        <f t="shared" si="193"/>
        <v>-0.149576381092941</v>
      </c>
      <c r="BQ103" s="16">
        <f t="shared" si="193"/>
        <v>0.10986566690404</v>
      </c>
      <c r="BR103" s="16">
        <f t="shared" si="193"/>
        <v>-0.0233329121353701</v>
      </c>
      <c r="BS103" s="16">
        <f t="shared" si="193"/>
        <v>-0.115041183891915</v>
      </c>
      <c r="BT103" s="16">
        <f t="shared" si="193"/>
        <v>-0.155036524813009</v>
      </c>
      <c r="BU103" s="16">
        <f t="shared" si="193"/>
        <v>0.0488233070638533</v>
      </c>
      <c r="BV103" s="16">
        <f t="shared" si="193"/>
        <v>-0.0395947551996268</v>
      </c>
      <c r="BW103" s="16">
        <f t="shared" si="193"/>
        <v>0.245410582349164</v>
      </c>
      <c r="BX103" s="16">
        <f t="shared" si="193"/>
        <v>-0.00525780394832354</v>
      </c>
      <c r="BY103" s="16">
        <f t="shared" si="193"/>
        <v>-0.194887228465939</v>
      </c>
      <c r="BZ103" s="16">
        <f t="shared" ref="BZ103:DE103" si="194">LN(BZ41/BZ40)</f>
        <v>-0.00224431484473733</v>
      </c>
      <c r="CA103" s="16">
        <f t="shared" si="194"/>
        <v>0.0536392439431885</v>
      </c>
      <c r="CB103" s="16">
        <f t="shared" si="194"/>
        <v>0.0453784419300601</v>
      </c>
      <c r="CC103" s="16">
        <f t="shared" si="194"/>
        <v>-0.0147838814649892</v>
      </c>
      <c r="CD103" s="16">
        <f t="shared" si="194"/>
        <v>0.0444746196293222</v>
      </c>
      <c r="CE103" s="16">
        <f t="shared" si="194"/>
        <v>-0.0641822226996782</v>
      </c>
      <c r="CF103" s="16">
        <f t="shared" si="194"/>
        <v>-0.0857267361695501</v>
      </c>
      <c r="CG103" s="16">
        <f t="shared" si="194"/>
        <v>-0.0566741957227791</v>
      </c>
      <c r="CH103" s="16">
        <f t="shared" si="194"/>
        <v>0.0460781204412897</v>
      </c>
      <c r="CI103" s="16">
        <f t="shared" si="194"/>
        <v>0.00479610277721484</v>
      </c>
      <c r="CJ103" s="16">
        <f t="shared" si="194"/>
        <v>0.0693029451868159</v>
      </c>
      <c r="CK103" s="16">
        <f t="shared" si="194"/>
        <v>-0.0956214334890135</v>
      </c>
      <c r="CL103" s="16">
        <f t="shared" si="194"/>
        <v>-0.0405589997743499</v>
      </c>
      <c r="CM103" s="16">
        <f t="shared" si="194"/>
        <v>0.0465603150894965</v>
      </c>
      <c r="CN103" s="16">
        <f t="shared" si="194"/>
        <v>-0.0138315799926297</v>
      </c>
      <c r="CO103" s="16">
        <f t="shared" si="194"/>
        <v>-0.0345771610828785</v>
      </c>
      <c r="CP103" s="16">
        <f t="shared" si="194"/>
        <v>0.0535508000404234</v>
      </c>
      <c r="CQ103" s="16">
        <f t="shared" si="194"/>
        <v>0.0242574146011498</v>
      </c>
      <c r="CR103" s="16">
        <f t="shared" si="194"/>
        <v>-0.0210620879218296</v>
      </c>
      <c r="CS103" s="16">
        <f t="shared" si="194"/>
        <v>0.0160007984836006</v>
      </c>
      <c r="CT103" s="16">
        <f t="shared" si="194"/>
        <v>-0.0419266865877526</v>
      </c>
      <c r="CU103" s="16">
        <f t="shared" si="194"/>
        <v>-0.22796874353517</v>
      </c>
      <c r="CV103" s="16">
        <f t="shared" si="194"/>
        <v>-0.122922055625789</v>
      </c>
      <c r="CW103" s="16">
        <f t="shared" si="194"/>
        <v>-0.0401905912288586</v>
      </c>
      <c r="CX103" s="16">
        <f t="shared" si="194"/>
        <v>-0.142548586274711</v>
      </c>
      <c r="CY103" s="16">
        <f t="shared" si="194"/>
        <v>0.0531526069777339</v>
      </c>
      <c r="CZ103" s="16">
        <f t="shared" si="194"/>
        <v>0.0477641341461124</v>
      </c>
      <c r="DA103" s="16">
        <f t="shared" si="194"/>
        <v>-0.0658920938087033</v>
      </c>
      <c r="DB103" s="16">
        <f t="shared" si="194"/>
        <v>-0.334339281671071</v>
      </c>
      <c r="DC103" s="16">
        <f t="shared" si="194"/>
        <v>-0.212780825012401</v>
      </c>
      <c r="DD103" s="16">
        <f t="shared" si="194"/>
        <v>-0.0102216158009087</v>
      </c>
      <c r="DE103" s="16">
        <f t="shared" si="194"/>
        <v>0.0343346187533478</v>
      </c>
      <c r="DF103" s="16">
        <f t="shared" ref="DF103:DU103" si="195">LN(DF41/DF40)</f>
        <v>0.0303402688461817</v>
      </c>
      <c r="DG103" s="16">
        <f t="shared" si="195"/>
        <v>0.0328668080803521</v>
      </c>
      <c r="DH103" s="16">
        <f t="shared" si="195"/>
        <v>-0.0786573061184998</v>
      </c>
      <c r="DI103" s="16">
        <f t="shared" si="195"/>
        <v>-0.116279545764288</v>
      </c>
      <c r="DJ103" s="16">
        <f t="shared" si="195"/>
        <v>-0.117596340404985</v>
      </c>
      <c r="DK103" s="16">
        <f t="shared" si="195"/>
        <v>-0.0900494843474461</v>
      </c>
      <c r="DL103" s="16">
        <f t="shared" si="195"/>
        <v>-0.111549393118081</v>
      </c>
      <c r="DM103" s="16">
        <f t="shared" si="195"/>
        <v>-0.138729770828275</v>
      </c>
      <c r="DN103" s="16">
        <f t="shared" si="195"/>
        <v>-0.162421871495988</v>
      </c>
      <c r="DO103" s="16">
        <f t="shared" si="195"/>
        <v>-0.0163671641744699</v>
      </c>
      <c r="DP103" s="16">
        <f t="shared" si="195"/>
        <v>-0.174858061281019</v>
      </c>
      <c r="DQ103" s="16">
        <f t="shared" si="195"/>
        <v>-0.221636911082084</v>
      </c>
      <c r="DR103" s="16">
        <f t="shared" si="195"/>
        <v>-0.168176175349103</v>
      </c>
      <c r="DS103" s="16">
        <f t="shared" si="195"/>
        <v>-0.168296515838127</v>
      </c>
      <c r="DT103" s="16">
        <f t="shared" si="195"/>
        <v>-0.261292588080764</v>
      </c>
      <c r="DU103" s="16">
        <f t="shared" si="195"/>
        <v>-0.192897028888095</v>
      </c>
      <c r="DV103" s="16">
        <f t="shared" si="13"/>
        <v>0.0698002064980344</v>
      </c>
      <c r="DW103" s="16">
        <f t="shared" si="115"/>
        <v>0.441578306955661</v>
      </c>
      <c r="DX103" s="16">
        <f t="shared" si="115"/>
        <v>0.0196204265521649</v>
      </c>
      <c r="DY103" s="16">
        <f t="shared" si="115"/>
        <v>-0.0786911381630341</v>
      </c>
      <c r="DZ103" s="16">
        <f t="shared" si="115"/>
        <v>-0.0529926149468707</v>
      </c>
    </row>
    <row r="104" ht="14" spans="1:130">
      <c r="A104" s="32">
        <v>43862</v>
      </c>
      <c r="B104" s="16">
        <f t="shared" si="6"/>
        <v>-0.10165735735377</v>
      </c>
      <c r="C104" s="16">
        <f t="shared" si="6"/>
        <v>-0.0980656288952552</v>
      </c>
      <c r="D104" s="16">
        <f t="shared" si="7"/>
        <v>-0.101755002652089</v>
      </c>
      <c r="E104" s="16">
        <f t="shared" si="7"/>
        <v>0.0696934025513459</v>
      </c>
      <c r="F104" s="16">
        <f t="shared" si="7"/>
        <v>-0.109739717665099</v>
      </c>
      <c r="G104" s="16">
        <f t="shared" si="7"/>
        <v>-0.0785433693839783</v>
      </c>
      <c r="H104" s="16">
        <f t="shared" ref="H104:M104" si="196">LN(H42/H41)</f>
        <v>-0.0567516919511679</v>
      </c>
      <c r="I104" s="16">
        <f t="shared" si="196"/>
        <v>-0.0741744077655424</v>
      </c>
      <c r="J104" s="16">
        <f t="shared" si="196"/>
        <v>-0.0878673360687311</v>
      </c>
      <c r="K104" s="16">
        <f t="shared" si="196"/>
        <v>-0.0628155926184197</v>
      </c>
      <c r="L104" s="16">
        <f t="shared" si="196"/>
        <v>0.136641815038915</v>
      </c>
      <c r="M104" s="16">
        <f t="shared" si="196"/>
        <v>-0.0688111937448522</v>
      </c>
      <c r="N104" s="16">
        <f t="shared" ref="N104:AS104" si="197">LN(N42/N41)</f>
        <v>-0.107043806709444</v>
      </c>
      <c r="O104" s="16">
        <f t="shared" si="197"/>
        <v>-0.0760950436271945</v>
      </c>
      <c r="P104" s="16">
        <f t="shared" si="197"/>
        <v>-0.0663485099024635</v>
      </c>
      <c r="Q104" s="16">
        <f t="shared" si="197"/>
        <v>-0.129547833989278</v>
      </c>
      <c r="R104" s="16">
        <f t="shared" si="197"/>
        <v>-0.0313599906115574</v>
      </c>
      <c r="S104" s="16">
        <f t="shared" si="197"/>
        <v>0.274239157937693</v>
      </c>
      <c r="T104" s="16">
        <f t="shared" si="197"/>
        <v>-0.119082890157583</v>
      </c>
      <c r="U104" s="16">
        <f t="shared" si="197"/>
        <v>-0.136903100172772</v>
      </c>
      <c r="V104" s="16">
        <f t="shared" si="197"/>
        <v>-0.100310634850661</v>
      </c>
      <c r="W104" s="16">
        <f t="shared" si="197"/>
        <v>-0.170347703837417</v>
      </c>
      <c r="X104" s="16">
        <f t="shared" si="197"/>
        <v>-0.00588379296198133</v>
      </c>
      <c r="Y104" s="16">
        <f t="shared" si="197"/>
        <v>-0.219997096812881</v>
      </c>
      <c r="Z104" s="16">
        <f t="shared" si="197"/>
        <v>-0.145911352469095</v>
      </c>
      <c r="AA104" s="16">
        <f t="shared" si="197"/>
        <v>-0.047222919610222</v>
      </c>
      <c r="AB104" s="16">
        <f t="shared" si="197"/>
        <v>-6.25137945182468e-5</v>
      </c>
      <c r="AC104" s="16">
        <f t="shared" si="197"/>
        <v>-0.0666179685872742</v>
      </c>
      <c r="AD104" s="16">
        <f t="shared" si="197"/>
        <v>-0.0494919303295879</v>
      </c>
      <c r="AE104" s="16">
        <f t="shared" si="197"/>
        <v>-0.0172928217002162</v>
      </c>
      <c r="AF104" s="16">
        <f t="shared" si="197"/>
        <v>-0.0542550503644158</v>
      </c>
      <c r="AG104" s="16">
        <f t="shared" si="197"/>
        <v>-0.0671496600045291</v>
      </c>
      <c r="AH104" s="16">
        <f t="shared" si="197"/>
        <v>-0.122496797900814</v>
      </c>
      <c r="AI104" s="16">
        <f t="shared" si="197"/>
        <v>-0.0925035139339739</v>
      </c>
      <c r="AJ104" s="16">
        <f t="shared" si="197"/>
        <v>-0.0760958557954485</v>
      </c>
      <c r="AK104" s="16">
        <f t="shared" si="197"/>
        <v>-0.40107642238885</v>
      </c>
      <c r="AL104" s="16">
        <f t="shared" si="197"/>
        <v>-0.0179291785809736</v>
      </c>
      <c r="AM104" s="16">
        <f t="shared" si="197"/>
        <v>0.133028899433114</v>
      </c>
      <c r="AN104" s="16">
        <f t="shared" si="197"/>
        <v>-0.141045407871754</v>
      </c>
      <c r="AO104" s="16">
        <f t="shared" si="197"/>
        <v>-0.112757332038976</v>
      </c>
      <c r="AP104" s="16">
        <f t="shared" si="197"/>
        <v>-0.0482705657167454</v>
      </c>
      <c r="AQ104" s="16">
        <f t="shared" si="197"/>
        <v>-0.0857439889112494</v>
      </c>
      <c r="AR104" s="16">
        <f t="shared" si="197"/>
        <v>-0.0328749328277234</v>
      </c>
      <c r="AS104" s="16">
        <f t="shared" si="197"/>
        <v>-0.0100332094405943</v>
      </c>
      <c r="AT104" s="16">
        <f t="shared" ref="AT104:BY104" si="198">LN(AT42/AT41)</f>
        <v>-0.00639860076436312</v>
      </c>
      <c r="AU104" s="16">
        <f t="shared" si="198"/>
        <v>-0.109608301306084</v>
      </c>
      <c r="AV104" s="16">
        <f t="shared" si="198"/>
        <v>-0.0719796601971498</v>
      </c>
      <c r="AW104" s="16">
        <f t="shared" si="198"/>
        <v>-0.0117880327088914</v>
      </c>
      <c r="AX104" s="16">
        <f t="shared" si="198"/>
        <v>-0.121746117069755</v>
      </c>
      <c r="AY104" s="16">
        <f t="shared" si="198"/>
        <v>-0.124200838011667</v>
      </c>
      <c r="AZ104" s="16">
        <f t="shared" si="198"/>
        <v>-0.0675599204201582</v>
      </c>
      <c r="BA104" s="16">
        <f t="shared" si="198"/>
        <v>-0.0365527205537404</v>
      </c>
      <c r="BB104" s="16">
        <f t="shared" si="198"/>
        <v>-0.0924364973411695</v>
      </c>
      <c r="BC104" s="16">
        <f t="shared" si="198"/>
        <v>0.0188554188004789</v>
      </c>
      <c r="BD104" s="16">
        <f t="shared" si="198"/>
        <v>-0.0801314568949227</v>
      </c>
      <c r="BE104" s="16">
        <f t="shared" si="198"/>
        <v>-0.0251732493231051</v>
      </c>
      <c r="BF104" s="16">
        <f t="shared" si="198"/>
        <v>-0.0992486819244385</v>
      </c>
      <c r="BG104" s="16">
        <f t="shared" si="198"/>
        <v>-0.0642332323386353</v>
      </c>
      <c r="BH104" s="16">
        <f t="shared" si="198"/>
        <v>0.0316743995744026</v>
      </c>
      <c r="BI104" s="16">
        <f t="shared" si="198"/>
        <v>0.169226561195329</v>
      </c>
      <c r="BJ104" s="16">
        <f t="shared" si="198"/>
        <v>-0.0905297903199101</v>
      </c>
      <c r="BK104" s="16">
        <f t="shared" si="198"/>
        <v>-0.0971021043059613</v>
      </c>
      <c r="BL104" s="16">
        <f t="shared" si="198"/>
        <v>-0.0784426700006111</v>
      </c>
      <c r="BM104" s="16">
        <f t="shared" si="198"/>
        <v>-0.169678006744586</v>
      </c>
      <c r="BN104" s="16">
        <f t="shared" si="198"/>
        <v>-0.0745713169805136</v>
      </c>
      <c r="BO104" s="16">
        <f t="shared" si="198"/>
        <v>-0.0460232337598727</v>
      </c>
      <c r="BP104" s="16">
        <f t="shared" si="198"/>
        <v>-0.0550657889922759</v>
      </c>
      <c r="BQ104" s="16">
        <f t="shared" si="198"/>
        <v>-0.0241178167770858</v>
      </c>
      <c r="BR104" s="16">
        <f t="shared" si="198"/>
        <v>-0.12774740575942</v>
      </c>
      <c r="BS104" s="16">
        <f t="shared" si="198"/>
        <v>-0.0765444225719192</v>
      </c>
      <c r="BT104" s="16">
        <f t="shared" si="198"/>
        <v>-0.263099780307497</v>
      </c>
      <c r="BU104" s="16">
        <f t="shared" si="198"/>
        <v>-0.169825425994032</v>
      </c>
      <c r="BV104" s="16">
        <f t="shared" si="198"/>
        <v>0.186335836050553</v>
      </c>
      <c r="BW104" s="16">
        <f t="shared" si="198"/>
        <v>-0.066959316323456</v>
      </c>
      <c r="BX104" s="16">
        <f t="shared" si="198"/>
        <v>-0.0489461955737798</v>
      </c>
      <c r="BY104" s="16">
        <f t="shared" si="198"/>
        <v>0.00929217142008748</v>
      </c>
      <c r="BZ104" s="16">
        <f t="shared" ref="BZ104:DE104" si="199">LN(BZ42/BZ41)</f>
        <v>-0.0899243463989631</v>
      </c>
      <c r="CA104" s="16">
        <f t="shared" si="199"/>
        <v>-0.0878211738659788</v>
      </c>
      <c r="CB104" s="16">
        <f t="shared" si="199"/>
        <v>-0.072938800525393</v>
      </c>
      <c r="CC104" s="16">
        <f t="shared" si="199"/>
        <v>-0.0100867523683658</v>
      </c>
      <c r="CD104" s="16">
        <f t="shared" si="199"/>
        <v>-0.10281702339321</v>
      </c>
      <c r="CE104" s="16">
        <f t="shared" si="199"/>
        <v>-0.107085425810589</v>
      </c>
      <c r="CF104" s="16">
        <f t="shared" si="199"/>
        <v>-0.25467812476525</v>
      </c>
      <c r="CG104" s="16">
        <f t="shared" si="199"/>
        <v>-0.0610603297475582</v>
      </c>
      <c r="CH104" s="16">
        <f t="shared" si="199"/>
        <v>-0.0831847093329301</v>
      </c>
      <c r="CI104" s="16">
        <f t="shared" si="199"/>
        <v>-0.0833707349863587</v>
      </c>
      <c r="CJ104" s="16">
        <f t="shared" si="199"/>
        <v>-0.081873792283311</v>
      </c>
      <c r="CK104" s="16">
        <f t="shared" si="199"/>
        <v>-0.164535663909821</v>
      </c>
      <c r="CL104" s="16">
        <f t="shared" si="199"/>
        <v>-0.203695624545566</v>
      </c>
      <c r="CM104" s="16">
        <f t="shared" si="199"/>
        <v>-0.122313270361078</v>
      </c>
      <c r="CN104" s="16">
        <f t="shared" si="199"/>
        <v>-0.120443847549003</v>
      </c>
      <c r="CO104" s="16">
        <f t="shared" si="199"/>
        <v>-0.111110293149989</v>
      </c>
      <c r="CP104" s="16">
        <f t="shared" si="199"/>
        <v>-0.0654191332038625</v>
      </c>
      <c r="CQ104" s="16">
        <f t="shared" si="199"/>
        <v>0.0199726674881313</v>
      </c>
      <c r="CR104" s="16">
        <f t="shared" si="199"/>
        <v>-0.0627262133462219</v>
      </c>
      <c r="CS104" s="16">
        <f t="shared" si="199"/>
        <v>-0.235638076352526</v>
      </c>
      <c r="CT104" s="16">
        <f t="shared" si="199"/>
        <v>-0.177404613266443</v>
      </c>
      <c r="CU104" s="16">
        <f t="shared" si="199"/>
        <v>-0.207905161209277</v>
      </c>
      <c r="CV104" s="16">
        <f t="shared" si="199"/>
        <v>-0.134525377635796</v>
      </c>
      <c r="CW104" s="16">
        <f t="shared" si="199"/>
        <v>-0.0242830221722289</v>
      </c>
      <c r="CX104" s="16">
        <f t="shared" si="199"/>
        <v>-0.0932419267402658</v>
      </c>
      <c r="CY104" s="16">
        <f t="shared" si="199"/>
        <v>-0.138586163286147</v>
      </c>
      <c r="CZ104" s="16">
        <f t="shared" si="199"/>
        <v>-0.0810846845466139</v>
      </c>
      <c r="DA104" s="16">
        <f t="shared" si="199"/>
        <v>-0.049177235976084</v>
      </c>
      <c r="DB104" s="16">
        <f t="shared" si="199"/>
        <v>-0.156520910849221</v>
      </c>
      <c r="DC104" s="16">
        <f t="shared" si="199"/>
        <v>-0.118848170267701</v>
      </c>
      <c r="DD104" s="16">
        <f t="shared" si="199"/>
        <v>-0.0599828319455293</v>
      </c>
      <c r="DE104" s="16">
        <f t="shared" si="199"/>
        <v>-0.0124605334848913</v>
      </c>
      <c r="DF104" s="16">
        <f t="shared" ref="DF104:DU104" si="200">LN(DF42/DF41)</f>
        <v>-0.134207132247225</v>
      </c>
      <c r="DG104" s="16">
        <f t="shared" si="200"/>
        <v>0.157773275588693</v>
      </c>
      <c r="DH104" s="16">
        <f t="shared" si="200"/>
        <v>-0.0694248304274328</v>
      </c>
      <c r="DI104" s="16">
        <f t="shared" si="200"/>
        <v>-0.18865180338475</v>
      </c>
      <c r="DJ104" s="16">
        <f t="shared" si="200"/>
        <v>-0.137887715954562</v>
      </c>
      <c r="DK104" s="16">
        <f t="shared" si="200"/>
        <v>-0.204886268325754</v>
      </c>
      <c r="DL104" s="16">
        <f t="shared" si="200"/>
        <v>-0.0948811159340863</v>
      </c>
      <c r="DM104" s="16">
        <f t="shared" si="200"/>
        <v>-0.138646726287004</v>
      </c>
      <c r="DN104" s="16">
        <f t="shared" si="200"/>
        <v>-0.00691789052304152</v>
      </c>
      <c r="DO104" s="16">
        <f t="shared" si="200"/>
        <v>-0.193257145791306</v>
      </c>
      <c r="DP104" s="16">
        <f t="shared" si="200"/>
        <v>-0.290755970788978</v>
      </c>
      <c r="DQ104" s="16">
        <f t="shared" si="200"/>
        <v>-0.182321698355396</v>
      </c>
      <c r="DR104" s="16">
        <f t="shared" si="200"/>
        <v>-0.212679621202175</v>
      </c>
      <c r="DS104" s="16">
        <f t="shared" si="200"/>
        <v>-0.28918266897444</v>
      </c>
      <c r="DT104" s="16">
        <f t="shared" si="200"/>
        <v>-0.10664009524762</v>
      </c>
      <c r="DU104" s="16">
        <f t="shared" si="200"/>
        <v>-0.0967185162291528</v>
      </c>
      <c r="DV104" s="16">
        <f t="shared" si="13"/>
        <v>-0.0886494708294886</v>
      </c>
      <c r="DW104" s="16">
        <f t="shared" si="115"/>
        <v>0.0264243016705136</v>
      </c>
      <c r="DX104" s="16">
        <f t="shared" si="115"/>
        <v>-0.0678219544121595</v>
      </c>
      <c r="DY104" s="16">
        <f t="shared" si="115"/>
        <v>-0.101007953879967</v>
      </c>
      <c r="DZ104" s="16">
        <f t="shared" si="115"/>
        <v>-0.219978547971053</v>
      </c>
    </row>
    <row r="105" ht="14" spans="1:130">
      <c r="A105" s="32">
        <v>43891</v>
      </c>
      <c r="B105" s="16">
        <f t="shared" si="6"/>
        <v>-0.0188700847093207</v>
      </c>
      <c r="C105" s="16">
        <f t="shared" si="6"/>
        <v>-0.0236160299889856</v>
      </c>
      <c r="D105" s="16">
        <f t="shared" si="7"/>
        <v>0.100314824699883</v>
      </c>
      <c r="E105" s="16">
        <f t="shared" si="7"/>
        <v>-0.117739276616481</v>
      </c>
      <c r="F105" s="16">
        <f t="shared" si="7"/>
        <v>0.00495116386019263</v>
      </c>
      <c r="G105" s="16">
        <f t="shared" si="7"/>
        <v>0.0219818455427571</v>
      </c>
      <c r="H105" s="16">
        <f t="shared" ref="H105:M105" si="201">LN(H43/H42)</f>
        <v>-0.0578558504125021</v>
      </c>
      <c r="I105" s="16">
        <f t="shared" si="201"/>
        <v>-0.0250709247051716</v>
      </c>
      <c r="J105" s="16">
        <f t="shared" si="201"/>
        <v>0.0276563219512958</v>
      </c>
      <c r="K105" s="16">
        <f t="shared" si="201"/>
        <v>-0.0494111577003991</v>
      </c>
      <c r="L105" s="16">
        <f t="shared" si="201"/>
        <v>-0.0246862720307628</v>
      </c>
      <c r="M105" s="16">
        <f t="shared" si="201"/>
        <v>-0.0733395257996239</v>
      </c>
      <c r="N105" s="16">
        <f t="shared" ref="N105:AS105" si="202">LN(N43/N42)</f>
        <v>-0.257158824195063</v>
      </c>
      <c r="O105" s="16">
        <f t="shared" si="202"/>
        <v>-0.0160755072545307</v>
      </c>
      <c r="P105" s="16">
        <f t="shared" si="202"/>
        <v>-0.0221284446037354</v>
      </c>
      <c r="Q105" s="16">
        <f t="shared" si="202"/>
        <v>0.00253159514182546</v>
      </c>
      <c r="R105" s="16">
        <f t="shared" si="202"/>
        <v>-0.124300162490433</v>
      </c>
      <c r="S105" s="16">
        <f t="shared" si="202"/>
        <v>0.0938019687741178</v>
      </c>
      <c r="T105" s="16">
        <f t="shared" si="202"/>
        <v>0.0241130572379108</v>
      </c>
      <c r="U105" s="16">
        <f t="shared" si="202"/>
        <v>-0.110040231971168</v>
      </c>
      <c r="V105" s="16">
        <f t="shared" si="202"/>
        <v>-0.135189614331245</v>
      </c>
      <c r="W105" s="16">
        <f t="shared" si="202"/>
        <v>0.00811755520510358</v>
      </c>
      <c r="X105" s="16">
        <f t="shared" si="202"/>
        <v>-0.124022881680089</v>
      </c>
      <c r="Y105" s="16">
        <f t="shared" si="202"/>
        <v>-0.142295652611679</v>
      </c>
      <c r="Z105" s="16">
        <f t="shared" si="202"/>
        <v>-0.0344349273804976</v>
      </c>
      <c r="AA105" s="16">
        <f t="shared" si="202"/>
        <v>-0.0753390147599724</v>
      </c>
      <c r="AB105" s="16">
        <f t="shared" si="202"/>
        <v>-0.074009885142319</v>
      </c>
      <c r="AC105" s="16">
        <f t="shared" si="202"/>
        <v>-0.0251641738865353</v>
      </c>
      <c r="AD105" s="16">
        <f t="shared" si="202"/>
        <v>-0.0241725306152881</v>
      </c>
      <c r="AE105" s="16">
        <f t="shared" si="202"/>
        <v>-0.0810863675351841</v>
      </c>
      <c r="AF105" s="16">
        <f t="shared" si="202"/>
        <v>-0.0231117536786692</v>
      </c>
      <c r="AG105" s="16">
        <f t="shared" si="202"/>
        <v>-0.0685631391828497</v>
      </c>
      <c r="AH105" s="16">
        <f t="shared" si="202"/>
        <v>-0.00875860541802643</v>
      </c>
      <c r="AI105" s="16">
        <f t="shared" si="202"/>
        <v>-0.0522506903438779</v>
      </c>
      <c r="AJ105" s="16">
        <f t="shared" si="202"/>
        <v>0.0559696624991608</v>
      </c>
      <c r="AK105" s="16">
        <f t="shared" si="202"/>
        <v>0.537665150896313</v>
      </c>
      <c r="AL105" s="16">
        <f t="shared" si="202"/>
        <v>-0.117710091255616</v>
      </c>
      <c r="AM105" s="16">
        <f t="shared" si="202"/>
        <v>-0.0236504081927563</v>
      </c>
      <c r="AN105" s="16">
        <f t="shared" si="202"/>
        <v>-0.0206271118307162</v>
      </c>
      <c r="AO105" s="16">
        <f t="shared" si="202"/>
        <v>-0.13959710932456</v>
      </c>
      <c r="AP105" s="16">
        <f t="shared" si="202"/>
        <v>-0.132955672211415</v>
      </c>
      <c r="AQ105" s="16">
        <f t="shared" si="202"/>
        <v>-0.146200139941733</v>
      </c>
      <c r="AR105" s="16">
        <f t="shared" si="202"/>
        <v>0</v>
      </c>
      <c r="AS105" s="16">
        <f t="shared" si="202"/>
        <v>-0.222858138400441</v>
      </c>
      <c r="AT105" s="16">
        <f t="shared" ref="AT105:BY105" si="203">LN(AT43/AT42)</f>
        <v>-0.190479798251033</v>
      </c>
      <c r="AU105" s="16">
        <f t="shared" si="203"/>
        <v>-0.315478609435304</v>
      </c>
      <c r="AV105" s="16">
        <f t="shared" si="203"/>
        <v>-0.287757787181487</v>
      </c>
      <c r="AW105" s="16">
        <f t="shared" si="203"/>
        <v>-0.0644567371465569</v>
      </c>
      <c r="AX105" s="16">
        <f t="shared" si="203"/>
        <v>-0.110202544799412</v>
      </c>
      <c r="AY105" s="16">
        <f t="shared" si="203"/>
        <v>-0.0699436141487197</v>
      </c>
      <c r="AZ105" s="16">
        <f t="shared" si="203"/>
        <v>-0.168474213354059</v>
      </c>
      <c r="BA105" s="16">
        <f t="shared" si="203"/>
        <v>-0.129155687596573</v>
      </c>
      <c r="BB105" s="16">
        <f t="shared" si="203"/>
        <v>-0.164804156496187</v>
      </c>
      <c r="BC105" s="16">
        <f t="shared" si="203"/>
        <v>-0.124347378973972</v>
      </c>
      <c r="BD105" s="16">
        <f t="shared" si="203"/>
        <v>-0.224651262522087</v>
      </c>
      <c r="BE105" s="16">
        <f t="shared" si="203"/>
        <v>-0.180303581317271</v>
      </c>
      <c r="BF105" s="16">
        <f t="shared" si="203"/>
        <v>-0.149400506069355</v>
      </c>
      <c r="BG105" s="16">
        <f t="shared" si="203"/>
        <v>0.0344213015635034</v>
      </c>
      <c r="BH105" s="16">
        <f t="shared" si="203"/>
        <v>-0.137236945002023</v>
      </c>
      <c r="BI105" s="16">
        <f t="shared" si="203"/>
        <v>-0.408063186992293</v>
      </c>
      <c r="BJ105" s="16">
        <f t="shared" si="203"/>
        <v>-0.383735537917123</v>
      </c>
      <c r="BK105" s="16">
        <f t="shared" si="203"/>
        <v>-0.154431554945744</v>
      </c>
      <c r="BL105" s="16">
        <f t="shared" si="203"/>
        <v>-0.171849277295831</v>
      </c>
      <c r="BM105" s="16">
        <f t="shared" si="203"/>
        <v>-0.58238595674252</v>
      </c>
      <c r="BN105" s="16">
        <f t="shared" si="203"/>
        <v>-0.0744232430072254</v>
      </c>
      <c r="BO105" s="16">
        <f t="shared" si="203"/>
        <v>-0.154204504765958</v>
      </c>
      <c r="BP105" s="16">
        <f t="shared" si="203"/>
        <v>-0.0427226892811956</v>
      </c>
      <c r="BQ105" s="16">
        <f t="shared" si="203"/>
        <v>-0.0838171322664396</v>
      </c>
      <c r="BR105" s="16">
        <f t="shared" si="203"/>
        <v>-0.137832464286657</v>
      </c>
      <c r="BS105" s="16">
        <f t="shared" si="203"/>
        <v>-0.231440142603096</v>
      </c>
      <c r="BT105" s="16">
        <f t="shared" si="203"/>
        <v>-0.92080535476803</v>
      </c>
      <c r="BU105" s="16">
        <f t="shared" si="203"/>
        <v>-0.259698366529688</v>
      </c>
      <c r="BV105" s="16">
        <f t="shared" si="203"/>
        <v>-0.0463966412005831</v>
      </c>
      <c r="BW105" s="16">
        <f t="shared" si="203"/>
        <v>-0.615646530554875</v>
      </c>
      <c r="BX105" s="16">
        <f t="shared" si="203"/>
        <v>-0.0422308262097218</v>
      </c>
      <c r="BY105" s="16">
        <f t="shared" si="203"/>
        <v>-0.354164028859927</v>
      </c>
      <c r="BZ105" s="16">
        <f t="shared" ref="BZ105:DE105" si="204">LN(BZ43/BZ42)</f>
        <v>-0.0289412241541837</v>
      </c>
      <c r="CA105" s="16">
        <f t="shared" si="204"/>
        <v>-0.189639480313097</v>
      </c>
      <c r="CB105" s="16">
        <f t="shared" si="204"/>
        <v>-0.0947042680276022</v>
      </c>
      <c r="CC105" s="16">
        <f t="shared" si="204"/>
        <v>-0.11522137327422</v>
      </c>
      <c r="CD105" s="16">
        <f t="shared" si="204"/>
        <v>-0.0567602430877431</v>
      </c>
      <c r="CE105" s="16">
        <f t="shared" si="204"/>
        <v>-0.100420366559093</v>
      </c>
      <c r="CF105" s="16">
        <f t="shared" si="204"/>
        <v>-0.279888901398001</v>
      </c>
      <c r="CG105" s="16">
        <f t="shared" si="204"/>
        <v>-0.139180031166917</v>
      </c>
      <c r="CH105" s="16">
        <f t="shared" si="204"/>
        <v>-0.0528893834006164</v>
      </c>
      <c r="CI105" s="16">
        <f t="shared" si="204"/>
        <v>-0.154450348759093</v>
      </c>
      <c r="CJ105" s="16">
        <f t="shared" si="204"/>
        <v>-0.0180696019930329</v>
      </c>
      <c r="CK105" s="16">
        <f t="shared" si="204"/>
        <v>-0.00121184637341032</v>
      </c>
      <c r="CL105" s="16">
        <f t="shared" si="204"/>
        <v>-0.378889536633514</v>
      </c>
      <c r="CM105" s="16">
        <f t="shared" si="204"/>
        <v>0.114358332276496</v>
      </c>
      <c r="CN105" s="16">
        <f t="shared" si="204"/>
        <v>-0.00796941146901556</v>
      </c>
      <c r="CO105" s="16">
        <f t="shared" si="204"/>
        <v>-0.0346590946010613</v>
      </c>
      <c r="CP105" s="16">
        <f t="shared" si="204"/>
        <v>-0.0767464433760216</v>
      </c>
      <c r="CQ105" s="16">
        <f t="shared" si="204"/>
        <v>0.0831935698163496</v>
      </c>
      <c r="CR105" s="16">
        <f t="shared" si="204"/>
        <v>0.0227878008309258</v>
      </c>
      <c r="CS105" s="16">
        <f t="shared" si="204"/>
        <v>-0.136093854246045</v>
      </c>
      <c r="CT105" s="16">
        <f t="shared" si="204"/>
        <v>-0.641586383310005</v>
      </c>
      <c r="CU105" s="16">
        <f t="shared" si="204"/>
        <v>-0.155096306375265</v>
      </c>
      <c r="CV105" s="16">
        <f t="shared" si="204"/>
        <v>0.0417260464478462</v>
      </c>
      <c r="CW105" s="16">
        <f t="shared" si="204"/>
        <v>-0.152028364967496</v>
      </c>
      <c r="CX105" s="16">
        <f t="shared" si="204"/>
        <v>-0.128350033882525</v>
      </c>
      <c r="CY105" s="16">
        <f t="shared" si="204"/>
        <v>-0.391242407605459</v>
      </c>
      <c r="CZ105" s="16">
        <f t="shared" si="204"/>
        <v>-0.183580819807263</v>
      </c>
      <c r="DA105" s="16">
        <f t="shared" si="204"/>
        <v>-0.0771561821261124</v>
      </c>
      <c r="DB105" s="16">
        <f t="shared" si="204"/>
        <v>-0.42644783343956</v>
      </c>
      <c r="DC105" s="16">
        <f t="shared" si="204"/>
        <v>-0.119371735355556</v>
      </c>
      <c r="DD105" s="16">
        <f t="shared" si="204"/>
        <v>-0.318453498716078</v>
      </c>
      <c r="DE105" s="16">
        <f t="shared" si="204"/>
        <v>0.0158180830970221</v>
      </c>
      <c r="DF105" s="16">
        <f t="shared" ref="DF105:DU105" si="205">LN(DF43/DF42)</f>
        <v>-0.0165761701632148</v>
      </c>
      <c r="DG105" s="16">
        <f t="shared" si="205"/>
        <v>-0.185878169908802</v>
      </c>
      <c r="DH105" s="16">
        <f t="shared" si="205"/>
        <v>-0.19564274724301</v>
      </c>
      <c r="DI105" s="16">
        <f t="shared" si="205"/>
        <v>-0.28936527901289</v>
      </c>
      <c r="DJ105" s="16">
        <f t="shared" si="205"/>
        <v>-0.241593720837065</v>
      </c>
      <c r="DK105" s="16">
        <f t="shared" si="205"/>
        <v>-0.445345425183614</v>
      </c>
      <c r="DL105" s="16">
        <f t="shared" si="205"/>
        <v>-0.559757912877468</v>
      </c>
      <c r="DM105" s="16">
        <f t="shared" si="205"/>
        <v>-0.56595905165636</v>
      </c>
      <c r="DN105" s="16">
        <f t="shared" si="205"/>
        <v>-0.523003361829918</v>
      </c>
      <c r="DO105" s="16">
        <f t="shared" si="205"/>
        <v>-1.03931805945122</v>
      </c>
      <c r="DP105" s="16">
        <f t="shared" si="205"/>
        <v>-0.854507856553484</v>
      </c>
      <c r="DQ105" s="16">
        <f t="shared" si="205"/>
        <v>-0.861374993729232</v>
      </c>
      <c r="DR105" s="16">
        <f t="shared" si="205"/>
        <v>-0.682552956703569</v>
      </c>
      <c r="DS105" s="16">
        <f t="shared" si="205"/>
        <v>-0.426822964358373</v>
      </c>
      <c r="DT105" s="16">
        <f t="shared" si="205"/>
        <v>-0.789265912184775</v>
      </c>
      <c r="DU105" s="16">
        <f t="shared" si="205"/>
        <v>-0.643618966782683</v>
      </c>
      <c r="DV105" s="16">
        <f t="shared" si="13"/>
        <v>-1.78535968341649</v>
      </c>
      <c r="DW105" s="16">
        <f t="shared" si="115"/>
        <v>-0.242781519043671</v>
      </c>
      <c r="DX105" s="16">
        <f t="shared" si="115"/>
        <v>-0.0333876777718947</v>
      </c>
      <c r="DY105" s="16">
        <f t="shared" si="115"/>
        <v>-0.361488143890059</v>
      </c>
      <c r="DZ105" s="16">
        <f t="shared" si="115"/>
        <v>-0.365333006681847</v>
      </c>
    </row>
    <row r="106" ht="14" spans="1:130">
      <c r="A106" s="32">
        <v>43922</v>
      </c>
      <c r="B106" s="16">
        <f t="shared" si="6"/>
        <v>0.134712354205426</v>
      </c>
      <c r="C106" s="16">
        <f t="shared" si="6"/>
        <v>0.161476761374368</v>
      </c>
      <c r="D106" s="16">
        <f t="shared" si="7"/>
        <v>0.108642309996693</v>
      </c>
      <c r="E106" s="16">
        <f t="shared" si="7"/>
        <v>0.0759250592144807</v>
      </c>
      <c r="F106" s="16">
        <f t="shared" si="7"/>
        <v>0.0389438435735939</v>
      </c>
      <c r="G106" s="16">
        <f t="shared" si="7"/>
        <v>0.165508638541316</v>
      </c>
      <c r="H106" s="16">
        <f t="shared" ref="H106:M106" si="206">LN(H44/H43)</f>
        <v>0.0870561512762381</v>
      </c>
      <c r="I106" s="16">
        <f t="shared" si="206"/>
        <v>0.166383935867511</v>
      </c>
      <c r="J106" s="16">
        <f t="shared" si="206"/>
        <v>0.155373883204012</v>
      </c>
      <c r="K106" s="16">
        <f t="shared" si="206"/>
        <v>0.136252258383566</v>
      </c>
      <c r="L106" s="16">
        <f t="shared" si="206"/>
        <v>0.219012774921541</v>
      </c>
      <c r="M106" s="16">
        <f t="shared" si="206"/>
        <v>0.0705473547225486</v>
      </c>
      <c r="N106" s="16">
        <f t="shared" ref="N106:AS106" si="207">LN(N44/N43)</f>
        <v>0.279139289384947</v>
      </c>
      <c r="O106" s="16">
        <f t="shared" si="207"/>
        <v>0.0417374202006404</v>
      </c>
      <c r="P106" s="16">
        <f t="shared" si="207"/>
        <v>0.163706212518385</v>
      </c>
      <c r="Q106" s="16">
        <f t="shared" si="207"/>
        <v>0.0367346310821667</v>
      </c>
      <c r="R106" s="16">
        <f t="shared" si="207"/>
        <v>0.215982238116926</v>
      </c>
      <c r="S106" s="16">
        <f t="shared" si="207"/>
        <v>0.074163558184089</v>
      </c>
      <c r="T106" s="16">
        <f t="shared" si="207"/>
        <v>0.154458280633698</v>
      </c>
      <c r="U106" s="16">
        <f t="shared" si="207"/>
        <v>0.0856163574084515</v>
      </c>
      <c r="V106" s="16">
        <f t="shared" si="207"/>
        <v>0.116738696151771</v>
      </c>
      <c r="W106" s="16">
        <f t="shared" si="207"/>
        <v>0.285996340565531</v>
      </c>
      <c r="X106" s="16">
        <f t="shared" si="207"/>
        <v>0.0941581728518765</v>
      </c>
      <c r="Y106" s="16">
        <f t="shared" si="207"/>
        <v>0.117559638197572</v>
      </c>
      <c r="Z106" s="16">
        <f t="shared" si="207"/>
        <v>0.097760287549067</v>
      </c>
      <c r="AA106" s="16">
        <f t="shared" si="207"/>
        <v>0.0311528139389126</v>
      </c>
      <c r="AB106" s="16">
        <f t="shared" si="207"/>
        <v>0.0530837931187538</v>
      </c>
      <c r="AC106" s="16">
        <f t="shared" si="207"/>
        <v>0.0893693626109745</v>
      </c>
      <c r="AD106" s="16">
        <f t="shared" si="207"/>
        <v>0.127800334844432</v>
      </c>
      <c r="AE106" s="16">
        <f t="shared" si="207"/>
        <v>0.105473631431941</v>
      </c>
      <c r="AF106" s="16">
        <f t="shared" si="207"/>
        <v>0.0916731740390517</v>
      </c>
      <c r="AG106" s="16">
        <f t="shared" si="207"/>
        <v>0.198826673701577</v>
      </c>
      <c r="AH106" s="16">
        <f t="shared" si="207"/>
        <v>0.0629186470345885</v>
      </c>
      <c r="AI106" s="16">
        <f t="shared" si="207"/>
        <v>0.151219279594192</v>
      </c>
      <c r="AJ106" s="16">
        <f t="shared" si="207"/>
        <v>0.065774231264808</v>
      </c>
      <c r="AK106" s="16">
        <f t="shared" si="207"/>
        <v>0.128239688170586</v>
      </c>
      <c r="AL106" s="16">
        <f t="shared" si="207"/>
        <v>0.266977791484313</v>
      </c>
      <c r="AM106" s="16">
        <f t="shared" si="207"/>
        <v>0.103279359620249</v>
      </c>
      <c r="AN106" s="16">
        <f t="shared" si="207"/>
        <v>0.102807450361759</v>
      </c>
      <c r="AO106" s="16">
        <f t="shared" si="207"/>
        <v>0.152777265498764</v>
      </c>
      <c r="AP106" s="16">
        <f t="shared" si="207"/>
        <v>0.149723925437023</v>
      </c>
      <c r="AQ106" s="16">
        <f t="shared" si="207"/>
        <v>0.158837937757212</v>
      </c>
      <c r="AR106" s="16">
        <f t="shared" si="207"/>
        <v>0.141443064537793</v>
      </c>
      <c r="AS106" s="16">
        <f t="shared" si="207"/>
        <v>0.129809499783379</v>
      </c>
      <c r="AT106" s="16">
        <f t="shared" ref="AT106:BY106" si="208">LN(AT44/AT43)</f>
        <v>0.200923905135325</v>
      </c>
      <c r="AU106" s="16">
        <f t="shared" si="208"/>
        <v>0.186949637976564</v>
      </c>
      <c r="AV106" s="16">
        <f t="shared" si="208"/>
        <v>0.257701578595903</v>
      </c>
      <c r="AW106" s="16">
        <f t="shared" si="208"/>
        <v>0.114555897060794</v>
      </c>
      <c r="AX106" s="16">
        <f t="shared" si="208"/>
        <v>0.150339877831025</v>
      </c>
      <c r="AY106" s="16">
        <f t="shared" si="208"/>
        <v>0.144423859003385</v>
      </c>
      <c r="AZ106" s="16">
        <f t="shared" si="208"/>
        <v>0.117613244576182</v>
      </c>
      <c r="BA106" s="16">
        <f t="shared" si="208"/>
        <v>0.204305773496296</v>
      </c>
      <c r="BB106" s="16">
        <f t="shared" si="208"/>
        <v>0.087319774613057</v>
      </c>
      <c r="BC106" s="16">
        <f t="shared" si="208"/>
        <v>0.145337028576238</v>
      </c>
      <c r="BD106" s="16">
        <f t="shared" si="208"/>
        <v>0.148101520468447</v>
      </c>
      <c r="BE106" s="16">
        <f t="shared" si="208"/>
        <v>-0.103358018933918</v>
      </c>
      <c r="BF106" s="16">
        <f t="shared" si="208"/>
        <v>0.12388406065294</v>
      </c>
      <c r="BG106" s="16">
        <f t="shared" si="208"/>
        <v>0.238150501448225</v>
      </c>
      <c r="BH106" s="16">
        <f t="shared" si="208"/>
        <v>0.281424949586134</v>
      </c>
      <c r="BI106" s="16">
        <f t="shared" si="208"/>
        <v>0.523286683122872</v>
      </c>
      <c r="BJ106" s="16">
        <f t="shared" si="208"/>
        <v>0.0822723486472625</v>
      </c>
      <c r="BK106" s="16">
        <f t="shared" si="208"/>
        <v>0.126034495684407</v>
      </c>
      <c r="BL106" s="16">
        <f t="shared" si="208"/>
        <v>0.154585387143599</v>
      </c>
      <c r="BM106" s="16">
        <f t="shared" si="208"/>
        <v>0.303756815555415</v>
      </c>
      <c r="BN106" s="16">
        <f t="shared" si="208"/>
        <v>0.0522718894501555</v>
      </c>
      <c r="BO106" s="16">
        <f t="shared" si="208"/>
        <v>0.169966320004217</v>
      </c>
      <c r="BP106" s="16">
        <f t="shared" si="208"/>
        <v>0.116440940958398</v>
      </c>
      <c r="BQ106" s="16">
        <f t="shared" si="208"/>
        <v>0.0142803679482632</v>
      </c>
      <c r="BR106" s="16">
        <f t="shared" si="208"/>
        <v>0.111371830964202</v>
      </c>
      <c r="BS106" s="16">
        <f t="shared" si="208"/>
        <v>0.095795245794294</v>
      </c>
      <c r="BT106" s="16">
        <f t="shared" si="208"/>
        <v>0.188377593470996</v>
      </c>
      <c r="BU106" s="16">
        <f t="shared" si="208"/>
        <v>0.232063377175224</v>
      </c>
      <c r="BV106" s="16">
        <f t="shared" si="208"/>
        <v>0.112838696990466</v>
      </c>
      <c r="BW106" s="16">
        <f t="shared" si="208"/>
        <v>0.0281468771175513</v>
      </c>
      <c r="BX106" s="16">
        <f t="shared" si="208"/>
        <v>0.182025805766255</v>
      </c>
      <c r="BY106" s="16">
        <f t="shared" si="208"/>
        <v>0.261833454162027</v>
      </c>
      <c r="BZ106" s="16">
        <f t="shared" ref="BZ106:DE106" si="209">LN(BZ44/BZ43)</f>
        <v>0.0691019324326935</v>
      </c>
      <c r="CA106" s="16">
        <f t="shared" si="209"/>
        <v>0.045123788088133</v>
      </c>
      <c r="CB106" s="16">
        <f t="shared" si="209"/>
        <v>0.103401568723516</v>
      </c>
      <c r="CC106" s="16">
        <f t="shared" si="209"/>
        <v>0.0399985835281677</v>
      </c>
      <c r="CD106" s="16">
        <f t="shared" si="209"/>
        <v>0.0253822199032967</v>
      </c>
      <c r="CE106" s="16">
        <f t="shared" si="209"/>
        <v>0.0868206073192492</v>
      </c>
      <c r="CF106" s="16">
        <f t="shared" si="209"/>
        <v>0.0529691525109846</v>
      </c>
      <c r="CG106" s="16">
        <f t="shared" si="209"/>
        <v>0.101713716100683</v>
      </c>
      <c r="CH106" s="16">
        <f t="shared" si="209"/>
        <v>0.0327631170188819</v>
      </c>
      <c r="CI106" s="16">
        <f t="shared" si="209"/>
        <v>0.128350722296565</v>
      </c>
      <c r="CJ106" s="16">
        <f t="shared" si="209"/>
        <v>0.0572505579884002</v>
      </c>
      <c r="CK106" s="16">
        <f t="shared" si="209"/>
        <v>0.220766724806033</v>
      </c>
      <c r="CL106" s="16">
        <f t="shared" si="209"/>
        <v>0.209596092985276</v>
      </c>
      <c r="CM106" s="16">
        <f t="shared" si="209"/>
        <v>0.00449261173767903</v>
      </c>
      <c r="CN106" s="16">
        <f t="shared" si="209"/>
        <v>0.0973432311013186</v>
      </c>
      <c r="CO106" s="16">
        <f t="shared" si="209"/>
        <v>0.104977984650075</v>
      </c>
      <c r="CP106" s="16">
        <f t="shared" si="209"/>
        <v>0.0866605811789218</v>
      </c>
      <c r="CQ106" s="16">
        <f t="shared" si="209"/>
        <v>0.0733733112146813</v>
      </c>
      <c r="CR106" s="16">
        <f t="shared" si="209"/>
        <v>0.0795093779361049</v>
      </c>
      <c r="CS106" s="16">
        <f t="shared" si="209"/>
        <v>0.0441899341296282</v>
      </c>
      <c r="CT106" s="16">
        <f t="shared" si="209"/>
        <v>0.193923483338875</v>
      </c>
      <c r="CU106" s="16">
        <f t="shared" si="209"/>
        <v>0.194026152743483</v>
      </c>
      <c r="CV106" s="16">
        <f t="shared" si="209"/>
        <v>0.0131862459067483</v>
      </c>
      <c r="CW106" s="16">
        <f t="shared" si="209"/>
        <v>0.0494530821968248</v>
      </c>
      <c r="CX106" s="16">
        <f t="shared" si="209"/>
        <v>0.100698502552015</v>
      </c>
      <c r="CY106" s="16">
        <f t="shared" si="209"/>
        <v>-0.0407886883869276</v>
      </c>
      <c r="CZ106" s="16">
        <f t="shared" si="209"/>
        <v>0.20180674398528</v>
      </c>
      <c r="DA106" s="16">
        <f t="shared" si="209"/>
        <v>0.0260055105727194</v>
      </c>
      <c r="DB106" s="16">
        <f t="shared" si="209"/>
        <v>0.175726489809215</v>
      </c>
      <c r="DC106" s="16">
        <f t="shared" si="209"/>
        <v>0.15072040011836</v>
      </c>
      <c r="DD106" s="16">
        <f t="shared" si="209"/>
        <v>0.173953113780221</v>
      </c>
      <c r="DE106" s="16">
        <f t="shared" si="209"/>
        <v>0.10270265584872</v>
      </c>
      <c r="DF106" s="16">
        <f t="shared" ref="DF106:DU106" si="210">LN(DF44/DF43)</f>
        <v>0.0564372878744432</v>
      </c>
      <c r="DG106" s="16">
        <f t="shared" si="210"/>
        <v>0.285303950046813</v>
      </c>
      <c r="DH106" s="16">
        <f t="shared" si="210"/>
        <v>0.13890093175067</v>
      </c>
      <c r="DI106" s="16">
        <f t="shared" si="210"/>
        <v>0.202010630026016</v>
      </c>
      <c r="DJ106" s="16">
        <f t="shared" si="210"/>
        <v>0.2387539505897</v>
      </c>
      <c r="DK106" s="16">
        <f t="shared" si="210"/>
        <v>0.31253335192287</v>
      </c>
      <c r="DL106" s="16">
        <f t="shared" si="210"/>
        <v>0.2495215657374</v>
      </c>
      <c r="DM106" s="16">
        <f t="shared" si="210"/>
        <v>0.279645778113142</v>
      </c>
      <c r="DN106" s="16">
        <f t="shared" si="210"/>
        <v>0.386530396961657</v>
      </c>
      <c r="DO106" s="16">
        <f t="shared" si="210"/>
        <v>0.389975945868793</v>
      </c>
      <c r="DP106" s="16">
        <f t="shared" si="210"/>
        <v>0.601115304323377</v>
      </c>
      <c r="DQ106" s="16">
        <f t="shared" si="210"/>
        <v>0.513987587378139</v>
      </c>
      <c r="DR106" s="16">
        <f t="shared" si="210"/>
        <v>0.220620552080198</v>
      </c>
      <c r="DS106" s="16">
        <f t="shared" si="210"/>
        <v>0.284104639546273</v>
      </c>
      <c r="DT106" s="16">
        <f t="shared" si="210"/>
        <v>0.299964922737307</v>
      </c>
      <c r="DU106" s="16">
        <f t="shared" si="210"/>
        <v>0.256209879265229</v>
      </c>
      <c r="DV106" s="16">
        <f t="shared" si="13"/>
        <v>1.14077333192553</v>
      </c>
      <c r="DW106" s="16">
        <f t="shared" si="115"/>
        <v>0.400209591763779</v>
      </c>
      <c r="DX106" s="16">
        <f t="shared" si="115"/>
        <v>0.0197934132496625</v>
      </c>
      <c r="DY106" s="16">
        <f t="shared" si="115"/>
        <v>0.209480352259533</v>
      </c>
      <c r="DZ106" s="16">
        <f t="shared" si="115"/>
        <v>0.05243136289795</v>
      </c>
    </row>
    <row r="107" ht="14" spans="1:130">
      <c r="A107" s="32">
        <v>43952</v>
      </c>
      <c r="B107" s="16">
        <f t="shared" si="6"/>
        <v>-0.0086350715791913</v>
      </c>
      <c r="C107" s="16">
        <f t="shared" si="6"/>
        <v>-0.00444151808152517</v>
      </c>
      <c r="D107" s="16">
        <f t="shared" si="7"/>
        <v>-0.0109892426397599</v>
      </c>
      <c r="E107" s="16">
        <f t="shared" si="7"/>
        <v>0.134693401700703</v>
      </c>
      <c r="F107" s="16">
        <f t="shared" si="7"/>
        <v>0.0172439340737095</v>
      </c>
      <c r="G107" s="16">
        <f t="shared" si="7"/>
        <v>-0.040609479348998</v>
      </c>
      <c r="H107" s="16">
        <f t="shared" ref="H107:M107" si="211">LN(H45/H44)</f>
        <v>-0.00984458655682629</v>
      </c>
      <c r="I107" s="16">
        <f t="shared" si="211"/>
        <v>0.0424414393645056</v>
      </c>
      <c r="J107" s="16">
        <f t="shared" si="211"/>
        <v>0.129255423576113</v>
      </c>
      <c r="K107" s="16">
        <f t="shared" si="211"/>
        <v>0.106771623323331</v>
      </c>
      <c r="L107" s="16">
        <f t="shared" si="211"/>
        <v>0.120986596728735</v>
      </c>
      <c r="M107" s="16">
        <f t="shared" si="211"/>
        <v>0.139546343435619</v>
      </c>
      <c r="N107" s="16">
        <f t="shared" ref="N107:AS107" si="212">LN(N45/N44)</f>
        <v>0.0474567838532797</v>
      </c>
      <c r="O107" s="16">
        <f t="shared" si="212"/>
        <v>0.0991742394499793</v>
      </c>
      <c r="P107" s="16">
        <f t="shared" si="212"/>
        <v>0.0414579227749444</v>
      </c>
      <c r="Q107" s="16">
        <f t="shared" si="212"/>
        <v>0.0716019200439839</v>
      </c>
      <c r="R107" s="16">
        <f t="shared" si="212"/>
        <v>0.0465604262659832</v>
      </c>
      <c r="S107" s="16">
        <f t="shared" si="212"/>
        <v>0.152981887002691</v>
      </c>
      <c r="T107" s="16">
        <f t="shared" si="212"/>
        <v>0.0344702259750613</v>
      </c>
      <c r="U107" s="16">
        <f t="shared" si="212"/>
        <v>0.00968356726728643</v>
      </c>
      <c r="V107" s="16">
        <f t="shared" si="212"/>
        <v>0.0486803078796233</v>
      </c>
      <c r="W107" s="16">
        <f t="shared" si="212"/>
        <v>0.116963225131361</v>
      </c>
      <c r="X107" s="16">
        <f t="shared" si="212"/>
        <v>0.0766798581687627</v>
      </c>
      <c r="Y107" s="16">
        <f t="shared" si="212"/>
        <v>0.0177307961452378</v>
      </c>
      <c r="Z107" s="16">
        <f t="shared" si="212"/>
        <v>-0.0224251587536393</v>
      </c>
      <c r="AA107" s="16">
        <f t="shared" si="212"/>
        <v>0.126945097374277</v>
      </c>
      <c r="AB107" s="16">
        <f t="shared" si="212"/>
        <v>0.0347985038490413</v>
      </c>
      <c r="AC107" s="16">
        <f t="shared" si="212"/>
        <v>0.0137593241101996</v>
      </c>
      <c r="AD107" s="16">
        <f t="shared" si="212"/>
        <v>0.0222929212312571</v>
      </c>
      <c r="AE107" s="16">
        <f t="shared" si="212"/>
        <v>0.0891111202366269</v>
      </c>
      <c r="AF107" s="16">
        <f t="shared" si="212"/>
        <v>0.0197293564371879</v>
      </c>
      <c r="AG107" s="16">
        <f t="shared" si="212"/>
        <v>0.140989825427014</v>
      </c>
      <c r="AH107" s="16">
        <f t="shared" si="212"/>
        <v>0.256190830647931</v>
      </c>
      <c r="AI107" s="16">
        <f t="shared" si="212"/>
        <v>0.0444413853484218</v>
      </c>
      <c r="AJ107" s="16">
        <f t="shared" si="212"/>
        <v>0.0795466114679471</v>
      </c>
      <c r="AK107" s="16">
        <f t="shared" si="212"/>
        <v>0.0685850725627565</v>
      </c>
      <c r="AL107" s="16">
        <f t="shared" si="212"/>
        <v>0.0398391765124759</v>
      </c>
      <c r="AM107" s="16">
        <f t="shared" si="212"/>
        <v>0.194461986961997</v>
      </c>
      <c r="AN107" s="16">
        <f t="shared" si="212"/>
        <v>0.0480118068752465</v>
      </c>
      <c r="AO107" s="16">
        <f t="shared" si="212"/>
        <v>0.0698467763272273</v>
      </c>
      <c r="AP107" s="16">
        <f t="shared" si="212"/>
        <v>0.0227428142346499</v>
      </c>
      <c r="AQ107" s="16">
        <f t="shared" si="212"/>
        <v>0.0277045193196885</v>
      </c>
      <c r="AR107" s="16">
        <f t="shared" si="212"/>
        <v>0.0265577337476103</v>
      </c>
      <c r="AS107" s="16">
        <f t="shared" si="212"/>
        <v>0.000417493026331341</v>
      </c>
      <c r="AT107" s="16">
        <f t="shared" ref="AT107:BY107" si="213">LN(AT45/AT44)</f>
        <v>0.0301082711893195</v>
      </c>
      <c r="AU107" s="16">
        <f t="shared" si="213"/>
        <v>-0.0354715852681104</v>
      </c>
      <c r="AV107" s="16">
        <f t="shared" si="213"/>
        <v>0.0902925059928026</v>
      </c>
      <c r="AW107" s="16">
        <f t="shared" si="213"/>
        <v>0.0507494880619644</v>
      </c>
      <c r="AX107" s="16">
        <f t="shared" si="213"/>
        <v>0.132013263366416</v>
      </c>
      <c r="AY107" s="16">
        <f t="shared" si="213"/>
        <v>0.0789634195166684</v>
      </c>
      <c r="AZ107" s="16">
        <f t="shared" si="213"/>
        <v>0.0762976077296568</v>
      </c>
      <c r="BA107" s="16">
        <f t="shared" si="213"/>
        <v>0.0985014081911177</v>
      </c>
      <c r="BB107" s="16">
        <f t="shared" si="213"/>
        <v>0.105274215519878</v>
      </c>
      <c r="BC107" s="16">
        <f t="shared" si="213"/>
        <v>0.110997178064595</v>
      </c>
      <c r="BD107" s="16">
        <f t="shared" si="213"/>
        <v>-0.0483373133157537</v>
      </c>
      <c r="BE107" s="16">
        <f t="shared" si="213"/>
        <v>-0.0241440256420731</v>
      </c>
      <c r="BF107" s="16">
        <f t="shared" si="213"/>
        <v>-0.00526982842455115</v>
      </c>
      <c r="BG107" s="16">
        <f t="shared" si="213"/>
        <v>-0.0128673946075294</v>
      </c>
      <c r="BH107" s="16">
        <f t="shared" si="213"/>
        <v>0.13397055800265</v>
      </c>
      <c r="BI107" s="16">
        <f t="shared" si="213"/>
        <v>0.221816943379051</v>
      </c>
      <c r="BJ107" s="16">
        <f t="shared" si="213"/>
        <v>0.149332322234922</v>
      </c>
      <c r="BK107" s="16">
        <f t="shared" si="213"/>
        <v>-0.0066329710581277</v>
      </c>
      <c r="BL107" s="16">
        <f t="shared" si="213"/>
        <v>0.0162879317782038</v>
      </c>
      <c r="BM107" s="16">
        <f t="shared" si="213"/>
        <v>0.0407624057963035</v>
      </c>
      <c r="BN107" s="16">
        <f t="shared" si="213"/>
        <v>0.122893311468664</v>
      </c>
      <c r="BO107" s="16">
        <f t="shared" si="213"/>
        <v>0.122507561717852</v>
      </c>
      <c r="BP107" s="16">
        <f t="shared" si="213"/>
        <v>0.0480755759421005</v>
      </c>
      <c r="BQ107" s="16">
        <f t="shared" si="213"/>
        <v>0.0829119516754086</v>
      </c>
      <c r="BR107" s="16">
        <f t="shared" si="213"/>
        <v>0.129481994422471</v>
      </c>
      <c r="BS107" s="16">
        <f t="shared" si="213"/>
        <v>0.101915371981934</v>
      </c>
      <c r="BT107" s="16">
        <f t="shared" si="213"/>
        <v>-0.0101138662369287</v>
      </c>
      <c r="BU107" s="16">
        <f t="shared" si="213"/>
        <v>0.0374703465218704</v>
      </c>
      <c r="BV107" s="16">
        <f t="shared" si="213"/>
        <v>0.0639721160784501</v>
      </c>
      <c r="BW107" s="16">
        <f t="shared" si="213"/>
        <v>0.308695876980514</v>
      </c>
      <c r="BX107" s="16">
        <f t="shared" si="213"/>
        <v>0.184815971341774</v>
      </c>
      <c r="BY107" s="16">
        <f t="shared" si="213"/>
        <v>0.141726718882114</v>
      </c>
      <c r="BZ107" s="16">
        <f t="shared" ref="BZ107:DE107" si="214">LN(BZ45/BZ44)</f>
        <v>-0.0100349407345036</v>
      </c>
      <c r="CA107" s="16">
        <f t="shared" si="214"/>
        <v>0.0170685379099409</v>
      </c>
      <c r="CB107" s="16">
        <f t="shared" si="214"/>
        <v>-0.00560944069915341</v>
      </c>
      <c r="CC107" s="16">
        <f t="shared" si="214"/>
        <v>-0.0167616643231152</v>
      </c>
      <c r="CD107" s="16">
        <f t="shared" si="214"/>
        <v>0.0411687931807916</v>
      </c>
      <c r="CE107" s="16">
        <f t="shared" si="214"/>
        <v>0.0140379705319416</v>
      </c>
      <c r="CF107" s="16">
        <f t="shared" si="214"/>
        <v>0.00770885291014447</v>
      </c>
      <c r="CG107" s="16">
        <f t="shared" si="214"/>
        <v>0.112832760545907</v>
      </c>
      <c r="CH107" s="16">
        <f t="shared" si="214"/>
        <v>0.0131325372640033</v>
      </c>
      <c r="CI107" s="16">
        <f t="shared" si="214"/>
        <v>0.0525576209168259</v>
      </c>
      <c r="CJ107" s="16">
        <f t="shared" si="214"/>
        <v>0.0349529903401396</v>
      </c>
      <c r="CK107" s="16">
        <f t="shared" si="214"/>
        <v>0.00460524457809083</v>
      </c>
      <c r="CL107" s="16">
        <f t="shared" si="214"/>
        <v>-0.00911775467866109</v>
      </c>
      <c r="CM107" s="16">
        <f t="shared" si="214"/>
        <v>0.0463247950541193</v>
      </c>
      <c r="CN107" s="16">
        <f t="shared" si="214"/>
        <v>-0.00290521034411371</v>
      </c>
      <c r="CO107" s="16">
        <f t="shared" si="214"/>
        <v>0.114640639109439</v>
      </c>
      <c r="CP107" s="16">
        <f t="shared" si="214"/>
        <v>0.0700687881552151</v>
      </c>
      <c r="CQ107" s="16">
        <f t="shared" si="214"/>
        <v>0.106503239428281</v>
      </c>
      <c r="CR107" s="16">
        <f t="shared" si="214"/>
        <v>0.0273269675299793</v>
      </c>
      <c r="CS107" s="16">
        <f t="shared" si="214"/>
        <v>-0.0540272527490152</v>
      </c>
      <c r="CT107" s="16">
        <f t="shared" si="214"/>
        <v>-0.116272549108809</v>
      </c>
      <c r="CU107" s="16">
        <f t="shared" si="214"/>
        <v>-0.0623590796646389</v>
      </c>
      <c r="CV107" s="16">
        <f t="shared" si="214"/>
        <v>0.0519742941451977</v>
      </c>
      <c r="CW107" s="16">
        <f t="shared" si="214"/>
        <v>0.029458315708965</v>
      </c>
      <c r="CX107" s="16">
        <f t="shared" si="214"/>
        <v>-0.0701617786919334</v>
      </c>
      <c r="CY107" s="16">
        <f t="shared" si="214"/>
        <v>-0.0399203750119387</v>
      </c>
      <c r="CZ107" s="16">
        <f t="shared" si="214"/>
        <v>0.123050086703565</v>
      </c>
      <c r="DA107" s="16">
        <f t="shared" si="214"/>
        <v>0.16622000133818</v>
      </c>
      <c r="DB107" s="16">
        <f t="shared" si="214"/>
        <v>0.285010417108976</v>
      </c>
      <c r="DC107" s="16">
        <f t="shared" si="214"/>
        <v>0.0945512785312004</v>
      </c>
      <c r="DD107" s="16">
        <f t="shared" si="214"/>
        <v>-0.13473249895105</v>
      </c>
      <c r="DE107" s="16">
        <f t="shared" si="214"/>
        <v>0.163457622313413</v>
      </c>
      <c r="DF107" s="16">
        <f t="shared" ref="DF107:DU107" si="215">LN(DF45/DF44)</f>
        <v>-0.0282480839735674</v>
      </c>
      <c r="DG107" s="16">
        <f t="shared" si="215"/>
        <v>0.278713402469021</v>
      </c>
      <c r="DH107" s="16">
        <f t="shared" si="215"/>
        <v>0.0241127433754908</v>
      </c>
      <c r="DI107" s="16">
        <f t="shared" si="215"/>
        <v>-0.0217542678210716</v>
      </c>
      <c r="DJ107" s="16">
        <f t="shared" si="215"/>
        <v>-0.0032664283452451</v>
      </c>
      <c r="DK107" s="16">
        <f t="shared" si="215"/>
        <v>0.00189842792480062</v>
      </c>
      <c r="DL107" s="16">
        <f t="shared" si="215"/>
        <v>0.0253178980873324</v>
      </c>
      <c r="DM107" s="16">
        <f t="shared" si="215"/>
        <v>0.0792168647523554</v>
      </c>
      <c r="DN107" s="16">
        <f t="shared" si="215"/>
        <v>-0.0243482821767873</v>
      </c>
      <c r="DO107" s="16">
        <f t="shared" si="215"/>
        <v>-0.24830644989811</v>
      </c>
      <c r="DP107" s="16">
        <f t="shared" si="215"/>
        <v>-0.142853973528592</v>
      </c>
      <c r="DQ107" s="16">
        <f t="shared" si="215"/>
        <v>-0.0222954044722095</v>
      </c>
      <c r="DR107" s="16">
        <f t="shared" si="215"/>
        <v>0.0935784935474659</v>
      </c>
      <c r="DS107" s="16">
        <f t="shared" si="215"/>
        <v>0.168486630514607</v>
      </c>
      <c r="DT107" s="16">
        <f t="shared" si="215"/>
        <v>-0.185694267364141</v>
      </c>
      <c r="DU107" s="16">
        <f t="shared" si="215"/>
        <v>-0.0135406290267662</v>
      </c>
      <c r="DV107" s="16">
        <f t="shared" si="13"/>
        <v>-0.18951202850097</v>
      </c>
      <c r="DW107" s="16">
        <f t="shared" ref="DW107:DZ123" si="216">LN(DW45/DW44)</f>
        <v>0.0657304487660343</v>
      </c>
      <c r="DX107" s="16">
        <f t="shared" si="216"/>
        <v>0.0884109473330916</v>
      </c>
      <c r="DY107" s="16">
        <f t="shared" si="216"/>
        <v>0.0776155294360933</v>
      </c>
      <c r="DZ107" s="16">
        <f t="shared" si="216"/>
        <v>0.114941193105488</v>
      </c>
    </row>
    <row r="108" ht="14" spans="1:130">
      <c r="A108" s="32">
        <v>43983</v>
      </c>
      <c r="B108" s="16">
        <f t="shared" si="6"/>
        <v>-0.049226328439674</v>
      </c>
      <c r="C108" s="16">
        <f t="shared" si="6"/>
        <v>-0.145282154431762</v>
      </c>
      <c r="D108" s="16">
        <f t="shared" si="7"/>
        <v>0.075549053645801</v>
      </c>
      <c r="E108" s="16">
        <f t="shared" si="7"/>
        <v>0.0577578451325855</v>
      </c>
      <c r="F108" s="16">
        <f t="shared" si="7"/>
        <v>-0.0429044720289564</v>
      </c>
      <c r="G108" s="16">
        <f t="shared" si="7"/>
        <v>0.0332101259065855</v>
      </c>
      <c r="H108" s="16">
        <f t="shared" ref="H108:M108" si="217">LN(H46/H45)</f>
        <v>-0.0155253036457046</v>
      </c>
      <c r="I108" s="16">
        <f t="shared" si="217"/>
        <v>0.0369669354355917</v>
      </c>
      <c r="J108" s="16">
        <f t="shared" si="217"/>
        <v>0.0199079386330424</v>
      </c>
      <c r="K108" s="16">
        <f t="shared" si="217"/>
        <v>0.0666245334883455</v>
      </c>
      <c r="L108" s="16">
        <f t="shared" si="217"/>
        <v>0.0691602686812367</v>
      </c>
      <c r="M108" s="16">
        <f t="shared" si="217"/>
        <v>0.00260617112386383</v>
      </c>
      <c r="N108" s="16">
        <f t="shared" ref="N108:AS108" si="218">LN(N46/N45)</f>
        <v>-0.0524485332418864</v>
      </c>
      <c r="O108" s="16">
        <f t="shared" si="218"/>
        <v>0.0131831592826636</v>
      </c>
      <c r="P108" s="16">
        <f t="shared" si="218"/>
        <v>-0.0330138928563851</v>
      </c>
      <c r="Q108" s="16">
        <f t="shared" si="218"/>
        <v>-0.00919266477850949</v>
      </c>
      <c r="R108" s="16">
        <f t="shared" si="218"/>
        <v>-0.111875738464766</v>
      </c>
      <c r="S108" s="16">
        <f t="shared" si="218"/>
        <v>0.0175343767406235</v>
      </c>
      <c r="T108" s="16">
        <f t="shared" si="218"/>
        <v>-0.0374606040889994</v>
      </c>
      <c r="U108" s="16">
        <f t="shared" si="218"/>
        <v>-0.07234594369672</v>
      </c>
      <c r="V108" s="16">
        <f t="shared" si="218"/>
        <v>-0.0827244974781277</v>
      </c>
      <c r="W108" s="16">
        <f t="shared" si="218"/>
        <v>-0.0586806743495226</v>
      </c>
      <c r="X108" s="16">
        <f t="shared" si="218"/>
        <v>-0.0170027777847435</v>
      </c>
      <c r="Y108" s="16">
        <f t="shared" si="218"/>
        <v>-0.0597466523419087</v>
      </c>
      <c r="Z108" s="16">
        <f t="shared" si="218"/>
        <v>-0.0315121186229676</v>
      </c>
      <c r="AA108" s="16">
        <f t="shared" si="218"/>
        <v>-0.0177417556102563</v>
      </c>
      <c r="AB108" s="16">
        <f t="shared" si="218"/>
        <v>0.179545561943798</v>
      </c>
      <c r="AC108" s="16">
        <f t="shared" si="218"/>
        <v>-0.0444113116024351</v>
      </c>
      <c r="AD108" s="16">
        <f t="shared" si="218"/>
        <v>0.107645124918232</v>
      </c>
      <c r="AE108" s="16">
        <f t="shared" si="218"/>
        <v>0.118667854182685</v>
      </c>
      <c r="AF108" s="16">
        <f t="shared" si="218"/>
        <v>0.027514709362013</v>
      </c>
      <c r="AG108" s="16">
        <f t="shared" si="218"/>
        <v>0.0749998885305771</v>
      </c>
      <c r="AH108" s="16">
        <f t="shared" si="218"/>
        <v>-0.0139619586367509</v>
      </c>
      <c r="AI108" s="16">
        <f t="shared" si="218"/>
        <v>-0.0572201910632431</v>
      </c>
      <c r="AJ108" s="16">
        <f t="shared" si="218"/>
        <v>0.0121190829885848</v>
      </c>
      <c r="AK108" s="16">
        <f t="shared" si="218"/>
        <v>-0.138687093068349</v>
      </c>
      <c r="AL108" s="16">
        <f t="shared" si="218"/>
        <v>-0.0382606442194261</v>
      </c>
      <c r="AM108" s="16">
        <f t="shared" si="218"/>
        <v>0.0677601349976825</v>
      </c>
      <c r="AN108" s="16">
        <f t="shared" si="218"/>
        <v>-0.044882892642438</v>
      </c>
      <c r="AO108" s="16">
        <f t="shared" si="218"/>
        <v>0.0802565020330689</v>
      </c>
      <c r="AP108" s="16">
        <f t="shared" si="218"/>
        <v>0.0747985153009849</v>
      </c>
      <c r="AQ108" s="16">
        <f t="shared" si="218"/>
        <v>0.120197924504816</v>
      </c>
      <c r="AR108" s="16">
        <f t="shared" si="218"/>
        <v>-0.0223672514250229</v>
      </c>
      <c r="AS108" s="16">
        <f t="shared" si="218"/>
        <v>0.0726460132630514</v>
      </c>
      <c r="AT108" s="16">
        <f t="shared" ref="AT108:BY108" si="219">LN(AT46/AT45)</f>
        <v>0.0877287525557206</v>
      </c>
      <c r="AU108" s="16">
        <f t="shared" si="219"/>
        <v>0.171159596289683</v>
      </c>
      <c r="AV108" s="16">
        <f t="shared" si="219"/>
        <v>0.0965359092141191</v>
      </c>
      <c r="AW108" s="16">
        <f t="shared" si="219"/>
        <v>0.0720997020498842</v>
      </c>
      <c r="AX108" s="16">
        <f t="shared" si="219"/>
        <v>0.0796025670690149</v>
      </c>
      <c r="AY108" s="16">
        <f t="shared" si="219"/>
        <v>0.140189996983663</v>
      </c>
      <c r="AZ108" s="16">
        <f t="shared" si="219"/>
        <v>0.0692865141259724</v>
      </c>
      <c r="BA108" s="16">
        <f t="shared" si="219"/>
        <v>0.0432102933059641</v>
      </c>
      <c r="BB108" s="16">
        <f t="shared" si="219"/>
        <v>0.0781555833219733</v>
      </c>
      <c r="BC108" s="16">
        <f t="shared" si="219"/>
        <v>-0.0703942837049937</v>
      </c>
      <c r="BD108" s="16">
        <f t="shared" si="219"/>
        <v>0.105049470950801</v>
      </c>
      <c r="BE108" s="16">
        <f t="shared" si="219"/>
        <v>0.140852472976302</v>
      </c>
      <c r="BF108" s="16">
        <f t="shared" si="219"/>
        <v>-0.0203033291442638</v>
      </c>
      <c r="BG108" s="16">
        <f t="shared" si="219"/>
        <v>0.121834172714735</v>
      </c>
      <c r="BH108" s="16">
        <f t="shared" si="219"/>
        <v>0.144893264054143</v>
      </c>
      <c r="BI108" s="16">
        <f t="shared" si="219"/>
        <v>0.271404344187907</v>
      </c>
      <c r="BJ108" s="16">
        <f t="shared" si="219"/>
        <v>-0.0226660738992252</v>
      </c>
      <c r="BK108" s="16">
        <f t="shared" si="219"/>
        <v>-0.00333389439086367</v>
      </c>
      <c r="BL108" s="16">
        <f t="shared" si="219"/>
        <v>-0.0524361581456181</v>
      </c>
      <c r="BM108" s="16">
        <f t="shared" si="219"/>
        <v>-0.014283175019838</v>
      </c>
      <c r="BN108" s="16">
        <f t="shared" si="219"/>
        <v>-0.00289941123116748</v>
      </c>
      <c r="BO108" s="16">
        <f t="shared" si="219"/>
        <v>0.00813643054897382</v>
      </c>
      <c r="BP108" s="16">
        <f t="shared" si="219"/>
        <v>-0.0160036564998802</v>
      </c>
      <c r="BQ108" s="16">
        <f t="shared" si="219"/>
        <v>-0.0230239573639222</v>
      </c>
      <c r="BR108" s="16">
        <f t="shared" si="219"/>
        <v>0.0115665698707375</v>
      </c>
      <c r="BS108" s="16">
        <f t="shared" si="219"/>
        <v>-0.0291378882885702</v>
      </c>
      <c r="BT108" s="16">
        <f t="shared" si="219"/>
        <v>0.0422948610350252</v>
      </c>
      <c r="BU108" s="16">
        <f t="shared" si="219"/>
        <v>-0.0267102289263896</v>
      </c>
      <c r="BV108" s="16">
        <f t="shared" si="219"/>
        <v>-0.0434345165995239</v>
      </c>
      <c r="BW108" s="16">
        <f t="shared" si="219"/>
        <v>-0.0783452861878147</v>
      </c>
      <c r="BX108" s="16">
        <f t="shared" si="219"/>
        <v>0.0802427071482264</v>
      </c>
      <c r="BY108" s="16">
        <f t="shared" si="219"/>
        <v>0.0222178620711764</v>
      </c>
      <c r="BZ108" s="16">
        <f t="shared" ref="BZ108:DE108" si="220">LN(BZ46/BZ45)</f>
        <v>0.0310017096135298</v>
      </c>
      <c r="CA108" s="16">
        <f t="shared" si="220"/>
        <v>-0.0437896609368446</v>
      </c>
      <c r="CB108" s="16">
        <f t="shared" si="220"/>
        <v>0.00538190509833113</v>
      </c>
      <c r="CC108" s="16">
        <f t="shared" si="220"/>
        <v>-0.0460271657889977</v>
      </c>
      <c r="CD108" s="16">
        <f t="shared" si="220"/>
        <v>0.0238707305431734</v>
      </c>
      <c r="CE108" s="16">
        <f t="shared" si="220"/>
        <v>-0.0452446201751707</v>
      </c>
      <c r="CF108" s="16">
        <f t="shared" si="220"/>
        <v>0.050332849882481</v>
      </c>
      <c r="CG108" s="16">
        <f t="shared" si="220"/>
        <v>-0.0455341377832994</v>
      </c>
      <c r="CH108" s="16">
        <f t="shared" si="220"/>
        <v>-0.0191771334470688</v>
      </c>
      <c r="CI108" s="16">
        <f t="shared" si="220"/>
        <v>0.0181799219675438</v>
      </c>
      <c r="CJ108" s="16">
        <f t="shared" si="220"/>
        <v>0.0127755670730268</v>
      </c>
      <c r="CK108" s="16">
        <f t="shared" si="220"/>
        <v>0.0585243434432866</v>
      </c>
      <c r="CL108" s="16">
        <f t="shared" si="220"/>
        <v>-0.00910596581348957</v>
      </c>
      <c r="CM108" s="16">
        <f t="shared" si="220"/>
        <v>-0.0115345967228906</v>
      </c>
      <c r="CN108" s="16">
        <f t="shared" si="220"/>
        <v>0.0201695045654604</v>
      </c>
      <c r="CO108" s="16">
        <f t="shared" si="220"/>
        <v>0.0239740005167599</v>
      </c>
      <c r="CP108" s="16">
        <f t="shared" si="220"/>
        <v>0.0325458793551295</v>
      </c>
      <c r="CQ108" s="16">
        <f t="shared" si="220"/>
        <v>0.0616709062920245</v>
      </c>
      <c r="CR108" s="16">
        <f t="shared" si="220"/>
        <v>-0.026837919977466</v>
      </c>
      <c r="CS108" s="16">
        <f t="shared" si="220"/>
        <v>0.204750972526801</v>
      </c>
      <c r="CT108" s="16">
        <f t="shared" si="220"/>
        <v>0.0298529631496811</v>
      </c>
      <c r="CU108" s="16">
        <f t="shared" si="220"/>
        <v>-0.201961642873968</v>
      </c>
      <c r="CV108" s="16">
        <f t="shared" si="220"/>
        <v>0.119317774071009</v>
      </c>
      <c r="CW108" s="16">
        <f t="shared" si="220"/>
        <v>0.0713798109688165</v>
      </c>
      <c r="CX108" s="16">
        <f t="shared" si="220"/>
        <v>-0.0151518050206022</v>
      </c>
      <c r="CY108" s="16">
        <f t="shared" si="220"/>
        <v>0.0180339795102145</v>
      </c>
      <c r="CZ108" s="16">
        <f t="shared" si="220"/>
        <v>0.105780683731235</v>
      </c>
      <c r="DA108" s="16">
        <f t="shared" si="220"/>
        <v>0.0434851119397389</v>
      </c>
      <c r="DB108" s="16">
        <f t="shared" si="220"/>
        <v>0.30833411700445</v>
      </c>
      <c r="DC108" s="16">
        <f t="shared" si="220"/>
        <v>0.17310037656239</v>
      </c>
      <c r="DD108" s="16">
        <f t="shared" si="220"/>
        <v>0.18791454017084</v>
      </c>
      <c r="DE108" s="16">
        <f t="shared" si="220"/>
        <v>-0.0088057082295392</v>
      </c>
      <c r="DF108" s="16">
        <f t="shared" ref="DF108:DU108" si="221">LN(DF46/DF45)</f>
        <v>0.0230381107424324</v>
      </c>
      <c r="DG108" s="16">
        <f t="shared" si="221"/>
        <v>-0.00814115758369988</v>
      </c>
      <c r="DH108" s="16">
        <f t="shared" si="221"/>
        <v>0.094148723037168</v>
      </c>
      <c r="DI108" s="16">
        <f t="shared" si="221"/>
        <v>0.00257159394075439</v>
      </c>
      <c r="DJ108" s="16">
        <f t="shared" si="221"/>
        <v>-0.0127307430062467</v>
      </c>
      <c r="DK108" s="16">
        <f t="shared" si="221"/>
        <v>0.00614973193452201</v>
      </c>
      <c r="DL108" s="16">
        <f t="shared" si="221"/>
        <v>0.0644702292406332</v>
      </c>
      <c r="DM108" s="16">
        <f t="shared" si="221"/>
        <v>-0.00610072368751121</v>
      </c>
      <c r="DN108" s="16">
        <f t="shared" si="221"/>
        <v>0.0874854374428433</v>
      </c>
      <c r="DO108" s="16">
        <f t="shared" si="221"/>
        <v>0.345805256886272</v>
      </c>
      <c r="DP108" s="16">
        <f t="shared" si="221"/>
        <v>0.0478646251985668</v>
      </c>
      <c r="DQ108" s="16">
        <f t="shared" si="221"/>
        <v>-0.00879242141456465</v>
      </c>
      <c r="DR108" s="16">
        <f t="shared" si="221"/>
        <v>-0.00434027412978279</v>
      </c>
      <c r="DS108" s="16">
        <f t="shared" si="221"/>
        <v>-0.0585065907823426</v>
      </c>
      <c r="DT108" s="16">
        <f t="shared" si="221"/>
        <v>-0.078692143246124</v>
      </c>
      <c r="DU108" s="16">
        <f t="shared" si="221"/>
        <v>-0.0177998227012091</v>
      </c>
      <c r="DV108" s="16">
        <f t="shared" si="13"/>
        <v>0.224069919956205</v>
      </c>
      <c r="DW108" s="16">
        <f t="shared" si="216"/>
        <v>0.257108653864703</v>
      </c>
      <c r="DX108" s="16">
        <f t="shared" si="216"/>
        <v>0.0135406031083547</v>
      </c>
      <c r="DY108" s="16">
        <f t="shared" si="216"/>
        <v>0.064353807255428</v>
      </c>
      <c r="DZ108" s="16">
        <f t="shared" si="216"/>
        <v>0.0627856723101568</v>
      </c>
    </row>
    <row r="109" ht="14" spans="1:130">
      <c r="A109" s="32">
        <v>44013</v>
      </c>
      <c r="B109" s="16">
        <f t="shared" si="6"/>
        <v>0.0358295253878542</v>
      </c>
      <c r="C109" s="16">
        <f t="shared" si="6"/>
        <v>0.162763569900169</v>
      </c>
      <c r="D109" s="16">
        <f t="shared" si="7"/>
        <v>-0.0883963887606745</v>
      </c>
      <c r="E109" s="16">
        <f t="shared" si="7"/>
        <v>-0.0338734308772136</v>
      </c>
      <c r="F109" s="16">
        <f t="shared" si="7"/>
        <v>0.0448576707000346</v>
      </c>
      <c r="G109" s="16">
        <f t="shared" si="7"/>
        <v>0.036672050353857</v>
      </c>
      <c r="H109" s="16">
        <f t="shared" ref="H109:M109" si="222">LN(H47/H46)</f>
        <v>-0.00238382791541631</v>
      </c>
      <c r="I109" s="16">
        <f t="shared" si="222"/>
        <v>0.13381629363598</v>
      </c>
      <c r="J109" s="16">
        <f t="shared" si="222"/>
        <v>0.0313908646224081</v>
      </c>
      <c r="K109" s="16">
        <f t="shared" si="222"/>
        <v>0.18624628177357</v>
      </c>
      <c r="L109" s="16">
        <f t="shared" si="222"/>
        <v>0.0717124065069047</v>
      </c>
      <c r="M109" s="16">
        <f t="shared" si="222"/>
        <v>0.0883448738451764</v>
      </c>
      <c r="N109" s="16">
        <f t="shared" ref="N109:AS109" si="223">LN(N47/N46)</f>
        <v>0.110078716168908</v>
      </c>
      <c r="O109" s="16">
        <f t="shared" si="223"/>
        <v>0.149021255351692</v>
      </c>
      <c r="P109" s="16">
        <f t="shared" si="223"/>
        <v>0.0304980271024614</v>
      </c>
      <c r="Q109" s="16">
        <f t="shared" si="223"/>
        <v>-0.0317437134421377</v>
      </c>
      <c r="R109" s="16">
        <f t="shared" si="223"/>
        <v>0.0434852191286488</v>
      </c>
      <c r="S109" s="16">
        <f t="shared" si="223"/>
        <v>0.0134108339354305</v>
      </c>
      <c r="T109" s="16">
        <f t="shared" si="223"/>
        <v>0.0959760743059182</v>
      </c>
      <c r="U109" s="16">
        <f t="shared" si="223"/>
        <v>0.0573566079955213</v>
      </c>
      <c r="V109" s="16">
        <f t="shared" si="223"/>
        <v>0.0735461757670414</v>
      </c>
      <c r="W109" s="16">
        <f t="shared" si="223"/>
        <v>0.175247939164809</v>
      </c>
      <c r="X109" s="16">
        <f t="shared" si="223"/>
        <v>0.101500418186761</v>
      </c>
      <c r="Y109" s="16">
        <f t="shared" si="223"/>
        <v>0.00186423191642714</v>
      </c>
      <c r="Z109" s="16">
        <f t="shared" si="223"/>
        <v>0.165240809257063</v>
      </c>
      <c r="AA109" s="16">
        <f t="shared" si="223"/>
        <v>0.184722897088837</v>
      </c>
      <c r="AB109" s="16">
        <f t="shared" si="223"/>
        <v>0.0532938774277087</v>
      </c>
      <c r="AC109" s="16">
        <f t="shared" si="223"/>
        <v>0.00595802034967725</v>
      </c>
      <c r="AD109" s="16">
        <f t="shared" si="223"/>
        <v>0.0073432346916969</v>
      </c>
      <c r="AE109" s="16">
        <f t="shared" si="223"/>
        <v>0.0204866026015736</v>
      </c>
      <c r="AF109" s="16">
        <f t="shared" si="223"/>
        <v>0.00325141206333808</v>
      </c>
      <c r="AG109" s="16">
        <f t="shared" si="223"/>
        <v>0.0214101831532727</v>
      </c>
      <c r="AH109" s="16">
        <f t="shared" si="223"/>
        <v>0.00747544940714431</v>
      </c>
      <c r="AI109" s="16">
        <f t="shared" si="223"/>
        <v>0.0231785005554132</v>
      </c>
      <c r="AJ109" s="16">
        <f t="shared" si="223"/>
        <v>0.0487501436255475</v>
      </c>
      <c r="AK109" s="16">
        <f t="shared" si="223"/>
        <v>0.0842346350624124</v>
      </c>
      <c r="AL109" s="16">
        <f t="shared" si="223"/>
        <v>-0.0260019006503523</v>
      </c>
      <c r="AM109" s="16">
        <f t="shared" si="223"/>
        <v>0.11164577092657</v>
      </c>
      <c r="AN109" s="16">
        <f t="shared" si="223"/>
        <v>-0.225947140533617</v>
      </c>
      <c r="AO109" s="16">
        <f t="shared" si="223"/>
        <v>0.0138551631549393</v>
      </c>
      <c r="AP109" s="16">
        <f t="shared" si="223"/>
        <v>0.00455742305068837</v>
      </c>
      <c r="AQ109" s="16">
        <f t="shared" si="223"/>
        <v>0.154298553364514</v>
      </c>
      <c r="AR109" s="16">
        <f t="shared" si="223"/>
        <v>0.386468086655916</v>
      </c>
      <c r="AS109" s="16">
        <f t="shared" si="223"/>
        <v>-0.0287479522674767</v>
      </c>
      <c r="AT109" s="16">
        <f t="shared" ref="AT109:BY109" si="224">LN(AT47/AT46)</f>
        <v>-0.0656261822322628</v>
      </c>
      <c r="AU109" s="16">
        <f t="shared" si="224"/>
        <v>0.0338114199002877</v>
      </c>
      <c r="AV109" s="16">
        <f t="shared" si="224"/>
        <v>-0.0345863850569491</v>
      </c>
      <c r="AW109" s="16">
        <f t="shared" si="224"/>
        <v>0.0871553663127787</v>
      </c>
      <c r="AX109" s="16">
        <f t="shared" si="224"/>
        <v>0.129790297084096</v>
      </c>
      <c r="AY109" s="16">
        <f t="shared" si="224"/>
        <v>0.152833976000692</v>
      </c>
      <c r="AZ109" s="16">
        <f t="shared" si="224"/>
        <v>0.0393582643117506</v>
      </c>
      <c r="BA109" s="16">
        <f t="shared" si="224"/>
        <v>0.0809196859134867</v>
      </c>
      <c r="BB109" s="16">
        <f t="shared" si="224"/>
        <v>0.01781225583347</v>
      </c>
      <c r="BC109" s="16">
        <f t="shared" si="224"/>
        <v>-0.00887034270839365</v>
      </c>
      <c r="BD109" s="16">
        <f t="shared" si="224"/>
        <v>0.0367105449004818</v>
      </c>
      <c r="BE109" s="16">
        <f t="shared" si="224"/>
        <v>0.0183023119424544</v>
      </c>
      <c r="BF109" s="16">
        <f t="shared" si="224"/>
        <v>0.0178083137673608</v>
      </c>
      <c r="BG109" s="16">
        <f t="shared" si="224"/>
        <v>0.137248892561915</v>
      </c>
      <c r="BH109" s="16">
        <f t="shared" si="224"/>
        <v>0.0525508931571001</v>
      </c>
      <c r="BI109" s="16">
        <f t="shared" si="224"/>
        <v>0.108293234470657</v>
      </c>
      <c r="BJ109" s="16">
        <f t="shared" si="224"/>
        <v>-0.0163382793539739</v>
      </c>
      <c r="BK109" s="16">
        <f t="shared" si="224"/>
        <v>0.051813857651869</v>
      </c>
      <c r="BL109" s="16">
        <f t="shared" si="224"/>
        <v>0.0391735841241098</v>
      </c>
      <c r="BM109" s="16">
        <f t="shared" si="224"/>
        <v>0.00171439331976262</v>
      </c>
      <c r="BN109" s="16">
        <f t="shared" si="224"/>
        <v>-0.0044975280088638</v>
      </c>
      <c r="BO109" s="16">
        <f t="shared" si="224"/>
        <v>0.064031903325288</v>
      </c>
      <c r="BP109" s="16">
        <f t="shared" si="224"/>
        <v>-0.0294875344474958</v>
      </c>
      <c r="BQ109" s="16">
        <f t="shared" si="224"/>
        <v>0.0578695670010933</v>
      </c>
      <c r="BR109" s="16">
        <f t="shared" si="224"/>
        <v>0.00877627595322392</v>
      </c>
      <c r="BS109" s="16">
        <f t="shared" si="224"/>
        <v>0.0428952799285233</v>
      </c>
      <c r="BT109" s="16">
        <f t="shared" si="224"/>
        <v>-0.168051148945624</v>
      </c>
      <c r="BU109" s="16">
        <f t="shared" si="224"/>
        <v>0.0465358574155076</v>
      </c>
      <c r="BV109" s="16">
        <f t="shared" si="224"/>
        <v>0.0474677444197928</v>
      </c>
      <c r="BW109" s="16">
        <f t="shared" si="224"/>
        <v>0.488944702299163</v>
      </c>
      <c r="BX109" s="16">
        <f t="shared" si="224"/>
        <v>0.0798146298745713</v>
      </c>
      <c r="BY109" s="16">
        <f t="shared" si="224"/>
        <v>0.0542599846541199</v>
      </c>
      <c r="BZ109" s="16">
        <f t="shared" ref="BZ109:DE109" si="225">LN(BZ47/BZ46)</f>
        <v>0.0922111840161364</v>
      </c>
      <c r="CA109" s="16">
        <f t="shared" si="225"/>
        <v>0.0647588518313332</v>
      </c>
      <c r="CB109" s="16">
        <f t="shared" si="225"/>
        <v>0.0477499442501401</v>
      </c>
      <c r="CC109" s="16">
        <f t="shared" si="225"/>
        <v>0.107791048799112</v>
      </c>
      <c r="CD109" s="16">
        <f t="shared" si="225"/>
        <v>0.0971637695877027</v>
      </c>
      <c r="CE109" s="16">
        <f t="shared" si="225"/>
        <v>0.0913177228400582</v>
      </c>
      <c r="CF109" s="16">
        <f t="shared" si="225"/>
        <v>0.108550238946058</v>
      </c>
      <c r="CG109" s="16">
        <f t="shared" si="225"/>
        <v>0.0458883510463858</v>
      </c>
      <c r="CH109" s="16">
        <f t="shared" si="225"/>
        <v>0.0875384095722953</v>
      </c>
      <c r="CI109" s="16">
        <f t="shared" si="225"/>
        <v>0.0603862852889736</v>
      </c>
      <c r="CJ109" s="16">
        <f t="shared" si="225"/>
        <v>0.0523848724852217</v>
      </c>
      <c r="CK109" s="16">
        <f t="shared" si="225"/>
        <v>0.0751825740786305</v>
      </c>
      <c r="CL109" s="16">
        <f t="shared" si="225"/>
        <v>-0.0336745141112835</v>
      </c>
      <c r="CM109" s="16">
        <f t="shared" si="225"/>
        <v>0.0522663696573408</v>
      </c>
      <c r="CN109" s="16">
        <f t="shared" si="225"/>
        <v>0.0433978987407106</v>
      </c>
      <c r="CO109" s="16">
        <f t="shared" si="225"/>
        <v>0.0828127090806107</v>
      </c>
      <c r="CP109" s="16">
        <f t="shared" si="225"/>
        <v>0.220085885243917</v>
      </c>
      <c r="CQ109" s="16">
        <f t="shared" si="225"/>
        <v>0.0752307883161308</v>
      </c>
      <c r="CR109" s="16">
        <f t="shared" si="225"/>
        <v>-0.00120955702846082</v>
      </c>
      <c r="CS109" s="16">
        <f t="shared" si="225"/>
        <v>0.032221215475119</v>
      </c>
      <c r="CT109" s="16">
        <f t="shared" si="225"/>
        <v>0.0289875368732524</v>
      </c>
      <c r="CU109" s="16">
        <f t="shared" si="225"/>
        <v>-0.0956062567865026</v>
      </c>
      <c r="CV109" s="16">
        <f t="shared" si="225"/>
        <v>0.25001470410917</v>
      </c>
      <c r="CW109" s="16">
        <f t="shared" si="225"/>
        <v>0.187916551399368</v>
      </c>
      <c r="CX109" s="16">
        <f t="shared" si="225"/>
        <v>0.0782795570551557</v>
      </c>
      <c r="CY109" s="16">
        <f t="shared" si="225"/>
        <v>0.0473707175152058</v>
      </c>
      <c r="CZ109" s="16">
        <f t="shared" si="225"/>
        <v>0.0628239140423688</v>
      </c>
      <c r="DA109" s="16">
        <f t="shared" si="225"/>
        <v>0.14805309995914</v>
      </c>
      <c r="DB109" s="16">
        <f t="shared" si="225"/>
        <v>-0.102351420694165</v>
      </c>
      <c r="DC109" s="16">
        <f t="shared" si="225"/>
        <v>0.136591528295692</v>
      </c>
      <c r="DD109" s="16">
        <f t="shared" si="225"/>
        <v>-0.207332577829847</v>
      </c>
      <c r="DE109" s="16">
        <f t="shared" si="225"/>
        <v>0.0760110782949621</v>
      </c>
      <c r="DF109" s="16">
        <f t="shared" ref="DF109:DU109" si="226">LN(DF47/DF46)</f>
        <v>0.100123256384027</v>
      </c>
      <c r="DG109" s="16">
        <f t="shared" si="226"/>
        <v>0.325119599523912</v>
      </c>
      <c r="DH109" s="16">
        <f t="shared" si="226"/>
        <v>0.051512941465179</v>
      </c>
      <c r="DI109" s="16">
        <f t="shared" si="226"/>
        <v>-0.0608479962876308</v>
      </c>
      <c r="DJ109" s="16">
        <f t="shared" si="226"/>
        <v>-0.0611151792339252</v>
      </c>
      <c r="DK109" s="16">
        <f t="shared" si="226"/>
        <v>-0.116742438245414</v>
      </c>
      <c r="DL109" s="16">
        <f t="shared" si="226"/>
        <v>-0.00215434171200034</v>
      </c>
      <c r="DM109" s="16">
        <f t="shared" si="226"/>
        <v>-0.0781854658909093</v>
      </c>
      <c r="DN109" s="16">
        <f t="shared" si="226"/>
        <v>-0.0463259537717709</v>
      </c>
      <c r="DO109" s="16">
        <f t="shared" si="226"/>
        <v>-0.150121585685743</v>
      </c>
      <c r="DP109" s="16">
        <f t="shared" si="226"/>
        <v>-0.0688566514707923</v>
      </c>
      <c r="DQ109" s="16">
        <f t="shared" si="226"/>
        <v>-0.0480011970236744</v>
      </c>
      <c r="DR109" s="16">
        <f t="shared" si="226"/>
        <v>-0.0068821541801252</v>
      </c>
      <c r="DS109" s="16">
        <f t="shared" si="226"/>
        <v>0.00647632485681746</v>
      </c>
      <c r="DT109" s="16">
        <f t="shared" si="226"/>
        <v>0.160396676422963</v>
      </c>
      <c r="DU109" s="16">
        <f t="shared" si="226"/>
        <v>-0.0623097142569448</v>
      </c>
      <c r="DV109" s="16">
        <f t="shared" si="13"/>
        <v>0.128425674916463</v>
      </c>
      <c r="DW109" s="16">
        <f t="shared" si="216"/>
        <v>0.281420671890482</v>
      </c>
      <c r="DX109" s="16">
        <f t="shared" si="216"/>
        <v>0.0606348881991665</v>
      </c>
      <c r="DY109" s="16">
        <f t="shared" si="216"/>
        <v>0.0361672380394276</v>
      </c>
      <c r="DZ109" s="16">
        <f t="shared" si="216"/>
        <v>0.0835789578855193</v>
      </c>
    </row>
    <row r="110" ht="14" spans="1:130">
      <c r="A110" s="32">
        <v>44044</v>
      </c>
      <c r="B110" s="16">
        <f t="shared" si="6"/>
        <v>0.0511521181184022</v>
      </c>
      <c r="C110" s="16">
        <f t="shared" si="6"/>
        <v>-0.00836807793597343</v>
      </c>
      <c r="D110" s="16">
        <f t="shared" si="7"/>
        <v>-0.0127231583817089</v>
      </c>
      <c r="E110" s="16">
        <f t="shared" si="7"/>
        <v>0.0211516714113939</v>
      </c>
      <c r="F110" s="16">
        <f t="shared" si="7"/>
        <v>0.0608005305347155</v>
      </c>
      <c r="G110" s="16">
        <f t="shared" si="7"/>
        <v>0.0347432831170829</v>
      </c>
      <c r="H110" s="16">
        <f t="shared" ref="H110:M110" si="227">LN(H48/H47)</f>
        <v>0.0661977994217916</v>
      </c>
      <c r="I110" s="16">
        <f t="shared" si="227"/>
        <v>0.0356651246367859</v>
      </c>
      <c r="J110" s="16">
        <f t="shared" si="227"/>
        <v>-0.0674875306053689</v>
      </c>
      <c r="K110" s="16">
        <f t="shared" si="227"/>
        <v>-0.0169626663197675</v>
      </c>
      <c r="L110" s="16">
        <f t="shared" si="227"/>
        <v>-0.0235332307477004</v>
      </c>
      <c r="M110" s="16">
        <f t="shared" si="227"/>
        <v>0.0415813956877921</v>
      </c>
      <c r="N110" s="16">
        <f t="shared" ref="N110:AS110" si="228">LN(N48/N47)</f>
        <v>0.0332805284410325</v>
      </c>
      <c r="O110" s="16">
        <f t="shared" si="228"/>
        <v>0.0375533427858252</v>
      </c>
      <c r="P110" s="16">
        <f t="shared" si="228"/>
        <v>0.0317580441431148</v>
      </c>
      <c r="Q110" s="16">
        <f t="shared" si="228"/>
        <v>-0.00533434953371814</v>
      </c>
      <c r="R110" s="16">
        <f t="shared" si="228"/>
        <v>0.0278057702648004</v>
      </c>
      <c r="S110" s="16">
        <f t="shared" si="228"/>
        <v>-0.0193935790678668</v>
      </c>
      <c r="T110" s="16">
        <f t="shared" si="228"/>
        <v>0.0879755452390652</v>
      </c>
      <c r="U110" s="16">
        <f t="shared" si="228"/>
        <v>0.107876496738045</v>
      </c>
      <c r="V110" s="16">
        <f t="shared" si="228"/>
        <v>0.0248320341165014</v>
      </c>
      <c r="W110" s="16">
        <f t="shared" si="228"/>
        <v>0.0574000964609645</v>
      </c>
      <c r="X110" s="16">
        <f t="shared" si="228"/>
        <v>0.0554255450185495</v>
      </c>
      <c r="Y110" s="16">
        <f t="shared" si="228"/>
        <v>0.016621040431352</v>
      </c>
      <c r="Z110" s="16">
        <f t="shared" si="228"/>
        <v>-0.147449487737323</v>
      </c>
      <c r="AA110" s="16">
        <f t="shared" si="228"/>
        <v>0.0641335897241354</v>
      </c>
      <c r="AB110" s="16">
        <f t="shared" si="228"/>
        <v>-0.113508480827321</v>
      </c>
      <c r="AC110" s="16">
        <f t="shared" si="228"/>
        <v>0.00795636784885038</v>
      </c>
      <c r="AD110" s="16">
        <f t="shared" si="228"/>
        <v>0.095394959380841</v>
      </c>
      <c r="AE110" s="16">
        <f t="shared" si="228"/>
        <v>0.144490766698981</v>
      </c>
      <c r="AF110" s="16">
        <f t="shared" si="228"/>
        <v>0.0356404540911629</v>
      </c>
      <c r="AG110" s="16">
        <f t="shared" si="228"/>
        <v>0.105109505339984</v>
      </c>
      <c r="AH110" s="16">
        <f t="shared" si="228"/>
        <v>-0.0465475613780445</v>
      </c>
      <c r="AI110" s="16">
        <f t="shared" si="228"/>
        <v>0.014631662268064</v>
      </c>
      <c r="AJ110" s="16">
        <f t="shared" si="228"/>
        <v>0.0348704880105936</v>
      </c>
      <c r="AK110" s="16">
        <f t="shared" si="228"/>
        <v>0.0921265100520484</v>
      </c>
      <c r="AL110" s="16">
        <f t="shared" si="228"/>
        <v>-0.02662051837214</v>
      </c>
      <c r="AM110" s="16">
        <f t="shared" si="228"/>
        <v>0.231105372024381</v>
      </c>
      <c r="AN110" s="16">
        <f t="shared" si="228"/>
        <v>0.0652847086970187</v>
      </c>
      <c r="AO110" s="16">
        <f t="shared" si="228"/>
        <v>0.0916442054557336</v>
      </c>
      <c r="AP110" s="16">
        <f t="shared" si="228"/>
        <v>0.115235048998906</v>
      </c>
      <c r="AQ110" s="16">
        <f t="shared" si="228"/>
        <v>0.120210728203807</v>
      </c>
      <c r="AR110" s="16">
        <f t="shared" si="228"/>
        <v>0.159505223271173</v>
      </c>
      <c r="AS110" s="16">
        <f t="shared" si="228"/>
        <v>-0.0952902360622798</v>
      </c>
      <c r="AT110" s="16">
        <f t="shared" ref="AT110:BY110" si="229">LN(AT48/AT47)</f>
        <v>0.0175211842138736</v>
      </c>
      <c r="AU110" s="16">
        <f t="shared" si="229"/>
        <v>0.0676813038088913</v>
      </c>
      <c r="AV110" s="16">
        <f t="shared" si="229"/>
        <v>0.0754270359038464</v>
      </c>
      <c r="AW110" s="16">
        <f t="shared" si="229"/>
        <v>-0.0301662792542339</v>
      </c>
      <c r="AX110" s="16">
        <f t="shared" si="229"/>
        <v>-0.00502716463470575</v>
      </c>
      <c r="AY110" s="16">
        <f t="shared" si="229"/>
        <v>0.194233649562456</v>
      </c>
      <c r="AZ110" s="16">
        <f t="shared" si="229"/>
        <v>0.335958889587352</v>
      </c>
      <c r="BA110" s="16">
        <f t="shared" si="229"/>
        <v>0.0930307167703702</v>
      </c>
      <c r="BB110" s="16">
        <f t="shared" si="229"/>
        <v>0.0496643698947458</v>
      </c>
      <c r="BC110" s="16">
        <f t="shared" si="229"/>
        <v>-0.0138100072917212</v>
      </c>
      <c r="BD110" s="16">
        <f t="shared" si="229"/>
        <v>0.0269870058155848</v>
      </c>
      <c r="BE110" s="16">
        <f t="shared" si="229"/>
        <v>0.106213242340653</v>
      </c>
      <c r="BF110" s="16">
        <f t="shared" si="229"/>
        <v>0.00300484868973927</v>
      </c>
      <c r="BG110" s="16">
        <f t="shared" si="229"/>
        <v>0.0866005085660408</v>
      </c>
      <c r="BH110" s="16">
        <f t="shared" si="229"/>
        <v>-0.00908606179831449</v>
      </c>
      <c r="BI110" s="16">
        <f t="shared" si="229"/>
        <v>0.0110888233013486</v>
      </c>
      <c r="BJ110" s="16">
        <f t="shared" si="229"/>
        <v>0.174321245205973</v>
      </c>
      <c r="BK110" s="16">
        <f t="shared" si="229"/>
        <v>0.0944300408719441</v>
      </c>
      <c r="BL110" s="16">
        <f t="shared" si="229"/>
        <v>0.0987137481632184</v>
      </c>
      <c r="BM110" s="16">
        <f t="shared" si="229"/>
        <v>0.132690967610066</v>
      </c>
      <c r="BN110" s="16">
        <f t="shared" si="229"/>
        <v>0.136536057237356</v>
      </c>
      <c r="BO110" s="16">
        <f t="shared" si="229"/>
        <v>0.0710525694069935</v>
      </c>
      <c r="BP110" s="16">
        <f t="shared" si="229"/>
        <v>0.0518964370939319</v>
      </c>
      <c r="BQ110" s="16">
        <f t="shared" si="229"/>
        <v>0.0875886247433193</v>
      </c>
      <c r="BR110" s="16">
        <f t="shared" si="229"/>
        <v>0.07119097961161</v>
      </c>
      <c r="BS110" s="16">
        <f t="shared" si="229"/>
        <v>0.139238904015418</v>
      </c>
      <c r="BT110" s="16">
        <f t="shared" si="229"/>
        <v>0.171698569402667</v>
      </c>
      <c r="BU110" s="16">
        <f t="shared" si="229"/>
        <v>0.051375606389193</v>
      </c>
      <c r="BV110" s="16">
        <f t="shared" si="229"/>
        <v>0.0562010848622424</v>
      </c>
      <c r="BW110" s="16">
        <f t="shared" si="229"/>
        <v>0.186001787168818</v>
      </c>
      <c r="BX110" s="16">
        <f t="shared" si="229"/>
        <v>0.041780281824916</v>
      </c>
      <c r="BY110" s="16">
        <f t="shared" si="229"/>
        <v>0.0402730099656382</v>
      </c>
      <c r="BZ110" s="16">
        <f t="shared" ref="BZ110:DE110" si="230">LN(BZ48/BZ47)</f>
        <v>0.0598197583155606</v>
      </c>
      <c r="CA110" s="16">
        <f t="shared" si="230"/>
        <v>0.0473374000183126</v>
      </c>
      <c r="CB110" s="16">
        <f t="shared" si="230"/>
        <v>0.0172834302962841</v>
      </c>
      <c r="CC110" s="16">
        <f t="shared" si="230"/>
        <v>0.0380634528382862</v>
      </c>
      <c r="CD110" s="16">
        <f t="shared" si="230"/>
        <v>-0.014992781457535</v>
      </c>
      <c r="CE110" s="16">
        <f t="shared" si="230"/>
        <v>-0.0912435169588989</v>
      </c>
      <c r="CF110" s="16">
        <f t="shared" si="230"/>
        <v>0.06611026659111</v>
      </c>
      <c r="CG110" s="16">
        <f t="shared" si="230"/>
        <v>0.115474391151324</v>
      </c>
      <c r="CH110" s="16">
        <f t="shared" si="230"/>
        <v>0.0514556067017956</v>
      </c>
      <c r="CI110" s="16">
        <f t="shared" si="230"/>
        <v>0.0686381539501832</v>
      </c>
      <c r="CJ110" s="16">
        <f t="shared" si="230"/>
        <v>0.0322196590570261</v>
      </c>
      <c r="CK110" s="16">
        <f t="shared" si="230"/>
        <v>0.0190150653597576</v>
      </c>
      <c r="CL110" s="16">
        <f t="shared" si="230"/>
        <v>0.137484291250949</v>
      </c>
      <c r="CM110" s="16">
        <f t="shared" si="230"/>
        <v>0.00732539389946836</v>
      </c>
      <c r="CN110" s="16">
        <f t="shared" si="230"/>
        <v>0.0274502540081687</v>
      </c>
      <c r="CO110" s="16">
        <f t="shared" si="230"/>
        <v>0.0598197287285986</v>
      </c>
      <c r="CP110" s="16">
        <f t="shared" si="230"/>
        <v>-0.00520404433413406</v>
      </c>
      <c r="CQ110" s="16">
        <f t="shared" si="230"/>
        <v>-0.05172499134542</v>
      </c>
      <c r="CR110" s="16">
        <f t="shared" si="230"/>
        <v>0.0665688975361906</v>
      </c>
      <c r="CS110" s="16">
        <f t="shared" si="230"/>
        <v>-0.0259436645507423</v>
      </c>
      <c r="CT110" s="16">
        <f t="shared" si="230"/>
        <v>0.181910963480857</v>
      </c>
      <c r="CU110" s="16">
        <f t="shared" si="230"/>
        <v>0.0414732482065751</v>
      </c>
      <c r="CV110" s="16">
        <f t="shared" si="230"/>
        <v>0.136381783766395</v>
      </c>
      <c r="CW110" s="16">
        <f t="shared" si="230"/>
        <v>0.266557878109578</v>
      </c>
      <c r="CX110" s="16">
        <f t="shared" si="230"/>
        <v>0.217007114781845</v>
      </c>
      <c r="CY110" s="16">
        <f t="shared" si="230"/>
        <v>-0.0846528853303368</v>
      </c>
      <c r="CZ110" s="16">
        <f t="shared" si="230"/>
        <v>0.0788266030206581</v>
      </c>
      <c r="DA110" s="16">
        <f t="shared" si="230"/>
        <v>0.0859471225323874</v>
      </c>
      <c r="DB110" s="16">
        <f t="shared" si="230"/>
        <v>0.126813910167654</v>
      </c>
      <c r="DC110" s="16">
        <f t="shared" si="230"/>
        <v>0.106938737621053</v>
      </c>
      <c r="DD110" s="16">
        <f t="shared" si="230"/>
        <v>0.183138110310592</v>
      </c>
      <c r="DE110" s="16">
        <f t="shared" si="230"/>
        <v>0.100656534226887</v>
      </c>
      <c r="DF110" s="16">
        <f t="shared" ref="DF110:DU110" si="231">LN(DF48/DF47)</f>
        <v>0.0176133464722187</v>
      </c>
      <c r="DG110" s="16">
        <f t="shared" si="231"/>
        <v>-0.208245241803746</v>
      </c>
      <c r="DH110" s="16">
        <f t="shared" si="231"/>
        <v>0.0236776158454949</v>
      </c>
      <c r="DI110" s="16">
        <f t="shared" si="231"/>
        <v>-0.0521942849590836</v>
      </c>
      <c r="DJ110" s="16">
        <f t="shared" si="231"/>
        <v>-0.000119295650551845</v>
      </c>
      <c r="DK110" s="16">
        <f t="shared" si="231"/>
        <v>0.0234339693084734</v>
      </c>
      <c r="DL110" s="16">
        <f t="shared" si="231"/>
        <v>0.0698321508291665</v>
      </c>
      <c r="DM110" s="16">
        <f t="shared" si="231"/>
        <v>-0.0248285977677042</v>
      </c>
      <c r="DN110" s="16">
        <f t="shared" si="231"/>
        <v>-0.0665862110884436</v>
      </c>
      <c r="DO110" s="16">
        <f t="shared" si="231"/>
        <v>-0.211458304860377</v>
      </c>
      <c r="DP110" s="16">
        <f t="shared" si="231"/>
        <v>0.0355843893139469</v>
      </c>
      <c r="DQ110" s="16">
        <f t="shared" si="231"/>
        <v>-0.0228379418086568</v>
      </c>
      <c r="DR110" s="16">
        <f t="shared" si="231"/>
        <v>0.0468454109919626</v>
      </c>
      <c r="DS110" s="16">
        <f t="shared" si="231"/>
        <v>-0.081334192862941</v>
      </c>
      <c r="DT110" s="16">
        <f t="shared" si="231"/>
        <v>-0.0419640771563168</v>
      </c>
      <c r="DU110" s="16">
        <f t="shared" si="231"/>
        <v>0.041690427054209</v>
      </c>
      <c r="DV110" s="16">
        <f t="shared" si="13"/>
        <v>-0.0346483716216694</v>
      </c>
      <c r="DW110" s="16">
        <f t="shared" si="216"/>
        <v>0.55471930277395</v>
      </c>
      <c r="DX110" s="16">
        <f t="shared" si="216"/>
        <v>0.0693594885473771</v>
      </c>
      <c r="DY110" s="16">
        <f t="shared" si="216"/>
        <v>0.0514990081679178</v>
      </c>
      <c r="DZ110" s="16">
        <f t="shared" si="216"/>
        <v>0.0312758179917759</v>
      </c>
    </row>
    <row r="111" ht="14" spans="1:130">
      <c r="A111" s="32">
        <v>44075</v>
      </c>
      <c r="B111" s="16">
        <f t="shared" si="6"/>
        <v>-0.0233396908796739</v>
      </c>
      <c r="C111" s="16">
        <f t="shared" si="6"/>
        <v>-0.029267715401273</v>
      </c>
      <c r="D111" s="16">
        <f t="shared" si="7"/>
        <v>0.00236647748985298</v>
      </c>
      <c r="E111" s="16">
        <f t="shared" si="7"/>
        <v>-0.089282610162328</v>
      </c>
      <c r="F111" s="16">
        <f t="shared" si="7"/>
        <v>-0.0275847094567363</v>
      </c>
      <c r="G111" s="16">
        <f t="shared" si="7"/>
        <v>0.00998670279406513</v>
      </c>
      <c r="H111" s="16">
        <f t="shared" ref="H111:M111" si="232">LN(H49/H48)</f>
        <v>-0.0311886342369715</v>
      </c>
      <c r="I111" s="16">
        <f t="shared" si="232"/>
        <v>0.0288130114803364</v>
      </c>
      <c r="J111" s="16">
        <f t="shared" si="232"/>
        <v>-0.144751695410955</v>
      </c>
      <c r="K111" s="16">
        <f t="shared" si="232"/>
        <v>0.00522847002576327</v>
      </c>
      <c r="L111" s="16">
        <f t="shared" si="232"/>
        <v>-0.0314719637653112</v>
      </c>
      <c r="M111" s="16">
        <f t="shared" si="232"/>
        <v>0.00516521287089356</v>
      </c>
      <c r="N111" s="16">
        <f t="shared" ref="N111:AS111" si="233">LN(N49/N48)</f>
        <v>-0.0380903598769103</v>
      </c>
      <c r="O111" s="16">
        <f t="shared" si="233"/>
        <v>-0.00519487052812144</v>
      </c>
      <c r="P111" s="16">
        <f t="shared" si="233"/>
        <v>-0.00249881193423589</v>
      </c>
      <c r="Q111" s="16">
        <f t="shared" si="233"/>
        <v>-0.0617518926172602</v>
      </c>
      <c r="R111" s="16">
        <f t="shared" si="233"/>
        <v>-0.0470174781515064</v>
      </c>
      <c r="S111" s="16">
        <f t="shared" si="233"/>
        <v>-0.102062719041528</v>
      </c>
      <c r="T111" s="16">
        <f t="shared" si="233"/>
        <v>-0.00586360333260062</v>
      </c>
      <c r="U111" s="16">
        <f t="shared" si="233"/>
        <v>-0.033590796206631</v>
      </c>
      <c r="V111" s="16">
        <f t="shared" si="233"/>
        <v>0.0502403919772122</v>
      </c>
      <c r="W111" s="16">
        <f t="shared" si="233"/>
        <v>-0.0768226723311546</v>
      </c>
      <c r="X111" s="16">
        <f t="shared" si="233"/>
        <v>0.0323872593199512</v>
      </c>
      <c r="Y111" s="16">
        <f t="shared" si="233"/>
        <v>-0.0994089774139996</v>
      </c>
      <c r="Z111" s="16">
        <f t="shared" si="233"/>
        <v>-0.042450532233986</v>
      </c>
      <c r="AA111" s="16">
        <f t="shared" si="233"/>
        <v>-0.0295776848017357</v>
      </c>
      <c r="AB111" s="16">
        <f t="shared" si="233"/>
        <v>-0.0509729943011555</v>
      </c>
      <c r="AC111" s="16">
        <f t="shared" si="233"/>
        <v>-0.0766055727562561</v>
      </c>
      <c r="AD111" s="16">
        <f t="shared" si="233"/>
        <v>-0.0673611604265528</v>
      </c>
      <c r="AE111" s="16">
        <f t="shared" si="233"/>
        <v>-0.0457532329551683</v>
      </c>
      <c r="AF111" s="16">
        <f t="shared" si="233"/>
        <v>0.0424285607337755</v>
      </c>
      <c r="AG111" s="16">
        <f t="shared" si="233"/>
        <v>-0.0336366943465436</v>
      </c>
      <c r="AH111" s="16">
        <f t="shared" si="233"/>
        <v>-0.11380452003464</v>
      </c>
      <c r="AI111" s="16">
        <f t="shared" si="233"/>
        <v>-0.0474293586418296</v>
      </c>
      <c r="AJ111" s="16">
        <f t="shared" si="233"/>
        <v>-0.0519127876438077</v>
      </c>
      <c r="AK111" s="16">
        <f t="shared" si="233"/>
        <v>-0.115442937111546</v>
      </c>
      <c r="AL111" s="16">
        <f t="shared" si="233"/>
        <v>-0.0749861165922097</v>
      </c>
      <c r="AM111" s="16">
        <f t="shared" si="233"/>
        <v>0.0115964666758644</v>
      </c>
      <c r="AN111" s="16">
        <f t="shared" si="233"/>
        <v>0.0229278399262853</v>
      </c>
      <c r="AO111" s="16">
        <f t="shared" si="233"/>
        <v>0.0482756326284372</v>
      </c>
      <c r="AP111" s="16">
        <f t="shared" si="233"/>
        <v>0.004491790954228</v>
      </c>
      <c r="AQ111" s="16">
        <f t="shared" si="233"/>
        <v>-0.011994109162595</v>
      </c>
      <c r="AR111" s="16">
        <f t="shared" si="233"/>
        <v>-0.102282237061719</v>
      </c>
      <c r="AS111" s="16">
        <f t="shared" si="233"/>
        <v>0.0313641817224643</v>
      </c>
      <c r="AT111" s="16">
        <f t="shared" ref="AT111:BY111" si="234">LN(AT49/AT48)</f>
        <v>0.00395876560832217</v>
      </c>
      <c r="AU111" s="16">
        <f t="shared" si="234"/>
        <v>-0.00758305910634333</v>
      </c>
      <c r="AV111" s="16">
        <f t="shared" si="234"/>
        <v>-0.0619433515571637</v>
      </c>
      <c r="AW111" s="16">
        <f t="shared" si="234"/>
        <v>0.00440722818846774</v>
      </c>
      <c r="AX111" s="16">
        <f t="shared" si="234"/>
        <v>0.00794677301469752</v>
      </c>
      <c r="AY111" s="16">
        <f t="shared" si="234"/>
        <v>-0.106370174382737</v>
      </c>
      <c r="AZ111" s="16">
        <f t="shared" si="234"/>
        <v>-0.0814618938373242</v>
      </c>
      <c r="BA111" s="16">
        <f t="shared" si="234"/>
        <v>0.00616328397179232</v>
      </c>
      <c r="BB111" s="16">
        <f t="shared" si="234"/>
        <v>-0.088231911740919</v>
      </c>
      <c r="BC111" s="16">
        <f t="shared" si="234"/>
        <v>0.00263558186014175</v>
      </c>
      <c r="BD111" s="16">
        <f t="shared" si="234"/>
        <v>0.0562864284052173</v>
      </c>
      <c r="BE111" s="16">
        <f t="shared" si="234"/>
        <v>-0.0290623944184112</v>
      </c>
      <c r="BF111" s="16">
        <f t="shared" si="234"/>
        <v>-0.000380190030467104</v>
      </c>
      <c r="BG111" s="16">
        <f t="shared" si="234"/>
        <v>-0.0916532562678233</v>
      </c>
      <c r="BH111" s="16">
        <f t="shared" si="234"/>
        <v>-0.0472077342079794</v>
      </c>
      <c r="BI111" s="16">
        <f t="shared" si="234"/>
        <v>0.0159950370664174</v>
      </c>
      <c r="BJ111" s="16">
        <f t="shared" si="234"/>
        <v>-0.00135089517335561</v>
      </c>
      <c r="BK111" s="16">
        <f t="shared" si="234"/>
        <v>0.0334096034127757</v>
      </c>
      <c r="BL111" s="16">
        <f t="shared" si="234"/>
        <v>0.0224451441241058</v>
      </c>
      <c r="BM111" s="16">
        <f t="shared" si="234"/>
        <v>0.150435076663256</v>
      </c>
      <c r="BN111" s="16">
        <f t="shared" si="234"/>
        <v>0.117321477702027</v>
      </c>
      <c r="BO111" s="16">
        <f t="shared" si="234"/>
        <v>-0.0260525358243259</v>
      </c>
      <c r="BP111" s="16">
        <f t="shared" si="234"/>
        <v>0.0743127191376433</v>
      </c>
      <c r="BQ111" s="16">
        <f t="shared" si="234"/>
        <v>0.0355146891694989</v>
      </c>
      <c r="BR111" s="16">
        <f t="shared" si="234"/>
        <v>-0.000904252472598447</v>
      </c>
      <c r="BS111" s="16">
        <f t="shared" si="234"/>
        <v>-0.110447864115791</v>
      </c>
      <c r="BT111" s="16">
        <f t="shared" si="234"/>
        <v>-0.0821687525138418</v>
      </c>
      <c r="BU111" s="16">
        <f t="shared" si="234"/>
        <v>-0.0437543256027208</v>
      </c>
      <c r="BV111" s="16">
        <f t="shared" si="234"/>
        <v>0.0391302447125191</v>
      </c>
      <c r="BW111" s="16">
        <f t="shared" si="234"/>
        <v>0.0787860468323788</v>
      </c>
      <c r="BX111" s="16">
        <f t="shared" si="234"/>
        <v>-0.0349562407039937</v>
      </c>
      <c r="BY111" s="16">
        <f t="shared" si="234"/>
        <v>-0.0181402597334401</v>
      </c>
      <c r="BZ111" s="16">
        <f t="shared" ref="BZ111:DE111" si="235">LN(BZ49/BZ48)</f>
        <v>0.00475969718999818</v>
      </c>
      <c r="CA111" s="16">
        <f t="shared" si="235"/>
        <v>-0.0032355664727442</v>
      </c>
      <c r="CB111" s="16">
        <f t="shared" si="235"/>
        <v>-0.0104787116241633</v>
      </c>
      <c r="CC111" s="16">
        <f t="shared" si="235"/>
        <v>-0.0620435611066077</v>
      </c>
      <c r="CD111" s="16">
        <f t="shared" si="235"/>
        <v>0.0423353015650603</v>
      </c>
      <c r="CE111" s="16">
        <f t="shared" si="235"/>
        <v>0.0399362972535702</v>
      </c>
      <c r="CF111" s="16">
        <f t="shared" si="235"/>
        <v>-0.0762665040241303</v>
      </c>
      <c r="CG111" s="16">
        <f t="shared" si="235"/>
        <v>-0.0135539728743623</v>
      </c>
      <c r="CH111" s="16">
        <f t="shared" si="235"/>
        <v>-0.0167432995228124</v>
      </c>
      <c r="CI111" s="16">
        <f t="shared" si="235"/>
        <v>-0.0401100453538322</v>
      </c>
      <c r="CJ111" s="16">
        <f t="shared" si="235"/>
        <v>-0.0269819666060279</v>
      </c>
      <c r="CK111" s="16">
        <f t="shared" si="235"/>
        <v>-0.145567804353316</v>
      </c>
      <c r="CL111" s="16">
        <f t="shared" si="235"/>
        <v>0.0340013813169701</v>
      </c>
      <c r="CM111" s="16">
        <f t="shared" si="235"/>
        <v>-0.0418606132585844</v>
      </c>
      <c r="CN111" s="16">
        <f t="shared" si="235"/>
        <v>-0.0852386277107285</v>
      </c>
      <c r="CO111" s="16">
        <f t="shared" si="235"/>
        <v>-0.0604727225422992</v>
      </c>
      <c r="CP111" s="16">
        <f t="shared" si="235"/>
        <v>-0.0198367726111686</v>
      </c>
      <c r="CQ111" s="16">
        <f t="shared" si="235"/>
        <v>-0.0614946268093508</v>
      </c>
      <c r="CR111" s="16">
        <f t="shared" si="235"/>
        <v>-0.0840263960494745</v>
      </c>
      <c r="CS111" s="16">
        <f t="shared" si="235"/>
        <v>0.0855512910295568</v>
      </c>
      <c r="CT111" s="16">
        <f t="shared" si="235"/>
        <v>-0.091539065317115</v>
      </c>
      <c r="CU111" s="16">
        <f t="shared" si="235"/>
        <v>-0.0665405238082442</v>
      </c>
      <c r="CV111" s="16">
        <f t="shared" si="235"/>
        <v>0.024579612055129</v>
      </c>
      <c r="CW111" s="16">
        <f t="shared" si="235"/>
        <v>0.134622373568259</v>
      </c>
      <c r="CX111" s="16">
        <f t="shared" si="235"/>
        <v>-0.0268730182510965</v>
      </c>
      <c r="CY111" s="16">
        <f t="shared" si="235"/>
        <v>-0.150329955120593</v>
      </c>
      <c r="CZ111" s="16">
        <f t="shared" si="235"/>
        <v>-0.0673535268575184</v>
      </c>
      <c r="DA111" s="16">
        <f t="shared" si="235"/>
        <v>-0.0584080100383156</v>
      </c>
      <c r="DB111" s="16">
        <f t="shared" si="235"/>
        <v>-0.316872703121216</v>
      </c>
      <c r="DC111" s="16">
        <f t="shared" si="235"/>
        <v>-0.0825485758825684</v>
      </c>
      <c r="DD111" s="16">
        <f t="shared" si="235"/>
        <v>0.055569524022328</v>
      </c>
      <c r="DE111" s="16">
        <f t="shared" si="235"/>
        <v>-0.111103356968712</v>
      </c>
      <c r="DF111" s="16">
        <f t="shared" ref="DF111:DU111" si="236">LN(DF49/DF48)</f>
        <v>-0.0700016586387888</v>
      </c>
      <c r="DG111" s="16">
        <f t="shared" si="236"/>
        <v>-0.129211731480006</v>
      </c>
      <c r="DH111" s="16">
        <f t="shared" si="236"/>
        <v>-0.0741989855883789</v>
      </c>
      <c r="DI111" s="16">
        <f t="shared" si="236"/>
        <v>-0.131822715056805</v>
      </c>
      <c r="DJ111" s="16">
        <f t="shared" si="236"/>
        <v>-0.139003183997395</v>
      </c>
      <c r="DK111" s="16">
        <f t="shared" si="236"/>
        <v>-0.143040189064046</v>
      </c>
      <c r="DL111" s="16">
        <f t="shared" si="236"/>
        <v>-0.189486803621838</v>
      </c>
      <c r="DM111" s="16">
        <f t="shared" si="236"/>
        <v>-0.232338812764295</v>
      </c>
      <c r="DN111" s="16">
        <f t="shared" si="236"/>
        <v>-0.117647262110495</v>
      </c>
      <c r="DO111" s="16">
        <f t="shared" si="236"/>
        <v>-0.241162185591928</v>
      </c>
      <c r="DP111" s="16">
        <f t="shared" si="236"/>
        <v>-0.117932074971476</v>
      </c>
      <c r="DQ111" s="16">
        <f t="shared" si="236"/>
        <v>-0.248873585752054</v>
      </c>
      <c r="DR111" s="16">
        <f t="shared" si="236"/>
        <v>-0.200261406724823</v>
      </c>
      <c r="DS111" s="16">
        <f t="shared" si="236"/>
        <v>-0.0610568645248975</v>
      </c>
      <c r="DT111" s="16">
        <f t="shared" si="236"/>
        <v>-0.199084811914645</v>
      </c>
      <c r="DU111" s="16">
        <f t="shared" si="236"/>
        <v>-0.281037529733112</v>
      </c>
      <c r="DV111" s="16">
        <f t="shared" si="13"/>
        <v>-0.446498241529002</v>
      </c>
      <c r="DW111" s="16">
        <f t="shared" si="216"/>
        <v>-0.149762212266237</v>
      </c>
      <c r="DX111" s="16">
        <f t="shared" si="216"/>
        <v>-0.0562916232367445</v>
      </c>
      <c r="DY111" s="16">
        <f t="shared" si="216"/>
        <v>-0.0529259136497726</v>
      </c>
      <c r="DZ111" s="16">
        <f t="shared" si="216"/>
        <v>-0.0237399873030729</v>
      </c>
    </row>
    <row r="112" ht="14" spans="1:130">
      <c r="A112" s="32">
        <v>44105</v>
      </c>
      <c r="B112" s="16">
        <f t="shared" si="6"/>
        <v>-0.082356927635072</v>
      </c>
      <c r="C112" s="16">
        <f t="shared" si="6"/>
        <v>-0.0338075955974353</v>
      </c>
      <c r="D112" s="16">
        <f t="shared" si="7"/>
        <v>-0.126280789124881</v>
      </c>
      <c r="E112" s="16">
        <f t="shared" si="7"/>
        <v>-0.0288398048900785</v>
      </c>
      <c r="F112" s="16">
        <f t="shared" si="7"/>
        <v>-0.0907069295825005</v>
      </c>
      <c r="G112" s="16">
        <f t="shared" si="7"/>
        <v>-0.158343307952443</v>
      </c>
      <c r="H112" s="16">
        <f t="shared" ref="H112:M112" si="237">LN(H50/H49)</f>
        <v>-0.0309946917424831</v>
      </c>
      <c r="I112" s="16">
        <f t="shared" si="237"/>
        <v>0.0696360592432392</v>
      </c>
      <c r="J112" s="16">
        <f t="shared" si="237"/>
        <v>-0.054451949367543</v>
      </c>
      <c r="K112" s="16">
        <f t="shared" si="237"/>
        <v>0.0775760788748467</v>
      </c>
      <c r="L112" s="16">
        <f t="shared" si="237"/>
        <v>-0.25457381230055</v>
      </c>
      <c r="M112" s="16">
        <f t="shared" si="237"/>
        <v>0.0113284207843212</v>
      </c>
      <c r="N112" s="16">
        <f t="shared" ref="N112:AS112" si="238">LN(N50/N49)</f>
        <v>-0.0233628493981294</v>
      </c>
      <c r="O112" s="16">
        <f t="shared" si="238"/>
        <v>0.0327580903378587</v>
      </c>
      <c r="P112" s="16">
        <f t="shared" si="238"/>
        <v>-0.0173827955141007</v>
      </c>
      <c r="Q112" s="16">
        <f t="shared" si="238"/>
        <v>-0.0403584314313883</v>
      </c>
      <c r="R112" s="16">
        <f t="shared" si="238"/>
        <v>0.0191141199958386</v>
      </c>
      <c r="S112" s="16">
        <f t="shared" si="238"/>
        <v>-0.0294037533454571</v>
      </c>
      <c r="T112" s="16">
        <f t="shared" si="238"/>
        <v>-0.0347795880706734</v>
      </c>
      <c r="U112" s="16">
        <f t="shared" si="238"/>
        <v>-0.0271192358965748</v>
      </c>
      <c r="V112" s="16">
        <f t="shared" si="238"/>
        <v>-0.0282201398145755</v>
      </c>
      <c r="W112" s="16">
        <f t="shared" si="238"/>
        <v>0.0243337844168014</v>
      </c>
      <c r="X112" s="16">
        <f t="shared" si="238"/>
        <v>-0.0421157680119675</v>
      </c>
      <c r="Y112" s="16">
        <f t="shared" si="238"/>
        <v>-0.0197488487476087</v>
      </c>
      <c r="Z112" s="16">
        <f t="shared" si="238"/>
        <v>-0.00330297878965197</v>
      </c>
      <c r="AA112" s="16">
        <f t="shared" si="238"/>
        <v>-0.0617068939883507</v>
      </c>
      <c r="AB112" s="16">
        <f t="shared" si="238"/>
        <v>0.113008120734518</v>
      </c>
      <c r="AC112" s="16">
        <f t="shared" si="238"/>
        <v>-0.036082040812148</v>
      </c>
      <c r="AD112" s="16">
        <f t="shared" si="238"/>
        <v>-0.0380863279080769</v>
      </c>
      <c r="AE112" s="16">
        <f t="shared" si="238"/>
        <v>-0.0925002740623668</v>
      </c>
      <c r="AF112" s="16">
        <f t="shared" si="238"/>
        <v>-0.0620179140701323</v>
      </c>
      <c r="AG112" s="16">
        <f t="shared" si="238"/>
        <v>-0.000560957381949815</v>
      </c>
      <c r="AH112" s="16">
        <f t="shared" si="238"/>
        <v>-0.0652347994732352</v>
      </c>
      <c r="AI112" s="16">
        <f t="shared" si="238"/>
        <v>-0.0715764913865067</v>
      </c>
      <c r="AJ112" s="16">
        <f t="shared" si="238"/>
        <v>-0.15023819402259</v>
      </c>
      <c r="AK112" s="16">
        <f t="shared" si="238"/>
        <v>-0.0130406567743006</v>
      </c>
      <c r="AL112" s="16">
        <f t="shared" si="238"/>
        <v>0.0795852124206872</v>
      </c>
      <c r="AM112" s="16">
        <f t="shared" si="238"/>
        <v>-0.0762018737395136</v>
      </c>
      <c r="AN112" s="16">
        <f t="shared" si="238"/>
        <v>-0.156470965580577</v>
      </c>
      <c r="AO112" s="16">
        <f t="shared" si="238"/>
        <v>-0.0320815140830649</v>
      </c>
      <c r="AP112" s="16">
        <f t="shared" si="238"/>
        <v>0.01252755792981</v>
      </c>
      <c r="AQ112" s="16">
        <f t="shared" si="238"/>
        <v>0.0524787668269524</v>
      </c>
      <c r="AR112" s="16">
        <f t="shared" si="238"/>
        <v>-0.0852499647460552</v>
      </c>
      <c r="AS112" s="16">
        <f t="shared" si="238"/>
        <v>0.0695037751305637</v>
      </c>
      <c r="AT112" s="16">
        <f t="shared" ref="AT112:BY112" si="239">LN(AT50/AT49)</f>
        <v>0.0152168370683999</v>
      </c>
      <c r="AU112" s="16">
        <f t="shared" si="239"/>
        <v>0.0823812143189484</v>
      </c>
      <c r="AV112" s="16">
        <f t="shared" si="239"/>
        <v>0.0223258034406017</v>
      </c>
      <c r="AW112" s="16">
        <f t="shared" si="239"/>
        <v>0.129818571720472</v>
      </c>
      <c r="AX112" s="16">
        <f t="shared" si="239"/>
        <v>-0.0293618997928944</v>
      </c>
      <c r="AY112" s="16">
        <f t="shared" si="239"/>
        <v>-0.0618884023771826</v>
      </c>
      <c r="AZ112" s="16">
        <f t="shared" si="239"/>
        <v>-0.0788265394472206</v>
      </c>
      <c r="BA112" s="16">
        <f t="shared" si="239"/>
        <v>0.0255873592809407</v>
      </c>
      <c r="BB112" s="16">
        <f t="shared" si="239"/>
        <v>0.0982966403353751</v>
      </c>
      <c r="BC112" s="16">
        <f t="shared" si="239"/>
        <v>0.059826332733835</v>
      </c>
      <c r="BD112" s="16">
        <f t="shared" si="239"/>
        <v>-0.0346848079364385</v>
      </c>
      <c r="BE112" s="16">
        <f t="shared" si="239"/>
        <v>-0.0465712141803658</v>
      </c>
      <c r="BF112" s="16">
        <f t="shared" si="239"/>
        <v>-0.0858536615483593</v>
      </c>
      <c r="BG112" s="16">
        <f t="shared" si="239"/>
        <v>-0.0364089315101181</v>
      </c>
      <c r="BH112" s="16">
        <f t="shared" si="239"/>
        <v>-0.0897019735182728</v>
      </c>
      <c r="BI112" s="16">
        <f t="shared" si="239"/>
        <v>-0.000328920322018055</v>
      </c>
      <c r="BJ112" s="16">
        <f t="shared" si="239"/>
        <v>0.154392044989783</v>
      </c>
      <c r="BK112" s="16">
        <f t="shared" si="239"/>
        <v>-0.0300144572510681</v>
      </c>
      <c r="BL112" s="16">
        <f t="shared" si="239"/>
        <v>0.0120316519045982</v>
      </c>
      <c r="BM112" s="16">
        <f t="shared" si="239"/>
        <v>-0.0916242792915741</v>
      </c>
      <c r="BN112" s="16">
        <f t="shared" si="239"/>
        <v>-0.0444663211033137</v>
      </c>
      <c r="BO112" s="16">
        <f t="shared" si="239"/>
        <v>-0.0351556416557579</v>
      </c>
      <c r="BP112" s="16">
        <f t="shared" si="239"/>
        <v>0.0562614357074388</v>
      </c>
      <c r="BQ112" s="16">
        <f t="shared" si="239"/>
        <v>0.0683510836119549</v>
      </c>
      <c r="BR112" s="16">
        <f t="shared" si="239"/>
        <v>-0.0474604068262317</v>
      </c>
      <c r="BS112" s="16">
        <f t="shared" si="239"/>
        <v>-0.0529227826910656</v>
      </c>
      <c r="BT112" s="16">
        <f t="shared" si="239"/>
        <v>-0.101853278393261</v>
      </c>
      <c r="BU112" s="16">
        <f t="shared" si="239"/>
        <v>0.0219908338484313</v>
      </c>
      <c r="BV112" s="16">
        <f t="shared" si="239"/>
        <v>-0.115029013730564</v>
      </c>
      <c r="BW112" s="16">
        <f t="shared" si="239"/>
        <v>0.00626770095075031</v>
      </c>
      <c r="BX112" s="16">
        <f t="shared" si="239"/>
        <v>-0.0732924334155833</v>
      </c>
      <c r="BY112" s="16">
        <f t="shared" si="239"/>
        <v>-0.0397475458438866</v>
      </c>
      <c r="BZ112" s="16">
        <f t="shared" ref="BZ112:DE112" si="240">LN(BZ50/BZ49)</f>
        <v>-0.0136912903991293</v>
      </c>
      <c r="CA112" s="16">
        <f t="shared" si="240"/>
        <v>-0.0188304662238108</v>
      </c>
      <c r="CB112" s="16">
        <f t="shared" si="240"/>
        <v>-0.031899844670183</v>
      </c>
      <c r="CC112" s="16">
        <f t="shared" si="240"/>
        <v>-0.0386881548494298</v>
      </c>
      <c r="CD112" s="16">
        <f t="shared" si="240"/>
        <v>-0.0818953683904161</v>
      </c>
      <c r="CE112" s="16">
        <f t="shared" si="240"/>
        <v>-0.0558685839810358</v>
      </c>
      <c r="CF112" s="16">
        <f t="shared" si="240"/>
        <v>-0.0372479296446577</v>
      </c>
      <c r="CG112" s="16">
        <f t="shared" si="240"/>
        <v>0.00644004674093294</v>
      </c>
      <c r="CH112" s="16">
        <f t="shared" si="240"/>
        <v>-0.072820826168839</v>
      </c>
      <c r="CI112" s="16">
        <f t="shared" si="240"/>
        <v>-0.0155926881329669</v>
      </c>
      <c r="CJ112" s="16">
        <f t="shared" si="240"/>
        <v>0.0223028423316694</v>
      </c>
      <c r="CK112" s="16">
        <f t="shared" si="240"/>
        <v>0.0211437642568489</v>
      </c>
      <c r="CL112" s="16">
        <f t="shared" si="240"/>
        <v>-0.117722771628035</v>
      </c>
      <c r="CM112" s="16">
        <f t="shared" si="240"/>
        <v>-0.00409916836823389</v>
      </c>
      <c r="CN112" s="16">
        <f t="shared" si="240"/>
        <v>-0.0266724201203376</v>
      </c>
      <c r="CO112" s="16">
        <f t="shared" si="240"/>
        <v>-0.0725874451601407</v>
      </c>
      <c r="CP112" s="16">
        <f t="shared" si="240"/>
        <v>-0.0584461061651524</v>
      </c>
      <c r="CQ112" s="16">
        <f t="shared" si="240"/>
        <v>-0.013990717771896</v>
      </c>
      <c r="CR112" s="16">
        <f t="shared" si="240"/>
        <v>-0.035778352701087</v>
      </c>
      <c r="CS112" s="16">
        <f t="shared" si="240"/>
        <v>0.028720716718437</v>
      </c>
      <c r="CT112" s="16">
        <f t="shared" si="240"/>
        <v>-0.0612436252407187</v>
      </c>
      <c r="CU112" s="16">
        <f t="shared" si="240"/>
        <v>0.111752866629792</v>
      </c>
      <c r="CV112" s="16">
        <f t="shared" si="240"/>
        <v>-0.0588298989238783</v>
      </c>
      <c r="CW112" s="16">
        <f t="shared" si="240"/>
        <v>0.0339748820034259</v>
      </c>
      <c r="CX112" s="16">
        <f t="shared" si="240"/>
        <v>0</v>
      </c>
      <c r="CY112" s="16">
        <f t="shared" si="240"/>
        <v>-0.0103200090319895</v>
      </c>
      <c r="CZ112" s="16">
        <f t="shared" si="240"/>
        <v>-0.0581706328548681</v>
      </c>
      <c r="DA112" s="16">
        <f t="shared" si="240"/>
        <v>0.0455141124873648</v>
      </c>
      <c r="DB112" s="16">
        <f t="shared" si="240"/>
        <v>0.128780789865925</v>
      </c>
      <c r="DC112" s="16">
        <f t="shared" si="240"/>
        <v>-0.0175385864746652</v>
      </c>
      <c r="DD112" s="16">
        <f t="shared" si="240"/>
        <v>0.0304209175803725</v>
      </c>
      <c r="DE112" s="16">
        <f t="shared" si="240"/>
        <v>0.0516569856649326</v>
      </c>
      <c r="DF112" s="16">
        <f t="shared" ref="DF112:DU112" si="241">LN(DF50/DF49)</f>
        <v>-0.00139539542227143</v>
      </c>
      <c r="DG112" s="16">
        <f t="shared" si="241"/>
        <v>0.211768758120256</v>
      </c>
      <c r="DH112" s="16">
        <f t="shared" si="241"/>
        <v>-0.0155528568411154</v>
      </c>
      <c r="DI112" s="16">
        <f t="shared" si="241"/>
        <v>-0.0510943082754784</v>
      </c>
      <c r="DJ112" s="16">
        <f t="shared" si="241"/>
        <v>-0.0353393453482259</v>
      </c>
      <c r="DK112" s="16">
        <f t="shared" si="241"/>
        <v>-0.13754132899575</v>
      </c>
      <c r="DL112" s="16">
        <f t="shared" si="241"/>
        <v>-0.0714721201169993</v>
      </c>
      <c r="DM112" s="16">
        <f t="shared" si="241"/>
        <v>-0.0484562189764561</v>
      </c>
      <c r="DN112" s="16">
        <f t="shared" si="241"/>
        <v>-0.0892198671800134</v>
      </c>
      <c r="DO112" s="16">
        <f t="shared" si="241"/>
        <v>-0.0910399836124692</v>
      </c>
      <c r="DP112" s="16">
        <f t="shared" si="241"/>
        <v>-0.045177110341313</v>
      </c>
      <c r="DQ112" s="16">
        <f t="shared" si="241"/>
        <v>-0.14863284203747</v>
      </c>
      <c r="DR112" s="16">
        <f t="shared" si="241"/>
        <v>-0.0340640115255558</v>
      </c>
      <c r="DS112" s="16">
        <f t="shared" si="241"/>
        <v>0.105586227512351</v>
      </c>
      <c r="DT112" s="16">
        <f t="shared" si="241"/>
        <v>-0.131947840605227</v>
      </c>
      <c r="DU112" s="16">
        <f t="shared" si="241"/>
        <v>-0.0756374142056201</v>
      </c>
      <c r="DV112" s="16">
        <f t="shared" si="13"/>
        <v>-0.131873376894125</v>
      </c>
      <c r="DW112" s="16">
        <f t="shared" si="216"/>
        <v>-0.10037180158657</v>
      </c>
      <c r="DX112" s="16">
        <f t="shared" si="216"/>
        <v>-0.0312843788056907</v>
      </c>
      <c r="DY112" s="16">
        <f t="shared" si="216"/>
        <v>0.110788434349254</v>
      </c>
      <c r="DZ112" s="16">
        <f t="shared" si="216"/>
        <v>0.148989378047033</v>
      </c>
    </row>
    <row r="113" ht="14" spans="1:130">
      <c r="A113" s="32">
        <v>44136</v>
      </c>
      <c r="B113" s="16">
        <f t="shared" si="6"/>
        <v>0.0537409534090299</v>
      </c>
      <c r="C113" s="16">
        <f t="shared" si="6"/>
        <v>0.129334382841371</v>
      </c>
      <c r="D113" s="16">
        <f t="shared" si="7"/>
        <v>0.110140044575411</v>
      </c>
      <c r="E113" s="16">
        <f t="shared" si="7"/>
        <v>0.219651129156778</v>
      </c>
      <c r="F113" s="16">
        <f t="shared" si="7"/>
        <v>0.0666056140539688</v>
      </c>
      <c r="G113" s="16">
        <f t="shared" si="7"/>
        <v>0.023236574614425</v>
      </c>
      <c r="H113" s="16">
        <f t="shared" ref="H113:M113" si="242">LN(H51/H50)</f>
        <v>0.0728855680254681</v>
      </c>
      <c r="I113" s="16">
        <f t="shared" si="242"/>
        <v>-0.01735470431955</v>
      </c>
      <c r="J113" s="16">
        <f t="shared" si="242"/>
        <v>0.0956828158984421</v>
      </c>
      <c r="K113" s="16">
        <f t="shared" si="242"/>
        <v>0.0816891083088597</v>
      </c>
      <c r="L113" s="16">
        <f t="shared" si="242"/>
        <v>0.000312861748946393</v>
      </c>
      <c r="M113" s="16">
        <f t="shared" si="242"/>
        <v>0.137265240029798</v>
      </c>
      <c r="N113" s="16">
        <f t="shared" ref="N113:AS113" si="243">LN(N51/N50)</f>
        <v>0.0929518763344108</v>
      </c>
      <c r="O113" s="16">
        <f t="shared" si="243"/>
        <v>0.141888911476841</v>
      </c>
      <c r="P113" s="16">
        <f t="shared" si="243"/>
        <v>0.0973518904555418</v>
      </c>
      <c r="Q113" s="16">
        <f t="shared" si="243"/>
        <v>0.197905960594728</v>
      </c>
      <c r="R113" s="16">
        <f t="shared" si="243"/>
        <v>0.132724814818963</v>
      </c>
      <c r="S113" s="16">
        <f t="shared" si="243"/>
        <v>-0.0519751927258875</v>
      </c>
      <c r="T113" s="16">
        <f t="shared" si="243"/>
        <v>0.0324865529972055</v>
      </c>
      <c r="U113" s="16">
        <f t="shared" si="243"/>
        <v>0.122709563967746</v>
      </c>
      <c r="V113" s="16">
        <f t="shared" si="243"/>
        <v>0.144436689013728</v>
      </c>
      <c r="W113" s="16">
        <f t="shared" si="243"/>
        <v>0.0910857058617884</v>
      </c>
      <c r="X113" s="16">
        <f t="shared" si="243"/>
        <v>0.0127268950971839</v>
      </c>
      <c r="Y113" s="16">
        <f t="shared" si="243"/>
        <v>0.145665159204729</v>
      </c>
      <c r="Z113" s="16">
        <f t="shared" si="243"/>
        <v>0.0159239955012291</v>
      </c>
      <c r="AA113" s="16">
        <f t="shared" si="243"/>
        <v>0.0847089042233678</v>
      </c>
      <c r="AB113" s="16">
        <f t="shared" si="243"/>
        <v>0.0880178243075483</v>
      </c>
      <c r="AC113" s="16">
        <f t="shared" si="243"/>
        <v>-0.0195266983795805</v>
      </c>
      <c r="AD113" s="16">
        <f t="shared" si="243"/>
        <v>0.055711692270235</v>
      </c>
      <c r="AE113" s="16">
        <f t="shared" si="243"/>
        <v>0.0678112297628375</v>
      </c>
      <c r="AF113" s="16">
        <f t="shared" si="243"/>
        <v>0.0323307098389099</v>
      </c>
      <c r="AG113" s="16">
        <f t="shared" si="243"/>
        <v>0.0618286430624946</v>
      </c>
      <c r="AH113" s="16">
        <f t="shared" si="243"/>
        <v>0.110214170165239</v>
      </c>
      <c r="AI113" s="16">
        <f t="shared" si="243"/>
        <v>0.0512093894517936</v>
      </c>
      <c r="AJ113" s="16">
        <f t="shared" si="243"/>
        <v>0.0845289740131325</v>
      </c>
      <c r="AK113" s="16">
        <f t="shared" si="243"/>
        <v>-0.120765041916818</v>
      </c>
      <c r="AL113" s="16">
        <f t="shared" si="243"/>
        <v>0.202685978129987</v>
      </c>
      <c r="AM113" s="16">
        <f t="shared" si="243"/>
        <v>0.0669214407357588</v>
      </c>
      <c r="AN113" s="16">
        <f t="shared" si="243"/>
        <v>0.0879332024986276</v>
      </c>
      <c r="AO113" s="16">
        <f t="shared" si="243"/>
        <v>0.138531270839348</v>
      </c>
      <c r="AP113" s="16">
        <f t="shared" si="243"/>
        <v>0.116212250930482</v>
      </c>
      <c r="AQ113" s="16">
        <f t="shared" si="243"/>
        <v>0.176482079999435</v>
      </c>
      <c r="AR113" s="16">
        <f t="shared" si="243"/>
        <v>0.207589556126471</v>
      </c>
      <c r="AS113" s="16">
        <f t="shared" si="243"/>
        <v>0.241488257881941</v>
      </c>
      <c r="AT113" s="16">
        <f t="shared" ref="AT113:BY113" si="244">LN(AT51/AT50)</f>
        <v>0.159883829776413</v>
      </c>
      <c r="AU113" s="16">
        <f t="shared" si="244"/>
        <v>0.159087116158545</v>
      </c>
      <c r="AV113" s="16">
        <f t="shared" si="244"/>
        <v>0.24602369034274</v>
      </c>
      <c r="AW113" s="16">
        <f t="shared" si="244"/>
        <v>0.204004659281021</v>
      </c>
      <c r="AX113" s="16">
        <f t="shared" si="244"/>
        <v>-0.000849437146674459</v>
      </c>
      <c r="AY113" s="16">
        <f t="shared" si="244"/>
        <v>0.0894811060732214</v>
      </c>
      <c r="AZ113" s="16">
        <f t="shared" si="244"/>
        <v>0.0566177090444089</v>
      </c>
      <c r="BA113" s="16">
        <f t="shared" si="244"/>
        <v>0.071689021241085</v>
      </c>
      <c r="BB113" s="16">
        <f t="shared" si="244"/>
        <v>0.115537173289678</v>
      </c>
      <c r="BC113" s="16">
        <f t="shared" si="244"/>
        <v>0.135103532725853</v>
      </c>
      <c r="BD113" s="16">
        <f t="shared" si="244"/>
        <v>0.129688790963596</v>
      </c>
      <c r="BE113" s="16">
        <f t="shared" si="244"/>
        <v>0.199708518347189</v>
      </c>
      <c r="BF113" s="16">
        <f t="shared" si="244"/>
        <v>0.100943675283237</v>
      </c>
      <c r="BG113" s="16">
        <f t="shared" si="244"/>
        <v>0.0425228347075783</v>
      </c>
      <c r="BH113" s="16">
        <f t="shared" si="244"/>
        <v>0.057123389264919</v>
      </c>
      <c r="BI113" s="16">
        <f t="shared" si="244"/>
        <v>0.27888454343514</v>
      </c>
      <c r="BJ113" s="16">
        <f t="shared" si="244"/>
        <v>0.238718131237859</v>
      </c>
      <c r="BK113" s="16">
        <f t="shared" si="244"/>
        <v>0.0206308173049501</v>
      </c>
      <c r="BL113" s="16">
        <f t="shared" si="244"/>
        <v>0.119723269132718</v>
      </c>
      <c r="BM113" s="16">
        <f t="shared" si="244"/>
        <v>0.163988208118291</v>
      </c>
      <c r="BN113" s="16">
        <f t="shared" si="244"/>
        <v>0.114891289883929</v>
      </c>
      <c r="BO113" s="16">
        <f t="shared" si="244"/>
        <v>0.0393345684664735</v>
      </c>
      <c r="BP113" s="16">
        <f t="shared" si="244"/>
        <v>0.1270467600621</v>
      </c>
      <c r="BQ113" s="16">
        <f t="shared" si="244"/>
        <v>0.07581587467339</v>
      </c>
      <c r="BR113" s="16">
        <f t="shared" si="244"/>
        <v>0.0827678720583579</v>
      </c>
      <c r="BS113" s="16">
        <f t="shared" si="244"/>
        <v>0.223303785009234</v>
      </c>
      <c r="BT113" s="16">
        <f t="shared" si="244"/>
        <v>0.376606279646184</v>
      </c>
      <c r="BU113" s="16">
        <f t="shared" si="244"/>
        <v>0.125409145677073</v>
      </c>
      <c r="BV113" s="16">
        <f t="shared" si="244"/>
        <v>0.0369743662472563</v>
      </c>
      <c r="BW113" s="16">
        <f t="shared" si="244"/>
        <v>0.192629459640101</v>
      </c>
      <c r="BX113" s="16">
        <f t="shared" si="244"/>
        <v>0.055484892717632</v>
      </c>
      <c r="BY113" s="16">
        <f t="shared" si="244"/>
        <v>0.00284816241683737</v>
      </c>
      <c r="BZ113" s="16">
        <f t="shared" ref="BZ113:DE113" si="245">LN(BZ51/BZ50)</f>
        <v>0.0183646136157004</v>
      </c>
      <c r="CA113" s="16">
        <f t="shared" si="245"/>
        <v>0.0710715395210705</v>
      </c>
      <c r="CB113" s="16">
        <f t="shared" si="245"/>
        <v>0.0788822385316581</v>
      </c>
      <c r="CC113" s="16">
        <f t="shared" si="245"/>
        <v>0.0644768990166619</v>
      </c>
      <c r="CD113" s="16">
        <f t="shared" si="245"/>
        <v>0.0801378490651986</v>
      </c>
      <c r="CE113" s="16">
        <f t="shared" si="245"/>
        <v>0.174183985764926</v>
      </c>
      <c r="CF113" s="16">
        <f t="shared" si="245"/>
        <v>0.250393677525156</v>
      </c>
      <c r="CG113" s="16">
        <f t="shared" si="245"/>
        <v>0.110482446710529</v>
      </c>
      <c r="CH113" s="16">
        <f t="shared" si="245"/>
        <v>0.0783615124869545</v>
      </c>
      <c r="CI113" s="16">
        <f t="shared" si="245"/>
        <v>0.111569125235497</v>
      </c>
      <c r="CJ113" s="16">
        <f t="shared" si="245"/>
        <v>0.0875993819253788</v>
      </c>
      <c r="CK113" s="16">
        <f t="shared" si="245"/>
        <v>0.0740146963102986</v>
      </c>
      <c r="CL113" s="16">
        <f t="shared" si="245"/>
        <v>0.261061031885385</v>
      </c>
      <c r="CM113" s="16">
        <f t="shared" si="245"/>
        <v>-0.0268762397742954</v>
      </c>
      <c r="CN113" s="16">
        <f t="shared" si="245"/>
        <v>0.0160886682130222</v>
      </c>
      <c r="CO113" s="16">
        <f t="shared" si="245"/>
        <v>0.0384298802059932</v>
      </c>
      <c r="CP113" s="16">
        <f t="shared" si="245"/>
        <v>-0.00703908642510243</v>
      </c>
      <c r="CQ113" s="16">
        <f t="shared" si="245"/>
        <v>-0.0209167704238888</v>
      </c>
      <c r="CR113" s="16">
        <f t="shared" si="245"/>
        <v>0.0765522670826298</v>
      </c>
      <c r="CS113" s="16">
        <f t="shared" si="245"/>
        <v>0.185525580918293</v>
      </c>
      <c r="CT113" s="16">
        <f t="shared" si="245"/>
        <v>0.409603264578437</v>
      </c>
      <c r="CU113" s="16">
        <f t="shared" si="245"/>
        <v>0.120831616452089</v>
      </c>
      <c r="CV113" s="16">
        <f t="shared" si="245"/>
        <v>0.0851264829636166</v>
      </c>
      <c r="CW113" s="16">
        <f t="shared" si="245"/>
        <v>0.0993764512493557</v>
      </c>
      <c r="CX113" s="16">
        <f t="shared" si="245"/>
        <v>0.141283369428841</v>
      </c>
      <c r="CY113" s="16">
        <f t="shared" si="245"/>
        <v>0.131974164175916</v>
      </c>
      <c r="CZ113" s="16">
        <f t="shared" si="245"/>
        <v>0.0979109615043822</v>
      </c>
      <c r="DA113" s="16">
        <f t="shared" si="245"/>
        <v>0.0513118333332412</v>
      </c>
      <c r="DB113" s="16">
        <f t="shared" si="245"/>
        <v>0.254857526803737</v>
      </c>
      <c r="DC113" s="16">
        <f t="shared" si="245"/>
        <v>0.317142387398321</v>
      </c>
      <c r="DD113" s="16">
        <f t="shared" si="245"/>
        <v>-0.011299624887634</v>
      </c>
      <c r="DE113" s="16">
        <f t="shared" si="245"/>
        <v>0.0660079223416876</v>
      </c>
      <c r="DF113" s="16">
        <f t="shared" ref="DF113:DU113" si="246">LN(DF51/DF50)</f>
        <v>0.0857804847701467</v>
      </c>
      <c r="DG113" s="16">
        <f t="shared" si="246"/>
        <v>0.0176995770994006</v>
      </c>
      <c r="DH113" s="16">
        <f t="shared" si="246"/>
        <v>0.0717118254079944</v>
      </c>
      <c r="DI113" s="16">
        <f t="shared" si="246"/>
        <v>0.156075703456694</v>
      </c>
      <c r="DJ113" s="16">
        <f t="shared" si="246"/>
        <v>0.22664815336372</v>
      </c>
      <c r="DK113" s="16">
        <f t="shared" si="246"/>
        <v>0.335934121535357</v>
      </c>
      <c r="DL113" s="16">
        <f t="shared" si="246"/>
        <v>0.234441921198142</v>
      </c>
      <c r="DM113" s="16">
        <f t="shared" si="246"/>
        <v>0.324214599197236</v>
      </c>
      <c r="DN113" s="16">
        <f t="shared" si="246"/>
        <v>0.237123888614469</v>
      </c>
      <c r="DO113" s="16">
        <f t="shared" si="246"/>
        <v>0.54590961981298</v>
      </c>
      <c r="DP113" s="16">
        <f t="shared" si="246"/>
        <v>0.448926355315048</v>
      </c>
      <c r="DQ113" s="16">
        <f t="shared" si="246"/>
        <v>0.431322213437857</v>
      </c>
      <c r="DR113" s="16">
        <f t="shared" si="246"/>
        <v>0.330429700646514</v>
      </c>
      <c r="DS113" s="16">
        <f t="shared" si="246"/>
        <v>0.236994138466995</v>
      </c>
      <c r="DT113" s="16">
        <f t="shared" si="246"/>
        <v>0.40727192055516</v>
      </c>
      <c r="DU113" s="16">
        <f t="shared" si="246"/>
        <v>0.378110224658797</v>
      </c>
      <c r="DV113" s="16">
        <f t="shared" si="13"/>
        <v>0.442801197994801</v>
      </c>
      <c r="DW113" s="16">
        <f t="shared" si="216"/>
        <v>0.380308518192805</v>
      </c>
      <c r="DX113" s="16">
        <f t="shared" si="216"/>
        <v>0.16823903656394</v>
      </c>
      <c r="DY113" s="16">
        <f t="shared" si="216"/>
        <v>0.183755211337783</v>
      </c>
      <c r="DZ113" s="16">
        <f t="shared" si="216"/>
        <v>0.160965330013871</v>
      </c>
    </row>
    <row r="114" ht="14" spans="1:130">
      <c r="A114" s="32">
        <v>44166</v>
      </c>
      <c r="B114" s="16">
        <f t="shared" si="6"/>
        <v>0.0910636201791634</v>
      </c>
      <c r="C114" s="16">
        <f t="shared" si="6"/>
        <v>-0.0297096509291043</v>
      </c>
      <c r="D114" s="16">
        <f t="shared" si="7"/>
        <v>0.152869582424313</v>
      </c>
      <c r="E114" s="16">
        <f t="shared" si="7"/>
        <v>0.0242773741251696</v>
      </c>
      <c r="F114" s="16">
        <f t="shared" si="7"/>
        <v>0.0173874310077252</v>
      </c>
      <c r="G114" s="16">
        <f t="shared" si="7"/>
        <v>0.0416439455396189</v>
      </c>
      <c r="H114" s="16">
        <f t="shared" ref="H114:M114" si="247">LN(H52/H51)</f>
        <v>-0.00594717794368043</v>
      </c>
      <c r="I114" s="16">
        <f t="shared" si="247"/>
        <v>0.00171913988902132</v>
      </c>
      <c r="J114" s="16">
        <f t="shared" si="247"/>
        <v>0.138671996041988</v>
      </c>
      <c r="K114" s="16">
        <f t="shared" si="247"/>
        <v>0.0809934065087333</v>
      </c>
      <c r="L114" s="16">
        <f t="shared" si="247"/>
        <v>0.145425466936388</v>
      </c>
      <c r="M114" s="16">
        <f t="shared" si="247"/>
        <v>0.0135096650343209</v>
      </c>
      <c r="N114" s="16">
        <f t="shared" ref="N114:AS114" si="248">LN(N52/N51)</f>
        <v>0.0584955342370741</v>
      </c>
      <c r="O114" s="16">
        <f t="shared" si="248"/>
        <v>-0.00904920313104676</v>
      </c>
      <c r="P114" s="16">
        <f t="shared" si="248"/>
        <v>0.041751478505101</v>
      </c>
      <c r="Q114" s="16">
        <f t="shared" si="248"/>
        <v>0.00749524037657203</v>
      </c>
      <c r="R114" s="16">
        <f t="shared" si="248"/>
        <v>0.0302579247237129</v>
      </c>
      <c r="S114" s="16">
        <f t="shared" si="248"/>
        <v>-0.0659205323321769</v>
      </c>
      <c r="T114" s="16">
        <f t="shared" si="248"/>
        <v>0.0116670522328977</v>
      </c>
      <c r="U114" s="16">
        <f t="shared" si="248"/>
        <v>0.0298061751813055</v>
      </c>
      <c r="V114" s="16">
        <f t="shared" si="248"/>
        <v>0.0486675629573566</v>
      </c>
      <c r="W114" s="16">
        <f t="shared" si="248"/>
        <v>0.0792582871839533</v>
      </c>
      <c r="X114" s="16">
        <f t="shared" si="248"/>
        <v>0.0314256603069713</v>
      </c>
      <c r="Y114" s="16">
        <f t="shared" si="248"/>
        <v>0.108091778073273</v>
      </c>
      <c r="Z114" s="16">
        <f t="shared" si="248"/>
        <v>0.063436327942464</v>
      </c>
      <c r="AA114" s="16">
        <f t="shared" si="248"/>
        <v>0.119365695542906</v>
      </c>
      <c r="AB114" s="16">
        <f t="shared" si="248"/>
        <v>0.0157931455643769</v>
      </c>
      <c r="AC114" s="16">
        <f t="shared" si="248"/>
        <v>0.0533680516755816</v>
      </c>
      <c r="AD114" s="16">
        <f t="shared" si="248"/>
        <v>0.040878639135387</v>
      </c>
      <c r="AE114" s="16">
        <f t="shared" si="248"/>
        <v>0.0442545566240265</v>
      </c>
      <c r="AF114" s="16">
        <f t="shared" si="248"/>
        <v>0.114002900133924</v>
      </c>
      <c r="AG114" s="16">
        <f t="shared" si="248"/>
        <v>0.13060403516851</v>
      </c>
      <c r="AH114" s="16">
        <f t="shared" si="248"/>
        <v>0.18673443009141</v>
      </c>
      <c r="AI114" s="16">
        <f t="shared" si="248"/>
        <v>0.0752176449141597</v>
      </c>
      <c r="AJ114" s="16">
        <f t="shared" si="248"/>
        <v>0.0141968811311909</v>
      </c>
      <c r="AK114" s="16">
        <f t="shared" si="248"/>
        <v>0.137640547104824</v>
      </c>
      <c r="AL114" s="16">
        <f t="shared" si="248"/>
        <v>0.0775591510811053</v>
      </c>
      <c r="AM114" s="16">
        <f t="shared" si="248"/>
        <v>-0.0261956100608794</v>
      </c>
      <c r="AN114" s="16">
        <f t="shared" si="248"/>
        <v>0.0371975064751411</v>
      </c>
      <c r="AO114" s="16">
        <f t="shared" si="248"/>
        <v>0.0864697041867172</v>
      </c>
      <c r="AP114" s="16">
        <f t="shared" si="248"/>
        <v>0.0177025985721946</v>
      </c>
      <c r="AQ114" s="16">
        <f t="shared" si="248"/>
        <v>0.0345262980615054</v>
      </c>
      <c r="AR114" s="16">
        <f t="shared" si="248"/>
        <v>-0.0103054554176495</v>
      </c>
      <c r="AS114" s="16">
        <f t="shared" si="248"/>
        <v>0.159597048494491</v>
      </c>
      <c r="AT114" s="16">
        <f t="shared" ref="AT114:BY114" si="249">LN(AT52/AT51)</f>
        <v>0.060336912720274</v>
      </c>
      <c r="AU114" s="16">
        <f t="shared" si="249"/>
        <v>0.00371699575832905</v>
      </c>
      <c r="AV114" s="16">
        <f t="shared" si="249"/>
        <v>0.0302647997508685</v>
      </c>
      <c r="AW114" s="16">
        <f t="shared" si="249"/>
        <v>-0.0234762318251555</v>
      </c>
      <c r="AX114" s="16">
        <f t="shared" si="249"/>
        <v>0.0832467221952299</v>
      </c>
      <c r="AY114" s="16">
        <f t="shared" si="249"/>
        <v>0.110195825682628</v>
      </c>
      <c r="AZ114" s="16">
        <f t="shared" si="249"/>
        <v>-0.0994562731539099</v>
      </c>
      <c r="BA114" s="16">
        <f t="shared" si="249"/>
        <v>0.0292745194881906</v>
      </c>
      <c r="BB114" s="16">
        <f t="shared" si="249"/>
        <v>0.0245340500607698</v>
      </c>
      <c r="BC114" s="16">
        <f t="shared" si="249"/>
        <v>0.0956584878636058</v>
      </c>
      <c r="BD114" s="16">
        <f t="shared" si="249"/>
        <v>0.0107503627936346</v>
      </c>
      <c r="BE114" s="16">
        <f t="shared" si="249"/>
        <v>0.114484270351665</v>
      </c>
      <c r="BF114" s="16">
        <f t="shared" si="249"/>
        <v>0.0333224506546259</v>
      </c>
      <c r="BG114" s="16">
        <f t="shared" si="249"/>
        <v>0.027671933757332</v>
      </c>
      <c r="BH114" s="16">
        <f t="shared" si="249"/>
        <v>-0.000454498443717078</v>
      </c>
      <c r="BI114" s="16">
        <f t="shared" si="249"/>
        <v>0.101738531703217</v>
      </c>
      <c r="BJ114" s="16">
        <f t="shared" si="249"/>
        <v>-0.051485398892992</v>
      </c>
      <c r="BK114" s="16">
        <f t="shared" si="249"/>
        <v>-0.00731413640453178</v>
      </c>
      <c r="BL114" s="16">
        <f t="shared" si="249"/>
        <v>0.0921749340097563</v>
      </c>
      <c r="BM114" s="16">
        <f t="shared" si="249"/>
        <v>0.0981858824149194</v>
      </c>
      <c r="BN114" s="16">
        <f t="shared" si="249"/>
        <v>0.0490380862205897</v>
      </c>
      <c r="BO114" s="16">
        <f t="shared" si="249"/>
        <v>-0.0434297907594951</v>
      </c>
      <c r="BP114" s="16">
        <f t="shared" si="249"/>
        <v>0.0590671646026406</v>
      </c>
      <c r="BQ114" s="16">
        <f t="shared" si="249"/>
        <v>-0.0283613232724821</v>
      </c>
      <c r="BR114" s="16">
        <f t="shared" si="249"/>
        <v>0.0480403538888745</v>
      </c>
      <c r="BS114" s="16">
        <f t="shared" si="249"/>
        <v>0.0935046656564237</v>
      </c>
      <c r="BT114" s="16">
        <f t="shared" si="249"/>
        <v>0.080735468352437</v>
      </c>
      <c r="BU114" s="16">
        <f t="shared" si="249"/>
        <v>0.03023795394248</v>
      </c>
      <c r="BV114" s="16">
        <f t="shared" si="249"/>
        <v>-0.0234794008273861</v>
      </c>
      <c r="BW114" s="16">
        <f t="shared" si="249"/>
        <v>-0.0426380074775387</v>
      </c>
      <c r="BX114" s="16">
        <f t="shared" si="249"/>
        <v>0.00141721894191057</v>
      </c>
      <c r="BY114" s="16">
        <f t="shared" si="249"/>
        <v>0.0643059141762242</v>
      </c>
      <c r="BZ114" s="16">
        <f t="shared" ref="BZ114:DE114" si="250">LN(BZ52/BZ51)</f>
        <v>0.00194231604119012</v>
      </c>
      <c r="CA114" s="16">
        <f t="shared" si="250"/>
        <v>0.068708377408</v>
      </c>
      <c r="CB114" s="16">
        <f t="shared" si="250"/>
        <v>0.0278278311958762</v>
      </c>
      <c r="CC114" s="16">
        <f t="shared" si="250"/>
        <v>0.0888688938550261</v>
      </c>
      <c r="CD114" s="16">
        <f t="shared" si="250"/>
        <v>-0.011530423198392</v>
      </c>
      <c r="CE114" s="16">
        <f t="shared" si="250"/>
        <v>0.0246061407103719</v>
      </c>
      <c r="CF114" s="16">
        <f t="shared" si="250"/>
        <v>0.0473037172063023</v>
      </c>
      <c r="CG114" s="16">
        <f t="shared" si="250"/>
        <v>0.083796157058316</v>
      </c>
      <c r="CH114" s="16">
        <f t="shared" si="250"/>
        <v>0.0175988911629553</v>
      </c>
      <c r="CI114" s="16">
        <f t="shared" si="250"/>
        <v>0.0416486290705492</v>
      </c>
      <c r="CJ114" s="16">
        <f t="shared" si="250"/>
        <v>-0.00151906740004418</v>
      </c>
      <c r="CK114" s="16">
        <f t="shared" si="250"/>
        <v>0.0627925375824275</v>
      </c>
      <c r="CL114" s="16">
        <f t="shared" si="250"/>
        <v>0.0408165088329374</v>
      </c>
      <c r="CM114" s="16">
        <f t="shared" si="250"/>
        <v>-0.0121549603150743</v>
      </c>
      <c r="CN114" s="16">
        <f t="shared" si="250"/>
        <v>-0.0176188322734541</v>
      </c>
      <c r="CO114" s="16">
        <f t="shared" si="250"/>
        <v>0.0223183205556363</v>
      </c>
      <c r="CP114" s="16">
        <f t="shared" si="250"/>
        <v>-0.00342484654985504</v>
      </c>
      <c r="CQ114" s="16">
        <f t="shared" si="250"/>
        <v>1.36061586515178e-5</v>
      </c>
      <c r="CR114" s="16">
        <f t="shared" si="250"/>
        <v>-0.0339568829624957</v>
      </c>
      <c r="CS114" s="16">
        <f t="shared" si="250"/>
        <v>0.00941393855131117</v>
      </c>
      <c r="CT114" s="16">
        <f t="shared" si="250"/>
        <v>0.056505228656386</v>
      </c>
      <c r="CU114" s="16">
        <f t="shared" si="250"/>
        <v>0.0374069586948367</v>
      </c>
      <c r="CV114" s="16">
        <f t="shared" si="250"/>
        <v>-0.00965102829081252</v>
      </c>
      <c r="CW114" s="16">
        <f t="shared" si="250"/>
        <v>-0.0987988575105429</v>
      </c>
      <c r="CX114" s="16">
        <f t="shared" si="250"/>
        <v>-0.0204785313435407</v>
      </c>
      <c r="CY114" s="16">
        <f t="shared" si="250"/>
        <v>0.816972530672291</v>
      </c>
      <c r="CZ114" s="16">
        <f t="shared" si="250"/>
        <v>-0.0137558422777533</v>
      </c>
      <c r="DA114" s="16">
        <f t="shared" si="250"/>
        <v>-0.0568890926313474</v>
      </c>
      <c r="DB114" s="16">
        <f t="shared" si="250"/>
        <v>0.112386368484229</v>
      </c>
      <c r="DC114" s="16">
        <f t="shared" si="250"/>
        <v>0.0202086306530358</v>
      </c>
      <c r="DD114" s="16">
        <f t="shared" si="250"/>
        <v>0.0480682016814494</v>
      </c>
      <c r="DE114" s="16">
        <f t="shared" si="250"/>
        <v>-0.0410553314640522</v>
      </c>
      <c r="DF114" s="16">
        <f t="shared" ref="DF114:DU114" si="251">LN(DF52/DF51)</f>
        <v>0.0426511517889912</v>
      </c>
      <c r="DG114" s="16">
        <f t="shared" si="251"/>
        <v>0.02169282461126</v>
      </c>
      <c r="DH114" s="16">
        <f t="shared" si="251"/>
        <v>0.0457835646258102</v>
      </c>
      <c r="DI114" s="16">
        <f t="shared" si="251"/>
        <v>0.101762284560675</v>
      </c>
      <c r="DJ114" s="16">
        <f t="shared" si="251"/>
        <v>-0.0172082807882214</v>
      </c>
      <c r="DK114" s="16">
        <f t="shared" si="251"/>
        <v>0.0108109467448682</v>
      </c>
      <c r="DL114" s="16">
        <f t="shared" si="251"/>
        <v>0.124279895682867</v>
      </c>
      <c r="DM114" s="16">
        <f t="shared" si="251"/>
        <v>0.0618285360215166</v>
      </c>
      <c r="DN114" s="16">
        <f t="shared" si="251"/>
        <v>0.112351533074678</v>
      </c>
      <c r="DO114" s="16">
        <f t="shared" si="251"/>
        <v>0.0938088427104236</v>
      </c>
      <c r="DP114" s="16">
        <f t="shared" si="251"/>
        <v>0.122300020546838</v>
      </c>
      <c r="DQ114" s="16">
        <f t="shared" si="251"/>
        <v>0.203262590914636</v>
      </c>
      <c r="DR114" s="16">
        <f t="shared" si="251"/>
        <v>0.0488133011496128</v>
      </c>
      <c r="DS114" s="16">
        <f t="shared" si="251"/>
        <v>0.119270768648615</v>
      </c>
      <c r="DT114" s="16">
        <f t="shared" si="251"/>
        <v>0.1232500886673</v>
      </c>
      <c r="DU114" s="16">
        <f t="shared" si="251"/>
        <v>0.113241289271814</v>
      </c>
      <c r="DV114" s="16">
        <f t="shared" si="13"/>
        <v>0.0960855828520782</v>
      </c>
      <c r="DW114" s="16">
        <f t="shared" si="216"/>
        <v>0.217730760835276</v>
      </c>
      <c r="DX114" s="16">
        <f t="shared" si="216"/>
        <v>0.0836105100671864</v>
      </c>
      <c r="DY114" s="16">
        <f t="shared" si="216"/>
        <v>0.148680978923576</v>
      </c>
      <c r="DZ114" s="16">
        <f t="shared" si="216"/>
        <v>-0.0324594809161164</v>
      </c>
    </row>
    <row r="115" ht="14" spans="1:130">
      <c r="A115" s="32">
        <v>44197</v>
      </c>
      <c r="B115" s="16">
        <f t="shared" si="6"/>
        <v>0.0358842234459604</v>
      </c>
      <c r="C115" s="16">
        <f t="shared" si="6"/>
        <v>-0.0250324781059237</v>
      </c>
      <c r="D115" s="16">
        <f t="shared" si="7"/>
        <v>0.208442525991297</v>
      </c>
      <c r="E115" s="16">
        <f t="shared" si="7"/>
        <v>-0.0445618764982721</v>
      </c>
      <c r="F115" s="16">
        <f t="shared" si="7"/>
        <v>-0.0516971281127775</v>
      </c>
      <c r="G115" s="16">
        <f t="shared" si="7"/>
        <v>0.0488479889647436</v>
      </c>
      <c r="H115" s="16">
        <f t="shared" ref="H115:M115" si="252">LN(H53/H52)</f>
        <v>-0.00177487712182702</v>
      </c>
      <c r="I115" s="16">
        <f t="shared" si="252"/>
        <v>0.0905756116945834</v>
      </c>
      <c r="J115" s="16">
        <f t="shared" si="252"/>
        <v>0.141968671444004</v>
      </c>
      <c r="K115" s="16">
        <f t="shared" si="252"/>
        <v>-0.0433157489110163</v>
      </c>
      <c r="L115" s="16">
        <f t="shared" si="252"/>
        <v>0.0137799835524941</v>
      </c>
      <c r="M115" s="16">
        <f t="shared" si="252"/>
        <v>0.0140788175660345</v>
      </c>
      <c r="N115" s="16">
        <f t="shared" ref="N115:AS115" si="253">LN(N53/N52)</f>
        <v>-0.00767575273200226</v>
      </c>
      <c r="O115" s="16">
        <f t="shared" si="253"/>
        <v>0.0246309759316067</v>
      </c>
      <c r="P115" s="16">
        <f t="shared" si="253"/>
        <v>-0.0463999634090003</v>
      </c>
      <c r="Q115" s="16">
        <f t="shared" si="253"/>
        <v>0.0478832959345794</v>
      </c>
      <c r="R115" s="16">
        <f t="shared" si="253"/>
        <v>-0.075111364783952</v>
      </c>
      <c r="S115" s="16">
        <f t="shared" si="253"/>
        <v>0.0420143863584822</v>
      </c>
      <c r="T115" s="16">
        <f t="shared" si="253"/>
        <v>0.121136514885663</v>
      </c>
      <c r="U115" s="16">
        <f t="shared" si="253"/>
        <v>-0.0458890053850684</v>
      </c>
      <c r="V115" s="16">
        <f t="shared" si="253"/>
        <v>-0.100594043671717</v>
      </c>
      <c r="W115" s="16">
        <f t="shared" si="253"/>
        <v>0.100303066831607</v>
      </c>
      <c r="X115" s="16">
        <f t="shared" si="253"/>
        <v>-0.0703970739532552</v>
      </c>
      <c r="Y115" s="16">
        <f t="shared" si="253"/>
        <v>-0.0980352888603175</v>
      </c>
      <c r="Z115" s="16">
        <f t="shared" si="253"/>
        <v>0.0486627829367053</v>
      </c>
      <c r="AA115" s="16">
        <f t="shared" si="253"/>
        <v>-0.0900629998216755</v>
      </c>
      <c r="AB115" s="16">
        <f t="shared" si="253"/>
        <v>-0.0530875587936678</v>
      </c>
      <c r="AC115" s="16">
        <f t="shared" si="253"/>
        <v>-0.0402128206650023</v>
      </c>
      <c r="AD115" s="16">
        <f t="shared" si="253"/>
        <v>0.0419978725194503</v>
      </c>
      <c r="AE115" s="16">
        <f t="shared" si="253"/>
        <v>-0.0862990744780835</v>
      </c>
      <c r="AF115" s="16">
        <f t="shared" si="253"/>
        <v>-0.0681209689750308</v>
      </c>
      <c r="AG115" s="16">
        <f t="shared" si="253"/>
        <v>-0.0147275777827084</v>
      </c>
      <c r="AH115" s="16">
        <f t="shared" si="253"/>
        <v>-0.0257788415883367</v>
      </c>
      <c r="AI115" s="16">
        <f t="shared" si="253"/>
        <v>-0.108909628248323</v>
      </c>
      <c r="AJ115" s="16">
        <f t="shared" si="253"/>
        <v>0.0559353275393245</v>
      </c>
      <c r="AK115" s="16">
        <f t="shared" si="253"/>
        <v>0.0138590318008793</v>
      </c>
      <c r="AL115" s="16">
        <f t="shared" si="253"/>
        <v>0.107716496821112</v>
      </c>
      <c r="AM115" s="16">
        <f t="shared" si="253"/>
        <v>-0.0047145970555842</v>
      </c>
      <c r="AN115" s="16">
        <f t="shared" si="253"/>
        <v>0.108146509967148</v>
      </c>
      <c r="AO115" s="16">
        <f t="shared" si="253"/>
        <v>0.0369661682593315</v>
      </c>
      <c r="AP115" s="16">
        <f t="shared" si="253"/>
        <v>0.00945957126117353</v>
      </c>
      <c r="AQ115" s="16">
        <f t="shared" si="253"/>
        <v>0.0298406281025337</v>
      </c>
      <c r="AR115" s="16">
        <f t="shared" si="253"/>
        <v>-0.0684789608493708</v>
      </c>
      <c r="AS115" s="16">
        <f t="shared" si="253"/>
        <v>0.0402790623782788</v>
      </c>
      <c r="AT115" s="16">
        <f t="shared" ref="AT115:BY115" si="254">LN(AT53/AT52)</f>
        <v>0.00170628193803911</v>
      </c>
      <c r="AU115" s="16">
        <f t="shared" si="254"/>
        <v>0.0115295544286343</v>
      </c>
      <c r="AV115" s="16">
        <f t="shared" si="254"/>
        <v>-0.014587375023372</v>
      </c>
      <c r="AW115" s="16">
        <f t="shared" si="254"/>
        <v>-0.0822965447095931</v>
      </c>
      <c r="AX115" s="16">
        <f t="shared" si="254"/>
        <v>0.101723029517711</v>
      </c>
      <c r="AY115" s="16">
        <f t="shared" si="254"/>
        <v>-0.00551683856089596</v>
      </c>
      <c r="AZ115" s="16">
        <f t="shared" si="254"/>
        <v>0.0135242749609568</v>
      </c>
      <c r="BA115" s="16">
        <f t="shared" si="254"/>
        <v>-0.0132958551171055</v>
      </c>
      <c r="BB115" s="16">
        <f t="shared" si="254"/>
        <v>-0.0357985100601311</v>
      </c>
      <c r="BC115" s="16">
        <f t="shared" si="254"/>
        <v>0.0694520488611074</v>
      </c>
      <c r="BD115" s="16">
        <f t="shared" si="254"/>
        <v>-0.0692754243723447</v>
      </c>
      <c r="BE115" s="16">
        <f t="shared" si="254"/>
        <v>-0.00199225467824297</v>
      </c>
      <c r="BF115" s="16">
        <f t="shared" si="254"/>
        <v>-0.0552815887429915</v>
      </c>
      <c r="BG115" s="16">
        <f t="shared" si="254"/>
        <v>-0.0156985986189911</v>
      </c>
      <c r="BH115" s="16">
        <f t="shared" si="254"/>
        <v>0.117407263538354</v>
      </c>
      <c r="BI115" s="16">
        <f t="shared" si="254"/>
        <v>0.112479179345021</v>
      </c>
      <c r="BJ115" s="16">
        <f t="shared" si="254"/>
        <v>0.19647011170617</v>
      </c>
      <c r="BK115" s="16">
        <f t="shared" si="254"/>
        <v>-0.0319142383691974</v>
      </c>
      <c r="BL115" s="16">
        <f t="shared" si="254"/>
        <v>-0.0998917468681493</v>
      </c>
      <c r="BM115" s="16">
        <f t="shared" si="254"/>
        <v>-0.018897926126057</v>
      </c>
      <c r="BN115" s="16">
        <f t="shared" si="254"/>
        <v>-0.0553023352731992</v>
      </c>
      <c r="BO115" s="16">
        <f t="shared" si="254"/>
        <v>0.0248255353993488</v>
      </c>
      <c r="BP115" s="16">
        <f t="shared" si="254"/>
        <v>-0.0179357635812603</v>
      </c>
      <c r="BQ115" s="16">
        <f t="shared" si="254"/>
        <v>-0.0569691338782381</v>
      </c>
      <c r="BR115" s="16">
        <f t="shared" si="254"/>
        <v>-0.0731283610787881</v>
      </c>
      <c r="BS115" s="16">
        <f t="shared" si="254"/>
        <v>-0.135859175543523</v>
      </c>
      <c r="BT115" s="16">
        <f t="shared" si="254"/>
        <v>-0.148549284019213</v>
      </c>
      <c r="BU115" s="16">
        <f t="shared" si="254"/>
        <v>-0.0673426161138812</v>
      </c>
      <c r="BV115" s="16">
        <f t="shared" si="254"/>
        <v>-0.0316435339174806</v>
      </c>
      <c r="BW115" s="16">
        <f t="shared" si="254"/>
        <v>0.0916613730610872</v>
      </c>
      <c r="BX115" s="16">
        <f t="shared" si="254"/>
        <v>0.00821806745307027</v>
      </c>
      <c r="BY115" s="16">
        <f t="shared" si="254"/>
        <v>-0.0530526954676022</v>
      </c>
      <c r="BZ115" s="16">
        <f t="shared" ref="BZ115:DE115" si="255">LN(BZ53/BZ52)</f>
        <v>-0.0818108553628155</v>
      </c>
      <c r="CA115" s="16">
        <f t="shared" si="255"/>
        <v>-0.13009871854325</v>
      </c>
      <c r="CB115" s="16">
        <f t="shared" si="255"/>
        <v>-0.0753011599839099</v>
      </c>
      <c r="CC115" s="16">
        <f t="shared" si="255"/>
        <v>-0.0243056804204347</v>
      </c>
      <c r="CD115" s="16">
        <f t="shared" si="255"/>
        <v>-0.0340386840457772</v>
      </c>
      <c r="CE115" s="16">
        <f t="shared" si="255"/>
        <v>0.00915180260022836</v>
      </c>
      <c r="CF115" s="16">
        <f t="shared" si="255"/>
        <v>-0.109006809515413</v>
      </c>
      <c r="CG115" s="16">
        <f t="shared" si="255"/>
        <v>-0.117627952694003</v>
      </c>
      <c r="CH115" s="16">
        <f t="shared" si="255"/>
        <v>-0.0478087151525255</v>
      </c>
      <c r="CI115" s="16">
        <f t="shared" si="255"/>
        <v>0.000709078472423681</v>
      </c>
      <c r="CJ115" s="16">
        <f t="shared" si="255"/>
        <v>-0.0919245602562555</v>
      </c>
      <c r="CK115" s="16">
        <f t="shared" si="255"/>
        <v>-0.0337421242554457</v>
      </c>
      <c r="CL115" s="16">
        <f t="shared" si="255"/>
        <v>-0.0377352112473772</v>
      </c>
      <c r="CM115" s="16">
        <f t="shared" si="255"/>
        <v>0.00534930223064679</v>
      </c>
      <c r="CN115" s="16">
        <f t="shared" si="255"/>
        <v>-0.0543172509091671</v>
      </c>
      <c r="CO115" s="16">
        <f t="shared" si="255"/>
        <v>-0.061895180207607</v>
      </c>
      <c r="CP115" s="16">
        <f t="shared" si="255"/>
        <v>-0.0326254701684448</v>
      </c>
      <c r="CQ115" s="16">
        <f t="shared" si="255"/>
        <v>0.0366612833118609</v>
      </c>
      <c r="CR115" s="16">
        <f t="shared" si="255"/>
        <v>-0.00497601208414453</v>
      </c>
      <c r="CS115" s="16">
        <f t="shared" si="255"/>
        <v>0.123471828342046</v>
      </c>
      <c r="CT115" s="16">
        <f t="shared" si="255"/>
        <v>-0.0721930804059315</v>
      </c>
      <c r="CU115" s="16">
        <f t="shared" si="255"/>
        <v>-0.0117980337456348</v>
      </c>
      <c r="CV115" s="16">
        <f t="shared" si="255"/>
        <v>-0.0829172972134009</v>
      </c>
      <c r="CW115" s="16">
        <f t="shared" si="255"/>
        <v>-0.0959505349500635</v>
      </c>
      <c r="CX115" s="16">
        <f t="shared" si="255"/>
        <v>0</v>
      </c>
      <c r="CY115" s="16">
        <f t="shared" si="255"/>
        <v>-0.199332902620491</v>
      </c>
      <c r="CZ115" s="16">
        <f t="shared" si="255"/>
        <v>0.0431721718652088</v>
      </c>
      <c r="DA115" s="16">
        <f t="shared" si="255"/>
        <v>-0.0184389043453145</v>
      </c>
      <c r="DB115" s="16">
        <f t="shared" si="255"/>
        <v>-0.126478742623937</v>
      </c>
      <c r="DC115" s="16">
        <f t="shared" si="255"/>
        <v>0.0827253607492272</v>
      </c>
      <c r="DD115" s="16">
        <f t="shared" si="255"/>
        <v>0.00360387574128197</v>
      </c>
      <c r="DE115" s="16">
        <f t="shared" si="255"/>
        <v>-0.00532662921370971</v>
      </c>
      <c r="DF115" s="16">
        <f t="shared" ref="DF115:DU115" si="256">LN(DF53/DF52)</f>
        <v>-0.0797649684688626</v>
      </c>
      <c r="DG115" s="16">
        <f t="shared" si="256"/>
        <v>0.105789608133837</v>
      </c>
      <c r="DH115" s="16">
        <f t="shared" si="256"/>
        <v>-0.0166315958929409</v>
      </c>
      <c r="DI115" s="16">
        <f t="shared" si="256"/>
        <v>0.0841770532295344</v>
      </c>
      <c r="DJ115" s="16">
        <f t="shared" si="256"/>
        <v>0.00884174373230747</v>
      </c>
      <c r="DK115" s="16">
        <f t="shared" si="256"/>
        <v>0.000999455275100642</v>
      </c>
      <c r="DL115" s="16">
        <f t="shared" si="256"/>
        <v>0.0647139223852611</v>
      </c>
      <c r="DM115" s="16">
        <f t="shared" si="256"/>
        <v>0.0216214455365922</v>
      </c>
      <c r="DN115" s="16">
        <f t="shared" si="256"/>
        <v>0.0267161201860444</v>
      </c>
      <c r="DO115" s="16">
        <f t="shared" si="256"/>
        <v>0.147966317965447</v>
      </c>
      <c r="DP115" s="16">
        <f t="shared" si="256"/>
        <v>0.0473168937103413</v>
      </c>
      <c r="DQ115" s="16">
        <f t="shared" si="256"/>
        <v>0.158097876749137</v>
      </c>
      <c r="DR115" s="16">
        <f t="shared" si="256"/>
        <v>0.0232878780864537</v>
      </c>
      <c r="DS115" s="16">
        <f t="shared" si="256"/>
        <v>-0.0371315848346699</v>
      </c>
      <c r="DT115" s="16">
        <f t="shared" si="256"/>
        <v>0.128598975306008</v>
      </c>
      <c r="DU115" s="16">
        <f t="shared" si="256"/>
        <v>-0.10350095252343</v>
      </c>
      <c r="DV115" s="16">
        <f t="shared" si="13"/>
        <v>0.00632244596332011</v>
      </c>
      <c r="DW115" s="16">
        <f t="shared" si="216"/>
        <v>0.117343640313992</v>
      </c>
      <c r="DX115" s="16">
        <f t="shared" si="216"/>
        <v>-0.0975870305629036</v>
      </c>
      <c r="DY115" s="16">
        <f t="shared" si="216"/>
        <v>-0.00779870187046999</v>
      </c>
      <c r="DZ115" s="16">
        <f t="shared" si="216"/>
        <v>0.180613614448799</v>
      </c>
    </row>
    <row r="116" ht="14" spans="1:130">
      <c r="A116" s="32">
        <v>44228</v>
      </c>
      <c r="B116" s="16">
        <f t="shared" si="6"/>
        <v>-0.0290456230594141</v>
      </c>
      <c r="C116" s="16">
        <f t="shared" si="6"/>
        <v>-0.0586703030496083</v>
      </c>
      <c r="D116" s="16">
        <f t="shared" si="7"/>
        <v>-0.0149207445253807</v>
      </c>
      <c r="E116" s="16">
        <f t="shared" si="7"/>
        <v>0.0616816795518751</v>
      </c>
      <c r="F116" s="16">
        <f t="shared" si="7"/>
        <v>-0.0594737297093132</v>
      </c>
      <c r="G116" s="16">
        <f t="shared" si="7"/>
        <v>-0.070834731542839</v>
      </c>
      <c r="H116" s="16">
        <f t="shared" ref="H116:M116" si="257">LN(H54/H53)</f>
        <v>-0.00162915859078764</v>
      </c>
      <c r="I116" s="16">
        <f t="shared" si="257"/>
        <v>-0.124397001656316</v>
      </c>
      <c r="J116" s="16">
        <f t="shared" si="257"/>
        <v>0.0299612409160513</v>
      </c>
      <c r="K116" s="16">
        <f t="shared" si="257"/>
        <v>0.0831233655193755</v>
      </c>
      <c r="L116" s="16">
        <f t="shared" si="257"/>
        <v>0.0593731426860293</v>
      </c>
      <c r="M116" s="16">
        <f t="shared" si="257"/>
        <v>0.0173257200393482</v>
      </c>
      <c r="N116" s="16">
        <f t="shared" ref="N116:AS116" si="258">LN(N54/N53)</f>
        <v>0.0809421905315731</v>
      </c>
      <c r="O116" s="16">
        <f t="shared" si="258"/>
        <v>-0.0455828313566292</v>
      </c>
      <c r="P116" s="16">
        <f t="shared" si="258"/>
        <v>-0.00408526385073687</v>
      </c>
      <c r="Q116" s="16">
        <f t="shared" si="258"/>
        <v>-0.0437089201988531</v>
      </c>
      <c r="R116" s="16">
        <f t="shared" si="258"/>
        <v>0.0206949065340592</v>
      </c>
      <c r="S116" s="16">
        <f t="shared" si="258"/>
        <v>-0.111745309467115</v>
      </c>
      <c r="T116" s="16">
        <f t="shared" si="258"/>
        <v>-0.0272927601869905</v>
      </c>
      <c r="U116" s="16">
        <f t="shared" si="258"/>
        <v>0.0494184709277497</v>
      </c>
      <c r="V116" s="16">
        <f t="shared" si="258"/>
        <v>0.0935769296574293</v>
      </c>
      <c r="W116" s="16">
        <f t="shared" si="258"/>
        <v>-0.0117154688447435</v>
      </c>
      <c r="X116" s="16">
        <f t="shared" si="258"/>
        <v>0.00794618726915435</v>
      </c>
      <c r="Y116" s="16">
        <f t="shared" si="258"/>
        <v>-0.134625103011641</v>
      </c>
      <c r="Z116" s="16">
        <f t="shared" si="258"/>
        <v>-0.0821233962504928</v>
      </c>
      <c r="AA116" s="16">
        <f t="shared" si="258"/>
        <v>-0.01460509375688</v>
      </c>
      <c r="AB116" s="16">
        <f t="shared" si="258"/>
        <v>-0.0445872012483114</v>
      </c>
      <c r="AC116" s="16">
        <f t="shared" si="258"/>
        <v>0.0111313372173531</v>
      </c>
      <c r="AD116" s="16">
        <f t="shared" si="258"/>
        <v>0.00180871309464215</v>
      </c>
      <c r="AE116" s="16">
        <f t="shared" si="258"/>
        <v>0.00195984558180083</v>
      </c>
      <c r="AF116" s="16">
        <f t="shared" si="258"/>
        <v>0.0691539100665875</v>
      </c>
      <c r="AG116" s="16">
        <f t="shared" si="258"/>
        <v>-0.0409117095120982</v>
      </c>
      <c r="AH116" s="16">
        <f t="shared" si="258"/>
        <v>0.154002630378472</v>
      </c>
      <c r="AI116" s="16">
        <f t="shared" si="258"/>
        <v>-0.00020613244082264</v>
      </c>
      <c r="AJ116" s="16">
        <f t="shared" si="258"/>
        <v>-0.161200600566477</v>
      </c>
      <c r="AK116" s="16">
        <f t="shared" si="258"/>
        <v>-0.0769233755192113</v>
      </c>
      <c r="AL116" s="16">
        <f t="shared" si="258"/>
        <v>-0.0309407211836041</v>
      </c>
      <c r="AM116" s="16">
        <f t="shared" si="258"/>
        <v>0.0542926032057306</v>
      </c>
      <c r="AN116" s="16">
        <f t="shared" si="258"/>
        <v>0.0906976637862262</v>
      </c>
      <c r="AO116" s="16">
        <f t="shared" si="258"/>
        <v>0.0420981159602434</v>
      </c>
      <c r="AP116" s="16">
        <f t="shared" si="258"/>
        <v>0.0449902145798553</v>
      </c>
      <c r="AQ116" s="16">
        <f t="shared" si="258"/>
        <v>-0.137597718985146</v>
      </c>
      <c r="AR116" s="16">
        <f t="shared" si="258"/>
        <v>-0.0132825931650911</v>
      </c>
      <c r="AS116" s="16">
        <f t="shared" si="258"/>
        <v>0.156502510370287</v>
      </c>
      <c r="AT116" s="16">
        <f t="shared" ref="AT116:BY116" si="259">LN(AT54/AT53)</f>
        <v>0.0560260335734972</v>
      </c>
      <c r="AU116" s="16">
        <f t="shared" si="259"/>
        <v>0.128917217142121</v>
      </c>
      <c r="AV116" s="16">
        <f t="shared" si="259"/>
        <v>0.114553587910486</v>
      </c>
      <c r="AW116" s="16">
        <f t="shared" si="259"/>
        <v>-0.00206999728914767</v>
      </c>
      <c r="AX116" s="16">
        <f t="shared" si="259"/>
        <v>0.0493952040645117</v>
      </c>
      <c r="AY116" s="16">
        <f t="shared" si="259"/>
        <v>-0.0845621577726193</v>
      </c>
      <c r="AZ116" s="16">
        <f t="shared" si="259"/>
        <v>-0.0409956514964368</v>
      </c>
      <c r="BA116" s="16">
        <f t="shared" si="259"/>
        <v>-0.0180198444694912</v>
      </c>
      <c r="BB116" s="16">
        <f t="shared" si="259"/>
        <v>0.0767283749497262</v>
      </c>
      <c r="BC116" s="16">
        <f t="shared" si="259"/>
        <v>-0.000494507445349613</v>
      </c>
      <c r="BD116" s="16">
        <f t="shared" si="259"/>
        <v>-0.00394248780611984</v>
      </c>
      <c r="BE116" s="16">
        <f t="shared" si="259"/>
        <v>0.174139405406306</v>
      </c>
      <c r="BF116" s="16">
        <f t="shared" si="259"/>
        <v>-0.00151179112435746</v>
      </c>
      <c r="BG116" s="16">
        <f t="shared" si="259"/>
        <v>-0.0359675735757164</v>
      </c>
      <c r="BH116" s="16">
        <f t="shared" si="259"/>
        <v>-0.00159396655733398</v>
      </c>
      <c r="BI116" s="16">
        <f t="shared" si="259"/>
        <v>0.101097082804361</v>
      </c>
      <c r="BJ116" s="16">
        <f t="shared" si="259"/>
        <v>0.0127440211192735</v>
      </c>
      <c r="BK116" s="16">
        <f t="shared" si="259"/>
        <v>-0.00821319083733013</v>
      </c>
      <c r="BL116" s="16">
        <f t="shared" si="259"/>
        <v>0.109659008886151</v>
      </c>
      <c r="BM116" s="16">
        <f t="shared" si="259"/>
        <v>0.164218284272428</v>
      </c>
      <c r="BN116" s="16">
        <f t="shared" si="259"/>
        <v>0.00886810100972826</v>
      </c>
      <c r="BO116" s="16">
        <f t="shared" si="259"/>
        <v>-0.047177932778074</v>
      </c>
      <c r="BP116" s="16">
        <f t="shared" si="259"/>
        <v>-0.0183128326975014</v>
      </c>
      <c r="BQ116" s="16">
        <f t="shared" si="259"/>
        <v>-0.0303350138359868</v>
      </c>
      <c r="BR116" s="16">
        <f t="shared" si="259"/>
        <v>0</v>
      </c>
      <c r="BS116" s="16">
        <f t="shared" si="259"/>
        <v>0.180311133323095</v>
      </c>
      <c r="BT116" s="16">
        <f t="shared" si="259"/>
        <v>0.359616515788384</v>
      </c>
      <c r="BU116" s="16">
        <f t="shared" si="259"/>
        <v>0.0199019014969841</v>
      </c>
      <c r="BV116" s="16">
        <f t="shared" si="259"/>
        <v>-0.0676435213218217</v>
      </c>
      <c r="BW116" s="16">
        <f t="shared" si="259"/>
        <v>0.293430838483794</v>
      </c>
      <c r="BX116" s="16">
        <f t="shared" si="259"/>
        <v>0.11465819420771</v>
      </c>
      <c r="BY116" s="16">
        <f t="shared" si="259"/>
        <v>0.0724732177160149</v>
      </c>
      <c r="BZ116" s="16">
        <f t="shared" ref="BZ116:DE116" si="260">LN(BZ54/BZ53)</f>
        <v>-0.0311722732723839</v>
      </c>
      <c r="CA116" s="16">
        <f t="shared" si="260"/>
        <v>0.0172950089795399</v>
      </c>
      <c r="CB116" s="16">
        <f t="shared" si="260"/>
        <v>-0.0555526771938244</v>
      </c>
      <c r="CC116" s="16">
        <f t="shared" si="260"/>
        <v>0.0534127784755743</v>
      </c>
      <c r="CD116" s="16">
        <f t="shared" si="260"/>
        <v>-0.113891006090089</v>
      </c>
      <c r="CE116" s="16">
        <f t="shared" si="260"/>
        <v>-0.0159117472234328</v>
      </c>
      <c r="CF116" s="16">
        <f t="shared" si="260"/>
        <v>-0.0824249676590754</v>
      </c>
      <c r="CG116" s="16">
        <f t="shared" si="260"/>
        <v>0.188919890877149</v>
      </c>
      <c r="CH116" s="16">
        <f t="shared" si="260"/>
        <v>-0.041995241874375</v>
      </c>
      <c r="CI116" s="16">
        <f t="shared" si="260"/>
        <v>0.030910746028696</v>
      </c>
      <c r="CJ116" s="16">
        <f t="shared" si="260"/>
        <v>-0.0309922431281499</v>
      </c>
      <c r="CK116" s="16">
        <f t="shared" si="260"/>
        <v>0.0821750884360613</v>
      </c>
      <c r="CL116" s="16">
        <f t="shared" si="260"/>
        <v>0.113492132481376</v>
      </c>
      <c r="CM116" s="16">
        <f t="shared" si="260"/>
        <v>-0.00513857127347855</v>
      </c>
      <c r="CN116" s="16">
        <f t="shared" si="260"/>
        <v>-0.0210895216181582</v>
      </c>
      <c r="CO116" s="16">
        <f t="shared" si="260"/>
        <v>-0.0605408695655881</v>
      </c>
      <c r="CP116" s="16">
        <f t="shared" si="260"/>
        <v>-0.0696445825743391</v>
      </c>
      <c r="CQ116" s="16">
        <f t="shared" si="260"/>
        <v>-0.140508975054526</v>
      </c>
      <c r="CR116" s="16">
        <f t="shared" si="260"/>
        <v>-0.0484647447716123</v>
      </c>
      <c r="CS116" s="16">
        <f t="shared" si="260"/>
        <v>-0.0360285330164757</v>
      </c>
      <c r="CT116" s="16">
        <f t="shared" si="260"/>
        <v>0.16255119745086</v>
      </c>
      <c r="CU116" s="16">
        <f t="shared" si="260"/>
        <v>0.144372824148043</v>
      </c>
      <c r="CV116" s="16">
        <f t="shared" si="260"/>
        <v>0.0180935453447944</v>
      </c>
      <c r="CW116" s="16">
        <f t="shared" si="260"/>
        <v>0.0782696137148271</v>
      </c>
      <c r="CX116" s="16">
        <f t="shared" si="260"/>
        <v>0.15464316937181</v>
      </c>
      <c r="CY116" s="16">
        <f t="shared" si="260"/>
        <v>0.185584202428771</v>
      </c>
      <c r="CZ116" s="16">
        <f t="shared" si="260"/>
        <v>-0.0418051176536757</v>
      </c>
      <c r="DA116" s="16">
        <f t="shared" si="260"/>
        <v>0.0564829948434415</v>
      </c>
      <c r="DB116" s="16">
        <f t="shared" si="260"/>
        <v>0.260851532016652</v>
      </c>
      <c r="DC116" s="16">
        <f t="shared" si="260"/>
        <v>0.241146636643018</v>
      </c>
      <c r="DD116" s="16">
        <f t="shared" si="260"/>
        <v>0.0778267590188304</v>
      </c>
      <c r="DE116" s="16">
        <f t="shared" si="260"/>
        <v>0.101709874206741</v>
      </c>
      <c r="DF116" s="16">
        <f t="shared" ref="DF116:DU116" si="261">LN(DF54/DF53)</f>
        <v>0.0898889858183421</v>
      </c>
      <c r="DG116" s="16">
        <f t="shared" si="261"/>
        <v>-0.0214642386682997</v>
      </c>
      <c r="DH116" s="16">
        <f t="shared" si="261"/>
        <v>0.0878127545354682</v>
      </c>
      <c r="DI116" s="16">
        <f t="shared" si="261"/>
        <v>0.19271187087246</v>
      </c>
      <c r="DJ116" s="16">
        <f t="shared" si="261"/>
        <v>0.160168852284208</v>
      </c>
      <c r="DK116" s="16">
        <f t="shared" si="261"/>
        <v>0.261806910486194</v>
      </c>
      <c r="DL116" s="16">
        <f t="shared" si="261"/>
        <v>0.206092390924863</v>
      </c>
      <c r="DM116" s="16">
        <f t="shared" si="261"/>
        <v>0.242774741628425</v>
      </c>
      <c r="DN116" s="16">
        <f t="shared" si="261"/>
        <v>0.193894532077932</v>
      </c>
      <c r="DO116" s="16">
        <f t="shared" si="261"/>
        <v>0.282559393975213</v>
      </c>
      <c r="DP116" s="16">
        <f t="shared" si="261"/>
        <v>0.268978602869001</v>
      </c>
      <c r="DQ116" s="16">
        <f t="shared" si="261"/>
        <v>0.200558350889246</v>
      </c>
      <c r="DR116" s="16">
        <f t="shared" si="261"/>
        <v>0.228442348675122</v>
      </c>
      <c r="DS116" s="16">
        <f t="shared" si="261"/>
        <v>0.197633904630697</v>
      </c>
      <c r="DT116" s="16">
        <f t="shared" si="261"/>
        <v>0.0329117321189963</v>
      </c>
      <c r="DU116" s="16">
        <f t="shared" si="261"/>
        <v>0.198612476564428</v>
      </c>
      <c r="DV116" s="16">
        <f t="shared" si="13"/>
        <v>0.324712348336871</v>
      </c>
      <c r="DW116" s="16">
        <f t="shared" si="216"/>
        <v>-0.161038189034901</v>
      </c>
      <c r="DX116" s="16">
        <f t="shared" si="216"/>
        <v>-0.0532719356177648</v>
      </c>
      <c r="DY116" s="16">
        <f t="shared" si="216"/>
        <v>0.181134550248462</v>
      </c>
      <c r="DZ116" s="16">
        <f t="shared" si="216"/>
        <v>0.105360515657826</v>
      </c>
    </row>
    <row r="117" ht="14" spans="1:130">
      <c r="A117" s="32">
        <v>44256</v>
      </c>
      <c r="B117" s="16">
        <f t="shared" si="6"/>
        <v>0.0427128493102145</v>
      </c>
      <c r="C117" s="16">
        <f t="shared" si="6"/>
        <v>0.0786405857674734</v>
      </c>
      <c r="D117" s="16">
        <f t="shared" si="7"/>
        <v>-0.0881603069168362</v>
      </c>
      <c r="E117" s="16">
        <f t="shared" si="7"/>
        <v>0.00444522264734452</v>
      </c>
      <c r="F117" s="16">
        <f t="shared" si="7"/>
        <v>0.0597330617562795</v>
      </c>
      <c r="G117" s="16">
        <f t="shared" si="7"/>
        <v>0.108353049044355</v>
      </c>
      <c r="H117" s="16">
        <f t="shared" ref="H117:M117" si="262">LN(H55/H54)</f>
        <v>0.0289268119876141</v>
      </c>
      <c r="I117" s="16">
        <f t="shared" si="262"/>
        <v>0.0139006319340422</v>
      </c>
      <c r="J117" s="16">
        <f t="shared" si="262"/>
        <v>-0.134634127616358</v>
      </c>
      <c r="K117" s="16">
        <f t="shared" si="262"/>
        <v>-0.0611594457789601</v>
      </c>
      <c r="L117" s="16">
        <f t="shared" si="262"/>
        <v>-0.101490938824104</v>
      </c>
      <c r="M117" s="16">
        <f t="shared" si="262"/>
        <v>0.0406945839499709</v>
      </c>
      <c r="N117" s="16">
        <f t="shared" ref="N117:AS117" si="263">LN(N55/N54)</f>
        <v>0.00181380092739421</v>
      </c>
      <c r="O117" s="16">
        <f t="shared" si="263"/>
        <v>0.0349019023743808</v>
      </c>
      <c r="P117" s="16">
        <f t="shared" si="263"/>
        <v>0.113284503573509</v>
      </c>
      <c r="Q117" s="16">
        <f t="shared" si="263"/>
        <v>0.0991325282972517</v>
      </c>
      <c r="R117" s="16">
        <f t="shared" si="263"/>
        <v>0.168823384085612</v>
      </c>
      <c r="S117" s="16">
        <f t="shared" si="263"/>
        <v>0.0488778798986623</v>
      </c>
      <c r="T117" s="16">
        <f t="shared" si="263"/>
        <v>0.000500340788758106</v>
      </c>
      <c r="U117" s="16">
        <f t="shared" si="263"/>
        <v>0.00986829946025714</v>
      </c>
      <c r="V117" s="16">
        <f t="shared" si="263"/>
        <v>0.00366030465892123</v>
      </c>
      <c r="W117" s="16">
        <f t="shared" si="263"/>
        <v>-0.0767429662441256</v>
      </c>
      <c r="X117" s="16">
        <f t="shared" si="263"/>
        <v>0.014326531519242</v>
      </c>
      <c r="Y117" s="16">
        <f t="shared" si="263"/>
        <v>-0.0610878372488514</v>
      </c>
      <c r="Z117" s="16">
        <f t="shared" si="263"/>
        <v>0.0082591644008017</v>
      </c>
      <c r="AA117" s="16">
        <f t="shared" si="263"/>
        <v>0.00290024191257741</v>
      </c>
      <c r="AB117" s="16">
        <f t="shared" si="263"/>
        <v>0.00836470303042601</v>
      </c>
      <c r="AC117" s="16">
        <f t="shared" si="263"/>
        <v>0.0852550022547929</v>
      </c>
      <c r="AD117" s="16">
        <f t="shared" si="263"/>
        <v>0.0167834827919906</v>
      </c>
      <c r="AE117" s="16">
        <f t="shared" si="263"/>
        <v>0.0335846074504971</v>
      </c>
      <c r="AF117" s="16">
        <f t="shared" si="263"/>
        <v>0.084100401399467</v>
      </c>
      <c r="AG117" s="16">
        <f t="shared" si="263"/>
        <v>0.0104262694228839</v>
      </c>
      <c r="AH117" s="16">
        <f t="shared" si="263"/>
        <v>0.0882050182794185</v>
      </c>
      <c r="AI117" s="16">
        <f t="shared" si="263"/>
        <v>0.0240852804509386</v>
      </c>
      <c r="AJ117" s="16">
        <f t="shared" si="263"/>
        <v>0.0753921057289821</v>
      </c>
      <c r="AK117" s="16">
        <f t="shared" si="263"/>
        <v>0.0919169374767437</v>
      </c>
      <c r="AL117" s="16">
        <f t="shared" si="263"/>
        <v>0.0935956117857888</v>
      </c>
      <c r="AM117" s="16">
        <f t="shared" si="263"/>
        <v>-0.0270679871469684</v>
      </c>
      <c r="AN117" s="16">
        <f t="shared" si="263"/>
        <v>0.0576738216408533</v>
      </c>
      <c r="AO117" s="16">
        <f t="shared" si="263"/>
        <v>-0.0133045469455048</v>
      </c>
      <c r="AP117" s="16">
        <f t="shared" si="263"/>
        <v>0.0926310931301254</v>
      </c>
      <c r="AQ117" s="16">
        <f t="shared" si="263"/>
        <v>-0.0267899891504967</v>
      </c>
      <c r="AR117" s="16">
        <f t="shared" si="263"/>
        <v>-0.0737712457680282</v>
      </c>
      <c r="AS117" s="16">
        <f t="shared" si="263"/>
        <v>-0.0369464991704403</v>
      </c>
      <c r="AT117" s="16">
        <f t="shared" ref="AT117:BY117" si="264">LN(AT55/AT54)</f>
        <v>-0.00048564945841117</v>
      </c>
      <c r="AU117" s="16">
        <f t="shared" si="264"/>
        <v>0.0979710907202558</v>
      </c>
      <c r="AV117" s="16">
        <f t="shared" si="264"/>
        <v>0.0193212286559302</v>
      </c>
      <c r="AW117" s="16">
        <f t="shared" si="264"/>
        <v>-0.0503646954957027</v>
      </c>
      <c r="AX117" s="16">
        <f t="shared" si="264"/>
        <v>0.033986094940388</v>
      </c>
      <c r="AY117" s="16">
        <f t="shared" si="264"/>
        <v>0.00880587641519416</v>
      </c>
      <c r="AZ117" s="16">
        <f t="shared" si="264"/>
        <v>-0.0216176684063454</v>
      </c>
      <c r="BA117" s="16">
        <f t="shared" si="264"/>
        <v>-0.0645560171353622</v>
      </c>
      <c r="BB117" s="16">
        <f t="shared" si="264"/>
        <v>0.0612221686055848</v>
      </c>
      <c r="BC117" s="16">
        <f t="shared" si="264"/>
        <v>0.0131968783139901</v>
      </c>
      <c r="BD117" s="16">
        <f t="shared" si="264"/>
        <v>0.071708371821079</v>
      </c>
      <c r="BE117" s="16">
        <f t="shared" si="264"/>
        <v>0.0916320338219715</v>
      </c>
      <c r="BF117" s="16">
        <f t="shared" si="264"/>
        <v>0.127040858579172</v>
      </c>
      <c r="BG117" s="16">
        <f t="shared" si="264"/>
        <v>0.00037174661532603</v>
      </c>
      <c r="BH117" s="16">
        <f t="shared" si="264"/>
        <v>0.0851409210261417</v>
      </c>
      <c r="BI117" s="16">
        <f t="shared" si="264"/>
        <v>-0.0882213684443159</v>
      </c>
      <c r="BJ117" s="16">
        <f t="shared" si="264"/>
        <v>0.112813676978932</v>
      </c>
      <c r="BK117" s="16">
        <f t="shared" si="264"/>
        <v>0.0898494936511042</v>
      </c>
      <c r="BL117" s="16">
        <f t="shared" si="264"/>
        <v>0.0156611893515358</v>
      </c>
      <c r="BM117" s="16">
        <f t="shared" si="264"/>
        <v>0.0334403592885939</v>
      </c>
      <c r="BN117" s="16">
        <f t="shared" si="264"/>
        <v>-0.0120909037895324</v>
      </c>
      <c r="BO117" s="16">
        <f t="shared" si="264"/>
        <v>0.166854537088414</v>
      </c>
      <c r="BP117" s="16">
        <f t="shared" si="264"/>
        <v>0.0184616478708495</v>
      </c>
      <c r="BQ117" s="16">
        <f t="shared" si="264"/>
        <v>-0.00590085316855259</v>
      </c>
      <c r="BR117" s="16">
        <f t="shared" si="264"/>
        <v>0.0758386847295954</v>
      </c>
      <c r="BS117" s="16">
        <f t="shared" si="264"/>
        <v>0.000571017650514995</v>
      </c>
      <c r="BT117" s="16">
        <f t="shared" si="264"/>
        <v>-0.00788144443795409</v>
      </c>
      <c r="BU117" s="16">
        <f t="shared" si="264"/>
        <v>0.0487160965652406</v>
      </c>
      <c r="BV117" s="16">
        <f t="shared" si="264"/>
        <v>0.0596004900778621</v>
      </c>
      <c r="BW117" s="16">
        <f t="shared" si="264"/>
        <v>0.123741577273606</v>
      </c>
      <c r="BX117" s="16">
        <f t="shared" si="264"/>
        <v>0.110978691907776</v>
      </c>
      <c r="BY117" s="16">
        <f t="shared" si="264"/>
        <v>0.134801448280492</v>
      </c>
      <c r="BZ117" s="16">
        <f t="shared" ref="BZ117:DE117" si="265">LN(BZ55/BZ54)</f>
        <v>0.0919712847703649</v>
      </c>
      <c r="CA117" s="16">
        <f t="shared" si="265"/>
        <v>0.0731889380172567</v>
      </c>
      <c r="CB117" s="16">
        <f t="shared" si="265"/>
        <v>0.0906616009197514</v>
      </c>
      <c r="CC117" s="16">
        <f t="shared" si="265"/>
        <v>0.0546558447790528</v>
      </c>
      <c r="CD117" s="16">
        <f t="shared" si="265"/>
        <v>0.0794323504206978</v>
      </c>
      <c r="CE117" s="16">
        <f t="shared" si="265"/>
        <v>0.0494182669554938</v>
      </c>
      <c r="CF117" s="16">
        <f t="shared" si="265"/>
        <v>0.0849738174144773</v>
      </c>
      <c r="CG117" s="16">
        <f t="shared" si="265"/>
        <v>0.019107939974974</v>
      </c>
      <c r="CH117" s="16">
        <f t="shared" si="265"/>
        <v>0.0962332117119735</v>
      </c>
      <c r="CI117" s="16">
        <f t="shared" si="265"/>
        <v>0.0325025557694668</v>
      </c>
      <c r="CJ117" s="16">
        <f t="shared" si="265"/>
        <v>0.0471425238451716</v>
      </c>
      <c r="CK117" s="16">
        <f t="shared" si="265"/>
        <v>0.0948604334731237</v>
      </c>
      <c r="CL117" s="16">
        <f t="shared" si="265"/>
        <v>-0.011239510221012</v>
      </c>
      <c r="CM117" s="16">
        <f t="shared" si="265"/>
        <v>0.0299542876628934</v>
      </c>
      <c r="CN117" s="16">
        <f t="shared" si="265"/>
        <v>0.0924548468857132</v>
      </c>
      <c r="CO117" s="16">
        <f t="shared" si="265"/>
        <v>0.0562879321878354</v>
      </c>
      <c r="CP117" s="16">
        <f t="shared" si="265"/>
        <v>0.106707897836262</v>
      </c>
      <c r="CQ117" s="16">
        <f t="shared" si="265"/>
        <v>0.0632951366181579</v>
      </c>
      <c r="CR117" s="16">
        <f t="shared" si="265"/>
        <v>0.10013588590046</v>
      </c>
      <c r="CS117" s="16">
        <f t="shared" si="265"/>
        <v>0.154271875024809</v>
      </c>
      <c r="CT117" s="16">
        <f t="shared" si="265"/>
        <v>0.0445233095354843</v>
      </c>
      <c r="CU117" s="16">
        <f t="shared" si="265"/>
        <v>0.0606508937042027</v>
      </c>
      <c r="CV117" s="16">
        <f t="shared" si="265"/>
        <v>0.0805326558702765</v>
      </c>
      <c r="CW117" s="16">
        <f t="shared" si="265"/>
        <v>0.109814102436813</v>
      </c>
      <c r="CX117" s="16">
        <f t="shared" si="265"/>
        <v>0.0262405726525172</v>
      </c>
      <c r="CY117" s="16">
        <f t="shared" si="265"/>
        <v>-0.0326948219068391</v>
      </c>
      <c r="CZ117" s="16">
        <f t="shared" si="265"/>
        <v>0.039345495195337</v>
      </c>
      <c r="DA117" s="16">
        <f t="shared" si="265"/>
        <v>0.119934345198896</v>
      </c>
      <c r="DB117" s="16">
        <f t="shared" si="265"/>
        <v>0.581599918509455</v>
      </c>
      <c r="DC117" s="16">
        <f t="shared" si="265"/>
        <v>0.177895447467394</v>
      </c>
      <c r="DD117" s="16">
        <f t="shared" si="265"/>
        <v>0.0569832248869848</v>
      </c>
      <c r="DE117" s="16">
        <f t="shared" si="265"/>
        <v>0.112777920966277</v>
      </c>
      <c r="DF117" s="16">
        <f t="shared" ref="DF117:DU117" si="266">LN(DF55/DF54)</f>
        <v>0.155687730480663</v>
      </c>
      <c r="DG117" s="16">
        <f t="shared" si="266"/>
        <v>-0.0219350768662558</v>
      </c>
      <c r="DH117" s="16">
        <f t="shared" si="266"/>
        <v>0.089469257315209</v>
      </c>
      <c r="DI117" s="16">
        <f t="shared" si="266"/>
        <v>0.043338538800467</v>
      </c>
      <c r="DJ117" s="16">
        <f t="shared" si="266"/>
        <v>0.0608251826746068</v>
      </c>
      <c r="DK117" s="16">
        <f t="shared" si="266"/>
        <v>0.0274319062101824</v>
      </c>
      <c r="DL117" s="16">
        <f t="shared" si="266"/>
        <v>0.0667156201567448</v>
      </c>
      <c r="DM117" s="16">
        <f t="shared" si="266"/>
        <v>0.116405124071659</v>
      </c>
      <c r="DN117" s="16">
        <f t="shared" si="266"/>
        <v>0.0767859679932976</v>
      </c>
      <c r="DO117" s="16">
        <f t="shared" si="266"/>
        <v>0.000375757938075947</v>
      </c>
      <c r="DP117" s="16">
        <f t="shared" si="266"/>
        <v>0.0142892546846492</v>
      </c>
      <c r="DQ117" s="16">
        <f t="shared" si="266"/>
        <v>0.0589929764758731</v>
      </c>
      <c r="DR117" s="16">
        <f t="shared" si="266"/>
        <v>-0.0214551466912183</v>
      </c>
      <c r="DS117" s="16">
        <f t="shared" si="266"/>
        <v>-0.116514258293125</v>
      </c>
      <c r="DT117" s="16">
        <f t="shared" si="266"/>
        <v>-0.0627558450314039</v>
      </c>
      <c r="DU117" s="16">
        <f t="shared" si="266"/>
        <v>-0.0958401215231394</v>
      </c>
      <c r="DV117" s="16">
        <f t="shared" si="13"/>
        <v>-0.0973396016787288</v>
      </c>
      <c r="DW117" s="16">
        <f t="shared" si="216"/>
        <v>-0.0112697797736692</v>
      </c>
      <c r="DX117" s="16">
        <f t="shared" si="216"/>
        <v>0.0585418713122209</v>
      </c>
      <c r="DY117" s="16">
        <f t="shared" si="216"/>
        <v>0.0445963342601673</v>
      </c>
      <c r="DZ117" s="16">
        <f t="shared" si="216"/>
        <v>0.0459370951870256</v>
      </c>
    </row>
    <row r="118" ht="14" spans="1:130">
      <c r="A118" s="32">
        <v>44287</v>
      </c>
      <c r="B118" s="16">
        <f t="shared" si="6"/>
        <v>-0.00990625245343572</v>
      </c>
      <c r="C118" s="16">
        <f t="shared" si="6"/>
        <v>0.064659331981501</v>
      </c>
      <c r="D118" s="16">
        <f t="shared" si="7"/>
        <v>-0.0219170362043454</v>
      </c>
      <c r="E118" s="16">
        <f t="shared" si="7"/>
        <v>0.0298577472938257</v>
      </c>
      <c r="F118" s="16">
        <f t="shared" si="7"/>
        <v>-0.0254267083731625</v>
      </c>
      <c r="G118" s="16">
        <f t="shared" si="7"/>
        <v>-0.0375517712046639</v>
      </c>
      <c r="H118" s="16">
        <f t="shared" ref="H118:M118" si="267">LN(H56/H55)</f>
        <v>-0.00354050339138843</v>
      </c>
      <c r="I118" s="16">
        <f t="shared" si="267"/>
        <v>0.0304733454386275</v>
      </c>
      <c r="J118" s="16">
        <f t="shared" si="267"/>
        <v>0.0226036139076064</v>
      </c>
      <c r="K118" s="16">
        <f t="shared" si="267"/>
        <v>0.115083990961658</v>
      </c>
      <c r="L118" s="16">
        <f t="shared" si="267"/>
        <v>0.0716882534591944</v>
      </c>
      <c r="M118" s="16">
        <f t="shared" si="267"/>
        <v>0.0498607360815876</v>
      </c>
      <c r="N118" s="16">
        <f t="shared" ref="N118:AS118" si="268">LN(N56/N55)</f>
        <v>0.194850179826327</v>
      </c>
      <c r="O118" s="16">
        <f t="shared" si="268"/>
        <v>0.127860714108669</v>
      </c>
      <c r="P118" s="16">
        <f t="shared" si="268"/>
        <v>0.0729244858252363</v>
      </c>
      <c r="Q118" s="16">
        <f t="shared" si="268"/>
        <v>0.0154326655974086</v>
      </c>
      <c r="R118" s="16">
        <f t="shared" si="268"/>
        <v>0.0587146094685152</v>
      </c>
      <c r="S118" s="16">
        <f t="shared" si="268"/>
        <v>0.0170994485248025</v>
      </c>
      <c r="T118" s="16">
        <f t="shared" si="268"/>
        <v>0.00200138055355007</v>
      </c>
      <c r="U118" s="16">
        <f t="shared" si="268"/>
        <v>0.107814934887432</v>
      </c>
      <c r="V118" s="16">
        <f t="shared" si="268"/>
        <v>0.0779070914621827</v>
      </c>
      <c r="W118" s="16">
        <f t="shared" si="268"/>
        <v>0.0657781380234246</v>
      </c>
      <c r="X118" s="16">
        <f t="shared" si="268"/>
        <v>0.0941662091891534</v>
      </c>
      <c r="Y118" s="16">
        <f t="shared" si="268"/>
        <v>-0.0491480621299084</v>
      </c>
      <c r="Z118" s="16">
        <f t="shared" si="268"/>
        <v>0.0263896934894527</v>
      </c>
      <c r="AA118" s="16">
        <f t="shared" si="268"/>
        <v>0.157512780078205</v>
      </c>
      <c r="AB118" s="16">
        <f t="shared" si="268"/>
        <v>-0.0316786259017201</v>
      </c>
      <c r="AC118" s="16">
        <f t="shared" si="268"/>
        <v>0.015880083866322</v>
      </c>
      <c r="AD118" s="16">
        <f t="shared" si="268"/>
        <v>0.0672863116469777</v>
      </c>
      <c r="AE118" s="16">
        <f t="shared" si="268"/>
        <v>0.0670570668604897</v>
      </c>
      <c r="AF118" s="16">
        <f t="shared" si="268"/>
        <v>0.0770455868763619</v>
      </c>
      <c r="AG118" s="16">
        <f t="shared" si="268"/>
        <v>-0.00291003357892509</v>
      </c>
      <c r="AH118" s="16">
        <f t="shared" si="268"/>
        <v>0.102031044618071</v>
      </c>
      <c r="AI118" s="16">
        <f t="shared" si="268"/>
        <v>0.0959228828956955</v>
      </c>
      <c r="AJ118" s="16">
        <f t="shared" si="268"/>
        <v>0.0645998538984846</v>
      </c>
      <c r="AK118" s="16">
        <f t="shared" si="268"/>
        <v>0.0163285673740679</v>
      </c>
      <c r="AL118" s="16">
        <f t="shared" si="268"/>
        <v>-0.110690045145089</v>
      </c>
      <c r="AM118" s="16">
        <f t="shared" si="268"/>
        <v>0.117643077363726</v>
      </c>
      <c r="AN118" s="16">
        <f t="shared" si="268"/>
        <v>-0.106576579654865</v>
      </c>
      <c r="AO118" s="16">
        <f t="shared" si="268"/>
        <v>-0.0084338699663959</v>
      </c>
      <c r="AP118" s="16">
        <f t="shared" si="268"/>
        <v>-0.0459080423959128</v>
      </c>
      <c r="AQ118" s="16">
        <f t="shared" si="268"/>
        <v>0.050527328583703</v>
      </c>
      <c r="AR118" s="16">
        <f t="shared" si="268"/>
        <v>0.038975705189297</v>
      </c>
      <c r="AS118" s="16">
        <f t="shared" si="268"/>
        <v>-0.0245593836744528</v>
      </c>
      <c r="AT118" s="16">
        <f t="shared" ref="AT118:BY118" si="269">LN(AT56/AT55)</f>
        <v>-0.0124575143973231</v>
      </c>
      <c r="AU118" s="16">
        <f t="shared" si="269"/>
        <v>-0.0418556804403972</v>
      </c>
      <c r="AV118" s="16">
        <f t="shared" si="269"/>
        <v>-0.0322767338439237</v>
      </c>
      <c r="AW118" s="16">
        <f t="shared" si="269"/>
        <v>0.0322429264462204</v>
      </c>
      <c r="AX118" s="16">
        <f t="shared" si="269"/>
        <v>-0.0117867788697263</v>
      </c>
      <c r="AY118" s="16">
        <f t="shared" si="269"/>
        <v>0.0734535458331323</v>
      </c>
      <c r="AZ118" s="16">
        <f t="shared" si="269"/>
        <v>0.0834967672677212</v>
      </c>
      <c r="BA118" s="16">
        <f t="shared" si="269"/>
        <v>0.0124395531432056</v>
      </c>
      <c r="BB118" s="16">
        <f t="shared" si="269"/>
        <v>0.0448544092993815</v>
      </c>
      <c r="BC118" s="16">
        <f t="shared" si="269"/>
        <v>0.00660297794342412</v>
      </c>
      <c r="BD118" s="16">
        <f t="shared" si="269"/>
        <v>0.00254495920246377</v>
      </c>
      <c r="BE118" s="16">
        <f t="shared" si="269"/>
        <v>0.0781510035763783</v>
      </c>
      <c r="BF118" s="16">
        <f t="shared" si="269"/>
        <v>0.0626800841932718</v>
      </c>
      <c r="BG118" s="16">
        <f t="shared" si="269"/>
        <v>0.113920193250583</v>
      </c>
      <c r="BH118" s="16">
        <f t="shared" si="269"/>
        <v>-0.0932060323354894</v>
      </c>
      <c r="BI118" s="16">
        <f t="shared" si="269"/>
        <v>-0.0143837070053204</v>
      </c>
      <c r="BJ118" s="16">
        <f t="shared" si="269"/>
        <v>-0.00418556592917932</v>
      </c>
      <c r="BK118" s="16">
        <f t="shared" si="269"/>
        <v>0.0518999842187893</v>
      </c>
      <c r="BL118" s="16">
        <f t="shared" si="269"/>
        <v>0.0466654881754466</v>
      </c>
      <c r="BM118" s="16">
        <f t="shared" si="269"/>
        <v>0.0326988232515839</v>
      </c>
      <c r="BN118" s="16">
        <f t="shared" si="269"/>
        <v>-0.00203372883460964</v>
      </c>
      <c r="BO118" s="16">
        <f t="shared" si="269"/>
        <v>0.0648403796824729</v>
      </c>
      <c r="BP118" s="16">
        <f t="shared" si="269"/>
        <v>0.100599692868557</v>
      </c>
      <c r="BQ118" s="16">
        <f t="shared" si="269"/>
        <v>0.0998700145281138</v>
      </c>
      <c r="BR118" s="16">
        <f t="shared" si="269"/>
        <v>0.00597498314076416</v>
      </c>
      <c r="BS118" s="16">
        <f t="shared" si="269"/>
        <v>0.0568302497244203</v>
      </c>
      <c r="BT118" s="16">
        <f t="shared" si="269"/>
        <v>0.0521218884615482</v>
      </c>
      <c r="BU118" s="16">
        <f t="shared" si="269"/>
        <v>0.0996877172746669</v>
      </c>
      <c r="BV118" s="16">
        <f t="shared" si="269"/>
        <v>0.140924951384174</v>
      </c>
      <c r="BW118" s="16">
        <f t="shared" si="269"/>
        <v>0.0632647463250717</v>
      </c>
      <c r="BX118" s="16">
        <f t="shared" si="269"/>
        <v>0.0630263052994719</v>
      </c>
      <c r="BY118" s="16">
        <f t="shared" si="269"/>
        <v>0.0883316326927557</v>
      </c>
      <c r="BZ118" s="16">
        <f t="shared" ref="BZ118:DE118" si="270">LN(BZ56/BZ55)</f>
        <v>-0.0149533130792508</v>
      </c>
      <c r="CA118" s="16">
        <f t="shared" si="270"/>
        <v>0.032097443600508</v>
      </c>
      <c r="CB118" s="16">
        <f t="shared" si="270"/>
        <v>0.0269310598527384</v>
      </c>
      <c r="CC118" s="16">
        <f t="shared" si="270"/>
        <v>0.0815055792272537</v>
      </c>
      <c r="CD118" s="16">
        <f t="shared" si="270"/>
        <v>0.0504691676009871</v>
      </c>
      <c r="CE118" s="16">
        <f t="shared" si="270"/>
        <v>0.0881926479425745</v>
      </c>
      <c r="CF118" s="16">
        <f t="shared" si="270"/>
        <v>0.121365546541618</v>
      </c>
      <c r="CG118" s="16">
        <f t="shared" si="270"/>
        <v>0.0759481549370325</v>
      </c>
      <c r="CH118" s="16">
        <f t="shared" si="270"/>
        <v>0.0434629180768331</v>
      </c>
      <c r="CI118" s="16">
        <f t="shared" si="270"/>
        <v>0.0524649936478933</v>
      </c>
      <c r="CJ118" s="16">
        <f t="shared" si="270"/>
        <v>0.0234448837837814</v>
      </c>
      <c r="CK118" s="16">
        <f t="shared" si="270"/>
        <v>0.0419163894261746</v>
      </c>
      <c r="CL118" s="16">
        <f t="shared" si="270"/>
        <v>0.0789670526106562</v>
      </c>
      <c r="CM118" s="16">
        <f t="shared" si="270"/>
        <v>-0.0336271825075016</v>
      </c>
      <c r="CN118" s="16">
        <f t="shared" si="270"/>
        <v>-0.00407345602707276</v>
      </c>
      <c r="CO118" s="16">
        <f t="shared" si="270"/>
        <v>0.0133691731754509</v>
      </c>
      <c r="CP118" s="16">
        <f t="shared" si="270"/>
        <v>-0.0186035463986496</v>
      </c>
      <c r="CQ118" s="16">
        <f t="shared" si="270"/>
        <v>-0.0553177467276725</v>
      </c>
      <c r="CR118" s="16">
        <f t="shared" si="270"/>
        <v>-0.051429472936396</v>
      </c>
      <c r="CS118" s="16">
        <f t="shared" si="270"/>
        <v>0.00669869073000785</v>
      </c>
      <c r="CT118" s="16">
        <f t="shared" si="270"/>
        <v>0.0839900282216323</v>
      </c>
      <c r="CU118" s="16">
        <f t="shared" si="270"/>
        <v>0.00712044893238242</v>
      </c>
      <c r="CV118" s="16">
        <f t="shared" si="270"/>
        <v>0.181693674500956</v>
      </c>
      <c r="CW118" s="16">
        <f t="shared" si="270"/>
        <v>0.024434513567908</v>
      </c>
      <c r="CX118" s="16">
        <f t="shared" si="270"/>
        <v>-0.0396236720281464</v>
      </c>
      <c r="CY118" s="16">
        <f t="shared" si="270"/>
        <v>-0.0531327727604723</v>
      </c>
      <c r="CZ118" s="16">
        <f t="shared" si="270"/>
        <v>0.050422779332619</v>
      </c>
      <c r="DA118" s="16">
        <f t="shared" si="270"/>
        <v>0.0402487643526526</v>
      </c>
      <c r="DB118" s="16">
        <f t="shared" si="270"/>
        <v>-0.0156364237697549</v>
      </c>
      <c r="DC118" s="16">
        <f t="shared" si="270"/>
        <v>0.0333994601958204</v>
      </c>
      <c r="DD118" s="16">
        <f t="shared" si="270"/>
        <v>0.200095062610035</v>
      </c>
      <c r="DE118" s="16">
        <f t="shared" si="270"/>
        <v>0.0707836814963755</v>
      </c>
      <c r="DF118" s="16">
        <f t="shared" ref="DF118:DU118" si="271">LN(DF56/DF55)</f>
        <v>-0.0234597224956253</v>
      </c>
      <c r="DG118" s="16">
        <f t="shared" si="271"/>
        <v>0.0268539259378519</v>
      </c>
      <c r="DH118" s="16">
        <f t="shared" si="271"/>
        <v>0.00651185283492355</v>
      </c>
      <c r="DI118" s="16">
        <f t="shared" si="271"/>
        <v>0.0249417263742034</v>
      </c>
      <c r="DJ118" s="16">
        <f t="shared" si="271"/>
        <v>-0.0165500078829982</v>
      </c>
      <c r="DK118" s="16">
        <f t="shared" si="271"/>
        <v>-0.0351587149163658</v>
      </c>
      <c r="DL118" s="16">
        <f t="shared" si="271"/>
        <v>-0.0284668573111782</v>
      </c>
      <c r="DM118" s="16">
        <f t="shared" si="271"/>
        <v>0.0151881468308127</v>
      </c>
      <c r="DN118" s="16">
        <f t="shared" si="271"/>
        <v>0.0551429689213053</v>
      </c>
      <c r="DO118" s="16">
        <f t="shared" si="271"/>
        <v>-0.0481534283255968</v>
      </c>
      <c r="DP118" s="16">
        <f t="shared" si="271"/>
        <v>0.0799301792888482</v>
      </c>
      <c r="DQ118" s="16">
        <f t="shared" si="271"/>
        <v>0.111920967596751</v>
      </c>
      <c r="DR118" s="16">
        <f t="shared" si="271"/>
        <v>-0.0051624355771352</v>
      </c>
      <c r="DS118" s="16">
        <f t="shared" si="271"/>
        <v>-0.0734322673054446</v>
      </c>
      <c r="DT118" s="16">
        <f t="shared" si="271"/>
        <v>-0.0423343638265607</v>
      </c>
      <c r="DU118" s="16">
        <f t="shared" si="271"/>
        <v>0.0858566775389562</v>
      </c>
      <c r="DV118" s="16">
        <f t="shared" si="13"/>
        <v>0.110931651472591</v>
      </c>
      <c r="DW118" s="16">
        <f t="shared" si="216"/>
        <v>0.0602925488013623</v>
      </c>
      <c r="DX118" s="16">
        <f t="shared" si="216"/>
        <v>0.0194486138954866</v>
      </c>
      <c r="DY118" s="16">
        <f t="shared" si="216"/>
        <v>0.0748239928239375</v>
      </c>
      <c r="DZ118" s="16">
        <f t="shared" si="216"/>
        <v>-0.0597066759107825</v>
      </c>
    </row>
    <row r="119" ht="14" spans="1:130">
      <c r="A119" s="32">
        <v>44317</v>
      </c>
      <c r="B119" s="16">
        <f t="shared" si="6"/>
        <v>0.0392845402692819</v>
      </c>
      <c r="C119" s="16">
        <f t="shared" si="6"/>
        <v>0.00206776171980413</v>
      </c>
      <c r="D119" s="16">
        <f t="shared" si="7"/>
        <v>0.0887881981635474</v>
      </c>
      <c r="E119" s="16">
        <f t="shared" si="7"/>
        <v>0.0272169681355634</v>
      </c>
      <c r="F119" s="16">
        <f t="shared" si="7"/>
        <v>0.0184859121707157</v>
      </c>
      <c r="G119" s="16">
        <f t="shared" si="7"/>
        <v>-0.00711927962433683</v>
      </c>
      <c r="H119" s="16">
        <f t="shared" ref="H119:M119" si="272">LN(H57/H56)</f>
        <v>0.0515175319159244</v>
      </c>
      <c r="I119" s="16">
        <f t="shared" si="272"/>
        <v>-0.00155373899494698</v>
      </c>
      <c r="J119" s="16">
        <f t="shared" si="272"/>
        <v>0.0320636624542222</v>
      </c>
      <c r="K119" s="16">
        <f t="shared" si="272"/>
        <v>0.0164758491623284</v>
      </c>
      <c r="L119" s="16">
        <f t="shared" si="272"/>
        <v>-0.0442434067973009</v>
      </c>
      <c r="M119" s="16">
        <f t="shared" si="272"/>
        <v>0.0345662624423985</v>
      </c>
      <c r="N119" s="16">
        <f t="shared" ref="N119:AS119" si="273">LN(N57/N56)</f>
        <v>0.0230398735200528</v>
      </c>
      <c r="O119" s="16">
        <f t="shared" si="273"/>
        <v>-0.00946351548949658</v>
      </c>
      <c r="P119" s="16">
        <f t="shared" si="273"/>
        <v>0.0323691178463992</v>
      </c>
      <c r="Q119" s="16">
        <f t="shared" si="273"/>
        <v>0.130008096883428</v>
      </c>
      <c r="R119" s="16">
        <f t="shared" si="273"/>
        <v>0.0484398889664454</v>
      </c>
      <c r="S119" s="16">
        <f t="shared" si="273"/>
        <v>0.0429655504379488</v>
      </c>
      <c r="T119" s="16">
        <f t="shared" si="273"/>
        <v>-0.0253154415269722</v>
      </c>
      <c r="U119" s="16">
        <f t="shared" si="273"/>
        <v>-0.0336328839019536</v>
      </c>
      <c r="V119" s="16">
        <f t="shared" si="273"/>
        <v>-0.0284243130954525</v>
      </c>
      <c r="W119" s="16">
        <f t="shared" si="273"/>
        <v>-0.0703465289514491</v>
      </c>
      <c r="X119" s="16">
        <f t="shared" si="273"/>
        <v>0.0223635509505639</v>
      </c>
      <c r="Y119" s="16">
        <f t="shared" si="273"/>
        <v>0.136159681234548</v>
      </c>
      <c r="Z119" s="16">
        <f t="shared" si="273"/>
        <v>-0.0282067841170981</v>
      </c>
      <c r="AA119" s="16">
        <f t="shared" si="273"/>
        <v>-0.0267357388144498</v>
      </c>
      <c r="AB119" s="16">
        <f t="shared" si="273"/>
        <v>0.0908654403029783</v>
      </c>
      <c r="AC119" s="16">
        <f t="shared" si="273"/>
        <v>-0.04255462725767</v>
      </c>
      <c r="AD119" s="16">
        <f t="shared" si="273"/>
        <v>-0.00996312171923463</v>
      </c>
      <c r="AE119" s="16">
        <f t="shared" si="273"/>
        <v>-0.00742411497478344</v>
      </c>
      <c r="AF119" s="16">
        <f t="shared" si="273"/>
        <v>0.0425022163406106</v>
      </c>
      <c r="AG119" s="16">
        <f t="shared" si="273"/>
        <v>0.0290407324839331</v>
      </c>
      <c r="AH119" s="16">
        <f t="shared" si="273"/>
        <v>0.0677222544135327</v>
      </c>
      <c r="AI119" s="16">
        <f t="shared" si="273"/>
        <v>0.00524289422717497</v>
      </c>
      <c r="AJ119" s="16">
        <f t="shared" si="273"/>
        <v>0.0494470649353518</v>
      </c>
      <c r="AK119" s="16">
        <f t="shared" si="273"/>
        <v>0.246831120258301</v>
      </c>
      <c r="AL119" s="16">
        <f t="shared" si="273"/>
        <v>-0.0071469177634445</v>
      </c>
      <c r="AM119" s="16">
        <f t="shared" si="273"/>
        <v>0.0790710725988456</v>
      </c>
      <c r="AN119" s="16">
        <f t="shared" si="273"/>
        <v>-0.00715224550985914</v>
      </c>
      <c r="AO119" s="16">
        <f t="shared" si="273"/>
        <v>0.034746412416069</v>
      </c>
      <c r="AP119" s="16">
        <f t="shared" si="273"/>
        <v>0.0557942645899353</v>
      </c>
      <c r="AQ119" s="16">
        <f t="shared" si="273"/>
        <v>-0.0311730517873095</v>
      </c>
      <c r="AR119" s="16">
        <f t="shared" si="273"/>
        <v>-0.0190481949706946</v>
      </c>
      <c r="AS119" s="16">
        <f t="shared" si="273"/>
        <v>-0.0226788877761738</v>
      </c>
      <c r="AT119" s="16">
        <f t="shared" ref="AT119:BY119" si="274">LN(AT57/AT56)</f>
        <v>0.0720351169909783</v>
      </c>
      <c r="AU119" s="16">
        <f t="shared" si="274"/>
        <v>0.0936984051348822</v>
      </c>
      <c r="AV119" s="16">
        <f t="shared" si="274"/>
        <v>0.0433606018722027</v>
      </c>
      <c r="AW119" s="16">
        <f t="shared" si="274"/>
        <v>-0.0075306286227259</v>
      </c>
      <c r="AX119" s="16">
        <f t="shared" si="274"/>
        <v>-0.0645203223351849</v>
      </c>
      <c r="AY119" s="16">
        <f t="shared" si="274"/>
        <v>-0.0535141114631178</v>
      </c>
      <c r="AZ119" s="16">
        <f t="shared" si="274"/>
        <v>0.0332211071888966</v>
      </c>
      <c r="BA119" s="16">
        <f t="shared" si="274"/>
        <v>-0.0663135022823878</v>
      </c>
      <c r="BB119" s="16">
        <f t="shared" si="274"/>
        <v>0.035783926122482</v>
      </c>
      <c r="BC119" s="16">
        <f t="shared" si="274"/>
        <v>-0.0137413664332169</v>
      </c>
      <c r="BD119" s="16">
        <f t="shared" si="274"/>
        <v>0.0237208968308941</v>
      </c>
      <c r="BE119" s="16">
        <f t="shared" si="274"/>
        <v>-0.154395117788235</v>
      </c>
      <c r="BF119" s="16">
        <f t="shared" si="274"/>
        <v>0.0130243979779292</v>
      </c>
      <c r="BG119" s="16">
        <f t="shared" si="274"/>
        <v>-0.0730764800707404</v>
      </c>
      <c r="BH119" s="16">
        <f t="shared" si="274"/>
        <v>0.0873101433875364</v>
      </c>
      <c r="BI119" s="16">
        <f t="shared" si="274"/>
        <v>-0.187941221187539</v>
      </c>
      <c r="BJ119" s="16">
        <f t="shared" si="274"/>
        <v>0.0358744382286711</v>
      </c>
      <c r="BK119" s="16">
        <f t="shared" si="274"/>
        <v>-0.00931982738494729</v>
      </c>
      <c r="BL119" s="16">
        <f t="shared" si="274"/>
        <v>-0.00534280825460545</v>
      </c>
      <c r="BM119" s="16">
        <f t="shared" si="274"/>
        <v>-0.0180183045375635</v>
      </c>
      <c r="BN119" s="16">
        <f t="shared" si="274"/>
        <v>0.0285432384663318</v>
      </c>
      <c r="BO119" s="16">
        <f t="shared" si="274"/>
        <v>-0.0148158079367651</v>
      </c>
      <c r="BP119" s="16">
        <f t="shared" si="274"/>
        <v>0.00674993317174281</v>
      </c>
      <c r="BQ119" s="16">
        <f t="shared" si="274"/>
        <v>-0.13078901285375</v>
      </c>
      <c r="BR119" s="16">
        <f t="shared" si="274"/>
        <v>0.00424670999223671</v>
      </c>
      <c r="BS119" s="16">
        <f t="shared" si="274"/>
        <v>-0.0433116623031088</v>
      </c>
      <c r="BT119" s="16">
        <f t="shared" si="274"/>
        <v>0.0556471787143915</v>
      </c>
      <c r="BU119" s="16">
        <f t="shared" si="274"/>
        <v>0.00375743468856592</v>
      </c>
      <c r="BV119" s="16">
        <f t="shared" si="274"/>
        <v>0.0106688756266736</v>
      </c>
      <c r="BW119" s="16">
        <f t="shared" si="274"/>
        <v>0.0584978440581873</v>
      </c>
      <c r="BX119" s="16">
        <f t="shared" si="274"/>
        <v>-0.0372712058332211</v>
      </c>
      <c r="BY119" s="16">
        <f t="shared" si="274"/>
        <v>-0.0535149798110683</v>
      </c>
      <c r="BZ119" s="16">
        <f t="shared" ref="BZ119:DE119" si="275">LN(BZ57/BZ56)</f>
        <v>0.0170389566644639</v>
      </c>
      <c r="CA119" s="16">
        <f t="shared" si="275"/>
        <v>0.0239785707173685</v>
      </c>
      <c r="CB119" s="16">
        <f t="shared" si="275"/>
        <v>0.0258827242788896</v>
      </c>
      <c r="CC119" s="16">
        <f t="shared" si="275"/>
        <v>0.0149404607609611</v>
      </c>
      <c r="CD119" s="16">
        <f t="shared" si="275"/>
        <v>0.0210639324118341</v>
      </c>
      <c r="CE119" s="16">
        <f t="shared" si="275"/>
        <v>0.0746455349293781</v>
      </c>
      <c r="CF119" s="16">
        <f t="shared" si="275"/>
        <v>0.0655859837988412</v>
      </c>
      <c r="CG119" s="16">
        <f t="shared" si="275"/>
        <v>-0.0234728877275617</v>
      </c>
      <c r="CH119" s="16">
        <f t="shared" si="275"/>
        <v>0.0437579281000223</v>
      </c>
      <c r="CI119" s="16">
        <f t="shared" si="275"/>
        <v>0.00454942460296715</v>
      </c>
      <c r="CJ119" s="16">
        <f t="shared" si="275"/>
        <v>0.0430705730295476</v>
      </c>
      <c r="CK119" s="16">
        <f t="shared" si="275"/>
        <v>0.0542075213752524</v>
      </c>
      <c r="CL119" s="16">
        <f t="shared" si="275"/>
        <v>-0.0450205627541426</v>
      </c>
      <c r="CM119" s="16">
        <f t="shared" si="275"/>
        <v>0.0546103506243941</v>
      </c>
      <c r="CN119" s="16">
        <f t="shared" si="275"/>
        <v>0.0480117299100533</v>
      </c>
      <c r="CO119" s="16">
        <f t="shared" si="275"/>
        <v>-0.0106912142565487</v>
      </c>
      <c r="CP119" s="16">
        <f t="shared" si="275"/>
        <v>-0.000116507841267866</v>
      </c>
      <c r="CQ119" s="16">
        <f t="shared" si="275"/>
        <v>-0.0262671338872694</v>
      </c>
      <c r="CR119" s="16">
        <f t="shared" si="275"/>
        <v>0.0264977339798115</v>
      </c>
      <c r="CS119" s="16">
        <f t="shared" si="275"/>
        <v>0.0621946168762919</v>
      </c>
      <c r="CT119" s="16">
        <f t="shared" si="275"/>
        <v>-0.06270710706358</v>
      </c>
      <c r="CU119" s="16">
        <f t="shared" si="275"/>
        <v>0.00333333641975822</v>
      </c>
      <c r="CV119" s="16">
        <f t="shared" si="275"/>
        <v>0.051342767551014</v>
      </c>
      <c r="CW119" s="16">
        <f t="shared" si="275"/>
        <v>0.0810200695738444</v>
      </c>
      <c r="CX119" s="16">
        <f t="shared" si="275"/>
        <v>0.140802795968998</v>
      </c>
      <c r="CY119" s="16">
        <f t="shared" si="275"/>
        <v>0.0305834233720802</v>
      </c>
      <c r="CZ119" s="16">
        <f t="shared" si="275"/>
        <v>-0.0918195572985135</v>
      </c>
      <c r="DA119" s="16">
        <f t="shared" si="275"/>
        <v>0.0436802910171612</v>
      </c>
      <c r="DB119" s="16">
        <f t="shared" si="275"/>
        <v>0.38292712901034</v>
      </c>
      <c r="DC119" s="16">
        <f t="shared" si="275"/>
        <v>0.0674888770678458</v>
      </c>
      <c r="DD119" s="16">
        <f t="shared" si="275"/>
        <v>0.0480499036123857</v>
      </c>
      <c r="DE119" s="16">
        <f t="shared" si="275"/>
        <v>0.0292038187489696</v>
      </c>
      <c r="DF119" s="16">
        <f t="shared" ref="DF119:DU119" si="276">LN(DF57/DF56)</f>
        <v>0.0603739728132428</v>
      </c>
      <c r="DG119" s="16">
        <f t="shared" si="276"/>
        <v>0.110450581463551</v>
      </c>
      <c r="DH119" s="16">
        <f t="shared" si="276"/>
        <v>0.0666390288006916</v>
      </c>
      <c r="DI119" s="16">
        <f t="shared" si="276"/>
        <v>0.0195489596764867</v>
      </c>
      <c r="DJ119" s="16">
        <f t="shared" si="276"/>
        <v>0.00696094855977217</v>
      </c>
      <c r="DK119" s="16">
        <f t="shared" si="276"/>
        <v>0.0861310931587246</v>
      </c>
      <c r="DL119" s="16">
        <f t="shared" si="276"/>
        <v>-0.0107180708568003</v>
      </c>
      <c r="DM119" s="16">
        <f t="shared" si="276"/>
        <v>0.0926668519327315</v>
      </c>
      <c r="DN119" s="16">
        <f t="shared" si="276"/>
        <v>0.117738360368769</v>
      </c>
      <c r="DO119" s="16">
        <f t="shared" si="276"/>
        <v>0.02338361633826</v>
      </c>
      <c r="DP119" s="16">
        <f t="shared" si="276"/>
        <v>0.127525127855167</v>
      </c>
      <c r="DQ119" s="16">
        <f t="shared" si="276"/>
        <v>-0.0205200674934706</v>
      </c>
      <c r="DR119" s="16">
        <f t="shared" si="276"/>
        <v>0.146889060164932</v>
      </c>
      <c r="DS119" s="16">
        <f t="shared" si="276"/>
        <v>0.194859033177512</v>
      </c>
      <c r="DT119" s="16">
        <f t="shared" si="276"/>
        <v>0.14911873578604</v>
      </c>
      <c r="DU119" s="16">
        <f t="shared" si="276"/>
        <v>0.075349437241787</v>
      </c>
      <c r="DV119" s="16">
        <f t="shared" si="13"/>
        <v>0.0406923391504087</v>
      </c>
      <c r="DW119" s="16">
        <f t="shared" si="216"/>
        <v>-0.126372338629011</v>
      </c>
      <c r="DX119" s="16">
        <f t="shared" si="216"/>
        <v>-0.00677704079104685</v>
      </c>
      <c r="DY119" s="16">
        <f t="shared" si="216"/>
        <v>0.0632999221629453</v>
      </c>
      <c r="DZ119" s="16">
        <f t="shared" si="216"/>
        <v>0.230396216502238</v>
      </c>
    </row>
    <row r="120" ht="14" spans="1:130">
      <c r="A120" s="32">
        <v>44348</v>
      </c>
      <c r="B120" s="16">
        <f t="shared" si="6"/>
        <v>-0.0207891011302932</v>
      </c>
      <c r="C120" s="16">
        <f t="shared" si="6"/>
        <v>0.0208465720340794</v>
      </c>
      <c r="D120" s="16">
        <f t="shared" si="7"/>
        <v>0.143382946556505</v>
      </c>
      <c r="E120" s="16">
        <f t="shared" si="7"/>
        <v>-0.00495904307074391</v>
      </c>
      <c r="F120" s="16">
        <f t="shared" si="7"/>
        <v>0.0713543267818586</v>
      </c>
      <c r="G120" s="16">
        <f t="shared" si="7"/>
        <v>0.0311312862651493</v>
      </c>
      <c r="H120" s="16">
        <f t="shared" ref="H120:M120" si="277">LN(H58/H57)</f>
        <v>0.0165993388117121</v>
      </c>
      <c r="I120" s="16">
        <f t="shared" si="277"/>
        <v>0.07184028135569</v>
      </c>
      <c r="J120" s="16">
        <f t="shared" si="277"/>
        <v>0.154073197850584</v>
      </c>
      <c r="K120" s="16">
        <f t="shared" si="277"/>
        <v>0.123621039650267</v>
      </c>
      <c r="L120" s="16">
        <f t="shared" si="277"/>
        <v>0.144931016755735</v>
      </c>
      <c r="M120" s="16">
        <f t="shared" si="277"/>
        <v>0.0677324304607591</v>
      </c>
      <c r="N120" s="16">
        <f t="shared" ref="N120:AS120" si="278">LN(N58/N57)</f>
        <v>0.00895379883383</v>
      </c>
      <c r="O120" s="16">
        <f t="shared" si="278"/>
        <v>0.0628508300603927</v>
      </c>
      <c r="P120" s="16">
        <f t="shared" si="278"/>
        <v>-0.0282652133575719</v>
      </c>
      <c r="Q120" s="16">
        <f t="shared" si="278"/>
        <v>-0.0353228294669154</v>
      </c>
      <c r="R120" s="16">
        <f t="shared" si="278"/>
        <v>-0.0421077586339406</v>
      </c>
      <c r="S120" s="16">
        <f t="shared" si="278"/>
        <v>0.105869909609441</v>
      </c>
      <c r="T120" s="16">
        <f t="shared" si="278"/>
        <v>-0.00619170300295191</v>
      </c>
      <c r="U120" s="16">
        <f t="shared" si="278"/>
        <v>-0.0196242149672646</v>
      </c>
      <c r="V120" s="16">
        <f t="shared" si="278"/>
        <v>0.0173210450286961</v>
      </c>
      <c r="W120" s="16">
        <f t="shared" si="278"/>
        <v>0.0309017309437656</v>
      </c>
      <c r="X120" s="16">
        <f t="shared" si="278"/>
        <v>0.0533402841368526</v>
      </c>
      <c r="Y120" s="16">
        <f t="shared" si="278"/>
        <v>-0.0572826550268765</v>
      </c>
      <c r="Z120" s="16">
        <f t="shared" si="278"/>
        <v>0.00536026280784083</v>
      </c>
      <c r="AA120" s="16">
        <f t="shared" si="278"/>
        <v>0.0879885209983061</v>
      </c>
      <c r="AB120" s="16">
        <f t="shared" si="278"/>
        <v>0.182299781779256</v>
      </c>
      <c r="AC120" s="16">
        <f t="shared" si="278"/>
        <v>-0.0199243350289154</v>
      </c>
      <c r="AD120" s="16">
        <f t="shared" si="278"/>
        <v>0.0838762321733684</v>
      </c>
      <c r="AE120" s="16">
        <f t="shared" si="278"/>
        <v>0.148978866258562</v>
      </c>
      <c r="AF120" s="16">
        <f t="shared" si="278"/>
        <v>-0.0114958184235279</v>
      </c>
      <c r="AG120" s="16">
        <f t="shared" si="278"/>
        <v>0.0809677519511723</v>
      </c>
      <c r="AH120" s="16">
        <f t="shared" si="278"/>
        <v>0.0860996103692239</v>
      </c>
      <c r="AI120" s="16">
        <f t="shared" si="278"/>
        <v>0.0347212108130832</v>
      </c>
      <c r="AJ120" s="16">
        <f t="shared" si="278"/>
        <v>0.0207104148538763</v>
      </c>
      <c r="AK120" s="16">
        <f t="shared" si="278"/>
        <v>-0.016035495508525</v>
      </c>
      <c r="AL120" s="16">
        <f t="shared" si="278"/>
        <v>0.00661132779830886</v>
      </c>
      <c r="AM120" s="16">
        <f t="shared" si="278"/>
        <v>0.208102486493502</v>
      </c>
      <c r="AN120" s="16">
        <f t="shared" si="278"/>
        <v>-0.0111654300156723</v>
      </c>
      <c r="AO120" s="16">
        <f t="shared" si="278"/>
        <v>0.00950329518410418</v>
      </c>
      <c r="AP120" s="16">
        <f t="shared" si="278"/>
        <v>0.0129806846697389</v>
      </c>
      <c r="AQ120" s="16">
        <f t="shared" si="278"/>
        <v>0.0604941066566664</v>
      </c>
      <c r="AR120" s="16">
        <f t="shared" si="278"/>
        <v>0.159523688999459</v>
      </c>
      <c r="AS120" s="16">
        <f t="shared" si="278"/>
        <v>0.00993388652329746</v>
      </c>
      <c r="AT120" s="16">
        <f t="shared" ref="AT120:BY120" si="279">LN(AT58/AT57)</f>
        <v>0.0491252146957409</v>
      </c>
      <c r="AU120" s="16">
        <f t="shared" si="279"/>
        <v>-0.0273304421085091</v>
      </c>
      <c r="AV120" s="16">
        <f t="shared" si="279"/>
        <v>-0.0442136420007445</v>
      </c>
      <c r="AW120" s="16">
        <f t="shared" si="279"/>
        <v>0.130060810185275</v>
      </c>
      <c r="AX120" s="16">
        <f t="shared" si="279"/>
        <v>0.123420823252998</v>
      </c>
      <c r="AY120" s="16">
        <f t="shared" si="279"/>
        <v>0.0961971213102872</v>
      </c>
      <c r="AZ120" s="16">
        <f t="shared" si="279"/>
        <v>0.0255834173940936</v>
      </c>
      <c r="BA120" s="16">
        <f t="shared" si="279"/>
        <v>0.148145636428351</v>
      </c>
      <c r="BB120" s="16">
        <f t="shared" si="279"/>
        <v>0.0167325084405788</v>
      </c>
      <c r="BC120" s="16">
        <f t="shared" si="279"/>
        <v>0.0811118626570457</v>
      </c>
      <c r="BD120" s="16">
        <f t="shared" si="279"/>
        <v>-0.0381150021115047</v>
      </c>
      <c r="BE120" s="16">
        <f t="shared" si="279"/>
        <v>0.0323152914389782</v>
      </c>
      <c r="BF120" s="16">
        <f t="shared" si="279"/>
        <v>0.0307441872748967</v>
      </c>
      <c r="BG120" s="16">
        <f t="shared" si="279"/>
        <v>0.0651836604386935</v>
      </c>
      <c r="BH120" s="16">
        <f t="shared" si="279"/>
        <v>0.145615303663763</v>
      </c>
      <c r="BI120" s="16">
        <f t="shared" si="279"/>
        <v>0.222791398014598</v>
      </c>
      <c r="BJ120" s="16">
        <f t="shared" si="279"/>
        <v>-0.00236326916203252</v>
      </c>
      <c r="BK120" s="16">
        <f t="shared" si="279"/>
        <v>-0.00696907135714807</v>
      </c>
      <c r="BL120" s="16">
        <f t="shared" si="279"/>
        <v>-0.014373076333464</v>
      </c>
      <c r="BM120" s="16">
        <f t="shared" si="279"/>
        <v>0.0190864287969828</v>
      </c>
      <c r="BN120" s="16">
        <f t="shared" si="279"/>
        <v>0.126114046231266</v>
      </c>
      <c r="BO120" s="16">
        <f t="shared" si="279"/>
        <v>-6.24145067991768e-5</v>
      </c>
      <c r="BP120" s="16">
        <f t="shared" si="279"/>
        <v>-0.0932134102263508</v>
      </c>
      <c r="BQ120" s="16">
        <f t="shared" si="279"/>
        <v>-0.012156140697297</v>
      </c>
      <c r="BR120" s="16">
        <f t="shared" si="279"/>
        <v>-0.0193053713277693</v>
      </c>
      <c r="BS120" s="16">
        <f t="shared" si="279"/>
        <v>-0.076289165944176</v>
      </c>
      <c r="BT120" s="16">
        <f t="shared" si="279"/>
        <v>-0.114574386445694</v>
      </c>
      <c r="BU120" s="16">
        <f t="shared" si="279"/>
        <v>-0.0378900779694816</v>
      </c>
      <c r="BV120" s="16">
        <f t="shared" si="279"/>
        <v>0.0887569295553234</v>
      </c>
      <c r="BW120" s="16">
        <f t="shared" si="279"/>
        <v>0.0308627518620224</v>
      </c>
      <c r="BX120" s="16">
        <f t="shared" si="279"/>
        <v>0.0265439731580094</v>
      </c>
      <c r="BY120" s="16">
        <f t="shared" si="279"/>
        <v>0.0780906912765808</v>
      </c>
      <c r="BZ120" s="16">
        <f t="shared" ref="BZ120:DE120" si="280">LN(BZ58/BZ57)</f>
        <v>0.000593075801652048</v>
      </c>
      <c r="CA120" s="16">
        <f t="shared" si="280"/>
        <v>-0.0215731904943948</v>
      </c>
      <c r="CB120" s="16">
        <f t="shared" si="280"/>
        <v>0.00155363141143595</v>
      </c>
      <c r="CC120" s="16">
        <f t="shared" si="280"/>
        <v>0.0274130057255026</v>
      </c>
      <c r="CD120" s="16">
        <f t="shared" si="280"/>
        <v>-0.0162606738530651</v>
      </c>
      <c r="CE120" s="16">
        <f t="shared" si="280"/>
        <v>-0.00810532459549512</v>
      </c>
      <c r="CF120" s="16">
        <f t="shared" si="280"/>
        <v>-0.0425420530462465</v>
      </c>
      <c r="CG120" s="16">
        <f t="shared" si="280"/>
        <v>0.0387544276452605</v>
      </c>
      <c r="CH120" s="16">
        <f t="shared" si="280"/>
        <v>-0.0173061467422009</v>
      </c>
      <c r="CI120" s="16">
        <f t="shared" si="280"/>
        <v>0.0214568654108786</v>
      </c>
      <c r="CJ120" s="16">
        <f t="shared" si="280"/>
        <v>-0.0294335122123988</v>
      </c>
      <c r="CK120" s="16">
        <f t="shared" si="280"/>
        <v>-0.0575410459342767</v>
      </c>
      <c r="CL120" s="16">
        <f t="shared" si="280"/>
        <v>-0.0409505590227986</v>
      </c>
      <c r="CM120" s="16">
        <f t="shared" si="280"/>
        <v>-0.0164092038433361</v>
      </c>
      <c r="CN120" s="16">
        <f t="shared" si="280"/>
        <v>-0.0089823906875771</v>
      </c>
      <c r="CO120" s="16">
        <f t="shared" si="280"/>
        <v>-0.00834370929847203</v>
      </c>
      <c r="CP120" s="16">
        <f t="shared" si="280"/>
        <v>-0.00306775652610218</v>
      </c>
      <c r="CQ120" s="16">
        <f t="shared" si="280"/>
        <v>0.0178339948533508</v>
      </c>
      <c r="CR120" s="16">
        <f t="shared" si="280"/>
        <v>-0.0653741878488606</v>
      </c>
      <c r="CS120" s="16">
        <f t="shared" si="280"/>
        <v>-0.0352794063401897</v>
      </c>
      <c r="CT120" s="16">
        <f t="shared" si="280"/>
        <v>-0.0150067499288161</v>
      </c>
      <c r="CU120" s="16">
        <f t="shared" si="280"/>
        <v>-0.0805281277447858</v>
      </c>
      <c r="CV120" s="16">
        <f t="shared" si="280"/>
        <v>-0.026602976033295</v>
      </c>
      <c r="CW120" s="16">
        <f t="shared" si="280"/>
        <v>-0.0537692337340393</v>
      </c>
      <c r="CX120" s="16">
        <f t="shared" si="280"/>
        <v>-0.104060970315741</v>
      </c>
      <c r="CY120" s="16">
        <f t="shared" si="280"/>
        <v>0.0613330880168083</v>
      </c>
      <c r="CZ120" s="16">
        <f t="shared" si="280"/>
        <v>0.168422073932591</v>
      </c>
      <c r="DA120" s="16">
        <f t="shared" si="280"/>
        <v>-0.105490630809919</v>
      </c>
      <c r="DB120" s="16">
        <f t="shared" si="280"/>
        <v>0</v>
      </c>
      <c r="DC120" s="16">
        <f t="shared" si="280"/>
        <v>-0.290031042664019</v>
      </c>
      <c r="DD120" s="16">
        <f t="shared" si="280"/>
        <v>0.223101264969284</v>
      </c>
      <c r="DE120" s="16">
        <f t="shared" si="280"/>
        <v>-0.0448799409251491</v>
      </c>
      <c r="DF120" s="16">
        <f t="shared" ref="DF120:DU120" si="281">LN(DF58/DF57)</f>
        <v>-0.0564256001818747</v>
      </c>
      <c r="DG120" s="16">
        <f t="shared" si="281"/>
        <v>0.0260205487018961</v>
      </c>
      <c r="DH120" s="16">
        <f t="shared" si="281"/>
        <v>-0.0778439325411441</v>
      </c>
      <c r="DI120" s="16">
        <f t="shared" si="281"/>
        <v>0.092064748821659</v>
      </c>
      <c r="DJ120" s="16">
        <f t="shared" si="281"/>
        <v>0.0212781891881833</v>
      </c>
      <c r="DK120" s="16">
        <f t="shared" si="281"/>
        <v>0.0962863021331383</v>
      </c>
      <c r="DL120" s="16">
        <f t="shared" si="281"/>
        <v>0.0656709189098908</v>
      </c>
      <c r="DM120" s="16">
        <f t="shared" si="281"/>
        <v>0.0378601497779649</v>
      </c>
      <c r="DN120" s="16">
        <f t="shared" si="281"/>
        <v>0.0409078797529305</v>
      </c>
      <c r="DO120" s="16">
        <f t="shared" si="281"/>
        <v>0.186102272360375</v>
      </c>
      <c r="DP120" s="16">
        <f t="shared" si="281"/>
        <v>0.0944201632643359</v>
      </c>
      <c r="DQ120" s="16">
        <f t="shared" si="281"/>
        <v>0.16424785299137</v>
      </c>
      <c r="DR120" s="16">
        <f t="shared" si="281"/>
        <v>0.0214721465496769</v>
      </c>
      <c r="DS120" s="16">
        <f t="shared" si="281"/>
        <v>-0.0576844621138295</v>
      </c>
      <c r="DT120" s="16">
        <f t="shared" si="281"/>
        <v>0.0521660217156709</v>
      </c>
      <c r="DU120" s="16">
        <f t="shared" si="281"/>
        <v>-0.050901572766037</v>
      </c>
      <c r="DV120" s="16">
        <f t="shared" si="13"/>
        <v>0.039128286245021</v>
      </c>
      <c r="DW120" s="16">
        <f t="shared" si="216"/>
        <v>0.0835479365536569</v>
      </c>
      <c r="DX120" s="16">
        <f t="shared" si="216"/>
        <v>-0.0233126444126968</v>
      </c>
      <c r="DY120" s="16">
        <f t="shared" si="216"/>
        <v>-0.0778351552618822</v>
      </c>
      <c r="DZ120" s="16">
        <f t="shared" si="216"/>
        <v>0.0224575617074217</v>
      </c>
    </row>
    <row r="121" ht="14" spans="1:130">
      <c r="A121" s="32">
        <v>44378</v>
      </c>
      <c r="B121" s="16">
        <f t="shared" si="6"/>
        <v>0.0442885266980873</v>
      </c>
      <c r="C121" s="16">
        <f t="shared" si="6"/>
        <v>0.0891157010369898</v>
      </c>
      <c r="D121" s="16">
        <f t="shared" si="7"/>
        <v>0.0591267461853228</v>
      </c>
      <c r="E121" s="16">
        <f t="shared" si="7"/>
        <v>0.0319766273019155</v>
      </c>
      <c r="F121" s="16">
        <f t="shared" si="7"/>
        <v>-0.0030810676078645</v>
      </c>
      <c r="G121" s="16">
        <f t="shared" si="7"/>
        <v>-0.00910816388503035</v>
      </c>
      <c r="H121" s="16">
        <f t="shared" ref="H121:M121" si="282">LN(H59/H58)</f>
        <v>0.0155915956086675</v>
      </c>
      <c r="I121" s="16">
        <f t="shared" si="282"/>
        <v>0.0686383580331023</v>
      </c>
      <c r="J121" s="16">
        <f t="shared" si="282"/>
        <v>0.0465325028055259</v>
      </c>
      <c r="K121" s="16">
        <f t="shared" si="282"/>
        <v>0.0717515782580228</v>
      </c>
      <c r="L121" s="16">
        <f t="shared" si="282"/>
        <v>0.188372688682334</v>
      </c>
      <c r="M121" s="16">
        <f t="shared" si="282"/>
        <v>0.0360124850686543</v>
      </c>
      <c r="N121" s="16">
        <f t="shared" ref="N121:AS121" si="283">LN(N59/N58)</f>
        <v>0.021959169776332</v>
      </c>
      <c r="O121" s="16">
        <f t="shared" si="283"/>
        <v>0.0618374339788102</v>
      </c>
      <c r="P121" s="16">
        <f t="shared" si="283"/>
        <v>0.0326489456513177</v>
      </c>
      <c r="Q121" s="16">
        <f t="shared" si="283"/>
        <v>-0.0130279451050477</v>
      </c>
      <c r="R121" s="16">
        <f t="shared" si="283"/>
        <v>0.00865925747547946</v>
      </c>
      <c r="S121" s="16">
        <f t="shared" si="283"/>
        <v>0.0283653134483667</v>
      </c>
      <c r="T121" s="16">
        <f t="shared" si="283"/>
        <v>0.042639127315043</v>
      </c>
      <c r="U121" s="16">
        <f t="shared" si="283"/>
        <v>0.0612649973824033</v>
      </c>
      <c r="V121" s="16">
        <f t="shared" si="283"/>
        <v>0.0446773095806784</v>
      </c>
      <c r="W121" s="16">
        <f t="shared" si="283"/>
        <v>0.102665433243561</v>
      </c>
      <c r="X121" s="16">
        <f t="shared" si="283"/>
        <v>0.0840465125297033</v>
      </c>
      <c r="Y121" s="16">
        <f t="shared" si="283"/>
        <v>-0.0155156439801533</v>
      </c>
      <c r="Z121" s="16">
        <f t="shared" si="283"/>
        <v>0.0538279436378655</v>
      </c>
      <c r="AA121" s="16">
        <f t="shared" si="283"/>
        <v>0.0751963151155421</v>
      </c>
      <c r="AB121" s="16">
        <f t="shared" si="283"/>
        <v>0.0976235230584695</v>
      </c>
      <c r="AC121" s="16">
        <f t="shared" si="283"/>
        <v>-0.0364793949487687</v>
      </c>
      <c r="AD121" s="16">
        <f t="shared" si="283"/>
        <v>0.0504234809207855</v>
      </c>
      <c r="AE121" s="16">
        <f t="shared" si="283"/>
        <v>0.0596397941118194</v>
      </c>
      <c r="AF121" s="16">
        <f t="shared" si="283"/>
        <v>0.112860578786716</v>
      </c>
      <c r="AG121" s="16">
        <f t="shared" si="283"/>
        <v>0.0432860507671204</v>
      </c>
      <c r="AH121" s="16">
        <f t="shared" si="283"/>
        <v>0.133615355680827</v>
      </c>
      <c r="AI121" s="16">
        <f t="shared" si="283"/>
        <v>-0.0509951494707351</v>
      </c>
      <c r="AJ121" s="16">
        <f t="shared" si="283"/>
        <v>0.0280755798779503</v>
      </c>
      <c r="AK121" s="16">
        <f t="shared" si="283"/>
        <v>-0.0878955715602481</v>
      </c>
      <c r="AL121" s="16">
        <f t="shared" si="283"/>
        <v>0.1010600572411</v>
      </c>
      <c r="AM121" s="16">
        <f t="shared" si="283"/>
        <v>-0.0252649868703281</v>
      </c>
      <c r="AN121" s="16">
        <f t="shared" si="283"/>
        <v>-0.0440630941514819</v>
      </c>
      <c r="AO121" s="16">
        <f t="shared" si="283"/>
        <v>0.025589410601982</v>
      </c>
      <c r="AP121" s="16">
        <f t="shared" si="283"/>
        <v>-0.00877482643594044</v>
      </c>
      <c r="AQ121" s="16">
        <f t="shared" si="283"/>
        <v>0.0520356790469403</v>
      </c>
      <c r="AR121" s="16">
        <f t="shared" si="283"/>
        <v>0.12268011840933</v>
      </c>
      <c r="AS121" s="16">
        <f t="shared" si="283"/>
        <v>-0.0911062642599261</v>
      </c>
      <c r="AT121" s="16">
        <f t="shared" ref="AT121:BY121" si="284">LN(AT59/AT58)</f>
        <v>-0.0279189025275125</v>
      </c>
      <c r="AU121" s="16">
        <f t="shared" si="284"/>
        <v>0.00605475672216189</v>
      </c>
      <c r="AV121" s="16">
        <f t="shared" si="284"/>
        <v>-0.0452165805444225</v>
      </c>
      <c r="AW121" s="16">
        <f t="shared" si="284"/>
        <v>0.0353201614919669</v>
      </c>
      <c r="AX121" s="16">
        <f t="shared" si="284"/>
        <v>-0.0384888158260624</v>
      </c>
      <c r="AY121" s="16">
        <f t="shared" si="284"/>
        <v>0.0629584475334262</v>
      </c>
      <c r="AZ121" s="16">
        <f t="shared" si="284"/>
        <v>-0.00962574277121455</v>
      </c>
      <c r="BA121" s="16">
        <f t="shared" si="284"/>
        <v>0.0674400940531069</v>
      </c>
      <c r="BB121" s="16">
        <f t="shared" si="284"/>
        <v>0.0879101601034556</v>
      </c>
      <c r="BC121" s="16">
        <f t="shared" si="284"/>
        <v>0.0636030730565761</v>
      </c>
      <c r="BD121" s="16">
        <f t="shared" si="284"/>
        <v>0.0410170721821529</v>
      </c>
      <c r="BE121" s="16">
        <f t="shared" si="284"/>
        <v>-0.0383374052549503</v>
      </c>
      <c r="BF121" s="16">
        <f t="shared" si="284"/>
        <v>-0.0391632768104872</v>
      </c>
      <c r="BG121" s="16">
        <f t="shared" si="284"/>
        <v>-0.0332696636773921</v>
      </c>
      <c r="BH121" s="16">
        <f t="shared" si="284"/>
        <v>-0.0288995998361141</v>
      </c>
      <c r="BI121" s="16">
        <f t="shared" si="284"/>
        <v>-0.114830006050906</v>
      </c>
      <c r="BJ121" s="16">
        <f t="shared" si="284"/>
        <v>-0.0401743534597027</v>
      </c>
      <c r="BK121" s="16">
        <f t="shared" si="284"/>
        <v>0.0494929148252266</v>
      </c>
      <c r="BL121" s="16">
        <f t="shared" si="284"/>
        <v>0.0825369180991902</v>
      </c>
      <c r="BM121" s="16">
        <f t="shared" si="284"/>
        <v>-0.000753851616683327</v>
      </c>
      <c r="BN121" s="16">
        <f t="shared" si="284"/>
        <v>0.0809133741348105</v>
      </c>
      <c r="BO121" s="16">
        <f t="shared" si="284"/>
        <v>0.0339762374089858</v>
      </c>
      <c r="BP121" s="16">
        <f t="shared" si="284"/>
        <v>0.0508945757697776</v>
      </c>
      <c r="BQ121" s="16">
        <f t="shared" si="284"/>
        <v>-0.00172949545160539</v>
      </c>
      <c r="BR121" s="16">
        <f t="shared" si="284"/>
        <v>0.0086882068169836</v>
      </c>
      <c r="BS121" s="16">
        <f t="shared" si="284"/>
        <v>-0.00450262420899465</v>
      </c>
      <c r="BT121" s="16">
        <f t="shared" si="284"/>
        <v>-0.196842255185808</v>
      </c>
      <c r="BU121" s="16">
        <f t="shared" si="284"/>
        <v>0.132976602807711</v>
      </c>
      <c r="BV121" s="16">
        <f t="shared" si="284"/>
        <v>0.12117219975179</v>
      </c>
      <c r="BW121" s="16">
        <f t="shared" si="284"/>
        <v>0.107604947293233</v>
      </c>
      <c r="BX121" s="16">
        <f t="shared" si="284"/>
        <v>-0.027958896765306</v>
      </c>
      <c r="BY121" s="16">
        <f t="shared" si="284"/>
        <v>0.0382675662805047</v>
      </c>
      <c r="BZ121" s="16">
        <f t="shared" ref="BZ121:DE121" si="285">LN(BZ59/BZ58)</f>
        <v>0.0526888047232746</v>
      </c>
      <c r="CA121" s="16">
        <f t="shared" si="285"/>
        <v>0.0600652654272852</v>
      </c>
      <c r="CB121" s="16">
        <f t="shared" si="285"/>
        <v>0.0648458530594256</v>
      </c>
      <c r="CC121" s="16">
        <f t="shared" si="285"/>
        <v>0.0219059445201302</v>
      </c>
      <c r="CD121" s="16">
        <f t="shared" si="285"/>
        <v>-0.0167202327690166</v>
      </c>
      <c r="CE121" s="16">
        <f t="shared" si="285"/>
        <v>0.0334480314151629</v>
      </c>
      <c r="CF121" s="16">
        <f t="shared" si="285"/>
        <v>-0.133987782587897</v>
      </c>
      <c r="CG121" s="16">
        <f t="shared" si="285"/>
        <v>0.0483289295062423</v>
      </c>
      <c r="CH121" s="16">
        <f t="shared" si="285"/>
        <v>0.0180446179082527</v>
      </c>
      <c r="CI121" s="16">
        <f t="shared" si="285"/>
        <v>0.0202793210041689</v>
      </c>
      <c r="CJ121" s="16">
        <f t="shared" si="285"/>
        <v>-0.0230038660259082</v>
      </c>
      <c r="CK121" s="16">
        <f t="shared" si="285"/>
        <v>-0.0583128285209019</v>
      </c>
      <c r="CL121" s="16">
        <f t="shared" si="285"/>
        <v>-0.0467345596335809</v>
      </c>
      <c r="CM121" s="16">
        <f t="shared" si="285"/>
        <v>-0.0291107203486313</v>
      </c>
      <c r="CN121" s="16">
        <f t="shared" si="285"/>
        <v>-0.0151934569702747</v>
      </c>
      <c r="CO121" s="16">
        <f t="shared" si="285"/>
        <v>-0.0481280600892762</v>
      </c>
      <c r="CP121" s="16">
        <f t="shared" si="285"/>
        <v>0.015832701337182</v>
      </c>
      <c r="CQ121" s="16">
        <f t="shared" si="285"/>
        <v>0.00543252077305962</v>
      </c>
      <c r="CR121" s="16">
        <f t="shared" si="285"/>
        <v>-0.0418827239873361</v>
      </c>
      <c r="CS121" s="16">
        <f t="shared" si="285"/>
        <v>-0.104268801225442</v>
      </c>
      <c r="CT121" s="16">
        <f t="shared" si="285"/>
        <v>-0.110704394545908</v>
      </c>
      <c r="CU121" s="16">
        <f t="shared" si="285"/>
        <v>-0.00135348543107638</v>
      </c>
      <c r="CV121" s="16">
        <f t="shared" si="285"/>
        <v>-0.0832373831762867</v>
      </c>
      <c r="CW121" s="16">
        <f t="shared" si="285"/>
        <v>-0.0611162905442589</v>
      </c>
      <c r="CX121" s="16">
        <f t="shared" si="285"/>
        <v>-0.108089906450724</v>
      </c>
      <c r="CY121" s="16">
        <f t="shared" si="285"/>
        <v>0.214771900844165</v>
      </c>
      <c r="CZ121" s="16">
        <f t="shared" si="285"/>
        <v>0.0493683659779662</v>
      </c>
      <c r="DA121" s="16">
        <f t="shared" si="285"/>
        <v>0.00616184858652841</v>
      </c>
      <c r="DB121" s="16">
        <f t="shared" si="285"/>
        <v>-0.00228198958034041</v>
      </c>
      <c r="DC121" s="16">
        <f t="shared" si="285"/>
        <v>0.0156867233700738</v>
      </c>
      <c r="DD121" s="16">
        <f t="shared" si="285"/>
        <v>-0.0637420525140066</v>
      </c>
      <c r="DE121" s="16">
        <f t="shared" si="285"/>
        <v>0.0594758370838194</v>
      </c>
      <c r="DF121" s="16">
        <f t="shared" ref="DF121:DU121" si="286">LN(DF59/DF58)</f>
        <v>0.00453652675792685</v>
      </c>
      <c r="DG121" s="16">
        <f t="shared" si="286"/>
        <v>-0.0829722228264091</v>
      </c>
      <c r="DH121" s="16">
        <f t="shared" si="286"/>
        <v>-0.0119959618243209</v>
      </c>
      <c r="DI121" s="16">
        <f t="shared" si="286"/>
        <v>-0.0914022313900279</v>
      </c>
      <c r="DJ121" s="16">
        <f t="shared" si="286"/>
        <v>-0.0283735164482378</v>
      </c>
      <c r="DK121" s="16">
        <f t="shared" si="286"/>
        <v>-0.0828105425013076</v>
      </c>
      <c r="DL121" s="16">
        <f t="shared" si="286"/>
        <v>-0.108017660594657</v>
      </c>
      <c r="DM121" s="16">
        <f t="shared" si="286"/>
        <v>-0.135587976276023</v>
      </c>
      <c r="DN121" s="16">
        <f t="shared" si="286"/>
        <v>-0.130281813306975</v>
      </c>
      <c r="DO121" s="16">
        <f t="shared" si="286"/>
        <v>-0.18038134961489</v>
      </c>
      <c r="DP121" s="16">
        <f t="shared" si="286"/>
        <v>-0.110266800199621</v>
      </c>
      <c r="DQ121" s="16">
        <f t="shared" si="286"/>
        <v>-0.196631621241081</v>
      </c>
      <c r="DR121" s="16">
        <f t="shared" si="286"/>
        <v>-0.100633896526648</v>
      </c>
      <c r="DS121" s="16">
        <f t="shared" si="286"/>
        <v>-0.0739396260422678</v>
      </c>
      <c r="DT121" s="16">
        <f t="shared" si="286"/>
        <v>-0.2259098048071</v>
      </c>
      <c r="DU121" s="16">
        <f t="shared" si="286"/>
        <v>-0.103766196891245</v>
      </c>
      <c r="DV121" s="16">
        <f t="shared" si="13"/>
        <v>-0.142887503845444</v>
      </c>
      <c r="DW121" s="16">
        <f t="shared" si="216"/>
        <v>0.0109738463174532</v>
      </c>
      <c r="DX121" s="16">
        <f t="shared" si="216"/>
        <v>0.0577055962014446</v>
      </c>
      <c r="DY121" s="16">
        <f t="shared" si="216"/>
        <v>-0.0999300346982084</v>
      </c>
      <c r="DZ121" s="16">
        <f t="shared" si="216"/>
        <v>-0.0631935310222384</v>
      </c>
    </row>
    <row r="122" ht="14" spans="1:130">
      <c r="A122" s="32">
        <v>44409</v>
      </c>
      <c r="B122" s="16">
        <f t="shared" si="6"/>
        <v>0.0053861281464668</v>
      </c>
      <c r="C122" s="16">
        <f t="shared" si="6"/>
        <v>0.0824067254339862</v>
      </c>
      <c r="D122" s="16">
        <f t="shared" si="7"/>
        <v>0.0589660473090961</v>
      </c>
      <c r="E122" s="16">
        <f t="shared" si="7"/>
        <v>0.0488838098854014</v>
      </c>
      <c r="F122" s="16">
        <f t="shared" si="7"/>
        <v>-0.00757396920766801</v>
      </c>
      <c r="G122" s="16">
        <f t="shared" si="7"/>
        <v>-0.0685818281569117</v>
      </c>
      <c r="H122" s="16">
        <f t="shared" ref="H122:M122" si="287">LN(H60/H59)</f>
        <v>-0.0076330882205826</v>
      </c>
      <c r="I122" s="16">
        <f t="shared" si="287"/>
        <v>0.0272904463726801</v>
      </c>
      <c r="J122" s="16">
        <f t="shared" si="287"/>
        <v>-0.0810383283705081</v>
      </c>
      <c r="K122" s="16">
        <f t="shared" si="287"/>
        <v>-0.00705472906438922</v>
      </c>
      <c r="L122" s="16">
        <f t="shared" si="287"/>
        <v>0.0266253657857511</v>
      </c>
      <c r="M122" s="16">
        <f t="shared" si="287"/>
        <v>0.13684129567898</v>
      </c>
      <c r="N122" s="16">
        <f t="shared" ref="N122:AS122" si="288">LN(N60/N59)</f>
        <v>0.0474242934069848</v>
      </c>
      <c r="O122" s="16">
        <f t="shared" si="288"/>
        <v>0.0522960417685718</v>
      </c>
      <c r="P122" s="16">
        <f t="shared" si="288"/>
        <v>0.00977706097130859</v>
      </c>
      <c r="Q122" s="16">
        <f t="shared" si="288"/>
        <v>0.0538100293594908</v>
      </c>
      <c r="R122" s="16">
        <f t="shared" si="288"/>
        <v>-0.0233958301202993</v>
      </c>
      <c r="S122" s="16">
        <f t="shared" si="288"/>
        <v>0.158647956922154</v>
      </c>
      <c r="T122" s="16">
        <f t="shared" si="288"/>
        <v>0.0473884407044239</v>
      </c>
      <c r="U122" s="16">
        <f t="shared" si="288"/>
        <v>0.0163907485847661</v>
      </c>
      <c r="V122" s="16">
        <f t="shared" si="288"/>
        <v>0.0224810195058416</v>
      </c>
      <c r="W122" s="16">
        <f t="shared" si="288"/>
        <v>0.0850061962693107</v>
      </c>
      <c r="X122" s="16">
        <f t="shared" si="288"/>
        <v>0.0103990138193521</v>
      </c>
      <c r="Y122" s="16">
        <f t="shared" si="288"/>
        <v>0.0390295803196362</v>
      </c>
      <c r="Z122" s="16">
        <f t="shared" si="288"/>
        <v>-0.0159626525384073</v>
      </c>
      <c r="AA122" s="16">
        <f t="shared" si="288"/>
        <v>0.0607515804049681</v>
      </c>
      <c r="AB122" s="16">
        <f t="shared" si="288"/>
        <v>0.0666401084394684</v>
      </c>
      <c r="AC122" s="16">
        <f t="shared" si="288"/>
        <v>-0.0147166466758478</v>
      </c>
      <c r="AD122" s="16">
        <f t="shared" si="288"/>
        <v>0.0578563325099003</v>
      </c>
      <c r="AE122" s="16">
        <f t="shared" si="288"/>
        <v>0.0654851797147784</v>
      </c>
      <c r="AF122" s="16">
        <f t="shared" si="288"/>
        <v>0.0262619629773443</v>
      </c>
      <c r="AG122" s="16">
        <f t="shared" si="288"/>
        <v>0.142931842011605</v>
      </c>
      <c r="AH122" s="16">
        <f t="shared" si="288"/>
        <v>0.146332954341249</v>
      </c>
      <c r="AI122" s="16">
        <f t="shared" si="288"/>
        <v>-0.000508517681947271</v>
      </c>
      <c r="AJ122" s="16">
        <f t="shared" si="288"/>
        <v>-0.0572270894311989</v>
      </c>
      <c r="AK122" s="16">
        <f t="shared" si="288"/>
        <v>0.0677565555020306</v>
      </c>
      <c r="AL122" s="16">
        <f t="shared" si="288"/>
        <v>-0.0143389112997454</v>
      </c>
      <c r="AM122" s="16">
        <f t="shared" si="288"/>
        <v>0.138027871337117</v>
      </c>
      <c r="AN122" s="16">
        <f t="shared" si="288"/>
        <v>0.00630907845914655</v>
      </c>
      <c r="AO122" s="16">
        <f t="shared" si="288"/>
        <v>0.0240392253312661</v>
      </c>
      <c r="AP122" s="16">
        <f t="shared" si="288"/>
        <v>0.00708174476752675</v>
      </c>
      <c r="AQ122" s="16">
        <f t="shared" si="288"/>
        <v>-0.0209796672373564</v>
      </c>
      <c r="AR122" s="16">
        <f t="shared" si="288"/>
        <v>0.0417745494536052</v>
      </c>
      <c r="AS122" s="16">
        <f t="shared" si="288"/>
        <v>-0.0513069429263118</v>
      </c>
      <c r="AT122" s="16">
        <f t="shared" ref="AT122:BY122" si="289">LN(AT60/AT59)</f>
        <v>-0.0270622630900161</v>
      </c>
      <c r="AU122" s="16">
        <f t="shared" si="289"/>
        <v>0.0414749591072777</v>
      </c>
      <c r="AV122" s="16">
        <f t="shared" si="289"/>
        <v>0.0948528050718272</v>
      </c>
      <c r="AW122" s="16">
        <f t="shared" si="289"/>
        <v>0.0376562841910384</v>
      </c>
      <c r="AX122" s="16">
        <f t="shared" si="289"/>
        <v>-0.0057070361939546</v>
      </c>
      <c r="AY122" s="16">
        <f t="shared" si="289"/>
        <v>0.0401144198400835</v>
      </c>
      <c r="AZ122" s="16">
        <f t="shared" si="289"/>
        <v>0.0920997471014208</v>
      </c>
      <c r="BA122" s="16">
        <f t="shared" si="289"/>
        <v>0.0905997080229332</v>
      </c>
      <c r="BB122" s="16">
        <f t="shared" si="289"/>
        <v>0.10400467787149</v>
      </c>
      <c r="BC122" s="16">
        <f t="shared" si="289"/>
        <v>0.0862919853005079</v>
      </c>
      <c r="BD122" s="16">
        <f t="shared" si="289"/>
        <v>0.0165157926086227</v>
      </c>
      <c r="BE122" s="16">
        <f t="shared" si="289"/>
        <v>0.0296900298879044</v>
      </c>
      <c r="BF122" s="16">
        <f t="shared" si="289"/>
        <v>-0.00440780107121154</v>
      </c>
      <c r="BG122" s="16">
        <f t="shared" si="289"/>
        <v>0.042133915498726</v>
      </c>
      <c r="BH122" s="16">
        <f t="shared" si="289"/>
        <v>0.117831886224725</v>
      </c>
      <c r="BI122" s="16">
        <f t="shared" si="289"/>
        <v>0.164212225594808</v>
      </c>
      <c r="BJ122" s="16">
        <f t="shared" si="289"/>
        <v>-0.148215944307444</v>
      </c>
      <c r="BK122" s="16">
        <f t="shared" si="289"/>
        <v>-0.0218678140227608</v>
      </c>
      <c r="BL122" s="16">
        <f t="shared" si="289"/>
        <v>-0.0329850295598222</v>
      </c>
      <c r="BM122" s="16">
        <f t="shared" si="289"/>
        <v>0.0395954265623275</v>
      </c>
      <c r="BN122" s="16">
        <f t="shared" si="289"/>
        <v>-0.0166743587339594</v>
      </c>
      <c r="BO122" s="16">
        <f t="shared" si="289"/>
        <v>-0.00614323381432564</v>
      </c>
      <c r="BP122" s="16">
        <f t="shared" si="289"/>
        <v>0.0696054872223142</v>
      </c>
      <c r="BQ122" s="16">
        <f t="shared" si="289"/>
        <v>0.170964855047552</v>
      </c>
      <c r="BR122" s="16">
        <f t="shared" si="289"/>
        <v>0.105793343575157</v>
      </c>
      <c r="BS122" s="16">
        <f t="shared" si="289"/>
        <v>0.054239241420251</v>
      </c>
      <c r="BT122" s="16">
        <f t="shared" si="289"/>
        <v>0.108864761220887</v>
      </c>
      <c r="BU122" s="16">
        <f t="shared" si="289"/>
        <v>-0.00274322780313169</v>
      </c>
      <c r="BV122" s="16">
        <f t="shared" si="289"/>
        <v>-0.0165011053333902</v>
      </c>
      <c r="BW122" s="16">
        <f t="shared" si="289"/>
        <v>0.0416191757977943</v>
      </c>
      <c r="BX122" s="16">
        <f t="shared" si="289"/>
        <v>0.0710354057757624</v>
      </c>
      <c r="BY122" s="16">
        <f t="shared" si="289"/>
        <v>-0.0444022882228478</v>
      </c>
      <c r="BZ122" s="16">
        <f t="shared" ref="BZ122:DE122" si="290">LN(BZ60/BZ59)</f>
        <v>0.00739436141725832</v>
      </c>
      <c r="CA122" s="16">
        <f t="shared" si="290"/>
        <v>-0.012705363976077</v>
      </c>
      <c r="CB122" s="16">
        <f t="shared" si="290"/>
        <v>-0.00357447582898659</v>
      </c>
      <c r="CC122" s="16">
        <f t="shared" si="290"/>
        <v>0.0286589546311234</v>
      </c>
      <c r="CD122" s="16">
        <f t="shared" si="290"/>
        <v>-0.0326854368708044</v>
      </c>
      <c r="CE122" s="16">
        <f t="shared" si="290"/>
        <v>-0.0312589116810668</v>
      </c>
      <c r="CF122" s="16">
        <f t="shared" si="290"/>
        <v>-0.0278533662480422</v>
      </c>
      <c r="CG122" s="16">
        <f t="shared" si="290"/>
        <v>0.0197537463413293</v>
      </c>
      <c r="CH122" s="16">
        <f t="shared" si="290"/>
        <v>-0.0189903631783347</v>
      </c>
      <c r="CI122" s="16">
        <f t="shared" si="290"/>
        <v>0.0281843123815664</v>
      </c>
      <c r="CJ122" s="16">
        <f t="shared" si="290"/>
        <v>-0.0143158950667281</v>
      </c>
      <c r="CK122" s="16">
        <f t="shared" si="290"/>
        <v>-0.0666376994057432</v>
      </c>
      <c r="CL122" s="16">
        <f t="shared" si="290"/>
        <v>0.0769414523628709</v>
      </c>
      <c r="CM122" s="16">
        <f t="shared" si="290"/>
        <v>-0.013133187674488</v>
      </c>
      <c r="CN122" s="16">
        <f t="shared" si="290"/>
        <v>-0.00347826881649386</v>
      </c>
      <c r="CO122" s="16">
        <f t="shared" si="290"/>
        <v>0.0287872747050035</v>
      </c>
      <c r="CP122" s="16">
        <f t="shared" si="290"/>
        <v>-0.0343078921735963</v>
      </c>
      <c r="CQ122" s="16">
        <f t="shared" si="290"/>
        <v>-0.0673588485143422</v>
      </c>
      <c r="CR122" s="16">
        <f t="shared" si="290"/>
        <v>-0.0384293717191714</v>
      </c>
      <c r="CS122" s="16">
        <f t="shared" si="290"/>
        <v>0.0263170488642787</v>
      </c>
      <c r="CT122" s="16">
        <f t="shared" si="290"/>
        <v>-0.0099503308531682</v>
      </c>
      <c r="CU122" s="16">
        <f t="shared" si="290"/>
        <v>0.228636338975074</v>
      </c>
      <c r="CV122" s="16">
        <f t="shared" si="290"/>
        <v>0.0220683583792997</v>
      </c>
      <c r="CW122" s="16">
        <f t="shared" si="290"/>
        <v>-0.0522808578746232</v>
      </c>
      <c r="CX122" s="16">
        <f t="shared" si="290"/>
        <v>0.0964787455230458</v>
      </c>
      <c r="CY122" s="16">
        <f t="shared" si="290"/>
        <v>0.113456936025675</v>
      </c>
      <c r="CZ122" s="16">
        <f t="shared" si="290"/>
        <v>0.0760329005633063</v>
      </c>
      <c r="DA122" s="16">
        <f t="shared" si="290"/>
        <v>0.061137983491001</v>
      </c>
      <c r="DB122" s="16">
        <f t="shared" si="290"/>
        <v>0.38068273953162</v>
      </c>
      <c r="DC122" s="16">
        <f t="shared" si="290"/>
        <v>0.121254543630163</v>
      </c>
      <c r="DD122" s="16">
        <f t="shared" si="290"/>
        <v>0.0395473272028875</v>
      </c>
      <c r="DE122" s="16">
        <f t="shared" si="290"/>
        <v>0.0701885865260973</v>
      </c>
      <c r="DF122" s="16">
        <f t="shared" ref="DF122:DU122" si="291">LN(DF60/DF59)</f>
        <v>0.0574601184734032</v>
      </c>
      <c r="DG122" s="16">
        <f t="shared" si="291"/>
        <v>0.0846830872300385</v>
      </c>
      <c r="DH122" s="16">
        <f t="shared" si="291"/>
        <v>0.0165801217840243</v>
      </c>
      <c r="DI122" s="16">
        <f t="shared" si="291"/>
        <v>-0.0544340955490734</v>
      </c>
      <c r="DJ122" s="16">
        <f t="shared" si="291"/>
        <v>-0.0507709690537397</v>
      </c>
      <c r="DK122" s="16">
        <f t="shared" si="291"/>
        <v>-0.00188243384423382</v>
      </c>
      <c r="DL122" s="16">
        <f t="shared" si="291"/>
        <v>0.0291503326386749</v>
      </c>
      <c r="DM122" s="16">
        <f t="shared" si="291"/>
        <v>-0.0582188867531032</v>
      </c>
      <c r="DN122" s="16">
        <f t="shared" si="291"/>
        <v>-0.10602936945857</v>
      </c>
      <c r="DO122" s="16">
        <f t="shared" si="291"/>
        <v>-0.0158332940280036</v>
      </c>
      <c r="DP122" s="16">
        <f t="shared" si="291"/>
        <v>0.134160010967983</v>
      </c>
      <c r="DQ122" s="16">
        <f t="shared" si="291"/>
        <v>0.000129611594394973</v>
      </c>
      <c r="DR122" s="16">
        <f t="shared" si="291"/>
        <v>-0.0277845153371528</v>
      </c>
      <c r="DS122" s="16">
        <f t="shared" si="291"/>
        <v>0.0699963764343468</v>
      </c>
      <c r="DT122" s="16">
        <f t="shared" si="291"/>
        <v>-0.0852501487069637</v>
      </c>
      <c r="DU122" s="16">
        <f t="shared" si="291"/>
        <v>-0.0474514516660111</v>
      </c>
      <c r="DV122" s="16">
        <f t="shared" si="13"/>
        <v>0.0396192936026102</v>
      </c>
      <c r="DW122" s="16">
        <f t="shared" si="216"/>
        <v>0.0682242408925513</v>
      </c>
      <c r="DX122" s="16">
        <f t="shared" si="216"/>
        <v>-0.00408547929916198</v>
      </c>
      <c r="DY122" s="16">
        <f t="shared" si="216"/>
        <v>-0.0604828391051079</v>
      </c>
      <c r="DZ122" s="16">
        <f t="shared" si="216"/>
        <v>-0.0682251171306209</v>
      </c>
    </row>
    <row r="123" ht="14" spans="1:130">
      <c r="A123" s="32">
        <v>44440</v>
      </c>
      <c r="B123" s="16">
        <f t="shared" si="6"/>
        <v>-0.0636129768545013</v>
      </c>
      <c r="C123" s="16">
        <f t="shared" si="6"/>
        <v>-0.0687293321521808</v>
      </c>
      <c r="D123" s="16">
        <f t="shared" si="7"/>
        <v>-0.108225181574414</v>
      </c>
      <c r="E123" s="16">
        <f t="shared" si="7"/>
        <v>-0.113043910492417</v>
      </c>
      <c r="F123" s="16">
        <f t="shared" si="7"/>
        <v>-0.0155880428989055</v>
      </c>
      <c r="G123" s="16">
        <f t="shared" si="7"/>
        <v>-0.0511132170412806</v>
      </c>
      <c r="H123" s="16">
        <f t="shared" ref="H123:M123" si="292">LN(H61/H60)</f>
        <v>-0.122186215639005</v>
      </c>
      <c r="I123" s="16">
        <f t="shared" si="292"/>
        <v>0.0290888080261501</v>
      </c>
      <c r="J123" s="16">
        <f t="shared" si="292"/>
        <v>-0.119641332224002</v>
      </c>
      <c r="K123" s="16">
        <f t="shared" si="292"/>
        <v>-0.0800946563037741</v>
      </c>
      <c r="L123" s="16">
        <f t="shared" si="292"/>
        <v>0.0324107604675707</v>
      </c>
      <c r="M123" s="16">
        <f t="shared" si="292"/>
        <v>-0.107852171805167</v>
      </c>
      <c r="N123" s="16">
        <f t="shared" ref="N123:AS123" si="293">LN(N61/N60)</f>
        <v>-0.080922212382938</v>
      </c>
      <c r="O123" s="16">
        <f t="shared" si="293"/>
        <v>-0.119910449138132</v>
      </c>
      <c r="P123" s="16">
        <f t="shared" si="293"/>
        <v>-0.0632917034301343</v>
      </c>
      <c r="Q123" s="16">
        <f t="shared" si="293"/>
        <v>-0.017869088596614</v>
      </c>
      <c r="R123" s="16">
        <f t="shared" si="293"/>
        <v>-0.00623054306591712</v>
      </c>
      <c r="S123" s="16">
        <f t="shared" si="293"/>
        <v>-0.106813572285471</v>
      </c>
      <c r="T123" s="16">
        <f t="shared" si="293"/>
        <v>-0.0674283988101609</v>
      </c>
      <c r="U123" s="16">
        <f t="shared" si="293"/>
        <v>-0.0628420721024203</v>
      </c>
      <c r="V123" s="16">
        <f t="shared" si="293"/>
        <v>-0.049490413844834</v>
      </c>
      <c r="W123" s="16">
        <f t="shared" si="293"/>
        <v>0.0199619546345327</v>
      </c>
      <c r="X123" s="16">
        <f t="shared" si="293"/>
        <v>-0.052281782698851</v>
      </c>
      <c r="Y123" s="16">
        <f t="shared" si="293"/>
        <v>-0.0691714533262433</v>
      </c>
      <c r="Z123" s="16">
        <f t="shared" si="293"/>
        <v>-0.0236380537764938</v>
      </c>
      <c r="AA123" s="16">
        <f t="shared" si="293"/>
        <v>-0.0580420839321559</v>
      </c>
      <c r="AB123" s="16">
        <f t="shared" si="293"/>
        <v>-0.095965696956157</v>
      </c>
      <c r="AC123" s="16">
        <f t="shared" si="293"/>
        <v>0.0537633540488185</v>
      </c>
      <c r="AD123" s="16">
        <f t="shared" si="293"/>
        <v>-0.0664937239759187</v>
      </c>
      <c r="AE123" s="16">
        <f t="shared" si="293"/>
        <v>-0.142208808757409</v>
      </c>
      <c r="AF123" s="16">
        <f t="shared" si="293"/>
        <v>-0.0226947218994305</v>
      </c>
      <c r="AG123" s="16">
        <f t="shared" si="293"/>
        <v>-0.104043727761142</v>
      </c>
      <c r="AH123" s="16">
        <f t="shared" si="293"/>
        <v>-0.0761262053460144</v>
      </c>
      <c r="AI123" s="16">
        <f t="shared" si="293"/>
        <v>-0.0534226290809073</v>
      </c>
      <c r="AJ123" s="16">
        <f t="shared" si="293"/>
        <v>-0.0795498195969666</v>
      </c>
      <c r="AK123" s="16">
        <f t="shared" si="293"/>
        <v>-0.0437509499512755</v>
      </c>
      <c r="AL123" s="16">
        <f t="shared" si="293"/>
        <v>-0.0238112405390953</v>
      </c>
      <c r="AM123" s="16">
        <f t="shared" si="293"/>
        <v>-0.0773082701116517</v>
      </c>
      <c r="AN123" s="16">
        <f t="shared" si="293"/>
        <v>-0.00805623747374719</v>
      </c>
      <c r="AO123" s="16">
        <f t="shared" si="293"/>
        <v>-0.0250080084195734</v>
      </c>
      <c r="AP123" s="16">
        <f t="shared" si="293"/>
        <v>0.00678641151247213</v>
      </c>
      <c r="AQ123" s="16">
        <f t="shared" si="293"/>
        <v>-0.128664139075512</v>
      </c>
      <c r="AR123" s="16">
        <f t="shared" si="293"/>
        <v>-0.0732468490293554</v>
      </c>
      <c r="AS123" s="16">
        <f t="shared" si="293"/>
        <v>-0.0376046086378695</v>
      </c>
      <c r="AT123" s="16">
        <f t="shared" ref="AT123:BY123" si="294">LN(AT61/AT60)</f>
        <v>0.0316368375789222</v>
      </c>
      <c r="AU123" s="16">
        <f t="shared" si="294"/>
        <v>-0.0937917548461573</v>
      </c>
      <c r="AV123" s="16">
        <f t="shared" si="294"/>
        <v>-0.0218546875413134</v>
      </c>
      <c r="AW123" s="16">
        <f t="shared" si="294"/>
        <v>-0.0300107328704931</v>
      </c>
      <c r="AX123" s="16">
        <f t="shared" si="294"/>
        <v>-0.104327211015066</v>
      </c>
      <c r="AY123" s="16">
        <f t="shared" si="294"/>
        <v>-0.0689648852296154</v>
      </c>
      <c r="AZ123" s="16">
        <f t="shared" si="294"/>
        <v>0.0221821244426824</v>
      </c>
      <c r="BA123" s="16">
        <f t="shared" si="294"/>
        <v>-0.0337654814375145</v>
      </c>
      <c r="BB123" s="16">
        <f t="shared" si="294"/>
        <v>-0.115135140895804</v>
      </c>
      <c r="BC123" s="16">
        <f t="shared" si="294"/>
        <v>-0.0878733017716116</v>
      </c>
      <c r="BD123" s="16">
        <f t="shared" si="294"/>
        <v>-0.0457017318686156</v>
      </c>
      <c r="BE123" s="16">
        <f t="shared" si="294"/>
        <v>-0.083410951197024</v>
      </c>
      <c r="BF123" s="16">
        <f t="shared" si="294"/>
        <v>0.00134907053093099</v>
      </c>
      <c r="BG123" s="16">
        <f t="shared" si="294"/>
        <v>-0.0550034053303537</v>
      </c>
      <c r="BH123" s="16">
        <f t="shared" si="294"/>
        <v>-0.0943294937050462</v>
      </c>
      <c r="BI123" s="16">
        <f t="shared" si="294"/>
        <v>-0.0391356340018759</v>
      </c>
      <c r="BJ123" s="16">
        <f t="shared" si="294"/>
        <v>0.0727808319456595</v>
      </c>
      <c r="BK123" s="16">
        <f t="shared" si="294"/>
        <v>0.0207212773205321</v>
      </c>
      <c r="BL123" s="16">
        <f t="shared" si="294"/>
        <v>-0.0591844324794506</v>
      </c>
      <c r="BM123" s="16">
        <f t="shared" si="294"/>
        <v>0.0054283199626238</v>
      </c>
      <c r="BN123" s="16">
        <f t="shared" si="294"/>
        <v>-0.124400977906563</v>
      </c>
      <c r="BO123" s="16">
        <f t="shared" si="294"/>
        <v>0.00635666781664202</v>
      </c>
      <c r="BP123" s="16">
        <f t="shared" si="294"/>
        <v>-0.0987175066230226</v>
      </c>
      <c r="BQ123" s="16">
        <f t="shared" si="294"/>
        <v>-0.0623628274220224</v>
      </c>
      <c r="BR123" s="16">
        <f t="shared" si="294"/>
        <v>-0.1032016202863</v>
      </c>
      <c r="BS123" s="16">
        <f t="shared" si="294"/>
        <v>0.0317559004089492</v>
      </c>
      <c r="BT123" s="16">
        <f t="shared" si="294"/>
        <v>0.0354055292201423</v>
      </c>
      <c r="BU123" s="16">
        <f t="shared" si="294"/>
        <v>-0.0651415708093617</v>
      </c>
      <c r="BV123" s="16">
        <f t="shared" si="294"/>
        <v>-0.0803975280404843</v>
      </c>
      <c r="BW123" s="16">
        <f t="shared" si="294"/>
        <v>-0.0656938506315744</v>
      </c>
      <c r="BX123" s="16">
        <f t="shared" si="294"/>
        <v>0.0448082206006885</v>
      </c>
      <c r="BY123" s="16">
        <f t="shared" si="294"/>
        <v>0.0293409615603445</v>
      </c>
      <c r="BZ123" s="16">
        <f t="shared" ref="BZ123:DE123" si="295">LN(BZ61/BZ60)</f>
        <v>-0.0183569419931932</v>
      </c>
      <c r="CA123" s="16">
        <f t="shared" si="295"/>
        <v>-0.0706304501595101</v>
      </c>
      <c r="CB123" s="16">
        <f t="shared" si="295"/>
        <v>-0.0389873978335994</v>
      </c>
      <c r="CC123" s="16">
        <f t="shared" si="295"/>
        <v>-0.0830647939545347</v>
      </c>
      <c r="CD123" s="16">
        <f t="shared" si="295"/>
        <v>-0.0177679899875926</v>
      </c>
      <c r="CE123" s="16">
        <f t="shared" si="295"/>
        <v>0.0175399765867955</v>
      </c>
      <c r="CF123" s="16">
        <f t="shared" si="295"/>
        <v>-0.0828493637388698</v>
      </c>
      <c r="CG123" s="16">
        <f t="shared" si="295"/>
        <v>-0.1252803202942</v>
      </c>
      <c r="CH123" s="16">
        <f t="shared" si="295"/>
        <v>-0.0647211961107569</v>
      </c>
      <c r="CI123" s="16">
        <f t="shared" si="295"/>
        <v>-0.0488200007459858</v>
      </c>
      <c r="CJ123" s="16">
        <f t="shared" si="295"/>
        <v>-0.0308758975824427</v>
      </c>
      <c r="CK123" s="16">
        <f t="shared" si="295"/>
        <v>0.0339360162977504</v>
      </c>
      <c r="CL123" s="16">
        <f t="shared" si="295"/>
        <v>-0.0145435207177389</v>
      </c>
      <c r="CM123" s="16">
        <f t="shared" si="295"/>
        <v>-0.105018993931286</v>
      </c>
      <c r="CN123" s="16">
        <f t="shared" si="295"/>
        <v>0.0215033279872511</v>
      </c>
      <c r="CO123" s="16">
        <f t="shared" si="295"/>
        <v>-0.0628942600475823</v>
      </c>
      <c r="CP123" s="16">
        <f t="shared" si="295"/>
        <v>-0.0101095589998611</v>
      </c>
      <c r="CQ123" s="16">
        <f t="shared" si="295"/>
        <v>-0.0146259275697151</v>
      </c>
      <c r="CR123" s="16">
        <f t="shared" si="295"/>
        <v>0.00191525076501253</v>
      </c>
      <c r="CS123" s="16">
        <f t="shared" si="295"/>
        <v>-0.128710565704994</v>
      </c>
      <c r="CT123" s="16">
        <f t="shared" si="295"/>
        <v>0.0192257596712985</v>
      </c>
      <c r="CU123" s="16">
        <f t="shared" si="295"/>
        <v>0.0435768171990997</v>
      </c>
      <c r="CV123" s="16">
        <f t="shared" si="295"/>
        <v>-0.066398918848633</v>
      </c>
      <c r="CW123" s="16">
        <f t="shared" si="295"/>
        <v>-0.191935423670038</v>
      </c>
      <c r="CX123" s="16">
        <f t="shared" si="295"/>
        <v>-0.0695143838846904</v>
      </c>
      <c r="CY123" s="16">
        <f t="shared" si="295"/>
        <v>-0.179236841138939</v>
      </c>
      <c r="CZ123" s="16">
        <f t="shared" si="295"/>
        <v>0.0358299632032185</v>
      </c>
      <c r="DA123" s="16">
        <f t="shared" si="295"/>
        <v>0.372276449340036</v>
      </c>
      <c r="DB123" s="16">
        <f t="shared" si="295"/>
        <v>-0.00122747323340211</v>
      </c>
      <c r="DC123" s="16">
        <f t="shared" si="295"/>
        <v>0.204460182760994</v>
      </c>
      <c r="DD123" s="16">
        <f t="shared" si="295"/>
        <v>0.0373957338968629</v>
      </c>
      <c r="DE123" s="16">
        <f t="shared" si="295"/>
        <v>-0.00885466013200163</v>
      </c>
      <c r="DF123" s="16">
        <f t="shared" ref="DF123:DU123" si="296">LN(DF61/DF60)</f>
        <v>-0.0208715744850848</v>
      </c>
      <c r="DG123" s="16">
        <f t="shared" si="296"/>
        <v>0.0500104205746614</v>
      </c>
      <c r="DH123" s="16">
        <f t="shared" si="296"/>
        <v>-0.0267065088782042</v>
      </c>
      <c r="DI123" s="16">
        <f t="shared" si="296"/>
        <v>0.0909367243358993</v>
      </c>
      <c r="DJ123" s="16">
        <f t="shared" si="296"/>
        <v>0.060621196489625</v>
      </c>
      <c r="DK123" s="16">
        <f t="shared" si="296"/>
        <v>0.199196203894506</v>
      </c>
      <c r="DL123" s="16">
        <f t="shared" si="296"/>
        <v>0.106622884556733</v>
      </c>
      <c r="DM123" s="16">
        <f t="shared" si="296"/>
        <v>0.172972101855784</v>
      </c>
      <c r="DN123" s="16">
        <f t="shared" si="296"/>
        <v>0.127641314766772</v>
      </c>
      <c r="DO123" s="16">
        <f t="shared" si="296"/>
        <v>0.140996684996823</v>
      </c>
      <c r="DP123" s="16">
        <f t="shared" si="296"/>
        <v>0.183730636557509</v>
      </c>
      <c r="DQ123" s="16">
        <f t="shared" si="296"/>
        <v>0.210552298233384</v>
      </c>
      <c r="DR123" s="16">
        <f t="shared" si="296"/>
        <v>0.0599226499702327</v>
      </c>
      <c r="DS123" s="16">
        <f t="shared" si="296"/>
        <v>0.0906651416119562</v>
      </c>
      <c r="DT123" s="16">
        <f t="shared" si="296"/>
        <v>0.127290237614031</v>
      </c>
      <c r="DU123" s="16">
        <f t="shared" si="296"/>
        <v>-0.00456621797958119</v>
      </c>
      <c r="DV123" s="16">
        <f t="shared" si="13"/>
        <v>0.0954035112710967</v>
      </c>
      <c r="DW123" s="16">
        <f t="shared" si="216"/>
        <v>0.0526325809084098</v>
      </c>
      <c r="DX123" s="16">
        <f t="shared" si="216"/>
        <v>-0.0388307248111972</v>
      </c>
      <c r="DY123" s="16">
        <f t="shared" si="216"/>
        <v>-0.0423859383863654</v>
      </c>
      <c r="DZ123" s="16">
        <f t="shared" si="216"/>
        <v>0.08316669712882</v>
      </c>
    </row>
    <row r="125" s="9" customFormat="1" ht="50" customHeight="1" spans="1:130">
      <c r="A125" s="36" t="s">
        <v>133</v>
      </c>
      <c r="B125" s="9">
        <f>AVERAGE(B66:B123)</f>
        <v>0.0086992847015605</v>
      </c>
      <c r="C125" s="9">
        <f t="shared" ref="C125:L125" si="297">AVERAGE(C66:C123)</f>
        <v>0.00920121419286228</v>
      </c>
      <c r="D125" s="9">
        <f t="shared" si="297"/>
        <v>0.023228877988978</v>
      </c>
      <c r="E125" s="9">
        <f t="shared" si="297"/>
        <v>0.0136393822217312</v>
      </c>
      <c r="F125" s="9">
        <f t="shared" si="297"/>
        <v>0.00681591475478035</v>
      </c>
      <c r="G125" s="9">
        <f t="shared" si="297"/>
        <v>0.00917210507655319</v>
      </c>
      <c r="H125" s="9">
        <f t="shared" si="297"/>
        <v>0.00323869663704754</v>
      </c>
      <c r="I125" s="9">
        <f t="shared" si="297"/>
        <v>0.0244672329683616</v>
      </c>
      <c r="J125" s="9">
        <f t="shared" si="297"/>
        <v>0.0192067396660834</v>
      </c>
      <c r="K125" s="9">
        <f t="shared" si="297"/>
        <v>0.0287080205678702</v>
      </c>
      <c r="L125" s="9">
        <f t="shared" si="297"/>
        <v>0.0366440334994093</v>
      </c>
      <c r="M125" s="9">
        <f t="shared" ref="M125:AR125" si="298">AVERAGE(M66:M123)</f>
        <v>0.0226962911487817</v>
      </c>
      <c r="N125" s="9">
        <f t="shared" si="298"/>
        <v>0.0196056073903417</v>
      </c>
      <c r="O125" s="9">
        <f t="shared" si="298"/>
        <v>0.0208077932863375</v>
      </c>
      <c r="P125" s="9">
        <f t="shared" si="298"/>
        <v>0.0168291181697331</v>
      </c>
      <c r="Q125" s="9">
        <f t="shared" si="298"/>
        <v>0.00407778592998405</v>
      </c>
      <c r="R125" s="9">
        <f t="shared" si="298"/>
        <v>0.017639072206069</v>
      </c>
      <c r="S125" s="9">
        <f t="shared" si="298"/>
        <v>0.0080578738688232</v>
      </c>
      <c r="T125" s="9">
        <f t="shared" si="298"/>
        <v>0.0209833221657169</v>
      </c>
      <c r="U125" s="9">
        <f t="shared" si="298"/>
        <v>0.011034303463605</v>
      </c>
      <c r="V125" s="9">
        <f t="shared" si="298"/>
        <v>0.015465957950628</v>
      </c>
      <c r="W125" s="9">
        <f t="shared" si="298"/>
        <v>0.0295817655799202</v>
      </c>
      <c r="X125" s="9">
        <f t="shared" si="298"/>
        <v>0.023801210498344</v>
      </c>
      <c r="Y125" s="9">
        <f t="shared" si="298"/>
        <v>-0.016885133368069</v>
      </c>
      <c r="Z125" s="9">
        <f t="shared" si="298"/>
        <v>0.00756618177685556</v>
      </c>
      <c r="AA125" s="9">
        <f t="shared" si="298"/>
        <v>0.0264345770947498</v>
      </c>
      <c r="AB125" s="9">
        <f t="shared" si="298"/>
        <v>0.0262216125957572</v>
      </c>
      <c r="AC125" s="9">
        <f t="shared" si="298"/>
        <v>0.0111534457013986</v>
      </c>
      <c r="AD125" s="9">
        <f t="shared" si="298"/>
        <v>0.0279425717940328</v>
      </c>
      <c r="AE125" s="9">
        <f t="shared" si="298"/>
        <v>0.0297023932213766</v>
      </c>
      <c r="AF125" s="9">
        <f t="shared" si="298"/>
        <v>0.0146864203047138</v>
      </c>
      <c r="AG125" s="9">
        <f t="shared" si="298"/>
        <v>0.0275776058567255</v>
      </c>
      <c r="AH125" s="9">
        <f t="shared" si="298"/>
        <v>0.0391787173695354</v>
      </c>
      <c r="AI125" s="9">
        <f t="shared" si="298"/>
        <v>0.0164743352590937</v>
      </c>
      <c r="AJ125" s="9">
        <f t="shared" si="298"/>
        <v>0.00775591365249309</v>
      </c>
      <c r="AK125" s="9">
        <f t="shared" si="298"/>
        <v>0.0114987970943044</v>
      </c>
      <c r="AL125" s="9">
        <f t="shared" si="298"/>
        <v>0.00595195549172516</v>
      </c>
      <c r="AM125" s="9">
        <f t="shared" si="298"/>
        <v>0.0381085142104432</v>
      </c>
      <c r="AN125" s="9">
        <f t="shared" si="298"/>
        <v>0.00960348107427789</v>
      </c>
      <c r="AO125" s="9">
        <f t="shared" si="298"/>
        <v>0.0209351919333203</v>
      </c>
      <c r="AP125" s="9">
        <f t="shared" si="298"/>
        <v>0.0187433360494906</v>
      </c>
      <c r="AQ125" s="9">
        <f t="shared" si="298"/>
        <v>0.0137029795078928</v>
      </c>
      <c r="AR125" s="9">
        <f t="shared" si="298"/>
        <v>0.0421824724371946</v>
      </c>
      <c r="AS125" s="9">
        <f t="shared" ref="AS125:BX125" si="299">AVERAGE(AS66:AS123)</f>
        <v>0.0222490744375405</v>
      </c>
      <c r="AT125" s="9">
        <f t="shared" si="299"/>
        <v>0.0157689838400851</v>
      </c>
      <c r="AU125" s="9">
        <f t="shared" si="299"/>
        <v>0.0123686912386503</v>
      </c>
      <c r="AV125" s="9">
        <f t="shared" si="299"/>
        <v>0.0158797023948101</v>
      </c>
      <c r="AW125" s="9">
        <f t="shared" si="299"/>
        <v>0.0190557690516597</v>
      </c>
      <c r="AX125" s="9">
        <f t="shared" si="299"/>
        <v>0.0144494870009281</v>
      </c>
      <c r="AY125" s="9">
        <f t="shared" si="299"/>
        <v>0.0292685014065459</v>
      </c>
      <c r="AZ125" s="9">
        <f t="shared" si="299"/>
        <v>0.0228666238042025</v>
      </c>
      <c r="BA125" s="9">
        <f t="shared" si="299"/>
        <v>0.0347022047674913</v>
      </c>
      <c r="BB125" s="9">
        <f t="shared" si="299"/>
        <v>0.0212800218212605</v>
      </c>
      <c r="BC125" s="9">
        <f t="shared" si="299"/>
        <v>0.0257813866976081</v>
      </c>
      <c r="BD125" s="9">
        <f t="shared" si="299"/>
        <v>0.00770068541778216</v>
      </c>
      <c r="BE125" s="9">
        <f t="shared" si="299"/>
        <v>0.0123995126329467</v>
      </c>
      <c r="BF125" s="9">
        <f t="shared" si="299"/>
        <v>0.00120923572195209</v>
      </c>
      <c r="BG125" s="9">
        <f t="shared" si="299"/>
        <v>0.0254534687849673</v>
      </c>
      <c r="BH125" s="9">
        <f t="shared" si="299"/>
        <v>0.0164854597472013</v>
      </c>
      <c r="BI125" s="9">
        <f t="shared" si="299"/>
        <v>0.0486146427742159</v>
      </c>
      <c r="BJ125" s="9">
        <f t="shared" si="299"/>
        <v>0.00978708572038261</v>
      </c>
      <c r="BK125" s="9">
        <f t="shared" si="299"/>
        <v>0.0142700080763811</v>
      </c>
      <c r="BL125" s="9">
        <f t="shared" si="299"/>
        <v>0.0127657427357764</v>
      </c>
      <c r="BM125" s="9">
        <f t="shared" si="299"/>
        <v>0.0144524066394921</v>
      </c>
      <c r="BN125" s="9">
        <f t="shared" si="299"/>
        <v>0.0192880494713926</v>
      </c>
      <c r="BO125" s="9">
        <f t="shared" si="299"/>
        <v>0.0179825379575313</v>
      </c>
      <c r="BP125" s="9">
        <f t="shared" si="299"/>
        <v>0.0106658854587042</v>
      </c>
      <c r="BQ125" s="9">
        <f t="shared" si="299"/>
        <v>0.0158035305988596</v>
      </c>
      <c r="BR125" s="9">
        <f t="shared" si="299"/>
        <v>0.00323134662303756</v>
      </c>
      <c r="BS125" s="9">
        <f t="shared" si="299"/>
        <v>0.00787251892856688</v>
      </c>
      <c r="BT125" s="9">
        <f t="shared" si="299"/>
        <v>-0.0104386643350785</v>
      </c>
      <c r="BU125" s="9">
        <f t="shared" si="299"/>
        <v>0.0127596025090974</v>
      </c>
      <c r="BV125" s="9">
        <f t="shared" si="299"/>
        <v>0.0187374719496868</v>
      </c>
      <c r="BW125" s="9">
        <f t="shared" si="299"/>
        <v>0.00530276551551986</v>
      </c>
      <c r="BX125" s="9">
        <f t="shared" si="299"/>
        <v>0.018341654304049</v>
      </c>
      <c r="BY125" s="9">
        <f t="shared" ref="BY125:DD125" si="300">AVERAGE(BY66:BY123)</f>
        <v>0.00392205886744816</v>
      </c>
      <c r="BZ125" s="9">
        <f t="shared" si="300"/>
        <v>0.0114505928177483</v>
      </c>
      <c r="CA125" s="9">
        <f t="shared" si="300"/>
        <v>0.00722040408657046</v>
      </c>
      <c r="CB125" s="9">
        <f t="shared" si="300"/>
        <v>0.00944833597965686</v>
      </c>
      <c r="CC125" s="9">
        <f t="shared" si="300"/>
        <v>0.00552704004300005</v>
      </c>
      <c r="CD125" s="9">
        <f t="shared" si="300"/>
        <v>0.00791906487531415</v>
      </c>
      <c r="CE125" s="9">
        <f t="shared" si="300"/>
        <v>0.0132000056035914</v>
      </c>
      <c r="CF125" s="9">
        <f t="shared" si="300"/>
        <v>-0.00819383085824842</v>
      </c>
      <c r="CG125" s="9">
        <f t="shared" si="300"/>
        <v>0.0241708212265517</v>
      </c>
      <c r="CH125" s="9">
        <f t="shared" si="300"/>
        <v>0.00765651273443793</v>
      </c>
      <c r="CI125" s="9">
        <f t="shared" si="300"/>
        <v>0.0130209307113269</v>
      </c>
      <c r="CJ125" s="9">
        <f t="shared" si="300"/>
        <v>0.00445977074058362</v>
      </c>
      <c r="CK125" s="9">
        <f t="shared" si="300"/>
        <v>-0.0100076080529272</v>
      </c>
      <c r="CL125" s="9">
        <f t="shared" si="300"/>
        <v>0.00874433940272814</v>
      </c>
      <c r="CM125" s="9">
        <f t="shared" si="300"/>
        <v>0.00477232008918737</v>
      </c>
      <c r="CN125" s="9">
        <f t="shared" si="300"/>
        <v>0.000921081475060511</v>
      </c>
      <c r="CO125" s="9">
        <f t="shared" si="300"/>
        <v>0.0112611822110878</v>
      </c>
      <c r="CP125" s="9">
        <f t="shared" si="300"/>
        <v>0.0121361807530023</v>
      </c>
      <c r="CQ125" s="9">
        <f t="shared" si="300"/>
        <v>0.0082538723641579</v>
      </c>
      <c r="CR125" s="9">
        <f t="shared" si="300"/>
        <v>-0.00276873827957568</v>
      </c>
      <c r="CS125" s="9">
        <f t="shared" si="300"/>
        <v>-0.00951772247745107</v>
      </c>
      <c r="CT125" s="9">
        <f t="shared" si="300"/>
        <v>0.00717582113656543</v>
      </c>
      <c r="CU125" s="9">
        <f t="shared" si="300"/>
        <v>0.00864799534753799</v>
      </c>
      <c r="CV125" s="9">
        <f t="shared" si="300"/>
        <v>0.0104256522707437</v>
      </c>
      <c r="CW125" s="9">
        <f t="shared" si="300"/>
        <v>0.00330559650171258</v>
      </c>
      <c r="CX125" s="9">
        <f t="shared" si="300"/>
        <v>0.00970259632311713</v>
      </c>
      <c r="CY125" s="9">
        <f t="shared" si="300"/>
        <v>0.0135540569396742</v>
      </c>
      <c r="CZ125" s="9">
        <f t="shared" si="300"/>
        <v>0.0224106274839385</v>
      </c>
      <c r="DA125" s="9">
        <f t="shared" si="300"/>
        <v>0.0110736754032806</v>
      </c>
      <c r="DB125" s="9">
        <f t="shared" si="300"/>
        <v>0.0111716859145883</v>
      </c>
      <c r="DC125" s="9">
        <f t="shared" si="300"/>
        <v>0.017891290286333</v>
      </c>
      <c r="DD125" s="9">
        <f t="shared" si="300"/>
        <v>0.00863787684502698</v>
      </c>
      <c r="DE125" s="9">
        <f t="shared" ref="DE125:DZ125" si="301">AVERAGE(DE66:DE123)</f>
        <v>0.0277563737788888</v>
      </c>
      <c r="DF125" s="9">
        <f t="shared" si="301"/>
        <v>0.0081512257155671</v>
      </c>
      <c r="DG125" s="9">
        <f t="shared" si="301"/>
        <v>0.0117003289654661</v>
      </c>
      <c r="DH125" s="9">
        <f t="shared" si="301"/>
        <v>0.00964565578513047</v>
      </c>
      <c r="DI125" s="9">
        <f t="shared" si="301"/>
        <v>-0.00238179667459308</v>
      </c>
      <c r="DJ125" s="9">
        <f t="shared" si="301"/>
        <v>0.00217789633251678</v>
      </c>
      <c r="DK125" s="9">
        <f t="shared" si="301"/>
        <v>0.00793538855234507</v>
      </c>
      <c r="DL125" s="9">
        <f t="shared" si="301"/>
        <v>-0.00162894212095594</v>
      </c>
      <c r="DM125" s="9">
        <f t="shared" si="301"/>
        <v>-0.00275360160519571</v>
      </c>
      <c r="DN125" s="9">
        <f t="shared" si="301"/>
        <v>0.00730414329356932</v>
      </c>
      <c r="DO125" s="9">
        <f t="shared" si="301"/>
        <v>-0.0117373604001681</v>
      </c>
      <c r="DP125" s="9">
        <f t="shared" si="301"/>
        <v>-0.00334134082186473</v>
      </c>
      <c r="DQ125" s="9">
        <f t="shared" si="301"/>
        <v>-0.00117282490839551</v>
      </c>
      <c r="DR125" s="9">
        <f t="shared" si="301"/>
        <v>-0.0150354980596192</v>
      </c>
      <c r="DS125" s="9">
        <f t="shared" si="301"/>
        <v>-0.00783036282534789</v>
      </c>
      <c r="DT125" s="9">
        <f t="shared" si="301"/>
        <v>-0.0198634056115349</v>
      </c>
      <c r="DU125" s="9">
        <f t="shared" si="301"/>
        <v>-0.0176108429088963</v>
      </c>
      <c r="DV125" s="9">
        <f t="shared" si="301"/>
        <v>-0.0176736138232635</v>
      </c>
      <c r="DW125" s="9">
        <f t="shared" si="301"/>
        <v>0.0520527400716057</v>
      </c>
      <c r="DX125" s="9">
        <f t="shared" si="301"/>
        <v>0.0239550629337842</v>
      </c>
      <c r="DY125" s="9">
        <f t="shared" si="301"/>
        <v>0.0129530238999302</v>
      </c>
      <c r="DZ125" s="9">
        <f t="shared" si="301"/>
        <v>0.00644644429777322</v>
      </c>
    </row>
    <row r="128" ht="25.2" spans="1:1">
      <c r="A128" s="26" t="s">
        <v>134</v>
      </c>
    </row>
    <row r="129" ht="25.2" spans="1:1">
      <c r="A129" s="26" t="s">
        <v>132</v>
      </c>
    </row>
    <row r="130" ht="14" spans="1:114">
      <c r="A130" s="31" t="s">
        <v>1</v>
      </c>
      <c r="B130" s="31" t="s">
        <v>2</v>
      </c>
      <c r="C130" s="31" t="s">
        <v>6</v>
      </c>
      <c r="D130" s="31" t="s">
        <v>4</v>
      </c>
      <c r="E130" s="31" t="s">
        <v>5</v>
      </c>
      <c r="F130" s="31" t="s">
        <v>7</v>
      </c>
      <c r="G130" s="31" t="s">
        <v>9</v>
      </c>
      <c r="H130" s="31" t="s">
        <v>10</v>
      </c>
      <c r="I130" s="31" t="s">
        <v>11</v>
      </c>
      <c r="J130" s="31" t="s">
        <v>16</v>
      </c>
      <c r="K130" s="31" t="s">
        <v>17</v>
      </c>
      <c r="L130" s="31" t="s">
        <v>19</v>
      </c>
      <c r="M130" s="31" t="s">
        <v>28</v>
      </c>
      <c r="N130" s="31" t="s">
        <v>30</v>
      </c>
      <c r="O130" s="31" t="s">
        <v>32</v>
      </c>
      <c r="P130" s="31" t="s">
        <v>34</v>
      </c>
      <c r="Q130" s="31" t="s">
        <v>37</v>
      </c>
      <c r="R130" s="31" t="s">
        <v>39</v>
      </c>
      <c r="S130" s="31" t="s">
        <v>40</v>
      </c>
      <c r="T130" s="31" t="s">
        <v>41</v>
      </c>
      <c r="U130" s="31" t="s">
        <v>44</v>
      </c>
      <c r="V130" s="31" t="s">
        <v>49</v>
      </c>
      <c r="W130" s="31" t="s">
        <v>53</v>
      </c>
      <c r="X130" s="31" t="s">
        <v>57</v>
      </c>
      <c r="Y130" s="31" t="s">
        <v>61</v>
      </c>
      <c r="Z130" s="31" t="s">
        <v>63</v>
      </c>
      <c r="AA130" s="31" t="s">
        <v>66</v>
      </c>
      <c r="AB130" s="31" t="s">
        <v>74</v>
      </c>
      <c r="AC130" s="31" t="s">
        <v>75</v>
      </c>
      <c r="AD130" s="31" t="s">
        <v>78</v>
      </c>
      <c r="AE130" s="31" t="s">
        <v>81</v>
      </c>
      <c r="AF130" s="31" t="s">
        <v>82</v>
      </c>
      <c r="AG130" s="31" t="s">
        <v>89</v>
      </c>
      <c r="AH130" s="31" t="s">
        <v>97</v>
      </c>
      <c r="AI130" s="31" t="s">
        <v>101</v>
      </c>
      <c r="AJ130" s="31" t="s">
        <v>107</v>
      </c>
      <c r="AK130" s="31" t="s">
        <v>110</v>
      </c>
      <c r="AL130" s="31" t="s">
        <v>114</v>
      </c>
      <c r="AM130" s="31" t="s">
        <v>127</v>
      </c>
      <c r="AN130" s="31" t="s">
        <v>128</v>
      </c>
      <c r="AO130" s="31" t="s">
        <v>130</v>
      </c>
      <c r="AP130" s="31"/>
      <c r="AQ130" s="31" t="s">
        <v>131</v>
      </c>
      <c r="AR130" s="31"/>
      <c r="AS130" s="31"/>
      <c r="AX130" s="31"/>
      <c r="AY130" s="37"/>
      <c r="AZ130" s="31"/>
      <c r="BA130" s="31"/>
      <c r="BB130" s="37"/>
      <c r="BC130" s="31"/>
      <c r="BD130" s="31"/>
      <c r="BE130" s="31"/>
      <c r="BF130" s="31"/>
      <c r="BG130" s="31"/>
      <c r="BH130" s="31"/>
      <c r="BI130" s="31"/>
      <c r="BJ130" s="31"/>
      <c r="BK130" s="31"/>
      <c r="BL130" s="31"/>
      <c r="BM130" s="31"/>
      <c r="BN130" s="31"/>
      <c r="BO130" s="37"/>
      <c r="BP130" s="31"/>
      <c r="BQ130" s="31"/>
      <c r="BR130" s="31"/>
      <c r="BS130" s="37"/>
      <c r="BT130" s="31"/>
      <c r="BU130" s="31"/>
      <c r="BV130" s="37"/>
      <c r="BW130" s="31"/>
      <c r="BX130" s="31"/>
      <c r="BY130" s="31"/>
      <c r="BZ130" s="31"/>
      <c r="CA130" s="31"/>
      <c r="CB130" s="31"/>
      <c r="CC130" s="31"/>
      <c r="CD130" s="31"/>
      <c r="CE130" s="31"/>
      <c r="CF130" s="31"/>
      <c r="CG130" s="31"/>
      <c r="CH130" s="31"/>
      <c r="CI130" s="31"/>
      <c r="CJ130" s="31"/>
      <c r="CK130" s="31"/>
      <c r="CL130" s="31"/>
      <c r="CM130" s="31"/>
      <c r="CN130" s="31"/>
      <c r="CO130" s="31"/>
      <c r="CP130" s="31"/>
      <c r="CQ130" s="31"/>
      <c r="CR130" s="31"/>
      <c r="CS130" s="31"/>
      <c r="CT130" s="31"/>
      <c r="CU130" s="31"/>
      <c r="CV130" s="31"/>
      <c r="CW130" s="31"/>
      <c r="CX130" s="31"/>
      <c r="CY130" s="31"/>
      <c r="CZ130" s="31"/>
      <c r="DA130" s="31"/>
      <c r="DB130" s="31"/>
      <c r="DC130" s="31"/>
      <c r="DD130" s="31"/>
      <c r="DE130" s="31"/>
      <c r="DF130" s="31"/>
      <c r="DG130" s="31"/>
      <c r="DH130" s="31"/>
      <c r="DI130" s="31"/>
      <c r="DJ130" s="31"/>
    </row>
    <row r="131" ht="14" spans="1:1">
      <c r="A131" s="32">
        <v>42675</v>
      </c>
    </row>
    <row r="132" ht="14" spans="1:43">
      <c r="A132" s="32">
        <v>42705</v>
      </c>
      <c r="B132" s="16">
        <f>LN(B4/B3)</f>
        <v>0.0414137840946089</v>
      </c>
      <c r="C132" s="16">
        <f>LN(F4/F3)</f>
        <v>-0.038652092531796</v>
      </c>
      <c r="D132" s="16">
        <f t="shared" ref="D132:E132" si="302">LN(D4/D3)</f>
        <v>0.0980102864710222</v>
      </c>
      <c r="E132" s="16">
        <f t="shared" si="302"/>
        <v>0.0294949589933521</v>
      </c>
      <c r="F132" s="16">
        <f t="shared" ref="F132:F163" si="303">LN(G4/G3)</f>
        <v>0.0214769773438074</v>
      </c>
      <c r="G132" s="16">
        <f t="shared" ref="G132:G163" si="304">LN(I4/I3)</f>
        <v>0.00704094675832401</v>
      </c>
      <c r="H132" s="16">
        <f t="shared" ref="H132:H163" si="305">LN(J4/J3)</f>
        <v>-0.0390584910708952</v>
      </c>
      <c r="I132" s="16">
        <f t="shared" ref="I132:I163" si="306">LN(K4/K3)</f>
        <v>-0.00323514670039842</v>
      </c>
      <c r="J132" s="16">
        <f t="shared" ref="J132:J163" si="307">LN(P4/P3)</f>
        <v>0.0147789290742936</v>
      </c>
      <c r="K132" s="16">
        <f t="shared" ref="K132:K163" si="308">LN(Q4/Q3)</f>
        <v>0.0259323883931138</v>
      </c>
      <c r="L132" s="16">
        <f t="shared" ref="L132:L163" si="309">LN(S4/S3)</f>
        <v>-0.0325622004519144</v>
      </c>
      <c r="M132" s="16">
        <f t="shared" ref="M132:M163" si="310">LN(AB4/AB3)</f>
        <v>0.0149384759141506</v>
      </c>
      <c r="N132" s="16">
        <f t="shared" ref="N132:N163" si="311">LN(AD4/AD3)</f>
        <v>0.0374543499037844</v>
      </c>
      <c r="O132" s="16">
        <f t="shared" ref="O132:O163" si="312">LN(AF4/AF3)</f>
        <v>-0.0442594872525271</v>
      </c>
      <c r="P132" s="16">
        <f t="shared" ref="P132:P163" si="313">LN(AH4/AH3)</f>
        <v>0.000664231176862766</v>
      </c>
      <c r="Q132" s="16">
        <f t="shared" ref="Q132:Q163" si="314">LN(AK4/AK3)</f>
        <v>-0.0175698581942011</v>
      </c>
      <c r="R132" s="16">
        <f t="shared" ref="R132:R163" si="315">LN(AM4/AM3)</f>
        <v>0.147932080402485</v>
      </c>
      <c r="S132" s="16">
        <f t="shared" ref="S132:S163" si="316">LN(AN4/AN3)</f>
        <v>0.0517945380953568</v>
      </c>
      <c r="T132" s="16">
        <f t="shared" ref="T132:T163" si="317">LN(AO4/AO3)</f>
        <v>0.0361728952400854</v>
      </c>
      <c r="U132" s="16">
        <f t="shared" ref="U132:U163" si="318">LN(AR4/AR3)</f>
        <v>0.241162056816888</v>
      </c>
      <c r="V132" s="16">
        <f t="shared" ref="V132:V163" si="319">LN(AW4/AW3)</f>
        <v>0.1184099777923</v>
      </c>
      <c r="W132" s="16">
        <f t="shared" ref="W132:W163" si="320">LN(BA4/BA3)</f>
        <v>-0.111997040769831</v>
      </c>
      <c r="X132" s="16">
        <f t="shared" ref="X132:X163" si="321">LN(BE4/BE3)</f>
        <v>-0.0370415424031674</v>
      </c>
      <c r="Y132" s="16">
        <f t="shared" ref="Y132:Y163" si="322">LN(BI4/BI3)</f>
        <v>-0.0512932943875506</v>
      </c>
      <c r="Z132" s="16">
        <f t="shared" ref="Z132:Z163" si="323">LN(BK4/BK3)</f>
        <v>0.0280793803295689</v>
      </c>
      <c r="AA132" s="16">
        <f t="shared" ref="AA132:AA163" si="324">LN(BN4/BN3)</f>
        <v>0.0150648073258483</v>
      </c>
      <c r="AB132" s="16">
        <f t="shared" ref="AB132:AB163" si="325">LN(BV4/BV3)</f>
        <v>-0.0537892126383876</v>
      </c>
      <c r="AC132" s="16">
        <f t="shared" ref="AC132:AC163" si="326">LN(BW4/BW3)</f>
        <v>-0.0556347002142086</v>
      </c>
      <c r="AD132" s="16">
        <f t="shared" ref="AD132:AD163" si="327">LN(BZ4/BZ3)</f>
        <v>0.0194556312490579</v>
      </c>
      <c r="AE132" s="16">
        <f t="shared" ref="AE132:AE163" si="328">LN(CC4/CC3)</f>
        <v>0.0357160378644117</v>
      </c>
      <c r="AF132" s="16">
        <f t="shared" ref="AF132:AF163" si="329">LN(CD4/CD3)</f>
        <v>0.0178489388356187</v>
      </c>
      <c r="AG132" s="16">
        <f t="shared" ref="AG132:AG163" si="330">LN(CK4/CK3)</f>
        <v>0.074306210309914</v>
      </c>
      <c r="AH132" s="16">
        <f t="shared" ref="AH132:AH163" si="331">LN(CS4/CS3)</f>
        <v>-0.0475775725363728</v>
      </c>
      <c r="AI132" s="16">
        <f t="shared" ref="AI132:AI163" si="332">LN(CW4/CW3)</f>
        <v>-0.0289536811555325</v>
      </c>
      <c r="AJ132" s="16">
        <f t="shared" ref="AJ132:AJ163" si="333">LN(DC4/DC3)</f>
        <v>-0.093330483948605</v>
      </c>
      <c r="AK132" s="16">
        <f t="shared" ref="AK132:AK163" si="334">LN(DF4/DF3)</f>
        <v>0.0207859677598347</v>
      </c>
      <c r="AL132" s="16">
        <f t="shared" ref="AL132:AL163" si="335">LN(DJ4/DJ3)</f>
        <v>0.0635378404452259</v>
      </c>
      <c r="AM132" s="16">
        <f t="shared" ref="AM132:AM163" si="336">LN(DW4/DW3)</f>
        <v>0.120665185906394</v>
      </c>
      <c r="AN132" s="16">
        <f t="shared" ref="AN132:AN163" si="337">LN(DX4/DX3)</f>
        <v>0.0716501092530034</v>
      </c>
      <c r="AO132" s="16">
        <f t="shared" ref="AO132:AO163" si="338">LN(DZ4/DZ3)</f>
        <v>0.0141138282158511</v>
      </c>
      <c r="AQ132" s="4">
        <f t="shared" ref="AQ132:AQ163" si="339">LN(EA4/EA3)</f>
        <v>0.0180371030517574</v>
      </c>
    </row>
    <row r="133" ht="14" spans="1:43">
      <c r="A133" s="32">
        <v>42736</v>
      </c>
      <c r="B133" s="16">
        <f t="shared" ref="B133:E133" si="340">LN(B5/B4)</f>
        <v>-0.0171585967963964</v>
      </c>
      <c r="C133" s="16">
        <f t="shared" ref="C133:C189" si="341">LN(F5/F4)</f>
        <v>0.0592858753385875</v>
      </c>
      <c r="D133" s="16">
        <f t="shared" si="340"/>
        <v>0.0462294293824994</v>
      </c>
      <c r="E133" s="16">
        <f t="shared" si="340"/>
        <v>-0.0244092681756049</v>
      </c>
      <c r="F133" s="16">
        <f t="shared" si="303"/>
        <v>0.0691611029037896</v>
      </c>
      <c r="G133" s="16">
        <f t="shared" si="304"/>
        <v>0.0780080779892539</v>
      </c>
      <c r="H133" s="16">
        <f t="shared" si="305"/>
        <v>0.223455904901007</v>
      </c>
      <c r="I133" s="16">
        <f t="shared" si="306"/>
        <v>0.0422433425858519</v>
      </c>
      <c r="J133" s="16">
        <f t="shared" si="307"/>
        <v>0.0127895152342127</v>
      </c>
      <c r="K133" s="16">
        <f t="shared" si="308"/>
        <v>-0.00126807094259378</v>
      </c>
      <c r="L133" s="16">
        <f t="shared" si="309"/>
        <v>-0.0214771877610373</v>
      </c>
      <c r="M133" s="16">
        <f t="shared" si="310"/>
        <v>0.0847793248516089</v>
      </c>
      <c r="N133" s="16">
        <f t="shared" si="311"/>
        <v>0.0395981532048076</v>
      </c>
      <c r="O133" s="16">
        <f t="shared" si="312"/>
        <v>0.0422668233637576</v>
      </c>
      <c r="P133" s="16">
        <f t="shared" si="313"/>
        <v>0.0991660708330887</v>
      </c>
      <c r="Q133" s="16">
        <f t="shared" si="314"/>
        <v>0.142542688048155</v>
      </c>
      <c r="R133" s="16">
        <f t="shared" si="315"/>
        <v>0.0226019909573025</v>
      </c>
      <c r="S133" s="16">
        <f t="shared" si="316"/>
        <v>0.0150497486541983</v>
      </c>
      <c r="T133" s="16">
        <f t="shared" si="317"/>
        <v>0.126665161589667</v>
      </c>
      <c r="U133" s="16">
        <f t="shared" si="318"/>
        <v>-0.0894192760581701</v>
      </c>
      <c r="V133" s="16">
        <f t="shared" si="319"/>
        <v>-0.0366068353740543</v>
      </c>
      <c r="W133" s="16">
        <f t="shared" si="320"/>
        <v>0.198025774369886</v>
      </c>
      <c r="X133" s="16">
        <f t="shared" si="321"/>
        <v>0.0225165141047025</v>
      </c>
      <c r="Y133" s="16">
        <f t="shared" si="322"/>
        <v>0.0680869717533876</v>
      </c>
      <c r="Z133" s="16">
        <f t="shared" si="323"/>
        <v>0.00695928896588175</v>
      </c>
      <c r="AA133" s="16">
        <f t="shared" si="324"/>
        <v>0.0435178917756875</v>
      </c>
      <c r="AB133" s="16">
        <f t="shared" si="325"/>
        <v>0.0940915191620514</v>
      </c>
      <c r="AC133" s="16">
        <f t="shared" si="326"/>
        <v>-0.0893893056305032</v>
      </c>
      <c r="AD133" s="16">
        <f t="shared" si="327"/>
        <v>0.0410122031649602</v>
      </c>
      <c r="AE133" s="16">
        <f t="shared" si="328"/>
        <v>0.0609081973668469</v>
      </c>
      <c r="AF133" s="16">
        <f t="shared" si="329"/>
        <v>0.010023354364247</v>
      </c>
      <c r="AG133" s="16">
        <f t="shared" si="330"/>
        <v>0.0223102035602994</v>
      </c>
      <c r="AH133" s="16">
        <f t="shared" si="331"/>
        <v>0.0582900063428752</v>
      </c>
      <c r="AI133" s="16">
        <f t="shared" si="332"/>
        <v>0.0175450038390967</v>
      </c>
      <c r="AJ133" s="16">
        <f t="shared" si="333"/>
        <v>0.133531297882187</v>
      </c>
      <c r="AK133" s="16">
        <f t="shared" si="334"/>
        <v>0.0136210959519651</v>
      </c>
      <c r="AL133" s="16">
        <f t="shared" si="335"/>
        <v>-0.0554606204685953</v>
      </c>
      <c r="AM133" s="16">
        <f t="shared" si="336"/>
        <v>0.164624904487881</v>
      </c>
      <c r="AN133" s="16">
        <f t="shared" si="337"/>
        <v>0.0663749231115675</v>
      </c>
      <c r="AO133" s="16">
        <f t="shared" si="338"/>
        <v>0.0187835025982337</v>
      </c>
      <c r="AQ133" s="4">
        <f t="shared" si="339"/>
        <v>0.0177262980930096</v>
      </c>
    </row>
    <row r="134" ht="14" spans="1:43">
      <c r="A134" s="32">
        <v>42767</v>
      </c>
      <c r="B134" s="16">
        <f t="shared" ref="B134:E134" si="342">LN(B6/B5)</f>
        <v>0.076142629326611</v>
      </c>
      <c r="C134" s="16">
        <f t="shared" si="341"/>
        <v>0.0607099461583997</v>
      </c>
      <c r="D134" s="16">
        <f t="shared" si="342"/>
        <v>0.0723540263019686</v>
      </c>
      <c r="E134" s="16">
        <f t="shared" si="342"/>
        <v>0.0219140532501844</v>
      </c>
      <c r="F134" s="16">
        <f t="shared" si="303"/>
        <v>0.119285156149359</v>
      </c>
      <c r="G134" s="16">
        <f t="shared" si="304"/>
        <v>0.034124520197241</v>
      </c>
      <c r="H134" s="16">
        <f t="shared" si="305"/>
        <v>0.044587538052706</v>
      </c>
      <c r="I134" s="16">
        <f t="shared" si="306"/>
        <v>0.16959755262231</v>
      </c>
      <c r="J134" s="16">
        <f t="shared" si="307"/>
        <v>0.0200327832733704</v>
      </c>
      <c r="K134" s="16">
        <f t="shared" si="308"/>
        <v>0.0282383860447603</v>
      </c>
      <c r="L134" s="16">
        <f t="shared" si="309"/>
        <v>0.0387881427360653</v>
      </c>
      <c r="M134" s="16">
        <f t="shared" si="310"/>
        <v>0.0643628161609313</v>
      </c>
      <c r="N134" s="16">
        <f t="shared" si="311"/>
        <v>-0.0104175528916499</v>
      </c>
      <c r="O134" s="16">
        <f t="shared" si="312"/>
        <v>0.0639027263565261</v>
      </c>
      <c r="P134" s="16">
        <f t="shared" si="313"/>
        <v>0.115977437814045</v>
      </c>
      <c r="Q134" s="16">
        <f t="shared" si="314"/>
        <v>0.0363546104723198</v>
      </c>
      <c r="R134" s="16">
        <f t="shared" si="315"/>
        <v>-0.0731361434087798</v>
      </c>
      <c r="S134" s="16">
        <f t="shared" si="316"/>
        <v>-0.0169817427719912</v>
      </c>
      <c r="T134" s="16">
        <f t="shared" si="317"/>
        <v>0.0557119452435862</v>
      </c>
      <c r="U134" s="16">
        <f t="shared" si="318"/>
        <v>0.332469194489183</v>
      </c>
      <c r="V134" s="16">
        <f t="shared" si="319"/>
        <v>0.0105964961715221</v>
      </c>
      <c r="W134" s="16">
        <f t="shared" si="320"/>
        <v>-0.0416867838507633</v>
      </c>
      <c r="X134" s="16">
        <f t="shared" si="321"/>
        <v>0.143366381291235</v>
      </c>
      <c r="Y134" s="16">
        <f t="shared" si="322"/>
        <v>-0.0396331693356598</v>
      </c>
      <c r="Z134" s="16">
        <f t="shared" si="323"/>
        <v>0.0406091076503484</v>
      </c>
      <c r="AA134" s="16">
        <f t="shared" si="324"/>
        <v>0.0774511749238902</v>
      </c>
      <c r="AB134" s="16">
        <f t="shared" si="325"/>
        <v>0.0838689644649786</v>
      </c>
      <c r="AC134" s="16">
        <f t="shared" si="326"/>
        <v>-0.13474220317154</v>
      </c>
      <c r="AD134" s="16">
        <f t="shared" si="327"/>
        <v>0.0467414333944379</v>
      </c>
      <c r="AE134" s="16">
        <f t="shared" si="328"/>
        <v>0.128852094661085</v>
      </c>
      <c r="AF134" s="16">
        <f t="shared" si="329"/>
        <v>0.144057018674641</v>
      </c>
      <c r="AG134" s="16">
        <f t="shared" si="330"/>
        <v>0.024558425464532</v>
      </c>
      <c r="AH134" s="16">
        <f t="shared" si="331"/>
        <v>0.0352877922354555</v>
      </c>
      <c r="AI134" s="16">
        <f t="shared" si="332"/>
        <v>0.0202575824598596</v>
      </c>
      <c r="AJ134" s="16">
        <f t="shared" si="333"/>
        <v>-0.0738648127079484</v>
      </c>
      <c r="AK134" s="16">
        <f t="shared" si="334"/>
        <v>0.129860627525726</v>
      </c>
      <c r="AL134" s="16">
        <f t="shared" si="335"/>
        <v>0.0102750319772788</v>
      </c>
      <c r="AM134" s="16">
        <f t="shared" si="336"/>
        <v>-0.00773035408402763</v>
      </c>
      <c r="AN134" s="16">
        <f t="shared" si="337"/>
        <v>0.046081030877816</v>
      </c>
      <c r="AO134" s="16">
        <f t="shared" si="338"/>
        <v>0.0296485800965665</v>
      </c>
      <c r="AQ134" s="4">
        <f t="shared" si="339"/>
        <v>0.0365230976094356</v>
      </c>
    </row>
    <row r="135" ht="14" spans="1:43">
      <c r="A135" s="32">
        <v>42795</v>
      </c>
      <c r="B135" s="16">
        <f t="shared" ref="B135:E135" si="343">LN(B7/B6)</f>
        <v>0.0255620800122592</v>
      </c>
      <c r="C135" s="16">
        <f t="shared" si="341"/>
        <v>-0.0360137498350799</v>
      </c>
      <c r="D135" s="16">
        <f t="shared" si="343"/>
        <v>0.022283714026945</v>
      </c>
      <c r="E135" s="16">
        <f t="shared" si="343"/>
        <v>0.0522954780575125</v>
      </c>
      <c r="F135" s="16">
        <f t="shared" si="303"/>
        <v>-0.0663237405634233</v>
      </c>
      <c r="G135" s="16">
        <f t="shared" si="304"/>
        <v>-0.0262156032053429</v>
      </c>
      <c r="H135" s="16">
        <f t="shared" si="305"/>
        <v>0.0191699161077201</v>
      </c>
      <c r="I135" s="16">
        <f t="shared" si="306"/>
        <v>0.064585953433368</v>
      </c>
      <c r="J135" s="16">
        <f t="shared" si="307"/>
        <v>-0.00831859357501361</v>
      </c>
      <c r="K135" s="16">
        <f t="shared" si="308"/>
        <v>-0.0261519883775237</v>
      </c>
      <c r="L135" s="16">
        <f t="shared" si="309"/>
        <v>0.0368236503391618</v>
      </c>
      <c r="M135" s="16">
        <f t="shared" si="310"/>
        <v>0.0039825344904289</v>
      </c>
      <c r="N135" s="16">
        <f t="shared" si="311"/>
        <v>0.0350048025677138</v>
      </c>
      <c r="O135" s="16">
        <f t="shared" si="312"/>
        <v>0.0463385481435683</v>
      </c>
      <c r="P135" s="16">
        <f t="shared" si="313"/>
        <v>0.0264216162344388</v>
      </c>
      <c r="Q135" s="16">
        <f t="shared" si="314"/>
        <v>0.0738720255578282</v>
      </c>
      <c r="R135" s="16">
        <f t="shared" si="315"/>
        <v>0.0721049258736677</v>
      </c>
      <c r="S135" s="16">
        <f t="shared" si="316"/>
        <v>0.00351590224411281</v>
      </c>
      <c r="T135" s="16">
        <f t="shared" si="317"/>
        <v>0.0373630617960868</v>
      </c>
      <c r="U135" s="16">
        <f t="shared" si="318"/>
        <v>0.00620477688688287</v>
      </c>
      <c r="V135" s="16">
        <f t="shared" si="319"/>
        <v>-0.0102530222463661</v>
      </c>
      <c r="W135" s="16">
        <f t="shared" si="320"/>
        <v>0.00630772204353465</v>
      </c>
      <c r="X135" s="16">
        <f t="shared" si="321"/>
        <v>0.0289381427086052</v>
      </c>
      <c r="Y135" s="16">
        <f t="shared" si="322"/>
        <v>-0.131176788287312</v>
      </c>
      <c r="Z135" s="16">
        <f t="shared" si="323"/>
        <v>0.0225712898955372</v>
      </c>
      <c r="AA135" s="16">
        <f t="shared" si="324"/>
        <v>-0.0253356707087436</v>
      </c>
      <c r="AB135" s="16">
        <f t="shared" si="325"/>
        <v>-0.0294580675525077</v>
      </c>
      <c r="AC135" s="16">
        <f t="shared" si="326"/>
        <v>-0.100449964470886</v>
      </c>
      <c r="AD135" s="16">
        <f t="shared" si="327"/>
        <v>-0.0134867595027033</v>
      </c>
      <c r="AE135" s="16">
        <f t="shared" si="328"/>
        <v>0.0319488400292638</v>
      </c>
      <c r="AF135" s="16">
        <f t="shared" si="329"/>
        <v>0.0467142858768062</v>
      </c>
      <c r="AG135" s="16">
        <f t="shared" si="330"/>
        <v>-0.00767863527326427</v>
      </c>
      <c r="AH135" s="16">
        <f t="shared" si="331"/>
        <v>-0.0346223976045112</v>
      </c>
      <c r="AI135" s="16">
        <f t="shared" si="332"/>
        <v>0.0111817074733655</v>
      </c>
      <c r="AJ135" s="16">
        <f t="shared" si="333"/>
        <v>-0.118644893604617</v>
      </c>
      <c r="AK135" s="16">
        <f t="shared" si="334"/>
        <v>-0.0846738770491046</v>
      </c>
      <c r="AL135" s="16">
        <f t="shared" si="335"/>
        <v>-0.0371460761385468</v>
      </c>
      <c r="AM135" s="16">
        <f t="shared" si="336"/>
        <v>0.10727875146962</v>
      </c>
      <c r="AN135" s="16">
        <f t="shared" si="337"/>
        <v>0.133608061294062</v>
      </c>
      <c r="AO135" s="16">
        <f t="shared" si="338"/>
        <v>-0.0736787121897397</v>
      </c>
      <c r="AQ135" s="4">
        <f t="shared" si="339"/>
        <v>-0.000389305940139805</v>
      </c>
    </row>
    <row r="136" ht="14" spans="1:43">
      <c r="A136" s="32">
        <v>42826</v>
      </c>
      <c r="B136" s="16">
        <f t="shared" ref="B136:E136" si="344">LN(B8/B7)</f>
        <v>-0.00870881556452138</v>
      </c>
      <c r="C136" s="16">
        <f t="shared" si="341"/>
        <v>-0.0120362645961794</v>
      </c>
      <c r="D136" s="16">
        <f t="shared" si="344"/>
        <v>-0.0246748199289365</v>
      </c>
      <c r="E136" s="16">
        <f t="shared" si="344"/>
        <v>0.0118995183650794</v>
      </c>
      <c r="F136" s="16">
        <f t="shared" si="303"/>
        <v>-0.00458161652601714</v>
      </c>
      <c r="G136" s="16">
        <f t="shared" si="304"/>
        <v>0.0745336713338335</v>
      </c>
      <c r="H136" s="16">
        <f t="shared" si="305"/>
        <v>0.0800427076735366</v>
      </c>
      <c r="I136" s="16">
        <f t="shared" si="306"/>
        <v>0.0814497265921603</v>
      </c>
      <c r="J136" s="16">
        <f t="shared" si="307"/>
        <v>0.0678934377703021</v>
      </c>
      <c r="K136" s="16">
        <f t="shared" si="308"/>
        <v>0.0489721520022586</v>
      </c>
      <c r="L136" s="16">
        <f t="shared" si="309"/>
        <v>0.00252577453864816</v>
      </c>
      <c r="M136" s="16">
        <f t="shared" si="310"/>
        <v>-0.0568889316297311</v>
      </c>
      <c r="N136" s="16">
        <f t="shared" si="311"/>
        <v>0.0387186981419905</v>
      </c>
      <c r="O136" s="16">
        <f t="shared" si="312"/>
        <v>0.00781477537372451</v>
      </c>
      <c r="P136" s="16">
        <f t="shared" si="313"/>
        <v>0.0168071183163812</v>
      </c>
      <c r="Q136" s="16">
        <f t="shared" si="314"/>
        <v>0.0304948441394068</v>
      </c>
      <c r="R136" s="16">
        <f t="shared" si="315"/>
        <v>-0.0434343451957397</v>
      </c>
      <c r="S136" s="16">
        <f t="shared" si="316"/>
        <v>0.00221500042320928</v>
      </c>
      <c r="T136" s="16">
        <f t="shared" si="317"/>
        <v>0.0129379355174443</v>
      </c>
      <c r="U136" s="16">
        <f t="shared" si="318"/>
        <v>-0.0898269583897935</v>
      </c>
      <c r="V136" s="16">
        <f t="shared" si="319"/>
        <v>0.0863346660760538</v>
      </c>
      <c r="W136" s="16">
        <f t="shared" si="320"/>
        <v>0.0770922944573433</v>
      </c>
      <c r="X136" s="16">
        <f t="shared" si="321"/>
        <v>0.0589325942733377</v>
      </c>
      <c r="Y136" s="16">
        <f t="shared" si="322"/>
        <v>0.0121553623797817</v>
      </c>
      <c r="Z136" s="16">
        <f t="shared" si="323"/>
        <v>0.0766126173202017</v>
      </c>
      <c r="AA136" s="16">
        <f t="shared" si="324"/>
        <v>-0.00264760486481346</v>
      </c>
      <c r="AB136" s="16">
        <f t="shared" si="325"/>
        <v>-0.0134492612219492</v>
      </c>
      <c r="AC136" s="16">
        <f t="shared" si="326"/>
        <v>0.114428059280904</v>
      </c>
      <c r="AD136" s="16">
        <f t="shared" si="327"/>
        <v>-0.0284476276602066</v>
      </c>
      <c r="AE136" s="16">
        <f t="shared" si="328"/>
        <v>-0.0092509384468129</v>
      </c>
      <c r="AF136" s="16">
        <f t="shared" si="329"/>
        <v>0.0397351762119444</v>
      </c>
      <c r="AG136" s="16">
        <f t="shared" si="330"/>
        <v>0.00194252809528951</v>
      </c>
      <c r="AH136" s="16">
        <f t="shared" si="331"/>
        <v>0.0120115109577162</v>
      </c>
      <c r="AI136" s="16">
        <f t="shared" si="332"/>
        <v>-0.0262486361885163</v>
      </c>
      <c r="AJ136" s="16">
        <f t="shared" si="333"/>
        <v>0.0171597175513515</v>
      </c>
      <c r="AK136" s="16">
        <f t="shared" si="334"/>
        <v>-0.169899036795397</v>
      </c>
      <c r="AL136" s="16">
        <f t="shared" si="335"/>
        <v>-0.00625955696020039</v>
      </c>
      <c r="AM136" s="16">
        <f t="shared" si="336"/>
        <v>0.120916222467528</v>
      </c>
      <c r="AN136" s="16">
        <f t="shared" si="337"/>
        <v>0.0112330673597522</v>
      </c>
      <c r="AO136" s="16">
        <f t="shared" si="338"/>
        <v>-0.0147123785979393</v>
      </c>
      <c r="AQ136" s="4">
        <f t="shared" si="339"/>
        <v>0.00905014055843741</v>
      </c>
    </row>
    <row r="137" ht="14" spans="1:43">
      <c r="A137" s="32">
        <v>42856</v>
      </c>
      <c r="B137" s="16">
        <f t="shared" ref="B137:E137" si="345">LN(B9/B8)</f>
        <v>0.0379826754408753</v>
      </c>
      <c r="C137" s="16">
        <f t="shared" si="341"/>
        <v>0.0436352346162789</v>
      </c>
      <c r="D137" s="16">
        <f t="shared" si="345"/>
        <v>-0.0308135947886721</v>
      </c>
      <c r="E137" s="16">
        <f t="shared" si="345"/>
        <v>0.0111120318899164</v>
      </c>
      <c r="F137" s="16">
        <f t="shared" si="303"/>
        <v>-0.050739816903803</v>
      </c>
      <c r="G137" s="16">
        <f t="shared" si="304"/>
        <v>0.0441332168870365</v>
      </c>
      <c r="H137" s="16">
        <f t="shared" si="305"/>
        <v>-0.0414172165285755</v>
      </c>
      <c r="I137" s="16">
        <f t="shared" si="306"/>
        <v>0.00392717391555387</v>
      </c>
      <c r="J137" s="16">
        <f t="shared" si="307"/>
        <v>0.00171371574014969</v>
      </c>
      <c r="K137" s="16">
        <f t="shared" si="308"/>
        <v>-0.0640649926592591</v>
      </c>
      <c r="L137" s="16">
        <f t="shared" si="309"/>
        <v>0.166913491021133</v>
      </c>
      <c r="M137" s="16">
        <f t="shared" si="310"/>
        <v>0.0447267476617815</v>
      </c>
      <c r="N137" s="16">
        <f t="shared" si="311"/>
        <v>0.0199570558714278</v>
      </c>
      <c r="O137" s="16">
        <f t="shared" si="312"/>
        <v>0.013818039587389</v>
      </c>
      <c r="P137" s="16">
        <f t="shared" si="313"/>
        <v>0.0086801668312666</v>
      </c>
      <c r="Q137" s="16">
        <f t="shared" si="314"/>
        <v>-0.042628229573631</v>
      </c>
      <c r="R137" s="16">
        <f t="shared" si="315"/>
        <v>0.324969858878274</v>
      </c>
      <c r="S137" s="16">
        <f t="shared" si="316"/>
        <v>-0.00110657670939674</v>
      </c>
      <c r="T137" s="16">
        <f t="shared" si="317"/>
        <v>0.081167760474459</v>
      </c>
      <c r="U137" s="16">
        <f t="shared" si="318"/>
        <v>-0.172743512903874</v>
      </c>
      <c r="V137" s="16">
        <f t="shared" si="319"/>
        <v>0.0554755738725558</v>
      </c>
      <c r="W137" s="16">
        <f t="shared" si="320"/>
        <v>0.102233277002902</v>
      </c>
      <c r="X137" s="16">
        <f t="shared" si="321"/>
        <v>-0.00319303176345992</v>
      </c>
      <c r="Y137" s="16">
        <f t="shared" si="322"/>
        <v>0.220165142559949</v>
      </c>
      <c r="Z137" s="16">
        <f t="shared" si="323"/>
        <v>0.0754092471413492</v>
      </c>
      <c r="AA137" s="16">
        <f t="shared" si="324"/>
        <v>-0.0446567472069056</v>
      </c>
      <c r="AB137" s="16">
        <f t="shared" si="325"/>
        <v>0.154615119226758</v>
      </c>
      <c r="AC137" s="16">
        <f t="shared" si="326"/>
        <v>-0.0231794336892542</v>
      </c>
      <c r="AD137" s="16">
        <f t="shared" si="327"/>
        <v>0.0162927526226323</v>
      </c>
      <c r="AE137" s="16">
        <f t="shared" si="328"/>
        <v>0.07773607003776</v>
      </c>
      <c r="AF137" s="16">
        <f t="shared" si="329"/>
        <v>0.0800726609579487</v>
      </c>
      <c r="AG137" s="16">
        <f t="shared" si="330"/>
        <v>0.0198263874918021</v>
      </c>
      <c r="AH137" s="16">
        <f t="shared" si="331"/>
        <v>0.103578561057802</v>
      </c>
      <c r="AI137" s="16">
        <f t="shared" si="332"/>
        <v>0.0215889116613081</v>
      </c>
      <c r="AJ137" s="16">
        <f t="shared" si="333"/>
        <v>-0.341399351524795</v>
      </c>
      <c r="AK137" s="16">
        <f t="shared" si="334"/>
        <v>-0.0880568553911827</v>
      </c>
      <c r="AL137" s="16">
        <f t="shared" si="335"/>
        <v>-0.030643010313047</v>
      </c>
      <c r="AM137" s="16">
        <f t="shared" si="336"/>
        <v>0.0822959113673556</v>
      </c>
      <c r="AN137" s="16">
        <f t="shared" si="337"/>
        <v>0.152195836080897</v>
      </c>
      <c r="AO137" s="16">
        <f t="shared" si="338"/>
        <v>-0.0176028705770578</v>
      </c>
      <c r="AQ137" s="4">
        <f t="shared" si="339"/>
        <v>0.0115097183855912</v>
      </c>
    </row>
    <row r="138" ht="14" spans="1:43">
      <c r="A138" s="32">
        <v>42887</v>
      </c>
      <c r="B138" s="16">
        <f t="shared" ref="B138:E138" si="346">LN(B10/B9)</f>
        <v>0.0376248692072745</v>
      </c>
      <c r="C138" s="16">
        <f t="shared" si="341"/>
        <v>-0.015789597442021</v>
      </c>
      <c r="D138" s="16">
        <f t="shared" si="346"/>
        <v>0.0401705674963308</v>
      </c>
      <c r="E138" s="16">
        <f t="shared" si="346"/>
        <v>0.0937669088441431</v>
      </c>
      <c r="F138" s="16">
        <f t="shared" si="303"/>
        <v>0.11106230526725</v>
      </c>
      <c r="G138" s="16">
        <f t="shared" si="304"/>
        <v>0.00967595199034028</v>
      </c>
      <c r="H138" s="16">
        <f t="shared" si="305"/>
        <v>-0.0218886987894371</v>
      </c>
      <c r="I138" s="16">
        <f t="shared" si="306"/>
        <v>-0.0422730537259914</v>
      </c>
      <c r="J138" s="16">
        <f t="shared" si="307"/>
        <v>0.0568095730289796</v>
      </c>
      <c r="K138" s="16">
        <f t="shared" si="308"/>
        <v>0.0461646233924514</v>
      </c>
      <c r="L138" s="16">
        <f t="shared" si="309"/>
        <v>0.0675482990630848</v>
      </c>
      <c r="M138" s="16">
        <f t="shared" si="310"/>
        <v>0.0957790483333058</v>
      </c>
      <c r="N138" s="16">
        <f t="shared" si="311"/>
        <v>-0.00739993410133647</v>
      </c>
      <c r="O138" s="16">
        <f t="shared" si="312"/>
        <v>0.0995272503002487</v>
      </c>
      <c r="P138" s="16">
        <f t="shared" si="313"/>
        <v>-0.0495021613515218</v>
      </c>
      <c r="Q138" s="16">
        <f t="shared" si="314"/>
        <v>-0.0703836590375919</v>
      </c>
      <c r="R138" s="16">
        <f t="shared" si="315"/>
        <v>0.00250615398654281</v>
      </c>
      <c r="S138" s="16">
        <f t="shared" si="316"/>
        <v>-0.0604742133023237</v>
      </c>
      <c r="T138" s="16">
        <f t="shared" si="317"/>
        <v>-0.0272170716473791</v>
      </c>
      <c r="U138" s="16">
        <f t="shared" si="318"/>
        <v>0.109106840617448</v>
      </c>
      <c r="V138" s="16">
        <f t="shared" si="319"/>
        <v>-0.0310500531923074</v>
      </c>
      <c r="W138" s="16">
        <f t="shared" si="320"/>
        <v>0.0128176452200583</v>
      </c>
      <c r="X138" s="16">
        <f t="shared" si="321"/>
        <v>-0.0706694170166765</v>
      </c>
      <c r="Y138" s="16">
        <f t="shared" si="322"/>
        <v>0.112049503808623</v>
      </c>
      <c r="Z138" s="16">
        <f t="shared" si="323"/>
        <v>0.0149316430740928</v>
      </c>
      <c r="AA138" s="16">
        <f t="shared" si="324"/>
        <v>0.107434121251243</v>
      </c>
      <c r="AB138" s="16">
        <f t="shared" si="325"/>
        <v>-0.000897585731960592</v>
      </c>
      <c r="AC138" s="16">
        <f t="shared" si="326"/>
        <v>0.0552019527321788</v>
      </c>
      <c r="AD138" s="16">
        <f t="shared" si="327"/>
        <v>-0.0107282336784549</v>
      </c>
      <c r="AE138" s="16">
        <f t="shared" si="328"/>
        <v>-0.0198109982282414</v>
      </c>
      <c r="AF138" s="16">
        <f t="shared" si="329"/>
        <v>-0.0199178442990898</v>
      </c>
      <c r="AG138" s="16">
        <f t="shared" si="330"/>
        <v>-0.0670517268063952</v>
      </c>
      <c r="AH138" s="16">
        <f t="shared" si="331"/>
        <v>0.0169000794584922</v>
      </c>
      <c r="AI138" s="16">
        <f t="shared" si="332"/>
        <v>0.114383871809653</v>
      </c>
      <c r="AJ138" s="16">
        <f t="shared" si="333"/>
        <v>0.0958638509821602</v>
      </c>
      <c r="AK138" s="16">
        <f t="shared" si="334"/>
        <v>0.0674109607676359</v>
      </c>
      <c r="AL138" s="16">
        <f t="shared" si="335"/>
        <v>0.0183016833279372</v>
      </c>
      <c r="AM138" s="16">
        <f t="shared" si="336"/>
        <v>0.0586544806361605</v>
      </c>
      <c r="AN138" s="16">
        <f t="shared" si="337"/>
        <v>-0.00810466801126967</v>
      </c>
      <c r="AO138" s="16">
        <f t="shared" si="338"/>
        <v>0.00627535411092426</v>
      </c>
      <c r="AQ138" s="4">
        <f t="shared" si="339"/>
        <v>0.00480228255335203</v>
      </c>
    </row>
    <row r="139" ht="14" spans="1:43">
      <c r="A139" s="32">
        <v>42917</v>
      </c>
      <c r="B139" s="16">
        <f t="shared" ref="B139:E139" si="347">LN(B11/B10)</f>
        <v>0.00324545402465602</v>
      </c>
      <c r="C139" s="16">
        <f t="shared" si="341"/>
        <v>0.00404376499883991</v>
      </c>
      <c r="D139" s="16">
        <f t="shared" si="347"/>
        <v>0.00436473123122902</v>
      </c>
      <c r="E139" s="16">
        <f t="shared" si="347"/>
        <v>-0.0365159429309606</v>
      </c>
      <c r="F139" s="16">
        <f t="shared" si="303"/>
        <v>0.0131513075228258</v>
      </c>
      <c r="G139" s="16">
        <f t="shared" si="304"/>
        <v>0.00692283130570444</v>
      </c>
      <c r="H139" s="16">
        <f t="shared" si="305"/>
        <v>0.00189999193525146</v>
      </c>
      <c r="I139" s="16">
        <f t="shared" si="306"/>
        <v>0.030745376421723</v>
      </c>
      <c r="J139" s="16">
        <f t="shared" si="307"/>
        <v>0.038003052443847</v>
      </c>
      <c r="K139" s="16">
        <f t="shared" si="308"/>
        <v>-0.00660856587680639</v>
      </c>
      <c r="L139" s="16">
        <f t="shared" si="309"/>
        <v>0.00097684081193513</v>
      </c>
      <c r="M139" s="16">
        <f t="shared" si="310"/>
        <v>-0.00967821976598013</v>
      </c>
      <c r="N139" s="16">
        <f t="shared" si="311"/>
        <v>0.0532499383929606</v>
      </c>
      <c r="O139" s="16">
        <f t="shared" si="312"/>
        <v>-0.00419690395357206</v>
      </c>
      <c r="P139" s="16">
        <f t="shared" si="313"/>
        <v>-0.0142571345674842</v>
      </c>
      <c r="Q139" s="16">
        <f t="shared" si="314"/>
        <v>0.0950671353577278</v>
      </c>
      <c r="R139" s="16">
        <f t="shared" si="315"/>
        <v>0.117044754070615</v>
      </c>
      <c r="S139" s="16">
        <f t="shared" si="316"/>
        <v>0.0500035077585832</v>
      </c>
      <c r="T139" s="16">
        <f t="shared" si="317"/>
        <v>0.0610074856055745</v>
      </c>
      <c r="U139" s="16">
        <f t="shared" si="318"/>
        <v>0.0866774537220931</v>
      </c>
      <c r="V139" s="16">
        <f t="shared" si="319"/>
        <v>-0.0166173341014026</v>
      </c>
      <c r="W139" s="16">
        <f t="shared" si="320"/>
        <v>0.0411238357540591</v>
      </c>
      <c r="X139" s="16">
        <f t="shared" si="321"/>
        <v>0.0961307129398772</v>
      </c>
      <c r="Y139" s="16">
        <f t="shared" si="322"/>
        <v>-0.0429075010112765</v>
      </c>
      <c r="Z139" s="16">
        <f t="shared" si="323"/>
        <v>0.0190941750547338</v>
      </c>
      <c r="AA139" s="16">
        <f t="shared" si="324"/>
        <v>0.00424976814366505</v>
      </c>
      <c r="AB139" s="16">
        <f t="shared" si="325"/>
        <v>-0.123678723839966</v>
      </c>
      <c r="AC139" s="16">
        <f t="shared" si="326"/>
        <v>-0.149860867971953</v>
      </c>
      <c r="AD139" s="16">
        <f t="shared" si="327"/>
        <v>0.0412490238272362</v>
      </c>
      <c r="AE139" s="16">
        <f t="shared" si="328"/>
        <v>0.00223298030473725</v>
      </c>
      <c r="AF139" s="16">
        <f t="shared" si="329"/>
        <v>0.0516720319283874</v>
      </c>
      <c r="AG139" s="16">
        <f t="shared" si="330"/>
        <v>0.0210291461240324</v>
      </c>
      <c r="AH139" s="16">
        <f t="shared" si="331"/>
        <v>-0.0169271082189274</v>
      </c>
      <c r="AI139" s="16">
        <f t="shared" si="332"/>
        <v>-0.0413615334626832</v>
      </c>
      <c r="AJ139" s="16">
        <f t="shared" si="333"/>
        <v>0.299745195647414</v>
      </c>
      <c r="AK139" s="16">
        <f t="shared" si="334"/>
        <v>-0.118924495217744</v>
      </c>
      <c r="AL139" s="16">
        <f t="shared" si="335"/>
        <v>0.0455302823354014</v>
      </c>
      <c r="AM139" s="16">
        <f t="shared" si="336"/>
        <v>-0.111459909065401</v>
      </c>
      <c r="AN139" s="16">
        <f t="shared" si="337"/>
        <v>0.201188566197067</v>
      </c>
      <c r="AO139" s="16">
        <f t="shared" si="338"/>
        <v>0.00267727722495447</v>
      </c>
      <c r="AQ139" s="4">
        <f t="shared" si="339"/>
        <v>0.0191639615136935</v>
      </c>
    </row>
    <row r="140" ht="14" spans="1:43">
      <c r="A140" s="32">
        <v>42948</v>
      </c>
      <c r="B140" s="16">
        <f t="shared" ref="B140:E140" si="348">LN(B12/B11)</f>
        <v>-0.0026409881448345</v>
      </c>
      <c r="C140" s="16">
        <f t="shared" si="341"/>
        <v>-0.000312880355909093</v>
      </c>
      <c r="D140" s="16">
        <f t="shared" si="348"/>
        <v>-0.0167128189044812</v>
      </c>
      <c r="E140" s="16">
        <f t="shared" si="348"/>
        <v>0.0832202307189116</v>
      </c>
      <c r="F140" s="16">
        <f t="shared" si="303"/>
        <v>0.0185086022692731</v>
      </c>
      <c r="G140" s="16">
        <f t="shared" si="304"/>
        <v>0.0640466178137015</v>
      </c>
      <c r="H140" s="16">
        <f t="shared" si="305"/>
        <v>0.162179498874998</v>
      </c>
      <c r="I140" s="16">
        <f t="shared" si="306"/>
        <v>-0.0685595708231425</v>
      </c>
      <c r="J140" s="16">
        <f t="shared" si="307"/>
        <v>0.0362968505905977</v>
      </c>
      <c r="K140" s="16">
        <f t="shared" si="308"/>
        <v>-0.0264584437591853</v>
      </c>
      <c r="L140" s="16">
        <f t="shared" si="309"/>
        <v>0.0106827382614395</v>
      </c>
      <c r="M140" s="16">
        <f t="shared" si="310"/>
        <v>0.00594730844100344</v>
      </c>
      <c r="N140" s="16">
        <f t="shared" si="311"/>
        <v>0.0280754860709279</v>
      </c>
      <c r="O140" s="16">
        <f t="shared" si="312"/>
        <v>0.0117442880773888</v>
      </c>
      <c r="P140" s="16">
        <f t="shared" si="313"/>
        <v>0.0343529985706224</v>
      </c>
      <c r="Q140" s="16">
        <f t="shared" si="314"/>
        <v>-0.0331343171085011</v>
      </c>
      <c r="R140" s="16">
        <f t="shared" si="315"/>
        <v>0.041759520583171</v>
      </c>
      <c r="S140" s="16">
        <f t="shared" si="316"/>
        <v>-0.0113415351961625</v>
      </c>
      <c r="T140" s="16">
        <f t="shared" si="317"/>
        <v>0.0216960420946975</v>
      </c>
      <c r="U140" s="16">
        <f t="shared" si="318"/>
        <v>-0.0458554592018379</v>
      </c>
      <c r="V140" s="16">
        <f t="shared" si="319"/>
        <v>0.0433103751488276</v>
      </c>
      <c r="W140" s="16">
        <f t="shared" si="320"/>
        <v>0.0506638523286442</v>
      </c>
      <c r="X140" s="16">
        <f t="shared" si="321"/>
        <v>-0.00104772201461917</v>
      </c>
      <c r="Y140" s="16">
        <f t="shared" si="322"/>
        <v>0.13030769129211</v>
      </c>
      <c r="Z140" s="16">
        <f t="shared" si="323"/>
        <v>0.0306584300887785</v>
      </c>
      <c r="AA140" s="16">
        <f t="shared" si="324"/>
        <v>-0.111683889394908</v>
      </c>
      <c r="AB140" s="16">
        <f t="shared" si="325"/>
        <v>-0.0229973569895715</v>
      </c>
      <c r="AC140" s="16">
        <f t="shared" si="326"/>
        <v>-0.247472613023506</v>
      </c>
      <c r="AD140" s="16">
        <f t="shared" si="327"/>
        <v>0.0236543403023532</v>
      </c>
      <c r="AE140" s="16">
        <f t="shared" si="328"/>
        <v>0.00188307618471114</v>
      </c>
      <c r="AF140" s="16">
        <f t="shared" si="329"/>
        <v>0.021181413662421</v>
      </c>
      <c r="AG140" s="16">
        <f t="shared" si="330"/>
        <v>-0.0798237293404886</v>
      </c>
      <c r="AH140" s="16">
        <f t="shared" si="331"/>
        <v>-0.0879773745954305</v>
      </c>
      <c r="AI140" s="16">
        <f t="shared" si="332"/>
        <v>0.0300681097339405</v>
      </c>
      <c r="AJ140" s="16">
        <f t="shared" si="333"/>
        <v>0.066111085605392</v>
      </c>
      <c r="AK140" s="16">
        <f t="shared" si="334"/>
        <v>0.121528663356132</v>
      </c>
      <c r="AL140" s="16">
        <f t="shared" si="335"/>
        <v>-0.0144828335992223</v>
      </c>
      <c r="AM140" s="16">
        <f t="shared" si="336"/>
        <v>0.0955434185786588</v>
      </c>
      <c r="AN140" s="16">
        <f t="shared" si="337"/>
        <v>0.0847195114692483</v>
      </c>
      <c r="AO140" s="16">
        <f t="shared" si="338"/>
        <v>-0.00431818341025567</v>
      </c>
      <c r="AQ140" s="4">
        <f t="shared" si="339"/>
        <v>0.000546343056315915</v>
      </c>
    </row>
    <row r="141" ht="14" spans="1:43">
      <c r="A141" s="32">
        <v>42979</v>
      </c>
      <c r="B141" s="16">
        <f t="shared" ref="B141:E141" si="349">LN(B13/B12)</f>
        <v>-0.011648692521645</v>
      </c>
      <c r="C141" s="16">
        <f t="shared" si="341"/>
        <v>0.00265841867612665</v>
      </c>
      <c r="D141" s="16">
        <f t="shared" si="349"/>
        <v>0.0573186596063776</v>
      </c>
      <c r="E141" s="16">
        <f t="shared" si="349"/>
        <v>0.165581802077408</v>
      </c>
      <c r="F141" s="16">
        <f t="shared" si="303"/>
        <v>0.0543943000633692</v>
      </c>
      <c r="G141" s="16">
        <f t="shared" si="304"/>
        <v>0.0109477189753207</v>
      </c>
      <c r="H141" s="16">
        <f t="shared" si="305"/>
        <v>-0.0260630121783702</v>
      </c>
      <c r="I141" s="16">
        <f t="shared" si="306"/>
        <v>0.000385951374918318</v>
      </c>
      <c r="J141" s="16">
        <f t="shared" si="307"/>
        <v>-0.0154530996028078</v>
      </c>
      <c r="K141" s="16">
        <f t="shared" si="308"/>
        <v>0.0501805593830044</v>
      </c>
      <c r="L141" s="16">
        <f t="shared" si="309"/>
        <v>-0.105561783646832</v>
      </c>
      <c r="M141" s="16">
        <f t="shared" si="310"/>
        <v>-0.0032586208177054</v>
      </c>
      <c r="N141" s="16">
        <f t="shared" si="311"/>
        <v>0.00156184353069361</v>
      </c>
      <c r="O141" s="16">
        <f t="shared" si="312"/>
        <v>-0.0401352180335707</v>
      </c>
      <c r="P141" s="16">
        <f t="shared" si="313"/>
        <v>-0.0637709275057998</v>
      </c>
      <c r="Q141" s="16">
        <f t="shared" si="314"/>
        <v>0.0928569578855401</v>
      </c>
      <c r="R141" s="16">
        <f t="shared" si="315"/>
        <v>0.0544813724707107</v>
      </c>
      <c r="S141" s="16">
        <f t="shared" si="316"/>
        <v>0.0898220879989192</v>
      </c>
      <c r="T141" s="16">
        <f t="shared" si="317"/>
        <v>-0.0385401331093301</v>
      </c>
      <c r="U141" s="16">
        <f t="shared" si="318"/>
        <v>-0.0194180858571016</v>
      </c>
      <c r="V141" s="16">
        <f t="shared" si="319"/>
        <v>0.0752175264863326</v>
      </c>
      <c r="W141" s="16">
        <f t="shared" si="320"/>
        <v>0.0114668379499923</v>
      </c>
      <c r="X141" s="16">
        <f t="shared" si="321"/>
        <v>0.0450895595319682</v>
      </c>
      <c r="Y141" s="16">
        <f t="shared" si="322"/>
        <v>0.0306790977847673</v>
      </c>
      <c r="Z141" s="16">
        <f t="shared" si="323"/>
        <v>-0.0148658203163449</v>
      </c>
      <c r="AA141" s="16">
        <f t="shared" si="324"/>
        <v>-0.0149151913354015</v>
      </c>
      <c r="AB141" s="16">
        <f t="shared" si="325"/>
        <v>0.085607104525159</v>
      </c>
      <c r="AC141" s="16">
        <f t="shared" si="326"/>
        <v>0.154015776844203</v>
      </c>
      <c r="AD141" s="16">
        <f t="shared" si="327"/>
        <v>-0.0140794572812537</v>
      </c>
      <c r="AE141" s="16">
        <f t="shared" si="328"/>
        <v>-0.051954973632997</v>
      </c>
      <c r="AF141" s="16">
        <f t="shared" si="329"/>
        <v>0.00300871136394927</v>
      </c>
      <c r="AG141" s="16">
        <f t="shared" si="330"/>
        <v>-0.0332034232947376</v>
      </c>
      <c r="AH141" s="16">
        <f t="shared" si="331"/>
        <v>-0.118736468424143</v>
      </c>
      <c r="AI141" s="16">
        <f t="shared" si="332"/>
        <v>0.0509244701771229</v>
      </c>
      <c r="AJ141" s="16">
        <f t="shared" si="333"/>
        <v>0.122115961960975</v>
      </c>
      <c r="AK141" s="16">
        <f t="shared" si="334"/>
        <v>0.110677952478611</v>
      </c>
      <c r="AL141" s="16">
        <f t="shared" si="335"/>
        <v>0.0978291819034254</v>
      </c>
      <c r="AM141" s="16">
        <f t="shared" si="336"/>
        <v>-0.0424741030915471</v>
      </c>
      <c r="AN141" s="16">
        <f t="shared" si="337"/>
        <v>-0.0356532136862611</v>
      </c>
      <c r="AO141" s="16">
        <f t="shared" si="338"/>
        <v>0.0817845392212582</v>
      </c>
      <c r="AQ141" s="4">
        <f t="shared" si="339"/>
        <v>0.0191189572032489</v>
      </c>
    </row>
    <row r="142" ht="14" spans="1:43">
      <c r="A142" s="32">
        <v>43009</v>
      </c>
      <c r="B142" s="16">
        <f t="shared" ref="B142:E142" si="350">LN(B14/B13)</f>
        <v>0.0698082033718639</v>
      </c>
      <c r="C142" s="16">
        <f t="shared" si="341"/>
        <v>-0.143176397224529</v>
      </c>
      <c r="D142" s="16">
        <f t="shared" si="350"/>
        <v>-0.0429966835394065</v>
      </c>
      <c r="E142" s="16">
        <f t="shared" si="350"/>
        <v>0.01552143691398</v>
      </c>
      <c r="F142" s="16">
        <f t="shared" si="303"/>
        <v>-0.0621213505852131</v>
      </c>
      <c r="G142" s="16">
        <f t="shared" si="304"/>
        <v>0.0249606408643382</v>
      </c>
      <c r="H142" s="16">
        <f t="shared" si="305"/>
        <v>0.0296270340151583</v>
      </c>
      <c r="I142" s="16">
        <f t="shared" si="306"/>
        <v>0.0664299398433972</v>
      </c>
      <c r="J142" s="16">
        <f t="shared" si="307"/>
        <v>0.0745931894270682</v>
      </c>
      <c r="K142" s="16">
        <f t="shared" si="308"/>
        <v>-0.171120337485575</v>
      </c>
      <c r="L142" s="16">
        <f t="shared" si="309"/>
        <v>-0.10483382589076</v>
      </c>
      <c r="M142" s="16">
        <f t="shared" si="310"/>
        <v>0.0896716586944132</v>
      </c>
      <c r="N142" s="16">
        <f t="shared" si="311"/>
        <v>0.110342127664272</v>
      </c>
      <c r="O142" s="16">
        <f t="shared" si="312"/>
        <v>0.0513967261829157</v>
      </c>
      <c r="P142" s="16">
        <f t="shared" si="313"/>
        <v>0.0949550031001824</v>
      </c>
      <c r="Q142" s="16">
        <f t="shared" si="314"/>
        <v>-0.00949354144745618</v>
      </c>
      <c r="R142" s="16">
        <f t="shared" si="315"/>
        <v>0.145700222573334</v>
      </c>
      <c r="S142" s="16">
        <f t="shared" si="316"/>
        <v>0.177803443097144</v>
      </c>
      <c r="T142" s="16">
        <f t="shared" si="317"/>
        <v>0.0885207175424746</v>
      </c>
      <c r="U142" s="16">
        <f t="shared" si="318"/>
        <v>-0.148545503188905</v>
      </c>
      <c r="V142" s="16">
        <f t="shared" si="319"/>
        <v>0.0395843472195422</v>
      </c>
      <c r="W142" s="16">
        <f t="shared" si="320"/>
        <v>0.0725204916258267</v>
      </c>
      <c r="X142" s="16">
        <f t="shared" si="321"/>
        <v>0.0835530759074318</v>
      </c>
      <c r="Y142" s="16">
        <f t="shared" si="322"/>
        <v>-0.0107207697451017</v>
      </c>
      <c r="Z142" s="16">
        <f t="shared" si="323"/>
        <v>0.0632495949280899</v>
      </c>
      <c r="AA142" s="16">
        <f t="shared" si="324"/>
        <v>0.0587963945202692</v>
      </c>
      <c r="AB142" s="16">
        <f t="shared" si="325"/>
        <v>-0.0791126324378736</v>
      </c>
      <c r="AC142" s="16">
        <f t="shared" si="326"/>
        <v>0.0337897561622509</v>
      </c>
      <c r="AD142" s="16">
        <f t="shared" si="327"/>
        <v>-0.0523465563552104</v>
      </c>
      <c r="AE142" s="16">
        <f t="shared" si="328"/>
        <v>-0.0496013432496267</v>
      </c>
      <c r="AF142" s="16">
        <f t="shared" si="329"/>
        <v>-0.0228611151444585</v>
      </c>
      <c r="AG142" s="16">
        <f t="shared" si="330"/>
        <v>-0.00284084524120869</v>
      </c>
      <c r="AH142" s="16">
        <f t="shared" si="331"/>
        <v>-0.0453041462604525</v>
      </c>
      <c r="AI142" s="16">
        <f t="shared" si="332"/>
        <v>0.00336180121692558</v>
      </c>
      <c r="AJ142" s="16">
        <f t="shared" si="333"/>
        <v>-0.0257393540989988</v>
      </c>
      <c r="AK142" s="16">
        <f t="shared" si="334"/>
        <v>0.00811598657817959</v>
      </c>
      <c r="AL142" s="16">
        <f t="shared" si="335"/>
        <v>-0.013796871734318</v>
      </c>
      <c r="AM142" s="16">
        <f t="shared" si="336"/>
        <v>-0.0284573861557995</v>
      </c>
      <c r="AN142" s="16">
        <f t="shared" si="337"/>
        <v>0.0799867108064821</v>
      </c>
      <c r="AO142" s="16">
        <f t="shared" si="338"/>
        <v>0.0247535949139457</v>
      </c>
      <c r="AQ142" s="4">
        <f t="shared" si="339"/>
        <v>0.0219455988783051</v>
      </c>
    </row>
    <row r="143" ht="14" spans="1:43">
      <c r="A143" s="32">
        <v>43040</v>
      </c>
      <c r="B143" s="16">
        <f t="shared" ref="B143:E143" si="351">LN(B15/B14)</f>
        <v>-0.000574292758319053</v>
      </c>
      <c r="C143" s="16">
        <f t="shared" si="341"/>
        <v>0.00326175915406211</v>
      </c>
      <c r="D143" s="16">
        <f t="shared" si="351"/>
        <v>0.0324194558210239</v>
      </c>
      <c r="E143" s="16">
        <f t="shared" si="351"/>
        <v>0.0782543656191948</v>
      </c>
      <c r="F143" s="16">
        <f t="shared" si="303"/>
        <v>0.0025082336507223</v>
      </c>
      <c r="G143" s="16">
        <f t="shared" si="304"/>
        <v>-0.00553544225959951</v>
      </c>
      <c r="H143" s="16">
        <f t="shared" si="305"/>
        <v>0.114273356034271</v>
      </c>
      <c r="I143" s="16">
        <f t="shared" si="306"/>
        <v>-0.060530596026972</v>
      </c>
      <c r="J143" s="16">
        <f t="shared" si="307"/>
        <v>0.0819362931485571</v>
      </c>
      <c r="K143" s="16">
        <f t="shared" si="308"/>
        <v>0.117883798928209</v>
      </c>
      <c r="L143" s="16">
        <f t="shared" si="309"/>
        <v>-0.106735792379732</v>
      </c>
      <c r="M143" s="16">
        <f t="shared" si="310"/>
        <v>0.0143887729625016</v>
      </c>
      <c r="N143" s="16">
        <f t="shared" si="311"/>
        <v>0.0118314498417294</v>
      </c>
      <c r="O143" s="16">
        <f t="shared" si="312"/>
        <v>-0.0328822230777179</v>
      </c>
      <c r="P143" s="16">
        <f t="shared" si="313"/>
        <v>0.0650775790676416</v>
      </c>
      <c r="Q143" s="16">
        <f t="shared" si="314"/>
        <v>-0.114979421003939</v>
      </c>
      <c r="R143" s="16">
        <f t="shared" si="315"/>
        <v>-0.029939396621444</v>
      </c>
      <c r="S143" s="16">
        <f t="shared" si="316"/>
        <v>-0.0143922008933543</v>
      </c>
      <c r="T143" s="16">
        <f t="shared" si="317"/>
        <v>0.0517972356456514</v>
      </c>
      <c r="U143" s="16">
        <f t="shared" si="318"/>
        <v>-0.00914083147066086</v>
      </c>
      <c r="V143" s="16">
        <f t="shared" si="319"/>
        <v>-0.0583963139114591</v>
      </c>
      <c r="W143" s="16">
        <f t="shared" si="320"/>
        <v>-0.0270297563981719</v>
      </c>
      <c r="X143" s="16">
        <f t="shared" si="321"/>
        <v>-0.00465086493579899</v>
      </c>
      <c r="Y143" s="16">
        <f t="shared" si="322"/>
        <v>-0.0144755241737856</v>
      </c>
      <c r="Z143" s="16">
        <f t="shared" si="323"/>
        <v>0.0298653839173134</v>
      </c>
      <c r="AA143" s="16">
        <f t="shared" si="324"/>
        <v>0.0941688761066212</v>
      </c>
      <c r="AB143" s="16">
        <f t="shared" si="325"/>
        <v>0.017120554791581</v>
      </c>
      <c r="AC143" s="16">
        <f t="shared" si="326"/>
        <v>0.264470922877543</v>
      </c>
      <c r="AD143" s="16">
        <f t="shared" si="327"/>
        <v>0.0488709785165546</v>
      </c>
      <c r="AE143" s="16">
        <f t="shared" si="328"/>
        <v>-0.0182270779255492</v>
      </c>
      <c r="AF143" s="16">
        <f t="shared" si="329"/>
        <v>-0.00300528131294103</v>
      </c>
      <c r="AG143" s="16">
        <f t="shared" si="330"/>
        <v>0.050924968198032</v>
      </c>
      <c r="AH143" s="16">
        <f t="shared" si="331"/>
        <v>-0.275172643645521</v>
      </c>
      <c r="AI143" s="16">
        <f t="shared" si="332"/>
        <v>0.0247134262949337</v>
      </c>
      <c r="AJ143" s="16">
        <f t="shared" si="333"/>
        <v>0.149318839876663</v>
      </c>
      <c r="AK143" s="16">
        <f t="shared" si="334"/>
        <v>0.0988730044889661</v>
      </c>
      <c r="AL143" s="16">
        <f t="shared" si="335"/>
        <v>0.0263979102538122</v>
      </c>
      <c r="AM143" s="16">
        <f t="shared" si="336"/>
        <v>-0.0708625811268923</v>
      </c>
      <c r="AN143" s="16">
        <f t="shared" si="337"/>
        <v>-0.0971503678429749</v>
      </c>
      <c r="AO143" s="16">
        <f t="shared" si="338"/>
        <v>0.0325117120612905</v>
      </c>
      <c r="AQ143" s="4">
        <f t="shared" si="339"/>
        <v>0.0276955153306487</v>
      </c>
    </row>
    <row r="144" ht="14" spans="1:43">
      <c r="A144" s="32">
        <v>43070</v>
      </c>
      <c r="B144" s="16">
        <f t="shared" ref="B144:E144" si="352">LN(B16/B15)</f>
        <v>0.00890027269903839</v>
      </c>
      <c r="C144" s="16">
        <f t="shared" si="341"/>
        <v>0.0179314171764304</v>
      </c>
      <c r="D144" s="16">
        <f t="shared" si="352"/>
        <v>0.00416674757961344</v>
      </c>
      <c r="E144" s="16">
        <f t="shared" si="352"/>
        <v>-0.00216905594115568</v>
      </c>
      <c r="F144" s="16">
        <f t="shared" si="303"/>
        <v>-0.00325706200000805</v>
      </c>
      <c r="G144" s="16">
        <f t="shared" si="304"/>
        <v>-0.015053587708747</v>
      </c>
      <c r="H144" s="16">
        <f t="shared" si="305"/>
        <v>-0.051469488301994</v>
      </c>
      <c r="I144" s="16">
        <f t="shared" si="306"/>
        <v>-0.000191821989782223</v>
      </c>
      <c r="J144" s="16">
        <f t="shared" si="307"/>
        <v>-0.031004066193071</v>
      </c>
      <c r="K144" s="16">
        <f t="shared" si="308"/>
        <v>-0.0550104780134875</v>
      </c>
      <c r="L144" s="16">
        <f t="shared" si="309"/>
        <v>0.0382253580611502</v>
      </c>
      <c r="M144" s="16">
        <f t="shared" si="310"/>
        <v>-0.00409656772279414</v>
      </c>
      <c r="N144" s="16">
        <f t="shared" si="311"/>
        <v>0.0211549888959643</v>
      </c>
      <c r="O144" s="16">
        <f t="shared" si="312"/>
        <v>-0.0369566409601602</v>
      </c>
      <c r="P144" s="16">
        <f t="shared" si="313"/>
        <v>0.0380220726887906</v>
      </c>
      <c r="Q144" s="16">
        <f t="shared" si="314"/>
        <v>-0.0292597409098722</v>
      </c>
      <c r="R144" s="16">
        <f t="shared" si="315"/>
        <v>-0.0358890725590334</v>
      </c>
      <c r="S144" s="16">
        <f t="shared" si="316"/>
        <v>0.0349217705140197</v>
      </c>
      <c r="T144" s="16">
        <f t="shared" si="317"/>
        <v>-0.0787183926213928</v>
      </c>
      <c r="U144" s="16">
        <f t="shared" si="318"/>
        <v>-0.0576446769178502</v>
      </c>
      <c r="V144" s="16">
        <f t="shared" si="319"/>
        <v>-0.0256784398032281</v>
      </c>
      <c r="W144" s="16">
        <f t="shared" si="320"/>
        <v>0.0583456040629634</v>
      </c>
      <c r="X144" s="16">
        <f t="shared" si="321"/>
        <v>-0.0207258221629015</v>
      </c>
      <c r="Y144" s="16">
        <f t="shared" si="322"/>
        <v>0.217049687239887</v>
      </c>
      <c r="Z144" s="16">
        <f t="shared" si="323"/>
        <v>0.00681536069123643</v>
      </c>
      <c r="AA144" s="16">
        <f t="shared" si="324"/>
        <v>0.0346460535992728</v>
      </c>
      <c r="AB144" s="16">
        <f t="shared" si="325"/>
        <v>0.0149291064278148</v>
      </c>
      <c r="AC144" s="16">
        <f t="shared" si="326"/>
        <v>0.0835519933724752</v>
      </c>
      <c r="AD144" s="16">
        <f t="shared" si="327"/>
        <v>0.0207848517878347</v>
      </c>
      <c r="AE144" s="16">
        <f t="shared" si="328"/>
        <v>0.0278326552311443</v>
      </c>
      <c r="AF144" s="16">
        <f t="shared" si="329"/>
        <v>-0.0128507000538222</v>
      </c>
      <c r="AG144" s="16">
        <f t="shared" si="330"/>
        <v>-0.0374144328049981</v>
      </c>
      <c r="AH144" s="16">
        <f t="shared" si="331"/>
        <v>0.00523757363505358</v>
      </c>
      <c r="AI144" s="16">
        <f t="shared" si="332"/>
        <v>0.0752120670735233</v>
      </c>
      <c r="AJ144" s="16">
        <f t="shared" si="333"/>
        <v>-0.0545735082383763</v>
      </c>
      <c r="AK144" s="16">
        <f t="shared" si="334"/>
        <v>0.00208986491945924</v>
      </c>
      <c r="AL144" s="16">
        <f t="shared" si="335"/>
        <v>0.060110861550481</v>
      </c>
      <c r="AM144" s="16">
        <f t="shared" si="336"/>
        <v>0.0080619591765528</v>
      </c>
      <c r="AN144" s="16">
        <f t="shared" si="337"/>
        <v>-0.0352352377847002</v>
      </c>
      <c r="AO144" s="16">
        <f t="shared" si="338"/>
        <v>-0.00239935004530405</v>
      </c>
      <c r="AQ144" s="4">
        <f t="shared" si="339"/>
        <v>0.00978360390436266</v>
      </c>
    </row>
    <row r="145" ht="14" spans="1:43">
      <c r="A145" s="32">
        <v>43101</v>
      </c>
      <c r="B145" s="16">
        <f t="shared" ref="B145:E145" si="353">LN(B17/B16)</f>
        <v>-0.0110104381339965</v>
      </c>
      <c r="C145" s="16">
        <f t="shared" si="341"/>
        <v>0.0600743885408539</v>
      </c>
      <c r="D145" s="16">
        <f t="shared" si="353"/>
        <v>-0.0362888618155453</v>
      </c>
      <c r="E145" s="16">
        <f t="shared" si="353"/>
        <v>0.148744413210896</v>
      </c>
      <c r="F145" s="16">
        <f t="shared" si="303"/>
        <v>0.0675343891762624</v>
      </c>
      <c r="G145" s="16">
        <f t="shared" si="304"/>
        <v>0.16652830075716</v>
      </c>
      <c r="H145" s="16">
        <f t="shared" si="305"/>
        <v>0.0627519474472209</v>
      </c>
      <c r="I145" s="16">
        <f t="shared" si="306"/>
        <v>0.17903355502739</v>
      </c>
      <c r="J145" s="16">
        <f t="shared" si="307"/>
        <v>0.0714153057075767</v>
      </c>
      <c r="K145" s="16">
        <f t="shared" si="308"/>
        <v>0.0819294349350945</v>
      </c>
      <c r="L145" s="16">
        <f t="shared" si="309"/>
        <v>-0.0250750402122922</v>
      </c>
      <c r="M145" s="16">
        <f t="shared" si="310"/>
        <v>0.174041656065202</v>
      </c>
      <c r="N145" s="16">
        <f t="shared" si="311"/>
        <v>0.1049982626924</v>
      </c>
      <c r="O145" s="16">
        <f t="shared" si="312"/>
        <v>0.0872402756380174</v>
      </c>
      <c r="P145" s="16">
        <f t="shared" si="313"/>
        <v>0.0523913408903374</v>
      </c>
      <c r="Q145" s="16">
        <f t="shared" si="314"/>
        <v>-0.0300260623809785</v>
      </c>
      <c r="R145" s="16">
        <f t="shared" si="315"/>
        <v>0.239240691790979</v>
      </c>
      <c r="S145" s="16">
        <f t="shared" si="316"/>
        <v>0.0419995876759889</v>
      </c>
      <c r="T145" s="16">
        <f t="shared" si="317"/>
        <v>-0.0285298479194558</v>
      </c>
      <c r="U145" s="16">
        <f t="shared" si="318"/>
        <v>0.290111026767184</v>
      </c>
      <c r="V145" s="16">
        <f t="shared" si="319"/>
        <v>0.0797917097542364</v>
      </c>
      <c r="W145" s="16">
        <f t="shared" si="320"/>
        <v>0.132543482453585</v>
      </c>
      <c r="X145" s="16">
        <f t="shared" si="321"/>
        <v>0.110859792485027</v>
      </c>
      <c r="Y145" s="16">
        <f t="shared" si="322"/>
        <v>-0.086255938910732</v>
      </c>
      <c r="Z145" s="16">
        <f t="shared" si="323"/>
        <v>-0.00570992882499751</v>
      </c>
      <c r="AA145" s="16">
        <f t="shared" si="324"/>
        <v>0.0900872908107956</v>
      </c>
      <c r="AB145" s="16">
        <f t="shared" si="325"/>
        <v>0.1402217027523</v>
      </c>
      <c r="AC145" s="16">
        <f t="shared" si="326"/>
        <v>-0.184183066548066</v>
      </c>
      <c r="AD145" s="16">
        <f t="shared" si="327"/>
        <v>-0.0621903639931478</v>
      </c>
      <c r="AE145" s="16">
        <f t="shared" si="328"/>
        <v>0.0247901587437904</v>
      </c>
      <c r="AF145" s="16">
        <f t="shared" si="329"/>
        <v>0.0202134268076514</v>
      </c>
      <c r="AG145" s="16">
        <f t="shared" si="330"/>
        <v>0.00806899994088175</v>
      </c>
      <c r="AH145" s="16">
        <f t="shared" si="331"/>
        <v>-0.155878151983551</v>
      </c>
      <c r="AI145" s="16">
        <f t="shared" si="332"/>
        <v>0.0526473669941585</v>
      </c>
      <c r="AJ145" s="16">
        <f t="shared" si="333"/>
        <v>-0.00561051016292791</v>
      </c>
      <c r="AK145" s="16">
        <f t="shared" si="334"/>
        <v>0.00312663099943192</v>
      </c>
      <c r="AL145" s="16">
        <f t="shared" si="335"/>
        <v>0.00127758211993819</v>
      </c>
      <c r="AM145" s="16">
        <f t="shared" si="336"/>
        <v>0.129254554823017</v>
      </c>
      <c r="AN145" s="16">
        <f t="shared" si="337"/>
        <v>0.13088067950639</v>
      </c>
      <c r="AO145" s="16">
        <f t="shared" si="338"/>
        <v>-0.129764333992264</v>
      </c>
      <c r="AQ145" s="4">
        <f t="shared" si="339"/>
        <v>0.054657417787025</v>
      </c>
    </row>
    <row r="146" ht="14" spans="1:43">
      <c r="A146" s="32">
        <v>43132</v>
      </c>
      <c r="B146" s="16">
        <f t="shared" ref="B146:E146" si="354">LN(B18/B17)</f>
        <v>-0.0620184471413673</v>
      </c>
      <c r="C146" s="16">
        <f t="shared" si="341"/>
        <v>-0.088715987963842</v>
      </c>
      <c r="D146" s="16">
        <f t="shared" si="354"/>
        <v>-0.0559242265304726</v>
      </c>
      <c r="E146" s="16">
        <f t="shared" si="354"/>
        <v>0.03880977376498</v>
      </c>
      <c r="F146" s="16">
        <f t="shared" si="303"/>
        <v>-0.0123299020242501</v>
      </c>
      <c r="G146" s="16">
        <f t="shared" si="304"/>
        <v>-0.0718145051518714</v>
      </c>
      <c r="H146" s="16">
        <f t="shared" si="305"/>
        <v>-0.0200588499395807</v>
      </c>
      <c r="I146" s="16">
        <f t="shared" si="306"/>
        <v>0.00101530989030292</v>
      </c>
      <c r="J146" s="16">
        <f t="shared" si="307"/>
        <v>-0.045888566434639</v>
      </c>
      <c r="K146" s="16">
        <f t="shared" si="308"/>
        <v>-0.143791000660811</v>
      </c>
      <c r="L146" s="16">
        <f t="shared" si="309"/>
        <v>-0.134712663192892</v>
      </c>
      <c r="M146" s="16">
        <f t="shared" si="310"/>
        <v>-0.0563244759587534</v>
      </c>
      <c r="N146" s="16">
        <f t="shared" si="311"/>
        <v>-0.0131371213350067</v>
      </c>
      <c r="O146" s="16">
        <f t="shared" si="312"/>
        <v>-0.0141071170360723</v>
      </c>
      <c r="P146" s="16">
        <f t="shared" si="313"/>
        <v>0.0918685164984891</v>
      </c>
      <c r="Q146" s="16">
        <f t="shared" si="314"/>
        <v>-0.0351304463903515</v>
      </c>
      <c r="R146" s="16">
        <f t="shared" si="315"/>
        <v>-0.0155804768111254</v>
      </c>
      <c r="S146" s="16">
        <f t="shared" si="316"/>
        <v>0.0236079944941944</v>
      </c>
      <c r="T146" s="16">
        <f t="shared" si="317"/>
        <v>-0.00635005202008962</v>
      </c>
      <c r="U146" s="16">
        <f t="shared" si="318"/>
        <v>-0.126279729229202</v>
      </c>
      <c r="V146" s="16">
        <f t="shared" si="319"/>
        <v>-0.0245383406004973</v>
      </c>
      <c r="W146" s="16">
        <f t="shared" si="320"/>
        <v>0.0783930329678812</v>
      </c>
      <c r="X146" s="16">
        <f t="shared" si="321"/>
        <v>0.00299737504467809</v>
      </c>
      <c r="Y146" s="16">
        <f t="shared" si="322"/>
        <v>0.299472630978954</v>
      </c>
      <c r="Z146" s="16">
        <f t="shared" si="323"/>
        <v>-0.0815337064868975</v>
      </c>
      <c r="AA146" s="16">
        <f t="shared" si="324"/>
        <v>-0.0175975979160702</v>
      </c>
      <c r="AB146" s="16">
        <f t="shared" si="325"/>
        <v>0.0253170570700383</v>
      </c>
      <c r="AC146" s="16">
        <f t="shared" si="326"/>
        <v>-0.0152890410192958</v>
      </c>
      <c r="AD146" s="16">
        <f t="shared" si="327"/>
        <v>-0.0873448109038745</v>
      </c>
      <c r="AE146" s="16">
        <f t="shared" si="328"/>
        <v>-0.0349214314549428</v>
      </c>
      <c r="AF146" s="16">
        <f t="shared" si="329"/>
        <v>-0.090187758651021</v>
      </c>
      <c r="AG146" s="16">
        <f t="shared" si="330"/>
        <v>-0.156257879249944</v>
      </c>
      <c r="AH146" s="16">
        <f t="shared" si="331"/>
        <v>-0.0287761785729802</v>
      </c>
      <c r="AI146" s="16">
        <f t="shared" si="332"/>
        <v>-0.0631779796113863</v>
      </c>
      <c r="AJ146" s="16">
        <f t="shared" si="333"/>
        <v>-0.0714068162748193</v>
      </c>
      <c r="AK146" s="16">
        <f t="shared" si="334"/>
        <v>-0.0960388531306903</v>
      </c>
      <c r="AL146" s="16">
        <f t="shared" si="335"/>
        <v>-0.113325841733408</v>
      </c>
      <c r="AM146" s="16">
        <f t="shared" si="336"/>
        <v>-0.032266877159799</v>
      </c>
      <c r="AN146" s="16">
        <f t="shared" si="337"/>
        <v>0.0386570896462038</v>
      </c>
      <c r="AO146" s="16">
        <f t="shared" si="338"/>
        <v>-0.0090394880912034</v>
      </c>
      <c r="AQ146" s="4">
        <f t="shared" si="339"/>
        <v>-0.0397261156359207</v>
      </c>
    </row>
    <row r="147" ht="14" spans="1:43">
      <c r="A147" s="32">
        <v>43160</v>
      </c>
      <c r="B147" s="16">
        <f t="shared" ref="B147:E147" si="355">LN(B19/B18)</f>
        <v>-0.00702673868992653</v>
      </c>
      <c r="C147" s="16">
        <f t="shared" si="341"/>
        <v>0.00460024756381498</v>
      </c>
      <c r="D147" s="16">
        <f t="shared" si="355"/>
        <v>0.0119490309554896</v>
      </c>
      <c r="E147" s="16">
        <f t="shared" si="355"/>
        <v>-0.2019375623502</v>
      </c>
      <c r="F147" s="16">
        <f t="shared" si="303"/>
        <v>-0.0675363764632492</v>
      </c>
      <c r="G147" s="16">
        <f t="shared" si="304"/>
        <v>-0.0102154353059785</v>
      </c>
      <c r="H147" s="16">
        <f t="shared" si="305"/>
        <v>0.0361765399166571</v>
      </c>
      <c r="I147" s="16">
        <f t="shared" si="306"/>
        <v>0.0219754234359204</v>
      </c>
      <c r="J147" s="16">
        <f t="shared" si="307"/>
        <v>-0.0552670573395623</v>
      </c>
      <c r="K147" s="16">
        <f t="shared" si="308"/>
        <v>-0.0850134705883455</v>
      </c>
      <c r="L147" s="16">
        <f t="shared" si="309"/>
        <v>0.071992570442838</v>
      </c>
      <c r="M147" s="16">
        <f t="shared" si="310"/>
        <v>0.0367261945516064</v>
      </c>
      <c r="N147" s="16">
        <f t="shared" si="311"/>
        <v>-0.0223365042251695</v>
      </c>
      <c r="O147" s="16">
        <f t="shared" si="312"/>
        <v>-0.102142116244387</v>
      </c>
      <c r="P147" s="16">
        <f t="shared" si="313"/>
        <v>0.0597967637642917</v>
      </c>
      <c r="Q147" s="16">
        <f t="shared" si="314"/>
        <v>-0.0140986356063026</v>
      </c>
      <c r="R147" s="16">
        <f t="shared" si="315"/>
        <v>-0.0433478692392176</v>
      </c>
      <c r="S147" s="16">
        <f t="shared" si="316"/>
        <v>0.0618212320755454</v>
      </c>
      <c r="T147" s="16">
        <f t="shared" si="317"/>
        <v>-0.0448517827305757</v>
      </c>
      <c r="U147" s="16">
        <f t="shared" si="318"/>
        <v>-0.186458923059916</v>
      </c>
      <c r="V147" s="16">
        <f t="shared" si="319"/>
        <v>0.0190388426497773</v>
      </c>
      <c r="W147" s="16">
        <f t="shared" si="320"/>
        <v>0.0272025595107739</v>
      </c>
      <c r="X147" s="16">
        <f t="shared" si="321"/>
        <v>-0.0649095348804844</v>
      </c>
      <c r="Y147" s="16">
        <f t="shared" si="322"/>
        <v>0.103145500117282</v>
      </c>
      <c r="Z147" s="16">
        <f t="shared" si="323"/>
        <v>-0.00235291937129929</v>
      </c>
      <c r="AA147" s="16">
        <f t="shared" si="324"/>
        <v>-0.00884102619380147</v>
      </c>
      <c r="AB147" s="16">
        <f t="shared" si="325"/>
        <v>0.0489162638857885</v>
      </c>
      <c r="AC147" s="16">
        <f t="shared" si="326"/>
        <v>-0.242835390015866</v>
      </c>
      <c r="AD147" s="16">
        <f t="shared" si="327"/>
        <v>0.00963217098598115</v>
      </c>
      <c r="AE147" s="16">
        <f t="shared" si="328"/>
        <v>-0.040902710248758</v>
      </c>
      <c r="AF147" s="16">
        <f t="shared" si="329"/>
        <v>0.082325663470695</v>
      </c>
      <c r="AG147" s="16">
        <f t="shared" si="330"/>
        <v>-0.0736376579618962</v>
      </c>
      <c r="AH147" s="16">
        <f t="shared" si="331"/>
        <v>9.37900320454111e-5</v>
      </c>
      <c r="AI147" s="16">
        <f t="shared" si="332"/>
        <v>-0.0258997020445048</v>
      </c>
      <c r="AJ147" s="16">
        <f t="shared" si="333"/>
        <v>-0.0299702998055185</v>
      </c>
      <c r="AK147" s="16">
        <f t="shared" si="334"/>
        <v>-0.0421114853501268</v>
      </c>
      <c r="AL147" s="16">
        <f t="shared" si="335"/>
        <v>0.0286703231596294</v>
      </c>
      <c r="AM147" s="16">
        <f t="shared" si="336"/>
        <v>-0.253920447781074</v>
      </c>
      <c r="AN147" s="16">
        <f t="shared" si="337"/>
        <v>-0.0301578285888577</v>
      </c>
      <c r="AO147" s="16">
        <f t="shared" si="338"/>
        <v>0.0433447319745585</v>
      </c>
      <c r="AQ147" s="4">
        <f t="shared" si="339"/>
        <v>-0.0272525129537924</v>
      </c>
    </row>
    <row r="148" ht="14" spans="1:43">
      <c r="A148" s="32">
        <v>43191</v>
      </c>
      <c r="B148" s="16">
        <f t="shared" ref="B148:E148" si="356">LN(B20/B19)</f>
        <v>-0.0130387723374617</v>
      </c>
      <c r="C148" s="16">
        <f t="shared" si="341"/>
        <v>0.0863883801721581</v>
      </c>
      <c r="D148" s="16">
        <f t="shared" si="356"/>
        <v>0.0467138046190814</v>
      </c>
      <c r="E148" s="16">
        <f t="shared" si="356"/>
        <v>0.019875118773248</v>
      </c>
      <c r="F148" s="16">
        <f t="shared" si="303"/>
        <v>0.023192132913167</v>
      </c>
      <c r="G148" s="16">
        <f t="shared" si="304"/>
        <v>0.0194564932214493</v>
      </c>
      <c r="H148" s="16">
        <f t="shared" si="305"/>
        <v>0.0188965505462496</v>
      </c>
      <c r="I148" s="16">
        <f t="shared" si="306"/>
        <v>0.0160675168050324</v>
      </c>
      <c r="J148" s="16">
        <f t="shared" si="307"/>
        <v>0.10285485193476</v>
      </c>
      <c r="K148" s="16">
        <f t="shared" si="308"/>
        <v>0.115547906902458</v>
      </c>
      <c r="L148" s="16">
        <f t="shared" si="309"/>
        <v>-0.125713106368191</v>
      </c>
      <c r="M148" s="16">
        <f t="shared" si="310"/>
        <v>-0.0396715712354856</v>
      </c>
      <c r="N148" s="16">
        <f t="shared" si="311"/>
        <v>0.0243531689574247</v>
      </c>
      <c r="O148" s="16">
        <f t="shared" si="312"/>
        <v>-0.00175052668896918</v>
      </c>
      <c r="P148" s="16">
        <f t="shared" si="313"/>
        <v>0.0326814471929515</v>
      </c>
      <c r="Q148" s="16">
        <f t="shared" si="314"/>
        <v>0.07236610757733</v>
      </c>
      <c r="R148" s="16">
        <f t="shared" si="315"/>
        <v>-0.0293125915928641</v>
      </c>
      <c r="S148" s="16">
        <f t="shared" si="316"/>
        <v>-0.00887182841808007</v>
      </c>
      <c r="T148" s="16">
        <f t="shared" si="317"/>
        <v>-0.0122467008690984</v>
      </c>
      <c r="U148" s="16">
        <f t="shared" si="318"/>
        <v>0.0793536069227118</v>
      </c>
      <c r="V148" s="16">
        <f t="shared" si="319"/>
        <v>-0.117367853512834</v>
      </c>
      <c r="W148" s="16">
        <f t="shared" si="320"/>
        <v>0.00416177204330435</v>
      </c>
      <c r="X148" s="16">
        <f t="shared" si="321"/>
        <v>-0.0139613220593077</v>
      </c>
      <c r="Y148" s="16">
        <f t="shared" si="322"/>
        <v>0.0648503043171675</v>
      </c>
      <c r="Z148" s="16">
        <f t="shared" si="323"/>
        <v>0.0683365973120034</v>
      </c>
      <c r="AA148" s="16">
        <f t="shared" si="324"/>
        <v>0.031947613847625</v>
      </c>
      <c r="AB148" s="16">
        <f t="shared" si="325"/>
        <v>0.0368147891105156</v>
      </c>
      <c r="AC148" s="16">
        <f t="shared" si="326"/>
        <v>-0.0903237869120315</v>
      </c>
      <c r="AD148" s="16">
        <f t="shared" si="327"/>
        <v>-0.0916084555978754</v>
      </c>
      <c r="AE148" s="16">
        <f t="shared" si="328"/>
        <v>-0.181704216517674</v>
      </c>
      <c r="AF148" s="16">
        <f t="shared" si="329"/>
        <v>0.00735255094067176</v>
      </c>
      <c r="AG148" s="16">
        <f t="shared" si="330"/>
        <v>-0.0903783121546154</v>
      </c>
      <c r="AH148" s="16">
        <f t="shared" si="331"/>
        <v>0.0810085260068617</v>
      </c>
      <c r="AI148" s="16">
        <f t="shared" si="332"/>
        <v>0.0311818377853979</v>
      </c>
      <c r="AJ148" s="16">
        <f t="shared" si="333"/>
        <v>0.00155864759765654</v>
      </c>
      <c r="AK148" s="16">
        <f t="shared" si="334"/>
        <v>0.0489608271957017</v>
      </c>
      <c r="AL148" s="16">
        <f t="shared" si="335"/>
        <v>0.0926443077095923</v>
      </c>
      <c r="AM148" s="16">
        <f t="shared" si="336"/>
        <v>0.0992546622242665</v>
      </c>
      <c r="AN148" s="16">
        <f t="shared" si="337"/>
        <v>0.017763604116938</v>
      </c>
      <c r="AO148" s="16">
        <f t="shared" si="338"/>
        <v>0.0143373639305064</v>
      </c>
      <c r="AQ148" s="4">
        <f t="shared" si="339"/>
        <v>0.00271511174712893</v>
      </c>
    </row>
    <row r="149" ht="14" spans="1:43">
      <c r="A149" s="32">
        <v>43221</v>
      </c>
      <c r="B149" s="16">
        <f t="shared" ref="B149:E149" si="357">LN(B21/B20)</f>
        <v>-0.0558429181226468</v>
      </c>
      <c r="C149" s="16">
        <f t="shared" si="341"/>
        <v>0.0111487964373113</v>
      </c>
      <c r="D149" s="16">
        <f t="shared" si="357"/>
        <v>0.0478087194533757</v>
      </c>
      <c r="E149" s="16">
        <f t="shared" si="357"/>
        <v>0.0347576446358283</v>
      </c>
      <c r="F149" s="16">
        <f t="shared" si="303"/>
        <v>0.0290331940155953</v>
      </c>
      <c r="G149" s="16">
        <f t="shared" si="304"/>
        <v>-0.00993787059476167</v>
      </c>
      <c r="H149" s="16">
        <f t="shared" si="305"/>
        <v>0.122911971504637</v>
      </c>
      <c r="I149" s="16">
        <f t="shared" si="306"/>
        <v>0.0681664379120889</v>
      </c>
      <c r="J149" s="16">
        <f t="shared" si="307"/>
        <v>0.021385974494664</v>
      </c>
      <c r="K149" s="16">
        <f t="shared" si="308"/>
        <v>-0.0891367803679492</v>
      </c>
      <c r="L149" s="16">
        <f t="shared" si="309"/>
        <v>-0.0111259425833644</v>
      </c>
      <c r="M149" s="16">
        <f t="shared" si="310"/>
        <v>0.0828023860772159</v>
      </c>
      <c r="N149" s="16">
        <f t="shared" si="311"/>
        <v>0.0553271035325873</v>
      </c>
      <c r="O149" s="16">
        <f t="shared" si="312"/>
        <v>0.0268628430910436</v>
      </c>
      <c r="P149" s="16">
        <f t="shared" si="313"/>
        <v>0.0999630274133432</v>
      </c>
      <c r="Q149" s="16">
        <f t="shared" si="314"/>
        <v>-0.290685435983574</v>
      </c>
      <c r="R149" s="16">
        <f t="shared" si="315"/>
        <v>0.114526749564004</v>
      </c>
      <c r="S149" s="16">
        <f t="shared" si="316"/>
        <v>0.0670536063944344</v>
      </c>
      <c r="T149" s="16">
        <f t="shared" si="317"/>
        <v>0.0941521277154521</v>
      </c>
      <c r="U149" s="16">
        <f t="shared" si="318"/>
        <v>0.232656978352083</v>
      </c>
      <c r="V149" s="16">
        <f t="shared" si="319"/>
        <v>0.058497970936441</v>
      </c>
      <c r="W149" s="16">
        <f t="shared" si="320"/>
        <v>0.0667593288683102</v>
      </c>
      <c r="X149" s="16">
        <f t="shared" si="321"/>
        <v>0.0248172630809694</v>
      </c>
      <c r="Y149" s="16">
        <f t="shared" si="322"/>
        <v>0.0771094751574786</v>
      </c>
      <c r="Z149" s="16">
        <f t="shared" si="323"/>
        <v>-0.0453893920799329</v>
      </c>
      <c r="AA149" s="16">
        <f t="shared" si="324"/>
        <v>0.0486577973406687</v>
      </c>
      <c r="AB149" s="16">
        <f t="shared" si="325"/>
        <v>0.0395417069544124</v>
      </c>
      <c r="AC149" s="16">
        <f t="shared" si="326"/>
        <v>-0.0290635270150248</v>
      </c>
      <c r="AD149" s="16">
        <f t="shared" si="327"/>
        <v>0.0206191783137785</v>
      </c>
      <c r="AE149" s="16">
        <f t="shared" si="328"/>
        <v>-0.030459241347564</v>
      </c>
      <c r="AF149" s="16">
        <f t="shared" si="329"/>
        <v>-0.0124048791327961</v>
      </c>
      <c r="AG149" s="16">
        <f t="shared" si="330"/>
        <v>0.0193224020659156</v>
      </c>
      <c r="AH149" s="16">
        <f t="shared" si="331"/>
        <v>-0.158503582103139</v>
      </c>
      <c r="AI149" s="16">
        <f t="shared" si="332"/>
        <v>0.00773706092372923</v>
      </c>
      <c r="AJ149" s="16">
        <f t="shared" si="333"/>
        <v>0.390820746697863</v>
      </c>
      <c r="AK149" s="16">
        <f t="shared" si="334"/>
        <v>0.127969880963377</v>
      </c>
      <c r="AL149" s="16">
        <f t="shared" si="335"/>
        <v>-0.00649513122016906</v>
      </c>
      <c r="AM149" s="16">
        <f t="shared" si="336"/>
        <v>-0.0316982106143612</v>
      </c>
      <c r="AN149" s="16">
        <f t="shared" si="337"/>
        <v>0.0754194664291951</v>
      </c>
      <c r="AO149" s="16">
        <f t="shared" si="338"/>
        <v>0.0405340558851944</v>
      </c>
      <c r="AQ149" s="4">
        <f t="shared" si="339"/>
        <v>0.0213782024026376</v>
      </c>
    </row>
    <row r="150" ht="14" spans="1:43">
      <c r="A150" s="32">
        <v>43252</v>
      </c>
      <c r="B150" s="16">
        <f t="shared" ref="B150:E150" si="358">LN(B22/B21)</f>
        <v>0.0216657120462716</v>
      </c>
      <c r="C150" s="16">
        <f t="shared" si="341"/>
        <v>0.0194630698359088</v>
      </c>
      <c r="D150" s="16">
        <f t="shared" si="358"/>
        <v>0.0102762531963853</v>
      </c>
      <c r="E150" s="16">
        <f t="shared" si="358"/>
        <v>-0.065684672960948</v>
      </c>
      <c r="F150" s="16">
        <f t="shared" si="303"/>
        <v>0.0349823897109283</v>
      </c>
      <c r="G150" s="16">
        <f t="shared" si="304"/>
        <v>-0.00544056791836666</v>
      </c>
      <c r="H150" s="16">
        <f t="shared" si="305"/>
        <v>0.0248322621418402</v>
      </c>
      <c r="I150" s="16">
        <f t="shared" si="306"/>
        <v>0.0456726097816372</v>
      </c>
      <c r="J150" s="16">
        <f t="shared" si="307"/>
        <v>0.0157338338690732</v>
      </c>
      <c r="K150" s="16">
        <f t="shared" si="308"/>
        <v>0.0150308172361567</v>
      </c>
      <c r="L150" s="16">
        <f t="shared" si="309"/>
        <v>0.138666858265827</v>
      </c>
      <c r="M150" s="16">
        <f t="shared" si="310"/>
        <v>0.0110459597671345</v>
      </c>
      <c r="N150" s="16">
        <f t="shared" si="311"/>
        <v>0.00199535813875751</v>
      </c>
      <c r="O150" s="16">
        <f t="shared" si="312"/>
        <v>-0.0586199042262917</v>
      </c>
      <c r="P150" s="16">
        <f t="shared" si="313"/>
        <v>0.0202255903508953</v>
      </c>
      <c r="Q150" s="16">
        <f t="shared" si="314"/>
        <v>-0.00627593237257972</v>
      </c>
      <c r="R150" s="16">
        <f t="shared" si="315"/>
        <v>-0.0619264011456213</v>
      </c>
      <c r="S150" s="16">
        <f t="shared" si="316"/>
        <v>-0.0990019764483045</v>
      </c>
      <c r="T150" s="16">
        <f t="shared" si="317"/>
        <v>-0.0381278065082212</v>
      </c>
      <c r="U150" s="16">
        <f t="shared" si="318"/>
        <v>0.0878000923346266</v>
      </c>
      <c r="V150" s="16">
        <f t="shared" si="319"/>
        <v>-0.0375285090737002</v>
      </c>
      <c r="W150" s="16">
        <f t="shared" si="320"/>
        <v>-0.0293668269759263</v>
      </c>
      <c r="X150" s="16">
        <f t="shared" si="321"/>
        <v>0.0295192487459078</v>
      </c>
      <c r="Y150" s="16">
        <f t="shared" si="322"/>
        <v>0.265878371987286</v>
      </c>
      <c r="Z150" s="16">
        <f t="shared" si="323"/>
        <v>-0.0209670760678568</v>
      </c>
      <c r="AA150" s="16">
        <f t="shared" si="324"/>
        <v>0.10413417136214</v>
      </c>
      <c r="AB150" s="16">
        <f t="shared" si="325"/>
        <v>0.115146420164764</v>
      </c>
      <c r="AC150" s="16">
        <f t="shared" si="326"/>
        <v>0.10068236350323</v>
      </c>
      <c r="AD150" s="16">
        <f t="shared" si="327"/>
        <v>0.0646923320797379</v>
      </c>
      <c r="AE150" s="16">
        <f t="shared" si="328"/>
        <v>0.0149741515958961</v>
      </c>
      <c r="AF150" s="16">
        <f t="shared" si="329"/>
        <v>0.00894813111066264</v>
      </c>
      <c r="AG150" s="16">
        <f t="shared" si="330"/>
        <v>0.0994337500391962</v>
      </c>
      <c r="AH150" s="16">
        <f t="shared" si="331"/>
        <v>0.0988941143316571</v>
      </c>
      <c r="AI150" s="16">
        <f t="shared" si="332"/>
        <v>-0.0927203892283002</v>
      </c>
      <c r="AJ150" s="16">
        <f t="shared" si="333"/>
        <v>-0.0358853824791794</v>
      </c>
      <c r="AK150" s="16">
        <f t="shared" si="334"/>
        <v>-0.00300752106395544</v>
      </c>
      <c r="AL150" s="16">
        <f t="shared" si="335"/>
        <v>0.0256730637968709</v>
      </c>
      <c r="AM150" s="16">
        <f t="shared" si="336"/>
        <v>0.18604330113482</v>
      </c>
      <c r="AN150" s="16">
        <f t="shared" si="337"/>
        <v>0.0274831608375084</v>
      </c>
      <c r="AO150" s="16">
        <f t="shared" si="338"/>
        <v>-0.04244675329051</v>
      </c>
      <c r="AQ150" s="4">
        <f t="shared" si="339"/>
        <v>0.00483071349680186</v>
      </c>
    </row>
    <row r="151" ht="14" spans="1:43">
      <c r="A151" s="32">
        <v>43282</v>
      </c>
      <c r="B151" s="16">
        <f t="shared" ref="B151:E151" si="359">LN(B23/B22)</f>
        <v>0.0881372079473565</v>
      </c>
      <c r="C151" s="16">
        <f t="shared" si="341"/>
        <v>0.0894380636308503</v>
      </c>
      <c r="D151" s="16">
        <f t="shared" si="359"/>
        <v>0.146672728375903</v>
      </c>
      <c r="E151" s="16">
        <f t="shared" si="359"/>
        <v>-0.00454337458921206</v>
      </c>
      <c r="F151" s="16">
        <f t="shared" si="303"/>
        <v>0.0627797235322802</v>
      </c>
      <c r="G151" s="16">
        <f t="shared" si="304"/>
        <v>0.124975068474239</v>
      </c>
      <c r="H151" s="16">
        <f t="shared" si="305"/>
        <v>0.149603341561399</v>
      </c>
      <c r="I151" s="16">
        <f t="shared" si="306"/>
        <v>0.11675265988617</v>
      </c>
      <c r="J151" s="16">
        <f t="shared" si="307"/>
        <v>0.0351446737354434</v>
      </c>
      <c r="K151" s="16">
        <f t="shared" si="308"/>
        <v>0.00789419523555982</v>
      </c>
      <c r="L151" s="16">
        <f t="shared" si="309"/>
        <v>0.0645946806087449</v>
      </c>
      <c r="M151" s="16">
        <f t="shared" si="310"/>
        <v>0.021016838201761</v>
      </c>
      <c r="N151" s="16">
        <f t="shared" si="311"/>
        <v>0.0730210517940844</v>
      </c>
      <c r="O151" s="16">
        <f t="shared" si="312"/>
        <v>0.0789595308411335</v>
      </c>
      <c r="P151" s="16">
        <f t="shared" si="313"/>
        <v>0.00765920450828555</v>
      </c>
      <c r="Q151" s="16">
        <f t="shared" si="314"/>
        <v>-0.0175548570167541</v>
      </c>
      <c r="R151" s="16">
        <f t="shared" si="315"/>
        <v>0.0330484862835813</v>
      </c>
      <c r="S151" s="16">
        <f t="shared" si="316"/>
        <v>-0.0329240049409506</v>
      </c>
      <c r="T151" s="16">
        <f t="shared" si="317"/>
        <v>-0.0766170136080394</v>
      </c>
      <c r="U151" s="16">
        <f t="shared" si="318"/>
        <v>0.201155749737107</v>
      </c>
      <c r="V151" s="16">
        <f t="shared" si="319"/>
        <v>0.0992584566562047</v>
      </c>
      <c r="W151" s="16">
        <f t="shared" si="320"/>
        <v>0.0200333881772097</v>
      </c>
      <c r="X151" s="16">
        <f t="shared" si="321"/>
        <v>0.022847957578322</v>
      </c>
      <c r="Y151" s="16">
        <f t="shared" si="322"/>
        <v>-0.0320316367467712</v>
      </c>
      <c r="Z151" s="16">
        <f t="shared" si="323"/>
        <v>0.0117421799051816</v>
      </c>
      <c r="AA151" s="16">
        <f t="shared" si="324"/>
        <v>-0.0325933223172456</v>
      </c>
      <c r="AB151" s="16">
        <f t="shared" si="325"/>
        <v>-0.0696367195396948</v>
      </c>
      <c r="AC151" s="16">
        <f t="shared" si="326"/>
        <v>-0.152299586743903</v>
      </c>
      <c r="AD151" s="16">
        <f t="shared" si="327"/>
        <v>0.0354889777564548</v>
      </c>
      <c r="AE151" s="16">
        <f t="shared" si="328"/>
        <v>0.08063873311325</v>
      </c>
      <c r="AF151" s="16">
        <f t="shared" si="329"/>
        <v>0.0308156758589357</v>
      </c>
      <c r="AG151" s="16">
        <f t="shared" si="330"/>
        <v>-0.041770864453136</v>
      </c>
      <c r="AH151" s="16">
        <f t="shared" si="331"/>
        <v>0.0153910626439727</v>
      </c>
      <c r="AI151" s="16">
        <f t="shared" si="332"/>
        <v>0.0822267167771866</v>
      </c>
      <c r="AJ151" s="16">
        <f t="shared" si="333"/>
        <v>0.018428474993129</v>
      </c>
      <c r="AK151" s="16">
        <f t="shared" si="334"/>
        <v>-0.0707155247983976</v>
      </c>
      <c r="AL151" s="16">
        <f t="shared" si="335"/>
        <v>-0.00126641066163246</v>
      </c>
      <c r="AM151" s="16">
        <f t="shared" si="336"/>
        <v>-0.140021489103046</v>
      </c>
      <c r="AN151" s="16">
        <f t="shared" si="337"/>
        <v>-0.0178610924099731</v>
      </c>
      <c r="AO151" s="16">
        <f t="shared" si="338"/>
        <v>-0.0976616394072615</v>
      </c>
      <c r="AQ151" s="4">
        <f t="shared" si="339"/>
        <v>0.0353879799767993</v>
      </c>
    </row>
    <row r="152" ht="14" spans="1:43">
      <c r="A152" s="32">
        <v>43313</v>
      </c>
      <c r="B152" s="16">
        <f t="shared" ref="B152:E152" si="360">LN(B24/B23)</f>
        <v>0.0162419913245231</v>
      </c>
      <c r="C152" s="16">
        <f t="shared" si="341"/>
        <v>0.0404635553596949</v>
      </c>
      <c r="D152" s="16">
        <f t="shared" si="360"/>
        <v>0.0669328574127237</v>
      </c>
      <c r="E152" s="16">
        <f t="shared" si="360"/>
        <v>0.0500153301656424</v>
      </c>
      <c r="F152" s="16">
        <f t="shared" si="303"/>
        <v>0.0164501795979525</v>
      </c>
      <c r="G152" s="16">
        <f t="shared" si="304"/>
        <v>0.0192983471531799</v>
      </c>
      <c r="H152" s="16">
        <f t="shared" si="305"/>
        <v>0.0897847914632146</v>
      </c>
      <c r="I152" s="16">
        <f t="shared" si="306"/>
        <v>0.0365192794998641</v>
      </c>
      <c r="J152" s="16">
        <f t="shared" si="307"/>
        <v>0.0584430880673411</v>
      </c>
      <c r="K152" s="16">
        <f t="shared" si="308"/>
        <v>0.156017266999298</v>
      </c>
      <c r="L152" s="16">
        <f t="shared" si="309"/>
        <v>0.100088634386377</v>
      </c>
      <c r="M152" s="16">
        <f t="shared" si="310"/>
        <v>0.0518552884857892</v>
      </c>
      <c r="N152" s="16">
        <f t="shared" si="311"/>
        <v>0.0572473034870528</v>
      </c>
      <c r="O152" s="16">
        <f t="shared" si="312"/>
        <v>0.0226146835478804</v>
      </c>
      <c r="P152" s="16">
        <f t="shared" si="313"/>
        <v>0.286250432980343</v>
      </c>
      <c r="Q152" s="16">
        <f t="shared" si="314"/>
        <v>-0.00297214168602607</v>
      </c>
      <c r="R152" s="16">
        <f t="shared" si="315"/>
        <v>0.136528746678308</v>
      </c>
      <c r="S152" s="16">
        <f t="shared" si="316"/>
        <v>0.00683739516737973</v>
      </c>
      <c r="T152" s="16">
        <f t="shared" si="317"/>
        <v>-0.0124324528921702</v>
      </c>
      <c r="U152" s="16">
        <f t="shared" si="318"/>
        <v>0.317113747295611</v>
      </c>
      <c r="V152" s="16">
        <f t="shared" si="319"/>
        <v>0.0768888173773778</v>
      </c>
      <c r="W152" s="16">
        <f t="shared" si="320"/>
        <v>0.109693012709333</v>
      </c>
      <c r="X152" s="16">
        <f t="shared" si="321"/>
        <v>0.0658106478887209</v>
      </c>
      <c r="Y152" s="16">
        <f t="shared" si="322"/>
        <v>0.175322080805134</v>
      </c>
      <c r="Z152" s="16">
        <f t="shared" si="323"/>
        <v>0.0293362980859312</v>
      </c>
      <c r="AA152" s="16">
        <f t="shared" si="324"/>
        <v>0.0665192433819194</v>
      </c>
      <c r="AB152" s="16">
        <f t="shared" si="325"/>
        <v>0.128110355589961</v>
      </c>
      <c r="AC152" s="16">
        <f t="shared" si="326"/>
        <v>-0.18087004188913</v>
      </c>
      <c r="AD152" s="16">
        <f t="shared" si="327"/>
        <v>0.0343059757632351</v>
      </c>
      <c r="AE152" s="16">
        <f t="shared" si="328"/>
        <v>-0.102532168863231</v>
      </c>
      <c r="AF152" s="16">
        <f t="shared" si="329"/>
        <v>-0.00245880484703454</v>
      </c>
      <c r="AG152" s="16">
        <f t="shared" si="330"/>
        <v>-0.0334150605404587</v>
      </c>
      <c r="AH152" s="16">
        <f t="shared" si="331"/>
        <v>-0.187144667216987</v>
      </c>
      <c r="AI152" s="16">
        <f t="shared" si="332"/>
        <v>-0.00783956547690379</v>
      </c>
      <c r="AJ152" s="16">
        <f t="shared" si="333"/>
        <v>0.0327552649797191</v>
      </c>
      <c r="AK152" s="16">
        <f t="shared" si="334"/>
        <v>0.130158253084037</v>
      </c>
      <c r="AL152" s="16">
        <f t="shared" si="335"/>
        <v>-0.0638479500397369</v>
      </c>
      <c r="AM152" s="16">
        <f t="shared" si="336"/>
        <v>0.0117373804978221</v>
      </c>
      <c r="AN152" s="16">
        <f t="shared" si="337"/>
        <v>-0.0116032871901241</v>
      </c>
      <c r="AO152" s="16">
        <f t="shared" si="338"/>
        <v>-0.0434325761898329</v>
      </c>
      <c r="AQ152" s="4">
        <f t="shared" si="339"/>
        <v>0.0298143216631948</v>
      </c>
    </row>
    <row r="153" ht="14" spans="1:43">
      <c r="A153" s="32">
        <v>43344</v>
      </c>
      <c r="B153" s="16">
        <f t="shared" ref="B153:E153" si="361">LN(B25/B24)</f>
        <v>0.0321514479177173</v>
      </c>
      <c r="C153" s="16">
        <f t="shared" si="341"/>
        <v>0.0336877414564174</v>
      </c>
      <c r="D153" s="16">
        <f t="shared" si="361"/>
        <v>0.0211010063438425</v>
      </c>
      <c r="E153" s="16">
        <f t="shared" si="361"/>
        <v>-0.0146938238163987</v>
      </c>
      <c r="F153" s="16">
        <f t="shared" si="303"/>
        <v>0.0435349326334597</v>
      </c>
      <c r="G153" s="16">
        <f t="shared" si="304"/>
        <v>0.0206140815804175</v>
      </c>
      <c r="H153" s="16">
        <f t="shared" si="305"/>
        <v>0.0338865208907547</v>
      </c>
      <c r="I153" s="16">
        <f t="shared" si="306"/>
        <v>-0.0173917427118692</v>
      </c>
      <c r="J153" s="16">
        <f t="shared" si="307"/>
        <v>-0.00905505627456</v>
      </c>
      <c r="K153" s="16">
        <f t="shared" si="308"/>
        <v>0.0452141888390301</v>
      </c>
      <c r="L153" s="16">
        <f t="shared" si="309"/>
        <v>-0.00668486313816375</v>
      </c>
      <c r="M153" s="16">
        <f t="shared" si="310"/>
        <v>0.0380908665333784</v>
      </c>
      <c r="N153" s="16">
        <f t="shared" si="311"/>
        <v>0.0218382762610439</v>
      </c>
      <c r="O153" s="16">
        <f t="shared" si="312"/>
        <v>0.0595339571222768</v>
      </c>
      <c r="P153" s="16">
        <f t="shared" si="313"/>
        <v>0.0967634950281829</v>
      </c>
      <c r="Q153" s="16">
        <f t="shared" si="314"/>
        <v>0.0579386566890853</v>
      </c>
      <c r="R153" s="16">
        <f t="shared" si="315"/>
        <v>0.00175724485187367</v>
      </c>
      <c r="S153" s="16">
        <f t="shared" si="316"/>
        <v>-0.0177573883999362</v>
      </c>
      <c r="T153" s="16">
        <f t="shared" si="317"/>
        <v>0.119086181412641</v>
      </c>
      <c r="U153" s="16">
        <f t="shared" si="318"/>
        <v>0.204779697783266</v>
      </c>
      <c r="V153" s="16">
        <f t="shared" si="319"/>
        <v>0.0345580317077898</v>
      </c>
      <c r="W153" s="16">
        <f t="shared" si="320"/>
        <v>-0.00372458911663123</v>
      </c>
      <c r="X153" s="16">
        <f t="shared" si="321"/>
        <v>0.0444342969698133</v>
      </c>
      <c r="Y153" s="16">
        <f t="shared" si="322"/>
        <v>0.053775321487128</v>
      </c>
      <c r="Z153" s="16">
        <f t="shared" si="323"/>
        <v>0.0369366302487316</v>
      </c>
      <c r="AA153" s="16">
        <f t="shared" si="324"/>
        <v>0.0326565426031602</v>
      </c>
      <c r="AB153" s="16">
        <f t="shared" si="325"/>
        <v>-0.0126737724997974</v>
      </c>
      <c r="AC153" s="16">
        <f t="shared" si="326"/>
        <v>0.155287575029415</v>
      </c>
      <c r="AD153" s="16">
        <f t="shared" si="327"/>
        <v>0.00336986837355971</v>
      </c>
      <c r="AE153" s="16">
        <f t="shared" si="328"/>
        <v>0.0457961650940736</v>
      </c>
      <c r="AF153" s="16">
        <f t="shared" si="329"/>
        <v>-0.0260027177913559</v>
      </c>
      <c r="AG153" s="16">
        <f t="shared" si="330"/>
        <v>-0.0451229706224471</v>
      </c>
      <c r="AH153" s="16">
        <f t="shared" si="331"/>
        <v>-0.0573376769351463</v>
      </c>
      <c r="AI153" s="16">
        <f t="shared" si="332"/>
        <v>-0.0130380966792137</v>
      </c>
      <c r="AJ153" s="16">
        <f t="shared" si="333"/>
        <v>0.0109869814200743</v>
      </c>
      <c r="AK153" s="16">
        <f t="shared" si="334"/>
        <v>-0.147549995795906</v>
      </c>
      <c r="AL153" s="16">
        <f t="shared" si="335"/>
        <v>0.0412804391819592</v>
      </c>
      <c r="AM153" s="16">
        <f t="shared" si="336"/>
        <v>-0.130439030746755</v>
      </c>
      <c r="AN153" s="16">
        <f t="shared" si="337"/>
        <v>0.0434392031123416</v>
      </c>
      <c r="AO153" s="16">
        <f t="shared" si="338"/>
        <v>-0.0245607049404987</v>
      </c>
      <c r="AQ153" s="4">
        <f t="shared" si="339"/>
        <v>0.0042851067203219</v>
      </c>
    </row>
    <row r="154" ht="14" spans="1:43">
      <c r="A154" s="32">
        <v>43374</v>
      </c>
      <c r="B154" s="16">
        <f t="shared" ref="B154:E154" si="362">LN(B26/B25)</f>
        <v>0.0130862048203306</v>
      </c>
      <c r="C154" s="16">
        <f t="shared" si="341"/>
        <v>0.0437465540059209</v>
      </c>
      <c r="D154" s="16">
        <f t="shared" si="362"/>
        <v>0.0104756040232124</v>
      </c>
      <c r="E154" s="16">
        <f t="shared" si="362"/>
        <v>-0.194662373996502</v>
      </c>
      <c r="F154" s="16">
        <f t="shared" si="303"/>
        <v>-0.0725167988927567</v>
      </c>
      <c r="G154" s="16">
        <f t="shared" si="304"/>
        <v>-0.0429749005088676</v>
      </c>
      <c r="H154" s="16">
        <f t="shared" si="305"/>
        <v>-0.165250211415099</v>
      </c>
      <c r="I154" s="16">
        <f t="shared" si="306"/>
        <v>-0.162947839953976</v>
      </c>
      <c r="J154" s="16">
        <f t="shared" si="307"/>
        <v>-0.0144175315231217</v>
      </c>
      <c r="K154" s="16">
        <f t="shared" si="308"/>
        <v>-0.083829068524262</v>
      </c>
      <c r="L154" s="16">
        <f t="shared" si="309"/>
        <v>-0.174806061467484</v>
      </c>
      <c r="M154" s="16">
        <f t="shared" si="310"/>
        <v>-0.0851997505306296</v>
      </c>
      <c r="N154" s="16">
        <f t="shared" si="311"/>
        <v>-0.0683868361057249</v>
      </c>
      <c r="O154" s="16">
        <f t="shared" si="312"/>
        <v>-0.0541963065254648</v>
      </c>
      <c r="P154" s="16">
        <f t="shared" si="313"/>
        <v>-0.115807098135201</v>
      </c>
      <c r="Q154" s="16">
        <f t="shared" si="314"/>
        <v>-0.159097127222075</v>
      </c>
      <c r="R154" s="16">
        <f t="shared" si="315"/>
        <v>-0.28737342054066</v>
      </c>
      <c r="S154" s="16">
        <f t="shared" si="316"/>
        <v>-0.00870771041545732</v>
      </c>
      <c r="T154" s="16">
        <f t="shared" si="317"/>
        <v>-0.0914480956377813</v>
      </c>
      <c r="U154" s="16">
        <f t="shared" si="318"/>
        <v>-0.528461613190974</v>
      </c>
      <c r="V154" s="16">
        <f t="shared" si="319"/>
        <v>0.0628454725635598</v>
      </c>
      <c r="W154" s="16">
        <f t="shared" si="320"/>
        <v>-0.0775071187479386</v>
      </c>
      <c r="X154" s="16">
        <f t="shared" si="321"/>
        <v>-0.0596858558622865</v>
      </c>
      <c r="Y154" s="16">
        <f t="shared" si="322"/>
        <v>-0.18927443820799</v>
      </c>
      <c r="Z154" s="16">
        <f t="shared" si="323"/>
        <v>0.0558560185058641</v>
      </c>
      <c r="AA154" s="16">
        <f t="shared" si="324"/>
        <v>-0.121330278362599</v>
      </c>
      <c r="AB154" s="16">
        <f t="shared" si="325"/>
        <v>-0.0904367419409701</v>
      </c>
      <c r="AC154" s="16">
        <f t="shared" si="326"/>
        <v>0.0676280218179748</v>
      </c>
      <c r="AD154" s="16">
        <f t="shared" si="327"/>
        <v>0.0634266794760997</v>
      </c>
      <c r="AE154" s="16">
        <f t="shared" si="328"/>
        <v>0.0911057635316634</v>
      </c>
      <c r="AF154" s="16">
        <f t="shared" si="329"/>
        <v>-0.0368730104765106</v>
      </c>
      <c r="AG154" s="16">
        <f t="shared" si="330"/>
        <v>-0.00254354877899794</v>
      </c>
      <c r="AH154" s="16">
        <f t="shared" si="331"/>
        <v>-0.245560672054958</v>
      </c>
      <c r="AI154" s="16">
        <f t="shared" si="332"/>
        <v>-0.0861094744444119</v>
      </c>
      <c r="AJ154" s="16">
        <f t="shared" si="333"/>
        <v>-0.268438402421313</v>
      </c>
      <c r="AK154" s="16">
        <f t="shared" si="334"/>
        <v>0.00481296050500903</v>
      </c>
      <c r="AL154" s="16">
        <f t="shared" si="335"/>
        <v>-0.0909445935513872</v>
      </c>
      <c r="AM154" s="16">
        <f t="shared" si="336"/>
        <v>0.24217051011309</v>
      </c>
      <c r="AN154" s="16">
        <f t="shared" si="337"/>
        <v>-0.156210166743818</v>
      </c>
      <c r="AO154" s="16">
        <f t="shared" si="338"/>
        <v>0.0319176310879786</v>
      </c>
      <c r="AQ154" s="4">
        <f t="shared" si="339"/>
        <v>-0.0719293490556602</v>
      </c>
    </row>
    <row r="155" ht="14" spans="1:43">
      <c r="A155" s="32">
        <v>43405</v>
      </c>
      <c r="B155" s="16">
        <f t="shared" ref="B155:E155" si="363">LN(B27/B26)</f>
        <v>0.0481810492634864</v>
      </c>
      <c r="C155" s="16">
        <f t="shared" si="341"/>
        <v>0.0749615522351413</v>
      </c>
      <c r="D155" s="16">
        <f t="shared" si="363"/>
        <v>0.0898966949666424</v>
      </c>
      <c r="E155" s="16">
        <f t="shared" si="363"/>
        <v>0.202019925184582</v>
      </c>
      <c r="F155" s="16">
        <f t="shared" si="303"/>
        <v>0.0771376326249716</v>
      </c>
      <c r="G155" s="16">
        <f t="shared" si="304"/>
        <v>0.0658351572961592</v>
      </c>
      <c r="H155" s="16">
        <f t="shared" si="305"/>
        <v>0.0812903992973577</v>
      </c>
      <c r="I155" s="16">
        <f t="shared" si="306"/>
        <v>-0.0402093215977278</v>
      </c>
      <c r="J155" s="16">
        <f t="shared" si="307"/>
        <v>0.0737741673907661</v>
      </c>
      <c r="K155" s="16">
        <f t="shared" si="308"/>
        <v>0.109343344664113</v>
      </c>
      <c r="L155" s="16">
        <f t="shared" si="309"/>
        <v>0.0749687702234609</v>
      </c>
      <c r="M155" s="16">
        <f t="shared" si="310"/>
        <v>0.0539375330166844</v>
      </c>
      <c r="N155" s="16">
        <f t="shared" si="311"/>
        <v>0.0374866802676018</v>
      </c>
      <c r="O155" s="16">
        <f t="shared" si="312"/>
        <v>0.00237868644959386</v>
      </c>
      <c r="P155" s="16">
        <f t="shared" si="313"/>
        <v>-0.107011373260667</v>
      </c>
      <c r="Q155" s="16">
        <f t="shared" si="314"/>
        <v>0.197359420583772</v>
      </c>
      <c r="R155" s="16">
        <f t="shared" si="315"/>
        <v>-0.254667491850027</v>
      </c>
      <c r="S155" s="16">
        <f t="shared" si="316"/>
        <v>0.0505356642129596</v>
      </c>
      <c r="T155" s="16">
        <f t="shared" si="317"/>
        <v>0.060422131228807</v>
      </c>
      <c r="U155" s="16">
        <f t="shared" si="318"/>
        <v>0.156736178975863</v>
      </c>
      <c r="V155" s="16">
        <f t="shared" si="319"/>
        <v>0.0799976586682036</v>
      </c>
      <c r="W155" s="16">
        <f t="shared" si="320"/>
        <v>0.0230962192366394</v>
      </c>
      <c r="X155" s="16">
        <f t="shared" si="321"/>
        <v>-0.048376006484659</v>
      </c>
      <c r="Y155" s="16">
        <f t="shared" si="322"/>
        <v>0.239749959618251</v>
      </c>
      <c r="Z155" s="16">
        <f t="shared" si="323"/>
        <v>0.0635664951465493</v>
      </c>
      <c r="AA155" s="16">
        <f t="shared" si="324"/>
        <v>0.00106541701453803</v>
      </c>
      <c r="AB155" s="16">
        <f t="shared" si="325"/>
        <v>0.0312418242878213</v>
      </c>
      <c r="AC155" s="16">
        <f t="shared" si="326"/>
        <v>0.0210597565596599</v>
      </c>
      <c r="AD155" s="16">
        <f t="shared" si="327"/>
        <v>0.0724685023620911</v>
      </c>
      <c r="AE155" s="16">
        <f t="shared" si="328"/>
        <v>-0.0176409601415132</v>
      </c>
      <c r="AF155" s="16">
        <f t="shared" si="329"/>
        <v>0.0244256937078336</v>
      </c>
      <c r="AG155" s="16">
        <f t="shared" si="330"/>
        <v>-0.0726117788300547</v>
      </c>
      <c r="AH155" s="16">
        <f t="shared" si="331"/>
        <v>0.38767606479443</v>
      </c>
      <c r="AI155" s="16">
        <f t="shared" si="332"/>
        <v>0.0385499165909631</v>
      </c>
      <c r="AJ155" s="16">
        <f t="shared" si="333"/>
        <v>0.0812026713194767</v>
      </c>
      <c r="AK155" s="16">
        <f t="shared" si="334"/>
        <v>-0.0305807122539203</v>
      </c>
      <c r="AL155" s="16">
        <f t="shared" si="335"/>
        <v>0.0632503553253973</v>
      </c>
      <c r="AM155" s="16">
        <f t="shared" si="336"/>
        <v>0.0382716087992023</v>
      </c>
      <c r="AN155" s="16">
        <f t="shared" si="337"/>
        <v>-0.0662761528639914</v>
      </c>
      <c r="AO155" s="16">
        <f t="shared" si="338"/>
        <v>0.00303632526197083</v>
      </c>
      <c r="AQ155" s="4">
        <f t="shared" si="339"/>
        <v>0.0177017767592948</v>
      </c>
    </row>
    <row r="156" ht="14" spans="1:43">
      <c r="A156" s="32">
        <v>43435</v>
      </c>
      <c r="B156" s="16">
        <f t="shared" ref="B156:E156" si="364">LN(B28/B27)</f>
        <v>-0.123204806295347</v>
      </c>
      <c r="C156" s="16">
        <f t="shared" si="341"/>
        <v>-0.0376291748513718</v>
      </c>
      <c r="D156" s="16">
        <f t="shared" si="364"/>
        <v>-0.0198984629937735</v>
      </c>
      <c r="E156" s="16">
        <f t="shared" si="364"/>
        <v>-0.0223112058707047</v>
      </c>
      <c r="F156" s="16">
        <f t="shared" si="303"/>
        <v>-0.0604756084002899</v>
      </c>
      <c r="G156" s="16">
        <f t="shared" si="304"/>
        <v>-0.108951497435158</v>
      </c>
      <c r="H156" s="16">
        <f t="shared" si="305"/>
        <v>-0.118016396216174</v>
      </c>
      <c r="I156" s="16">
        <f t="shared" si="306"/>
        <v>-0.0910886358568806</v>
      </c>
      <c r="J156" s="16">
        <f t="shared" si="307"/>
        <v>-0.118509613013983</v>
      </c>
      <c r="K156" s="16">
        <f t="shared" si="308"/>
        <v>-0.202167908808676</v>
      </c>
      <c r="L156" s="16">
        <f t="shared" si="309"/>
        <v>0.0212414128559118</v>
      </c>
      <c r="M156" s="16">
        <f t="shared" si="310"/>
        <v>0.0219655374235744</v>
      </c>
      <c r="N156" s="16">
        <f t="shared" si="311"/>
        <v>-0.0834793711101889</v>
      </c>
      <c r="O156" s="16">
        <f t="shared" si="312"/>
        <v>-0.0769200282226561</v>
      </c>
      <c r="P156" s="16">
        <f t="shared" si="313"/>
        <v>-0.0472812814372776</v>
      </c>
      <c r="Q156" s="16">
        <f t="shared" si="314"/>
        <v>-0.153646568796048</v>
      </c>
      <c r="R156" s="16">
        <f t="shared" si="315"/>
        <v>-0.201283028351965</v>
      </c>
      <c r="S156" s="16">
        <f t="shared" si="316"/>
        <v>-0.0431964442108723</v>
      </c>
      <c r="T156" s="16">
        <f t="shared" si="317"/>
        <v>0.0686472621994262</v>
      </c>
      <c r="U156" s="16">
        <f t="shared" si="318"/>
        <v>-0.143100843640673</v>
      </c>
      <c r="V156" s="16">
        <f t="shared" si="319"/>
        <v>-0.0781815255370131</v>
      </c>
      <c r="W156" s="16">
        <f t="shared" si="320"/>
        <v>-0.0397498108381346</v>
      </c>
      <c r="X156" s="16">
        <f t="shared" si="321"/>
        <v>-0.117022964217477</v>
      </c>
      <c r="Y156" s="16">
        <f t="shared" si="322"/>
        <v>-0.127522202647808</v>
      </c>
      <c r="Z156" s="16">
        <f t="shared" si="323"/>
        <v>-0.0536385639539898</v>
      </c>
      <c r="AA156" s="16">
        <f t="shared" si="324"/>
        <v>-0.0101677945230246</v>
      </c>
      <c r="AB156" s="16">
        <f t="shared" si="325"/>
        <v>-0.11178380599824</v>
      </c>
      <c r="AC156" s="16">
        <f t="shared" si="326"/>
        <v>-0.233181999956316</v>
      </c>
      <c r="AD156" s="16">
        <f t="shared" si="327"/>
        <v>-0.0277871094171688</v>
      </c>
      <c r="AE156" s="16">
        <f t="shared" si="328"/>
        <v>-0.259386817960668</v>
      </c>
      <c r="AF156" s="16">
        <f t="shared" si="329"/>
        <v>-0.0297890683734326</v>
      </c>
      <c r="AG156" s="16">
        <f t="shared" si="330"/>
        <v>-0.160101665907597</v>
      </c>
      <c r="AH156" s="16">
        <f t="shared" si="331"/>
        <v>-0.220310378998416</v>
      </c>
      <c r="AI156" s="16">
        <f t="shared" si="332"/>
        <v>-0.350270410981019</v>
      </c>
      <c r="AJ156" s="16">
        <f t="shared" si="333"/>
        <v>-0.159449959932947</v>
      </c>
      <c r="AK156" s="16">
        <f t="shared" si="334"/>
        <v>-0.181331947608788</v>
      </c>
      <c r="AL156" s="16">
        <f t="shared" si="335"/>
        <v>-0.0794742926860118</v>
      </c>
      <c r="AM156" s="16">
        <f t="shared" si="336"/>
        <v>-0.0517619345585895</v>
      </c>
      <c r="AN156" s="16">
        <f t="shared" si="337"/>
        <v>-0.0972827054488948</v>
      </c>
      <c r="AO156" s="16">
        <f t="shared" si="338"/>
        <v>-0.207067308018699</v>
      </c>
      <c r="AQ156" s="4">
        <f t="shared" si="339"/>
        <v>-0.0962652871180761</v>
      </c>
    </row>
    <row r="157" ht="14" spans="1:43">
      <c r="A157" s="32">
        <v>43466</v>
      </c>
      <c r="B157" s="16">
        <f t="shared" ref="B157:E157" si="365">LN(B29/B28)</f>
        <v>0.0307508951655324</v>
      </c>
      <c r="C157" s="16">
        <f t="shared" si="341"/>
        <v>-0.0192689310833147</v>
      </c>
      <c r="D157" s="16">
        <f t="shared" si="365"/>
        <v>0.0351504776759678</v>
      </c>
      <c r="E157" s="16">
        <f t="shared" si="365"/>
        <v>-0.13820677185656</v>
      </c>
      <c r="F157" s="16">
        <f t="shared" si="303"/>
        <v>-0.0396089246422197</v>
      </c>
      <c r="G157" s="16">
        <f t="shared" si="304"/>
        <v>0.0939856428351267</v>
      </c>
      <c r="H157" s="16">
        <f t="shared" si="305"/>
        <v>-0.0695097923178646</v>
      </c>
      <c r="I157" s="16">
        <f t="shared" si="306"/>
        <v>0.134404573273899</v>
      </c>
      <c r="J157" s="16">
        <f t="shared" si="307"/>
        <v>0.0812275755136985</v>
      </c>
      <c r="K157" s="16">
        <f t="shared" si="308"/>
        <v>0.000457784265793123</v>
      </c>
      <c r="L157" s="16">
        <f t="shared" si="309"/>
        <v>0.139168087013881</v>
      </c>
      <c r="M157" s="16">
        <f t="shared" si="310"/>
        <v>-0.179392315595126</v>
      </c>
      <c r="N157" s="16">
        <f t="shared" si="311"/>
        <v>0.0277685547188629</v>
      </c>
      <c r="O157" s="16">
        <f t="shared" si="312"/>
        <v>0.106622288909527</v>
      </c>
      <c r="P157" s="16">
        <f t="shared" si="313"/>
        <v>0.0835860463677128</v>
      </c>
      <c r="Q157" s="16">
        <f t="shared" si="314"/>
        <v>0.106312891617588</v>
      </c>
      <c r="R157" s="16">
        <f t="shared" si="315"/>
        <v>0.0739740675960252</v>
      </c>
      <c r="S157" s="16">
        <f t="shared" si="316"/>
        <v>0.00404058700969618</v>
      </c>
      <c r="T157" s="16">
        <f t="shared" si="317"/>
        <v>0.0639660253022431</v>
      </c>
      <c r="U157" s="16">
        <f t="shared" si="318"/>
        <v>0.279386655330163</v>
      </c>
      <c r="V157" s="16">
        <f t="shared" si="319"/>
        <v>0.273313920669991</v>
      </c>
      <c r="W157" s="16">
        <f t="shared" si="320"/>
        <v>0.211654041587503</v>
      </c>
      <c r="X157" s="16">
        <f t="shared" si="321"/>
        <v>0.0810544095844624</v>
      </c>
      <c r="Y157" s="16">
        <f t="shared" si="322"/>
        <v>0.138746904178357</v>
      </c>
      <c r="Z157" s="16">
        <f t="shared" si="323"/>
        <v>0.00679127083768319</v>
      </c>
      <c r="AA157" s="16">
        <f t="shared" si="324"/>
        <v>0.0992994293420193</v>
      </c>
      <c r="AB157" s="16">
        <f t="shared" si="325"/>
        <v>0.13683989083547</v>
      </c>
      <c r="AC157" s="16">
        <f t="shared" si="326"/>
        <v>0.0811511572728616</v>
      </c>
      <c r="AD157" s="16">
        <f t="shared" si="327"/>
        <v>0.0483134239024509</v>
      </c>
      <c r="AE157" s="16">
        <f t="shared" si="328"/>
        <v>0.154339919188744</v>
      </c>
      <c r="AF157" s="16">
        <f t="shared" si="329"/>
        <v>0.00667611998532987</v>
      </c>
      <c r="AG157" s="16">
        <f t="shared" si="330"/>
        <v>0.110320057112863</v>
      </c>
      <c r="AH157" s="16">
        <f t="shared" si="331"/>
        <v>0.131848416206174</v>
      </c>
      <c r="AI157" s="16">
        <f t="shared" si="332"/>
        <v>0.0989403739764752</v>
      </c>
      <c r="AJ157" s="16">
        <f t="shared" si="333"/>
        <v>0.0935572869992461</v>
      </c>
      <c r="AK157" s="16">
        <f t="shared" si="334"/>
        <v>0.182905865865122</v>
      </c>
      <c r="AL157" s="16">
        <f t="shared" si="335"/>
        <v>0.0524650580935854</v>
      </c>
      <c r="AM157" s="16">
        <f t="shared" si="336"/>
        <v>-0.080628816901998</v>
      </c>
      <c r="AN157" s="16">
        <f t="shared" si="337"/>
        <v>0.239105408977422</v>
      </c>
      <c r="AO157" s="16">
        <f t="shared" si="338"/>
        <v>0.140046085728238</v>
      </c>
      <c r="AQ157" s="4">
        <f t="shared" si="339"/>
        <v>0.0757421548283756</v>
      </c>
    </row>
    <row r="158" ht="14" spans="1:43">
      <c r="A158" s="32">
        <v>43497</v>
      </c>
      <c r="B158" s="16">
        <f t="shared" ref="B158:E158" si="366">LN(B30/B29)</f>
        <v>0.026398997776358</v>
      </c>
      <c r="C158" s="16">
        <f t="shared" si="341"/>
        <v>0.088164199984055</v>
      </c>
      <c r="D158" s="16">
        <f t="shared" si="366"/>
        <v>0.0522571970093146</v>
      </c>
      <c r="E158" s="16">
        <f t="shared" si="366"/>
        <v>-0.000973495663315404</v>
      </c>
      <c r="F158" s="16">
        <f t="shared" si="303"/>
        <v>0.0157483931287285</v>
      </c>
      <c r="G158" s="16">
        <f t="shared" si="304"/>
        <v>0.0550371522384162</v>
      </c>
      <c r="H158" s="16">
        <f t="shared" si="305"/>
        <v>0.111428774364762</v>
      </c>
      <c r="I158" s="16">
        <f t="shared" si="306"/>
        <v>-0.00825846462399849</v>
      </c>
      <c r="J158" s="16">
        <f t="shared" si="307"/>
        <v>-0.109315848964177</v>
      </c>
      <c r="K158" s="16">
        <f t="shared" si="308"/>
        <v>-0.117713548117825</v>
      </c>
      <c r="L158" s="16">
        <f t="shared" si="309"/>
        <v>0.00341856822969337</v>
      </c>
      <c r="M158" s="16">
        <f t="shared" si="310"/>
        <v>0.0735149306499124</v>
      </c>
      <c r="N158" s="16">
        <f t="shared" si="311"/>
        <v>0.0702497266074901</v>
      </c>
      <c r="O158" s="16">
        <f t="shared" si="312"/>
        <v>0.0410796313530352</v>
      </c>
      <c r="P158" s="16">
        <f t="shared" si="313"/>
        <v>0.125286052531121</v>
      </c>
      <c r="Q158" s="16">
        <f t="shared" si="314"/>
        <v>0.0675957299160143</v>
      </c>
      <c r="R158" s="16">
        <f t="shared" si="315"/>
        <v>0.0705636430822279</v>
      </c>
      <c r="S158" s="16">
        <f t="shared" si="316"/>
        <v>0.116839377431832</v>
      </c>
      <c r="T158" s="16">
        <f t="shared" si="317"/>
        <v>0.0261596390008862</v>
      </c>
      <c r="U158" s="16">
        <f t="shared" si="318"/>
        <v>-0.0367166816655975</v>
      </c>
      <c r="V158" s="16">
        <f t="shared" si="319"/>
        <v>0.112748220574931</v>
      </c>
      <c r="W158" s="16">
        <f t="shared" si="320"/>
        <v>0.0845844122331537</v>
      </c>
      <c r="X158" s="16">
        <f t="shared" si="321"/>
        <v>-0.11026473309831</v>
      </c>
      <c r="Y158" s="16">
        <f t="shared" si="322"/>
        <v>0.265526266891232</v>
      </c>
      <c r="Z158" s="16">
        <f t="shared" si="323"/>
        <v>0.0279097031998675</v>
      </c>
      <c r="AA158" s="16">
        <f t="shared" si="324"/>
        <v>0.045947971126173</v>
      </c>
      <c r="AB158" s="16">
        <f t="shared" si="325"/>
        <v>-0.122809008273987</v>
      </c>
      <c r="AC158" s="16">
        <f t="shared" si="326"/>
        <v>-0.0630075425418062</v>
      </c>
      <c r="AD158" s="16">
        <f t="shared" si="327"/>
        <v>0.0292102874030309</v>
      </c>
      <c r="AE158" s="16">
        <f t="shared" si="328"/>
        <v>0.125055770379452</v>
      </c>
      <c r="AF158" s="16">
        <f t="shared" si="329"/>
        <v>0.0119059994924092</v>
      </c>
      <c r="AG158" s="16">
        <f t="shared" si="330"/>
        <v>-0.370201489524667</v>
      </c>
      <c r="AH158" s="16">
        <f t="shared" si="331"/>
        <v>-0.267611106736696</v>
      </c>
      <c r="AI158" s="16">
        <f t="shared" si="332"/>
        <v>0.019131761384742</v>
      </c>
      <c r="AJ158" s="16">
        <f t="shared" si="333"/>
        <v>-0.0770565666982392</v>
      </c>
      <c r="AK158" s="16">
        <f t="shared" si="334"/>
        <v>-0.0349789918133986</v>
      </c>
      <c r="AL158" s="16">
        <f t="shared" si="335"/>
        <v>0.0421013836195275</v>
      </c>
      <c r="AM158" s="16">
        <f t="shared" si="336"/>
        <v>0.0410330334186338</v>
      </c>
      <c r="AN158" s="16">
        <f t="shared" si="337"/>
        <v>0.0153996380517592</v>
      </c>
      <c r="AO158" s="16">
        <f t="shared" si="338"/>
        <v>0.0138567322103566</v>
      </c>
      <c r="AQ158" s="4">
        <f t="shared" si="339"/>
        <v>0.0292955929866935</v>
      </c>
    </row>
    <row r="159" ht="14" spans="1:43">
      <c r="A159" s="32">
        <v>43525</v>
      </c>
      <c r="B159" s="16">
        <f t="shared" ref="B159:E159" si="367">LN(B31/B30)</f>
        <v>0.0294022245591028</v>
      </c>
      <c r="C159" s="16">
        <f t="shared" si="341"/>
        <v>0.022863379535331</v>
      </c>
      <c r="D159" s="16">
        <f t="shared" si="367"/>
        <v>0.0325102944031651</v>
      </c>
      <c r="E159" s="16">
        <f t="shared" si="367"/>
        <v>0.016893553728739</v>
      </c>
      <c r="F159" s="16">
        <f t="shared" si="303"/>
        <v>0.00717645472057472</v>
      </c>
      <c r="G159" s="16">
        <f t="shared" si="304"/>
        <v>0.0530793877640019</v>
      </c>
      <c r="H159" s="16">
        <f t="shared" si="305"/>
        <v>-0.0066724656501007</v>
      </c>
      <c r="I159" s="16">
        <f t="shared" si="306"/>
        <v>0.0578584378167226</v>
      </c>
      <c r="J159" s="16">
        <f t="shared" si="307"/>
        <v>0.02059352137751</v>
      </c>
      <c r="K159" s="16">
        <f t="shared" si="308"/>
        <v>-0.0698208308732665</v>
      </c>
      <c r="L159" s="16">
        <f t="shared" si="309"/>
        <v>-0.0478364472118283</v>
      </c>
      <c r="M159" s="16">
        <f t="shared" si="310"/>
        <v>0.0188188577605151</v>
      </c>
      <c r="N159" s="16">
        <f t="shared" si="311"/>
        <v>0.0556714490178567</v>
      </c>
      <c r="O159" s="16">
        <f t="shared" si="312"/>
        <v>0.0298583069805898</v>
      </c>
      <c r="P159" s="16">
        <f t="shared" si="313"/>
        <v>-0.0330318154606817</v>
      </c>
      <c r="Q159" s="16">
        <f t="shared" si="314"/>
        <v>0.025246775979159</v>
      </c>
      <c r="R159" s="16">
        <f t="shared" si="315"/>
        <v>0.152900254228553</v>
      </c>
      <c r="S159" s="16">
        <f t="shared" si="316"/>
        <v>0.0201947209900473</v>
      </c>
      <c r="T159" s="16">
        <f t="shared" si="317"/>
        <v>0.088067305026969</v>
      </c>
      <c r="U159" s="16">
        <f t="shared" si="318"/>
        <v>0.081186255737318</v>
      </c>
      <c r="V159" s="16">
        <f t="shared" si="319"/>
        <v>0.0150931706652561</v>
      </c>
      <c r="W159" s="16">
        <f t="shared" si="320"/>
        <v>0.0290185611640813</v>
      </c>
      <c r="X159" s="16">
        <f t="shared" si="321"/>
        <v>-0.0153222854225581</v>
      </c>
      <c r="Y159" s="16">
        <f t="shared" si="322"/>
        <v>-0.0585046592168197</v>
      </c>
      <c r="Z159" s="16">
        <f t="shared" si="323"/>
        <v>0.0387783574088217</v>
      </c>
      <c r="AA159" s="16">
        <f t="shared" si="324"/>
        <v>-0.0178890138598767</v>
      </c>
      <c r="AB159" s="16">
        <f t="shared" si="325"/>
        <v>0.0281329895544987</v>
      </c>
      <c r="AC159" s="16">
        <f t="shared" si="326"/>
        <v>0.0646014971495507</v>
      </c>
      <c r="AD159" s="16">
        <f t="shared" si="327"/>
        <v>0.0543074055721073</v>
      </c>
      <c r="AE159" s="16">
        <f t="shared" si="328"/>
        <v>0.0165406528417485</v>
      </c>
      <c r="AF159" s="16">
        <f t="shared" si="329"/>
        <v>0.0890845120595129</v>
      </c>
      <c r="AG159" s="16">
        <f t="shared" si="330"/>
        <v>-0.0164034837291912</v>
      </c>
      <c r="AH159" s="16">
        <f t="shared" si="331"/>
        <v>-0.0428716451575554</v>
      </c>
      <c r="AI159" s="16">
        <f t="shared" si="332"/>
        <v>0.00226281360435467</v>
      </c>
      <c r="AJ159" s="16">
        <f t="shared" si="333"/>
        <v>-0.121139610536984</v>
      </c>
      <c r="AK159" s="16">
        <f t="shared" si="334"/>
        <v>-0.0508280699083524</v>
      </c>
      <c r="AL159" s="16">
        <f t="shared" si="335"/>
        <v>0.03966308258679</v>
      </c>
      <c r="AM159" s="16">
        <f t="shared" si="336"/>
        <v>-0.133656447336122</v>
      </c>
      <c r="AN159" s="16">
        <f t="shared" si="337"/>
        <v>0.0422863062627478</v>
      </c>
      <c r="AO159" s="16">
        <f t="shared" si="338"/>
        <v>0.00113944995365931</v>
      </c>
      <c r="AQ159" s="4">
        <f t="shared" si="339"/>
        <v>0.0177655418370199</v>
      </c>
    </row>
    <row r="160" ht="14" spans="1:43">
      <c r="A160" s="32">
        <v>43556</v>
      </c>
      <c r="B160" s="16">
        <f t="shared" ref="B160:E160" si="368">LN(B32/B31)</f>
        <v>0.0100363845433825</v>
      </c>
      <c r="C160" s="16">
        <f t="shared" si="341"/>
        <v>-0.0483530249031051</v>
      </c>
      <c r="D160" s="16">
        <f t="shared" si="368"/>
        <v>-0.103170852456601</v>
      </c>
      <c r="E160" s="16">
        <f t="shared" si="368"/>
        <v>-0.0150023847862526</v>
      </c>
      <c r="F160" s="16">
        <f t="shared" si="303"/>
        <v>-0.0577471277387113</v>
      </c>
      <c r="G160" s="16">
        <f t="shared" si="304"/>
        <v>0.0142690735758318</v>
      </c>
      <c r="H160" s="16">
        <f t="shared" si="305"/>
        <v>0.00420755731627536</v>
      </c>
      <c r="I160" s="16">
        <f t="shared" si="306"/>
        <v>0.036878630385366</v>
      </c>
      <c r="J160" s="16">
        <f t="shared" si="307"/>
        <v>-0.0552914358389026</v>
      </c>
      <c r="K160" s="16">
        <f t="shared" si="308"/>
        <v>0.00830952293479215</v>
      </c>
      <c r="L160" s="16">
        <f t="shared" si="309"/>
        <v>-0.179529685449339</v>
      </c>
      <c r="M160" s="16">
        <f t="shared" si="310"/>
        <v>0.00518025520693149</v>
      </c>
      <c r="N160" s="16">
        <f t="shared" si="311"/>
        <v>0.101963023570296</v>
      </c>
      <c r="O160" s="16">
        <f t="shared" si="312"/>
        <v>0.0297162160014856</v>
      </c>
      <c r="P160" s="16">
        <f t="shared" si="313"/>
        <v>0.10664586287849</v>
      </c>
      <c r="Q160" s="16">
        <f t="shared" si="314"/>
        <v>0.0517061057469059</v>
      </c>
      <c r="R160" s="16">
        <f t="shared" si="315"/>
        <v>0.00798741968821987</v>
      </c>
      <c r="S160" s="16">
        <f t="shared" si="316"/>
        <v>-0.0508034576969087</v>
      </c>
      <c r="T160" s="16">
        <f t="shared" si="317"/>
        <v>0.066055190051159</v>
      </c>
      <c r="U160" s="16">
        <f t="shared" si="318"/>
        <v>0.079439680458736</v>
      </c>
      <c r="V160" s="16">
        <f t="shared" si="319"/>
        <v>-0.0538747997291156</v>
      </c>
      <c r="W160" s="16">
        <f t="shared" si="320"/>
        <v>0.0966775463996916</v>
      </c>
      <c r="X160" s="16">
        <f t="shared" si="321"/>
        <v>0.0348497458566042</v>
      </c>
      <c r="Y160" s="16">
        <f t="shared" si="322"/>
        <v>0.00474919266046209</v>
      </c>
      <c r="Z160" s="16">
        <f t="shared" si="323"/>
        <v>0.039595706589704</v>
      </c>
      <c r="AA160" s="16">
        <f t="shared" si="324"/>
        <v>0.0446589554891657</v>
      </c>
      <c r="AB160" s="16">
        <f t="shared" si="325"/>
        <v>0.0498732490461291</v>
      </c>
      <c r="AC160" s="16">
        <f t="shared" si="326"/>
        <v>-0.0729371201821381</v>
      </c>
      <c r="AD160" s="16">
        <f t="shared" si="327"/>
        <v>0.0230856887811822</v>
      </c>
      <c r="AE160" s="16">
        <f t="shared" si="328"/>
        <v>-0.00833816564600551</v>
      </c>
      <c r="AF160" s="16">
        <f t="shared" si="329"/>
        <v>0.0519859917120012</v>
      </c>
      <c r="AG160" s="16">
        <f t="shared" si="330"/>
        <v>0.0301564976982472</v>
      </c>
      <c r="AH160" s="16">
        <f t="shared" si="331"/>
        <v>-0.0646250624320451</v>
      </c>
      <c r="AI160" s="16">
        <f t="shared" si="332"/>
        <v>0.0471857867083632</v>
      </c>
      <c r="AJ160" s="16">
        <f t="shared" si="333"/>
        <v>-0.00749826562542997</v>
      </c>
      <c r="AK160" s="16">
        <f t="shared" si="334"/>
        <v>0.0174719319585342</v>
      </c>
      <c r="AL160" s="16">
        <f t="shared" si="335"/>
        <v>-0.0256553154078288</v>
      </c>
      <c r="AM160" s="16">
        <f t="shared" si="336"/>
        <v>-0.159123839250625</v>
      </c>
      <c r="AN160" s="16">
        <f t="shared" si="337"/>
        <v>0.0165293770165389</v>
      </c>
      <c r="AO160" s="16">
        <f t="shared" si="338"/>
        <v>0.17412568357388</v>
      </c>
      <c r="AQ160" s="4">
        <f t="shared" si="339"/>
        <v>0.0385603364430904</v>
      </c>
    </row>
    <row r="161" ht="14" spans="1:43">
      <c r="A161" s="32">
        <v>43586</v>
      </c>
      <c r="B161" s="16">
        <f t="shared" ref="B161:E161" si="369">LN(B33/B32)</f>
        <v>-0.073836312085816</v>
      </c>
      <c r="C161" s="16">
        <f t="shared" si="341"/>
        <v>0.00633181858515881</v>
      </c>
      <c r="D161" s="16">
        <f t="shared" si="369"/>
        <v>-0.00944253403061956</v>
      </c>
      <c r="E161" s="16">
        <f t="shared" si="369"/>
        <v>-0.0211684425805426</v>
      </c>
      <c r="F161" s="16">
        <f t="shared" si="303"/>
        <v>-0.0729762755788712</v>
      </c>
      <c r="G161" s="16">
        <f t="shared" si="304"/>
        <v>-0.038466771350121</v>
      </c>
      <c r="H161" s="16">
        <f t="shared" si="305"/>
        <v>-0.016448642811084</v>
      </c>
      <c r="I161" s="16">
        <f t="shared" si="306"/>
        <v>0.0738031227361946</v>
      </c>
      <c r="J161" s="16">
        <f t="shared" si="307"/>
        <v>0.0367717641334139</v>
      </c>
      <c r="K161" s="16">
        <f t="shared" si="308"/>
        <v>-0.0281168583852214</v>
      </c>
      <c r="L161" s="16">
        <f t="shared" si="309"/>
        <v>-0.12863909216985</v>
      </c>
      <c r="M161" s="16">
        <f t="shared" si="310"/>
        <v>0.087967917658604</v>
      </c>
      <c r="N161" s="16">
        <f t="shared" si="311"/>
        <v>-0.0544418715214661</v>
      </c>
      <c r="O161" s="16">
        <f t="shared" si="312"/>
        <v>-0.0848952914235564</v>
      </c>
      <c r="P161" s="16">
        <f t="shared" si="313"/>
        <v>-0.253794793339238</v>
      </c>
      <c r="Q161" s="16">
        <f t="shared" si="314"/>
        <v>-0.256639639894372</v>
      </c>
      <c r="R161" s="16">
        <f t="shared" si="315"/>
        <v>-0.289820588835104</v>
      </c>
      <c r="S161" s="16">
        <f t="shared" si="316"/>
        <v>-0.147511353109212</v>
      </c>
      <c r="T161" s="16">
        <f t="shared" si="317"/>
        <v>-0.235308850093646</v>
      </c>
      <c r="U161" s="16">
        <f t="shared" si="318"/>
        <v>-0.00799422862063075</v>
      </c>
      <c r="V161" s="16">
        <f t="shared" si="319"/>
        <v>-0.160650141711488</v>
      </c>
      <c r="W161" s="16">
        <f t="shared" si="320"/>
        <v>-0.0359216786173905</v>
      </c>
      <c r="X161" s="16">
        <f t="shared" si="321"/>
        <v>-0.0657758740624814</v>
      </c>
      <c r="Y161" s="16">
        <f t="shared" si="322"/>
        <v>-0.0805980884012911</v>
      </c>
      <c r="Z161" s="16">
        <f t="shared" si="323"/>
        <v>0.00353663667980071</v>
      </c>
      <c r="AA161" s="16">
        <f t="shared" si="324"/>
        <v>-0.129781020833114</v>
      </c>
      <c r="AB161" s="16">
        <f t="shared" si="325"/>
        <v>0.0324345884259639</v>
      </c>
      <c r="AC161" s="16">
        <f t="shared" si="326"/>
        <v>-0.132418106964136</v>
      </c>
      <c r="AD161" s="16">
        <f t="shared" si="327"/>
        <v>-0.0270678056146147</v>
      </c>
      <c r="AE161" s="16">
        <f t="shared" si="328"/>
        <v>-0.115345614911201</v>
      </c>
      <c r="AF161" s="16">
        <f t="shared" si="329"/>
        <v>0.00180766921415523</v>
      </c>
      <c r="AG161" s="16">
        <f t="shared" si="330"/>
        <v>-0.184128385975472</v>
      </c>
      <c r="AH161" s="16">
        <f t="shared" si="331"/>
        <v>-0.0690926294894331</v>
      </c>
      <c r="AI161" s="16">
        <f t="shared" si="332"/>
        <v>-0.205409006174822</v>
      </c>
      <c r="AJ161" s="16">
        <f t="shared" si="333"/>
        <v>-0.198020142936904</v>
      </c>
      <c r="AK161" s="16">
        <f t="shared" si="334"/>
        <v>-0.0648432744902118</v>
      </c>
      <c r="AL161" s="16">
        <f t="shared" si="335"/>
        <v>-0.0531092078300779</v>
      </c>
      <c r="AM161" s="16">
        <f t="shared" si="336"/>
        <v>-0.253945322713873</v>
      </c>
      <c r="AN161" s="16">
        <f t="shared" si="337"/>
        <v>0.0584435401447223</v>
      </c>
      <c r="AO161" s="16">
        <f t="shared" si="338"/>
        <v>-0.0772916014406451</v>
      </c>
      <c r="AQ161" s="4">
        <f t="shared" si="339"/>
        <v>-0.0680408888532043</v>
      </c>
    </row>
    <row r="162" ht="14" spans="1:43">
      <c r="A162" s="32">
        <v>43617</v>
      </c>
      <c r="B162" s="16">
        <f t="shared" ref="B162:E162" si="370">LN(B34/B33)</f>
        <v>0.0669635632835757</v>
      </c>
      <c r="C162" s="16">
        <f t="shared" si="341"/>
        <v>0.0569270653955452</v>
      </c>
      <c r="D162" s="16">
        <f t="shared" si="370"/>
        <v>-0.0398423677472185</v>
      </c>
      <c r="E162" s="16">
        <f t="shared" si="370"/>
        <v>-0.0534155576421473</v>
      </c>
      <c r="F162" s="16">
        <f t="shared" si="303"/>
        <v>0.108833080891815</v>
      </c>
      <c r="G162" s="16">
        <f t="shared" si="304"/>
        <v>0.0953169617873089</v>
      </c>
      <c r="H162" s="16">
        <f t="shared" si="305"/>
        <v>0.181935918816327</v>
      </c>
      <c r="I162" s="16">
        <f t="shared" si="306"/>
        <v>0.0974298838395488</v>
      </c>
      <c r="J162" s="16">
        <f t="shared" si="307"/>
        <v>0.00909841572843429</v>
      </c>
      <c r="K162" s="16">
        <f t="shared" si="308"/>
        <v>0.039683357976619</v>
      </c>
      <c r="L162" s="16">
        <f t="shared" si="309"/>
        <v>0.036703755554723</v>
      </c>
      <c r="M162" s="16">
        <f t="shared" si="310"/>
        <v>0.0703145836550349</v>
      </c>
      <c r="N162" s="16">
        <f t="shared" si="311"/>
        <v>0.0835388663096758</v>
      </c>
      <c r="O162" s="16">
        <f t="shared" si="312"/>
        <v>0.118573388249402</v>
      </c>
      <c r="P162" s="16">
        <f t="shared" si="313"/>
        <v>0.0582845271448195</v>
      </c>
      <c r="Q162" s="16">
        <f t="shared" si="314"/>
        <v>0.149946933253532</v>
      </c>
      <c r="R162" s="16">
        <f t="shared" si="315"/>
        <v>0.193732163185372</v>
      </c>
      <c r="S162" s="16">
        <f t="shared" si="316"/>
        <v>0.0894963578491049</v>
      </c>
      <c r="T162" s="16">
        <f t="shared" si="317"/>
        <v>0.134474367227962</v>
      </c>
      <c r="U162" s="16">
        <f t="shared" si="318"/>
        <v>0.102547368742963</v>
      </c>
      <c r="V162" s="16">
        <f t="shared" si="319"/>
        <v>0.145273572080397</v>
      </c>
      <c r="W162" s="16">
        <f t="shared" si="320"/>
        <v>0.0471289450569316</v>
      </c>
      <c r="X162" s="16">
        <f t="shared" si="321"/>
        <v>0.107018827106236</v>
      </c>
      <c r="Y162" s="16">
        <f t="shared" si="322"/>
        <v>-0.015200810155125</v>
      </c>
      <c r="Z162" s="16">
        <f t="shared" si="323"/>
        <v>0.0521114460751301</v>
      </c>
      <c r="AA162" s="16">
        <f t="shared" si="324"/>
        <v>0.0873788714492652</v>
      </c>
      <c r="AB162" s="16">
        <f t="shared" si="325"/>
        <v>-0.00437429548409463</v>
      </c>
      <c r="AC162" s="16">
        <f t="shared" si="326"/>
        <v>0.163538984432736</v>
      </c>
      <c r="AD162" s="16">
        <f t="shared" si="327"/>
        <v>0.0634384930317985</v>
      </c>
      <c r="AE162" s="16">
        <f t="shared" si="328"/>
        <v>0.017988586104658</v>
      </c>
      <c r="AF162" s="16">
        <f t="shared" si="329"/>
        <v>0.0249838770140721</v>
      </c>
      <c r="AG162" s="16">
        <f t="shared" si="330"/>
        <v>0.129696313531515</v>
      </c>
      <c r="AH162" s="16">
        <f t="shared" si="331"/>
        <v>0.155912672904156</v>
      </c>
      <c r="AI162" s="16">
        <f t="shared" si="332"/>
        <v>0.0622553154078186</v>
      </c>
      <c r="AJ162" s="16">
        <f t="shared" si="333"/>
        <v>0.117249940404495</v>
      </c>
      <c r="AK162" s="16">
        <f t="shared" si="334"/>
        <v>0.0746578356181525</v>
      </c>
      <c r="AL162" s="16">
        <f t="shared" si="335"/>
        <v>0.0987326979622477</v>
      </c>
      <c r="AM162" s="16">
        <f t="shared" si="336"/>
        <v>0.188012110956122</v>
      </c>
      <c r="AN162" s="16">
        <f t="shared" si="337"/>
        <v>0.12102484579245</v>
      </c>
      <c r="AO162" s="16">
        <f t="shared" si="338"/>
        <v>0.0719297208187001</v>
      </c>
      <c r="AQ162" s="4">
        <f t="shared" si="339"/>
        <v>0.0666583195342414</v>
      </c>
    </row>
    <row r="163" ht="14" spans="1:43">
      <c r="A163" s="32">
        <v>43647</v>
      </c>
      <c r="B163" s="16">
        <f t="shared" ref="B163:E163" si="371">LN(B35/B34)</f>
        <v>-0.0672601985938277</v>
      </c>
      <c r="C163" s="16">
        <f t="shared" si="341"/>
        <v>-0.00365261187043426</v>
      </c>
      <c r="D163" s="16">
        <f t="shared" si="371"/>
        <v>-0.0167475348428516</v>
      </c>
      <c r="E163" s="16">
        <f t="shared" si="371"/>
        <v>-0.0876114905275657</v>
      </c>
      <c r="F163" s="16">
        <f t="shared" si="303"/>
        <v>0.0124040390201037</v>
      </c>
      <c r="G163" s="16">
        <f t="shared" si="304"/>
        <v>-0.0553553861064316</v>
      </c>
      <c r="H163" s="16">
        <f t="shared" si="305"/>
        <v>-0.206776794327636</v>
      </c>
      <c r="I163" s="16">
        <f t="shared" si="306"/>
        <v>0.0241139819439317</v>
      </c>
      <c r="J163" s="16">
        <f t="shared" si="307"/>
        <v>0.0247021212661694</v>
      </c>
      <c r="K163" s="16">
        <f t="shared" si="308"/>
        <v>0.025010341167478</v>
      </c>
      <c r="L163" s="16">
        <f t="shared" si="309"/>
        <v>-0.0266786089353444</v>
      </c>
      <c r="M163" s="16">
        <f t="shared" si="310"/>
        <v>0.0532173281861376</v>
      </c>
      <c r="N163" s="16">
        <f t="shared" si="311"/>
        <v>0.0170968174185471</v>
      </c>
      <c r="O163" s="16">
        <f t="shared" si="312"/>
        <v>-0.0118302824909427</v>
      </c>
      <c r="P163" s="16">
        <f t="shared" si="313"/>
        <v>0.0442989573208273</v>
      </c>
      <c r="Q163" s="16">
        <f t="shared" si="314"/>
        <v>-0.0052672734162491</v>
      </c>
      <c r="R163" s="16">
        <f t="shared" si="315"/>
        <v>0.0269727071503458</v>
      </c>
      <c r="S163" s="16">
        <f t="shared" si="316"/>
        <v>0.0544740550657167</v>
      </c>
      <c r="T163" s="16">
        <f t="shared" si="317"/>
        <v>0.0169142565269363</v>
      </c>
      <c r="U163" s="16">
        <f t="shared" si="318"/>
        <v>0.00263071509824858</v>
      </c>
      <c r="V163" s="16">
        <f t="shared" si="319"/>
        <v>-0.0319673250655127</v>
      </c>
      <c r="W163" s="16">
        <f t="shared" si="320"/>
        <v>0.0102182206565154</v>
      </c>
      <c r="X163" s="16">
        <f t="shared" si="321"/>
        <v>0.0200341504170153</v>
      </c>
      <c r="Y163" s="16">
        <f t="shared" si="322"/>
        <v>0.0880699659081586</v>
      </c>
      <c r="Z163" s="16">
        <f t="shared" si="323"/>
        <v>0.0146279009569541</v>
      </c>
      <c r="AA163" s="16">
        <f t="shared" si="324"/>
        <v>0.0244747305560687</v>
      </c>
      <c r="AB163" s="16">
        <f t="shared" si="325"/>
        <v>-0.126982343959868</v>
      </c>
      <c r="AC163" s="16">
        <f t="shared" si="326"/>
        <v>-0.00576368742052427</v>
      </c>
      <c r="AD163" s="16">
        <f t="shared" si="327"/>
        <v>0.0737299907312181</v>
      </c>
      <c r="AE163" s="16">
        <f t="shared" si="328"/>
        <v>0.0776668379587004</v>
      </c>
      <c r="AF163" s="16">
        <f t="shared" si="329"/>
        <v>-0.0303077671467647</v>
      </c>
      <c r="AG163" s="16">
        <f t="shared" si="330"/>
        <v>0.0307716477528191</v>
      </c>
      <c r="AH163" s="16">
        <f t="shared" si="331"/>
        <v>-0.0831282359609884</v>
      </c>
      <c r="AI163" s="16">
        <f t="shared" si="332"/>
        <v>0.0417518978349663</v>
      </c>
      <c r="AJ163" s="16">
        <f t="shared" si="333"/>
        <v>0.062735926380352</v>
      </c>
      <c r="AK163" s="16">
        <f t="shared" si="334"/>
        <v>0.0772168621686588</v>
      </c>
      <c r="AL163" s="16">
        <f t="shared" si="335"/>
        <v>-0.0107461123957279</v>
      </c>
      <c r="AM163" s="16">
        <f t="shared" si="336"/>
        <v>0.0780924288133723</v>
      </c>
      <c r="AN163" s="16">
        <f t="shared" si="337"/>
        <v>-0.00210817319877908</v>
      </c>
      <c r="AO163" s="16">
        <f t="shared" si="338"/>
        <v>-0.0708799342895599</v>
      </c>
      <c r="AQ163" s="4">
        <f t="shared" si="339"/>
        <v>0.0130427674730105</v>
      </c>
    </row>
    <row r="164" ht="14" spans="1:43">
      <c r="A164" s="32">
        <v>43678</v>
      </c>
      <c r="B164" s="16">
        <f t="shared" ref="B164:E164" si="372">LN(B36/B35)</f>
        <v>-0.0143868002264326</v>
      </c>
      <c r="C164" s="16">
        <f t="shared" si="341"/>
        <v>0.0410774412020784</v>
      </c>
      <c r="D164" s="16">
        <f t="shared" si="372"/>
        <v>0.0362334240629064</v>
      </c>
      <c r="E164" s="16">
        <f t="shared" si="372"/>
        <v>0.00183636366290034</v>
      </c>
      <c r="F164" s="16">
        <f t="shared" ref="F164:F189" si="373">LN(G36/G35)</f>
        <v>0.111653888439619</v>
      </c>
      <c r="G164" s="16">
        <f t="shared" ref="G164:G189" si="374">LN(I36/I35)</f>
        <v>0.033221920962003</v>
      </c>
      <c r="H164" s="16">
        <f t="shared" ref="H164:H189" si="375">LN(J36/J35)</f>
        <v>-0.0621497671575399</v>
      </c>
      <c r="I164" s="16">
        <f t="shared" ref="I164:I189" si="376">LN(K36/K35)</f>
        <v>0.0268996089275204</v>
      </c>
      <c r="J164" s="16">
        <f t="shared" ref="J164:J189" si="377">LN(P36/P35)</f>
        <v>-0.0621716986259575</v>
      </c>
      <c r="K164" s="16">
        <f t="shared" ref="K164:K189" si="378">LN(Q36/Q35)</f>
        <v>0.0954594003984044</v>
      </c>
      <c r="L164" s="16">
        <f t="shared" ref="L164:L189" si="379">LN(S36/S35)</f>
        <v>-0.0494712596927355</v>
      </c>
      <c r="M164" s="16">
        <f t="shared" ref="M164:M189" si="380">LN(AB36/AB35)</f>
        <v>0.0791460016633077</v>
      </c>
      <c r="N164" s="16">
        <f t="shared" ref="N164:N189" si="381">LN(AD36/AD35)</f>
        <v>0.0116001844707205</v>
      </c>
      <c r="O164" s="16">
        <f t="shared" ref="O164:O189" si="382">LN(AF36/AF35)</f>
        <v>-0.0742580713850906</v>
      </c>
      <c r="P164" s="16">
        <f t="shared" ref="P164:P189" si="383">LN(AH36/AH35)</f>
        <v>-0.0141704045223862</v>
      </c>
      <c r="Q164" s="16">
        <f t="shared" ref="Q164:Q189" si="384">LN(AK36/AK35)</f>
        <v>0.0754652581702693</v>
      </c>
      <c r="R164" s="16">
        <f t="shared" ref="R164:R189" si="385">LN(AM36/AM35)</f>
        <v>-0.00719738072503595</v>
      </c>
      <c r="S164" s="16">
        <f t="shared" ref="S164:S189" si="386">LN(AN36/AN35)</f>
        <v>-0.0641299205388825</v>
      </c>
      <c r="T164" s="16">
        <f t="shared" ref="T164:T189" si="387">LN(AO36/AO35)</f>
        <v>-0.0256724315198635</v>
      </c>
      <c r="U164" s="16">
        <f t="shared" ref="U164:U189" si="388">LN(AR36/AR35)</f>
        <v>0.0323129889905435</v>
      </c>
      <c r="V164" s="16">
        <f t="shared" ref="V164:V189" si="389">LN(AW36/AW35)</f>
        <v>-0.0930719664628641</v>
      </c>
      <c r="W164" s="16">
        <f t="shared" ref="W164:W189" si="390">LN(BA36/BA35)</f>
        <v>-0.0576908280113481</v>
      </c>
      <c r="X164" s="16">
        <f t="shared" ref="X164:X189" si="391">LN(BE36/BE35)</f>
        <v>-0.140070723377564</v>
      </c>
      <c r="Y164" s="16">
        <f t="shared" ref="Y164:Y189" si="392">LN(BI36/BI35)</f>
        <v>-0.238669303473639</v>
      </c>
      <c r="Z164" s="16">
        <f t="shared" ref="Z164:Z189" si="393">LN(BK36/BK35)</f>
        <v>0.0338271596043</v>
      </c>
      <c r="AA164" s="16">
        <f t="shared" ref="AA164:AA189" si="394">LN(BN36/BN35)</f>
        <v>-0.0179444808784129</v>
      </c>
      <c r="AB164" s="16">
        <f t="shared" ref="AB164:AB189" si="395">LN(BV36/BV35)</f>
        <v>-0.0750930745946126</v>
      </c>
      <c r="AC164" s="16">
        <f t="shared" ref="AC164:AC189" si="396">LN(BW36/BW35)</f>
        <v>-0.452205417910474</v>
      </c>
      <c r="AD164" s="16">
        <f t="shared" ref="AD164:AD189" si="397">LN(BZ36/BZ35)</f>
        <v>0.0248384304655897</v>
      </c>
      <c r="AE164" s="16">
        <f t="shared" ref="AE164:AE189" si="398">LN(CC36/CC35)</f>
        <v>-0.14824805909415</v>
      </c>
      <c r="AF164" s="16">
        <f t="shared" ref="AF164:AF189" si="399">LN(CD36/CD35)</f>
        <v>0.0496451232847221</v>
      </c>
      <c r="AG164" s="16">
        <f t="shared" ref="AG164:AG189" si="400">LN(CK36/CK35)</f>
        <v>-0.226585874429999</v>
      </c>
      <c r="AH164" s="16">
        <f t="shared" ref="AH164:AH189" si="401">LN(CS36/CS35)</f>
        <v>0.156865508341994</v>
      </c>
      <c r="AI164" s="16">
        <f t="shared" ref="AI164:AI189" si="402">LN(CW36/CW35)</f>
        <v>-0.0724627991008886</v>
      </c>
      <c r="AJ164" s="16">
        <f t="shared" ref="AJ164:AJ189" si="403">LN(DC36/DC35)</f>
        <v>-0.0107494093012158</v>
      </c>
      <c r="AK164" s="16">
        <f t="shared" ref="AK164:AK189" si="404">LN(DF36/DF35)</f>
        <v>-0.0518156846249286</v>
      </c>
      <c r="AL164" s="16">
        <f t="shared" ref="AL164:AL189" si="405">LN(DJ36/DJ35)</f>
        <v>-0.0447693529028529</v>
      </c>
      <c r="AM164" s="16">
        <f t="shared" ref="AM164:AM189" si="406">LN(DW36/DW35)</f>
        <v>-0.0685170110499044</v>
      </c>
      <c r="AN164" s="16">
        <f t="shared" ref="AN164:AN189" si="407">LN(DX36/DX35)</f>
        <v>-0.0208900255838182</v>
      </c>
      <c r="AO164" s="16">
        <f t="shared" ref="AO164:AO189" si="408">LN(DZ36/DZ35)</f>
        <v>-0.0236923457202893</v>
      </c>
      <c r="AQ164" s="4">
        <f t="shared" ref="AQ164:AQ189" si="409">LN(EA36/EA35)</f>
        <v>-0.0182573077148751</v>
      </c>
    </row>
    <row r="165" ht="14" spans="1:43">
      <c r="A165" s="32">
        <v>43709</v>
      </c>
      <c r="B165" s="16">
        <f t="shared" ref="B165:E165" si="410">LN(B37/B36)</f>
        <v>0.0153806708965165</v>
      </c>
      <c r="C165" s="16">
        <f t="shared" si="341"/>
        <v>-0.0268403498778155</v>
      </c>
      <c r="D165" s="16">
        <f t="shared" si="410"/>
        <v>-0.00455212871835536</v>
      </c>
      <c r="E165" s="16">
        <f t="shared" si="410"/>
        <v>0.141334615964745</v>
      </c>
      <c r="F165" s="16">
        <f t="shared" si="373"/>
        <v>-0.0681251137833668</v>
      </c>
      <c r="G165" s="16">
        <f t="shared" si="374"/>
        <v>0.0145594099980117</v>
      </c>
      <c r="H165" s="16">
        <f t="shared" si="375"/>
        <v>0.0781872215540472</v>
      </c>
      <c r="I165" s="16">
        <f t="shared" si="376"/>
        <v>-0.0634392888796355</v>
      </c>
      <c r="J165" s="16">
        <f t="shared" si="377"/>
        <v>-0.0739502024770942</v>
      </c>
      <c r="K165" s="16">
        <f t="shared" si="378"/>
        <v>0.0346837096120118</v>
      </c>
      <c r="L165" s="16">
        <f t="shared" si="379"/>
        <v>-0.0445928140313422</v>
      </c>
      <c r="M165" s="16">
        <f t="shared" si="380"/>
        <v>-0.0276477138125481</v>
      </c>
      <c r="N165" s="16">
        <f t="shared" si="381"/>
        <v>0.0117755452091295</v>
      </c>
      <c r="O165" s="16">
        <f t="shared" si="382"/>
        <v>0.0554817337847797</v>
      </c>
      <c r="P165" s="16">
        <f t="shared" si="383"/>
        <v>-0.0310400705384854</v>
      </c>
      <c r="Q165" s="16">
        <f t="shared" si="384"/>
        <v>0.0194043635688609</v>
      </c>
      <c r="R165" s="16">
        <f t="shared" si="385"/>
        <v>0.0394039336790333</v>
      </c>
      <c r="S165" s="16">
        <f t="shared" si="386"/>
        <v>0.0900601593299663</v>
      </c>
      <c r="T165" s="16">
        <f t="shared" si="387"/>
        <v>-0.0235193803018675</v>
      </c>
      <c r="U165" s="16">
        <f t="shared" si="388"/>
        <v>-0.0814480402128855</v>
      </c>
      <c r="V165" s="16">
        <f t="shared" si="389"/>
        <v>-0.078197541878408</v>
      </c>
      <c r="W165" s="16">
        <f t="shared" si="390"/>
        <v>-0.0309900887995216</v>
      </c>
      <c r="X165" s="16">
        <f t="shared" si="391"/>
        <v>0.0338650104572613</v>
      </c>
      <c r="Y165" s="16">
        <f t="shared" si="392"/>
        <v>0.0679188593168703</v>
      </c>
      <c r="Z165" s="16">
        <f t="shared" si="393"/>
        <v>-0.00979505778451213</v>
      </c>
      <c r="AA165" s="16">
        <f t="shared" si="394"/>
        <v>0.10827176083476</v>
      </c>
      <c r="AB165" s="16">
        <f t="shared" si="395"/>
        <v>0.0753383084876659</v>
      </c>
      <c r="AC165" s="16">
        <f t="shared" si="396"/>
        <v>0.185919714105688</v>
      </c>
      <c r="AD165" s="16">
        <f t="shared" si="397"/>
        <v>0.0339351081889599</v>
      </c>
      <c r="AE165" s="16">
        <f t="shared" si="398"/>
        <v>0.051896873263734</v>
      </c>
      <c r="AF165" s="16">
        <f t="shared" si="399"/>
        <v>-0.0422194013816729</v>
      </c>
      <c r="AG165" s="16">
        <f t="shared" si="400"/>
        <v>0.106098291549311</v>
      </c>
      <c r="AH165" s="16">
        <f t="shared" si="401"/>
        <v>0.134435529032324</v>
      </c>
      <c r="AI165" s="16">
        <f t="shared" si="402"/>
        <v>-0.0857910003258703</v>
      </c>
      <c r="AJ165" s="16">
        <f t="shared" si="403"/>
        <v>0.0308475721998958</v>
      </c>
      <c r="AK165" s="16">
        <f t="shared" si="404"/>
        <v>0.0768578206570937</v>
      </c>
      <c r="AL165" s="16">
        <f t="shared" si="405"/>
        <v>0.0176746713971521</v>
      </c>
      <c r="AM165" s="16">
        <f t="shared" si="406"/>
        <v>0.0654495239820425</v>
      </c>
      <c r="AN165" s="16">
        <f t="shared" si="407"/>
        <v>-0.0234745291083516</v>
      </c>
      <c r="AO165" s="16">
        <f t="shared" si="408"/>
        <v>-0.00109110622863834</v>
      </c>
      <c r="AQ165" s="4">
        <f t="shared" si="409"/>
        <v>0.0170352405236777</v>
      </c>
    </row>
    <row r="166" ht="14" spans="1:43">
      <c r="A166" s="32">
        <v>43739</v>
      </c>
      <c r="B166" s="16">
        <f t="shared" ref="B166:E166" si="411">LN(B38/B37)</f>
        <v>0.020351149155606</v>
      </c>
      <c r="C166" s="16">
        <f t="shared" si="341"/>
        <v>0.0356588864804693</v>
      </c>
      <c r="D166" s="16">
        <f t="shared" si="411"/>
        <v>0.0187799205571365</v>
      </c>
      <c r="E166" s="16">
        <f t="shared" si="411"/>
        <v>0.049343542281305</v>
      </c>
      <c r="F166" s="16">
        <f t="shared" si="373"/>
        <v>0.0971358142510814</v>
      </c>
      <c r="G166" s="16">
        <f t="shared" si="374"/>
        <v>0.0367489248930988</v>
      </c>
      <c r="H166" s="16">
        <f t="shared" si="375"/>
        <v>-0.0290146074326672</v>
      </c>
      <c r="I166" s="16">
        <f t="shared" si="376"/>
        <v>0.046979587138519</v>
      </c>
      <c r="J166" s="16">
        <f t="shared" si="377"/>
        <v>0.155536633885842</v>
      </c>
      <c r="K166" s="16">
        <f t="shared" si="378"/>
        <v>0.0513010827482336</v>
      </c>
      <c r="L166" s="16">
        <f t="shared" si="379"/>
        <v>0.0990392083641915</v>
      </c>
      <c r="M166" s="16">
        <f t="shared" si="380"/>
        <v>0.0905828929745419</v>
      </c>
      <c r="N166" s="16">
        <f t="shared" si="381"/>
        <v>0.0307387556191842</v>
      </c>
      <c r="O166" s="16">
        <f t="shared" si="382"/>
        <v>-0.00986128268082118</v>
      </c>
      <c r="P166" s="16">
        <f t="shared" si="383"/>
        <v>0.0606552745667552</v>
      </c>
      <c r="Q166" s="16">
        <f t="shared" si="384"/>
        <v>-0.0322540337847954</v>
      </c>
      <c r="R166" s="16">
        <f t="shared" si="385"/>
        <v>0.143946704703769</v>
      </c>
      <c r="S166" s="16">
        <f t="shared" si="386"/>
        <v>0.0926070242933313</v>
      </c>
      <c r="T166" s="16">
        <f t="shared" si="387"/>
        <v>0.0681656772230717</v>
      </c>
      <c r="U166" s="16">
        <f t="shared" si="388"/>
        <v>0.157348635862575</v>
      </c>
      <c r="V166" s="16">
        <f t="shared" si="389"/>
        <v>-0.0553077062948749</v>
      </c>
      <c r="W166" s="16">
        <f t="shared" si="390"/>
        <v>-0.0263031268146224</v>
      </c>
      <c r="X166" s="16">
        <f t="shared" si="391"/>
        <v>-0.0770226702202544</v>
      </c>
      <c r="Y166" s="16">
        <f t="shared" si="392"/>
        <v>-0.238976193334445</v>
      </c>
      <c r="Z166" s="16">
        <f t="shared" si="393"/>
        <v>-0.0876088971233811</v>
      </c>
      <c r="AA166" s="16">
        <f t="shared" si="394"/>
        <v>-0.0476463290948531</v>
      </c>
      <c r="AB166" s="16">
        <f t="shared" si="395"/>
        <v>0.107433840073358</v>
      </c>
      <c r="AC166" s="16">
        <f t="shared" si="396"/>
        <v>-0.139455818891903</v>
      </c>
      <c r="AD166" s="16">
        <f t="shared" si="397"/>
        <v>0.0010443785820817</v>
      </c>
      <c r="AE166" s="16">
        <f t="shared" si="398"/>
        <v>0.086438256217241</v>
      </c>
      <c r="AF166" s="16">
        <f t="shared" si="399"/>
        <v>0.000166639916336672</v>
      </c>
      <c r="AG166" s="16">
        <f t="shared" si="400"/>
        <v>0.146115124013318</v>
      </c>
      <c r="AH166" s="16">
        <f t="shared" si="401"/>
        <v>0.0132667598661183</v>
      </c>
      <c r="AI166" s="16">
        <f t="shared" si="402"/>
        <v>0.0515179578370169</v>
      </c>
      <c r="AJ166" s="16">
        <f t="shared" si="403"/>
        <v>-0.0525907517295674</v>
      </c>
      <c r="AK166" s="16">
        <f t="shared" si="404"/>
        <v>-0.0151682214731714</v>
      </c>
      <c r="AL166" s="16">
        <f t="shared" si="405"/>
        <v>-0.0209594486297754</v>
      </c>
      <c r="AM166" s="16">
        <f t="shared" si="406"/>
        <v>0.268061269451564</v>
      </c>
      <c r="AN166" s="16">
        <f t="shared" si="407"/>
        <v>0.0383864372507326</v>
      </c>
      <c r="AO166" s="16">
        <f t="shared" si="408"/>
        <v>-0.0642473603192684</v>
      </c>
      <c r="AQ166" s="4">
        <f t="shared" si="409"/>
        <v>0.020225819582931</v>
      </c>
    </row>
    <row r="167" ht="14" spans="1:43">
      <c r="A167" s="32">
        <v>43770</v>
      </c>
      <c r="B167" s="16">
        <f t="shared" ref="B167:E167" si="412">LN(B39/B38)</f>
        <v>0.0404455984797672</v>
      </c>
      <c r="C167" s="16">
        <f t="shared" si="341"/>
        <v>0.00598235576230566</v>
      </c>
      <c r="D167" s="16">
        <f t="shared" si="412"/>
        <v>0.0294018571417158</v>
      </c>
      <c r="E167" s="16">
        <f t="shared" si="412"/>
        <v>0.112354407503965</v>
      </c>
      <c r="F167" s="16">
        <f t="shared" si="373"/>
        <v>0.0959280206029665</v>
      </c>
      <c r="G167" s="16">
        <f t="shared" si="374"/>
        <v>0.0388730590286969</v>
      </c>
      <c r="H167" s="16">
        <f t="shared" si="375"/>
        <v>0.0819566634878982</v>
      </c>
      <c r="I167" s="16">
        <f t="shared" si="376"/>
        <v>-0.124763236961663</v>
      </c>
      <c r="J167" s="16">
        <f t="shared" si="377"/>
        <v>0.102122346806834</v>
      </c>
      <c r="K167" s="16">
        <f t="shared" si="378"/>
        <v>0.133075660966854</v>
      </c>
      <c r="L167" s="16">
        <f t="shared" si="379"/>
        <v>0.186296927795605</v>
      </c>
      <c r="M167" s="16">
        <f t="shared" si="380"/>
        <v>0.0112936236574745</v>
      </c>
      <c r="N167" s="16">
        <f t="shared" si="381"/>
        <v>0.0543650550320128</v>
      </c>
      <c r="O167" s="16">
        <f t="shared" si="382"/>
        <v>0.0342816025501651</v>
      </c>
      <c r="P167" s="16">
        <f t="shared" si="383"/>
        <v>0.253668475129009</v>
      </c>
      <c r="Q167" s="16">
        <f t="shared" si="384"/>
        <v>0.084604877054356</v>
      </c>
      <c r="R167" s="16">
        <f t="shared" si="385"/>
        <v>0.0752942370145392</v>
      </c>
      <c r="S167" s="16">
        <f t="shared" si="386"/>
        <v>0.0265333792889069</v>
      </c>
      <c r="T167" s="16">
        <f t="shared" si="387"/>
        <v>0.0767457060498518</v>
      </c>
      <c r="U167" s="16">
        <f t="shared" si="388"/>
        <v>0.143100843640673</v>
      </c>
      <c r="V167" s="16">
        <f t="shared" si="389"/>
        <v>0.0222328092036423</v>
      </c>
      <c r="W167" s="16">
        <f t="shared" si="390"/>
        <v>0.135147815832694</v>
      </c>
      <c r="X167" s="16">
        <f t="shared" si="391"/>
        <v>0.144979623137915</v>
      </c>
      <c r="Y167" s="16">
        <f t="shared" si="392"/>
        <v>-0.0250354450076911</v>
      </c>
      <c r="Z167" s="16">
        <f t="shared" si="393"/>
        <v>-0.0113506112073956</v>
      </c>
      <c r="AA167" s="16">
        <f t="shared" si="394"/>
        <v>0.0430573375026265</v>
      </c>
      <c r="AB167" s="16">
        <f t="shared" si="395"/>
        <v>0.0801953909088394</v>
      </c>
      <c r="AC167" s="16">
        <f t="shared" si="396"/>
        <v>0.116216916526659</v>
      </c>
      <c r="AD167" s="16">
        <f t="shared" si="397"/>
        <v>-0.0135062107170907</v>
      </c>
      <c r="AE167" s="16">
        <f t="shared" si="398"/>
        <v>0.0181301174711305</v>
      </c>
      <c r="AF167" s="16">
        <f t="shared" si="399"/>
        <v>-0.00282649706868588</v>
      </c>
      <c r="AG167" s="16">
        <f t="shared" si="400"/>
        <v>-0.0582687243029663</v>
      </c>
      <c r="AH167" s="16">
        <f t="shared" si="401"/>
        <v>0.0130924834193919</v>
      </c>
      <c r="AI167" s="16">
        <f t="shared" si="402"/>
        <v>0.0472725981949127</v>
      </c>
      <c r="AJ167" s="16">
        <f t="shared" si="403"/>
        <v>-0.00381458142512926</v>
      </c>
      <c r="AK167" s="16">
        <f t="shared" si="404"/>
        <v>0.108913149539413</v>
      </c>
      <c r="AL167" s="16">
        <f t="shared" si="405"/>
        <v>0.00848756169026411</v>
      </c>
      <c r="AM167" s="16">
        <f t="shared" si="406"/>
        <v>0.0465921814315119</v>
      </c>
      <c r="AN167" s="16">
        <f t="shared" si="407"/>
        <v>0.0496464322762459</v>
      </c>
      <c r="AO167" s="16">
        <f t="shared" si="408"/>
        <v>0.0695485870185861</v>
      </c>
      <c r="AQ167" s="4">
        <f t="shared" si="409"/>
        <v>0.0334802915793231</v>
      </c>
    </row>
    <row r="168" ht="14" spans="1:43">
      <c r="A168" s="32">
        <v>43800</v>
      </c>
      <c r="B168" s="16">
        <f t="shared" ref="B168:E168" si="413">LN(B40/B39)</f>
        <v>0.0660696821946706</v>
      </c>
      <c r="C168" s="16">
        <f t="shared" si="341"/>
        <v>0.042335164227666</v>
      </c>
      <c r="D168" s="16">
        <f t="shared" si="413"/>
        <v>0.119048022424246</v>
      </c>
      <c r="E168" s="16">
        <f t="shared" si="413"/>
        <v>0.0091904968004807</v>
      </c>
      <c r="F168" s="16">
        <f t="shared" si="373"/>
        <v>0.0333167129007159</v>
      </c>
      <c r="G168" s="16">
        <f t="shared" si="374"/>
        <v>0.0341911012265909</v>
      </c>
      <c r="H168" s="16">
        <f t="shared" si="375"/>
        <v>0.0336583496390687</v>
      </c>
      <c r="I168" s="16">
        <f t="shared" si="376"/>
        <v>0.0372573372003483</v>
      </c>
      <c r="J168" s="16">
        <f t="shared" si="377"/>
        <v>0.0491864441118396</v>
      </c>
      <c r="K168" s="16">
        <f t="shared" si="378"/>
        <v>-0.01310532027958</v>
      </c>
      <c r="L168" s="16">
        <f t="shared" si="379"/>
        <v>0.0174085634282639</v>
      </c>
      <c r="M168" s="16">
        <f t="shared" si="380"/>
        <v>0.0379713115832458</v>
      </c>
      <c r="N168" s="16">
        <f t="shared" si="381"/>
        <v>0.0442982878658392</v>
      </c>
      <c r="O168" s="16">
        <f t="shared" si="382"/>
        <v>-0.0579342466863707</v>
      </c>
      <c r="P168" s="16">
        <f t="shared" si="383"/>
        <v>0.0155759037010605</v>
      </c>
      <c r="Q168" s="16">
        <f t="shared" si="384"/>
        <v>0.0296949070001776</v>
      </c>
      <c r="R168" s="16">
        <f t="shared" si="385"/>
        <v>0.0829002887235642</v>
      </c>
      <c r="S168" s="16">
        <f t="shared" si="386"/>
        <v>0.0360253102677291</v>
      </c>
      <c r="T168" s="16">
        <f t="shared" si="387"/>
        <v>-0.000601018261969744</v>
      </c>
      <c r="U168" s="16">
        <f t="shared" si="388"/>
        <v>0.158192854992946</v>
      </c>
      <c r="V168" s="16">
        <f t="shared" si="389"/>
        <v>0.0562462685377537</v>
      </c>
      <c r="W168" s="16">
        <f t="shared" si="390"/>
        <v>-0.00254705104446057</v>
      </c>
      <c r="X168" s="16">
        <f t="shared" si="391"/>
        <v>0.0231366039873523</v>
      </c>
      <c r="Y168" s="16">
        <f t="shared" si="392"/>
        <v>0.0207556772408306</v>
      </c>
      <c r="Z168" s="16">
        <f t="shared" si="393"/>
        <v>0.0223548911250058</v>
      </c>
      <c r="AA168" s="16">
        <f t="shared" si="394"/>
        <v>0.0829365667947065</v>
      </c>
      <c r="AB168" s="16">
        <f t="shared" si="395"/>
        <v>-0.00176828954679467</v>
      </c>
      <c r="AC168" s="16">
        <f t="shared" si="396"/>
        <v>-0.0357041219026904</v>
      </c>
      <c r="AD168" s="16">
        <f t="shared" si="397"/>
        <v>0.0230014731539159</v>
      </c>
      <c r="AE168" s="16">
        <f t="shared" si="398"/>
        <v>0.0257126843727383</v>
      </c>
      <c r="AF168" s="16">
        <f t="shared" si="399"/>
        <v>-0.0397789287675689</v>
      </c>
      <c r="AG168" s="16">
        <f t="shared" si="400"/>
        <v>0.0641483160229813</v>
      </c>
      <c r="AH168" s="16">
        <f t="shared" si="401"/>
        <v>0.0120009904838207</v>
      </c>
      <c r="AI168" s="16">
        <f t="shared" si="402"/>
        <v>-0.0568159516322666</v>
      </c>
      <c r="AJ168" s="16">
        <f t="shared" si="403"/>
        <v>-0.0393031578448988</v>
      </c>
      <c r="AK168" s="16">
        <f t="shared" si="404"/>
        <v>0.00429856074162453</v>
      </c>
      <c r="AL168" s="16">
        <f t="shared" si="405"/>
        <v>0.038253805191272</v>
      </c>
      <c r="AM168" s="16">
        <f t="shared" si="406"/>
        <v>0.23735977499076</v>
      </c>
      <c r="AN168" s="16">
        <f t="shared" si="407"/>
        <v>-0.0163568125586324</v>
      </c>
      <c r="AO168" s="16">
        <f t="shared" si="408"/>
        <v>0.0261452091318387</v>
      </c>
      <c r="AQ168" s="4">
        <f t="shared" si="409"/>
        <v>0.0281887410122894</v>
      </c>
    </row>
    <row r="169" ht="14" spans="1:43">
      <c r="A169" s="32">
        <v>43831</v>
      </c>
      <c r="B169" s="16">
        <f t="shared" ref="B169:E169" si="414">LN(B41/B40)</f>
        <v>0.0203571574761235</v>
      </c>
      <c r="C169" s="16">
        <f t="shared" si="341"/>
        <v>-0.0556619720865597</v>
      </c>
      <c r="D169" s="16">
        <f t="shared" si="414"/>
        <v>0.0605933928619064</v>
      </c>
      <c r="E169" s="16">
        <f t="shared" si="414"/>
        <v>-0.0887583633593631</v>
      </c>
      <c r="F169" s="16">
        <f t="shared" si="373"/>
        <v>-0.109577497331827</v>
      </c>
      <c r="G169" s="16">
        <f t="shared" si="374"/>
        <v>-0.0360218421628837</v>
      </c>
      <c r="H169" s="16">
        <f t="shared" si="375"/>
        <v>-0.134229256414331</v>
      </c>
      <c r="I169" s="16">
        <f t="shared" si="376"/>
        <v>0.0371373529568279</v>
      </c>
      <c r="J169" s="16">
        <f t="shared" si="377"/>
        <v>-0.0722195245562909</v>
      </c>
      <c r="K169" s="16">
        <f t="shared" si="378"/>
        <v>-0.0911189695179641</v>
      </c>
      <c r="L169" s="16">
        <f t="shared" si="379"/>
        <v>-0.105336842536287</v>
      </c>
      <c r="M169" s="16">
        <f t="shared" si="380"/>
        <v>0.0254836204033231</v>
      </c>
      <c r="N169" s="16">
        <f t="shared" si="381"/>
        <v>0.0764554531330708</v>
      </c>
      <c r="O169" s="16">
        <f t="shared" si="382"/>
        <v>-0.0100540030781216</v>
      </c>
      <c r="P169" s="16">
        <f t="shared" si="383"/>
        <v>0.0774743490003155</v>
      </c>
      <c r="Q169" s="16">
        <f t="shared" si="384"/>
        <v>0.107630592215087</v>
      </c>
      <c r="R169" s="16">
        <f t="shared" si="385"/>
        <v>0.00479100386897077</v>
      </c>
      <c r="S169" s="16">
        <f t="shared" si="386"/>
        <v>0.0659473216048505</v>
      </c>
      <c r="T169" s="16">
        <f t="shared" si="387"/>
        <v>-0.0248907149408306</v>
      </c>
      <c r="U169" s="16">
        <f t="shared" si="388"/>
        <v>0.0245543242803002</v>
      </c>
      <c r="V169" s="16">
        <f t="shared" si="389"/>
        <v>-0.146102786388691</v>
      </c>
      <c r="W169" s="16">
        <f t="shared" si="390"/>
        <v>0.180684958071756</v>
      </c>
      <c r="X169" s="16">
        <f t="shared" si="391"/>
        <v>0.0454198022392694</v>
      </c>
      <c r="Y169" s="16">
        <f t="shared" si="392"/>
        <v>0.0969505328479663</v>
      </c>
      <c r="Z169" s="16">
        <f t="shared" si="393"/>
        <v>0.07954040629413</v>
      </c>
      <c r="AA169" s="16">
        <f t="shared" si="394"/>
        <v>-0.0507166972075028</v>
      </c>
      <c r="AB169" s="16">
        <f t="shared" si="395"/>
        <v>-0.0395947551996268</v>
      </c>
      <c r="AC169" s="16">
        <f t="shared" si="396"/>
        <v>0.245410582349164</v>
      </c>
      <c r="AD169" s="16">
        <f t="shared" si="397"/>
        <v>-0.00224431484473733</v>
      </c>
      <c r="AE169" s="16">
        <f t="shared" si="398"/>
        <v>-0.0147838814649892</v>
      </c>
      <c r="AF169" s="16">
        <f t="shared" si="399"/>
        <v>0.0444746196293222</v>
      </c>
      <c r="AG169" s="16">
        <f t="shared" si="400"/>
        <v>-0.0956214334890135</v>
      </c>
      <c r="AH169" s="16">
        <f t="shared" si="401"/>
        <v>0.0160007984836006</v>
      </c>
      <c r="AI169" s="16">
        <f t="shared" si="402"/>
        <v>-0.0401905912288586</v>
      </c>
      <c r="AJ169" s="16">
        <f t="shared" si="403"/>
        <v>-0.212780825012401</v>
      </c>
      <c r="AK169" s="16">
        <f t="shared" si="404"/>
        <v>0.0303402688461817</v>
      </c>
      <c r="AL169" s="16">
        <f t="shared" si="405"/>
        <v>-0.117596340404985</v>
      </c>
      <c r="AM169" s="16">
        <f t="shared" si="406"/>
        <v>0.441578306955661</v>
      </c>
      <c r="AN169" s="16">
        <f t="shared" si="407"/>
        <v>0.0196204265521649</v>
      </c>
      <c r="AO169" s="16">
        <f t="shared" si="408"/>
        <v>-0.0529926149468707</v>
      </c>
      <c r="AQ169" s="4">
        <f t="shared" si="409"/>
        <v>-0.00162941658961774</v>
      </c>
    </row>
    <row r="170" ht="14" spans="1:43">
      <c r="A170" s="32">
        <v>43862</v>
      </c>
      <c r="B170" s="16">
        <f t="shared" ref="B170:E170" si="415">LN(B42/B41)</f>
        <v>-0.10165735735377</v>
      </c>
      <c r="C170" s="16">
        <f t="shared" si="341"/>
        <v>-0.109739717665099</v>
      </c>
      <c r="D170" s="16">
        <f t="shared" si="415"/>
        <v>-0.101755002652089</v>
      </c>
      <c r="E170" s="16">
        <f t="shared" si="415"/>
        <v>0.0696934025513459</v>
      </c>
      <c r="F170" s="16">
        <f t="shared" si="373"/>
        <v>-0.0785433693839783</v>
      </c>
      <c r="G170" s="16">
        <f t="shared" si="374"/>
        <v>-0.0741744077655424</v>
      </c>
      <c r="H170" s="16">
        <f t="shared" si="375"/>
        <v>-0.0878673360687311</v>
      </c>
      <c r="I170" s="16">
        <f t="shared" si="376"/>
        <v>-0.0628155926184197</v>
      </c>
      <c r="J170" s="16">
        <f t="shared" si="377"/>
        <v>-0.0663485099024635</v>
      </c>
      <c r="K170" s="16">
        <f t="shared" si="378"/>
        <v>-0.129547833989278</v>
      </c>
      <c r="L170" s="16">
        <f t="shared" si="379"/>
        <v>0.274239157937693</v>
      </c>
      <c r="M170" s="16">
        <f t="shared" si="380"/>
        <v>-6.25137945182468e-5</v>
      </c>
      <c r="N170" s="16">
        <f t="shared" si="381"/>
        <v>-0.0494919303295879</v>
      </c>
      <c r="O170" s="16">
        <f t="shared" si="382"/>
        <v>-0.0542550503644158</v>
      </c>
      <c r="P170" s="16">
        <f t="shared" si="383"/>
        <v>-0.122496797900814</v>
      </c>
      <c r="Q170" s="16">
        <f t="shared" si="384"/>
        <v>-0.40107642238885</v>
      </c>
      <c r="R170" s="16">
        <f t="shared" si="385"/>
        <v>0.133028899433114</v>
      </c>
      <c r="S170" s="16">
        <f t="shared" si="386"/>
        <v>-0.141045407871754</v>
      </c>
      <c r="T170" s="16">
        <f t="shared" si="387"/>
        <v>-0.112757332038976</v>
      </c>
      <c r="U170" s="16">
        <f t="shared" si="388"/>
        <v>-0.0328749328277234</v>
      </c>
      <c r="V170" s="16">
        <f t="shared" si="389"/>
        <v>-0.0117880327088914</v>
      </c>
      <c r="W170" s="16">
        <f t="shared" si="390"/>
        <v>-0.0365527205537404</v>
      </c>
      <c r="X170" s="16">
        <f t="shared" si="391"/>
        <v>-0.0251732493231051</v>
      </c>
      <c r="Y170" s="16">
        <f t="shared" si="392"/>
        <v>0.169226561195329</v>
      </c>
      <c r="Z170" s="16">
        <f t="shared" si="393"/>
        <v>-0.0971021043059613</v>
      </c>
      <c r="AA170" s="16">
        <f t="shared" si="394"/>
        <v>-0.0745713169805136</v>
      </c>
      <c r="AB170" s="16">
        <f t="shared" si="395"/>
        <v>0.186335836050553</v>
      </c>
      <c r="AC170" s="16">
        <f t="shared" si="396"/>
        <v>-0.066959316323456</v>
      </c>
      <c r="AD170" s="16">
        <f t="shared" si="397"/>
        <v>-0.0899243463989631</v>
      </c>
      <c r="AE170" s="16">
        <f t="shared" si="398"/>
        <v>-0.0100867523683658</v>
      </c>
      <c r="AF170" s="16">
        <f t="shared" si="399"/>
        <v>-0.10281702339321</v>
      </c>
      <c r="AG170" s="16">
        <f t="shared" si="400"/>
        <v>-0.164535663909821</v>
      </c>
      <c r="AH170" s="16">
        <f t="shared" si="401"/>
        <v>-0.235638076352526</v>
      </c>
      <c r="AI170" s="16">
        <f t="shared" si="402"/>
        <v>-0.0242830221722289</v>
      </c>
      <c r="AJ170" s="16">
        <f t="shared" si="403"/>
        <v>-0.118848170267701</v>
      </c>
      <c r="AK170" s="16">
        <f t="shared" si="404"/>
        <v>-0.134207132247225</v>
      </c>
      <c r="AL170" s="16">
        <f t="shared" si="405"/>
        <v>-0.137887715954562</v>
      </c>
      <c r="AM170" s="16">
        <f t="shared" si="406"/>
        <v>0.0264243016705136</v>
      </c>
      <c r="AN170" s="16">
        <f t="shared" si="407"/>
        <v>-0.0678219544121595</v>
      </c>
      <c r="AO170" s="16">
        <f t="shared" si="408"/>
        <v>-0.219978547971053</v>
      </c>
      <c r="AQ170" s="4">
        <f t="shared" si="409"/>
        <v>-0.0878595209362048</v>
      </c>
    </row>
    <row r="171" ht="14" spans="1:43">
      <c r="A171" s="32">
        <v>43891</v>
      </c>
      <c r="B171" s="16">
        <f t="shared" ref="B171:E171" si="416">LN(B43/B42)</f>
        <v>-0.0188700847093207</v>
      </c>
      <c r="C171" s="16">
        <f t="shared" si="341"/>
        <v>0.00495116386019263</v>
      </c>
      <c r="D171" s="16">
        <f t="shared" si="416"/>
        <v>0.100314824699883</v>
      </c>
      <c r="E171" s="16">
        <f t="shared" si="416"/>
        <v>-0.117739276616481</v>
      </c>
      <c r="F171" s="16">
        <f t="shared" si="373"/>
        <v>0.0219818455427571</v>
      </c>
      <c r="G171" s="16">
        <f t="shared" si="374"/>
        <v>-0.0250709247051716</v>
      </c>
      <c r="H171" s="16">
        <f t="shared" si="375"/>
        <v>0.0276563219512958</v>
      </c>
      <c r="I171" s="16">
        <f t="shared" si="376"/>
        <v>-0.0494111577003991</v>
      </c>
      <c r="J171" s="16">
        <f t="shared" si="377"/>
        <v>-0.0221284446037354</v>
      </c>
      <c r="K171" s="16">
        <f t="shared" si="378"/>
        <v>0.00253159514182546</v>
      </c>
      <c r="L171" s="16">
        <f t="shared" si="379"/>
        <v>0.0938019687741178</v>
      </c>
      <c r="M171" s="16">
        <f t="shared" si="380"/>
        <v>-0.074009885142319</v>
      </c>
      <c r="N171" s="16">
        <f t="shared" si="381"/>
        <v>-0.0241725306152881</v>
      </c>
      <c r="O171" s="16">
        <f t="shared" si="382"/>
        <v>-0.0231117536786692</v>
      </c>
      <c r="P171" s="16">
        <f t="shared" si="383"/>
        <v>-0.00875860541802643</v>
      </c>
      <c r="Q171" s="16">
        <f t="shared" si="384"/>
        <v>0.537665150896313</v>
      </c>
      <c r="R171" s="16">
        <f t="shared" si="385"/>
        <v>-0.0236504081927563</v>
      </c>
      <c r="S171" s="16">
        <f t="shared" si="386"/>
        <v>-0.0206271118307162</v>
      </c>
      <c r="T171" s="16">
        <f t="shared" si="387"/>
        <v>-0.13959710932456</v>
      </c>
      <c r="U171" s="16">
        <f t="shared" si="388"/>
        <v>0</v>
      </c>
      <c r="V171" s="16">
        <f t="shared" si="389"/>
        <v>-0.0644567371465569</v>
      </c>
      <c r="W171" s="16">
        <f t="shared" si="390"/>
        <v>-0.129155687596573</v>
      </c>
      <c r="X171" s="16">
        <f t="shared" si="391"/>
        <v>-0.180303581317271</v>
      </c>
      <c r="Y171" s="16">
        <f t="shared" si="392"/>
        <v>-0.408063186992293</v>
      </c>
      <c r="Z171" s="16">
        <f t="shared" si="393"/>
        <v>-0.154431554945744</v>
      </c>
      <c r="AA171" s="16">
        <f t="shared" si="394"/>
        <v>-0.0744232430072254</v>
      </c>
      <c r="AB171" s="16">
        <f t="shared" si="395"/>
        <v>-0.0463966412005831</v>
      </c>
      <c r="AC171" s="16">
        <f t="shared" si="396"/>
        <v>-0.615646530554875</v>
      </c>
      <c r="AD171" s="16">
        <f t="shared" si="397"/>
        <v>-0.0289412241541837</v>
      </c>
      <c r="AE171" s="16">
        <f t="shared" si="398"/>
        <v>-0.11522137327422</v>
      </c>
      <c r="AF171" s="16">
        <f t="shared" si="399"/>
        <v>-0.0567602430877431</v>
      </c>
      <c r="AG171" s="16">
        <f t="shared" si="400"/>
        <v>-0.00121184637341032</v>
      </c>
      <c r="AH171" s="16">
        <f t="shared" si="401"/>
        <v>-0.136093854246045</v>
      </c>
      <c r="AI171" s="16">
        <f t="shared" si="402"/>
        <v>-0.152028364967496</v>
      </c>
      <c r="AJ171" s="16">
        <f t="shared" si="403"/>
        <v>-0.119371735355556</v>
      </c>
      <c r="AK171" s="16">
        <f t="shared" si="404"/>
        <v>-0.0165761701632148</v>
      </c>
      <c r="AL171" s="16">
        <f t="shared" si="405"/>
        <v>-0.241593720837065</v>
      </c>
      <c r="AM171" s="16">
        <f t="shared" si="406"/>
        <v>-0.242781519043671</v>
      </c>
      <c r="AN171" s="16">
        <f t="shared" si="407"/>
        <v>-0.0333876777718947</v>
      </c>
      <c r="AO171" s="16">
        <f t="shared" si="408"/>
        <v>-0.365333006681847</v>
      </c>
      <c r="AQ171" s="4">
        <f t="shared" si="409"/>
        <v>-0.133667768592967</v>
      </c>
    </row>
    <row r="172" ht="14" spans="1:43">
      <c r="A172" s="32">
        <v>43922</v>
      </c>
      <c r="B172" s="16">
        <f t="shared" ref="B172:E172" si="417">LN(B44/B43)</f>
        <v>0.134712354205426</v>
      </c>
      <c r="C172" s="16">
        <f t="shared" si="341"/>
        <v>0.0389438435735939</v>
      </c>
      <c r="D172" s="16">
        <f t="shared" si="417"/>
        <v>0.108642309996693</v>
      </c>
      <c r="E172" s="16">
        <f t="shared" si="417"/>
        <v>0.0759250592144807</v>
      </c>
      <c r="F172" s="16">
        <f t="shared" si="373"/>
        <v>0.165508638541316</v>
      </c>
      <c r="G172" s="16">
        <f t="shared" si="374"/>
        <v>0.166383935867511</v>
      </c>
      <c r="H172" s="16">
        <f t="shared" si="375"/>
        <v>0.155373883204012</v>
      </c>
      <c r="I172" s="16">
        <f t="shared" si="376"/>
        <v>0.136252258383566</v>
      </c>
      <c r="J172" s="16">
        <f t="shared" si="377"/>
        <v>0.163706212518385</v>
      </c>
      <c r="K172" s="16">
        <f t="shared" si="378"/>
        <v>0.0367346310821667</v>
      </c>
      <c r="L172" s="16">
        <f t="shared" si="379"/>
        <v>0.074163558184089</v>
      </c>
      <c r="M172" s="16">
        <f t="shared" si="380"/>
        <v>0.0530837931187538</v>
      </c>
      <c r="N172" s="16">
        <f t="shared" si="381"/>
        <v>0.127800334844432</v>
      </c>
      <c r="O172" s="16">
        <f t="shared" si="382"/>
        <v>0.0916731740390517</v>
      </c>
      <c r="P172" s="16">
        <f t="shared" si="383"/>
        <v>0.0629186470345885</v>
      </c>
      <c r="Q172" s="16">
        <f t="shared" si="384"/>
        <v>0.128239688170586</v>
      </c>
      <c r="R172" s="16">
        <f t="shared" si="385"/>
        <v>0.103279359620249</v>
      </c>
      <c r="S172" s="16">
        <f t="shared" si="386"/>
        <v>0.102807450361759</v>
      </c>
      <c r="T172" s="16">
        <f t="shared" si="387"/>
        <v>0.152777265498764</v>
      </c>
      <c r="U172" s="16">
        <f t="shared" si="388"/>
        <v>0.141443064537793</v>
      </c>
      <c r="V172" s="16">
        <f t="shared" si="389"/>
        <v>0.114555897060794</v>
      </c>
      <c r="W172" s="16">
        <f t="shared" si="390"/>
        <v>0.204305773496296</v>
      </c>
      <c r="X172" s="16">
        <f t="shared" si="391"/>
        <v>-0.103358018933918</v>
      </c>
      <c r="Y172" s="16">
        <f t="shared" si="392"/>
        <v>0.523286683122872</v>
      </c>
      <c r="Z172" s="16">
        <f t="shared" si="393"/>
        <v>0.126034495684407</v>
      </c>
      <c r="AA172" s="16">
        <f t="shared" si="394"/>
        <v>0.0522718894501555</v>
      </c>
      <c r="AB172" s="16">
        <f t="shared" si="395"/>
        <v>0.112838696990466</v>
      </c>
      <c r="AC172" s="16">
        <f t="shared" si="396"/>
        <v>0.0281468771175513</v>
      </c>
      <c r="AD172" s="16">
        <f t="shared" si="397"/>
        <v>0.0691019324326935</v>
      </c>
      <c r="AE172" s="16">
        <f t="shared" si="398"/>
        <v>0.0399985835281677</v>
      </c>
      <c r="AF172" s="16">
        <f t="shared" si="399"/>
        <v>0.0253822199032967</v>
      </c>
      <c r="AG172" s="16">
        <f t="shared" si="400"/>
        <v>0.220766724806033</v>
      </c>
      <c r="AH172" s="16">
        <f t="shared" si="401"/>
        <v>0.0441899341296282</v>
      </c>
      <c r="AI172" s="16">
        <f t="shared" si="402"/>
        <v>0.0494530821968248</v>
      </c>
      <c r="AJ172" s="16">
        <f t="shared" si="403"/>
        <v>0.15072040011836</v>
      </c>
      <c r="AK172" s="16">
        <f t="shared" si="404"/>
        <v>0.0564372878744432</v>
      </c>
      <c r="AL172" s="16">
        <f t="shared" si="405"/>
        <v>0.2387539505897</v>
      </c>
      <c r="AM172" s="16">
        <f t="shared" si="406"/>
        <v>0.400209591763779</v>
      </c>
      <c r="AN172" s="16">
        <f t="shared" si="407"/>
        <v>0.0197934132496625</v>
      </c>
      <c r="AO172" s="16">
        <f t="shared" si="408"/>
        <v>0.05243136289795</v>
      </c>
      <c r="AQ172" s="4">
        <f t="shared" si="409"/>
        <v>0.119420896237406</v>
      </c>
    </row>
    <row r="173" ht="14" spans="1:43">
      <c r="A173" s="32">
        <v>43952</v>
      </c>
      <c r="B173" s="16">
        <f t="shared" ref="B173:E173" si="418">LN(B45/B44)</f>
        <v>-0.0086350715791913</v>
      </c>
      <c r="C173" s="16">
        <f t="shared" si="341"/>
        <v>0.0172439340737095</v>
      </c>
      <c r="D173" s="16">
        <f t="shared" si="418"/>
        <v>-0.0109892426397599</v>
      </c>
      <c r="E173" s="16">
        <f t="shared" si="418"/>
        <v>0.134693401700703</v>
      </c>
      <c r="F173" s="16">
        <f t="shared" si="373"/>
        <v>-0.040609479348998</v>
      </c>
      <c r="G173" s="16">
        <f t="shared" si="374"/>
        <v>0.0424414393645056</v>
      </c>
      <c r="H173" s="16">
        <f t="shared" si="375"/>
        <v>0.129255423576113</v>
      </c>
      <c r="I173" s="16">
        <f t="shared" si="376"/>
        <v>0.106771623323331</v>
      </c>
      <c r="J173" s="16">
        <f t="shared" si="377"/>
        <v>0.0414579227749444</v>
      </c>
      <c r="K173" s="16">
        <f t="shared" si="378"/>
        <v>0.0716019200439839</v>
      </c>
      <c r="L173" s="16">
        <f t="shared" si="379"/>
        <v>0.152981887002691</v>
      </c>
      <c r="M173" s="16">
        <f t="shared" si="380"/>
        <v>0.0347985038490413</v>
      </c>
      <c r="N173" s="16">
        <f t="shared" si="381"/>
        <v>0.0222929212312571</v>
      </c>
      <c r="O173" s="16">
        <f t="shared" si="382"/>
        <v>0.0197293564371879</v>
      </c>
      <c r="P173" s="16">
        <f t="shared" si="383"/>
        <v>0.256190830647931</v>
      </c>
      <c r="Q173" s="16">
        <f t="shared" si="384"/>
        <v>0.0685850725627565</v>
      </c>
      <c r="R173" s="16">
        <f t="shared" si="385"/>
        <v>0.194461986961997</v>
      </c>
      <c r="S173" s="16">
        <f t="shared" si="386"/>
        <v>0.0480118068752465</v>
      </c>
      <c r="T173" s="16">
        <f t="shared" si="387"/>
        <v>0.0698467763272273</v>
      </c>
      <c r="U173" s="16">
        <f t="shared" si="388"/>
        <v>0.0265577337476103</v>
      </c>
      <c r="V173" s="16">
        <f t="shared" si="389"/>
        <v>0.0507494880619644</v>
      </c>
      <c r="W173" s="16">
        <f t="shared" si="390"/>
        <v>0.0985014081911177</v>
      </c>
      <c r="X173" s="16">
        <f t="shared" si="391"/>
        <v>-0.0241440256420731</v>
      </c>
      <c r="Y173" s="16">
        <f t="shared" si="392"/>
        <v>0.221816943379051</v>
      </c>
      <c r="Z173" s="16">
        <f t="shared" si="393"/>
        <v>-0.0066329710581277</v>
      </c>
      <c r="AA173" s="16">
        <f t="shared" si="394"/>
        <v>0.122893311468664</v>
      </c>
      <c r="AB173" s="16">
        <f t="shared" si="395"/>
        <v>0.0639721160784501</v>
      </c>
      <c r="AC173" s="16">
        <f t="shared" si="396"/>
        <v>0.308695876980514</v>
      </c>
      <c r="AD173" s="16">
        <f t="shared" si="397"/>
        <v>-0.0100349407345036</v>
      </c>
      <c r="AE173" s="16">
        <f t="shared" si="398"/>
        <v>-0.0167616643231152</v>
      </c>
      <c r="AF173" s="16">
        <f t="shared" si="399"/>
        <v>0.0411687931807916</v>
      </c>
      <c r="AG173" s="16">
        <f t="shared" si="400"/>
        <v>0.00460524457809083</v>
      </c>
      <c r="AH173" s="16">
        <f t="shared" si="401"/>
        <v>-0.0540272527490152</v>
      </c>
      <c r="AI173" s="16">
        <f t="shared" si="402"/>
        <v>0.029458315708965</v>
      </c>
      <c r="AJ173" s="16">
        <f t="shared" si="403"/>
        <v>0.0945512785312004</v>
      </c>
      <c r="AK173" s="16">
        <f t="shared" si="404"/>
        <v>-0.0282480839735674</v>
      </c>
      <c r="AL173" s="16">
        <f t="shared" si="405"/>
        <v>-0.0032664283452451</v>
      </c>
      <c r="AM173" s="16">
        <f t="shared" si="406"/>
        <v>0.0657304487660343</v>
      </c>
      <c r="AN173" s="16">
        <f t="shared" si="407"/>
        <v>0.0884109473330916</v>
      </c>
      <c r="AO173" s="16">
        <f t="shared" si="408"/>
        <v>0.114941193105488</v>
      </c>
      <c r="AQ173" s="4">
        <f t="shared" si="409"/>
        <v>0.0442864902305306</v>
      </c>
    </row>
    <row r="174" ht="14" spans="1:43">
      <c r="A174" s="32">
        <v>43983</v>
      </c>
      <c r="B174" s="16">
        <f t="shared" ref="B174:E174" si="419">LN(B46/B45)</f>
        <v>-0.049226328439674</v>
      </c>
      <c r="C174" s="16">
        <f t="shared" si="341"/>
        <v>-0.0429044720289564</v>
      </c>
      <c r="D174" s="16">
        <f t="shared" si="419"/>
        <v>0.075549053645801</v>
      </c>
      <c r="E174" s="16">
        <f t="shared" si="419"/>
        <v>0.0577578451325855</v>
      </c>
      <c r="F174" s="16">
        <f t="shared" si="373"/>
        <v>0.0332101259065855</v>
      </c>
      <c r="G174" s="16">
        <f t="shared" si="374"/>
        <v>0.0369669354355917</v>
      </c>
      <c r="H174" s="16">
        <f t="shared" si="375"/>
        <v>0.0199079386330424</v>
      </c>
      <c r="I174" s="16">
        <f t="shared" si="376"/>
        <v>0.0666245334883455</v>
      </c>
      <c r="J174" s="16">
        <f t="shared" si="377"/>
        <v>-0.0330138928563851</v>
      </c>
      <c r="K174" s="16">
        <f t="shared" si="378"/>
        <v>-0.00919266477850949</v>
      </c>
      <c r="L174" s="16">
        <f t="shared" si="379"/>
        <v>0.0175343767406235</v>
      </c>
      <c r="M174" s="16">
        <f t="shared" si="380"/>
        <v>0.179545561943798</v>
      </c>
      <c r="N174" s="16">
        <f t="shared" si="381"/>
        <v>0.107645124918232</v>
      </c>
      <c r="O174" s="16">
        <f t="shared" si="382"/>
        <v>0.027514709362013</v>
      </c>
      <c r="P174" s="16">
        <f t="shared" si="383"/>
        <v>-0.0139619586367509</v>
      </c>
      <c r="Q174" s="16">
        <f t="shared" si="384"/>
        <v>-0.138687093068349</v>
      </c>
      <c r="R174" s="16">
        <f t="shared" si="385"/>
        <v>0.0677601349976825</v>
      </c>
      <c r="S174" s="16">
        <f t="shared" si="386"/>
        <v>-0.044882892642438</v>
      </c>
      <c r="T174" s="16">
        <f t="shared" si="387"/>
        <v>0.0802565020330689</v>
      </c>
      <c r="U174" s="16">
        <f t="shared" si="388"/>
        <v>-0.0223672514250229</v>
      </c>
      <c r="V174" s="16">
        <f t="shared" si="389"/>
        <v>0.0720997020498842</v>
      </c>
      <c r="W174" s="16">
        <f t="shared" si="390"/>
        <v>0.0432102933059641</v>
      </c>
      <c r="X174" s="16">
        <f t="shared" si="391"/>
        <v>0.140852472976302</v>
      </c>
      <c r="Y174" s="16">
        <f t="shared" si="392"/>
        <v>0.271404344187907</v>
      </c>
      <c r="Z174" s="16">
        <f t="shared" si="393"/>
        <v>-0.00333389439086367</v>
      </c>
      <c r="AA174" s="16">
        <f t="shared" si="394"/>
        <v>-0.00289941123116748</v>
      </c>
      <c r="AB174" s="16">
        <f t="shared" si="395"/>
        <v>-0.0434345165995239</v>
      </c>
      <c r="AC174" s="16">
        <f t="shared" si="396"/>
        <v>-0.0783452861878147</v>
      </c>
      <c r="AD174" s="16">
        <f t="shared" si="397"/>
        <v>0.0310017096135298</v>
      </c>
      <c r="AE174" s="16">
        <f t="shared" si="398"/>
        <v>-0.0460271657889977</v>
      </c>
      <c r="AF174" s="16">
        <f t="shared" si="399"/>
        <v>0.0238707305431734</v>
      </c>
      <c r="AG174" s="16">
        <f t="shared" si="400"/>
        <v>0.0585243434432866</v>
      </c>
      <c r="AH174" s="16">
        <f t="shared" si="401"/>
        <v>0.204750972526801</v>
      </c>
      <c r="AI174" s="16">
        <f t="shared" si="402"/>
        <v>0.0713798109688165</v>
      </c>
      <c r="AJ174" s="16">
        <f t="shared" si="403"/>
        <v>0.17310037656239</v>
      </c>
      <c r="AK174" s="16">
        <f t="shared" si="404"/>
        <v>0.0230381107424324</v>
      </c>
      <c r="AL174" s="16">
        <f t="shared" si="405"/>
        <v>-0.0127307430062467</v>
      </c>
      <c r="AM174" s="16">
        <f t="shared" si="406"/>
        <v>0.257108653864703</v>
      </c>
      <c r="AN174" s="16">
        <f t="shared" si="407"/>
        <v>0.0135406031083547</v>
      </c>
      <c r="AO174" s="16">
        <f t="shared" si="408"/>
        <v>0.0627856723101568</v>
      </c>
      <c r="AQ174" s="4">
        <f t="shared" si="409"/>
        <v>0.0182213810040636</v>
      </c>
    </row>
    <row r="175" ht="14" spans="1:43">
      <c r="A175" s="32">
        <v>44013</v>
      </c>
      <c r="B175" s="16">
        <f t="shared" ref="B175:E175" si="420">LN(B47/B46)</f>
        <v>0.0358295253878542</v>
      </c>
      <c r="C175" s="16">
        <f t="shared" si="341"/>
        <v>0.0448576707000346</v>
      </c>
      <c r="D175" s="16">
        <f t="shared" si="420"/>
        <v>-0.0883963887606745</v>
      </c>
      <c r="E175" s="16">
        <f t="shared" si="420"/>
        <v>-0.0338734308772136</v>
      </c>
      <c r="F175" s="16">
        <f t="shared" si="373"/>
        <v>0.036672050353857</v>
      </c>
      <c r="G175" s="16">
        <f t="shared" si="374"/>
        <v>0.13381629363598</v>
      </c>
      <c r="H175" s="16">
        <f t="shared" si="375"/>
        <v>0.0313908646224081</v>
      </c>
      <c r="I175" s="16">
        <f t="shared" si="376"/>
        <v>0.18624628177357</v>
      </c>
      <c r="J175" s="16">
        <f t="shared" si="377"/>
        <v>0.0304980271024614</v>
      </c>
      <c r="K175" s="16">
        <f t="shared" si="378"/>
        <v>-0.0317437134421377</v>
      </c>
      <c r="L175" s="16">
        <f t="shared" si="379"/>
        <v>0.0134108339354305</v>
      </c>
      <c r="M175" s="16">
        <f t="shared" si="380"/>
        <v>0.0532938774277087</v>
      </c>
      <c r="N175" s="16">
        <f t="shared" si="381"/>
        <v>0.0073432346916969</v>
      </c>
      <c r="O175" s="16">
        <f t="shared" si="382"/>
        <v>0.00325141206333808</v>
      </c>
      <c r="P175" s="16">
        <f t="shared" si="383"/>
        <v>0.00747544940714431</v>
      </c>
      <c r="Q175" s="16">
        <f t="shared" si="384"/>
        <v>0.0842346350624124</v>
      </c>
      <c r="R175" s="16">
        <f t="shared" si="385"/>
        <v>0.11164577092657</v>
      </c>
      <c r="S175" s="16">
        <f t="shared" si="386"/>
        <v>-0.225947140533617</v>
      </c>
      <c r="T175" s="16">
        <f t="shared" si="387"/>
        <v>0.0138551631549393</v>
      </c>
      <c r="U175" s="16">
        <f t="shared" si="388"/>
        <v>0.386468086655916</v>
      </c>
      <c r="V175" s="16">
        <f t="shared" si="389"/>
        <v>0.0871553663127787</v>
      </c>
      <c r="W175" s="16">
        <f t="shared" si="390"/>
        <v>0.0809196859134867</v>
      </c>
      <c r="X175" s="16">
        <f t="shared" si="391"/>
        <v>0.0183023119424544</v>
      </c>
      <c r="Y175" s="16">
        <f t="shared" si="392"/>
        <v>0.108293234470657</v>
      </c>
      <c r="Z175" s="16">
        <f t="shared" si="393"/>
        <v>0.051813857651869</v>
      </c>
      <c r="AA175" s="16">
        <f t="shared" si="394"/>
        <v>-0.0044975280088638</v>
      </c>
      <c r="AB175" s="16">
        <f t="shared" si="395"/>
        <v>0.0474677444197928</v>
      </c>
      <c r="AC175" s="16">
        <f t="shared" si="396"/>
        <v>0.488944702299163</v>
      </c>
      <c r="AD175" s="16">
        <f t="shared" si="397"/>
        <v>0.0922111840161364</v>
      </c>
      <c r="AE175" s="16">
        <f t="shared" si="398"/>
        <v>0.107791048799112</v>
      </c>
      <c r="AF175" s="16">
        <f t="shared" si="399"/>
        <v>0.0971637695877027</v>
      </c>
      <c r="AG175" s="16">
        <f t="shared" si="400"/>
        <v>0.0751825740786305</v>
      </c>
      <c r="AH175" s="16">
        <f t="shared" si="401"/>
        <v>0.032221215475119</v>
      </c>
      <c r="AI175" s="16">
        <f t="shared" si="402"/>
        <v>0.187916551399368</v>
      </c>
      <c r="AJ175" s="16">
        <f t="shared" si="403"/>
        <v>0.136591528295692</v>
      </c>
      <c r="AK175" s="16">
        <f t="shared" si="404"/>
        <v>0.100123256384027</v>
      </c>
      <c r="AL175" s="16">
        <f t="shared" si="405"/>
        <v>-0.0611151792339252</v>
      </c>
      <c r="AM175" s="16">
        <f t="shared" si="406"/>
        <v>0.281420671890482</v>
      </c>
      <c r="AN175" s="16">
        <f t="shared" si="407"/>
        <v>0.0606348881991665</v>
      </c>
      <c r="AO175" s="16">
        <f t="shared" si="408"/>
        <v>0.0835789578855193</v>
      </c>
      <c r="AQ175" s="4">
        <f t="shared" si="409"/>
        <v>0.0536367784092486</v>
      </c>
    </row>
    <row r="176" ht="14" spans="1:43">
      <c r="A176" s="32">
        <v>44044</v>
      </c>
      <c r="B176" s="16">
        <f t="shared" ref="B176:E176" si="421">LN(B48/B47)</f>
        <v>0.0511521181184022</v>
      </c>
      <c r="C176" s="16">
        <f t="shared" si="341"/>
        <v>0.0608005305347155</v>
      </c>
      <c r="D176" s="16">
        <f t="shared" si="421"/>
        <v>-0.0127231583817089</v>
      </c>
      <c r="E176" s="16">
        <f t="shared" si="421"/>
        <v>0.0211516714113939</v>
      </c>
      <c r="F176" s="16">
        <f t="shared" si="373"/>
        <v>0.0347432831170829</v>
      </c>
      <c r="G176" s="16">
        <f t="shared" si="374"/>
        <v>0.0356651246367859</v>
      </c>
      <c r="H176" s="16">
        <f t="shared" si="375"/>
        <v>-0.0674875306053689</v>
      </c>
      <c r="I176" s="16">
        <f t="shared" si="376"/>
        <v>-0.0169626663197675</v>
      </c>
      <c r="J176" s="16">
        <f t="shared" si="377"/>
        <v>0.0317580441431148</v>
      </c>
      <c r="K176" s="16">
        <f t="shared" si="378"/>
        <v>-0.00533434953371814</v>
      </c>
      <c r="L176" s="16">
        <f t="shared" si="379"/>
        <v>-0.0193935790678668</v>
      </c>
      <c r="M176" s="16">
        <f t="shared" si="380"/>
        <v>-0.113508480827321</v>
      </c>
      <c r="N176" s="16">
        <f t="shared" si="381"/>
        <v>0.095394959380841</v>
      </c>
      <c r="O176" s="16">
        <f t="shared" si="382"/>
        <v>0.0356404540911629</v>
      </c>
      <c r="P176" s="16">
        <f t="shared" si="383"/>
        <v>-0.0465475613780445</v>
      </c>
      <c r="Q176" s="16">
        <f t="shared" si="384"/>
        <v>0.0921265100520484</v>
      </c>
      <c r="R176" s="16">
        <f t="shared" si="385"/>
        <v>0.231105372024381</v>
      </c>
      <c r="S176" s="16">
        <f t="shared" si="386"/>
        <v>0.0652847086970187</v>
      </c>
      <c r="T176" s="16">
        <f t="shared" si="387"/>
        <v>0.0916442054557336</v>
      </c>
      <c r="U176" s="16">
        <f t="shared" si="388"/>
        <v>0.159505223271173</v>
      </c>
      <c r="V176" s="16">
        <f t="shared" si="389"/>
        <v>-0.0301662792542339</v>
      </c>
      <c r="W176" s="16">
        <f t="shared" si="390"/>
        <v>0.0930307167703702</v>
      </c>
      <c r="X176" s="16">
        <f t="shared" si="391"/>
        <v>0.106213242340653</v>
      </c>
      <c r="Y176" s="16">
        <f t="shared" si="392"/>
        <v>0.0110888233013486</v>
      </c>
      <c r="Z176" s="16">
        <f t="shared" si="393"/>
        <v>0.0944300408719441</v>
      </c>
      <c r="AA176" s="16">
        <f t="shared" si="394"/>
        <v>0.136536057237356</v>
      </c>
      <c r="AB176" s="16">
        <f t="shared" si="395"/>
        <v>0.0562010848622424</v>
      </c>
      <c r="AC176" s="16">
        <f t="shared" si="396"/>
        <v>0.186001787168818</v>
      </c>
      <c r="AD176" s="16">
        <f t="shared" si="397"/>
        <v>0.0598197583155606</v>
      </c>
      <c r="AE176" s="16">
        <f t="shared" si="398"/>
        <v>0.0380634528382862</v>
      </c>
      <c r="AF176" s="16">
        <f t="shared" si="399"/>
        <v>-0.014992781457535</v>
      </c>
      <c r="AG176" s="16">
        <f t="shared" si="400"/>
        <v>0.0190150653597576</v>
      </c>
      <c r="AH176" s="16">
        <f t="shared" si="401"/>
        <v>-0.0259436645507423</v>
      </c>
      <c r="AI176" s="16">
        <f t="shared" si="402"/>
        <v>0.266557878109578</v>
      </c>
      <c r="AJ176" s="16">
        <f t="shared" si="403"/>
        <v>0.106938737621053</v>
      </c>
      <c r="AK176" s="16">
        <f t="shared" si="404"/>
        <v>0.0176133464722187</v>
      </c>
      <c r="AL176" s="16">
        <f t="shared" si="405"/>
        <v>-0.000119295650551845</v>
      </c>
      <c r="AM176" s="16">
        <f t="shared" si="406"/>
        <v>0.55471930277395</v>
      </c>
      <c r="AN176" s="16">
        <f t="shared" si="407"/>
        <v>0.0693594885473771</v>
      </c>
      <c r="AO176" s="16">
        <f t="shared" si="408"/>
        <v>0.0312758179917759</v>
      </c>
      <c r="AQ176" s="4">
        <f t="shared" si="409"/>
        <v>0.0677191020896537</v>
      </c>
    </row>
    <row r="177" ht="14" spans="1:43">
      <c r="A177" s="32">
        <v>44075</v>
      </c>
      <c r="B177" s="16">
        <f t="shared" ref="B177:E177" si="422">LN(B49/B48)</f>
        <v>-0.0233396908796739</v>
      </c>
      <c r="C177" s="16">
        <f t="shared" si="341"/>
        <v>-0.0275847094567363</v>
      </c>
      <c r="D177" s="16">
        <f t="shared" si="422"/>
        <v>0.00236647748985298</v>
      </c>
      <c r="E177" s="16">
        <f t="shared" si="422"/>
        <v>-0.089282610162328</v>
      </c>
      <c r="F177" s="16">
        <f t="shared" si="373"/>
        <v>0.00998670279406513</v>
      </c>
      <c r="G177" s="16">
        <f t="shared" si="374"/>
        <v>0.0288130114803364</v>
      </c>
      <c r="H177" s="16">
        <f t="shared" si="375"/>
        <v>-0.144751695410955</v>
      </c>
      <c r="I177" s="16">
        <f t="shared" si="376"/>
        <v>0.00522847002576327</v>
      </c>
      <c r="J177" s="16">
        <f t="shared" si="377"/>
        <v>-0.00249881193423589</v>
      </c>
      <c r="K177" s="16">
        <f t="shared" si="378"/>
        <v>-0.0617518926172602</v>
      </c>
      <c r="L177" s="16">
        <f t="shared" si="379"/>
        <v>-0.102062719041528</v>
      </c>
      <c r="M177" s="16">
        <f t="shared" si="380"/>
        <v>-0.0509729943011555</v>
      </c>
      <c r="N177" s="16">
        <f t="shared" si="381"/>
        <v>-0.0673611604265528</v>
      </c>
      <c r="O177" s="16">
        <f t="shared" si="382"/>
        <v>0.0424285607337755</v>
      </c>
      <c r="P177" s="16">
        <f t="shared" si="383"/>
        <v>-0.11380452003464</v>
      </c>
      <c r="Q177" s="16">
        <f t="shared" si="384"/>
        <v>-0.115442937111546</v>
      </c>
      <c r="R177" s="16">
        <f t="shared" si="385"/>
        <v>0.0115964666758644</v>
      </c>
      <c r="S177" s="16">
        <f t="shared" si="386"/>
        <v>0.0229278399262853</v>
      </c>
      <c r="T177" s="16">
        <f t="shared" si="387"/>
        <v>0.0482756326284372</v>
      </c>
      <c r="U177" s="16">
        <f t="shared" si="388"/>
        <v>-0.102282237061719</v>
      </c>
      <c r="V177" s="16">
        <f t="shared" si="389"/>
        <v>0.00440722818846774</v>
      </c>
      <c r="W177" s="16">
        <f t="shared" si="390"/>
        <v>0.00616328397179232</v>
      </c>
      <c r="X177" s="16">
        <f t="shared" si="391"/>
        <v>-0.0290623944184112</v>
      </c>
      <c r="Y177" s="16">
        <f t="shared" si="392"/>
        <v>0.0159950370664174</v>
      </c>
      <c r="Z177" s="16">
        <f t="shared" si="393"/>
        <v>0.0334096034127757</v>
      </c>
      <c r="AA177" s="16">
        <f t="shared" si="394"/>
        <v>0.117321477702027</v>
      </c>
      <c r="AB177" s="16">
        <f t="shared" si="395"/>
        <v>0.0391302447125191</v>
      </c>
      <c r="AC177" s="16">
        <f t="shared" si="396"/>
        <v>0.0787860468323788</v>
      </c>
      <c r="AD177" s="16">
        <f t="shared" si="397"/>
        <v>0.00475969718999818</v>
      </c>
      <c r="AE177" s="16">
        <f t="shared" si="398"/>
        <v>-0.0620435611066077</v>
      </c>
      <c r="AF177" s="16">
        <f t="shared" si="399"/>
        <v>0.0423353015650603</v>
      </c>
      <c r="AG177" s="16">
        <f t="shared" si="400"/>
        <v>-0.145567804353316</v>
      </c>
      <c r="AH177" s="16">
        <f t="shared" si="401"/>
        <v>0.0855512910295568</v>
      </c>
      <c r="AI177" s="16">
        <f t="shared" si="402"/>
        <v>0.134622373568259</v>
      </c>
      <c r="AJ177" s="16">
        <f t="shared" si="403"/>
        <v>-0.0825485758825684</v>
      </c>
      <c r="AK177" s="16">
        <f t="shared" si="404"/>
        <v>-0.0700016586387888</v>
      </c>
      <c r="AL177" s="16">
        <f t="shared" si="405"/>
        <v>-0.139003183997395</v>
      </c>
      <c r="AM177" s="16">
        <f t="shared" si="406"/>
        <v>-0.149762212266237</v>
      </c>
      <c r="AN177" s="16">
        <f t="shared" si="407"/>
        <v>-0.0562916232367445</v>
      </c>
      <c r="AO177" s="16">
        <f t="shared" si="408"/>
        <v>-0.0237399873030729</v>
      </c>
      <c r="AQ177" s="4">
        <f t="shared" si="409"/>
        <v>-0.0400181032435895</v>
      </c>
    </row>
    <row r="178" ht="14" spans="1:43">
      <c r="A178" s="32">
        <v>44105</v>
      </c>
      <c r="B178" s="16">
        <f t="shared" ref="B178:E178" si="423">LN(B50/B49)</f>
        <v>-0.082356927635072</v>
      </c>
      <c r="C178" s="16">
        <f t="shared" si="341"/>
        <v>-0.0907069295825005</v>
      </c>
      <c r="D178" s="16">
        <f t="shared" si="423"/>
        <v>-0.126280789124881</v>
      </c>
      <c r="E178" s="16">
        <f t="shared" si="423"/>
        <v>-0.0288398048900785</v>
      </c>
      <c r="F178" s="16">
        <f t="shared" si="373"/>
        <v>-0.158343307952443</v>
      </c>
      <c r="G178" s="16">
        <f t="shared" si="374"/>
        <v>0.0696360592432392</v>
      </c>
      <c r="H178" s="16">
        <f t="shared" si="375"/>
        <v>-0.054451949367543</v>
      </c>
      <c r="I178" s="16">
        <f t="shared" si="376"/>
        <v>0.0775760788748467</v>
      </c>
      <c r="J178" s="16">
        <f t="shared" si="377"/>
        <v>-0.0173827955141007</v>
      </c>
      <c r="K178" s="16">
        <f t="shared" si="378"/>
        <v>-0.0403584314313883</v>
      </c>
      <c r="L178" s="16">
        <f t="shared" si="379"/>
        <v>-0.0294037533454571</v>
      </c>
      <c r="M178" s="16">
        <f t="shared" si="380"/>
        <v>0.113008120734518</v>
      </c>
      <c r="N178" s="16">
        <f t="shared" si="381"/>
        <v>-0.0380863279080769</v>
      </c>
      <c r="O178" s="16">
        <f t="shared" si="382"/>
        <v>-0.0620179140701323</v>
      </c>
      <c r="P178" s="16">
        <f t="shared" si="383"/>
        <v>-0.0652347994732352</v>
      </c>
      <c r="Q178" s="16">
        <f t="shared" si="384"/>
        <v>-0.0130406567743006</v>
      </c>
      <c r="R178" s="16">
        <f t="shared" si="385"/>
        <v>-0.0762018737395136</v>
      </c>
      <c r="S178" s="16">
        <f t="shared" si="386"/>
        <v>-0.156470965580577</v>
      </c>
      <c r="T178" s="16">
        <f t="shared" si="387"/>
        <v>-0.0320815140830649</v>
      </c>
      <c r="U178" s="16">
        <f t="shared" si="388"/>
        <v>-0.0852499647460552</v>
      </c>
      <c r="V178" s="16">
        <f t="shared" si="389"/>
        <v>0.129818571720472</v>
      </c>
      <c r="W178" s="16">
        <f t="shared" si="390"/>
        <v>0.0255873592809407</v>
      </c>
      <c r="X178" s="16">
        <f t="shared" si="391"/>
        <v>-0.0465712141803658</v>
      </c>
      <c r="Y178" s="16">
        <f t="shared" si="392"/>
        <v>-0.000328920322018055</v>
      </c>
      <c r="Z178" s="16">
        <f t="shared" si="393"/>
        <v>-0.0300144572510681</v>
      </c>
      <c r="AA178" s="16">
        <f t="shared" si="394"/>
        <v>-0.0444663211033137</v>
      </c>
      <c r="AB178" s="16">
        <f t="shared" si="395"/>
        <v>-0.115029013730564</v>
      </c>
      <c r="AC178" s="16">
        <f t="shared" si="396"/>
        <v>0.00626770095075031</v>
      </c>
      <c r="AD178" s="16">
        <f t="shared" si="397"/>
        <v>-0.0136912903991293</v>
      </c>
      <c r="AE178" s="16">
        <f t="shared" si="398"/>
        <v>-0.0386881548494298</v>
      </c>
      <c r="AF178" s="16">
        <f t="shared" si="399"/>
        <v>-0.0818953683904161</v>
      </c>
      <c r="AG178" s="16">
        <f t="shared" si="400"/>
        <v>0.0211437642568489</v>
      </c>
      <c r="AH178" s="16">
        <f t="shared" si="401"/>
        <v>0.028720716718437</v>
      </c>
      <c r="AI178" s="16">
        <f t="shared" si="402"/>
        <v>0.0339748820034259</v>
      </c>
      <c r="AJ178" s="16">
        <f t="shared" si="403"/>
        <v>-0.0175385864746652</v>
      </c>
      <c r="AK178" s="16">
        <f t="shared" si="404"/>
        <v>-0.00139539542227143</v>
      </c>
      <c r="AL178" s="16">
        <f t="shared" si="405"/>
        <v>-0.0353393453482259</v>
      </c>
      <c r="AM178" s="16">
        <f t="shared" si="406"/>
        <v>-0.10037180158657</v>
      </c>
      <c r="AN178" s="16">
        <f t="shared" si="407"/>
        <v>-0.0312843788056907</v>
      </c>
      <c r="AO178" s="16">
        <f t="shared" si="408"/>
        <v>0.148989378047033</v>
      </c>
      <c r="AQ178" s="4">
        <f t="shared" si="409"/>
        <v>-0.0280556803396892</v>
      </c>
    </row>
    <row r="179" ht="14" spans="1:43">
      <c r="A179" s="32">
        <v>44136</v>
      </c>
      <c r="B179" s="16">
        <f t="shared" ref="B179:E179" si="424">LN(B51/B50)</f>
        <v>0.0537409534090299</v>
      </c>
      <c r="C179" s="16">
        <f t="shared" si="341"/>
        <v>0.0666056140539688</v>
      </c>
      <c r="D179" s="16">
        <f t="shared" si="424"/>
        <v>0.110140044575411</v>
      </c>
      <c r="E179" s="16">
        <f t="shared" si="424"/>
        <v>0.219651129156778</v>
      </c>
      <c r="F179" s="16">
        <f t="shared" si="373"/>
        <v>0.023236574614425</v>
      </c>
      <c r="G179" s="16">
        <f t="shared" si="374"/>
        <v>-0.01735470431955</v>
      </c>
      <c r="H179" s="16">
        <f t="shared" si="375"/>
        <v>0.0956828158984421</v>
      </c>
      <c r="I179" s="16">
        <f t="shared" si="376"/>
        <v>0.0816891083088597</v>
      </c>
      <c r="J179" s="16">
        <f t="shared" si="377"/>
        <v>0.0973518904555418</v>
      </c>
      <c r="K179" s="16">
        <f t="shared" si="378"/>
        <v>0.197905960594728</v>
      </c>
      <c r="L179" s="16">
        <f t="shared" si="379"/>
        <v>-0.0519751927258875</v>
      </c>
      <c r="M179" s="16">
        <f t="shared" si="380"/>
        <v>0.0880178243075483</v>
      </c>
      <c r="N179" s="16">
        <f t="shared" si="381"/>
        <v>0.055711692270235</v>
      </c>
      <c r="O179" s="16">
        <f t="shared" si="382"/>
        <v>0.0323307098389099</v>
      </c>
      <c r="P179" s="16">
        <f t="shared" si="383"/>
        <v>0.110214170165239</v>
      </c>
      <c r="Q179" s="16">
        <f t="shared" si="384"/>
        <v>-0.120765041916818</v>
      </c>
      <c r="R179" s="16">
        <f t="shared" si="385"/>
        <v>0.0669214407357588</v>
      </c>
      <c r="S179" s="16">
        <f t="shared" si="386"/>
        <v>0.0879332024986276</v>
      </c>
      <c r="T179" s="16">
        <f t="shared" si="387"/>
        <v>0.138531270839348</v>
      </c>
      <c r="U179" s="16">
        <f t="shared" si="388"/>
        <v>0.207589556126471</v>
      </c>
      <c r="V179" s="16">
        <f t="shared" si="389"/>
        <v>0.204004659281021</v>
      </c>
      <c r="W179" s="16">
        <f t="shared" si="390"/>
        <v>0.071689021241085</v>
      </c>
      <c r="X179" s="16">
        <f t="shared" si="391"/>
        <v>0.199708518347189</v>
      </c>
      <c r="Y179" s="16">
        <f t="shared" si="392"/>
        <v>0.27888454343514</v>
      </c>
      <c r="Z179" s="16">
        <f t="shared" si="393"/>
        <v>0.0206308173049501</v>
      </c>
      <c r="AA179" s="16">
        <f t="shared" si="394"/>
        <v>0.114891289883929</v>
      </c>
      <c r="AB179" s="16">
        <f t="shared" si="395"/>
        <v>0.0369743662472563</v>
      </c>
      <c r="AC179" s="16">
        <f t="shared" si="396"/>
        <v>0.192629459640101</v>
      </c>
      <c r="AD179" s="16">
        <f t="shared" si="397"/>
        <v>0.0183646136157004</v>
      </c>
      <c r="AE179" s="16">
        <f t="shared" si="398"/>
        <v>0.0644768990166619</v>
      </c>
      <c r="AF179" s="16">
        <f t="shared" si="399"/>
        <v>0.0801378490651986</v>
      </c>
      <c r="AG179" s="16">
        <f t="shared" si="400"/>
        <v>0.0740146963102986</v>
      </c>
      <c r="AH179" s="16">
        <f t="shared" si="401"/>
        <v>0.185525580918293</v>
      </c>
      <c r="AI179" s="16">
        <f t="shared" si="402"/>
        <v>0.0993764512493557</v>
      </c>
      <c r="AJ179" s="16">
        <f t="shared" si="403"/>
        <v>0.317142387398321</v>
      </c>
      <c r="AK179" s="16">
        <f t="shared" si="404"/>
        <v>0.0857804847701467</v>
      </c>
      <c r="AL179" s="16">
        <f t="shared" si="405"/>
        <v>0.22664815336372</v>
      </c>
      <c r="AM179" s="16">
        <f t="shared" si="406"/>
        <v>0.380308518192805</v>
      </c>
      <c r="AN179" s="16">
        <f t="shared" si="407"/>
        <v>0.16823903656394</v>
      </c>
      <c r="AO179" s="16">
        <f t="shared" si="408"/>
        <v>0.160965330013871</v>
      </c>
      <c r="AQ179" s="4">
        <f t="shared" si="409"/>
        <v>0.102146448318404</v>
      </c>
    </row>
    <row r="180" ht="14" spans="1:43">
      <c r="A180" s="32">
        <v>44166</v>
      </c>
      <c r="B180" s="16">
        <f t="shared" ref="B180:E180" si="425">LN(B52/B51)</f>
        <v>0.0910636201791634</v>
      </c>
      <c r="C180" s="16">
        <f t="shared" si="341"/>
        <v>0.0173874310077252</v>
      </c>
      <c r="D180" s="16">
        <f t="shared" si="425"/>
        <v>0.152869582424313</v>
      </c>
      <c r="E180" s="16">
        <f t="shared" si="425"/>
        <v>0.0242773741251696</v>
      </c>
      <c r="F180" s="16">
        <f t="shared" si="373"/>
        <v>0.0416439455396189</v>
      </c>
      <c r="G180" s="16">
        <f t="shared" si="374"/>
        <v>0.00171913988902132</v>
      </c>
      <c r="H180" s="16">
        <f t="shared" si="375"/>
        <v>0.138671996041988</v>
      </c>
      <c r="I180" s="16">
        <f t="shared" si="376"/>
        <v>0.0809934065087333</v>
      </c>
      <c r="J180" s="16">
        <f t="shared" si="377"/>
        <v>0.041751478505101</v>
      </c>
      <c r="K180" s="16">
        <f t="shared" si="378"/>
        <v>0.00749524037657203</v>
      </c>
      <c r="L180" s="16">
        <f t="shared" si="379"/>
        <v>-0.0659205323321769</v>
      </c>
      <c r="M180" s="16">
        <f t="shared" si="380"/>
        <v>0.0157931455643769</v>
      </c>
      <c r="N180" s="16">
        <f t="shared" si="381"/>
        <v>0.040878639135387</v>
      </c>
      <c r="O180" s="16">
        <f t="shared" si="382"/>
        <v>0.114002900133924</v>
      </c>
      <c r="P180" s="16">
        <f t="shared" si="383"/>
        <v>0.18673443009141</v>
      </c>
      <c r="Q180" s="16">
        <f t="shared" si="384"/>
        <v>0.137640547104824</v>
      </c>
      <c r="R180" s="16">
        <f t="shared" si="385"/>
        <v>-0.0261956100608794</v>
      </c>
      <c r="S180" s="16">
        <f t="shared" si="386"/>
        <v>0.0371975064751411</v>
      </c>
      <c r="T180" s="16">
        <f t="shared" si="387"/>
        <v>0.0864697041867172</v>
      </c>
      <c r="U180" s="16">
        <f t="shared" si="388"/>
        <v>-0.0103054554176495</v>
      </c>
      <c r="V180" s="16">
        <f t="shared" si="389"/>
        <v>-0.0234762318251555</v>
      </c>
      <c r="W180" s="16">
        <f t="shared" si="390"/>
        <v>0.0292745194881906</v>
      </c>
      <c r="X180" s="16">
        <f t="shared" si="391"/>
        <v>0.114484270351665</v>
      </c>
      <c r="Y180" s="16">
        <f t="shared" si="392"/>
        <v>0.101738531703217</v>
      </c>
      <c r="Z180" s="16">
        <f t="shared" si="393"/>
        <v>-0.00731413640453178</v>
      </c>
      <c r="AA180" s="16">
        <f t="shared" si="394"/>
        <v>0.0490380862205897</v>
      </c>
      <c r="AB180" s="16">
        <f t="shared" si="395"/>
        <v>-0.0234794008273861</v>
      </c>
      <c r="AC180" s="16">
        <f t="shared" si="396"/>
        <v>-0.0426380074775387</v>
      </c>
      <c r="AD180" s="16">
        <f t="shared" si="397"/>
        <v>0.00194231604119012</v>
      </c>
      <c r="AE180" s="16">
        <f t="shared" si="398"/>
        <v>0.0888688938550261</v>
      </c>
      <c r="AF180" s="16">
        <f t="shared" si="399"/>
        <v>-0.011530423198392</v>
      </c>
      <c r="AG180" s="16">
        <f t="shared" si="400"/>
        <v>0.0627925375824275</v>
      </c>
      <c r="AH180" s="16">
        <f t="shared" si="401"/>
        <v>0.00941393855131117</v>
      </c>
      <c r="AI180" s="16">
        <f t="shared" si="402"/>
        <v>-0.0987988575105429</v>
      </c>
      <c r="AJ180" s="16">
        <f t="shared" si="403"/>
        <v>0.0202086306530358</v>
      </c>
      <c r="AK180" s="16">
        <f t="shared" si="404"/>
        <v>0.0426511517889912</v>
      </c>
      <c r="AL180" s="16">
        <f t="shared" si="405"/>
        <v>-0.0172082807882214</v>
      </c>
      <c r="AM180" s="16">
        <f t="shared" si="406"/>
        <v>0.217730760835276</v>
      </c>
      <c r="AN180" s="16">
        <f t="shared" si="407"/>
        <v>0.0836105100671864</v>
      </c>
      <c r="AO180" s="16">
        <f t="shared" si="408"/>
        <v>-0.0324594809161164</v>
      </c>
      <c r="AQ180" s="4">
        <f t="shared" si="409"/>
        <v>0.0364489972832161</v>
      </c>
    </row>
    <row r="181" ht="14" spans="1:43">
      <c r="A181" s="32">
        <v>44197</v>
      </c>
      <c r="B181" s="16">
        <f t="shared" ref="B181:E181" si="426">LN(B53/B52)</f>
        <v>0.0358842234459604</v>
      </c>
      <c r="C181" s="16">
        <f t="shared" si="341"/>
        <v>-0.0516971281127775</v>
      </c>
      <c r="D181" s="16">
        <f t="shared" si="426"/>
        <v>0.208442525991297</v>
      </c>
      <c r="E181" s="16">
        <f t="shared" si="426"/>
        <v>-0.0445618764982721</v>
      </c>
      <c r="F181" s="16">
        <f t="shared" si="373"/>
        <v>0.0488479889647436</v>
      </c>
      <c r="G181" s="16">
        <f t="shared" si="374"/>
        <v>0.0905756116945834</v>
      </c>
      <c r="H181" s="16">
        <f t="shared" si="375"/>
        <v>0.141968671444004</v>
      </c>
      <c r="I181" s="16">
        <f t="shared" si="376"/>
        <v>-0.0433157489110163</v>
      </c>
      <c r="J181" s="16">
        <f t="shared" si="377"/>
        <v>-0.0463999634090003</v>
      </c>
      <c r="K181" s="16">
        <f t="shared" si="378"/>
        <v>0.0478832959345794</v>
      </c>
      <c r="L181" s="16">
        <f t="shared" si="379"/>
        <v>0.0420143863584822</v>
      </c>
      <c r="M181" s="16">
        <f t="shared" si="380"/>
        <v>-0.0530875587936678</v>
      </c>
      <c r="N181" s="16">
        <f t="shared" si="381"/>
        <v>0.0419978725194503</v>
      </c>
      <c r="O181" s="16">
        <f t="shared" si="382"/>
        <v>-0.0681209689750308</v>
      </c>
      <c r="P181" s="16">
        <f t="shared" si="383"/>
        <v>-0.0257788415883367</v>
      </c>
      <c r="Q181" s="16">
        <f t="shared" si="384"/>
        <v>0.0138590318008793</v>
      </c>
      <c r="R181" s="16">
        <f t="shared" si="385"/>
        <v>-0.0047145970555842</v>
      </c>
      <c r="S181" s="16">
        <f t="shared" si="386"/>
        <v>0.108146509967148</v>
      </c>
      <c r="T181" s="16">
        <f t="shared" si="387"/>
        <v>0.0369661682593315</v>
      </c>
      <c r="U181" s="16">
        <f t="shared" si="388"/>
        <v>-0.0684789608493708</v>
      </c>
      <c r="V181" s="16">
        <f t="shared" si="389"/>
        <v>-0.0822965447095931</v>
      </c>
      <c r="W181" s="16">
        <f t="shared" si="390"/>
        <v>-0.0132958551171055</v>
      </c>
      <c r="X181" s="16">
        <f t="shared" si="391"/>
        <v>-0.00199225467824297</v>
      </c>
      <c r="Y181" s="16">
        <f t="shared" si="392"/>
        <v>0.112479179345021</v>
      </c>
      <c r="Z181" s="16">
        <f t="shared" si="393"/>
        <v>-0.0319142383691974</v>
      </c>
      <c r="AA181" s="16">
        <f t="shared" si="394"/>
        <v>-0.0553023352731992</v>
      </c>
      <c r="AB181" s="16">
        <f t="shared" si="395"/>
        <v>-0.0316435339174806</v>
      </c>
      <c r="AC181" s="16">
        <f t="shared" si="396"/>
        <v>0.0916613730610872</v>
      </c>
      <c r="AD181" s="16">
        <f t="shared" si="397"/>
        <v>-0.0818108553628155</v>
      </c>
      <c r="AE181" s="16">
        <f t="shared" si="398"/>
        <v>-0.0243056804204347</v>
      </c>
      <c r="AF181" s="16">
        <f t="shared" si="399"/>
        <v>-0.0340386840457772</v>
      </c>
      <c r="AG181" s="16">
        <f t="shared" si="400"/>
        <v>-0.0337421242554457</v>
      </c>
      <c r="AH181" s="16">
        <f t="shared" si="401"/>
        <v>0.123471828342046</v>
      </c>
      <c r="AI181" s="16">
        <f t="shared" si="402"/>
        <v>-0.0959505349500635</v>
      </c>
      <c r="AJ181" s="16">
        <f t="shared" si="403"/>
        <v>0.0827253607492272</v>
      </c>
      <c r="AK181" s="16">
        <f t="shared" si="404"/>
        <v>-0.0797649684688626</v>
      </c>
      <c r="AL181" s="16">
        <f t="shared" si="405"/>
        <v>0.00884174373230747</v>
      </c>
      <c r="AM181" s="16">
        <f t="shared" si="406"/>
        <v>0.117343640313992</v>
      </c>
      <c r="AN181" s="16">
        <f t="shared" si="407"/>
        <v>-0.0975870305629036</v>
      </c>
      <c r="AO181" s="16">
        <f t="shared" si="408"/>
        <v>0.180613614448799</v>
      </c>
      <c r="AQ181" s="4">
        <f t="shared" si="409"/>
        <v>-0.0111991168219422</v>
      </c>
    </row>
    <row r="182" ht="14" spans="1:43">
      <c r="A182" s="32">
        <v>44228</v>
      </c>
      <c r="B182" s="16">
        <f t="shared" ref="B182:E182" si="427">LN(B54/B53)</f>
        <v>-0.0290456230594141</v>
      </c>
      <c r="C182" s="16">
        <f t="shared" si="341"/>
        <v>-0.0594737297093132</v>
      </c>
      <c r="D182" s="16">
        <f t="shared" si="427"/>
        <v>-0.0149207445253807</v>
      </c>
      <c r="E182" s="16">
        <f t="shared" si="427"/>
        <v>0.0616816795518751</v>
      </c>
      <c r="F182" s="16">
        <f t="shared" si="373"/>
        <v>-0.070834731542839</v>
      </c>
      <c r="G182" s="16">
        <f t="shared" si="374"/>
        <v>-0.124397001656316</v>
      </c>
      <c r="H182" s="16">
        <f t="shared" si="375"/>
        <v>0.0299612409160513</v>
      </c>
      <c r="I182" s="16">
        <f t="shared" si="376"/>
        <v>0.0831233655193755</v>
      </c>
      <c r="J182" s="16">
        <f t="shared" si="377"/>
        <v>-0.00408526385073687</v>
      </c>
      <c r="K182" s="16">
        <f t="shared" si="378"/>
        <v>-0.0437089201988531</v>
      </c>
      <c r="L182" s="16">
        <f t="shared" si="379"/>
        <v>-0.111745309467115</v>
      </c>
      <c r="M182" s="16">
        <f t="shared" si="380"/>
        <v>-0.0445872012483114</v>
      </c>
      <c r="N182" s="16">
        <f t="shared" si="381"/>
        <v>0.00180871309464215</v>
      </c>
      <c r="O182" s="16">
        <f t="shared" si="382"/>
        <v>0.0691539100665875</v>
      </c>
      <c r="P182" s="16">
        <f t="shared" si="383"/>
        <v>0.154002630378472</v>
      </c>
      <c r="Q182" s="16">
        <f t="shared" si="384"/>
        <v>-0.0769233755192113</v>
      </c>
      <c r="R182" s="16">
        <f t="shared" si="385"/>
        <v>0.0542926032057306</v>
      </c>
      <c r="S182" s="16">
        <f t="shared" si="386"/>
        <v>0.0906976637862262</v>
      </c>
      <c r="T182" s="16">
        <f t="shared" si="387"/>
        <v>0.0420981159602434</v>
      </c>
      <c r="U182" s="16">
        <f t="shared" si="388"/>
        <v>-0.0132825931650911</v>
      </c>
      <c r="V182" s="16">
        <f t="shared" si="389"/>
        <v>-0.00206999728914767</v>
      </c>
      <c r="W182" s="16">
        <f t="shared" si="390"/>
        <v>-0.0180198444694912</v>
      </c>
      <c r="X182" s="16">
        <f t="shared" si="391"/>
        <v>0.174139405406306</v>
      </c>
      <c r="Y182" s="16">
        <f t="shared" si="392"/>
        <v>0.101097082804361</v>
      </c>
      <c r="Z182" s="16">
        <f t="shared" si="393"/>
        <v>-0.00821319083733013</v>
      </c>
      <c r="AA182" s="16">
        <f t="shared" si="394"/>
        <v>0.00886810100972826</v>
      </c>
      <c r="AB182" s="16">
        <f t="shared" si="395"/>
        <v>-0.0676435213218217</v>
      </c>
      <c r="AC182" s="16">
        <f t="shared" si="396"/>
        <v>0.293430838483794</v>
      </c>
      <c r="AD182" s="16">
        <f t="shared" si="397"/>
        <v>-0.0311722732723839</v>
      </c>
      <c r="AE182" s="16">
        <f t="shared" si="398"/>
        <v>0.0534127784755743</v>
      </c>
      <c r="AF182" s="16">
        <f t="shared" si="399"/>
        <v>-0.113891006090089</v>
      </c>
      <c r="AG182" s="16">
        <f t="shared" si="400"/>
        <v>0.0821750884360613</v>
      </c>
      <c r="AH182" s="16">
        <f t="shared" si="401"/>
        <v>-0.0360285330164757</v>
      </c>
      <c r="AI182" s="16">
        <f t="shared" si="402"/>
        <v>0.0782696137148271</v>
      </c>
      <c r="AJ182" s="16">
        <f t="shared" si="403"/>
        <v>0.241146636643018</v>
      </c>
      <c r="AK182" s="16">
        <f t="shared" si="404"/>
        <v>0.0898889858183421</v>
      </c>
      <c r="AL182" s="16">
        <f t="shared" si="405"/>
        <v>0.160168852284208</v>
      </c>
      <c r="AM182" s="16">
        <f t="shared" si="406"/>
        <v>-0.161038189034901</v>
      </c>
      <c r="AN182" s="16">
        <f t="shared" si="407"/>
        <v>-0.0532719356177648</v>
      </c>
      <c r="AO182" s="16">
        <f t="shared" si="408"/>
        <v>0.105360515657826</v>
      </c>
      <c r="AQ182" s="4">
        <f t="shared" si="409"/>
        <v>0.0257568996671256</v>
      </c>
    </row>
    <row r="183" ht="14" spans="1:43">
      <c r="A183" s="32">
        <v>44256</v>
      </c>
      <c r="B183" s="16">
        <f t="shared" ref="B183:E183" si="428">LN(B55/B54)</f>
        <v>0.0427128493102145</v>
      </c>
      <c r="C183" s="16">
        <f t="shared" si="341"/>
        <v>0.0597330617562795</v>
      </c>
      <c r="D183" s="16">
        <f t="shared" si="428"/>
        <v>-0.0881603069168362</v>
      </c>
      <c r="E183" s="16">
        <f t="shared" si="428"/>
        <v>0.00444522264734452</v>
      </c>
      <c r="F183" s="16">
        <f t="shared" si="373"/>
        <v>0.108353049044355</v>
      </c>
      <c r="G183" s="16">
        <f t="shared" si="374"/>
        <v>0.0139006319340422</v>
      </c>
      <c r="H183" s="16">
        <f t="shared" si="375"/>
        <v>-0.134634127616358</v>
      </c>
      <c r="I183" s="16">
        <f t="shared" si="376"/>
        <v>-0.0611594457789601</v>
      </c>
      <c r="J183" s="16">
        <f t="shared" si="377"/>
        <v>0.113284503573509</v>
      </c>
      <c r="K183" s="16">
        <f t="shared" si="378"/>
        <v>0.0991325282972517</v>
      </c>
      <c r="L183" s="16">
        <f t="shared" si="379"/>
        <v>0.0488778798986623</v>
      </c>
      <c r="M183" s="16">
        <f t="shared" si="380"/>
        <v>0.00836470303042601</v>
      </c>
      <c r="N183" s="16">
        <f t="shared" si="381"/>
        <v>0.0167834827919906</v>
      </c>
      <c r="O183" s="16">
        <f t="shared" si="382"/>
        <v>0.084100401399467</v>
      </c>
      <c r="P183" s="16">
        <f t="shared" si="383"/>
        <v>0.0882050182794185</v>
      </c>
      <c r="Q183" s="16">
        <f t="shared" si="384"/>
        <v>0.0919169374767437</v>
      </c>
      <c r="R183" s="16">
        <f t="shared" si="385"/>
        <v>-0.0270679871469684</v>
      </c>
      <c r="S183" s="16">
        <f t="shared" si="386"/>
        <v>0.0576738216408533</v>
      </c>
      <c r="T183" s="16">
        <f t="shared" si="387"/>
        <v>-0.0133045469455048</v>
      </c>
      <c r="U183" s="16">
        <f t="shared" si="388"/>
        <v>-0.0737712457680282</v>
      </c>
      <c r="V183" s="16">
        <f t="shared" si="389"/>
        <v>-0.0503646954957027</v>
      </c>
      <c r="W183" s="16">
        <f t="shared" si="390"/>
        <v>-0.0645560171353622</v>
      </c>
      <c r="X183" s="16">
        <f t="shared" si="391"/>
        <v>0.0916320338219715</v>
      </c>
      <c r="Y183" s="16">
        <f t="shared" si="392"/>
        <v>-0.0882213684443159</v>
      </c>
      <c r="Z183" s="16">
        <f t="shared" si="393"/>
        <v>0.0898494936511042</v>
      </c>
      <c r="AA183" s="16">
        <f t="shared" si="394"/>
        <v>-0.0120909037895324</v>
      </c>
      <c r="AB183" s="16">
        <f t="shared" si="395"/>
        <v>0.0596004900778621</v>
      </c>
      <c r="AC183" s="16">
        <f t="shared" si="396"/>
        <v>0.123741577273606</v>
      </c>
      <c r="AD183" s="16">
        <f t="shared" si="397"/>
        <v>0.0919712847703649</v>
      </c>
      <c r="AE183" s="16">
        <f t="shared" si="398"/>
        <v>0.0546558447790528</v>
      </c>
      <c r="AF183" s="16">
        <f t="shared" si="399"/>
        <v>0.0794323504206978</v>
      </c>
      <c r="AG183" s="16">
        <f t="shared" si="400"/>
        <v>0.0948604334731237</v>
      </c>
      <c r="AH183" s="16">
        <f t="shared" si="401"/>
        <v>0.154271875024809</v>
      </c>
      <c r="AI183" s="16">
        <f t="shared" si="402"/>
        <v>0.109814102436813</v>
      </c>
      <c r="AJ183" s="16">
        <f t="shared" si="403"/>
        <v>0.177895447467394</v>
      </c>
      <c r="AK183" s="16">
        <f t="shared" si="404"/>
        <v>0.155687730480663</v>
      </c>
      <c r="AL183" s="16">
        <f t="shared" si="405"/>
        <v>0.0608251826746068</v>
      </c>
      <c r="AM183" s="16">
        <f t="shared" si="406"/>
        <v>-0.0112697797736692</v>
      </c>
      <c r="AN183" s="16">
        <f t="shared" si="407"/>
        <v>0.0585418713122209</v>
      </c>
      <c r="AO183" s="16">
        <f t="shared" si="408"/>
        <v>0.0459370951870256</v>
      </c>
      <c r="AQ183" s="4">
        <f t="shared" si="409"/>
        <v>0.041562808697443</v>
      </c>
    </row>
    <row r="184" ht="14" spans="1:43">
      <c r="A184" s="32">
        <v>44287</v>
      </c>
      <c r="B184" s="16">
        <f t="shared" ref="B184:E184" si="429">LN(B56/B55)</f>
        <v>-0.00990625245343572</v>
      </c>
      <c r="C184" s="16">
        <f t="shared" si="341"/>
        <v>-0.0254267083731625</v>
      </c>
      <c r="D184" s="16">
        <f t="shared" si="429"/>
        <v>-0.0219170362043454</v>
      </c>
      <c r="E184" s="16">
        <f t="shared" si="429"/>
        <v>0.0298577472938257</v>
      </c>
      <c r="F184" s="16">
        <f t="shared" si="373"/>
        <v>-0.0375517712046639</v>
      </c>
      <c r="G184" s="16">
        <f t="shared" si="374"/>
        <v>0.0304733454386275</v>
      </c>
      <c r="H184" s="16">
        <f t="shared" si="375"/>
        <v>0.0226036139076064</v>
      </c>
      <c r="I184" s="16">
        <f t="shared" si="376"/>
        <v>0.115083990961658</v>
      </c>
      <c r="J184" s="16">
        <f t="shared" si="377"/>
        <v>0.0729244858252363</v>
      </c>
      <c r="K184" s="16">
        <f t="shared" si="378"/>
        <v>0.0154326655974086</v>
      </c>
      <c r="L184" s="16">
        <f t="shared" si="379"/>
        <v>0.0170994485248025</v>
      </c>
      <c r="M184" s="16">
        <f t="shared" si="380"/>
        <v>-0.0316786259017201</v>
      </c>
      <c r="N184" s="16">
        <f t="shared" si="381"/>
        <v>0.0672863116469777</v>
      </c>
      <c r="O184" s="16">
        <f t="shared" si="382"/>
        <v>0.0770455868763619</v>
      </c>
      <c r="P184" s="16">
        <f t="shared" si="383"/>
        <v>0.102031044618071</v>
      </c>
      <c r="Q184" s="16">
        <f t="shared" si="384"/>
        <v>0.0163285673740679</v>
      </c>
      <c r="R184" s="16">
        <f t="shared" si="385"/>
        <v>0.117643077363726</v>
      </c>
      <c r="S184" s="16">
        <f t="shared" si="386"/>
        <v>-0.106576579654865</v>
      </c>
      <c r="T184" s="16">
        <f t="shared" si="387"/>
        <v>-0.0084338699663959</v>
      </c>
      <c r="U184" s="16">
        <f t="shared" si="388"/>
        <v>0.038975705189297</v>
      </c>
      <c r="V184" s="16">
        <f t="shared" si="389"/>
        <v>0.0322429264462204</v>
      </c>
      <c r="W184" s="16">
        <f t="shared" si="390"/>
        <v>0.0124395531432056</v>
      </c>
      <c r="X184" s="16">
        <f t="shared" si="391"/>
        <v>0.0781510035763783</v>
      </c>
      <c r="Y184" s="16">
        <f t="shared" si="392"/>
        <v>-0.0143837070053204</v>
      </c>
      <c r="Z184" s="16">
        <f t="shared" si="393"/>
        <v>0.0518999842187893</v>
      </c>
      <c r="AA184" s="16">
        <f t="shared" si="394"/>
        <v>-0.00203372883460964</v>
      </c>
      <c r="AB184" s="16">
        <f t="shared" si="395"/>
        <v>0.140924951384174</v>
      </c>
      <c r="AC184" s="16">
        <f t="shared" si="396"/>
        <v>0.0632647463250717</v>
      </c>
      <c r="AD184" s="16">
        <f t="shared" si="397"/>
        <v>-0.0149533130792508</v>
      </c>
      <c r="AE184" s="16">
        <f t="shared" si="398"/>
        <v>0.0815055792272537</v>
      </c>
      <c r="AF184" s="16">
        <f t="shared" si="399"/>
        <v>0.0504691676009871</v>
      </c>
      <c r="AG184" s="16">
        <f t="shared" si="400"/>
        <v>0.0419163894261746</v>
      </c>
      <c r="AH184" s="16">
        <f t="shared" si="401"/>
        <v>0.00669869073000785</v>
      </c>
      <c r="AI184" s="16">
        <f t="shared" si="402"/>
        <v>0.024434513567908</v>
      </c>
      <c r="AJ184" s="16">
        <f t="shared" si="403"/>
        <v>0.0333994601958204</v>
      </c>
      <c r="AK184" s="16">
        <f t="shared" si="404"/>
        <v>-0.0234597224956253</v>
      </c>
      <c r="AL184" s="16">
        <f t="shared" si="405"/>
        <v>-0.0165500078829982</v>
      </c>
      <c r="AM184" s="16">
        <f t="shared" si="406"/>
        <v>0.0602925488013623</v>
      </c>
      <c r="AN184" s="16">
        <f t="shared" si="407"/>
        <v>0.0194486138954866</v>
      </c>
      <c r="AO184" s="16">
        <f t="shared" si="408"/>
        <v>-0.0597066759107825</v>
      </c>
      <c r="AQ184" s="4">
        <f t="shared" si="409"/>
        <v>0.0510973221142939</v>
      </c>
    </row>
    <row r="185" ht="14" spans="1:43">
      <c r="A185" s="32">
        <v>44317</v>
      </c>
      <c r="B185" s="16">
        <f t="shared" ref="B185:E185" si="430">LN(B57/B56)</f>
        <v>0.0392845402692819</v>
      </c>
      <c r="C185" s="16">
        <f t="shared" si="341"/>
        <v>0.0184859121707157</v>
      </c>
      <c r="D185" s="16">
        <f t="shared" si="430"/>
        <v>0.0887881981635474</v>
      </c>
      <c r="E185" s="16">
        <f t="shared" si="430"/>
        <v>0.0272169681355634</v>
      </c>
      <c r="F185" s="16">
        <f t="shared" si="373"/>
        <v>-0.00711927962433683</v>
      </c>
      <c r="G185" s="16">
        <f t="shared" si="374"/>
        <v>-0.00155373899494698</v>
      </c>
      <c r="H185" s="16">
        <f t="shared" si="375"/>
        <v>0.0320636624542222</v>
      </c>
      <c r="I185" s="16">
        <f t="shared" si="376"/>
        <v>0.0164758491623284</v>
      </c>
      <c r="J185" s="16">
        <f t="shared" si="377"/>
        <v>0.0323691178463992</v>
      </c>
      <c r="K185" s="16">
        <f t="shared" si="378"/>
        <v>0.130008096883428</v>
      </c>
      <c r="L185" s="16">
        <f t="shared" si="379"/>
        <v>0.0429655504379488</v>
      </c>
      <c r="M185" s="16">
        <f t="shared" si="380"/>
        <v>0.0908654403029783</v>
      </c>
      <c r="N185" s="16">
        <f t="shared" si="381"/>
        <v>-0.00996312171923463</v>
      </c>
      <c r="O185" s="16">
        <f t="shared" si="382"/>
        <v>0.0425022163406106</v>
      </c>
      <c r="P185" s="16">
        <f t="shared" si="383"/>
        <v>0.0677222544135327</v>
      </c>
      <c r="Q185" s="16">
        <f t="shared" si="384"/>
        <v>0.246831120258301</v>
      </c>
      <c r="R185" s="16">
        <f t="shared" si="385"/>
        <v>0.0790710725988456</v>
      </c>
      <c r="S185" s="16">
        <f t="shared" si="386"/>
        <v>-0.00715224550985914</v>
      </c>
      <c r="T185" s="16">
        <f t="shared" si="387"/>
        <v>0.034746412416069</v>
      </c>
      <c r="U185" s="16">
        <f t="shared" si="388"/>
        <v>-0.0190481949706946</v>
      </c>
      <c r="V185" s="16">
        <f t="shared" si="389"/>
        <v>-0.0075306286227259</v>
      </c>
      <c r="W185" s="16">
        <f t="shared" si="390"/>
        <v>-0.0663135022823878</v>
      </c>
      <c r="X185" s="16">
        <f t="shared" si="391"/>
        <v>-0.154395117788235</v>
      </c>
      <c r="Y185" s="16">
        <f t="shared" si="392"/>
        <v>-0.187941221187539</v>
      </c>
      <c r="Z185" s="16">
        <f t="shared" si="393"/>
        <v>-0.00931982738494729</v>
      </c>
      <c r="AA185" s="16">
        <f t="shared" si="394"/>
        <v>0.0285432384663318</v>
      </c>
      <c r="AB185" s="16">
        <f t="shared" si="395"/>
        <v>0.0106688756266736</v>
      </c>
      <c r="AC185" s="16">
        <f t="shared" si="396"/>
        <v>0.0584978440581873</v>
      </c>
      <c r="AD185" s="16">
        <f t="shared" si="397"/>
        <v>0.0170389566644639</v>
      </c>
      <c r="AE185" s="16">
        <f t="shared" si="398"/>
        <v>0.0149404607609611</v>
      </c>
      <c r="AF185" s="16">
        <f t="shared" si="399"/>
        <v>0.0210639324118341</v>
      </c>
      <c r="AG185" s="16">
        <f t="shared" si="400"/>
        <v>0.0542075213752524</v>
      </c>
      <c r="AH185" s="16">
        <f t="shared" si="401"/>
        <v>0.0621946168762919</v>
      </c>
      <c r="AI185" s="16">
        <f t="shared" si="402"/>
        <v>0.0810200695738444</v>
      </c>
      <c r="AJ185" s="16">
        <f t="shared" si="403"/>
        <v>0.0674888770678458</v>
      </c>
      <c r="AK185" s="16">
        <f t="shared" si="404"/>
        <v>0.0603739728132428</v>
      </c>
      <c r="AL185" s="16">
        <f t="shared" si="405"/>
        <v>0.00696094855977217</v>
      </c>
      <c r="AM185" s="16">
        <f t="shared" si="406"/>
        <v>-0.126372338629011</v>
      </c>
      <c r="AN185" s="16">
        <f t="shared" si="407"/>
        <v>-0.00677704079104685</v>
      </c>
      <c r="AO185" s="16">
        <f t="shared" si="408"/>
        <v>0.230396216502238</v>
      </c>
      <c r="AQ185" s="4">
        <f t="shared" si="409"/>
        <v>0.00547150655202215</v>
      </c>
    </row>
    <row r="186" ht="14" spans="1:43">
      <c r="A186" s="32">
        <v>44348</v>
      </c>
      <c r="B186" s="16">
        <f t="shared" ref="B186:E186" si="431">LN(B58/B57)</f>
        <v>-0.0207891011302932</v>
      </c>
      <c r="C186" s="16">
        <f t="shared" si="341"/>
        <v>0.0713543267818586</v>
      </c>
      <c r="D186" s="16">
        <f t="shared" si="431"/>
        <v>0.143382946556505</v>
      </c>
      <c r="E186" s="16">
        <f t="shared" si="431"/>
        <v>-0.00495904307074391</v>
      </c>
      <c r="F186" s="16">
        <f t="shared" si="373"/>
        <v>0.0311312862651493</v>
      </c>
      <c r="G186" s="16">
        <f t="shared" si="374"/>
        <v>0.07184028135569</v>
      </c>
      <c r="H186" s="16">
        <f t="shared" si="375"/>
        <v>0.154073197850584</v>
      </c>
      <c r="I186" s="16">
        <f t="shared" si="376"/>
        <v>0.123621039650267</v>
      </c>
      <c r="J186" s="16">
        <f t="shared" si="377"/>
        <v>-0.0282652133575719</v>
      </c>
      <c r="K186" s="16">
        <f t="shared" si="378"/>
        <v>-0.0353228294669154</v>
      </c>
      <c r="L186" s="16">
        <f t="shared" si="379"/>
        <v>0.105869909609441</v>
      </c>
      <c r="M186" s="16">
        <f t="shared" si="380"/>
        <v>0.182299781779256</v>
      </c>
      <c r="N186" s="16">
        <f t="shared" si="381"/>
        <v>0.0838762321733684</v>
      </c>
      <c r="O186" s="16">
        <f t="shared" si="382"/>
        <v>-0.0114958184235279</v>
      </c>
      <c r="P186" s="16">
        <f t="shared" si="383"/>
        <v>0.0860996103692239</v>
      </c>
      <c r="Q186" s="16">
        <f t="shared" si="384"/>
        <v>-0.016035495508525</v>
      </c>
      <c r="R186" s="16">
        <f t="shared" si="385"/>
        <v>0.208102486493502</v>
      </c>
      <c r="S186" s="16">
        <f t="shared" si="386"/>
        <v>-0.0111654300156723</v>
      </c>
      <c r="T186" s="16">
        <f t="shared" si="387"/>
        <v>0.00950329518410418</v>
      </c>
      <c r="U186" s="16">
        <f t="shared" si="388"/>
        <v>0.159523688999459</v>
      </c>
      <c r="V186" s="16">
        <f t="shared" si="389"/>
        <v>0.130060810185275</v>
      </c>
      <c r="W186" s="16">
        <f t="shared" si="390"/>
        <v>0.148145636428351</v>
      </c>
      <c r="X186" s="16">
        <f t="shared" si="391"/>
        <v>0.0323152914389782</v>
      </c>
      <c r="Y186" s="16">
        <f t="shared" si="392"/>
        <v>0.222791398014598</v>
      </c>
      <c r="Z186" s="16">
        <f t="shared" si="393"/>
        <v>-0.00696907135714807</v>
      </c>
      <c r="AA186" s="16">
        <f t="shared" si="394"/>
        <v>0.126114046231266</v>
      </c>
      <c r="AB186" s="16">
        <f t="shared" si="395"/>
        <v>0.0887569295553234</v>
      </c>
      <c r="AC186" s="16">
        <f t="shared" si="396"/>
        <v>0.0308627518620224</v>
      </c>
      <c r="AD186" s="16">
        <f t="shared" si="397"/>
        <v>0.000593075801652048</v>
      </c>
      <c r="AE186" s="16">
        <f t="shared" si="398"/>
        <v>0.0274130057255026</v>
      </c>
      <c r="AF186" s="16">
        <f t="shared" si="399"/>
        <v>-0.0162606738530651</v>
      </c>
      <c r="AG186" s="16">
        <f t="shared" si="400"/>
        <v>-0.0575410459342767</v>
      </c>
      <c r="AH186" s="16">
        <f t="shared" si="401"/>
        <v>-0.0352794063401897</v>
      </c>
      <c r="AI186" s="16">
        <f t="shared" si="402"/>
        <v>-0.0537692337340393</v>
      </c>
      <c r="AJ186" s="16">
        <f t="shared" si="403"/>
        <v>-0.290031042664019</v>
      </c>
      <c r="AK186" s="16">
        <f t="shared" si="404"/>
        <v>-0.0564256001818747</v>
      </c>
      <c r="AL186" s="16">
        <f t="shared" si="405"/>
        <v>0.0212781891881833</v>
      </c>
      <c r="AM186" s="16">
        <f t="shared" si="406"/>
        <v>0.0835479365536569</v>
      </c>
      <c r="AN186" s="16">
        <f t="shared" si="407"/>
        <v>-0.0233126444126968</v>
      </c>
      <c r="AO186" s="16">
        <f t="shared" si="408"/>
        <v>0.0224575617074217</v>
      </c>
      <c r="AQ186" s="4">
        <f t="shared" si="409"/>
        <v>0.021970840045862</v>
      </c>
    </row>
    <row r="187" ht="14" spans="1:43">
      <c r="A187" s="32">
        <v>44378</v>
      </c>
      <c r="B187" s="16">
        <f t="shared" ref="B187:E187" si="432">LN(B59/B58)</f>
        <v>0.0442885266980873</v>
      </c>
      <c r="C187" s="16">
        <f t="shared" si="341"/>
        <v>-0.0030810676078645</v>
      </c>
      <c r="D187" s="16">
        <f t="shared" si="432"/>
        <v>0.0591267461853228</v>
      </c>
      <c r="E187" s="16">
        <f t="shared" si="432"/>
        <v>0.0319766273019155</v>
      </c>
      <c r="F187" s="16">
        <f t="shared" si="373"/>
        <v>-0.00910816388503035</v>
      </c>
      <c r="G187" s="16">
        <f t="shared" si="374"/>
        <v>0.0686383580331023</v>
      </c>
      <c r="H187" s="16">
        <f t="shared" si="375"/>
        <v>0.0465325028055259</v>
      </c>
      <c r="I187" s="16">
        <f t="shared" si="376"/>
        <v>0.0717515782580228</v>
      </c>
      <c r="J187" s="16">
        <f t="shared" si="377"/>
        <v>0.0326489456513177</v>
      </c>
      <c r="K187" s="16">
        <f t="shared" si="378"/>
        <v>-0.0130279451050477</v>
      </c>
      <c r="L187" s="16">
        <f t="shared" si="379"/>
        <v>0.0283653134483667</v>
      </c>
      <c r="M187" s="16">
        <f t="shared" si="380"/>
        <v>0.0976235230584695</v>
      </c>
      <c r="N187" s="16">
        <f t="shared" si="381"/>
        <v>0.0504234809207855</v>
      </c>
      <c r="O187" s="16">
        <f t="shared" si="382"/>
        <v>0.112860578786716</v>
      </c>
      <c r="P187" s="16">
        <f t="shared" si="383"/>
        <v>0.133615355680827</v>
      </c>
      <c r="Q187" s="16">
        <f t="shared" si="384"/>
        <v>-0.0878955715602481</v>
      </c>
      <c r="R187" s="16">
        <f t="shared" si="385"/>
        <v>-0.0252649868703281</v>
      </c>
      <c r="S187" s="16">
        <f t="shared" si="386"/>
        <v>-0.0440630941514819</v>
      </c>
      <c r="T187" s="16">
        <f t="shared" si="387"/>
        <v>0.025589410601982</v>
      </c>
      <c r="U187" s="16">
        <f t="shared" si="388"/>
        <v>0.12268011840933</v>
      </c>
      <c r="V187" s="16">
        <f t="shared" si="389"/>
        <v>0.0353201614919669</v>
      </c>
      <c r="W187" s="16">
        <f t="shared" si="390"/>
        <v>0.0674400940531069</v>
      </c>
      <c r="X187" s="16">
        <f t="shared" si="391"/>
        <v>-0.0383374052549503</v>
      </c>
      <c r="Y187" s="16">
        <f t="shared" si="392"/>
        <v>-0.114830006050906</v>
      </c>
      <c r="Z187" s="16">
        <f t="shared" si="393"/>
        <v>0.0494929148252266</v>
      </c>
      <c r="AA187" s="16">
        <f t="shared" si="394"/>
        <v>0.0809133741348105</v>
      </c>
      <c r="AB187" s="16">
        <f t="shared" si="395"/>
        <v>0.12117219975179</v>
      </c>
      <c r="AC187" s="16">
        <f t="shared" si="396"/>
        <v>0.107604947293233</v>
      </c>
      <c r="AD187" s="16">
        <f t="shared" si="397"/>
        <v>0.0526888047232746</v>
      </c>
      <c r="AE187" s="16">
        <f t="shared" si="398"/>
        <v>0.0219059445201302</v>
      </c>
      <c r="AF187" s="16">
        <f t="shared" si="399"/>
        <v>-0.0167202327690166</v>
      </c>
      <c r="AG187" s="16">
        <f t="shared" si="400"/>
        <v>-0.0583128285209019</v>
      </c>
      <c r="AH187" s="16">
        <f t="shared" si="401"/>
        <v>-0.104268801225442</v>
      </c>
      <c r="AI187" s="16">
        <f t="shared" si="402"/>
        <v>-0.0611162905442589</v>
      </c>
      <c r="AJ187" s="16">
        <f t="shared" si="403"/>
        <v>0.0156867233700738</v>
      </c>
      <c r="AK187" s="16">
        <f t="shared" si="404"/>
        <v>0.00453652675792685</v>
      </c>
      <c r="AL187" s="16">
        <f t="shared" si="405"/>
        <v>-0.0283735164482378</v>
      </c>
      <c r="AM187" s="16">
        <f t="shared" si="406"/>
        <v>0.0109738463174532</v>
      </c>
      <c r="AN187" s="16">
        <f t="shared" si="407"/>
        <v>0.0577055962014446</v>
      </c>
      <c r="AO187" s="16">
        <f t="shared" si="408"/>
        <v>-0.0631935310222384</v>
      </c>
      <c r="AQ187" s="4">
        <f t="shared" si="409"/>
        <v>0.0224932292467432</v>
      </c>
    </row>
    <row r="188" ht="14" spans="1:43">
      <c r="A188" s="32">
        <v>44409</v>
      </c>
      <c r="B188" s="16">
        <f t="shared" ref="B188:E188" si="433">LN(B60/B59)</f>
        <v>0.0053861281464668</v>
      </c>
      <c r="C188" s="16">
        <f t="shared" si="341"/>
        <v>-0.00757396920766801</v>
      </c>
      <c r="D188" s="16">
        <f t="shared" si="433"/>
        <v>0.0589660473090961</v>
      </c>
      <c r="E188" s="16">
        <f t="shared" si="433"/>
        <v>0.0488838098854014</v>
      </c>
      <c r="F188" s="16">
        <f t="shared" si="373"/>
        <v>-0.0685818281569117</v>
      </c>
      <c r="G188" s="16">
        <f t="shared" si="374"/>
        <v>0.0272904463726801</v>
      </c>
      <c r="H188" s="16">
        <f t="shared" si="375"/>
        <v>-0.0810383283705081</v>
      </c>
      <c r="I188" s="16">
        <f t="shared" si="376"/>
        <v>-0.00705472906438922</v>
      </c>
      <c r="J188" s="16">
        <f t="shared" si="377"/>
        <v>0.00977706097130859</v>
      </c>
      <c r="K188" s="16">
        <f t="shared" si="378"/>
        <v>0.0538100293594908</v>
      </c>
      <c r="L188" s="16">
        <f t="shared" si="379"/>
        <v>0.158647956922154</v>
      </c>
      <c r="M188" s="16">
        <f t="shared" si="380"/>
        <v>0.0666401084394684</v>
      </c>
      <c r="N188" s="16">
        <f t="shared" si="381"/>
        <v>0.0578563325099003</v>
      </c>
      <c r="O188" s="16">
        <f t="shared" si="382"/>
        <v>0.0262619629773443</v>
      </c>
      <c r="P188" s="16">
        <f t="shared" si="383"/>
        <v>0.146332954341249</v>
      </c>
      <c r="Q188" s="16">
        <f t="shared" si="384"/>
        <v>0.0677565555020306</v>
      </c>
      <c r="R188" s="16">
        <f t="shared" si="385"/>
        <v>0.138027871337117</v>
      </c>
      <c r="S188" s="16">
        <f t="shared" si="386"/>
        <v>0.00630907845914655</v>
      </c>
      <c r="T188" s="16">
        <f t="shared" si="387"/>
        <v>0.0240392253312661</v>
      </c>
      <c r="U188" s="16">
        <f t="shared" si="388"/>
        <v>0.0417745494536052</v>
      </c>
      <c r="V188" s="16">
        <f t="shared" si="389"/>
        <v>0.0376562841910384</v>
      </c>
      <c r="W188" s="16">
        <f t="shared" si="390"/>
        <v>0.0905997080229332</v>
      </c>
      <c r="X188" s="16">
        <f t="shared" si="391"/>
        <v>0.0296900298879044</v>
      </c>
      <c r="Y188" s="16">
        <f t="shared" si="392"/>
        <v>0.164212225594808</v>
      </c>
      <c r="Z188" s="16">
        <f t="shared" si="393"/>
        <v>-0.0218678140227608</v>
      </c>
      <c r="AA188" s="16">
        <f t="shared" si="394"/>
        <v>-0.0166743587339594</v>
      </c>
      <c r="AB188" s="16">
        <f t="shared" si="395"/>
        <v>-0.0165011053333902</v>
      </c>
      <c r="AC188" s="16">
        <f t="shared" si="396"/>
        <v>0.0416191757977943</v>
      </c>
      <c r="AD188" s="16">
        <f t="shared" si="397"/>
        <v>0.00739436141725832</v>
      </c>
      <c r="AE188" s="16">
        <f t="shared" si="398"/>
        <v>0.0286589546311234</v>
      </c>
      <c r="AF188" s="16">
        <f t="shared" si="399"/>
        <v>-0.0326854368708044</v>
      </c>
      <c r="AG188" s="16">
        <f t="shared" si="400"/>
        <v>-0.0666376994057432</v>
      </c>
      <c r="AH188" s="16">
        <f t="shared" si="401"/>
        <v>0.0263170488642787</v>
      </c>
      <c r="AI188" s="16">
        <f t="shared" si="402"/>
        <v>-0.0522808578746232</v>
      </c>
      <c r="AJ188" s="16">
        <f t="shared" si="403"/>
        <v>0.121254543630163</v>
      </c>
      <c r="AK188" s="16">
        <f t="shared" si="404"/>
        <v>0.0574601184734032</v>
      </c>
      <c r="AL188" s="16">
        <f t="shared" si="405"/>
        <v>-0.0507709690537397</v>
      </c>
      <c r="AM188" s="16">
        <f t="shared" si="406"/>
        <v>0.0682242408925513</v>
      </c>
      <c r="AN188" s="16">
        <f t="shared" si="407"/>
        <v>-0.00408547929916198</v>
      </c>
      <c r="AO188" s="16">
        <f t="shared" si="408"/>
        <v>-0.0682251171306209</v>
      </c>
      <c r="AQ188" s="4">
        <f t="shared" si="409"/>
        <v>0.0285780509686892</v>
      </c>
    </row>
    <row r="189" ht="14" spans="1:43">
      <c r="A189" s="32">
        <v>44440</v>
      </c>
      <c r="B189" s="16">
        <f t="shared" ref="B189:E189" si="434">LN(B61/B60)</f>
        <v>-0.0636129768545013</v>
      </c>
      <c r="C189" s="16">
        <f t="shared" si="341"/>
        <v>-0.0155880428989055</v>
      </c>
      <c r="D189" s="16">
        <f t="shared" si="434"/>
        <v>-0.108225181574414</v>
      </c>
      <c r="E189" s="16">
        <f t="shared" si="434"/>
        <v>-0.113043910492417</v>
      </c>
      <c r="F189" s="16">
        <f t="shared" si="373"/>
        <v>-0.0511132170412806</v>
      </c>
      <c r="G189" s="16">
        <f t="shared" si="374"/>
        <v>0.0290888080261501</v>
      </c>
      <c r="H189" s="16">
        <f t="shared" si="375"/>
        <v>-0.119641332224002</v>
      </c>
      <c r="I189" s="16">
        <f t="shared" si="376"/>
        <v>-0.0800946563037741</v>
      </c>
      <c r="J189" s="16">
        <f t="shared" si="377"/>
        <v>-0.0632917034301343</v>
      </c>
      <c r="K189" s="16">
        <f t="shared" si="378"/>
        <v>-0.017869088596614</v>
      </c>
      <c r="L189" s="16">
        <f t="shared" si="379"/>
        <v>-0.106813572285471</v>
      </c>
      <c r="M189" s="16">
        <f t="shared" si="380"/>
        <v>-0.095965696956157</v>
      </c>
      <c r="N189" s="16">
        <f t="shared" si="381"/>
        <v>-0.0664937239759187</v>
      </c>
      <c r="O189" s="16">
        <f t="shared" si="382"/>
        <v>-0.0226947218994305</v>
      </c>
      <c r="P189" s="16">
        <f t="shared" si="383"/>
        <v>-0.0761262053460144</v>
      </c>
      <c r="Q189" s="16">
        <f t="shared" si="384"/>
        <v>-0.0437509499512755</v>
      </c>
      <c r="R189" s="16">
        <f t="shared" si="385"/>
        <v>-0.0773082701116517</v>
      </c>
      <c r="S189" s="16">
        <f t="shared" si="386"/>
        <v>-0.00805623747374719</v>
      </c>
      <c r="T189" s="16">
        <f t="shared" si="387"/>
        <v>-0.0250080084195734</v>
      </c>
      <c r="U189" s="16">
        <f t="shared" si="388"/>
        <v>-0.0732468490293554</v>
      </c>
      <c r="V189" s="16">
        <f t="shared" si="389"/>
        <v>-0.0300107328704931</v>
      </c>
      <c r="W189" s="16">
        <f t="shared" si="390"/>
        <v>-0.0337654814375145</v>
      </c>
      <c r="X189" s="16">
        <f t="shared" si="391"/>
        <v>-0.083410951197024</v>
      </c>
      <c r="Y189" s="16">
        <f t="shared" si="392"/>
        <v>-0.0391356340018759</v>
      </c>
      <c r="Z189" s="16">
        <f t="shared" si="393"/>
        <v>0.0207212773205321</v>
      </c>
      <c r="AA189" s="16">
        <f t="shared" si="394"/>
        <v>-0.124400977906563</v>
      </c>
      <c r="AB189" s="16">
        <f t="shared" si="395"/>
        <v>-0.0803975280404843</v>
      </c>
      <c r="AC189" s="16">
        <f t="shared" si="396"/>
        <v>-0.0656938506315744</v>
      </c>
      <c r="AD189" s="16">
        <f t="shared" si="397"/>
        <v>-0.0183569419931932</v>
      </c>
      <c r="AE189" s="16">
        <f t="shared" si="398"/>
        <v>-0.0830647939545347</v>
      </c>
      <c r="AF189" s="16">
        <f t="shared" si="399"/>
        <v>-0.0177679899875926</v>
      </c>
      <c r="AG189" s="16">
        <f t="shared" si="400"/>
        <v>0.0339360162977504</v>
      </c>
      <c r="AH189" s="16">
        <f t="shared" si="401"/>
        <v>-0.128710565704994</v>
      </c>
      <c r="AI189" s="16">
        <f t="shared" si="402"/>
        <v>-0.191935423670038</v>
      </c>
      <c r="AJ189" s="16">
        <f t="shared" si="403"/>
        <v>0.204460182760994</v>
      </c>
      <c r="AK189" s="16">
        <f t="shared" si="404"/>
        <v>-0.0208715744850848</v>
      </c>
      <c r="AL189" s="16">
        <f t="shared" si="405"/>
        <v>0.060621196489625</v>
      </c>
      <c r="AM189" s="16">
        <f t="shared" si="406"/>
        <v>0.0526325809084098</v>
      </c>
      <c r="AN189" s="16">
        <f t="shared" si="407"/>
        <v>-0.0388307248111972</v>
      </c>
      <c r="AO189" s="16">
        <f t="shared" si="408"/>
        <v>0.08316669712882</v>
      </c>
      <c r="AQ189" s="4">
        <f t="shared" si="409"/>
        <v>-0.0487377629846227</v>
      </c>
    </row>
    <row r="191" spans="1:43">
      <c r="A191" s="29" t="s">
        <v>135</v>
      </c>
      <c r="B191" s="16">
        <f>AVERAGE(B132:B189)</f>
        <v>0.0086992847015605</v>
      </c>
      <c r="C191" s="16">
        <f t="shared" ref="C191:AQ191" si="435">AVERAGE(C132:C189)</f>
        <v>0.00681591475478035</v>
      </c>
      <c r="D191" s="16">
        <f t="shared" si="435"/>
        <v>0.023228877988978</v>
      </c>
      <c r="E191" s="16">
        <f t="shared" si="435"/>
        <v>0.0136393822217312</v>
      </c>
      <c r="F191" s="16">
        <f t="shared" si="435"/>
        <v>0.00917210507655319</v>
      </c>
      <c r="G191" s="16">
        <f t="shared" si="435"/>
        <v>0.0244672329683616</v>
      </c>
      <c r="H191" s="16">
        <f t="shared" si="435"/>
        <v>0.0192067396660834</v>
      </c>
      <c r="I191" s="16">
        <f t="shared" si="435"/>
        <v>0.0287080205678702</v>
      </c>
      <c r="J191" s="16">
        <f t="shared" si="435"/>
        <v>0.0168291181697331</v>
      </c>
      <c r="K191" s="16">
        <f t="shared" si="435"/>
        <v>0.00407778592998405</v>
      </c>
      <c r="L191" s="16">
        <f t="shared" si="435"/>
        <v>0.0080578738688232</v>
      </c>
      <c r="M191" s="16">
        <f t="shared" si="435"/>
        <v>0.0262216125957572</v>
      </c>
      <c r="N191" s="16">
        <f t="shared" si="435"/>
        <v>0.0279425717940328</v>
      </c>
      <c r="O191" s="16">
        <f t="shared" si="435"/>
        <v>0.0146864203047138</v>
      </c>
      <c r="P191" s="16">
        <f t="shared" si="435"/>
        <v>0.0391787173695354</v>
      </c>
      <c r="Q191" s="16">
        <f t="shared" si="435"/>
        <v>0.0114987970943044</v>
      </c>
      <c r="R191" s="16">
        <f t="shared" si="435"/>
        <v>0.0381085142104432</v>
      </c>
      <c r="S191" s="16">
        <f t="shared" si="435"/>
        <v>0.00960348107427789</v>
      </c>
      <c r="T191" s="16">
        <f t="shared" si="435"/>
        <v>0.0209351919333203</v>
      </c>
      <c r="U191" s="16">
        <f t="shared" si="435"/>
        <v>0.0421824724371946</v>
      </c>
      <c r="V191" s="16">
        <f t="shared" si="435"/>
        <v>0.0190557690516597</v>
      </c>
      <c r="W191" s="16">
        <f t="shared" si="435"/>
        <v>0.0347022047674913</v>
      </c>
      <c r="X191" s="16">
        <f t="shared" si="435"/>
        <v>0.0123995126329467</v>
      </c>
      <c r="Y191" s="16">
        <f t="shared" si="435"/>
        <v>0.0486146427742159</v>
      </c>
      <c r="Z191" s="16">
        <f t="shared" si="435"/>
        <v>0.0142700080763811</v>
      </c>
      <c r="AA191" s="16">
        <f t="shared" si="435"/>
        <v>0.0192880494713926</v>
      </c>
      <c r="AB191" s="16">
        <f t="shared" si="435"/>
        <v>0.0187374719496868</v>
      </c>
      <c r="AC191" s="16">
        <f t="shared" si="435"/>
        <v>0.00530276551551986</v>
      </c>
      <c r="AD191" s="16">
        <f t="shared" si="435"/>
        <v>0.0114505928177483</v>
      </c>
      <c r="AE191" s="16">
        <f t="shared" si="435"/>
        <v>0.00552704004300005</v>
      </c>
      <c r="AF191" s="16">
        <f t="shared" si="435"/>
        <v>0.00791906487531415</v>
      </c>
      <c r="AG191" s="16">
        <f t="shared" si="435"/>
        <v>-0.0100076080529272</v>
      </c>
      <c r="AH191" s="16">
        <f t="shared" si="435"/>
        <v>-0.00951772247745107</v>
      </c>
      <c r="AI191" s="16">
        <f t="shared" si="435"/>
        <v>0.00330559650171258</v>
      </c>
      <c r="AJ191" s="16">
        <f t="shared" si="435"/>
        <v>0.017891290286333</v>
      </c>
      <c r="AK191" s="16">
        <f t="shared" si="435"/>
        <v>0.0081512257155671</v>
      </c>
      <c r="AL191" s="16">
        <f t="shared" si="435"/>
        <v>0.00217789633251678</v>
      </c>
      <c r="AM191" s="16">
        <f t="shared" si="435"/>
        <v>0.0520527400716057</v>
      </c>
      <c r="AN191" s="16">
        <f t="shared" si="435"/>
        <v>0.0239550629337842</v>
      </c>
      <c r="AO191" s="16">
        <f t="shared" si="435"/>
        <v>0.00644644429777322</v>
      </c>
      <c r="AP191" s="16"/>
      <c r="AQ191" s="16">
        <f t="shared" si="435"/>
        <v>0.0115939770789037</v>
      </c>
    </row>
    <row r="193" spans="1:42">
      <c r="A193" s="29" t="s">
        <v>136</v>
      </c>
      <c r="B193" s="16">
        <v>422.434</v>
      </c>
      <c r="C193" s="16">
        <v>206.054</v>
      </c>
      <c r="D193" s="16">
        <v>219.621</v>
      </c>
      <c r="E193" s="16">
        <v>192.782</v>
      </c>
      <c r="F193" s="16">
        <v>121.475</v>
      </c>
      <c r="G193" s="16">
        <v>225.319</v>
      </c>
      <c r="H193" s="16">
        <v>61.792</v>
      </c>
      <c r="I193" s="16">
        <v>53.086</v>
      </c>
      <c r="J193" s="16">
        <v>370.029</v>
      </c>
      <c r="K193" s="16">
        <v>110.936</v>
      </c>
      <c r="L193" s="16">
        <v>61.049</v>
      </c>
      <c r="M193" s="16">
        <v>38.198</v>
      </c>
      <c r="N193" s="16">
        <v>2173</v>
      </c>
      <c r="O193" s="16">
        <v>245.321</v>
      </c>
      <c r="P193" s="16">
        <v>48.669</v>
      </c>
      <c r="Q193" s="16">
        <v>14.857</v>
      </c>
      <c r="R193" s="16">
        <v>516.891</v>
      </c>
      <c r="S193" s="16">
        <v>218.51</v>
      </c>
      <c r="T193" s="16">
        <v>200.601</v>
      </c>
      <c r="U193" s="16">
        <v>124.269</v>
      </c>
      <c r="V193" s="16">
        <v>37.583</v>
      </c>
      <c r="W193" s="16">
        <v>125.358</v>
      </c>
      <c r="X193" s="16">
        <v>32.351</v>
      </c>
      <c r="Y193" s="16">
        <v>25.869</v>
      </c>
      <c r="Z193" s="16">
        <v>181.42</v>
      </c>
      <c r="AA193" s="16">
        <v>232.811</v>
      </c>
      <c r="AB193" s="16">
        <v>17.508</v>
      </c>
      <c r="AC193" s="16">
        <v>16.92</v>
      </c>
      <c r="AD193" s="16">
        <v>338.945</v>
      </c>
      <c r="AE193" s="16">
        <v>149.745</v>
      </c>
      <c r="AF193" s="16">
        <v>140.085</v>
      </c>
      <c r="AG193" s="16">
        <v>44.874</v>
      </c>
      <c r="AH193" s="16">
        <v>9.597</v>
      </c>
      <c r="AI193" s="16">
        <v>59.115</v>
      </c>
      <c r="AJ193" s="16">
        <v>2.171</v>
      </c>
      <c r="AK193" s="16">
        <v>2.38</v>
      </c>
      <c r="AL193" s="16">
        <v>201.765</v>
      </c>
      <c r="AM193" s="16">
        <v>776.592</v>
      </c>
      <c r="AN193" s="16">
        <v>51.49</v>
      </c>
      <c r="AO193" s="16">
        <v>56.566</v>
      </c>
      <c r="AP193" s="16"/>
    </row>
    <row r="194" spans="1:42">
      <c r="A194" s="29" t="s">
        <v>137</v>
      </c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</row>
  </sheetData>
  <conditionalFormatting sqref="$A64:$XFD64">
    <cfRule type="duplicateValues" dxfId="0" priority="8"/>
  </conditionalFormatting>
  <conditionalFormatting sqref="A130">
    <cfRule type="duplicateValues" dxfId="0" priority="5"/>
  </conditionalFormatting>
  <conditionalFormatting sqref="$A130:$XFD130">
    <cfRule type="duplicateValues" dxfId="0" priority="1"/>
  </conditionalFormatting>
  <conditionalFormatting sqref="B130:AO130">
    <cfRule type="duplicateValues" dxfId="0" priority="370"/>
  </conditionalFormatting>
  <conditionalFormatting sqref="AQ130:CO130">
    <cfRule type="duplicateValues" dxfId="0" priority="2"/>
  </conditionalFormatting>
  <conditionalFormatting sqref="CP130:XFD130 A130:AP130">
    <cfRule type="duplicateValues" dxfId="0" priority="3"/>
  </conditionalFormatting>
  <pageMargins left="0.699305555555556" right="0.699305555555556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DY131"/>
  <sheetViews>
    <sheetView zoomScale="50" zoomScaleNormal="50" topLeftCell="A82" workbookViewId="0">
      <selection activeCell="C4" sqref="C4"/>
    </sheetView>
  </sheetViews>
  <sheetFormatPr defaultColWidth="11" defaultRowHeight="13.2"/>
  <sheetData>
    <row r="1" ht="25.2" spans="1:1">
      <c r="A1" s="26" t="s">
        <v>138</v>
      </c>
    </row>
    <row r="3" ht="14" spans="2:129">
      <c r="B3" s="31" t="s">
        <v>2</v>
      </c>
      <c r="C3" s="31" t="s">
        <v>6</v>
      </c>
      <c r="D3" s="31" t="s">
        <v>4</v>
      </c>
      <c r="E3" s="31" t="s">
        <v>5</v>
      </c>
      <c r="F3" s="31" t="s">
        <v>6</v>
      </c>
      <c r="G3" s="31" t="s">
        <v>7</v>
      </c>
      <c r="H3" s="31" t="s">
        <v>8</v>
      </c>
      <c r="I3" s="31" t="s">
        <v>9</v>
      </c>
      <c r="J3" s="31" t="s">
        <v>10</v>
      </c>
      <c r="K3" s="31" t="s">
        <v>11</v>
      </c>
      <c r="L3" s="31" t="s">
        <v>12</v>
      </c>
      <c r="M3" s="31" t="s">
        <v>13</v>
      </c>
      <c r="N3" s="31" t="s">
        <v>14</v>
      </c>
      <c r="O3" s="31" t="s">
        <v>15</v>
      </c>
      <c r="P3" s="31" t="s">
        <v>16</v>
      </c>
      <c r="Q3" s="31" t="s">
        <v>17</v>
      </c>
      <c r="R3" s="31" t="s">
        <v>18</v>
      </c>
      <c r="S3" s="31" t="s">
        <v>19</v>
      </c>
      <c r="T3" s="31" t="s">
        <v>20</v>
      </c>
      <c r="U3" s="31" t="s">
        <v>21</v>
      </c>
      <c r="V3" s="31" t="s">
        <v>22</v>
      </c>
      <c r="W3" s="31" t="s">
        <v>23</v>
      </c>
      <c r="X3" s="31" t="s">
        <v>24</v>
      </c>
      <c r="Y3" s="31" t="s">
        <v>25</v>
      </c>
      <c r="Z3" s="31" t="s">
        <v>26</v>
      </c>
      <c r="AA3" s="31" t="s">
        <v>27</v>
      </c>
      <c r="AB3" s="31" t="s">
        <v>28</v>
      </c>
      <c r="AC3" s="31" t="s">
        <v>29</v>
      </c>
      <c r="AD3" s="31" t="s">
        <v>30</v>
      </c>
      <c r="AE3" s="31" t="s">
        <v>31</v>
      </c>
      <c r="AF3" s="31" t="s">
        <v>32</v>
      </c>
      <c r="AG3" s="31" t="s">
        <v>33</v>
      </c>
      <c r="AH3" s="31" t="s">
        <v>34</v>
      </c>
      <c r="AI3" s="31" t="s">
        <v>35</v>
      </c>
      <c r="AJ3" s="31" t="s">
        <v>36</v>
      </c>
      <c r="AK3" s="31" t="s">
        <v>37</v>
      </c>
      <c r="AL3" s="31" t="s">
        <v>38</v>
      </c>
      <c r="AM3" s="31" t="s">
        <v>39</v>
      </c>
      <c r="AN3" s="31" t="s">
        <v>40</v>
      </c>
      <c r="AO3" s="31" t="s">
        <v>41</v>
      </c>
      <c r="AP3" s="31" t="s">
        <v>42</v>
      </c>
      <c r="AQ3" s="31" t="s">
        <v>43</v>
      </c>
      <c r="AR3" s="31" t="s">
        <v>44</v>
      </c>
      <c r="AS3" s="31" t="s">
        <v>45</v>
      </c>
      <c r="AT3" s="31" t="s">
        <v>46</v>
      </c>
      <c r="AU3" s="31" t="s">
        <v>47</v>
      </c>
      <c r="AV3" s="31" t="s">
        <v>48</v>
      </c>
      <c r="AW3" s="31" t="s">
        <v>49</v>
      </c>
      <c r="AX3" s="31" t="s">
        <v>50</v>
      </c>
      <c r="AY3" s="31" t="s">
        <v>51</v>
      </c>
      <c r="AZ3" s="31" t="s">
        <v>52</v>
      </c>
      <c r="BA3" s="31" t="s">
        <v>53</v>
      </c>
      <c r="BB3" s="31" t="s">
        <v>54</v>
      </c>
      <c r="BC3" s="31" t="s">
        <v>55</v>
      </c>
      <c r="BD3" s="31" t="s">
        <v>56</v>
      </c>
      <c r="BE3" s="31" t="s">
        <v>57</v>
      </c>
      <c r="BF3" s="31" t="s">
        <v>58</v>
      </c>
      <c r="BG3" s="31" t="s">
        <v>59</v>
      </c>
      <c r="BH3" s="31" t="s">
        <v>60</v>
      </c>
      <c r="BI3" s="31" t="s">
        <v>61</v>
      </c>
      <c r="BJ3" s="31" t="s">
        <v>62</v>
      </c>
      <c r="BK3" s="31" t="s">
        <v>63</v>
      </c>
      <c r="BL3" s="31" t="s">
        <v>64</v>
      </c>
      <c r="BM3" s="31" t="s">
        <v>65</v>
      </c>
      <c r="BN3" s="31" t="s">
        <v>66</v>
      </c>
      <c r="BO3" s="31" t="s">
        <v>67</v>
      </c>
      <c r="BP3" s="31" t="s">
        <v>68</v>
      </c>
      <c r="BQ3" s="31" t="s">
        <v>69</v>
      </c>
      <c r="BR3" s="31" t="s">
        <v>70</v>
      </c>
      <c r="BS3" s="31" t="s">
        <v>71</v>
      </c>
      <c r="BT3" s="31" t="s">
        <v>72</v>
      </c>
      <c r="BU3" s="31" t="s">
        <v>73</v>
      </c>
      <c r="BV3" s="31" t="s">
        <v>74</v>
      </c>
      <c r="BW3" s="31" t="s">
        <v>75</v>
      </c>
      <c r="BX3" s="31" t="s">
        <v>76</v>
      </c>
      <c r="BY3" s="31" t="s">
        <v>77</v>
      </c>
      <c r="BZ3" s="31" t="s">
        <v>78</v>
      </c>
      <c r="CA3" s="31" t="s">
        <v>79</v>
      </c>
      <c r="CB3" s="31" t="s">
        <v>80</v>
      </c>
      <c r="CC3" s="31" t="s">
        <v>81</v>
      </c>
      <c r="CD3" s="31" t="s">
        <v>82</v>
      </c>
      <c r="CE3" s="31" t="s">
        <v>83</v>
      </c>
      <c r="CF3" s="31" t="s">
        <v>84</v>
      </c>
      <c r="CG3" s="31" t="s">
        <v>85</v>
      </c>
      <c r="CH3" s="31" t="s">
        <v>86</v>
      </c>
      <c r="CI3" s="31" t="s">
        <v>87</v>
      </c>
      <c r="CJ3" s="31" t="s">
        <v>88</v>
      </c>
      <c r="CK3" s="31" t="s">
        <v>89</v>
      </c>
      <c r="CL3" s="31" t="s">
        <v>90</v>
      </c>
      <c r="CM3" s="31" t="s">
        <v>91</v>
      </c>
      <c r="CN3" s="31" t="s">
        <v>92</v>
      </c>
      <c r="CO3" s="31" t="s">
        <v>93</v>
      </c>
      <c r="CP3" s="31" t="s">
        <v>94</v>
      </c>
      <c r="CQ3" s="31" t="s">
        <v>95</v>
      </c>
      <c r="CR3" s="31" t="s">
        <v>96</v>
      </c>
      <c r="CS3" s="31" t="s">
        <v>97</v>
      </c>
      <c r="CT3" s="31" t="s">
        <v>98</v>
      </c>
      <c r="CU3" s="31" t="s">
        <v>99</v>
      </c>
      <c r="CV3" s="31" t="s">
        <v>100</v>
      </c>
      <c r="CW3" s="31" t="s">
        <v>101</v>
      </c>
      <c r="CX3" s="31" t="s">
        <v>102</v>
      </c>
      <c r="CY3" s="31" t="s">
        <v>103</v>
      </c>
      <c r="CZ3" s="31" t="s">
        <v>104</v>
      </c>
      <c r="DA3" s="31" t="s">
        <v>105</v>
      </c>
      <c r="DB3" s="31" t="s">
        <v>106</v>
      </c>
      <c r="DC3" s="31" t="s">
        <v>107</v>
      </c>
      <c r="DD3" s="31" t="s">
        <v>108</v>
      </c>
      <c r="DE3" s="31" t="s">
        <v>109</v>
      </c>
      <c r="DF3" s="31" t="s">
        <v>110</v>
      </c>
      <c r="DG3" s="31" t="s">
        <v>111</v>
      </c>
      <c r="DH3" s="31" t="s">
        <v>112</v>
      </c>
      <c r="DI3" s="31" t="s">
        <v>113</v>
      </c>
      <c r="DJ3" s="31" t="s">
        <v>114</v>
      </c>
      <c r="DK3" s="31" t="s">
        <v>115</v>
      </c>
      <c r="DL3" s="31" t="s">
        <v>116</v>
      </c>
      <c r="DM3" s="31" t="s">
        <v>117</v>
      </c>
      <c r="DN3" s="31" t="s">
        <v>118</v>
      </c>
      <c r="DO3" s="31" t="s">
        <v>119</v>
      </c>
      <c r="DP3" s="31" t="s">
        <v>120</v>
      </c>
      <c r="DQ3" s="31" t="s">
        <v>121</v>
      </c>
      <c r="DR3" s="31" t="s">
        <v>122</v>
      </c>
      <c r="DS3" s="31" t="s">
        <v>123</v>
      </c>
      <c r="DT3" s="31" t="s">
        <v>124</v>
      </c>
      <c r="DU3" s="31" t="s">
        <v>125</v>
      </c>
      <c r="DV3" s="31" t="s">
        <v>127</v>
      </c>
      <c r="DW3" s="31" t="s">
        <v>128</v>
      </c>
      <c r="DX3" s="31" t="s">
        <v>129</v>
      </c>
      <c r="DY3" s="31" t="s">
        <v>130</v>
      </c>
    </row>
    <row r="4" ht="14" spans="1:129">
      <c r="A4" s="31" t="s">
        <v>2</v>
      </c>
      <c r="B4" s="4">
        <f t="array" ref="B4:DY131">CorrMatrixTriangular(Data!B66:DZ123)</f>
        <v>1</v>
      </c>
      <c r="C4" s="4">
        <v>0.587228620502124</v>
      </c>
      <c r="D4" s="4">
        <v>0.459588450850187</v>
      </c>
      <c r="E4" s="4">
        <v>0.156878676012137</v>
      </c>
      <c r="F4" s="4">
        <v>0.406497278034445</v>
      </c>
      <c r="G4" s="4">
        <v>0.496648290223558</v>
      </c>
      <c r="H4" s="4">
        <v>0.361198965535565</v>
      </c>
      <c r="I4" s="4">
        <v>0.495519734854095</v>
      </c>
      <c r="J4" s="4">
        <v>0.382771446869239</v>
      </c>
      <c r="K4" s="4">
        <v>0.235297149470904</v>
      </c>
      <c r="L4" s="4">
        <v>0.107204982991958</v>
      </c>
      <c r="M4" s="4">
        <v>0.569880199794197</v>
      </c>
      <c r="N4" s="4">
        <v>0.575084870933789</v>
      </c>
      <c r="O4" s="4">
        <v>0.541725638102942</v>
      </c>
      <c r="P4" s="4">
        <v>0.479022820533527</v>
      </c>
      <c r="Q4" s="4">
        <v>0.355584318729005</v>
      </c>
      <c r="R4" s="4">
        <v>0.44724650709141</v>
      </c>
      <c r="S4" s="4">
        <v>0.126441373319881</v>
      </c>
      <c r="T4" s="4">
        <v>0.590335380282996</v>
      </c>
      <c r="U4" s="4">
        <v>0.462843971326613</v>
      </c>
      <c r="V4" s="4">
        <v>0.454888805383273</v>
      </c>
      <c r="W4" s="4">
        <v>0.562102276410748</v>
      </c>
      <c r="X4" s="4">
        <v>0.353638647192493</v>
      </c>
      <c r="Y4" s="4">
        <v>0.593472901741682</v>
      </c>
      <c r="Z4" s="4">
        <v>0.50596938092933</v>
      </c>
      <c r="AA4" s="4">
        <v>0.396158568003343</v>
      </c>
      <c r="AB4" s="4">
        <v>0.0139794301958729</v>
      </c>
      <c r="AC4" s="4">
        <v>0.315780085324664</v>
      </c>
      <c r="AD4" s="4">
        <v>0.534875283236113</v>
      </c>
      <c r="AE4" s="4">
        <v>0.379745108727995</v>
      </c>
      <c r="AF4" s="4">
        <v>0.52202919424797</v>
      </c>
      <c r="AG4" s="4">
        <v>0.50364481537522</v>
      </c>
      <c r="AH4" s="4">
        <v>0.321581789172266</v>
      </c>
      <c r="AI4" s="4">
        <v>0.419612179383435</v>
      </c>
      <c r="AJ4" s="4">
        <v>0.280370157820892</v>
      </c>
      <c r="AK4" s="4">
        <v>0.43673259766743</v>
      </c>
      <c r="AL4" s="4">
        <v>0.38896006970271</v>
      </c>
      <c r="AM4" s="4">
        <v>0.245557062973419</v>
      </c>
      <c r="AN4" s="4">
        <v>0.371273782823626</v>
      </c>
      <c r="AO4" s="4">
        <v>0.390860583439818</v>
      </c>
      <c r="AP4" s="4">
        <v>0.338353361609753</v>
      </c>
      <c r="AQ4" s="4">
        <v>0.338989952479771</v>
      </c>
      <c r="AR4" s="4">
        <v>0.340250914678467</v>
      </c>
      <c r="AS4" s="4">
        <v>0.206519110753913</v>
      </c>
      <c r="AT4" s="4">
        <v>0.363496900207032</v>
      </c>
      <c r="AU4" s="4">
        <v>0.327826162271791</v>
      </c>
      <c r="AV4" s="4">
        <v>0.332786314278994</v>
      </c>
      <c r="AW4" s="4">
        <v>0.288117515099107</v>
      </c>
      <c r="AX4" s="4">
        <v>0.299528143448679</v>
      </c>
      <c r="AY4" s="4">
        <v>0.452969557078369</v>
      </c>
      <c r="AZ4" s="4">
        <v>0.241841519626361</v>
      </c>
      <c r="BA4" s="4">
        <v>0.200830138692338</v>
      </c>
      <c r="BB4" s="4">
        <v>0.374432714862985</v>
      </c>
      <c r="BC4" s="4">
        <v>0.282034975379813</v>
      </c>
      <c r="BD4" s="4">
        <v>0.514694296021484</v>
      </c>
      <c r="BE4" s="4">
        <v>0.224733584130575</v>
      </c>
      <c r="BF4" s="4">
        <v>0.449128756651449</v>
      </c>
      <c r="BG4" s="4">
        <v>0.382923333050615</v>
      </c>
      <c r="BH4" s="4">
        <v>0.289947287115342</v>
      </c>
      <c r="BI4" s="4">
        <v>0.125899158962905</v>
      </c>
      <c r="BJ4" s="4">
        <v>0.224100513084972</v>
      </c>
      <c r="BK4" s="4">
        <v>0.518672082142794</v>
      </c>
      <c r="BL4" s="4">
        <v>0.388727563738722</v>
      </c>
      <c r="BM4" s="4">
        <v>0.396712492592086</v>
      </c>
      <c r="BN4" s="4">
        <v>0.355245044933565</v>
      </c>
      <c r="BO4" s="4">
        <v>0.375010314047638</v>
      </c>
      <c r="BP4" s="4">
        <v>0.40263051419235</v>
      </c>
      <c r="BQ4" s="4">
        <v>0.180605903206299</v>
      </c>
      <c r="BR4" s="4">
        <v>0.519899571431247</v>
      </c>
      <c r="BS4" s="4">
        <v>0.34292806876484</v>
      </c>
      <c r="BT4" s="4">
        <v>0.299565089237631</v>
      </c>
      <c r="BU4" s="4">
        <v>0.45382073680076</v>
      </c>
      <c r="BV4" s="4">
        <v>0.158853250936724</v>
      </c>
      <c r="BW4" s="4">
        <v>0.231795255524714</v>
      </c>
      <c r="BX4" s="4">
        <v>0.270029885793751</v>
      </c>
      <c r="BY4" s="4">
        <v>0.177502280524828</v>
      </c>
      <c r="BZ4" s="4">
        <v>0.429392481652407</v>
      </c>
      <c r="CA4" s="4">
        <v>0.498102138210955</v>
      </c>
      <c r="CB4" s="4">
        <v>0.638716234265697</v>
      </c>
      <c r="CC4" s="4">
        <v>0.528037945258422</v>
      </c>
      <c r="CD4" s="4">
        <v>0.408899170502373</v>
      </c>
      <c r="CE4" s="4">
        <v>0.426451265749761</v>
      </c>
      <c r="CF4" s="4">
        <v>0.433986932756991</v>
      </c>
      <c r="CG4" s="4">
        <v>0.350600936247544</v>
      </c>
      <c r="CH4" s="4">
        <v>0.565530534286736</v>
      </c>
      <c r="CI4" s="4">
        <v>0.611625042048371</v>
      </c>
      <c r="CJ4" s="4">
        <v>0.460658396969107</v>
      </c>
      <c r="CK4" s="4">
        <v>0.395464932090235</v>
      </c>
      <c r="CL4" s="4">
        <v>0.399766872204031</v>
      </c>
      <c r="CM4" s="4">
        <v>0.208426261016564</v>
      </c>
      <c r="CN4" s="4">
        <v>0.416766326439527</v>
      </c>
      <c r="CO4" s="4">
        <v>0.383685778301441</v>
      </c>
      <c r="CP4" s="4">
        <v>0.312913767288324</v>
      </c>
      <c r="CQ4" s="4">
        <v>0.290296035340188</v>
      </c>
      <c r="CR4" s="4">
        <v>0.478885170982627</v>
      </c>
      <c r="CS4" s="4">
        <v>0.358571780598973</v>
      </c>
      <c r="CT4" s="4">
        <v>0.279008747263719</v>
      </c>
      <c r="CU4" s="4">
        <v>0.345371259593333</v>
      </c>
      <c r="CV4" s="4">
        <v>0.321079699528366</v>
      </c>
      <c r="CW4" s="4">
        <v>0.393809344687048</v>
      </c>
      <c r="CX4" s="4">
        <v>0.388126326175842</v>
      </c>
      <c r="CY4" s="4">
        <v>0.294644952732407</v>
      </c>
      <c r="CZ4" s="4">
        <v>0.300741277936697</v>
      </c>
      <c r="DA4" s="4">
        <v>0.188808001333249</v>
      </c>
      <c r="DB4" s="4">
        <v>0.260683427390669</v>
      </c>
      <c r="DC4" s="4">
        <v>0.0862597840330782</v>
      </c>
      <c r="DD4" s="4">
        <v>-0.00251903095084931</v>
      </c>
      <c r="DE4" s="4">
        <v>0.226190453478272</v>
      </c>
      <c r="DF4" s="4">
        <v>0.306390578420173</v>
      </c>
      <c r="DG4" s="4">
        <v>0.173575299967496</v>
      </c>
      <c r="DH4" s="4">
        <v>0.505813948224606</v>
      </c>
      <c r="DI4" s="4">
        <v>0.44998766834751</v>
      </c>
      <c r="DJ4" s="4">
        <v>0.42234586704142</v>
      </c>
      <c r="DK4" s="4">
        <v>0.32690776843929</v>
      </c>
      <c r="DL4" s="4">
        <v>0.374101404354494</v>
      </c>
      <c r="DM4" s="4">
        <v>0.373893979445846</v>
      </c>
      <c r="DN4" s="4">
        <v>0.322385095469578</v>
      </c>
      <c r="DO4" s="4">
        <v>0.224508028231596</v>
      </c>
      <c r="DP4" s="4">
        <v>0.376652914841657</v>
      </c>
      <c r="DQ4" s="4">
        <v>0.362932795104208</v>
      </c>
      <c r="DR4" s="4">
        <v>0.360560788202096</v>
      </c>
      <c r="DS4" s="4">
        <v>0.256883426599304</v>
      </c>
      <c r="DT4" s="4">
        <v>0.364546526000741</v>
      </c>
      <c r="DU4" s="4">
        <v>0.359690314596994</v>
      </c>
      <c r="DV4" s="4">
        <v>0.351598227655492</v>
      </c>
      <c r="DW4" s="4">
        <v>0.352346965391262</v>
      </c>
      <c r="DX4" s="4">
        <v>0.300876108986621</v>
      </c>
      <c r="DY4" s="4">
        <v>0.360059973491897</v>
      </c>
    </row>
    <row r="5" ht="14" spans="1:129">
      <c r="A5" s="31" t="s">
        <v>6</v>
      </c>
      <c r="B5" s="4" t="str">
        <v/>
      </c>
      <c r="C5" s="4">
        <v>1</v>
      </c>
      <c r="D5" s="4">
        <v>0.217721460967152</v>
      </c>
      <c r="E5" s="4">
        <v>0.342972941714139</v>
      </c>
      <c r="F5" s="4">
        <v>0.491414539013932</v>
      </c>
      <c r="G5" s="4">
        <v>0.414082153450303</v>
      </c>
      <c r="H5" s="4">
        <v>0.399880180770311</v>
      </c>
      <c r="I5" s="4">
        <v>0.449476797763073</v>
      </c>
      <c r="J5" s="4">
        <v>0.372938657592683</v>
      </c>
      <c r="K5" s="4">
        <v>0.284990156526878</v>
      </c>
      <c r="L5" s="4">
        <v>0.0343724787547912</v>
      </c>
      <c r="M5" s="4">
        <v>0.470943625423737</v>
      </c>
      <c r="N5" s="4">
        <v>0.515328083343142</v>
      </c>
      <c r="O5" s="4">
        <v>0.551525296241482</v>
      </c>
      <c r="P5" s="4">
        <v>0.527517449646814</v>
      </c>
      <c r="Q5" s="4">
        <v>0.389324537390115</v>
      </c>
      <c r="R5" s="4">
        <v>0.546290974094272</v>
      </c>
      <c r="S5" s="4">
        <v>0.141100982206485</v>
      </c>
      <c r="T5" s="4">
        <v>0.553466725332541</v>
      </c>
      <c r="U5" s="4">
        <v>0.496589852784657</v>
      </c>
      <c r="V5" s="4">
        <v>0.418244677720141</v>
      </c>
      <c r="W5" s="4">
        <v>0.409002983938396</v>
      </c>
      <c r="X5" s="4">
        <v>0.329161520259732</v>
      </c>
      <c r="Y5" s="4">
        <v>0.241709990320767</v>
      </c>
      <c r="Z5" s="4">
        <v>0.482596029072677</v>
      </c>
      <c r="AA5" s="4">
        <v>0.469395816964408</v>
      </c>
      <c r="AB5" s="4">
        <v>0.157189584215243</v>
      </c>
      <c r="AC5" s="4">
        <v>0.152422911441755</v>
      </c>
      <c r="AD5" s="4">
        <v>0.236392318242184</v>
      </c>
      <c r="AE5" s="4">
        <v>0.181861798366075</v>
      </c>
      <c r="AF5" s="4">
        <v>0.327385034837963</v>
      </c>
      <c r="AG5" s="4">
        <v>0.25735783583248</v>
      </c>
      <c r="AH5" s="4">
        <v>0.186473748518211</v>
      </c>
      <c r="AI5" s="4">
        <v>0.377155489648953</v>
      </c>
      <c r="AJ5" s="4">
        <v>0.183998483004343</v>
      </c>
      <c r="AK5" s="4">
        <v>0.197046685534636</v>
      </c>
      <c r="AL5" s="4">
        <v>0.462104005018998</v>
      </c>
      <c r="AM5" s="4">
        <v>0.0649609003488002</v>
      </c>
      <c r="AN5" s="4">
        <v>0.0174488935826797</v>
      </c>
      <c r="AO5" s="4">
        <v>0.125313546985248</v>
      </c>
      <c r="AP5" s="4">
        <v>0.115784365490719</v>
      </c>
      <c r="AQ5" s="4">
        <v>0.260628667616518</v>
      </c>
      <c r="AR5" s="4">
        <v>0.47087074547485</v>
      </c>
      <c r="AS5" s="4">
        <v>-0.0168040362619878</v>
      </c>
      <c r="AT5" s="4">
        <v>0.0821960185627053</v>
      </c>
      <c r="AU5" s="4">
        <v>0.0987978609588646</v>
      </c>
      <c r="AV5" s="4">
        <v>0.16533623764834</v>
      </c>
      <c r="AW5" s="4">
        <v>0.311048864351809</v>
      </c>
      <c r="AX5" s="4">
        <v>0.067087741037283</v>
      </c>
      <c r="AY5" s="4">
        <v>0.222516268572555</v>
      </c>
      <c r="AZ5" s="4">
        <v>0.146789315261527</v>
      </c>
      <c r="BA5" s="4">
        <v>0.124998298459592</v>
      </c>
      <c r="BB5" s="4">
        <v>0.346825695729177</v>
      </c>
      <c r="BC5" s="4">
        <v>0.253091791526252</v>
      </c>
      <c r="BD5" s="4">
        <v>0.407296167830944</v>
      </c>
      <c r="BE5" s="4">
        <v>0.0697802298756638</v>
      </c>
      <c r="BF5" s="4">
        <v>0.345869661479517</v>
      </c>
      <c r="BG5" s="4">
        <v>0.28691843785045</v>
      </c>
      <c r="BH5" s="4">
        <v>0.167001045575611</v>
      </c>
      <c r="BI5" s="4">
        <v>0.140514870362039</v>
      </c>
      <c r="BJ5" s="4">
        <v>0.115882287427686</v>
      </c>
      <c r="BK5" s="4">
        <v>0.303472628256803</v>
      </c>
      <c r="BL5" s="4">
        <v>0.285147622456545</v>
      </c>
      <c r="BM5" s="4">
        <v>0.261414146983593</v>
      </c>
      <c r="BN5" s="4">
        <v>0.232546049367569</v>
      </c>
      <c r="BO5" s="4">
        <v>0.384662748637453</v>
      </c>
      <c r="BP5" s="4">
        <v>0.324916214463691</v>
      </c>
      <c r="BQ5" s="4">
        <v>0.18774122505035</v>
      </c>
      <c r="BR5" s="4">
        <v>0.454654427025255</v>
      </c>
      <c r="BS5" s="4">
        <v>0.241659194834798</v>
      </c>
      <c r="BT5" s="4">
        <v>0.169987374130827</v>
      </c>
      <c r="BU5" s="4">
        <v>0.404129679682928</v>
      </c>
      <c r="BV5" s="4">
        <v>0.316491095458543</v>
      </c>
      <c r="BW5" s="4">
        <v>0.288841390236626</v>
      </c>
      <c r="BX5" s="4">
        <v>0.355013776313037</v>
      </c>
      <c r="BY5" s="4">
        <v>0.331972187226987</v>
      </c>
      <c r="BZ5" s="4">
        <v>0.311734921896779</v>
      </c>
      <c r="CA5" s="4">
        <v>0.33763627580611</v>
      </c>
      <c r="CB5" s="4">
        <v>0.455097774314013</v>
      </c>
      <c r="CC5" s="4">
        <v>0.322065597691521</v>
      </c>
      <c r="CD5" s="4">
        <v>0.327454670084324</v>
      </c>
      <c r="CE5" s="4">
        <v>0.463179583735646</v>
      </c>
      <c r="CF5" s="4">
        <v>0.269528387473508</v>
      </c>
      <c r="CG5" s="4">
        <v>0.251702076609096</v>
      </c>
      <c r="CH5" s="4">
        <v>0.349402730540815</v>
      </c>
      <c r="CI5" s="4">
        <v>0.479844764392332</v>
      </c>
      <c r="CJ5" s="4">
        <v>0.285067998570128</v>
      </c>
      <c r="CK5" s="4">
        <v>0.236345901264902</v>
      </c>
      <c r="CL5" s="4">
        <v>0.315517468280217</v>
      </c>
      <c r="CM5" s="4">
        <v>0.139979374470386</v>
      </c>
      <c r="CN5" s="4">
        <v>0.152444687782371</v>
      </c>
      <c r="CO5" s="4">
        <v>0.387308324582304</v>
      </c>
      <c r="CP5" s="4">
        <v>0.300798470060377</v>
      </c>
      <c r="CQ5" s="4">
        <v>0.165755710548374</v>
      </c>
      <c r="CR5" s="4">
        <v>0.144873724773051</v>
      </c>
      <c r="CS5" s="4">
        <v>0.144126675797514</v>
      </c>
      <c r="CT5" s="4">
        <v>0.20627761360372</v>
      </c>
      <c r="CU5" s="4">
        <v>0.185633518840178</v>
      </c>
      <c r="CV5" s="4">
        <v>0.318338353661026</v>
      </c>
      <c r="CW5" s="4">
        <v>0.273421377920442</v>
      </c>
      <c r="CX5" s="4">
        <v>0.3625802982067</v>
      </c>
      <c r="CY5" s="4">
        <v>0.104368249028282</v>
      </c>
      <c r="CZ5" s="4">
        <v>0.199003697853008</v>
      </c>
      <c r="DA5" s="4">
        <v>0.153388323802315</v>
      </c>
      <c r="DB5" s="4">
        <v>0.110948844049617</v>
      </c>
      <c r="DC5" s="4">
        <v>0.187597581724249</v>
      </c>
      <c r="DD5" s="4">
        <v>0.00304913677070038</v>
      </c>
      <c r="DE5" s="4">
        <v>0.256306511007676</v>
      </c>
      <c r="DF5" s="4">
        <v>0.261687373648115</v>
      </c>
      <c r="DG5" s="4">
        <v>0.269019000243099</v>
      </c>
      <c r="DH5" s="4">
        <v>0.280677374961111</v>
      </c>
      <c r="DI5" s="4">
        <v>0.283203652150329</v>
      </c>
      <c r="DJ5" s="4">
        <v>0.401472307835065</v>
      </c>
      <c r="DK5" s="4">
        <v>0.297364705035346</v>
      </c>
      <c r="DL5" s="4">
        <v>0.251441441917682</v>
      </c>
      <c r="DM5" s="4">
        <v>0.284049524401641</v>
      </c>
      <c r="DN5" s="4">
        <v>0.209910478539563</v>
      </c>
      <c r="DO5" s="4">
        <v>0.156571655728106</v>
      </c>
      <c r="DP5" s="4">
        <v>0.306369628645258</v>
      </c>
      <c r="DQ5" s="4">
        <v>0.295801265298115</v>
      </c>
      <c r="DR5" s="4">
        <v>0.264862996484979</v>
      </c>
      <c r="DS5" s="4">
        <v>0.299836562431453</v>
      </c>
      <c r="DT5" s="4">
        <v>0.280719983142013</v>
      </c>
      <c r="DU5" s="4">
        <v>0.295013959588326</v>
      </c>
      <c r="DV5" s="4">
        <v>0.287885014548668</v>
      </c>
      <c r="DW5" s="4">
        <v>0.195408471597744</v>
      </c>
      <c r="DX5" s="4">
        <v>0.175771733578827</v>
      </c>
      <c r="DY5" s="4">
        <v>0.155429700515157</v>
      </c>
    </row>
    <row r="6" ht="14" spans="1:129">
      <c r="A6" s="31" t="s">
        <v>4</v>
      </c>
      <c r="B6" s="4" t="str">
        <v/>
      </c>
      <c r="C6" s="4" t="str">
        <v/>
      </c>
      <c r="D6" s="4">
        <v>1</v>
      </c>
      <c r="E6" s="4">
        <v>0.132932539698295</v>
      </c>
      <c r="F6" s="4">
        <v>0.348351507636524</v>
      </c>
      <c r="G6" s="4">
        <v>0.398171449785751</v>
      </c>
      <c r="H6" s="4">
        <v>0.245987427177654</v>
      </c>
      <c r="I6" s="4">
        <v>0.166077971389235</v>
      </c>
      <c r="J6" s="4">
        <v>0.425145303500172</v>
      </c>
      <c r="K6" s="4">
        <v>0.087056906977724</v>
      </c>
      <c r="L6" s="4">
        <v>0.16388587543867</v>
      </c>
      <c r="M6" s="4">
        <v>0.207990434177624</v>
      </c>
      <c r="N6" s="4">
        <v>0.140187449759784</v>
      </c>
      <c r="O6" s="4">
        <v>0.107218982187684</v>
      </c>
      <c r="P6" s="4">
        <v>0.137335093316195</v>
      </c>
      <c r="Q6" s="4">
        <v>0.300199316859607</v>
      </c>
      <c r="R6" s="4">
        <v>-0.0276260003468884</v>
      </c>
      <c r="S6" s="4">
        <v>0.141183710131641</v>
      </c>
      <c r="T6" s="4">
        <v>0.36901814455226</v>
      </c>
      <c r="U6" s="4">
        <v>0.156250431749283</v>
      </c>
      <c r="V6" s="4">
        <v>0.0524338624207916</v>
      </c>
      <c r="W6" s="4">
        <v>0.134298887626508</v>
      </c>
      <c r="X6" s="4">
        <v>-0.0167712239456832</v>
      </c>
      <c r="Y6" s="4">
        <v>0.250677812693616</v>
      </c>
      <c r="Z6" s="4">
        <v>0.231774929290545</v>
      </c>
      <c r="AA6" s="4">
        <v>0.0608656848334765</v>
      </c>
      <c r="AB6" s="4">
        <v>0.142986619694389</v>
      </c>
      <c r="AC6" s="4">
        <v>0.0276242921768766</v>
      </c>
      <c r="AD6" s="4">
        <v>0.29829703076795</v>
      </c>
      <c r="AE6" s="4">
        <v>0.116364639282687</v>
      </c>
      <c r="AF6" s="4">
        <v>0.0704530641563245</v>
      </c>
      <c r="AG6" s="4">
        <v>0.302097556979268</v>
      </c>
      <c r="AH6" s="4">
        <v>0.169198143109189</v>
      </c>
      <c r="AI6" s="4">
        <v>0.144625747920911</v>
      </c>
      <c r="AJ6" s="4">
        <v>0.205032336556222</v>
      </c>
      <c r="AK6" s="4">
        <v>0.254278114465897</v>
      </c>
      <c r="AL6" s="4">
        <v>0.176643088971843</v>
      </c>
      <c r="AM6" s="4">
        <v>0.00531597265151</v>
      </c>
      <c r="AN6" s="4">
        <v>0.318521366222582</v>
      </c>
      <c r="AO6" s="4">
        <v>0.14432794794704</v>
      </c>
      <c r="AP6" s="4">
        <v>0.0185916167228031</v>
      </c>
      <c r="AQ6" s="4">
        <v>0.0423550677953295</v>
      </c>
      <c r="AR6" s="4">
        <v>0.246710133097984</v>
      </c>
      <c r="AS6" s="4">
        <v>0.119173146533503</v>
      </c>
      <c r="AT6" s="4">
        <v>0.0966424472304545</v>
      </c>
      <c r="AU6" s="4">
        <v>-0.0324731584866624</v>
      </c>
      <c r="AV6" s="4">
        <v>0.0385206824856549</v>
      </c>
      <c r="AW6" s="4">
        <v>0.112816999028225</v>
      </c>
      <c r="AX6" s="4">
        <v>0.0753896832712432</v>
      </c>
      <c r="AY6" s="4">
        <v>0.150940230015868</v>
      </c>
      <c r="AZ6" s="4">
        <v>0.00402919767594893</v>
      </c>
      <c r="BA6" s="4">
        <v>0.024228477533495</v>
      </c>
      <c r="BB6" s="4">
        <v>0.101333734074284</v>
      </c>
      <c r="BC6" s="4">
        <v>0.128959934381232</v>
      </c>
      <c r="BD6" s="4">
        <v>0.107899056456226</v>
      </c>
      <c r="BE6" s="4">
        <v>-0.0188798394432803</v>
      </c>
      <c r="BF6" s="4">
        <v>0.118769504002336</v>
      </c>
      <c r="BG6" s="4">
        <v>0.0982907745883849</v>
      </c>
      <c r="BH6" s="4">
        <v>0.228533389111491</v>
      </c>
      <c r="BI6" s="4">
        <v>0.10844750618908</v>
      </c>
      <c r="BJ6" s="4">
        <v>-0.0591637167833382</v>
      </c>
      <c r="BK6" s="4">
        <v>-0.0491629627992184</v>
      </c>
      <c r="BL6" s="4">
        <v>0.0113911272030606</v>
      </c>
      <c r="BM6" s="4">
        <v>0.0593836183406787</v>
      </c>
      <c r="BN6" s="4">
        <v>0.196439598334859</v>
      </c>
      <c r="BO6" s="4">
        <v>-0.038888213426736</v>
      </c>
      <c r="BP6" s="4">
        <v>0.0920983591019677</v>
      </c>
      <c r="BQ6" s="4">
        <v>-0.0986079984959515</v>
      </c>
      <c r="BR6" s="4">
        <v>0.134099033160653</v>
      </c>
      <c r="BS6" s="4">
        <v>-0.121963058656999</v>
      </c>
      <c r="BT6" s="4">
        <v>0.016757006438387</v>
      </c>
      <c r="BU6" s="4">
        <v>0.00735450850335389</v>
      </c>
      <c r="BV6" s="4">
        <v>-0.0353369448128246</v>
      </c>
      <c r="BW6" s="4">
        <v>-0.139956608271426</v>
      </c>
      <c r="BX6" s="4">
        <v>0.128453858926177</v>
      </c>
      <c r="BY6" s="4">
        <v>0.00721980171431503</v>
      </c>
      <c r="BZ6" s="4">
        <v>0.0590789149682286</v>
      </c>
      <c r="CA6" s="4">
        <v>-0.0512138669308221</v>
      </c>
      <c r="CB6" s="4">
        <v>0.150123421281899</v>
      </c>
      <c r="CC6" s="4">
        <v>0.0920487957675032</v>
      </c>
      <c r="CD6" s="4">
        <v>0.0602060324019778</v>
      </c>
      <c r="CE6" s="4">
        <v>0.151790641016097</v>
      </c>
      <c r="CF6" s="4">
        <v>0.00819501901685354</v>
      </c>
      <c r="CG6" s="4">
        <v>-0.0632548659115338</v>
      </c>
      <c r="CH6" s="4">
        <v>0.119618268589001</v>
      </c>
      <c r="CI6" s="4">
        <v>0.170387032314017</v>
      </c>
      <c r="CJ6" s="4">
        <v>0.0588949438539113</v>
      </c>
      <c r="CK6" s="4">
        <v>0.014648157245175</v>
      </c>
      <c r="CL6" s="4">
        <v>0.112538963299816</v>
      </c>
      <c r="CM6" s="4">
        <v>0.312264770327905</v>
      </c>
      <c r="CN6" s="4">
        <v>0.0489802783324914</v>
      </c>
      <c r="CO6" s="4">
        <v>0.0976209547043335</v>
      </c>
      <c r="CP6" s="4">
        <v>-0.00564981082888104</v>
      </c>
      <c r="CQ6" s="4">
        <v>0.195155161305672</v>
      </c>
      <c r="CR6" s="4">
        <v>0.0768313587698964</v>
      </c>
      <c r="CS6" s="4">
        <v>0.19489559712638</v>
      </c>
      <c r="CT6" s="4">
        <v>-0.00217767300289327</v>
      </c>
      <c r="CU6" s="4">
        <v>-0.0162545698150881</v>
      </c>
      <c r="CV6" s="4">
        <v>0.0613491756490049</v>
      </c>
      <c r="CW6" s="4">
        <v>-0.0868895378386478</v>
      </c>
      <c r="CX6" s="4">
        <v>0.136819192033747</v>
      </c>
      <c r="CY6" s="4">
        <v>0.207673221382669</v>
      </c>
      <c r="CZ6" s="4">
        <v>0.0855130666597536</v>
      </c>
      <c r="DA6" s="4">
        <v>-0.140349771410085</v>
      </c>
      <c r="DB6" s="4">
        <v>0.0312467622040773</v>
      </c>
      <c r="DC6" s="4">
        <v>0.00457296992815038</v>
      </c>
      <c r="DD6" s="4">
        <v>0.102563970417025</v>
      </c>
      <c r="DE6" s="4">
        <v>-0.121153707478662</v>
      </c>
      <c r="DF6" s="4">
        <v>0.074187488433544</v>
      </c>
      <c r="DG6" s="4">
        <v>-0.069081479097071</v>
      </c>
      <c r="DH6" s="4">
        <v>0.0604742768921998</v>
      </c>
      <c r="DI6" s="4">
        <v>0.239525501280664</v>
      </c>
      <c r="DJ6" s="4">
        <v>0.184011092445062</v>
      </c>
      <c r="DK6" s="4">
        <v>0.192162352839197</v>
      </c>
      <c r="DL6" s="4">
        <v>0.113448256292533</v>
      </c>
      <c r="DM6" s="4">
        <v>0.0855900587136244</v>
      </c>
      <c r="DN6" s="4">
        <v>0.109090362188097</v>
      </c>
      <c r="DO6" s="4">
        <v>0.217007603697979</v>
      </c>
      <c r="DP6" s="4">
        <v>0.177115429831148</v>
      </c>
      <c r="DQ6" s="4">
        <v>0.130550522147619</v>
      </c>
      <c r="DR6" s="4">
        <v>0.0932739631313237</v>
      </c>
      <c r="DS6" s="4">
        <v>0.147393511859726</v>
      </c>
      <c r="DT6" s="4">
        <v>0.0994042101607593</v>
      </c>
      <c r="DU6" s="4">
        <v>0.129104167649913</v>
      </c>
      <c r="DV6" s="4">
        <v>0.085591651713616</v>
      </c>
      <c r="DW6" s="4">
        <v>0.158652084146274</v>
      </c>
      <c r="DX6" s="4">
        <v>-0.0808084887460891</v>
      </c>
      <c r="DY6" s="4">
        <v>-0.0274194618162148</v>
      </c>
    </row>
    <row r="7" ht="14" spans="1:129">
      <c r="A7" s="31" t="s">
        <v>5</v>
      </c>
      <c r="B7" s="4" t="str">
        <v/>
      </c>
      <c r="C7" s="4" t="str">
        <v/>
      </c>
      <c r="D7" s="4" t="str">
        <v/>
      </c>
      <c r="E7" s="4">
        <v>1</v>
      </c>
      <c r="F7" s="4">
        <v>0.089651605094035</v>
      </c>
      <c r="G7" s="4">
        <v>0.274887411301637</v>
      </c>
      <c r="H7" s="4">
        <v>0.470720853385266</v>
      </c>
      <c r="I7" s="4">
        <v>0.114636379950292</v>
      </c>
      <c r="J7" s="4">
        <v>0.374343935057428</v>
      </c>
      <c r="K7" s="4">
        <v>0.0848351136914761</v>
      </c>
      <c r="L7" s="4">
        <v>-0.0669111999145276</v>
      </c>
      <c r="M7" s="4">
        <v>0.439008773106985</v>
      </c>
      <c r="N7" s="4">
        <v>0.206448971257029</v>
      </c>
      <c r="O7" s="4">
        <v>0.365136428201895</v>
      </c>
      <c r="P7" s="4">
        <v>0.341299227662104</v>
      </c>
      <c r="Q7" s="4">
        <v>0.442270620032686</v>
      </c>
      <c r="R7" s="4">
        <v>0.255084469226915</v>
      </c>
      <c r="S7" s="4">
        <v>0.121628223993385</v>
      </c>
      <c r="T7" s="4">
        <v>0.215418749478395</v>
      </c>
      <c r="U7" s="4">
        <v>0.355636134907805</v>
      </c>
      <c r="V7" s="4">
        <v>0.245010264692195</v>
      </c>
      <c r="W7" s="4">
        <v>0.0350389045552308</v>
      </c>
      <c r="X7" s="4">
        <v>0.194228552153059</v>
      </c>
      <c r="Y7" s="4">
        <v>0.17331920215806</v>
      </c>
      <c r="Z7" s="4">
        <v>0.121842303003033</v>
      </c>
      <c r="AA7" s="4">
        <v>0.396275172822423</v>
      </c>
      <c r="AB7" s="4">
        <v>0.344522181168595</v>
      </c>
      <c r="AC7" s="4">
        <v>0.225230060498662</v>
      </c>
      <c r="AD7" s="4">
        <v>0.328567582064384</v>
      </c>
      <c r="AE7" s="4">
        <v>0.31959130945295</v>
      </c>
      <c r="AF7" s="4">
        <v>0.274527864149136</v>
      </c>
      <c r="AG7" s="4">
        <v>0.275057156208403</v>
      </c>
      <c r="AH7" s="4">
        <v>0.202078989800972</v>
      </c>
      <c r="AI7" s="4">
        <v>0.172622615088793</v>
      </c>
      <c r="AJ7" s="4">
        <v>0.00566822823966551</v>
      </c>
      <c r="AK7" s="4">
        <v>-0.0854411203308584</v>
      </c>
      <c r="AL7" s="4">
        <v>0.426779408819126</v>
      </c>
      <c r="AM7" s="4">
        <v>0.263426016757024</v>
      </c>
      <c r="AN7" s="4">
        <v>0.171923885790059</v>
      </c>
      <c r="AO7" s="4">
        <v>0.258914266883258</v>
      </c>
      <c r="AP7" s="4">
        <v>0.379332255093716</v>
      </c>
      <c r="AQ7" s="4">
        <v>0.310778202129523</v>
      </c>
      <c r="AR7" s="4">
        <v>0.336471320804347</v>
      </c>
      <c r="AS7" s="4">
        <v>0.275243709028077</v>
      </c>
      <c r="AT7" s="4">
        <v>0.279081240408652</v>
      </c>
      <c r="AU7" s="4">
        <v>0.333774514102376</v>
      </c>
      <c r="AV7" s="4">
        <v>0.409102778469641</v>
      </c>
      <c r="AW7" s="4">
        <v>0.139720422761682</v>
      </c>
      <c r="AX7" s="4">
        <v>0.0297479463217401</v>
      </c>
      <c r="AY7" s="4">
        <v>0.107048728297119</v>
      </c>
      <c r="AZ7" s="4">
        <v>0.207767553388648</v>
      </c>
      <c r="BA7" s="4">
        <v>0.123365422192224</v>
      </c>
      <c r="BB7" s="4">
        <v>0.401871074288638</v>
      </c>
      <c r="BC7" s="4">
        <v>0.272940562243411</v>
      </c>
      <c r="BD7" s="4">
        <v>0.341605862203096</v>
      </c>
      <c r="BE7" s="4">
        <v>0.281556836704438</v>
      </c>
      <c r="BF7" s="4">
        <v>0.282480178081665</v>
      </c>
      <c r="BG7" s="4">
        <v>0.266171450696183</v>
      </c>
      <c r="BH7" s="4">
        <v>0.290437948436587</v>
      </c>
      <c r="BI7" s="4">
        <v>0.273940209191377</v>
      </c>
      <c r="BJ7" s="4">
        <v>0.193598597379143</v>
      </c>
      <c r="BK7" s="4">
        <v>0.0141702829961511</v>
      </c>
      <c r="BL7" s="4">
        <v>0.181327215047459</v>
      </c>
      <c r="BM7" s="4">
        <v>0.249687080563895</v>
      </c>
      <c r="BN7" s="4">
        <v>0.295177742990371</v>
      </c>
      <c r="BO7" s="4">
        <v>0.296391992217506</v>
      </c>
      <c r="BP7" s="4">
        <v>0.426491700639604</v>
      </c>
      <c r="BQ7" s="4">
        <v>-0.00794687439228554</v>
      </c>
      <c r="BR7" s="4">
        <v>0.375683351147265</v>
      </c>
      <c r="BS7" s="4">
        <v>0.298486512862117</v>
      </c>
      <c r="BT7" s="4">
        <v>0.378522942031345</v>
      </c>
      <c r="BU7" s="4">
        <v>0.189373354245626</v>
      </c>
      <c r="BV7" s="4">
        <v>0.300609393283147</v>
      </c>
      <c r="BW7" s="4">
        <v>0.207527201854266</v>
      </c>
      <c r="BX7" s="4">
        <v>0.190733788111087</v>
      </c>
      <c r="BY7" s="4">
        <v>0.358566134200566</v>
      </c>
      <c r="BZ7" s="4">
        <v>-0.119837755618685</v>
      </c>
      <c r="CA7" s="4">
        <v>0.124626856438897</v>
      </c>
      <c r="CB7" s="4">
        <v>0.143547362341311</v>
      </c>
      <c r="CC7" s="4">
        <v>0.0262728923046345</v>
      </c>
      <c r="CD7" s="4">
        <v>0.00827383217069708</v>
      </c>
      <c r="CE7" s="4">
        <v>0.137628754703247</v>
      </c>
      <c r="CF7" s="4">
        <v>0.170478109667198</v>
      </c>
      <c r="CG7" s="4">
        <v>0.346963765808583</v>
      </c>
      <c r="CH7" s="4">
        <v>0.0781539401953187</v>
      </c>
      <c r="CI7" s="4">
        <v>0.408065974982204</v>
      </c>
      <c r="CJ7" s="4">
        <v>0.141642325697001</v>
      </c>
      <c r="CK7" s="4">
        <v>0.057737132153812</v>
      </c>
      <c r="CL7" s="4">
        <v>0.317167660535796</v>
      </c>
      <c r="CM7" s="4">
        <v>-0.0980600971018547</v>
      </c>
      <c r="CN7" s="4">
        <v>0.0423111707790515</v>
      </c>
      <c r="CO7" s="4">
        <v>0.223469855153168</v>
      </c>
      <c r="CP7" s="4">
        <v>-0.0498262162519108</v>
      </c>
      <c r="CQ7" s="4">
        <v>-0.0193511761227759</v>
      </c>
      <c r="CR7" s="4">
        <v>-0.0555087008478136</v>
      </c>
      <c r="CS7" s="4">
        <v>0.158104261970765</v>
      </c>
      <c r="CT7" s="4">
        <v>0.337952408673056</v>
      </c>
      <c r="CU7" s="4">
        <v>0.111452252605856</v>
      </c>
      <c r="CV7" s="4">
        <v>0.201453925927716</v>
      </c>
      <c r="CW7" s="4">
        <v>0.255454725498695</v>
      </c>
      <c r="CX7" s="4">
        <v>0.178255617718514</v>
      </c>
      <c r="CY7" s="4">
        <v>0.188719120468594</v>
      </c>
      <c r="CZ7" s="4">
        <v>0.17431569397385</v>
      </c>
      <c r="DA7" s="4">
        <v>0.181871692434308</v>
      </c>
      <c r="DB7" s="4">
        <v>0.156371097075751</v>
      </c>
      <c r="DC7" s="4">
        <v>0.305531629847671</v>
      </c>
      <c r="DD7" s="4">
        <v>0.0125119269506082</v>
      </c>
      <c r="DE7" s="4">
        <v>0.339228279661691</v>
      </c>
      <c r="DF7" s="4">
        <v>0.178657314514985</v>
      </c>
      <c r="DG7" s="4">
        <v>0.169298268067963</v>
      </c>
      <c r="DH7" s="4">
        <v>0.29813850019218</v>
      </c>
      <c r="DI7" s="4">
        <v>0.278818411989589</v>
      </c>
      <c r="DJ7" s="4">
        <v>0.364381924124168</v>
      </c>
      <c r="DK7" s="4">
        <v>0.328931227250734</v>
      </c>
      <c r="DL7" s="4">
        <v>0.349832364766991</v>
      </c>
      <c r="DM7" s="4">
        <v>0.33685613431233</v>
      </c>
      <c r="DN7" s="4">
        <v>0.215418997785744</v>
      </c>
      <c r="DO7" s="4">
        <v>0.333289686297199</v>
      </c>
      <c r="DP7" s="4">
        <v>0.258508001801315</v>
      </c>
      <c r="DQ7" s="4">
        <v>0.266760342578098</v>
      </c>
      <c r="DR7" s="4">
        <v>0.326551569741722</v>
      </c>
      <c r="DS7" s="4">
        <v>0.277194288601544</v>
      </c>
      <c r="DT7" s="4">
        <v>0.188683396243814</v>
      </c>
      <c r="DU7" s="4">
        <v>0.3659294721274</v>
      </c>
      <c r="DV7" s="4">
        <v>0.291330290275174</v>
      </c>
      <c r="DW7" s="4">
        <v>0.192399357112577</v>
      </c>
      <c r="DX7" s="4">
        <v>0.145863374739653</v>
      </c>
      <c r="DY7" s="4">
        <v>0.318453711392112</v>
      </c>
    </row>
    <row r="8" ht="14" spans="1:129">
      <c r="A8" s="31" t="s">
        <v>6</v>
      </c>
      <c r="B8" s="4" t="str">
        <v/>
      </c>
      <c r="C8" s="4" t="str">
        <v/>
      </c>
      <c r="D8" s="4" t="str">
        <v/>
      </c>
      <c r="E8" s="4" t="str">
        <v/>
      </c>
      <c r="F8" s="4">
        <v>1</v>
      </c>
      <c r="G8" s="4">
        <v>0.586919813325378</v>
      </c>
      <c r="H8" s="4">
        <v>0.155931706051689</v>
      </c>
      <c r="I8" s="4">
        <v>0.412990159122881</v>
      </c>
      <c r="J8" s="4">
        <v>0.318817045324899</v>
      </c>
      <c r="K8" s="4">
        <v>0.152045050287944</v>
      </c>
      <c r="L8" s="4">
        <v>0.127136043763515</v>
      </c>
      <c r="M8" s="4">
        <v>0.328244586383276</v>
      </c>
      <c r="N8" s="4">
        <v>0.226354148966222</v>
      </c>
      <c r="O8" s="4">
        <v>0.283551241301401</v>
      </c>
      <c r="P8" s="4">
        <v>0.312442032862444</v>
      </c>
      <c r="Q8" s="4">
        <v>0.463226205878865</v>
      </c>
      <c r="R8" s="4">
        <v>0.32763301643059</v>
      </c>
      <c r="S8" s="4">
        <v>0.134548119410927</v>
      </c>
      <c r="T8" s="4">
        <v>0.453030601400496</v>
      </c>
      <c r="U8" s="4">
        <v>0.44024028792053</v>
      </c>
      <c r="V8" s="4">
        <v>0.291937283567729</v>
      </c>
      <c r="W8" s="4">
        <v>0.241265763942538</v>
      </c>
      <c r="X8" s="4">
        <v>0.336671792578445</v>
      </c>
      <c r="Y8" s="4">
        <v>0.183182934617313</v>
      </c>
      <c r="Z8" s="4">
        <v>0.326091660899394</v>
      </c>
      <c r="AA8" s="4">
        <v>0.380539679620724</v>
      </c>
      <c r="AB8" s="4">
        <v>0.178680260603161</v>
      </c>
      <c r="AC8" s="4">
        <v>0.279157200618028</v>
      </c>
      <c r="AD8" s="4">
        <v>0.194079175191299</v>
      </c>
      <c r="AE8" s="4">
        <v>0.157105631614333</v>
      </c>
      <c r="AF8" s="4">
        <v>0.18267949104079</v>
      </c>
      <c r="AG8" s="4">
        <v>0.340226336933177</v>
      </c>
      <c r="AH8" s="4">
        <v>0.121137022369986</v>
      </c>
      <c r="AI8" s="4">
        <v>0.310125317436163</v>
      </c>
      <c r="AJ8" s="4">
        <v>0.126253446352115</v>
      </c>
      <c r="AK8" s="4">
        <v>0.28157429019782</v>
      </c>
      <c r="AL8" s="4">
        <v>0.183154883668239</v>
      </c>
      <c r="AM8" s="4">
        <v>0.0513015161896328</v>
      </c>
      <c r="AN8" s="4">
        <v>0.0699662265408349</v>
      </c>
      <c r="AO8" s="4">
        <v>0.110223064051781</v>
      </c>
      <c r="AP8" s="4">
        <v>0.138781015916932</v>
      </c>
      <c r="AQ8" s="4">
        <v>0.148722712270454</v>
      </c>
      <c r="AR8" s="4">
        <v>0.347836534536465</v>
      </c>
      <c r="AS8" s="4">
        <v>-0.101022437558671</v>
      </c>
      <c r="AT8" s="4">
        <v>0.135910044031205</v>
      </c>
      <c r="AU8" s="4">
        <v>-0.0264201641061899</v>
      </c>
      <c r="AV8" s="4">
        <v>0.105920144937264</v>
      </c>
      <c r="AW8" s="4">
        <v>0.180318882357823</v>
      </c>
      <c r="AX8" s="4">
        <v>0.0421440988736702</v>
      </c>
      <c r="AY8" s="4">
        <v>0.191666318504519</v>
      </c>
      <c r="AZ8" s="4">
        <v>0.21288997713005</v>
      </c>
      <c r="BA8" s="4">
        <v>0.0974706104567849</v>
      </c>
      <c r="BB8" s="4">
        <v>0.271368556992101</v>
      </c>
      <c r="BC8" s="4">
        <v>0.169412122070972</v>
      </c>
      <c r="BD8" s="4">
        <v>0.192432742568306</v>
      </c>
      <c r="BE8" s="4">
        <v>-0.00376193287663116</v>
      </c>
      <c r="BF8" s="4">
        <v>0.166817588165199</v>
      </c>
      <c r="BG8" s="4">
        <v>0.13080760928942</v>
      </c>
      <c r="BH8" s="4">
        <v>0.131996138733635</v>
      </c>
      <c r="BI8" s="4">
        <v>0.0185876017725827</v>
      </c>
      <c r="BJ8" s="4">
        <v>0.0997800661885671</v>
      </c>
      <c r="BK8" s="4">
        <v>0.310534833042205</v>
      </c>
      <c r="BL8" s="4">
        <v>0.294889373534112</v>
      </c>
      <c r="BM8" s="4">
        <v>0.188038704835271</v>
      </c>
      <c r="BN8" s="4">
        <v>0.231650473093899</v>
      </c>
      <c r="BO8" s="4">
        <v>0.257476566734584</v>
      </c>
      <c r="BP8" s="4">
        <v>0.172103518495166</v>
      </c>
      <c r="BQ8" s="4">
        <v>0.123848869151919</v>
      </c>
      <c r="BR8" s="4">
        <v>0.303266097474982</v>
      </c>
      <c r="BS8" s="4">
        <v>0.211205512759778</v>
      </c>
      <c r="BT8" s="4">
        <v>0.13400508695383</v>
      </c>
      <c r="BU8" s="4">
        <v>0.274221927511599</v>
      </c>
      <c r="BV8" s="4">
        <v>0.18293042607078</v>
      </c>
      <c r="BW8" s="4">
        <v>-0.0541215945452393</v>
      </c>
      <c r="BX8" s="4">
        <v>0.36215185425948</v>
      </c>
      <c r="BY8" s="4">
        <v>0.30502326170675</v>
      </c>
      <c r="BZ8" s="4">
        <v>0.485236304131698</v>
      </c>
      <c r="CA8" s="4">
        <v>0.344623525998745</v>
      </c>
      <c r="CB8" s="4">
        <v>0.43234011841916</v>
      </c>
      <c r="CC8" s="4">
        <v>0.250861861745021</v>
      </c>
      <c r="CD8" s="4">
        <v>0.446293649378975</v>
      </c>
      <c r="CE8" s="4">
        <v>0.34411763057488</v>
      </c>
      <c r="CF8" s="4">
        <v>0.251279123442512</v>
      </c>
      <c r="CG8" s="4">
        <v>0.252364214025394</v>
      </c>
      <c r="CH8" s="4">
        <v>0.341309814320494</v>
      </c>
      <c r="CI8" s="4">
        <v>0.331036882702612</v>
      </c>
      <c r="CJ8" s="4">
        <v>0.298762350122878</v>
      </c>
      <c r="CK8" s="4">
        <v>0.0489822618168178</v>
      </c>
      <c r="CL8" s="4">
        <v>0.265951083883435</v>
      </c>
      <c r="CM8" s="4">
        <v>0.314211768997658</v>
      </c>
      <c r="CN8" s="4">
        <v>0.21644506127743</v>
      </c>
      <c r="CO8" s="4">
        <v>0.571063374643888</v>
      </c>
      <c r="CP8" s="4">
        <v>0.366360559054685</v>
      </c>
      <c r="CQ8" s="4">
        <v>0.28035741163287</v>
      </c>
      <c r="CR8" s="4">
        <v>0.28548750846877</v>
      </c>
      <c r="CS8" s="4">
        <v>0.163745292621973</v>
      </c>
      <c r="CT8" s="4">
        <v>0.171828532870319</v>
      </c>
      <c r="CU8" s="4">
        <v>-0.0202682608277226</v>
      </c>
      <c r="CV8" s="4">
        <v>0.407060660061796</v>
      </c>
      <c r="CW8" s="4">
        <v>0.229607653576327</v>
      </c>
      <c r="CX8" s="4">
        <v>0.322218838016381</v>
      </c>
      <c r="CY8" s="4">
        <v>0.106843741706802</v>
      </c>
      <c r="CZ8" s="4">
        <v>0.126928982871864</v>
      </c>
      <c r="DA8" s="4">
        <v>-0.0447079199180081</v>
      </c>
      <c r="DB8" s="4">
        <v>0.0762830858942212</v>
      </c>
      <c r="DC8" s="4">
        <v>0.0609494091030493</v>
      </c>
      <c r="DD8" s="4">
        <v>-0.0745343522113071</v>
      </c>
      <c r="DE8" s="4">
        <v>0.0575331722670715</v>
      </c>
      <c r="DF8" s="4">
        <v>0.172961014555694</v>
      </c>
      <c r="DG8" s="4">
        <v>0.00895152565543758</v>
      </c>
      <c r="DH8" s="4">
        <v>0.11312271441576</v>
      </c>
      <c r="DI8" s="4">
        <v>0.234261888878634</v>
      </c>
      <c r="DJ8" s="4">
        <v>0.316599855012781</v>
      </c>
      <c r="DK8" s="4">
        <v>0.212297653680074</v>
      </c>
      <c r="DL8" s="4">
        <v>0.194830620392597</v>
      </c>
      <c r="DM8" s="4">
        <v>0.191640695367612</v>
      </c>
      <c r="DN8" s="4">
        <v>0.156644842508421</v>
      </c>
      <c r="DO8" s="4">
        <v>0.101527458174721</v>
      </c>
      <c r="DP8" s="4">
        <v>0.186267181235493</v>
      </c>
      <c r="DQ8" s="4">
        <v>0.161871202998799</v>
      </c>
      <c r="DR8" s="4">
        <v>0.207087517610922</v>
      </c>
      <c r="DS8" s="4">
        <v>0.243147753161107</v>
      </c>
      <c r="DT8" s="4">
        <v>0.206574960377285</v>
      </c>
      <c r="DU8" s="4">
        <v>0.184234993060102</v>
      </c>
      <c r="DV8" s="4">
        <v>0.112189711618187</v>
      </c>
      <c r="DW8" s="4">
        <v>0.222564153703842</v>
      </c>
      <c r="DX8" s="4">
        <v>0.138908006149273</v>
      </c>
      <c r="DY8" s="4">
        <v>0.0405243944171389</v>
      </c>
    </row>
    <row r="9" ht="14" spans="1:129">
      <c r="A9" s="31" t="s">
        <v>7</v>
      </c>
      <c r="B9" s="4" t="str">
        <v/>
      </c>
      <c r="C9" s="4" t="str">
        <v/>
      </c>
      <c r="D9" s="4" t="str">
        <v/>
      </c>
      <c r="E9" s="4" t="str">
        <v/>
      </c>
      <c r="F9" s="4" t="str">
        <v/>
      </c>
      <c r="G9" s="4">
        <v>1</v>
      </c>
      <c r="H9" s="4">
        <v>0.443689753139853</v>
      </c>
      <c r="I9" s="4">
        <v>0.457778561756723</v>
      </c>
      <c r="J9" s="4">
        <v>0.375077992933712</v>
      </c>
      <c r="K9" s="4">
        <v>0.134047660796349</v>
      </c>
      <c r="L9" s="4">
        <v>0.213309491356616</v>
      </c>
      <c r="M9" s="4">
        <v>0.274447344025429</v>
      </c>
      <c r="N9" s="4">
        <v>0.251321224214488</v>
      </c>
      <c r="O9" s="4">
        <v>0.218799081169661</v>
      </c>
      <c r="P9" s="4">
        <v>0.46142781602952</v>
      </c>
      <c r="Q9" s="4">
        <v>0.480271927971328</v>
      </c>
      <c r="R9" s="4">
        <v>0.346755410347238</v>
      </c>
      <c r="S9" s="4">
        <v>0.193682580526971</v>
      </c>
      <c r="T9" s="4">
        <v>0.599289904709127</v>
      </c>
      <c r="U9" s="4">
        <v>0.362264561749809</v>
      </c>
      <c r="V9" s="4">
        <v>0.220958007777191</v>
      </c>
      <c r="W9" s="4">
        <v>0.224939831481491</v>
      </c>
      <c r="X9" s="4">
        <v>0.223387427902693</v>
      </c>
      <c r="Y9" s="4">
        <v>0.262698268011677</v>
      </c>
      <c r="Z9" s="4">
        <v>0.410389128991469</v>
      </c>
      <c r="AA9" s="4">
        <v>0.320823251149292</v>
      </c>
      <c r="AB9" s="4">
        <v>0.222926859086322</v>
      </c>
      <c r="AC9" s="4">
        <v>0.368363327625167</v>
      </c>
      <c r="AD9" s="4">
        <v>0.333623296216814</v>
      </c>
      <c r="AE9" s="4">
        <v>0.222812695308239</v>
      </c>
      <c r="AF9" s="4">
        <v>0.324823378833869</v>
      </c>
      <c r="AG9" s="4">
        <v>0.334975420185323</v>
      </c>
      <c r="AH9" s="4">
        <v>0.151515727212459</v>
      </c>
      <c r="AI9" s="4">
        <v>0.291689267547642</v>
      </c>
      <c r="AJ9" s="4">
        <v>0.270403089428024</v>
      </c>
      <c r="AK9" s="4">
        <v>0.286217764435784</v>
      </c>
      <c r="AL9" s="4">
        <v>0.342257548386556</v>
      </c>
      <c r="AM9" s="4">
        <v>0.145515805365818</v>
      </c>
      <c r="AN9" s="4">
        <v>0.210136577670528</v>
      </c>
      <c r="AO9" s="4">
        <v>0.321305848811798</v>
      </c>
      <c r="AP9" s="4">
        <v>0.271532992563827</v>
      </c>
      <c r="AQ9" s="4">
        <v>0.250163394261263</v>
      </c>
      <c r="AR9" s="4">
        <v>0.465707933436017</v>
      </c>
      <c r="AS9" s="4">
        <v>0.142442630022597</v>
      </c>
      <c r="AT9" s="4">
        <v>0.214600037598235</v>
      </c>
      <c r="AU9" s="4">
        <v>0.175944798346867</v>
      </c>
      <c r="AV9" s="4">
        <v>0.16023814766013</v>
      </c>
      <c r="AW9" s="4">
        <v>0.105166527578269</v>
      </c>
      <c r="AX9" s="4">
        <v>0.250720737585453</v>
      </c>
      <c r="AY9" s="4">
        <v>0.269970700994552</v>
      </c>
      <c r="AZ9" s="4">
        <v>0.194316134444281</v>
      </c>
      <c r="BA9" s="4">
        <v>0.0417942851992363</v>
      </c>
      <c r="BB9" s="4">
        <v>0.171147511769063</v>
      </c>
      <c r="BC9" s="4">
        <v>0.288075654521969</v>
      </c>
      <c r="BD9" s="4">
        <v>0.37760510440221</v>
      </c>
      <c r="BE9" s="4">
        <v>0.0851303811355442</v>
      </c>
      <c r="BF9" s="4">
        <v>0.310413382119697</v>
      </c>
      <c r="BG9" s="4">
        <v>0.307236012157702</v>
      </c>
      <c r="BH9" s="4">
        <v>0.361959888681568</v>
      </c>
      <c r="BI9" s="4">
        <v>0.0536388602398554</v>
      </c>
      <c r="BJ9" s="4">
        <v>0.132895633819198</v>
      </c>
      <c r="BK9" s="4">
        <v>0.168622234919116</v>
      </c>
      <c r="BL9" s="4">
        <v>0.145994863755855</v>
      </c>
      <c r="BM9" s="4">
        <v>0.168641155865966</v>
      </c>
      <c r="BN9" s="4">
        <v>0.311162688352375</v>
      </c>
      <c r="BO9" s="4">
        <v>0.395884429950342</v>
      </c>
      <c r="BP9" s="4">
        <v>0.354429830947006</v>
      </c>
      <c r="BQ9" s="4">
        <v>-0.0515049094790053</v>
      </c>
      <c r="BR9" s="4">
        <v>0.23791237645947</v>
      </c>
      <c r="BS9" s="4">
        <v>0.179022918057429</v>
      </c>
      <c r="BT9" s="4">
        <v>0.0854875325014429</v>
      </c>
      <c r="BU9" s="4">
        <v>0.139132637532265</v>
      </c>
      <c r="BV9" s="4">
        <v>0.199832751160258</v>
      </c>
      <c r="BW9" s="4">
        <v>-0.0989935786918228</v>
      </c>
      <c r="BX9" s="4">
        <v>0.291523931710835</v>
      </c>
      <c r="BY9" s="4">
        <v>0.214530242124076</v>
      </c>
      <c r="BZ9" s="4">
        <v>0.317133222627256</v>
      </c>
      <c r="CA9" s="4">
        <v>0.137406578268868</v>
      </c>
      <c r="CB9" s="4">
        <v>0.344809671215528</v>
      </c>
      <c r="CC9" s="4">
        <v>0.155414185768144</v>
      </c>
      <c r="CD9" s="4">
        <v>0.310221924526356</v>
      </c>
      <c r="CE9" s="4">
        <v>0.276758188952904</v>
      </c>
      <c r="CF9" s="4">
        <v>0.202366498700208</v>
      </c>
      <c r="CG9" s="4">
        <v>0.157239215130482</v>
      </c>
      <c r="CH9" s="4">
        <v>0.244139634875775</v>
      </c>
      <c r="CI9" s="4">
        <v>0.378697489069006</v>
      </c>
      <c r="CJ9" s="4">
        <v>0.184161052822393</v>
      </c>
      <c r="CK9" s="4">
        <v>0.192731133494292</v>
      </c>
      <c r="CL9" s="4">
        <v>0.185795420124675</v>
      </c>
      <c r="CM9" s="4">
        <v>0.166151038808477</v>
      </c>
      <c r="CN9" s="4">
        <v>0.368990538783709</v>
      </c>
      <c r="CO9" s="4">
        <v>0.38902311495289</v>
      </c>
      <c r="CP9" s="4">
        <v>0.318374408455108</v>
      </c>
      <c r="CQ9" s="4">
        <v>0.337156034860608</v>
      </c>
      <c r="CR9" s="4">
        <v>0.251715954266227</v>
      </c>
      <c r="CS9" s="4">
        <v>0.299242840570096</v>
      </c>
      <c r="CT9" s="4">
        <v>0.14585918874736</v>
      </c>
      <c r="CU9" s="4">
        <v>0.0516015260772824</v>
      </c>
      <c r="CV9" s="4">
        <v>0.342893780222541</v>
      </c>
      <c r="CW9" s="4">
        <v>0.308865964300273</v>
      </c>
      <c r="CX9" s="4">
        <v>0.228165058053629</v>
      </c>
      <c r="CY9" s="4">
        <v>0.0421253232568266</v>
      </c>
      <c r="CZ9" s="4">
        <v>0.0128245568226291</v>
      </c>
      <c r="DA9" s="4">
        <v>-0.00289713185366557</v>
      </c>
      <c r="DB9" s="4">
        <v>0.0809522666003171</v>
      </c>
      <c r="DC9" s="4">
        <v>0.2901935981696</v>
      </c>
      <c r="DD9" s="4">
        <v>-0.0963839925723173</v>
      </c>
      <c r="DE9" s="4">
        <v>0.225750584927</v>
      </c>
      <c r="DF9" s="4">
        <v>0.249186680080981</v>
      </c>
      <c r="DG9" s="4">
        <v>-0.0239753257148665</v>
      </c>
      <c r="DH9" s="4">
        <v>0.327526136203888</v>
      </c>
      <c r="DI9" s="4">
        <v>0.266429168653106</v>
      </c>
      <c r="DJ9" s="4">
        <v>0.339230101030256</v>
      </c>
      <c r="DK9" s="4">
        <v>0.187445990226937</v>
      </c>
      <c r="DL9" s="4">
        <v>0.207118567811158</v>
      </c>
      <c r="DM9" s="4">
        <v>0.201617302116851</v>
      </c>
      <c r="DN9" s="4">
        <v>0.268486041475548</v>
      </c>
      <c r="DO9" s="4">
        <v>0.158777450635846</v>
      </c>
      <c r="DP9" s="4">
        <v>0.185555429631164</v>
      </c>
      <c r="DQ9" s="4">
        <v>0.231704962498178</v>
      </c>
      <c r="DR9" s="4">
        <v>0.167477227793103</v>
      </c>
      <c r="DS9" s="4">
        <v>0.113275171342972</v>
      </c>
      <c r="DT9" s="4">
        <v>0.215914738359014</v>
      </c>
      <c r="DU9" s="4">
        <v>0.209292134357871</v>
      </c>
      <c r="DV9" s="4">
        <v>0.15886489718068</v>
      </c>
      <c r="DW9" s="4">
        <v>0.244824638846568</v>
      </c>
      <c r="DX9" s="4">
        <v>0.12990446479674</v>
      </c>
      <c r="DY9" s="4">
        <v>0.162401992255818</v>
      </c>
    </row>
    <row r="10" ht="14" spans="1:129">
      <c r="A10" s="31" t="s">
        <v>8</v>
      </c>
      <c r="B10" s="4" t="str">
        <v/>
      </c>
      <c r="C10" s="4" t="str">
        <v/>
      </c>
      <c r="D10" s="4" t="str">
        <v/>
      </c>
      <c r="E10" s="4" t="str">
        <v/>
      </c>
      <c r="F10" s="4" t="str">
        <v/>
      </c>
      <c r="G10" s="4" t="str">
        <v/>
      </c>
      <c r="H10" s="4">
        <v>1</v>
      </c>
      <c r="I10" s="4">
        <v>0.16996107349378</v>
      </c>
      <c r="J10" s="4">
        <v>0.238036121804875</v>
      </c>
      <c r="K10" s="4">
        <v>0.244069907222655</v>
      </c>
      <c r="L10" s="4">
        <v>-0.0447977801805059</v>
      </c>
      <c r="M10" s="4">
        <v>0.320698294140923</v>
      </c>
      <c r="N10" s="4">
        <v>0.266142389124655</v>
      </c>
      <c r="O10" s="4">
        <v>0.299898011133251</v>
      </c>
      <c r="P10" s="4">
        <v>0.215770390550524</v>
      </c>
      <c r="Q10" s="4">
        <v>0.276584393274798</v>
      </c>
      <c r="R10" s="4">
        <v>0.18254655971323</v>
      </c>
      <c r="S10" s="4">
        <v>0.210630670207298</v>
      </c>
      <c r="T10" s="4">
        <v>0.349025288411729</v>
      </c>
      <c r="U10" s="4">
        <v>0.352192129450957</v>
      </c>
      <c r="V10" s="4">
        <v>0.212606268522917</v>
      </c>
      <c r="W10" s="4">
        <v>0.212679352812031</v>
      </c>
      <c r="X10" s="4">
        <v>0.291801813213397</v>
      </c>
      <c r="Y10" s="4">
        <v>0.217600525707822</v>
      </c>
      <c r="Z10" s="4">
        <v>0.147556851461276</v>
      </c>
      <c r="AA10" s="4">
        <v>0.199945453038748</v>
      </c>
      <c r="AB10" s="4">
        <v>0.2724914107499</v>
      </c>
      <c r="AC10" s="4">
        <v>0.110945001346514</v>
      </c>
      <c r="AD10" s="4">
        <v>0.273949631298119</v>
      </c>
      <c r="AE10" s="4">
        <v>0.203242474462595</v>
      </c>
      <c r="AF10" s="4">
        <v>0.13004312622805</v>
      </c>
      <c r="AG10" s="4">
        <v>0.246114062900256</v>
      </c>
      <c r="AH10" s="4">
        <v>0.175711996458438</v>
      </c>
      <c r="AI10" s="4">
        <v>0.279050912754839</v>
      </c>
      <c r="AJ10" s="4">
        <v>0.0380154196844775</v>
      </c>
      <c r="AK10" s="4">
        <v>0.0625541287704949</v>
      </c>
      <c r="AL10" s="4">
        <v>0.289241944898451</v>
      </c>
      <c r="AM10" s="4">
        <v>0.204053002314625</v>
      </c>
      <c r="AN10" s="4">
        <v>0.163966636835245</v>
      </c>
      <c r="AO10" s="4">
        <v>0.164398328936752</v>
      </c>
      <c r="AP10" s="4">
        <v>0.300493764179919</v>
      </c>
      <c r="AQ10" s="4">
        <v>0.397760867085042</v>
      </c>
      <c r="AR10" s="4">
        <v>0.48560976916379</v>
      </c>
      <c r="AS10" s="4">
        <v>0.22547436341585</v>
      </c>
      <c r="AT10" s="4">
        <v>0.218596477134992</v>
      </c>
      <c r="AU10" s="4">
        <v>0.378341797581048</v>
      </c>
      <c r="AV10" s="4">
        <v>0.335628138061844</v>
      </c>
      <c r="AW10" s="4">
        <v>0.153729062978992</v>
      </c>
      <c r="AX10" s="4">
        <v>0.172412219560013</v>
      </c>
      <c r="AY10" s="4">
        <v>0.265953414977663</v>
      </c>
      <c r="AZ10" s="4">
        <v>0.222412696846676</v>
      </c>
      <c r="BA10" s="4">
        <v>-0.034363829672988</v>
      </c>
      <c r="BB10" s="4">
        <v>0.380580629755401</v>
      </c>
      <c r="BC10" s="4">
        <v>0.286366200121137</v>
      </c>
      <c r="BD10" s="4">
        <v>0.432767367769758</v>
      </c>
      <c r="BE10" s="4">
        <v>0.133690563110666</v>
      </c>
      <c r="BF10" s="4">
        <v>0.30313852802238</v>
      </c>
      <c r="BG10" s="4">
        <v>0.164375759641491</v>
      </c>
      <c r="BH10" s="4">
        <v>0.239793711073569</v>
      </c>
      <c r="BI10" s="4">
        <v>0.137213317201988</v>
      </c>
      <c r="BJ10" s="4">
        <v>0.0539510650658817</v>
      </c>
      <c r="BK10" s="4">
        <v>0.0123715441426533</v>
      </c>
      <c r="BL10" s="4">
        <v>0.145564846057075</v>
      </c>
      <c r="BM10" s="4">
        <v>0.137113994058789</v>
      </c>
      <c r="BN10" s="4">
        <v>0.308910760654556</v>
      </c>
      <c r="BO10" s="4">
        <v>0.313279517128188</v>
      </c>
      <c r="BP10" s="4">
        <v>0.238860097536094</v>
      </c>
      <c r="BQ10" s="4">
        <v>-0.0159137568413154</v>
      </c>
      <c r="BR10" s="4">
        <v>0.253692750649024</v>
      </c>
      <c r="BS10" s="4">
        <v>0.168094545353522</v>
      </c>
      <c r="BT10" s="4">
        <v>0.251288866246099</v>
      </c>
      <c r="BU10" s="4">
        <v>0.146692746796406</v>
      </c>
      <c r="BV10" s="4">
        <v>0.122993472443946</v>
      </c>
      <c r="BW10" s="4">
        <v>0.0272037679272124</v>
      </c>
      <c r="BX10" s="4">
        <v>0.0543067504591067</v>
      </c>
      <c r="BY10" s="4">
        <v>0.224525779428403</v>
      </c>
      <c r="BZ10" s="4">
        <v>0.209706314509278</v>
      </c>
      <c r="CA10" s="4">
        <v>0.160931311807314</v>
      </c>
      <c r="CB10" s="4">
        <v>0.359481130541852</v>
      </c>
      <c r="CC10" s="4">
        <v>0.210882823955863</v>
      </c>
      <c r="CD10" s="4">
        <v>0.157979376761034</v>
      </c>
      <c r="CE10" s="4">
        <v>0.0485700683174099</v>
      </c>
      <c r="CF10" s="4">
        <v>0.271970871415521</v>
      </c>
      <c r="CG10" s="4">
        <v>0.252747060123355</v>
      </c>
      <c r="CH10" s="4">
        <v>0.240395517902518</v>
      </c>
      <c r="CI10" s="4">
        <v>0.372356676258403</v>
      </c>
      <c r="CJ10" s="4">
        <v>0.405178780656906</v>
      </c>
      <c r="CK10" s="4">
        <v>0.0985592133064386</v>
      </c>
      <c r="CL10" s="4">
        <v>0.323710552643695</v>
      </c>
      <c r="CM10" s="4">
        <v>-0.103912159897662</v>
      </c>
      <c r="CN10" s="4">
        <v>0.355843430976584</v>
      </c>
      <c r="CO10" s="4">
        <v>0.193103141566889</v>
      </c>
      <c r="CP10" s="4">
        <v>0.196980518113806</v>
      </c>
      <c r="CQ10" s="4">
        <v>0.263226239728161</v>
      </c>
      <c r="CR10" s="4">
        <v>0.1305852212445</v>
      </c>
      <c r="CS10" s="4">
        <v>0.188594228643259</v>
      </c>
      <c r="CT10" s="4">
        <v>0.260848530027534</v>
      </c>
      <c r="CU10" s="4">
        <v>0.196956245827172</v>
      </c>
      <c r="CV10" s="4">
        <v>0.117417281117476</v>
      </c>
      <c r="CW10" s="4">
        <v>0.193959531526713</v>
      </c>
      <c r="CX10" s="4">
        <v>0.412469572379777</v>
      </c>
      <c r="CY10" s="4">
        <v>0.0187784642735271</v>
      </c>
      <c r="CZ10" s="4">
        <v>0.0874282719666367</v>
      </c>
      <c r="DA10" s="4">
        <v>0.0163429946450914</v>
      </c>
      <c r="DB10" s="4">
        <v>0.0649967958077134</v>
      </c>
      <c r="DC10" s="4">
        <v>0.180445185484753</v>
      </c>
      <c r="DD10" s="4">
        <v>0.0890646640724445</v>
      </c>
      <c r="DE10" s="4">
        <v>0.384147862261726</v>
      </c>
      <c r="DF10" s="4">
        <v>0.130241384436166</v>
      </c>
      <c r="DG10" s="4">
        <v>0.00578713145879785</v>
      </c>
      <c r="DH10" s="4">
        <v>0.337427418586246</v>
      </c>
      <c r="DI10" s="4">
        <v>0.175060716744805</v>
      </c>
      <c r="DJ10" s="4">
        <v>0.251886437824482</v>
      </c>
      <c r="DK10" s="4">
        <v>0.181112346885493</v>
      </c>
      <c r="DL10" s="4">
        <v>0.133573500918124</v>
      </c>
      <c r="DM10" s="4">
        <v>0.155246411385738</v>
      </c>
      <c r="DN10" s="4">
        <v>0.227383822571676</v>
      </c>
      <c r="DO10" s="4">
        <v>0.152644655865258</v>
      </c>
      <c r="DP10" s="4">
        <v>0.15363317956651</v>
      </c>
      <c r="DQ10" s="4">
        <v>0.209748910078359</v>
      </c>
      <c r="DR10" s="4">
        <v>0.17622697107549</v>
      </c>
      <c r="DS10" s="4">
        <v>0.108913949523722</v>
      </c>
      <c r="DT10" s="4">
        <v>0.126806177203538</v>
      </c>
      <c r="DU10" s="4">
        <v>0.270576620660677</v>
      </c>
      <c r="DV10" s="4">
        <v>0.195672887204425</v>
      </c>
      <c r="DW10" s="4">
        <v>0.125177317067205</v>
      </c>
      <c r="DX10" s="4">
        <v>0.130648733310974</v>
      </c>
      <c r="DY10" s="4">
        <v>0.180165646983287</v>
      </c>
    </row>
    <row r="11" ht="14" spans="1:129">
      <c r="A11" s="31" t="s">
        <v>9</v>
      </c>
      <c r="B11" s="4" t="str">
        <v/>
      </c>
      <c r="C11" s="4" t="str">
        <v/>
      </c>
      <c r="D11" s="4" t="str">
        <v/>
      </c>
      <c r="E11" s="4" t="str">
        <v/>
      </c>
      <c r="F11" s="4" t="str">
        <v/>
      </c>
      <c r="G11" s="4" t="str">
        <v/>
      </c>
      <c r="H11" s="4" t="str">
        <v/>
      </c>
      <c r="I11" s="4">
        <v>1</v>
      </c>
      <c r="J11" s="4">
        <v>0.470006960945817</v>
      </c>
      <c r="K11" s="4">
        <v>0.454261319141175</v>
      </c>
      <c r="L11" s="4">
        <v>0.111397472552872</v>
      </c>
      <c r="M11" s="4">
        <v>0.603373278462359</v>
      </c>
      <c r="N11" s="4">
        <v>0.512665744990952</v>
      </c>
      <c r="O11" s="4">
        <v>0.604304612518813</v>
      </c>
      <c r="P11" s="4">
        <v>0.37886177649438</v>
      </c>
      <c r="Q11" s="4">
        <v>0.302612732663887</v>
      </c>
      <c r="R11" s="4">
        <v>0.372640510378364</v>
      </c>
      <c r="S11" s="4">
        <v>0.220450343142493</v>
      </c>
      <c r="T11" s="4">
        <v>0.608861860168199</v>
      </c>
      <c r="U11" s="4">
        <v>0.355152830396501</v>
      </c>
      <c r="V11" s="4">
        <v>0.345304391071122</v>
      </c>
      <c r="W11" s="4">
        <v>0.608146071928383</v>
      </c>
      <c r="X11" s="4">
        <v>0.372790818636207</v>
      </c>
      <c r="Y11" s="4">
        <v>0.327000996834446</v>
      </c>
      <c r="Z11" s="4">
        <v>0.675211595840673</v>
      </c>
      <c r="AA11" s="4">
        <v>0.533247885583259</v>
      </c>
      <c r="AB11" s="4">
        <v>0.234766701155121</v>
      </c>
      <c r="AC11" s="4">
        <v>0.396355713419418</v>
      </c>
      <c r="AD11" s="4">
        <v>0.517737748752411</v>
      </c>
      <c r="AE11" s="4">
        <v>0.333331345312173</v>
      </c>
      <c r="AF11" s="4">
        <v>0.379872450755908</v>
      </c>
      <c r="AG11" s="4">
        <v>0.541702815319916</v>
      </c>
      <c r="AH11" s="4">
        <v>0.0892394049717345</v>
      </c>
      <c r="AI11" s="4">
        <v>0.260632693531922</v>
      </c>
      <c r="AJ11" s="4">
        <v>0.206020766168616</v>
      </c>
      <c r="AK11" s="4">
        <v>0.291362958575202</v>
      </c>
      <c r="AL11" s="4">
        <v>0.323254193822164</v>
      </c>
      <c r="AM11" s="4">
        <v>0.340054025606079</v>
      </c>
      <c r="AN11" s="4">
        <v>0.00687356886285055</v>
      </c>
      <c r="AO11" s="4">
        <v>0.268476828999818</v>
      </c>
      <c r="AP11" s="4">
        <v>0.308765571458268</v>
      </c>
      <c r="AQ11" s="4">
        <v>0.333401778556387</v>
      </c>
      <c r="AR11" s="4">
        <v>0.415845701070496</v>
      </c>
      <c r="AS11" s="4">
        <v>0.158780130805887</v>
      </c>
      <c r="AT11" s="4">
        <v>0.319249890096062</v>
      </c>
      <c r="AU11" s="4">
        <v>0.261468928625819</v>
      </c>
      <c r="AV11" s="4">
        <v>0.304825687220247</v>
      </c>
      <c r="AW11" s="4">
        <v>0.470707654348618</v>
      </c>
      <c r="AX11" s="4">
        <v>0.337896906304843</v>
      </c>
      <c r="AY11" s="4">
        <v>0.349472342024505</v>
      </c>
      <c r="AZ11" s="4">
        <v>0.369088023729171</v>
      </c>
      <c r="BA11" s="4">
        <v>0.464367330605131</v>
      </c>
      <c r="BB11" s="4">
        <v>0.370561369667198</v>
      </c>
      <c r="BC11" s="4">
        <v>0.426503201887113</v>
      </c>
      <c r="BD11" s="4">
        <v>0.450751530952149</v>
      </c>
      <c r="BE11" s="4">
        <v>0.0505461489435501</v>
      </c>
      <c r="BF11" s="4">
        <v>0.362415016158958</v>
      </c>
      <c r="BG11" s="4">
        <v>0.554295020878352</v>
      </c>
      <c r="BH11" s="4">
        <v>0.391538218415909</v>
      </c>
      <c r="BI11" s="4">
        <v>0.153317702450781</v>
      </c>
      <c r="BJ11" s="4">
        <v>0.313477622099406</v>
      </c>
      <c r="BK11" s="4">
        <v>0.369982431831571</v>
      </c>
      <c r="BL11" s="4">
        <v>0.209675645570637</v>
      </c>
      <c r="BM11" s="4">
        <v>0.195450353707314</v>
      </c>
      <c r="BN11" s="4">
        <v>0.22181400015859</v>
      </c>
      <c r="BO11" s="4">
        <v>0.478512754066682</v>
      </c>
      <c r="BP11" s="4">
        <v>0.482678696665518</v>
      </c>
      <c r="BQ11" s="4">
        <v>0.285288476540045</v>
      </c>
      <c r="BR11" s="4">
        <v>0.321363689519621</v>
      </c>
      <c r="BS11" s="4">
        <v>0.160127370856803</v>
      </c>
      <c r="BT11" s="4">
        <v>0.112376346140293</v>
      </c>
      <c r="BU11" s="4">
        <v>0.348754404875085</v>
      </c>
      <c r="BV11" s="4">
        <v>0.269853446023033</v>
      </c>
      <c r="BW11" s="4">
        <v>0.0767335037711592</v>
      </c>
      <c r="BX11" s="4">
        <v>0.240535159427264</v>
      </c>
      <c r="BY11" s="4">
        <v>0.309404813147882</v>
      </c>
      <c r="BZ11" s="4">
        <v>0.26926898395847</v>
      </c>
      <c r="CA11" s="4">
        <v>0.239440002955505</v>
      </c>
      <c r="CB11" s="4">
        <v>0.403370114754429</v>
      </c>
      <c r="CC11" s="4">
        <v>0.309056142146084</v>
      </c>
      <c r="CD11" s="4">
        <v>0.378656608039893</v>
      </c>
      <c r="CE11" s="4">
        <v>0.34499170282623</v>
      </c>
      <c r="CF11" s="4">
        <v>0.323152262698546</v>
      </c>
      <c r="CG11" s="4">
        <v>0.190535606259516</v>
      </c>
      <c r="CH11" s="4">
        <v>0.404653028641774</v>
      </c>
      <c r="CI11" s="4">
        <v>0.539415863643316</v>
      </c>
      <c r="CJ11" s="4">
        <v>0.301537944632547</v>
      </c>
      <c r="CK11" s="4">
        <v>0.241965885343205</v>
      </c>
      <c r="CL11" s="4">
        <v>0.167595333254788</v>
      </c>
      <c r="CM11" s="4">
        <v>-0.0155191807145712</v>
      </c>
      <c r="CN11" s="4">
        <v>0.2685413214943</v>
      </c>
      <c r="CO11" s="4">
        <v>0.291455571187691</v>
      </c>
      <c r="CP11" s="4">
        <v>0.237757722666596</v>
      </c>
      <c r="CQ11" s="4">
        <v>0.24752689336615</v>
      </c>
      <c r="CR11" s="4">
        <v>0.260021867569973</v>
      </c>
      <c r="CS11" s="4">
        <v>0.299844175531415</v>
      </c>
      <c r="CT11" s="4">
        <v>0.0774966253642906</v>
      </c>
      <c r="CU11" s="4">
        <v>0.209057140472721</v>
      </c>
      <c r="CV11" s="4">
        <v>0.409804327623829</v>
      </c>
      <c r="CW11" s="4">
        <v>0.365494474191939</v>
      </c>
      <c r="CX11" s="4">
        <v>0.293974433364264</v>
      </c>
      <c r="CY11" s="4">
        <v>0.0880339411112804</v>
      </c>
      <c r="CZ11" s="4">
        <v>0.404228673628439</v>
      </c>
      <c r="DA11" s="4">
        <v>0.286978040291577</v>
      </c>
      <c r="DB11" s="4">
        <v>0.115138074909822</v>
      </c>
      <c r="DC11" s="4">
        <v>0.140744281324714</v>
      </c>
      <c r="DD11" s="4">
        <v>-0.164492442276593</v>
      </c>
      <c r="DE11" s="4">
        <v>0.307302664668643</v>
      </c>
      <c r="DF11" s="4">
        <v>0.126323496811218</v>
      </c>
      <c r="DG11" s="4">
        <v>0.383571175830703</v>
      </c>
      <c r="DH11" s="4">
        <v>0.266694552953601</v>
      </c>
      <c r="DI11" s="4">
        <v>0.277407628322675</v>
      </c>
      <c r="DJ11" s="4">
        <v>0.233723365078789</v>
      </c>
      <c r="DK11" s="4">
        <v>0.122083254888128</v>
      </c>
      <c r="DL11" s="4">
        <v>0.226469948996238</v>
      </c>
      <c r="DM11" s="4">
        <v>0.22361126984352</v>
      </c>
      <c r="DN11" s="4">
        <v>0.256422261619121</v>
      </c>
      <c r="DO11" s="4">
        <v>0.14717049749865</v>
      </c>
      <c r="DP11" s="4">
        <v>0.28142376726178</v>
      </c>
      <c r="DQ11" s="4">
        <v>0.233308769629475</v>
      </c>
      <c r="DR11" s="4">
        <v>0.276107620083009</v>
      </c>
      <c r="DS11" s="4">
        <v>0.277591965300099</v>
      </c>
      <c r="DT11" s="4">
        <v>0.270536227763806</v>
      </c>
      <c r="DU11" s="4">
        <v>0.150460225391617</v>
      </c>
      <c r="DV11" s="4">
        <v>0.282790584566944</v>
      </c>
      <c r="DW11" s="4">
        <v>0.24613442509162</v>
      </c>
      <c r="DX11" s="4">
        <v>0.289374891605278</v>
      </c>
      <c r="DY11" s="4">
        <v>0.24042317846158</v>
      </c>
    </row>
    <row r="12" ht="14" spans="1:129">
      <c r="A12" s="31" t="s">
        <v>10</v>
      </c>
      <c r="B12" s="4" t="str">
        <v/>
      </c>
      <c r="C12" s="4" t="str">
        <v/>
      </c>
      <c r="D12" s="4" t="str">
        <v/>
      </c>
      <c r="E12" s="4" t="str">
        <v/>
      </c>
      <c r="F12" s="4" t="str">
        <v/>
      </c>
      <c r="G12" s="4" t="str">
        <v/>
      </c>
      <c r="H12" s="4" t="str">
        <v/>
      </c>
      <c r="I12" s="4" t="str">
        <v/>
      </c>
      <c r="J12" s="4">
        <v>1</v>
      </c>
      <c r="K12" s="4">
        <v>0.337830646279411</v>
      </c>
      <c r="L12" s="4">
        <v>0.406354051326861</v>
      </c>
      <c r="M12" s="4">
        <v>0.479920860144755</v>
      </c>
      <c r="N12" s="4">
        <v>0.427369304275704</v>
      </c>
      <c r="O12" s="4">
        <v>0.440493919420168</v>
      </c>
      <c r="P12" s="4">
        <v>0.231890897072234</v>
      </c>
      <c r="Q12" s="4">
        <v>0.274430878706717</v>
      </c>
      <c r="R12" s="4">
        <v>0.222145159739708</v>
      </c>
      <c r="S12" s="4">
        <v>0.16460820497834</v>
      </c>
      <c r="T12" s="4">
        <v>0.499213813247268</v>
      </c>
      <c r="U12" s="4">
        <v>0.358091043793962</v>
      </c>
      <c r="V12" s="4">
        <v>0.236952670631735</v>
      </c>
      <c r="W12" s="4">
        <v>0.359714286562143</v>
      </c>
      <c r="X12" s="4">
        <v>0.24493736642559</v>
      </c>
      <c r="Y12" s="4">
        <v>0.168049484580183</v>
      </c>
      <c r="Z12" s="4">
        <v>0.45368331688519</v>
      </c>
      <c r="AA12" s="4">
        <v>0.502164714951242</v>
      </c>
      <c r="AB12" s="4">
        <v>0.302593297356409</v>
      </c>
      <c r="AC12" s="4">
        <v>0.295682084239393</v>
      </c>
      <c r="AD12" s="4">
        <v>0.476473383223574</v>
      </c>
      <c r="AE12" s="4">
        <v>0.427273468723545</v>
      </c>
      <c r="AF12" s="4">
        <v>0.313464357227236</v>
      </c>
      <c r="AG12" s="4">
        <v>0.43332304082978</v>
      </c>
      <c r="AH12" s="4">
        <v>0.402457109918431</v>
      </c>
      <c r="AI12" s="4">
        <v>0.392159864981713</v>
      </c>
      <c r="AJ12" s="4">
        <v>0.221257922647615</v>
      </c>
      <c r="AK12" s="4">
        <v>0.197413952847301</v>
      </c>
      <c r="AL12" s="4">
        <v>0.406564769415668</v>
      </c>
      <c r="AM12" s="4">
        <v>0.22584115048819</v>
      </c>
      <c r="AN12" s="4">
        <v>0.182060194736999</v>
      </c>
      <c r="AO12" s="4">
        <v>0.338685503474232</v>
      </c>
      <c r="AP12" s="4">
        <v>0.263264447111609</v>
      </c>
      <c r="AQ12" s="4">
        <v>0.269579766135725</v>
      </c>
      <c r="AR12" s="4">
        <v>0.303534803041862</v>
      </c>
      <c r="AS12" s="4">
        <v>0.255846026273068</v>
      </c>
      <c r="AT12" s="4">
        <v>0.34747344970343</v>
      </c>
      <c r="AU12" s="4">
        <v>0.124507933560631</v>
      </c>
      <c r="AV12" s="4">
        <v>0.292483108640594</v>
      </c>
      <c r="AW12" s="4">
        <v>0.272187426983576</v>
      </c>
      <c r="AX12" s="4">
        <v>0.361389343015642</v>
      </c>
      <c r="AY12" s="4">
        <v>0.331002569689589</v>
      </c>
      <c r="AZ12" s="4">
        <v>0.209222525031403</v>
      </c>
      <c r="BA12" s="4">
        <v>0.316667097311049</v>
      </c>
      <c r="BB12" s="4">
        <v>0.336004919893157</v>
      </c>
      <c r="BC12" s="4">
        <v>0.427551810155282</v>
      </c>
      <c r="BD12" s="4">
        <v>0.317167311772076</v>
      </c>
      <c r="BE12" s="4">
        <v>0.184181700802564</v>
      </c>
      <c r="BF12" s="4">
        <v>0.243086388153945</v>
      </c>
      <c r="BG12" s="4">
        <v>0.390393097690789</v>
      </c>
      <c r="BH12" s="4">
        <v>0.288980401685611</v>
      </c>
      <c r="BI12" s="4">
        <v>0.270978325056968</v>
      </c>
      <c r="BJ12" s="4">
        <v>0.142364755097296</v>
      </c>
      <c r="BK12" s="4">
        <v>0.0088045627280972</v>
      </c>
      <c r="BL12" s="4">
        <v>0.150048081256389</v>
      </c>
      <c r="BM12" s="4">
        <v>0.113236254594454</v>
      </c>
      <c r="BN12" s="4">
        <v>0.31315728263658</v>
      </c>
      <c r="BO12" s="4">
        <v>0.182150805645481</v>
      </c>
      <c r="BP12" s="4">
        <v>0.31332936926828</v>
      </c>
      <c r="BQ12" s="4">
        <v>-0.117400414843073</v>
      </c>
      <c r="BR12" s="4">
        <v>0.305384925800077</v>
      </c>
      <c r="BS12" s="4">
        <v>0.154881362980962</v>
      </c>
      <c r="BT12" s="4">
        <v>0.145728123758176</v>
      </c>
      <c r="BU12" s="4">
        <v>0.220972976989204</v>
      </c>
      <c r="BV12" s="4">
        <v>0.202817314693211</v>
      </c>
      <c r="BW12" s="4">
        <v>0.0215825927717935</v>
      </c>
      <c r="BX12" s="4">
        <v>0.261811313797399</v>
      </c>
      <c r="BY12" s="4">
        <v>0.301731205107033</v>
      </c>
      <c r="BZ12" s="4">
        <v>0.0200213766445975</v>
      </c>
      <c r="CA12" s="4">
        <v>-0.0160321973808821</v>
      </c>
      <c r="CB12" s="4">
        <v>0.133716818717411</v>
      </c>
      <c r="CC12" s="4">
        <v>0.152483231899921</v>
      </c>
      <c r="CD12" s="4">
        <v>0.115593052342254</v>
      </c>
      <c r="CE12" s="4">
        <v>0.292394926389038</v>
      </c>
      <c r="CF12" s="4">
        <v>0.158208742004047</v>
      </c>
      <c r="CG12" s="4">
        <v>0.390889968647428</v>
      </c>
      <c r="CH12" s="4">
        <v>0.109597593796559</v>
      </c>
      <c r="CI12" s="4">
        <v>0.415155250343949</v>
      </c>
      <c r="CJ12" s="4">
        <v>0.127643717936793</v>
      </c>
      <c r="CK12" s="4">
        <v>0.153843098022818</v>
      </c>
      <c r="CL12" s="4">
        <v>0.173053247102763</v>
      </c>
      <c r="CM12" s="4">
        <v>0.138701004200731</v>
      </c>
      <c r="CN12" s="4">
        <v>0.107919618651093</v>
      </c>
      <c r="CO12" s="4">
        <v>0.213152264658209</v>
      </c>
      <c r="CP12" s="4">
        <v>0.0275952973544961</v>
      </c>
      <c r="CQ12" s="4">
        <v>0.267123488803465</v>
      </c>
      <c r="CR12" s="4">
        <v>0.0379918530068121</v>
      </c>
      <c r="CS12" s="4">
        <v>0.107262245931359</v>
      </c>
      <c r="CT12" s="4">
        <v>0.0736666723030551</v>
      </c>
      <c r="CU12" s="4">
        <v>0.122403968644865</v>
      </c>
      <c r="CV12" s="4">
        <v>0.177558688359841</v>
      </c>
      <c r="CW12" s="4">
        <v>0.0847003499795051</v>
      </c>
      <c r="CX12" s="4">
        <v>0.260579972642493</v>
      </c>
      <c r="CY12" s="4">
        <v>0.207785617368621</v>
      </c>
      <c r="CZ12" s="4">
        <v>0.288104587748797</v>
      </c>
      <c r="DA12" s="4">
        <v>0.0821955257317918</v>
      </c>
      <c r="DB12" s="4">
        <v>0.0806670600405971</v>
      </c>
      <c r="DC12" s="4">
        <v>0.271832931842023</v>
      </c>
      <c r="DD12" s="4">
        <v>0.0644328945433125</v>
      </c>
      <c r="DE12" s="4">
        <v>0.273441192354445</v>
      </c>
      <c r="DF12" s="4">
        <v>0.1046357832568</v>
      </c>
      <c r="DG12" s="4">
        <v>0.289775658702497</v>
      </c>
      <c r="DH12" s="4">
        <v>0.233805539659489</v>
      </c>
      <c r="DI12" s="4">
        <v>0.36812405706951</v>
      </c>
      <c r="DJ12" s="4">
        <v>0.302777170182835</v>
      </c>
      <c r="DK12" s="4">
        <v>0.263449585039951</v>
      </c>
      <c r="DL12" s="4">
        <v>0.24107551382669</v>
      </c>
      <c r="DM12" s="4">
        <v>0.293936137457381</v>
      </c>
      <c r="DN12" s="4">
        <v>0.201814291593129</v>
      </c>
      <c r="DO12" s="4">
        <v>0.226700034763671</v>
      </c>
      <c r="DP12" s="4">
        <v>0.287566496898571</v>
      </c>
      <c r="DQ12" s="4">
        <v>0.294904369326551</v>
      </c>
      <c r="DR12" s="4">
        <v>0.284861185465469</v>
      </c>
      <c r="DS12" s="4">
        <v>0.336212754459223</v>
      </c>
      <c r="DT12" s="4">
        <v>0.242187798989803</v>
      </c>
      <c r="DU12" s="4">
        <v>0.269918103280243</v>
      </c>
      <c r="DV12" s="4">
        <v>0.211572048025817</v>
      </c>
      <c r="DW12" s="4">
        <v>0.0717229648278766</v>
      </c>
      <c r="DX12" s="4">
        <v>0.198858875542347</v>
      </c>
      <c r="DY12" s="4">
        <v>0.223385988670616</v>
      </c>
    </row>
    <row r="13" ht="14" spans="1:129">
      <c r="A13" s="31" t="s">
        <v>11</v>
      </c>
      <c r="B13" s="4" t="str">
        <v/>
      </c>
      <c r="C13" s="4" t="str">
        <v/>
      </c>
      <c r="D13" s="4" t="str">
        <v/>
      </c>
      <c r="E13" s="4" t="str">
        <v/>
      </c>
      <c r="F13" s="4" t="str">
        <v/>
      </c>
      <c r="G13" s="4" t="str">
        <v/>
      </c>
      <c r="H13" s="4" t="str">
        <v/>
      </c>
      <c r="I13" s="4" t="str">
        <v/>
      </c>
      <c r="J13" s="4" t="str">
        <v/>
      </c>
      <c r="K13" s="4">
        <v>1</v>
      </c>
      <c r="L13" s="4">
        <v>0.10765839285505</v>
      </c>
      <c r="M13" s="4">
        <v>0.370366669808442</v>
      </c>
      <c r="N13" s="4">
        <v>0.552248977210518</v>
      </c>
      <c r="O13" s="4">
        <v>0.481948898696137</v>
      </c>
      <c r="P13" s="4">
        <v>0.289909162801661</v>
      </c>
      <c r="Q13" s="4">
        <v>0.0625271350895632</v>
      </c>
      <c r="R13" s="4">
        <v>0.281226604332335</v>
      </c>
      <c r="S13" s="4">
        <v>0.0414223401780245</v>
      </c>
      <c r="T13" s="4">
        <v>0.294992447194387</v>
      </c>
      <c r="U13" s="4">
        <v>0.48165784782227</v>
      </c>
      <c r="V13" s="4">
        <v>0.595736252174684</v>
      </c>
      <c r="W13" s="4">
        <v>0.462592263648034</v>
      </c>
      <c r="X13" s="4">
        <v>0.402530200699238</v>
      </c>
      <c r="Y13" s="4">
        <v>0.320376434008367</v>
      </c>
      <c r="Z13" s="4">
        <v>0.505675352793921</v>
      </c>
      <c r="AA13" s="4">
        <v>0.518862533941079</v>
      </c>
      <c r="AB13" s="4">
        <v>0.361949205793696</v>
      </c>
      <c r="AC13" s="4">
        <v>0.300262480837969</v>
      </c>
      <c r="AD13" s="4">
        <v>0.434970893045972</v>
      </c>
      <c r="AE13" s="4">
        <v>0.449430351768493</v>
      </c>
      <c r="AF13" s="4">
        <v>0.37443773625955</v>
      </c>
      <c r="AG13" s="4">
        <v>0.529769604561913</v>
      </c>
      <c r="AH13" s="4">
        <v>0.260949606191943</v>
      </c>
      <c r="AI13" s="4">
        <v>0.471200102363776</v>
      </c>
      <c r="AJ13" s="4">
        <v>0.110583366040944</v>
      </c>
      <c r="AK13" s="4">
        <v>0.0733346742857482</v>
      </c>
      <c r="AL13" s="4">
        <v>0.187980316992807</v>
      </c>
      <c r="AM13" s="4">
        <v>0.359353675057918</v>
      </c>
      <c r="AN13" s="4">
        <v>-0.103409536786606</v>
      </c>
      <c r="AO13" s="4">
        <v>0.193713536309226</v>
      </c>
      <c r="AP13" s="4">
        <v>0.271548615878826</v>
      </c>
      <c r="AQ13" s="4">
        <v>0.260876512349112</v>
      </c>
      <c r="AR13" s="4">
        <v>0.554026779815842</v>
      </c>
      <c r="AS13" s="4">
        <v>0.341321520791828</v>
      </c>
      <c r="AT13" s="4">
        <v>0.302131082121385</v>
      </c>
      <c r="AU13" s="4">
        <v>0.31308682594926</v>
      </c>
      <c r="AV13" s="4">
        <v>0.336016972993875</v>
      </c>
      <c r="AW13" s="4">
        <v>0.385595911726797</v>
      </c>
      <c r="AX13" s="4">
        <v>0.34409711683621</v>
      </c>
      <c r="AY13" s="4">
        <v>0.392271447699205</v>
      </c>
      <c r="AZ13" s="4">
        <v>0.282848780579719</v>
      </c>
      <c r="BA13" s="4">
        <v>0.409999279368977</v>
      </c>
      <c r="BB13" s="4">
        <v>0.372939663528718</v>
      </c>
      <c r="BC13" s="4">
        <v>0.381548888522085</v>
      </c>
      <c r="BD13" s="4">
        <v>0.407052393715902</v>
      </c>
      <c r="BE13" s="4">
        <v>0.329721049990109</v>
      </c>
      <c r="BF13" s="4">
        <v>0.385176902828907</v>
      </c>
      <c r="BG13" s="4">
        <v>0.591553440459625</v>
      </c>
      <c r="BH13" s="4">
        <v>0.335956198945013</v>
      </c>
      <c r="BI13" s="4">
        <v>0.189120248044089</v>
      </c>
      <c r="BJ13" s="4">
        <v>0.149469240510848</v>
      </c>
      <c r="BK13" s="4">
        <v>0.166098174843662</v>
      </c>
      <c r="BL13" s="4">
        <v>0.316720557778892</v>
      </c>
      <c r="BM13" s="4">
        <v>0.2747937762014</v>
      </c>
      <c r="BN13" s="4">
        <v>0.339340970227079</v>
      </c>
      <c r="BO13" s="4">
        <v>0.395426894977188</v>
      </c>
      <c r="BP13" s="4">
        <v>0.334246017196872</v>
      </c>
      <c r="BQ13" s="4">
        <v>0.324788624865172</v>
      </c>
      <c r="BR13" s="4">
        <v>0.261644961793876</v>
      </c>
      <c r="BS13" s="4">
        <v>0.477428242896478</v>
      </c>
      <c r="BT13" s="4">
        <v>0.235743459487962</v>
      </c>
      <c r="BU13" s="4">
        <v>0.325974916946742</v>
      </c>
      <c r="BV13" s="4">
        <v>0.254602024038484</v>
      </c>
      <c r="BW13" s="4">
        <v>0.125811114292344</v>
      </c>
      <c r="BX13" s="4">
        <v>0.190188089611603</v>
      </c>
      <c r="BY13" s="4">
        <v>0.256659801104714</v>
      </c>
      <c r="BZ13" s="4">
        <v>0.0984774034522609</v>
      </c>
      <c r="CA13" s="4">
        <v>0.373847285578654</v>
      </c>
      <c r="CB13" s="4">
        <v>0.323122106861705</v>
      </c>
      <c r="CC13" s="4">
        <v>0.305529154719748</v>
      </c>
      <c r="CD13" s="4">
        <v>0.370178072293418</v>
      </c>
      <c r="CE13" s="4">
        <v>0.334317589152062</v>
      </c>
      <c r="CF13" s="4">
        <v>0.445434708721909</v>
      </c>
      <c r="CG13" s="4">
        <v>0.332566048096403</v>
      </c>
      <c r="CH13" s="4">
        <v>0.404247594966539</v>
      </c>
      <c r="CI13" s="4">
        <v>0.547124049381812</v>
      </c>
      <c r="CJ13" s="4">
        <v>0.410153680527503</v>
      </c>
      <c r="CK13" s="4">
        <v>0.304876999230563</v>
      </c>
      <c r="CL13" s="4">
        <v>0.259826899135944</v>
      </c>
      <c r="CM13" s="4">
        <v>-0.173413813722013</v>
      </c>
      <c r="CN13" s="4">
        <v>0.23395584770821</v>
      </c>
      <c r="CO13" s="4">
        <v>0.131010629807656</v>
      </c>
      <c r="CP13" s="4">
        <v>0.238829309892656</v>
      </c>
      <c r="CQ13" s="4">
        <v>0.0352322838026657</v>
      </c>
      <c r="CR13" s="4">
        <v>0.051447928434606</v>
      </c>
      <c r="CS13" s="4">
        <v>0.210771534062367</v>
      </c>
      <c r="CT13" s="4">
        <v>0.208807975399798</v>
      </c>
      <c r="CU13" s="4">
        <v>0.0918114669431048</v>
      </c>
      <c r="CV13" s="4">
        <v>0.308950295001318</v>
      </c>
      <c r="CW13" s="4">
        <v>0.300151143537085</v>
      </c>
      <c r="CX13" s="4">
        <v>0.235838744321995</v>
      </c>
      <c r="CY13" s="4">
        <v>0.227248730625243</v>
      </c>
      <c r="CZ13" s="4">
        <v>0.282582491352885</v>
      </c>
      <c r="DA13" s="4">
        <v>0.0814585428535666</v>
      </c>
      <c r="DB13" s="4">
        <v>0.122013590109959</v>
      </c>
      <c r="DC13" s="4">
        <v>0.135373239896701</v>
      </c>
      <c r="DD13" s="4">
        <v>-0.0900239503821334</v>
      </c>
      <c r="DE13" s="4">
        <v>0.311824728826475</v>
      </c>
      <c r="DF13" s="4">
        <v>0.113637680611871</v>
      </c>
      <c r="DG13" s="4">
        <v>0.174722643012182</v>
      </c>
      <c r="DH13" s="4">
        <v>0.224769912014578</v>
      </c>
      <c r="DI13" s="4">
        <v>0.26956978101281</v>
      </c>
      <c r="DJ13" s="4">
        <v>0.223774217742387</v>
      </c>
      <c r="DK13" s="4">
        <v>0.198887436241587</v>
      </c>
      <c r="DL13" s="4">
        <v>0.306691020501176</v>
      </c>
      <c r="DM13" s="4">
        <v>0.2942118969468</v>
      </c>
      <c r="DN13" s="4">
        <v>0.373926522731137</v>
      </c>
      <c r="DO13" s="4">
        <v>0.238395443297368</v>
      </c>
      <c r="DP13" s="4">
        <v>0.289499510641822</v>
      </c>
      <c r="DQ13" s="4">
        <v>0.316863051849851</v>
      </c>
      <c r="DR13" s="4">
        <v>0.346189434891834</v>
      </c>
      <c r="DS13" s="4">
        <v>0.240617912132435</v>
      </c>
      <c r="DT13" s="4">
        <v>0.303238628133971</v>
      </c>
      <c r="DU13" s="4">
        <v>0.373199212999306</v>
      </c>
      <c r="DV13" s="4">
        <v>0.315246602894792</v>
      </c>
      <c r="DW13" s="4">
        <v>0.0970030922098519</v>
      </c>
      <c r="DX13" s="4">
        <v>0.485226345253533</v>
      </c>
      <c r="DY13" s="4">
        <v>0.289565592763511</v>
      </c>
    </row>
    <row r="14" ht="14" spans="1:129">
      <c r="A14" s="31" t="s">
        <v>12</v>
      </c>
      <c r="B14" s="4" t="str">
        <v/>
      </c>
      <c r="C14" s="4" t="str">
        <v/>
      </c>
      <c r="D14" s="4" t="str">
        <v/>
      </c>
      <c r="E14" s="4" t="str">
        <v/>
      </c>
      <c r="F14" s="4" t="str">
        <v/>
      </c>
      <c r="G14" s="4" t="str">
        <v/>
      </c>
      <c r="H14" s="4" t="str">
        <v/>
      </c>
      <c r="I14" s="4" t="str">
        <v/>
      </c>
      <c r="J14" s="4" t="str">
        <v/>
      </c>
      <c r="K14" s="4" t="str">
        <v/>
      </c>
      <c r="L14" s="4">
        <v>1</v>
      </c>
      <c r="M14" s="4">
        <v>0.120975184520395</v>
      </c>
      <c r="N14" s="4">
        <v>0.208785355903359</v>
      </c>
      <c r="O14" s="4">
        <v>-0.0955693876017059</v>
      </c>
      <c r="P14" s="4">
        <v>0.202384700560539</v>
      </c>
      <c r="Q14" s="4">
        <v>0.190965726542714</v>
      </c>
      <c r="R14" s="4">
        <v>0.162260889521984</v>
      </c>
      <c r="S14" s="4">
        <v>0.331936236928966</v>
      </c>
      <c r="T14" s="4">
        <v>0.157869909050356</v>
      </c>
      <c r="U14" s="4">
        <v>0.279176458854261</v>
      </c>
      <c r="V14" s="4">
        <v>0.0985251189917882</v>
      </c>
      <c r="W14" s="4">
        <v>0.193925405919253</v>
      </c>
      <c r="X14" s="4">
        <v>0.174401828309408</v>
      </c>
      <c r="Y14" s="4">
        <v>0.0629233432292478</v>
      </c>
      <c r="Z14" s="4">
        <v>0.24228645004604</v>
      </c>
      <c r="AA14" s="4">
        <v>0.270907273496389</v>
      </c>
      <c r="AB14" s="4">
        <v>0.133963198587172</v>
      </c>
      <c r="AC14" s="4">
        <v>0.166215492365959</v>
      </c>
      <c r="AD14" s="4">
        <v>0.230685241062224</v>
      </c>
      <c r="AE14" s="4">
        <v>0.408896794321687</v>
      </c>
      <c r="AF14" s="4">
        <v>0.208512056026127</v>
      </c>
      <c r="AG14" s="4">
        <v>0.319503432369063</v>
      </c>
      <c r="AH14" s="4">
        <v>0.51385908476169</v>
      </c>
      <c r="AI14" s="4">
        <v>0.354175319327192</v>
      </c>
      <c r="AJ14" s="4">
        <v>0.240263819079313</v>
      </c>
      <c r="AK14" s="4">
        <v>-0.0581684996493037</v>
      </c>
      <c r="AL14" s="4">
        <v>0.16187478274106</v>
      </c>
      <c r="AM14" s="4">
        <v>0.113941549876364</v>
      </c>
      <c r="AN14" s="4">
        <v>-0.0464841773738974</v>
      </c>
      <c r="AO14" s="4">
        <v>0.185370992906431</v>
      </c>
      <c r="AP14" s="4">
        <v>-0.000479086519621185</v>
      </c>
      <c r="AQ14" s="4">
        <v>0.0901069645548549</v>
      </c>
      <c r="AR14" s="4">
        <v>0.275215857326214</v>
      </c>
      <c r="AS14" s="4">
        <v>0.0804185175195575</v>
      </c>
      <c r="AT14" s="4">
        <v>0.150495898971501</v>
      </c>
      <c r="AU14" s="4">
        <v>0.0269967783195795</v>
      </c>
      <c r="AV14" s="4">
        <v>0.0161469841872288</v>
      </c>
      <c r="AW14" s="4">
        <v>0.0365193238035974</v>
      </c>
      <c r="AX14" s="4">
        <v>0.137192935954297</v>
      </c>
      <c r="AY14" s="4">
        <v>0.300309585828772</v>
      </c>
      <c r="AZ14" s="4">
        <v>0.274939391319324</v>
      </c>
      <c r="BA14" s="4">
        <v>0.384884075481972</v>
      </c>
      <c r="BB14" s="4">
        <v>0.135954970157274</v>
      </c>
      <c r="BC14" s="4">
        <v>0.287015146865885</v>
      </c>
      <c r="BD14" s="4">
        <v>0.135315736912265</v>
      </c>
      <c r="BE14" s="4">
        <v>0.107701518773678</v>
      </c>
      <c r="BF14" s="4">
        <v>0.166010869900672</v>
      </c>
      <c r="BG14" s="4">
        <v>0.255507723480786</v>
      </c>
      <c r="BH14" s="4">
        <v>0.14957619392333</v>
      </c>
      <c r="BI14" s="4">
        <v>0.205753544976562</v>
      </c>
      <c r="BJ14" s="4">
        <v>-0.0787998754800612</v>
      </c>
      <c r="BK14" s="4">
        <v>0.00844502627900928</v>
      </c>
      <c r="BL14" s="4">
        <v>0.138251856637745</v>
      </c>
      <c r="BM14" s="4">
        <v>0.186562623503759</v>
      </c>
      <c r="BN14" s="4">
        <v>0.245880586429596</v>
      </c>
      <c r="BO14" s="4">
        <v>0.0608908003592124</v>
      </c>
      <c r="BP14" s="4">
        <v>0.0473869082571165</v>
      </c>
      <c r="BQ14" s="4">
        <v>-0.0244165120799268</v>
      </c>
      <c r="BR14" s="4">
        <v>0.133001552631285</v>
      </c>
      <c r="BS14" s="4">
        <v>0.015013314441369</v>
      </c>
      <c r="BT14" s="4">
        <v>0.0999575471439234</v>
      </c>
      <c r="BU14" s="4">
        <v>0.212946313110181</v>
      </c>
      <c r="BV14" s="4">
        <v>0.291538415277995</v>
      </c>
      <c r="BW14" s="4">
        <v>-0.0350439297044714</v>
      </c>
      <c r="BX14" s="4">
        <v>0.299161845369489</v>
      </c>
      <c r="BY14" s="4">
        <v>0.236694076403731</v>
      </c>
      <c r="BZ14" s="4">
        <v>0.12595915513477</v>
      </c>
      <c r="CA14" s="4">
        <v>-0.0363029963543299</v>
      </c>
      <c r="CB14" s="4">
        <v>0.0739297926687824</v>
      </c>
      <c r="CC14" s="4">
        <v>0.0486760503977961</v>
      </c>
      <c r="CD14" s="4">
        <v>0.0173779045819742</v>
      </c>
      <c r="CE14" s="4">
        <v>0.00762728783542054</v>
      </c>
      <c r="CF14" s="4">
        <v>-0.0747604968498618</v>
      </c>
      <c r="CG14" s="4">
        <v>0.244004800632509</v>
      </c>
      <c r="CH14" s="4">
        <v>-0.0194812262943682</v>
      </c>
      <c r="CI14" s="4">
        <v>0.224749861572382</v>
      </c>
      <c r="CJ14" s="4">
        <v>0.0241887757051001</v>
      </c>
      <c r="CK14" s="4">
        <v>0.0433740783358482</v>
      </c>
      <c r="CL14" s="4">
        <v>0.105372760049954</v>
      </c>
      <c r="CM14" s="4">
        <v>0.170914997821871</v>
      </c>
      <c r="CN14" s="4">
        <v>0.179146142295971</v>
      </c>
      <c r="CO14" s="4">
        <v>-0.000106750868881133</v>
      </c>
      <c r="CP14" s="4">
        <v>0.115808630633012</v>
      </c>
      <c r="CQ14" s="4">
        <v>0.263125160314622</v>
      </c>
      <c r="CR14" s="4">
        <v>-0.0426410705971798</v>
      </c>
      <c r="CS14" s="4">
        <v>-0.0798284628006803</v>
      </c>
      <c r="CT14" s="4">
        <v>0.0205998313554331</v>
      </c>
      <c r="CU14" s="4">
        <v>0.050840275019673</v>
      </c>
      <c r="CV14" s="4">
        <v>0.0665284943016107</v>
      </c>
      <c r="CW14" s="4">
        <v>0.0491999340220266</v>
      </c>
      <c r="CX14" s="4">
        <v>-0.0119629421767591</v>
      </c>
      <c r="CY14" s="4">
        <v>0.26005837466308</v>
      </c>
      <c r="CZ14" s="4">
        <v>0.286528282495524</v>
      </c>
      <c r="DA14" s="4">
        <v>-0.00909068035877766</v>
      </c>
      <c r="DB14" s="4">
        <v>0.152430994176756</v>
      </c>
      <c r="DC14" s="4">
        <v>0.170447577728993</v>
      </c>
      <c r="DD14" s="4">
        <v>0.141722722265433</v>
      </c>
      <c r="DE14" s="4">
        <v>0.173149018560313</v>
      </c>
      <c r="DF14" s="4">
        <v>0.250480548530766</v>
      </c>
      <c r="DG14" s="4">
        <v>0.0698661061190376</v>
      </c>
      <c r="DH14" s="4">
        <v>0.117277514566288</v>
      </c>
      <c r="DI14" s="4">
        <v>0.0360953095301681</v>
      </c>
      <c r="DJ14" s="4">
        <v>-0.0249433966289705</v>
      </c>
      <c r="DK14" s="4">
        <v>0.0999786478710002</v>
      </c>
      <c r="DL14" s="4">
        <v>0.0237197594245874</v>
      </c>
      <c r="DM14" s="4">
        <v>0.0456603736011905</v>
      </c>
      <c r="DN14" s="4">
        <v>0.102635285742131</v>
      </c>
      <c r="DO14" s="4">
        <v>0.0747970482263074</v>
      </c>
      <c r="DP14" s="4">
        <v>0.112491340930247</v>
      </c>
      <c r="DQ14" s="4">
        <v>0.0940374458454635</v>
      </c>
      <c r="DR14" s="4">
        <v>0.0965056986405048</v>
      </c>
      <c r="DS14" s="4">
        <v>0.0851318209207778</v>
      </c>
      <c r="DT14" s="4">
        <v>0.0638694450405652</v>
      </c>
      <c r="DU14" s="4">
        <v>0.115150157990438</v>
      </c>
      <c r="DV14" s="4">
        <v>0.155907695091338</v>
      </c>
      <c r="DW14" s="4">
        <v>0.125369512734235</v>
      </c>
      <c r="DX14" s="4">
        <v>0.0914828466027049</v>
      </c>
      <c r="DY14" s="4">
        <v>-0.0163474198555067</v>
      </c>
    </row>
    <row r="15" ht="14" spans="1:129">
      <c r="A15" s="31" t="s">
        <v>13</v>
      </c>
      <c r="B15" s="4" t="str">
        <v/>
      </c>
      <c r="C15" s="4" t="str">
        <v/>
      </c>
      <c r="D15" s="4" t="str">
        <v/>
      </c>
      <c r="E15" s="4" t="str">
        <v/>
      </c>
      <c r="F15" s="4" t="str">
        <v/>
      </c>
      <c r="G15" s="4" t="str">
        <v/>
      </c>
      <c r="H15" s="4" t="str">
        <v/>
      </c>
      <c r="I15" s="4" t="str">
        <v/>
      </c>
      <c r="J15" s="4" t="str">
        <v/>
      </c>
      <c r="K15" s="4" t="str">
        <v/>
      </c>
      <c r="L15" s="4" t="str">
        <v/>
      </c>
      <c r="M15" s="4">
        <v>1</v>
      </c>
      <c r="N15" s="4">
        <v>0.590097453913173</v>
      </c>
      <c r="O15" s="4">
        <v>0.769204900232062</v>
      </c>
      <c r="P15" s="4">
        <v>0.377695611006949</v>
      </c>
      <c r="Q15" s="4">
        <v>0.420229134954399</v>
      </c>
      <c r="R15" s="4">
        <v>0.410952535710728</v>
      </c>
      <c r="S15" s="4">
        <v>0.368214162879766</v>
      </c>
      <c r="T15" s="4">
        <v>0.518933654155644</v>
      </c>
      <c r="U15" s="4">
        <v>0.469181813904321</v>
      </c>
      <c r="V15" s="4">
        <v>0.603740444621654</v>
      </c>
      <c r="W15" s="4">
        <v>0.520867751943153</v>
      </c>
      <c r="X15" s="4">
        <v>0.440577639016488</v>
      </c>
      <c r="Y15" s="4">
        <v>0.53020273790138</v>
      </c>
      <c r="Z15" s="4">
        <v>0.512548354286399</v>
      </c>
      <c r="AA15" s="4">
        <v>0.708301876307788</v>
      </c>
      <c r="AB15" s="4">
        <v>0.194435305535638</v>
      </c>
      <c r="AC15" s="4">
        <v>0.434996002380455</v>
      </c>
      <c r="AD15" s="4">
        <v>0.535042306275684</v>
      </c>
      <c r="AE15" s="4">
        <v>0.554506245347118</v>
      </c>
      <c r="AF15" s="4">
        <v>0.511498895953363</v>
      </c>
      <c r="AG15" s="4">
        <v>0.617995887107019</v>
      </c>
      <c r="AH15" s="4">
        <v>0.457060934468092</v>
      </c>
      <c r="AI15" s="4">
        <v>0.375704223521355</v>
      </c>
      <c r="AJ15" s="4">
        <v>0.0915806390768465</v>
      </c>
      <c r="AK15" s="4">
        <v>0.328832249729081</v>
      </c>
      <c r="AL15" s="4">
        <v>0.382859246445453</v>
      </c>
      <c r="AM15" s="4">
        <v>0.514300938469575</v>
      </c>
      <c r="AN15" s="4">
        <v>0.231547960720897</v>
      </c>
      <c r="AO15" s="4">
        <v>0.555829683652523</v>
      </c>
      <c r="AP15" s="4">
        <v>0.489678725393477</v>
      </c>
      <c r="AQ15" s="4">
        <v>0.32342293731745</v>
      </c>
      <c r="AR15" s="4">
        <v>0.397182377055064</v>
      </c>
      <c r="AS15" s="4">
        <v>0.359917569883835</v>
      </c>
      <c r="AT15" s="4">
        <v>0.511124670189336</v>
      </c>
      <c r="AU15" s="4">
        <v>0.48795684763634</v>
      </c>
      <c r="AV15" s="4">
        <v>0.563640816426035</v>
      </c>
      <c r="AW15" s="4">
        <v>0.58620101455512</v>
      </c>
      <c r="AX15" s="4">
        <v>0.434784337590426</v>
      </c>
      <c r="AY15" s="4">
        <v>0.395141578336849</v>
      </c>
      <c r="AZ15" s="4">
        <v>0.441733852276705</v>
      </c>
      <c r="BA15" s="4">
        <v>0.450352962354234</v>
      </c>
      <c r="BB15" s="4">
        <v>0.646313969374881</v>
      </c>
      <c r="BC15" s="4">
        <v>0.600925305855006</v>
      </c>
      <c r="BD15" s="4">
        <v>0.558641158340988</v>
      </c>
      <c r="BE15" s="4">
        <v>0.390008517978521</v>
      </c>
      <c r="BF15" s="4">
        <v>0.556858955804456</v>
      </c>
      <c r="BG15" s="4">
        <v>0.474403977718856</v>
      </c>
      <c r="BH15" s="4">
        <v>0.494097501370679</v>
      </c>
      <c r="BI15" s="4">
        <v>0.295744218057864</v>
      </c>
      <c r="BJ15" s="4">
        <v>0.355406262795169</v>
      </c>
      <c r="BK15" s="4">
        <v>0.342858425229718</v>
      </c>
      <c r="BL15" s="4">
        <v>0.387968202869339</v>
      </c>
      <c r="BM15" s="4">
        <v>0.352028705902673</v>
      </c>
      <c r="BN15" s="4">
        <v>0.502981167383304</v>
      </c>
      <c r="BO15" s="4">
        <v>0.470491139852</v>
      </c>
      <c r="BP15" s="4">
        <v>0.625563126232243</v>
      </c>
      <c r="BQ15" s="4">
        <v>0.404427400747121</v>
      </c>
      <c r="BR15" s="4">
        <v>0.540001585102573</v>
      </c>
      <c r="BS15" s="4">
        <v>0.45997468735588</v>
      </c>
      <c r="BT15" s="4">
        <v>0.425209311279234</v>
      </c>
      <c r="BU15" s="4">
        <v>0.467954302842495</v>
      </c>
      <c r="BV15" s="4">
        <v>0.274701070557439</v>
      </c>
      <c r="BW15" s="4">
        <v>0.329517780604566</v>
      </c>
      <c r="BX15" s="4">
        <v>0.247560659955733</v>
      </c>
      <c r="BY15" s="4">
        <v>0.314905669503342</v>
      </c>
      <c r="BZ15" s="4">
        <v>0.296653840293894</v>
      </c>
      <c r="CA15" s="4">
        <v>0.401910256288847</v>
      </c>
      <c r="CB15" s="4">
        <v>0.432595240445676</v>
      </c>
      <c r="CC15" s="4">
        <v>0.460853389885136</v>
      </c>
      <c r="CD15" s="4">
        <v>0.346736063213626</v>
      </c>
      <c r="CE15" s="4">
        <v>0.431666054830087</v>
      </c>
      <c r="CF15" s="4">
        <v>0.538135238931686</v>
      </c>
      <c r="CG15" s="4">
        <v>0.586387697571666</v>
      </c>
      <c r="CH15" s="4">
        <v>0.5198308403568</v>
      </c>
      <c r="CI15" s="4">
        <v>0.703595271680608</v>
      </c>
      <c r="CJ15" s="4">
        <v>0.490843685743749</v>
      </c>
      <c r="CK15" s="4">
        <v>0.293472455926058</v>
      </c>
      <c r="CL15" s="4">
        <v>0.398097537481164</v>
      </c>
      <c r="CM15" s="4">
        <v>0.0651575655477389</v>
      </c>
      <c r="CN15" s="4">
        <v>0.309553307209177</v>
      </c>
      <c r="CO15" s="4">
        <v>0.279073063537707</v>
      </c>
      <c r="CP15" s="4">
        <v>0.165390884233754</v>
      </c>
      <c r="CQ15" s="4">
        <v>0.154896764032194</v>
      </c>
      <c r="CR15" s="4">
        <v>0.325576533152085</v>
      </c>
      <c r="CS15" s="4">
        <v>0.454179376960447</v>
      </c>
      <c r="CT15" s="4">
        <v>0.350908703016251</v>
      </c>
      <c r="CU15" s="4">
        <v>0.403520871411968</v>
      </c>
      <c r="CV15" s="4">
        <v>0.490193488701035</v>
      </c>
      <c r="CW15" s="4">
        <v>0.471189710916819</v>
      </c>
      <c r="CX15" s="4">
        <v>0.386871445030642</v>
      </c>
      <c r="CY15" s="4">
        <v>0.242666372284545</v>
      </c>
      <c r="CZ15" s="4">
        <v>0.44926958837237</v>
      </c>
      <c r="DA15" s="4">
        <v>0.295346610377066</v>
      </c>
      <c r="DB15" s="4">
        <v>0.41861840301887</v>
      </c>
      <c r="DC15" s="4">
        <v>0.247658993128988</v>
      </c>
      <c r="DD15" s="4">
        <v>-0.0561125189217609</v>
      </c>
      <c r="DE15" s="4">
        <v>0.475326734232978</v>
      </c>
      <c r="DF15" s="4">
        <v>0.259485276239336</v>
      </c>
      <c r="DG15" s="4">
        <v>0.418121089993044</v>
      </c>
      <c r="DH15" s="4">
        <v>0.469929733691397</v>
      </c>
      <c r="DI15" s="4">
        <v>0.396055884333081</v>
      </c>
      <c r="DJ15" s="4">
        <v>0.379768855551397</v>
      </c>
      <c r="DK15" s="4">
        <v>0.311475911701502</v>
      </c>
      <c r="DL15" s="4">
        <v>0.378377693628414</v>
      </c>
      <c r="DM15" s="4">
        <v>0.413636321250889</v>
      </c>
      <c r="DN15" s="4">
        <v>0.283327240666849</v>
      </c>
      <c r="DO15" s="4">
        <v>0.281999863642313</v>
      </c>
      <c r="DP15" s="4">
        <v>0.387835322712292</v>
      </c>
      <c r="DQ15" s="4">
        <v>0.339966354151329</v>
      </c>
      <c r="DR15" s="4">
        <v>0.480804425993523</v>
      </c>
      <c r="DS15" s="4">
        <v>0.406490132431272</v>
      </c>
      <c r="DT15" s="4">
        <v>0.341181388610035</v>
      </c>
      <c r="DU15" s="4">
        <v>0.365277753556762</v>
      </c>
      <c r="DV15" s="4">
        <v>0.349480168944234</v>
      </c>
      <c r="DW15" s="4">
        <v>0.280792086712477</v>
      </c>
      <c r="DX15" s="4">
        <v>0.440491487933067</v>
      </c>
      <c r="DY15" s="4">
        <v>0.477712297296682</v>
      </c>
    </row>
    <row r="16" ht="14" spans="1:129">
      <c r="A16" s="31" t="s">
        <v>14</v>
      </c>
      <c r="B16" s="4" t="str">
        <v/>
      </c>
      <c r="C16" s="4" t="str">
        <v/>
      </c>
      <c r="D16" s="4" t="str">
        <v/>
      </c>
      <c r="E16" s="4" t="str">
        <v/>
      </c>
      <c r="F16" s="4" t="str">
        <v/>
      </c>
      <c r="G16" s="4" t="str">
        <v/>
      </c>
      <c r="H16" s="4" t="str">
        <v/>
      </c>
      <c r="I16" s="4" t="str">
        <v/>
      </c>
      <c r="J16" s="4" t="str">
        <v/>
      </c>
      <c r="K16" s="4" t="str">
        <v/>
      </c>
      <c r="L16" s="4" t="str">
        <v/>
      </c>
      <c r="M16" s="4" t="str">
        <v/>
      </c>
      <c r="N16" s="4">
        <v>1</v>
      </c>
      <c r="O16" s="4">
        <v>0.52846370840946</v>
      </c>
      <c r="P16" s="4">
        <v>0.449241769585779</v>
      </c>
      <c r="Q16" s="4">
        <v>0.116638279961081</v>
      </c>
      <c r="R16" s="4">
        <v>0.544756874540367</v>
      </c>
      <c r="S16" s="4">
        <v>0.091287488849774</v>
      </c>
      <c r="T16" s="4">
        <v>0.50513658969834</v>
      </c>
      <c r="U16" s="4">
        <v>0.648744721170144</v>
      </c>
      <c r="V16" s="4">
        <v>0.677114408268555</v>
      </c>
      <c r="W16" s="4">
        <v>0.561607760943548</v>
      </c>
      <c r="X16" s="4">
        <v>0.532590660766168</v>
      </c>
      <c r="Y16" s="4">
        <v>0.399713777144574</v>
      </c>
      <c r="Z16" s="4">
        <v>0.476085679091334</v>
      </c>
      <c r="AA16" s="4">
        <v>0.586559929253183</v>
      </c>
      <c r="AB16" s="4">
        <v>0.153704423927426</v>
      </c>
      <c r="AC16" s="4">
        <v>0.393464685631359</v>
      </c>
      <c r="AD16" s="4">
        <v>0.573737099716362</v>
      </c>
      <c r="AE16" s="4">
        <v>0.513497817658175</v>
      </c>
      <c r="AF16" s="4">
        <v>0.55818456547755</v>
      </c>
      <c r="AG16" s="4">
        <v>0.551999797477906</v>
      </c>
      <c r="AH16" s="4">
        <v>0.334249772415018</v>
      </c>
      <c r="AI16" s="4">
        <v>0.611990757676776</v>
      </c>
      <c r="AJ16" s="4">
        <v>0.190896682970021</v>
      </c>
      <c r="AK16" s="4">
        <v>0.0442393169118223</v>
      </c>
      <c r="AL16" s="4">
        <v>0.332320402165982</v>
      </c>
      <c r="AM16" s="4">
        <v>0.359415599085157</v>
      </c>
      <c r="AN16" s="4">
        <v>0.197981069626931</v>
      </c>
      <c r="AO16" s="4">
        <v>0.428955031831607</v>
      </c>
      <c r="AP16" s="4">
        <v>0.456942378074114</v>
      </c>
      <c r="AQ16" s="4">
        <v>0.294052880069744</v>
      </c>
      <c r="AR16" s="4">
        <v>0.326954148035096</v>
      </c>
      <c r="AS16" s="4">
        <v>0.431986035397883</v>
      </c>
      <c r="AT16" s="4">
        <v>0.517227392349254</v>
      </c>
      <c r="AU16" s="4">
        <v>0.455955647647308</v>
      </c>
      <c r="AV16" s="4">
        <v>0.548538752728428</v>
      </c>
      <c r="AW16" s="4">
        <v>0.508143153668544</v>
      </c>
      <c r="AX16" s="4">
        <v>0.415712131002675</v>
      </c>
      <c r="AY16" s="4">
        <v>0.440104256858281</v>
      </c>
      <c r="AZ16" s="4">
        <v>0.447432530860135</v>
      </c>
      <c r="BA16" s="4">
        <v>0.506264819190332</v>
      </c>
      <c r="BB16" s="4">
        <v>0.541482527644916</v>
      </c>
      <c r="BC16" s="4">
        <v>0.511887965964452</v>
      </c>
      <c r="BD16" s="4">
        <v>0.639627671321274</v>
      </c>
      <c r="BE16" s="4">
        <v>0.341414063683675</v>
      </c>
      <c r="BF16" s="4">
        <v>0.576423139582435</v>
      </c>
      <c r="BG16" s="4">
        <v>0.479235344244039</v>
      </c>
      <c r="BH16" s="4">
        <v>0.403273704142115</v>
      </c>
      <c r="BI16" s="4">
        <v>0.405302659209363</v>
      </c>
      <c r="BJ16" s="4">
        <v>0.422452409443963</v>
      </c>
      <c r="BK16" s="4">
        <v>0.547810045418502</v>
      </c>
      <c r="BL16" s="4">
        <v>0.601557225343205</v>
      </c>
      <c r="BM16" s="4">
        <v>0.62121221641916</v>
      </c>
      <c r="BN16" s="4">
        <v>0.302069099733756</v>
      </c>
      <c r="BO16" s="4">
        <v>0.484169176868108</v>
      </c>
      <c r="BP16" s="4">
        <v>0.482880964615464</v>
      </c>
      <c r="BQ16" s="4">
        <v>0.455201764217589</v>
      </c>
      <c r="BR16" s="4">
        <v>0.580878090159547</v>
      </c>
      <c r="BS16" s="4">
        <v>0.536865070790388</v>
      </c>
      <c r="BT16" s="4">
        <v>0.598911337872467</v>
      </c>
      <c r="BU16" s="4">
        <v>0.678781955991168</v>
      </c>
      <c r="BV16" s="4">
        <v>0.135785350903973</v>
      </c>
      <c r="BW16" s="4">
        <v>0.364876020512431</v>
      </c>
      <c r="BX16" s="4">
        <v>0.367181402825491</v>
      </c>
      <c r="BY16" s="4">
        <v>0.396024642863377</v>
      </c>
      <c r="BZ16" s="4">
        <v>0.274388406995629</v>
      </c>
      <c r="CA16" s="4">
        <v>0.563825914805276</v>
      </c>
      <c r="CB16" s="4">
        <v>0.45873586384968</v>
      </c>
      <c r="CC16" s="4">
        <v>0.450410218553897</v>
      </c>
      <c r="CD16" s="4">
        <v>0.284708843157192</v>
      </c>
      <c r="CE16" s="4">
        <v>0.524232660748881</v>
      </c>
      <c r="CF16" s="4">
        <v>0.592565852864265</v>
      </c>
      <c r="CG16" s="4">
        <v>0.570909934879531</v>
      </c>
      <c r="CH16" s="4">
        <v>0.48493716114857</v>
      </c>
      <c r="CI16" s="4">
        <v>0.770905183484829</v>
      </c>
      <c r="CJ16" s="4">
        <v>0.342811928265111</v>
      </c>
      <c r="CK16" s="4">
        <v>0.284984080147408</v>
      </c>
      <c r="CL16" s="4">
        <v>0.599339207773094</v>
      </c>
      <c r="CM16" s="4">
        <v>-0.094312439583421</v>
      </c>
      <c r="CN16" s="4">
        <v>0.278407085430805</v>
      </c>
      <c r="CO16" s="4">
        <v>0.260510869323145</v>
      </c>
      <c r="CP16" s="4">
        <v>0.212802864597665</v>
      </c>
      <c r="CQ16" s="4">
        <v>-0.0399153190062945</v>
      </c>
      <c r="CR16" s="4">
        <v>0.167964098172921</v>
      </c>
      <c r="CS16" s="4">
        <v>0.239563020588428</v>
      </c>
      <c r="CT16" s="4">
        <v>0.507491485286546</v>
      </c>
      <c r="CU16" s="4">
        <v>0.346256390108994</v>
      </c>
      <c r="CV16" s="4">
        <v>0.420060035129114</v>
      </c>
      <c r="CW16" s="4">
        <v>0.409433358246359</v>
      </c>
      <c r="CX16" s="4">
        <v>0.305338653585814</v>
      </c>
      <c r="CY16" s="4">
        <v>0.304334465472758</v>
      </c>
      <c r="CZ16" s="4">
        <v>0.463639362029725</v>
      </c>
      <c r="DA16" s="4">
        <v>0.280964607608724</v>
      </c>
      <c r="DB16" s="4">
        <v>0.291747014054268</v>
      </c>
      <c r="DC16" s="4">
        <v>0.293070676519998</v>
      </c>
      <c r="DD16" s="4">
        <v>0.135600061107785</v>
      </c>
      <c r="DE16" s="4">
        <v>0.390406053333413</v>
      </c>
      <c r="DF16" s="4">
        <v>0.210080194565848</v>
      </c>
      <c r="DG16" s="4">
        <v>0.391033514574368</v>
      </c>
      <c r="DH16" s="4">
        <v>0.518284402085163</v>
      </c>
      <c r="DI16" s="4">
        <v>0.586584210231087</v>
      </c>
      <c r="DJ16" s="4">
        <v>0.541297859068555</v>
      </c>
      <c r="DK16" s="4">
        <v>0.52990485988168</v>
      </c>
      <c r="DL16" s="4">
        <v>0.512934408365542</v>
      </c>
      <c r="DM16" s="4">
        <v>0.588474880086976</v>
      </c>
      <c r="DN16" s="4">
        <v>0.532833161851003</v>
      </c>
      <c r="DO16" s="4">
        <v>0.508483523776172</v>
      </c>
      <c r="DP16" s="4">
        <v>0.650853196175563</v>
      </c>
      <c r="DQ16" s="4">
        <v>0.641125619256472</v>
      </c>
      <c r="DR16" s="4">
        <v>0.619625455403552</v>
      </c>
      <c r="DS16" s="4">
        <v>0.510209405503872</v>
      </c>
      <c r="DT16" s="4">
        <v>0.584950514072242</v>
      </c>
      <c r="DU16" s="4">
        <v>0.619423861033086</v>
      </c>
      <c r="DV16" s="4">
        <v>0.67379838185855</v>
      </c>
      <c r="DW16" s="4">
        <v>0.299648564969059</v>
      </c>
      <c r="DX16" s="4">
        <v>0.390456995552029</v>
      </c>
      <c r="DY16" s="4">
        <v>0.585707755611788</v>
      </c>
    </row>
    <row r="17" ht="14" spans="1:129">
      <c r="A17" s="31" t="s">
        <v>15</v>
      </c>
      <c r="B17" s="4" t="str">
        <v/>
      </c>
      <c r="C17" s="4" t="str">
        <v/>
      </c>
      <c r="D17" s="4" t="str">
        <v/>
      </c>
      <c r="E17" s="4" t="str">
        <v/>
      </c>
      <c r="F17" s="4" t="str">
        <v/>
      </c>
      <c r="G17" s="4" t="str">
        <v/>
      </c>
      <c r="H17" s="4" t="str">
        <v/>
      </c>
      <c r="I17" s="4" t="str">
        <v/>
      </c>
      <c r="J17" s="4" t="str">
        <v/>
      </c>
      <c r="K17" s="4" t="str">
        <v/>
      </c>
      <c r="L17" s="4" t="str">
        <v/>
      </c>
      <c r="M17" s="4" t="str">
        <v/>
      </c>
      <c r="N17" s="4" t="str">
        <v/>
      </c>
      <c r="O17" s="4">
        <v>1</v>
      </c>
      <c r="P17" s="4">
        <v>0.381774340377945</v>
      </c>
      <c r="Q17" s="4">
        <v>0.24714339283434</v>
      </c>
      <c r="R17" s="4">
        <v>0.388062725254824</v>
      </c>
      <c r="S17" s="4">
        <v>0.302607915905276</v>
      </c>
      <c r="T17" s="4">
        <v>0.510817936782326</v>
      </c>
      <c r="U17" s="4">
        <v>0.44124033939359</v>
      </c>
      <c r="V17" s="4">
        <v>0.518708157965134</v>
      </c>
      <c r="W17" s="4">
        <v>0.610458574256492</v>
      </c>
      <c r="X17" s="4">
        <v>0.33694154335024</v>
      </c>
      <c r="Y17" s="4">
        <v>0.380548348985528</v>
      </c>
      <c r="Z17" s="4">
        <v>0.517796025127203</v>
      </c>
      <c r="AA17" s="4">
        <v>0.631259836655117</v>
      </c>
      <c r="AB17" s="4">
        <v>0.190399566168149</v>
      </c>
      <c r="AC17" s="4">
        <v>0.386772659475931</v>
      </c>
      <c r="AD17" s="4">
        <v>0.484553263374937</v>
      </c>
      <c r="AE17" s="4">
        <v>0.47441046065697</v>
      </c>
      <c r="AF17" s="4">
        <v>0.48579327446222</v>
      </c>
      <c r="AG17" s="4">
        <v>0.44259248712852</v>
      </c>
      <c r="AH17" s="4">
        <v>0.212191971389642</v>
      </c>
      <c r="AI17" s="4">
        <v>0.363320191492717</v>
      </c>
      <c r="AJ17" s="4">
        <v>0.0956884480215638</v>
      </c>
      <c r="AK17" s="4">
        <v>0.266442629997557</v>
      </c>
      <c r="AL17" s="4">
        <v>0.284238613238171</v>
      </c>
      <c r="AM17" s="4">
        <v>0.394723345106713</v>
      </c>
      <c r="AN17" s="4">
        <v>0.0785523276485141</v>
      </c>
      <c r="AO17" s="4">
        <v>0.364626864572107</v>
      </c>
      <c r="AP17" s="4">
        <v>0.385458651873867</v>
      </c>
      <c r="AQ17" s="4">
        <v>0.293383567636166</v>
      </c>
      <c r="AR17" s="4">
        <v>0.450191930734397</v>
      </c>
      <c r="AS17" s="4">
        <v>0.251532189442163</v>
      </c>
      <c r="AT17" s="4">
        <v>0.432377614109254</v>
      </c>
      <c r="AU17" s="4">
        <v>0.412046712919741</v>
      </c>
      <c r="AV17" s="4">
        <v>0.456966154107515</v>
      </c>
      <c r="AW17" s="4">
        <v>0.571666408325951</v>
      </c>
      <c r="AX17" s="4">
        <v>0.372470491024045</v>
      </c>
      <c r="AY17" s="4">
        <v>0.358437890285985</v>
      </c>
      <c r="AZ17" s="4">
        <v>0.303061274551308</v>
      </c>
      <c r="BA17" s="4">
        <v>0.36306925052543</v>
      </c>
      <c r="BB17" s="4">
        <v>0.448820567499142</v>
      </c>
      <c r="BC17" s="4">
        <v>0.417193510915891</v>
      </c>
      <c r="BD17" s="4">
        <v>0.502771853411461</v>
      </c>
      <c r="BE17" s="4">
        <v>0.393257342570323</v>
      </c>
      <c r="BF17" s="4">
        <v>0.501963590838337</v>
      </c>
      <c r="BG17" s="4">
        <v>0.499005995360514</v>
      </c>
      <c r="BH17" s="4">
        <v>0.384514617566463</v>
      </c>
      <c r="BI17" s="4">
        <v>0.272061681139989</v>
      </c>
      <c r="BJ17" s="4">
        <v>0.316046998578057</v>
      </c>
      <c r="BK17" s="4">
        <v>0.3126934141144</v>
      </c>
      <c r="BL17" s="4">
        <v>0.277276314322526</v>
      </c>
      <c r="BM17" s="4">
        <v>0.217013248770899</v>
      </c>
      <c r="BN17" s="4">
        <v>0.406323553967688</v>
      </c>
      <c r="BO17" s="4">
        <v>0.401660865301579</v>
      </c>
      <c r="BP17" s="4">
        <v>0.559514176199549</v>
      </c>
      <c r="BQ17" s="4">
        <v>0.341424078228414</v>
      </c>
      <c r="BR17" s="4">
        <v>0.52270546007664</v>
      </c>
      <c r="BS17" s="4">
        <v>0.338605283256147</v>
      </c>
      <c r="BT17" s="4">
        <v>0.230896974956322</v>
      </c>
      <c r="BU17" s="4">
        <v>0.306014531407839</v>
      </c>
      <c r="BV17" s="4">
        <v>0.397912578509953</v>
      </c>
      <c r="BW17" s="4">
        <v>0.360292161292773</v>
      </c>
      <c r="BX17" s="4">
        <v>0.192028265445949</v>
      </c>
      <c r="BY17" s="4">
        <v>0.198415309632142</v>
      </c>
      <c r="BZ17" s="4">
        <v>0.261284625768747</v>
      </c>
      <c r="CA17" s="4">
        <v>0.334538544688905</v>
      </c>
      <c r="CB17" s="4">
        <v>0.420290139851421</v>
      </c>
      <c r="CC17" s="4">
        <v>0.490337508669719</v>
      </c>
      <c r="CD17" s="4">
        <v>0.395542344805445</v>
      </c>
      <c r="CE17" s="4">
        <v>0.419684691017052</v>
      </c>
      <c r="CF17" s="4">
        <v>0.558650427164357</v>
      </c>
      <c r="CG17" s="4">
        <v>0.390225097760116</v>
      </c>
      <c r="CH17" s="4">
        <v>0.530172285755945</v>
      </c>
      <c r="CI17" s="4">
        <v>0.598885807781563</v>
      </c>
      <c r="CJ17" s="4">
        <v>0.49459834571116</v>
      </c>
      <c r="CK17" s="4">
        <v>0.331879104233166</v>
      </c>
      <c r="CL17" s="4">
        <v>0.228644658612331</v>
      </c>
      <c r="CM17" s="4">
        <v>-0.0641976780384359</v>
      </c>
      <c r="CN17" s="4">
        <v>0.188550182451436</v>
      </c>
      <c r="CO17" s="4">
        <v>0.271977360163664</v>
      </c>
      <c r="CP17" s="4">
        <v>0.197723199340038</v>
      </c>
      <c r="CQ17" s="4">
        <v>0.228983735506975</v>
      </c>
      <c r="CR17" s="4">
        <v>0.251611036633602</v>
      </c>
      <c r="CS17" s="4">
        <v>0.442006425582841</v>
      </c>
      <c r="CT17" s="4">
        <v>0.208736365033852</v>
      </c>
      <c r="CU17" s="4">
        <v>0.226929829878177</v>
      </c>
      <c r="CV17" s="4">
        <v>0.458608124610687</v>
      </c>
      <c r="CW17" s="4">
        <v>0.427722376126455</v>
      </c>
      <c r="CX17" s="4">
        <v>0.439211142667874</v>
      </c>
      <c r="CY17" s="4">
        <v>0.105552027967839</v>
      </c>
      <c r="CZ17" s="4">
        <v>0.392437748526218</v>
      </c>
      <c r="DA17" s="4">
        <v>0.263848503907157</v>
      </c>
      <c r="DB17" s="4">
        <v>0.202362239154761</v>
      </c>
      <c r="DC17" s="4">
        <v>0.109148409120624</v>
      </c>
      <c r="DD17" s="4">
        <v>-0.187024773281238</v>
      </c>
      <c r="DE17" s="4">
        <v>0.420441340576237</v>
      </c>
      <c r="DF17" s="4">
        <v>0.219359947984627</v>
      </c>
      <c r="DG17" s="4">
        <v>0.313422377592494</v>
      </c>
      <c r="DH17" s="4">
        <v>0.359531248949009</v>
      </c>
      <c r="DI17" s="4">
        <v>0.329228176689467</v>
      </c>
      <c r="DJ17" s="4">
        <v>0.314746491574745</v>
      </c>
      <c r="DK17" s="4">
        <v>0.157870503764699</v>
      </c>
      <c r="DL17" s="4">
        <v>0.280484325361816</v>
      </c>
      <c r="DM17" s="4">
        <v>0.30565122161759</v>
      </c>
      <c r="DN17" s="4">
        <v>0.214336147044901</v>
      </c>
      <c r="DO17" s="4">
        <v>0.156989495907769</v>
      </c>
      <c r="DP17" s="4">
        <v>0.262939035590187</v>
      </c>
      <c r="DQ17" s="4">
        <v>0.236415683267481</v>
      </c>
      <c r="DR17" s="4">
        <v>0.34166654454216</v>
      </c>
      <c r="DS17" s="4">
        <v>0.278634797862905</v>
      </c>
      <c r="DT17" s="4">
        <v>0.25188442947008</v>
      </c>
      <c r="DU17" s="4">
        <v>0.253108050958718</v>
      </c>
      <c r="DV17" s="4">
        <v>0.22055884317157</v>
      </c>
      <c r="DW17" s="4">
        <v>0.247676164485023</v>
      </c>
      <c r="DX17" s="4">
        <v>0.486413070980165</v>
      </c>
      <c r="DY17" s="4">
        <v>0.3107236270833</v>
      </c>
    </row>
    <row r="18" ht="14" spans="1:129">
      <c r="A18" s="31" t="s">
        <v>16</v>
      </c>
      <c r="B18" s="4" t="str">
        <v/>
      </c>
      <c r="C18" s="4" t="str">
        <v/>
      </c>
      <c r="D18" s="4" t="str">
        <v/>
      </c>
      <c r="E18" s="4" t="str">
        <v/>
      </c>
      <c r="F18" s="4" t="str">
        <v/>
      </c>
      <c r="G18" s="4" t="str">
        <v/>
      </c>
      <c r="H18" s="4" t="str">
        <v/>
      </c>
      <c r="I18" s="4" t="str">
        <v/>
      </c>
      <c r="J18" s="4" t="str">
        <v/>
      </c>
      <c r="K18" s="4" t="str">
        <v/>
      </c>
      <c r="L18" s="4" t="str">
        <v/>
      </c>
      <c r="M18" s="4" t="str">
        <v/>
      </c>
      <c r="N18" s="4" t="str">
        <v/>
      </c>
      <c r="O18" s="4" t="str">
        <v/>
      </c>
      <c r="P18" s="4">
        <v>1</v>
      </c>
      <c r="Q18" s="4">
        <v>0.556943982128441</v>
      </c>
      <c r="R18" s="4">
        <v>0.841663253670599</v>
      </c>
      <c r="S18" s="4">
        <v>0.157426083138473</v>
      </c>
      <c r="T18" s="4">
        <v>0.315736135366742</v>
      </c>
      <c r="U18" s="4">
        <v>0.488678309252398</v>
      </c>
      <c r="V18" s="4">
        <v>0.465133166463361</v>
      </c>
      <c r="W18" s="4">
        <v>0.341118736116831</v>
      </c>
      <c r="X18" s="4">
        <v>0.263978016032129</v>
      </c>
      <c r="Y18" s="4">
        <v>0.321832293172919</v>
      </c>
      <c r="Z18" s="4">
        <v>0.512917231688107</v>
      </c>
      <c r="AA18" s="4">
        <v>0.492022240505234</v>
      </c>
      <c r="AB18" s="4">
        <v>0.0786600140012729</v>
      </c>
      <c r="AC18" s="4">
        <v>0.284906693221192</v>
      </c>
      <c r="AD18" s="4">
        <v>0.340942072556459</v>
      </c>
      <c r="AE18" s="4">
        <v>0.387667273923887</v>
      </c>
      <c r="AF18" s="4">
        <v>0.402019674245689</v>
      </c>
      <c r="AG18" s="4">
        <v>0.388360481013128</v>
      </c>
      <c r="AH18" s="4">
        <v>0.2512523836213</v>
      </c>
      <c r="AI18" s="4">
        <v>0.447479273766786</v>
      </c>
      <c r="AJ18" s="4">
        <v>0.149445348193779</v>
      </c>
      <c r="AK18" s="4">
        <v>0.132337271775502</v>
      </c>
      <c r="AL18" s="4">
        <v>0.368660601599393</v>
      </c>
      <c r="AM18" s="4">
        <v>0.186259338980228</v>
      </c>
      <c r="AN18" s="4">
        <v>0.136765616739679</v>
      </c>
      <c r="AO18" s="4">
        <v>0.270618917272923</v>
      </c>
      <c r="AP18" s="4">
        <v>0.197324480570281</v>
      </c>
      <c r="AQ18" s="4">
        <v>0.118326928969946</v>
      </c>
      <c r="AR18" s="4">
        <v>0.399388812147916</v>
      </c>
      <c r="AS18" s="4">
        <v>0.163824754037709</v>
      </c>
      <c r="AT18" s="4">
        <v>0.181198504060169</v>
      </c>
      <c r="AU18" s="4">
        <v>0.249409756571728</v>
      </c>
      <c r="AV18" s="4">
        <v>0.230487880060151</v>
      </c>
      <c r="AW18" s="4">
        <v>0.240473011412529</v>
      </c>
      <c r="AX18" s="4">
        <v>0.150963578818365</v>
      </c>
      <c r="AY18" s="4">
        <v>0.284476098420608</v>
      </c>
      <c r="AZ18" s="4">
        <v>0.26507959622855</v>
      </c>
      <c r="BA18" s="4">
        <v>0.193711049135815</v>
      </c>
      <c r="BB18" s="4">
        <v>0.336945705052413</v>
      </c>
      <c r="BC18" s="4">
        <v>0.246687620651198</v>
      </c>
      <c r="BD18" s="4">
        <v>0.386367464444987</v>
      </c>
      <c r="BE18" s="4">
        <v>0.264695165919749</v>
      </c>
      <c r="BF18" s="4">
        <v>0.303273888631754</v>
      </c>
      <c r="BG18" s="4">
        <v>0.463402436219849</v>
      </c>
      <c r="BH18" s="4">
        <v>0.148541707184888</v>
      </c>
      <c r="BI18" s="4">
        <v>0.0358122786405248</v>
      </c>
      <c r="BJ18" s="4">
        <v>0.280528259035329</v>
      </c>
      <c r="BK18" s="4">
        <v>0.312308047563578</v>
      </c>
      <c r="BL18" s="4">
        <v>0.346311804320213</v>
      </c>
      <c r="BM18" s="4">
        <v>0.315902966353495</v>
      </c>
      <c r="BN18" s="4">
        <v>0.251161368018084</v>
      </c>
      <c r="BO18" s="4">
        <v>0.353227964868386</v>
      </c>
      <c r="BP18" s="4">
        <v>0.561792374408235</v>
      </c>
      <c r="BQ18" s="4">
        <v>0.0904422978021397</v>
      </c>
      <c r="BR18" s="4">
        <v>0.406983943587987</v>
      </c>
      <c r="BS18" s="4">
        <v>0.348865875341314</v>
      </c>
      <c r="BT18" s="4">
        <v>0.345070046915533</v>
      </c>
      <c r="BU18" s="4">
        <v>0.371937965768777</v>
      </c>
      <c r="BV18" s="4">
        <v>0.361195510129077</v>
      </c>
      <c r="BW18" s="4">
        <v>0.176363287327501</v>
      </c>
      <c r="BX18" s="4">
        <v>0.372022376299513</v>
      </c>
      <c r="BY18" s="4">
        <v>0.299688220839771</v>
      </c>
      <c r="BZ18" s="4">
        <v>0.201958216436334</v>
      </c>
      <c r="CA18" s="4">
        <v>0.422720354061353</v>
      </c>
      <c r="CB18" s="4">
        <v>0.376375916688283</v>
      </c>
      <c r="CC18" s="4">
        <v>0.261513745109733</v>
      </c>
      <c r="CD18" s="4">
        <v>0.233467477333576</v>
      </c>
      <c r="CE18" s="4">
        <v>0.421637635338162</v>
      </c>
      <c r="CF18" s="4">
        <v>0.316403258016185</v>
      </c>
      <c r="CG18" s="4">
        <v>0.256783594209864</v>
      </c>
      <c r="CH18" s="4">
        <v>0.391722262135124</v>
      </c>
      <c r="CI18" s="4">
        <v>0.552903979516954</v>
      </c>
      <c r="CJ18" s="4">
        <v>0.141420054914365</v>
      </c>
      <c r="CK18" s="4">
        <v>0.515977352125516</v>
      </c>
      <c r="CL18" s="4">
        <v>0.327403865656793</v>
      </c>
      <c r="CM18" s="4">
        <v>0.150856591415835</v>
      </c>
      <c r="CN18" s="4">
        <v>0.272247392253245</v>
      </c>
      <c r="CO18" s="4">
        <v>0.296104864210065</v>
      </c>
      <c r="CP18" s="4">
        <v>0.0532614127535603</v>
      </c>
      <c r="CQ18" s="4">
        <v>0.0536966582952981</v>
      </c>
      <c r="CR18" s="4">
        <v>0.223852958020077</v>
      </c>
      <c r="CS18" s="4">
        <v>0.250112675157615</v>
      </c>
      <c r="CT18" s="4">
        <v>0.24885166882079</v>
      </c>
      <c r="CU18" s="4">
        <v>0.363680118766667</v>
      </c>
      <c r="CV18" s="4">
        <v>0.403248829231597</v>
      </c>
      <c r="CW18" s="4">
        <v>0.43492911030046</v>
      </c>
      <c r="CX18" s="4">
        <v>0.205154004901188</v>
      </c>
      <c r="CY18" s="4">
        <v>0.260741186831265</v>
      </c>
      <c r="CZ18" s="4">
        <v>0.181538511340995</v>
      </c>
      <c r="DA18" s="4">
        <v>0.117604783911458</v>
      </c>
      <c r="DB18" s="4">
        <v>0.215816714450363</v>
      </c>
      <c r="DC18" s="4">
        <v>0.324605845899935</v>
      </c>
      <c r="DD18" s="4">
        <v>0.0378721073714227</v>
      </c>
      <c r="DE18" s="4">
        <v>0.301713906574767</v>
      </c>
      <c r="DF18" s="4">
        <v>0.393317497767357</v>
      </c>
      <c r="DG18" s="4">
        <v>-0.000270433806320219</v>
      </c>
      <c r="DH18" s="4">
        <v>0.3677151002916</v>
      </c>
      <c r="DI18" s="4">
        <v>0.299203679293278</v>
      </c>
      <c r="DJ18" s="4">
        <v>0.391274288898825</v>
      </c>
      <c r="DK18" s="4">
        <v>0.299503164616073</v>
      </c>
      <c r="DL18" s="4">
        <v>0.277717193357172</v>
      </c>
      <c r="DM18" s="4">
        <v>0.358442086505577</v>
      </c>
      <c r="DN18" s="4">
        <v>0.355051205311315</v>
      </c>
      <c r="DO18" s="4">
        <v>0.241518917702967</v>
      </c>
      <c r="DP18" s="4">
        <v>0.305598003897341</v>
      </c>
      <c r="DQ18" s="4">
        <v>0.295698468792437</v>
      </c>
      <c r="DR18" s="4">
        <v>0.349885339942874</v>
      </c>
      <c r="DS18" s="4">
        <v>0.236326133756246</v>
      </c>
      <c r="DT18" s="4">
        <v>0.235893893742962</v>
      </c>
      <c r="DU18" s="4">
        <v>0.367458720855515</v>
      </c>
      <c r="DV18" s="4">
        <v>0.256857132540375</v>
      </c>
      <c r="DW18" s="4">
        <v>0.236355369261957</v>
      </c>
      <c r="DX18" s="4">
        <v>0.375491583557922</v>
      </c>
      <c r="DY18" s="4">
        <v>0.279000641618868</v>
      </c>
    </row>
    <row r="19" ht="14" spans="1:129">
      <c r="A19" s="31" t="s">
        <v>17</v>
      </c>
      <c r="B19" s="4" t="str">
        <v/>
      </c>
      <c r="C19" s="4" t="str">
        <v/>
      </c>
      <c r="D19" s="4" t="str">
        <v/>
      </c>
      <c r="E19" s="4" t="str">
        <v/>
      </c>
      <c r="F19" s="4" t="str">
        <v/>
      </c>
      <c r="G19" s="4" t="str">
        <v/>
      </c>
      <c r="H19" s="4" t="str">
        <v/>
      </c>
      <c r="I19" s="4" t="str">
        <v/>
      </c>
      <c r="J19" s="4" t="str">
        <v/>
      </c>
      <c r="K19" s="4" t="str">
        <v/>
      </c>
      <c r="L19" s="4" t="str">
        <v/>
      </c>
      <c r="M19" s="4" t="str">
        <v/>
      </c>
      <c r="N19" s="4" t="str">
        <v/>
      </c>
      <c r="O19" s="4" t="str">
        <v/>
      </c>
      <c r="P19" s="4" t="str">
        <v/>
      </c>
      <c r="Q19" s="4">
        <v>1</v>
      </c>
      <c r="R19" s="4">
        <v>0.428481062345829</v>
      </c>
      <c r="S19" s="4">
        <v>0.136640472249409</v>
      </c>
      <c r="T19" s="4">
        <v>0.264719849879185</v>
      </c>
      <c r="U19" s="4">
        <v>0.392779353259044</v>
      </c>
      <c r="V19" s="4">
        <v>0.241975807497405</v>
      </c>
      <c r="W19" s="4">
        <v>0.202223145196103</v>
      </c>
      <c r="X19" s="4">
        <v>0.136359356513942</v>
      </c>
      <c r="Y19" s="4">
        <v>0.310220080564787</v>
      </c>
      <c r="Z19" s="4">
        <v>0.418637524138294</v>
      </c>
      <c r="AA19" s="4">
        <v>0.325621921326847</v>
      </c>
      <c r="AB19" s="4">
        <v>0.11084244715495</v>
      </c>
      <c r="AC19" s="4">
        <v>0.286563408428113</v>
      </c>
      <c r="AD19" s="4">
        <v>0.227007949175986</v>
      </c>
      <c r="AE19" s="4">
        <v>0.100239157130452</v>
      </c>
      <c r="AF19" s="4">
        <v>0.223915296918249</v>
      </c>
      <c r="AG19" s="4">
        <v>0.33097704339484</v>
      </c>
      <c r="AH19" s="4">
        <v>0.283719521298317</v>
      </c>
      <c r="AI19" s="4">
        <v>0.212306239360073</v>
      </c>
      <c r="AJ19" s="4">
        <v>0.219680941846728</v>
      </c>
      <c r="AK19" s="4">
        <v>0.335890574110209</v>
      </c>
      <c r="AL19" s="4">
        <v>0.394612652688593</v>
      </c>
      <c r="AM19" s="4">
        <v>0.0825564874680545</v>
      </c>
      <c r="AN19" s="4">
        <v>0.0620515744157773</v>
      </c>
      <c r="AO19" s="4">
        <v>0.147577966484008</v>
      </c>
      <c r="AP19" s="4">
        <v>0.213308169625176</v>
      </c>
      <c r="AQ19" s="4">
        <v>0.218390056999888</v>
      </c>
      <c r="AR19" s="4">
        <v>0.427600332599719</v>
      </c>
      <c r="AS19" s="4">
        <v>0.0229539741021275</v>
      </c>
      <c r="AT19" s="4">
        <v>0.121631312303657</v>
      </c>
      <c r="AU19" s="4">
        <v>0.197094484799529</v>
      </c>
      <c r="AV19" s="4">
        <v>0.154301813638842</v>
      </c>
      <c r="AW19" s="4">
        <v>0.0968903952934067</v>
      </c>
      <c r="AX19" s="4">
        <v>-0.0989527920646718</v>
      </c>
      <c r="AY19" s="4">
        <v>0.104007539515727</v>
      </c>
      <c r="AZ19" s="4">
        <v>0.17649144638665</v>
      </c>
      <c r="BA19" s="4">
        <v>-0.029952358525165</v>
      </c>
      <c r="BB19" s="4">
        <v>0.316854741323862</v>
      </c>
      <c r="BC19" s="4">
        <v>0.212625887913712</v>
      </c>
      <c r="BD19" s="4">
        <v>0.235607118759485</v>
      </c>
      <c r="BE19" s="4">
        <v>0.205818609454633</v>
      </c>
      <c r="BF19" s="4">
        <v>0.27568919090527</v>
      </c>
      <c r="BG19" s="4">
        <v>0.215304174061132</v>
      </c>
      <c r="BH19" s="4">
        <v>0.182087561626468</v>
      </c>
      <c r="BI19" s="4">
        <v>-0.0354032857265172</v>
      </c>
      <c r="BJ19" s="4">
        <v>0.232202320482103</v>
      </c>
      <c r="BK19" s="4">
        <v>0.175937586705225</v>
      </c>
      <c r="BL19" s="4">
        <v>0.140585030421998</v>
      </c>
      <c r="BM19" s="4">
        <v>0.181743410683945</v>
      </c>
      <c r="BN19" s="4">
        <v>0.287938652406268</v>
      </c>
      <c r="BO19" s="4">
        <v>0.394676361885671</v>
      </c>
      <c r="BP19" s="4">
        <v>0.460598565262922</v>
      </c>
      <c r="BQ19" s="4">
        <v>0.0630341855214488</v>
      </c>
      <c r="BR19" s="4">
        <v>0.225590482053463</v>
      </c>
      <c r="BS19" s="4">
        <v>0.23085111296784</v>
      </c>
      <c r="BT19" s="4">
        <v>0.276039283393883</v>
      </c>
      <c r="BU19" s="4">
        <v>0.265011725795545</v>
      </c>
      <c r="BV19" s="4">
        <v>0.245331639537019</v>
      </c>
      <c r="BW19" s="4">
        <v>0.106481818149341</v>
      </c>
      <c r="BX19" s="4">
        <v>0.360071493796805</v>
      </c>
      <c r="BY19" s="4">
        <v>0.307750472632424</v>
      </c>
      <c r="BZ19" s="4">
        <v>0.198303087639005</v>
      </c>
      <c r="CA19" s="4">
        <v>0.219424642687554</v>
      </c>
      <c r="CB19" s="4">
        <v>0.327457922611397</v>
      </c>
      <c r="CC19" s="4">
        <v>0.0848568321890676</v>
      </c>
      <c r="CD19" s="4">
        <v>0.255650374585245</v>
      </c>
      <c r="CE19" s="4">
        <v>0.27689443596367</v>
      </c>
      <c r="CF19" s="4">
        <v>0.284947839201647</v>
      </c>
      <c r="CG19" s="4">
        <v>0.164598670982085</v>
      </c>
      <c r="CH19" s="4">
        <v>0.314153348479239</v>
      </c>
      <c r="CI19" s="4">
        <v>0.438280396288862</v>
      </c>
      <c r="CJ19" s="4">
        <v>0.283212180560672</v>
      </c>
      <c r="CK19" s="4">
        <v>0.336144135841323</v>
      </c>
      <c r="CL19" s="4">
        <v>0.303893635761352</v>
      </c>
      <c r="CM19" s="4">
        <v>0.361362465089667</v>
      </c>
      <c r="CN19" s="4">
        <v>0.334335993903959</v>
      </c>
      <c r="CO19" s="4">
        <v>0.334283157423163</v>
      </c>
      <c r="CP19" s="4">
        <v>0.0852163051751671</v>
      </c>
      <c r="CQ19" s="4">
        <v>0.16419894274743</v>
      </c>
      <c r="CR19" s="4">
        <v>0.392076888707557</v>
      </c>
      <c r="CS19" s="4">
        <v>0.374894297962222</v>
      </c>
      <c r="CT19" s="4">
        <v>0.207068095128817</v>
      </c>
      <c r="CU19" s="4">
        <v>0.346974672709452</v>
      </c>
      <c r="CV19" s="4">
        <v>0.435406470671524</v>
      </c>
      <c r="CW19" s="4">
        <v>0.309077075710228</v>
      </c>
      <c r="CX19" s="4">
        <v>0.28631983526076</v>
      </c>
      <c r="CY19" s="4">
        <v>0.173764370745936</v>
      </c>
      <c r="CZ19" s="4">
        <v>0.11913416051839</v>
      </c>
      <c r="DA19" s="4">
        <v>0.146083369228785</v>
      </c>
      <c r="DB19" s="4">
        <v>0.376751916765976</v>
      </c>
      <c r="DC19" s="4">
        <v>0.404168526699124</v>
      </c>
      <c r="DD19" s="4">
        <v>0.0394094450667057</v>
      </c>
      <c r="DE19" s="4">
        <v>0.269977137034223</v>
      </c>
      <c r="DF19" s="4">
        <v>0.409304467481361</v>
      </c>
      <c r="DG19" s="4">
        <v>0.0606483192592925</v>
      </c>
      <c r="DH19" s="4">
        <v>0.252814107480304</v>
      </c>
      <c r="DI19" s="4">
        <v>0.328595067935084</v>
      </c>
      <c r="DJ19" s="4">
        <v>0.392717448874199</v>
      </c>
      <c r="DK19" s="4">
        <v>0.311538141232134</v>
      </c>
      <c r="DL19" s="4">
        <v>0.264942555510673</v>
      </c>
      <c r="DM19" s="4">
        <v>0.339516054193216</v>
      </c>
      <c r="DN19" s="4">
        <v>0.334406354923283</v>
      </c>
      <c r="DO19" s="4">
        <v>0.230695587545282</v>
      </c>
      <c r="DP19" s="4">
        <v>0.259581834740468</v>
      </c>
      <c r="DQ19" s="4">
        <v>0.212686236140306</v>
      </c>
      <c r="DR19" s="4">
        <v>0.340770828401011</v>
      </c>
      <c r="DS19" s="4">
        <v>0.289738166365735</v>
      </c>
      <c r="DT19" s="4">
        <v>0.26261668244671</v>
      </c>
      <c r="DU19" s="4">
        <v>0.285194886096508</v>
      </c>
      <c r="DV19" s="4">
        <v>0.182032948056413</v>
      </c>
      <c r="DW19" s="4">
        <v>0.135307101696036</v>
      </c>
      <c r="DX19" s="4">
        <v>0.125496665313435</v>
      </c>
      <c r="DY19" s="4">
        <v>0.233076903053005</v>
      </c>
    </row>
    <row r="20" ht="14" spans="1:129">
      <c r="A20" s="31" t="s">
        <v>18</v>
      </c>
      <c r="B20" s="4" t="str">
        <v/>
      </c>
      <c r="C20" s="4" t="str">
        <v/>
      </c>
      <c r="D20" s="4" t="str">
        <v/>
      </c>
      <c r="E20" s="4" t="str">
        <v/>
      </c>
      <c r="F20" s="4" t="str">
        <v/>
      </c>
      <c r="G20" s="4" t="str">
        <v/>
      </c>
      <c r="H20" s="4" t="str">
        <v/>
      </c>
      <c r="I20" s="4" t="str">
        <v/>
      </c>
      <c r="J20" s="4" t="str">
        <v/>
      </c>
      <c r="K20" s="4" t="str">
        <v/>
      </c>
      <c r="L20" s="4" t="str">
        <v/>
      </c>
      <c r="M20" s="4" t="str">
        <v/>
      </c>
      <c r="N20" s="4" t="str">
        <v/>
      </c>
      <c r="O20" s="4" t="str">
        <v/>
      </c>
      <c r="P20" s="4" t="str">
        <v/>
      </c>
      <c r="Q20" s="4" t="str">
        <v/>
      </c>
      <c r="R20" s="4">
        <v>1</v>
      </c>
      <c r="S20" s="4">
        <v>0.151703349294488</v>
      </c>
      <c r="T20" s="4">
        <v>0.29586969892813</v>
      </c>
      <c r="U20" s="4">
        <v>0.462387490251335</v>
      </c>
      <c r="V20" s="4">
        <v>0.495177457053521</v>
      </c>
      <c r="W20" s="4">
        <v>0.402316127655255</v>
      </c>
      <c r="X20" s="4">
        <v>0.294279562361146</v>
      </c>
      <c r="Y20" s="4">
        <v>0.250569900795089</v>
      </c>
      <c r="Z20" s="4">
        <v>0.497944646496549</v>
      </c>
      <c r="AA20" s="4">
        <v>0.487178809184222</v>
      </c>
      <c r="AB20" s="4">
        <v>0.0360115556917939</v>
      </c>
      <c r="AC20" s="4">
        <v>0.339629500351649</v>
      </c>
      <c r="AD20" s="4">
        <v>0.203544822587851</v>
      </c>
      <c r="AE20" s="4">
        <v>0.309029363003105</v>
      </c>
      <c r="AF20" s="4">
        <v>0.398585865249709</v>
      </c>
      <c r="AG20" s="4">
        <v>0.321275540799616</v>
      </c>
      <c r="AH20" s="4">
        <v>0.231178359409569</v>
      </c>
      <c r="AI20" s="4">
        <v>0.429508489667753</v>
      </c>
      <c r="AJ20" s="4">
        <v>0.0512010664879647</v>
      </c>
      <c r="AK20" s="4">
        <v>0.039750454727692</v>
      </c>
      <c r="AL20" s="4">
        <v>0.449198715673637</v>
      </c>
      <c r="AM20" s="4">
        <v>0.102334523715506</v>
      </c>
      <c r="AN20" s="4">
        <v>0.0937597081893984</v>
      </c>
      <c r="AO20" s="4">
        <v>0.249889371609446</v>
      </c>
      <c r="AP20" s="4">
        <v>0.259708698942422</v>
      </c>
      <c r="AQ20" s="4">
        <v>0.0462573860554804</v>
      </c>
      <c r="AR20" s="4">
        <v>0.288662955461237</v>
      </c>
      <c r="AS20" s="4">
        <v>0.179230900485386</v>
      </c>
      <c r="AT20" s="4">
        <v>0.286917867700702</v>
      </c>
      <c r="AU20" s="4">
        <v>0.272460553946687</v>
      </c>
      <c r="AV20" s="4">
        <v>0.305324319545014</v>
      </c>
      <c r="AW20" s="4">
        <v>0.347839055797183</v>
      </c>
      <c r="AX20" s="4">
        <v>0.180650838691152</v>
      </c>
      <c r="AY20" s="4">
        <v>0.193763565149511</v>
      </c>
      <c r="AZ20" s="4">
        <v>0.294614441745213</v>
      </c>
      <c r="BA20" s="4">
        <v>0.217211027628872</v>
      </c>
      <c r="BB20" s="4">
        <v>0.415160598757288</v>
      </c>
      <c r="BC20" s="4">
        <v>0.272238247892385</v>
      </c>
      <c r="BD20" s="4">
        <v>0.448967273181332</v>
      </c>
      <c r="BE20" s="4">
        <v>0.25399411213351</v>
      </c>
      <c r="BF20" s="4">
        <v>0.401827319616778</v>
      </c>
      <c r="BG20" s="4">
        <v>0.355298826519443</v>
      </c>
      <c r="BH20" s="4">
        <v>0.22275191029988</v>
      </c>
      <c r="BI20" s="4">
        <v>0.16772352405171</v>
      </c>
      <c r="BJ20" s="4">
        <v>0.395739501621136</v>
      </c>
      <c r="BK20" s="4">
        <v>0.387744261182838</v>
      </c>
      <c r="BL20" s="4">
        <v>0.435319621955595</v>
      </c>
      <c r="BM20" s="4">
        <v>0.436155079745622</v>
      </c>
      <c r="BN20" s="4">
        <v>0.244857912901152</v>
      </c>
      <c r="BO20" s="4">
        <v>0.40510053232343</v>
      </c>
      <c r="BP20" s="4">
        <v>0.493166019516423</v>
      </c>
      <c r="BQ20" s="4">
        <v>0.103073435303287</v>
      </c>
      <c r="BR20" s="4">
        <v>0.411835885846527</v>
      </c>
      <c r="BS20" s="4">
        <v>0.406369678431895</v>
      </c>
      <c r="BT20" s="4">
        <v>0.480449240157611</v>
      </c>
      <c r="BU20" s="4">
        <v>0.460814982738691</v>
      </c>
      <c r="BV20" s="4">
        <v>0.318477315439122</v>
      </c>
      <c r="BW20" s="4">
        <v>0.266334923060672</v>
      </c>
      <c r="BX20" s="4">
        <v>0.338442348723077</v>
      </c>
      <c r="BY20" s="4">
        <v>0.384455340046306</v>
      </c>
      <c r="BZ20" s="4">
        <v>0.23890551191895</v>
      </c>
      <c r="CA20" s="4">
        <v>0.43890841795105</v>
      </c>
      <c r="CB20" s="4">
        <v>0.39891355118665</v>
      </c>
      <c r="CC20" s="4">
        <v>0.419851975908674</v>
      </c>
      <c r="CD20" s="4">
        <v>0.187259664172539</v>
      </c>
      <c r="CE20" s="4">
        <v>0.447258883139849</v>
      </c>
      <c r="CF20" s="4">
        <v>0.402175823185936</v>
      </c>
      <c r="CG20" s="4">
        <v>0.339012711299443</v>
      </c>
      <c r="CH20" s="4">
        <v>0.409078647646036</v>
      </c>
      <c r="CI20" s="4">
        <v>0.570742986780657</v>
      </c>
      <c r="CJ20" s="4">
        <v>0.21322662793038</v>
      </c>
      <c r="CK20" s="4">
        <v>0.45271965811822</v>
      </c>
      <c r="CL20" s="4">
        <v>0.370931481844665</v>
      </c>
      <c r="CM20" s="4">
        <v>0.0464496763188623</v>
      </c>
      <c r="CN20" s="4">
        <v>0.228645792384423</v>
      </c>
      <c r="CO20" s="4">
        <v>0.318237020468733</v>
      </c>
      <c r="CP20" s="4">
        <v>0.115320699480397</v>
      </c>
      <c r="CQ20" s="4">
        <v>0.0859337653564674</v>
      </c>
      <c r="CR20" s="4">
        <v>0.309852003267398</v>
      </c>
      <c r="CS20" s="4">
        <v>0.125570913169923</v>
      </c>
      <c r="CT20" s="4">
        <v>0.358883339512153</v>
      </c>
      <c r="CU20" s="4">
        <v>0.419766399125255</v>
      </c>
      <c r="CV20" s="4">
        <v>0.292845040213862</v>
      </c>
      <c r="CW20" s="4">
        <v>0.385252841888724</v>
      </c>
      <c r="CX20" s="4">
        <v>0.340694704543208</v>
      </c>
      <c r="CY20" s="4">
        <v>0.286775950999756</v>
      </c>
      <c r="CZ20" s="4">
        <v>0.224125611265199</v>
      </c>
      <c r="DA20" s="4">
        <v>0.237938388355603</v>
      </c>
      <c r="DB20" s="4">
        <v>0.272327054713377</v>
      </c>
      <c r="DC20" s="4">
        <v>0.262109238334239</v>
      </c>
      <c r="DD20" s="4">
        <v>0.122838208877511</v>
      </c>
      <c r="DE20" s="4">
        <v>0.309821013847877</v>
      </c>
      <c r="DF20" s="4">
        <v>0.347377222572454</v>
      </c>
      <c r="DG20" s="4">
        <v>0.189305283181633</v>
      </c>
      <c r="DH20" s="4">
        <v>0.401746019843573</v>
      </c>
      <c r="DI20" s="4">
        <v>0.408431444847585</v>
      </c>
      <c r="DJ20" s="4">
        <v>0.494080832409894</v>
      </c>
      <c r="DK20" s="4">
        <v>0.424030424955346</v>
      </c>
      <c r="DL20" s="4">
        <v>0.375321368397511</v>
      </c>
      <c r="DM20" s="4">
        <v>0.500344230126051</v>
      </c>
      <c r="DN20" s="4">
        <v>0.451283457978224</v>
      </c>
      <c r="DO20" s="4">
        <v>0.341488226766662</v>
      </c>
      <c r="DP20" s="4">
        <v>0.417349493068088</v>
      </c>
      <c r="DQ20" s="4">
        <v>0.461801107909339</v>
      </c>
      <c r="DR20" s="4">
        <v>0.477594949333476</v>
      </c>
      <c r="DS20" s="4">
        <v>0.37423982529078</v>
      </c>
      <c r="DT20" s="4">
        <v>0.406464534329131</v>
      </c>
      <c r="DU20" s="4">
        <v>0.480920795487687</v>
      </c>
      <c r="DV20" s="4">
        <v>0.395040053101783</v>
      </c>
      <c r="DW20" s="4">
        <v>0.234015606230657</v>
      </c>
      <c r="DX20" s="4">
        <v>0.365417561201823</v>
      </c>
      <c r="DY20" s="4">
        <v>0.349802910445518</v>
      </c>
    </row>
    <row r="21" ht="14" spans="1:129">
      <c r="A21" s="31" t="s">
        <v>19</v>
      </c>
      <c r="B21" s="4" t="str">
        <v/>
      </c>
      <c r="C21" s="4" t="str">
        <v/>
      </c>
      <c r="D21" s="4" t="str">
        <v/>
      </c>
      <c r="E21" s="4" t="str">
        <v/>
      </c>
      <c r="F21" s="4" t="str">
        <v/>
      </c>
      <c r="G21" s="4" t="str">
        <v/>
      </c>
      <c r="H21" s="4" t="str">
        <v/>
      </c>
      <c r="I21" s="4" t="str">
        <v/>
      </c>
      <c r="J21" s="4" t="str">
        <v/>
      </c>
      <c r="K21" s="4" t="str">
        <v/>
      </c>
      <c r="L21" s="4" t="str">
        <v/>
      </c>
      <c r="M21" s="4" t="str">
        <v/>
      </c>
      <c r="N21" s="4" t="str">
        <v/>
      </c>
      <c r="O21" s="4" t="str">
        <v/>
      </c>
      <c r="P21" s="4" t="str">
        <v/>
      </c>
      <c r="Q21" s="4" t="str">
        <v/>
      </c>
      <c r="R21" s="4" t="str">
        <v/>
      </c>
      <c r="S21" s="4">
        <v>1</v>
      </c>
      <c r="T21" s="4">
        <v>0.148517906203685</v>
      </c>
      <c r="U21" s="4">
        <v>-0.0463849099730231</v>
      </c>
      <c r="V21" s="4">
        <v>-0.0831101356141186</v>
      </c>
      <c r="W21" s="4">
        <v>0.179815171733829</v>
      </c>
      <c r="X21" s="4">
        <v>-0.00978723326550802</v>
      </c>
      <c r="Y21" s="4">
        <v>0.120035726296215</v>
      </c>
      <c r="Z21" s="4">
        <v>0.0987758457770546</v>
      </c>
      <c r="AA21" s="4">
        <v>0.249684320235022</v>
      </c>
      <c r="AB21" s="4">
        <v>0.138827060087346</v>
      </c>
      <c r="AC21" s="4">
        <v>0.147451029827929</v>
      </c>
      <c r="AD21" s="4">
        <v>0.0813790484816675</v>
      </c>
      <c r="AE21" s="4">
        <v>0.188240661336757</v>
      </c>
      <c r="AF21" s="4">
        <v>0.0786895941431192</v>
      </c>
      <c r="AG21" s="4">
        <v>0.193884362327116</v>
      </c>
      <c r="AH21" s="4">
        <v>0.227743273815612</v>
      </c>
      <c r="AI21" s="4">
        <v>0.104966897830525</v>
      </c>
      <c r="AJ21" s="4">
        <v>-0.127634285841243</v>
      </c>
      <c r="AK21" s="4">
        <v>0.0895693899808117</v>
      </c>
      <c r="AL21" s="4">
        <v>0.116832342539255</v>
      </c>
      <c r="AM21" s="4">
        <v>0.362136736224562</v>
      </c>
      <c r="AN21" s="4">
        <v>-0.127691243484569</v>
      </c>
      <c r="AO21" s="4">
        <v>0.0441066918293752</v>
      </c>
      <c r="AP21" s="4">
        <v>0.0110557497817128</v>
      </c>
      <c r="AQ21" s="4">
        <v>-0.0472639549695845</v>
      </c>
      <c r="AR21" s="4">
        <v>0.277199919004143</v>
      </c>
      <c r="AS21" s="4">
        <v>0.00694842914276968</v>
      </c>
      <c r="AT21" s="4">
        <v>0.165244576548824</v>
      </c>
      <c r="AU21" s="4">
        <v>-0.0144189039475594</v>
      </c>
      <c r="AV21" s="4">
        <v>0.104842067723756</v>
      </c>
      <c r="AW21" s="4">
        <v>0.271947722666295</v>
      </c>
      <c r="AX21" s="4">
        <v>0.110820712474489</v>
      </c>
      <c r="AY21" s="4">
        <v>0.0794332290430452</v>
      </c>
      <c r="AZ21" s="4">
        <v>0.140580151887795</v>
      </c>
      <c r="BA21" s="4">
        <v>0.155823338602731</v>
      </c>
      <c r="BB21" s="4">
        <v>0.154941904580752</v>
      </c>
      <c r="BC21" s="4">
        <v>0.362001854988072</v>
      </c>
      <c r="BD21" s="4">
        <v>0.0869228152890868</v>
      </c>
      <c r="BE21" s="4">
        <v>-0.0506109658408789</v>
      </c>
      <c r="BF21" s="4">
        <v>0.104304397393588</v>
      </c>
      <c r="BG21" s="4">
        <v>0.14625355991817</v>
      </c>
      <c r="BH21" s="4">
        <v>0.331514509029109</v>
      </c>
      <c r="BI21" s="4">
        <v>0.211064464526419</v>
      </c>
      <c r="BJ21" s="4">
        <v>-0.159105870189809</v>
      </c>
      <c r="BK21" s="4">
        <v>-0.251172586791176</v>
      </c>
      <c r="BL21" s="4">
        <v>-0.169821495179146</v>
      </c>
      <c r="BM21" s="4">
        <v>-0.0969263718091671</v>
      </c>
      <c r="BN21" s="4">
        <v>0.110618829459745</v>
      </c>
      <c r="BO21" s="4">
        <v>0.0781383369159853</v>
      </c>
      <c r="BP21" s="4">
        <v>0.179953396696285</v>
      </c>
      <c r="BQ21" s="4">
        <v>0.0198904090517495</v>
      </c>
      <c r="BR21" s="4">
        <v>0.171996588565786</v>
      </c>
      <c r="BS21" s="4">
        <v>-0.106110351210027</v>
      </c>
      <c r="BT21" s="4">
        <v>-0.125589186141695</v>
      </c>
      <c r="BU21" s="4">
        <v>-0.141040765021058</v>
      </c>
      <c r="BV21" s="4">
        <v>0.419957648938808</v>
      </c>
      <c r="BW21" s="4">
        <v>-0.0877161765719195</v>
      </c>
      <c r="BX21" s="4">
        <v>0.059735092149078</v>
      </c>
      <c r="BY21" s="4">
        <v>0.0728475404699322</v>
      </c>
      <c r="BZ21" s="4">
        <v>0.0749725885510931</v>
      </c>
      <c r="CA21" s="4">
        <v>-0.173595116332996</v>
      </c>
      <c r="CB21" s="4">
        <v>0.0472122642725986</v>
      </c>
      <c r="CC21" s="4">
        <v>0.193632625705682</v>
      </c>
      <c r="CD21" s="4">
        <v>0.0372734774789909</v>
      </c>
      <c r="CE21" s="4">
        <v>-0.102828701133971</v>
      </c>
      <c r="CF21" s="4">
        <v>-0.0112874145098773</v>
      </c>
      <c r="CG21" s="4">
        <v>-0.0229612740602756</v>
      </c>
      <c r="CH21" s="4">
        <v>-0.00929619670251135</v>
      </c>
      <c r="CI21" s="4">
        <v>0.0766523132353337</v>
      </c>
      <c r="CJ21" s="4">
        <v>0.150440335715916</v>
      </c>
      <c r="CK21" s="4">
        <v>0.0694220287821365</v>
      </c>
      <c r="CL21" s="4">
        <v>-0.211464527030513</v>
      </c>
      <c r="CM21" s="4">
        <v>-0.0197015426192883</v>
      </c>
      <c r="CN21" s="4">
        <v>0.103705991568138</v>
      </c>
      <c r="CO21" s="4">
        <v>0.019691685178059</v>
      </c>
      <c r="CP21" s="4">
        <v>0.111721715953016</v>
      </c>
      <c r="CQ21" s="4">
        <v>0.396620165024675</v>
      </c>
      <c r="CR21" s="4">
        <v>0.0878290664354939</v>
      </c>
      <c r="CS21" s="4">
        <v>0.150846532651757</v>
      </c>
      <c r="CT21" s="4">
        <v>-0.229182043999291</v>
      </c>
      <c r="CU21" s="4">
        <v>-0.0915315173043479</v>
      </c>
      <c r="CV21" s="4">
        <v>0.130078813044217</v>
      </c>
      <c r="CW21" s="4">
        <v>0.0793438764140969</v>
      </c>
      <c r="CX21" s="4">
        <v>0.0806453799364997</v>
      </c>
      <c r="CY21" s="4">
        <v>-0.0923098986519259</v>
      </c>
      <c r="CZ21" s="4">
        <v>0.212242817204758</v>
      </c>
      <c r="DA21" s="4">
        <v>0.0263501418701475</v>
      </c>
      <c r="DB21" s="4">
        <v>0.25098789296059</v>
      </c>
      <c r="DC21" s="4">
        <v>-0.0602751033386141</v>
      </c>
      <c r="DD21" s="4">
        <v>-0.228589620158694</v>
      </c>
      <c r="DE21" s="4">
        <v>0.259696010210494</v>
      </c>
      <c r="DF21" s="4">
        <v>-0.0397355800992267</v>
      </c>
      <c r="DG21" s="4">
        <v>0.296246416293619</v>
      </c>
      <c r="DH21" s="4">
        <v>0.1043041947067</v>
      </c>
      <c r="DI21" s="4">
        <v>-0.0855436136424941</v>
      </c>
      <c r="DJ21" s="4">
        <v>-0.0636854535662255</v>
      </c>
      <c r="DK21" s="4">
        <v>-0.0942489704829923</v>
      </c>
      <c r="DL21" s="4">
        <v>-0.0779148935835371</v>
      </c>
      <c r="DM21" s="4">
        <v>-0.0314984186159133</v>
      </c>
      <c r="DN21" s="4">
        <v>0.00743375407014741</v>
      </c>
      <c r="DO21" s="4">
        <v>-0.12767534884664</v>
      </c>
      <c r="DP21" s="4">
        <v>-0.0839150800704515</v>
      </c>
      <c r="DQ21" s="4">
        <v>-0.0934333728047581</v>
      </c>
      <c r="DR21" s="4">
        <v>-0.00931772768315599</v>
      </c>
      <c r="DS21" s="4">
        <v>-0.0138644682517372</v>
      </c>
      <c r="DT21" s="4">
        <v>-0.0944676778558464</v>
      </c>
      <c r="DU21" s="4">
        <v>-0.00603868795109515</v>
      </c>
      <c r="DV21" s="4">
        <v>-0.011885174349091</v>
      </c>
      <c r="DW21" s="4">
        <v>0.0522964094390156</v>
      </c>
      <c r="DX21" s="4">
        <v>0.150570408197069</v>
      </c>
      <c r="DY21" s="4">
        <v>-0.101971135001529</v>
      </c>
    </row>
    <row r="22" ht="14" spans="1:129">
      <c r="A22" s="31" t="s">
        <v>20</v>
      </c>
      <c r="B22" s="4" t="str">
        <v/>
      </c>
      <c r="C22" s="4" t="str">
        <v/>
      </c>
      <c r="D22" s="4" t="str">
        <v/>
      </c>
      <c r="E22" s="4" t="str">
        <v/>
      </c>
      <c r="F22" s="4" t="str">
        <v/>
      </c>
      <c r="G22" s="4" t="str">
        <v/>
      </c>
      <c r="H22" s="4" t="str">
        <v/>
      </c>
      <c r="I22" s="4" t="str">
        <v/>
      </c>
      <c r="J22" s="4" t="str">
        <v/>
      </c>
      <c r="K22" s="4" t="str">
        <v/>
      </c>
      <c r="L22" s="4" t="str">
        <v/>
      </c>
      <c r="M22" s="4" t="str">
        <v/>
      </c>
      <c r="N22" s="4" t="str">
        <v/>
      </c>
      <c r="O22" s="4" t="str">
        <v/>
      </c>
      <c r="P22" s="4" t="str">
        <v/>
      </c>
      <c r="Q22" s="4" t="str">
        <v/>
      </c>
      <c r="R22" s="4" t="str">
        <v/>
      </c>
      <c r="S22" s="4" t="str">
        <v/>
      </c>
      <c r="T22" s="4">
        <v>1</v>
      </c>
      <c r="U22" s="4">
        <v>0.569541227639519</v>
      </c>
      <c r="V22" s="4">
        <v>0.397829036599477</v>
      </c>
      <c r="W22" s="4">
        <v>0.598455386423517</v>
      </c>
      <c r="X22" s="4">
        <v>0.30905628294472</v>
      </c>
      <c r="Y22" s="4">
        <v>0.415078305870286</v>
      </c>
      <c r="Z22" s="4">
        <v>0.518147626569859</v>
      </c>
      <c r="AA22" s="4">
        <v>0.445891094525283</v>
      </c>
      <c r="AB22" s="4">
        <v>0.196240838959137</v>
      </c>
      <c r="AC22" s="4">
        <v>0.436839854373373</v>
      </c>
      <c r="AD22" s="4">
        <v>0.512672004548146</v>
      </c>
      <c r="AE22" s="4">
        <v>0.376059037025265</v>
      </c>
      <c r="AF22" s="4">
        <v>0.408473639243348</v>
      </c>
      <c r="AG22" s="4">
        <v>0.521284978516524</v>
      </c>
      <c r="AH22" s="4">
        <v>0.265187746244893</v>
      </c>
      <c r="AI22" s="4">
        <v>0.435434355426221</v>
      </c>
      <c r="AJ22" s="4">
        <v>0.275563484943941</v>
      </c>
      <c r="AK22" s="4">
        <v>0.35833437340601</v>
      </c>
      <c r="AL22" s="4">
        <v>0.424891281498939</v>
      </c>
      <c r="AM22" s="4">
        <v>0.295417741325568</v>
      </c>
      <c r="AN22" s="4">
        <v>0.307370926965689</v>
      </c>
      <c r="AO22" s="4">
        <v>0.48053161885761</v>
      </c>
      <c r="AP22" s="4">
        <v>0.393771103862487</v>
      </c>
      <c r="AQ22" s="4">
        <v>0.382079414289603</v>
      </c>
      <c r="AR22" s="4">
        <v>0.466533882375027</v>
      </c>
      <c r="AS22" s="4">
        <v>0.20778841104116</v>
      </c>
      <c r="AT22" s="4">
        <v>0.306114884566993</v>
      </c>
      <c r="AU22" s="4">
        <v>0.255390572808498</v>
      </c>
      <c r="AV22" s="4">
        <v>0.36716926258984</v>
      </c>
      <c r="AW22" s="4">
        <v>0.265928841149043</v>
      </c>
      <c r="AX22" s="4">
        <v>0.381615175660508</v>
      </c>
      <c r="AY22" s="4">
        <v>0.392902753784294</v>
      </c>
      <c r="AZ22" s="4">
        <v>0.42969688433468</v>
      </c>
      <c r="BA22" s="4">
        <v>0.390081116700341</v>
      </c>
      <c r="BB22" s="4">
        <v>0.359120515798707</v>
      </c>
      <c r="BC22" s="4">
        <v>0.425767512026916</v>
      </c>
      <c r="BD22" s="4">
        <v>0.403163810095745</v>
      </c>
      <c r="BE22" s="4">
        <v>0.138007697293309</v>
      </c>
      <c r="BF22" s="4">
        <v>0.4523587147011</v>
      </c>
      <c r="BG22" s="4">
        <v>0.482981880232269</v>
      </c>
      <c r="BH22" s="4">
        <v>0.404656148696946</v>
      </c>
      <c r="BI22" s="4">
        <v>0.241684941133917</v>
      </c>
      <c r="BJ22" s="4">
        <v>0.26084336899948</v>
      </c>
      <c r="BK22" s="4">
        <v>0.316158983276656</v>
      </c>
      <c r="BL22" s="4">
        <v>0.350905592428597</v>
      </c>
      <c r="BM22" s="4">
        <v>0.219718229566276</v>
      </c>
      <c r="BN22" s="4">
        <v>0.356488560447846</v>
      </c>
      <c r="BO22" s="4">
        <v>0.452355895932804</v>
      </c>
      <c r="BP22" s="4">
        <v>0.456692422701684</v>
      </c>
      <c r="BQ22" s="4">
        <v>0.230537018214692</v>
      </c>
      <c r="BR22" s="4">
        <v>0.35211307246141</v>
      </c>
      <c r="BS22" s="4">
        <v>0.208939387024737</v>
      </c>
      <c r="BT22" s="4">
        <v>0.144940107823955</v>
      </c>
      <c r="BU22" s="4">
        <v>0.413488431715506</v>
      </c>
      <c r="BV22" s="4">
        <v>0.126912123224766</v>
      </c>
      <c r="BW22" s="4">
        <v>0.180140616988506</v>
      </c>
      <c r="BX22" s="4">
        <v>0.341245269514364</v>
      </c>
      <c r="BY22" s="4">
        <v>0.210284270345773</v>
      </c>
      <c r="BZ22" s="4">
        <v>0.353237281731564</v>
      </c>
      <c r="CA22" s="4">
        <v>0.201464891463689</v>
      </c>
      <c r="CB22" s="4">
        <v>0.318865086738264</v>
      </c>
      <c r="CC22" s="4">
        <v>0.324594896192168</v>
      </c>
      <c r="CD22" s="4">
        <v>0.30127204019487</v>
      </c>
      <c r="CE22" s="4">
        <v>0.299942967123347</v>
      </c>
      <c r="CF22" s="4">
        <v>0.316311914350443</v>
      </c>
      <c r="CG22" s="4">
        <v>0.363814180310589</v>
      </c>
      <c r="CH22" s="4">
        <v>0.324866042383769</v>
      </c>
      <c r="CI22" s="4">
        <v>0.553381012306125</v>
      </c>
      <c r="CJ22" s="4">
        <v>0.372103285399241</v>
      </c>
      <c r="CK22" s="4">
        <v>0.198443055693026</v>
      </c>
      <c r="CL22" s="4">
        <v>0.246801871544891</v>
      </c>
      <c r="CM22" s="4">
        <v>0.186737309853812</v>
      </c>
      <c r="CN22" s="4">
        <v>0.319881512795997</v>
      </c>
      <c r="CO22" s="4">
        <v>0.376535335379265</v>
      </c>
      <c r="CP22" s="4">
        <v>0.351559505692273</v>
      </c>
      <c r="CQ22" s="4">
        <v>0.364810481086025</v>
      </c>
      <c r="CR22" s="4">
        <v>0.144207760050599</v>
      </c>
      <c r="CS22" s="4">
        <v>0.166975135035938</v>
      </c>
      <c r="CT22" s="4">
        <v>0.130869879726692</v>
      </c>
      <c r="CU22" s="4">
        <v>0.1539391079309</v>
      </c>
      <c r="CV22" s="4">
        <v>0.388951987246675</v>
      </c>
      <c r="CW22" s="4">
        <v>0.365627595248395</v>
      </c>
      <c r="CX22" s="4">
        <v>0.385511632395314</v>
      </c>
      <c r="CY22" s="4">
        <v>0.0691194359986666</v>
      </c>
      <c r="CZ22" s="4">
        <v>0.208425997365931</v>
      </c>
      <c r="DA22" s="4">
        <v>0.149389999161274</v>
      </c>
      <c r="DB22" s="4">
        <v>-0.0148655126235856</v>
      </c>
      <c r="DC22" s="4">
        <v>0.29136042407174</v>
      </c>
      <c r="DD22" s="4">
        <v>-0.0899862056226953</v>
      </c>
      <c r="DE22" s="4">
        <v>0.510223012304124</v>
      </c>
      <c r="DF22" s="4">
        <v>0.234971353884977</v>
      </c>
      <c r="DG22" s="4">
        <v>0.241854829423782</v>
      </c>
      <c r="DH22" s="4">
        <v>0.301325936440009</v>
      </c>
      <c r="DI22" s="4">
        <v>0.293847393061991</v>
      </c>
      <c r="DJ22" s="4">
        <v>0.313224132343004</v>
      </c>
      <c r="DK22" s="4">
        <v>0.173560254219507</v>
      </c>
      <c r="DL22" s="4">
        <v>0.206693048601667</v>
      </c>
      <c r="DM22" s="4">
        <v>0.200431592559641</v>
      </c>
      <c r="DN22" s="4">
        <v>0.13193285646559</v>
      </c>
      <c r="DO22" s="4">
        <v>0.123023713524621</v>
      </c>
      <c r="DP22" s="4">
        <v>0.251993596457506</v>
      </c>
      <c r="DQ22" s="4">
        <v>0.232356957244498</v>
      </c>
      <c r="DR22" s="4">
        <v>0.245216890815749</v>
      </c>
      <c r="DS22" s="4">
        <v>0.238363860968487</v>
      </c>
      <c r="DT22" s="4">
        <v>0.238236471725938</v>
      </c>
      <c r="DU22" s="4">
        <v>0.202226478763382</v>
      </c>
      <c r="DV22" s="4">
        <v>0.212735403575599</v>
      </c>
      <c r="DW22" s="4">
        <v>0.256861211538577</v>
      </c>
      <c r="DX22" s="4">
        <v>0.251078243050573</v>
      </c>
      <c r="DY22" s="4">
        <v>0.24537802791568</v>
      </c>
    </row>
    <row r="23" ht="14" spans="1:129">
      <c r="A23" s="31" t="s">
        <v>21</v>
      </c>
      <c r="B23" s="4" t="str">
        <v/>
      </c>
      <c r="C23" s="4" t="str">
        <v/>
      </c>
      <c r="D23" s="4" t="str">
        <v/>
      </c>
      <c r="E23" s="4" t="str">
        <v/>
      </c>
      <c r="F23" s="4" t="str">
        <v/>
      </c>
      <c r="G23" s="4" t="str">
        <v/>
      </c>
      <c r="H23" s="4" t="str">
        <v/>
      </c>
      <c r="I23" s="4" t="str">
        <v/>
      </c>
      <c r="J23" s="4" t="str">
        <v/>
      </c>
      <c r="K23" s="4" t="str">
        <v/>
      </c>
      <c r="L23" s="4" t="str">
        <v/>
      </c>
      <c r="M23" s="4" t="str">
        <v/>
      </c>
      <c r="N23" s="4" t="str">
        <v/>
      </c>
      <c r="O23" s="4" t="str">
        <v/>
      </c>
      <c r="P23" s="4" t="str">
        <v/>
      </c>
      <c r="Q23" s="4" t="str">
        <v/>
      </c>
      <c r="R23" s="4" t="str">
        <v/>
      </c>
      <c r="S23" s="4" t="str">
        <v/>
      </c>
      <c r="T23" s="4" t="str">
        <v/>
      </c>
      <c r="U23" s="4">
        <v>1</v>
      </c>
      <c r="V23" s="4">
        <v>0.681843225908688</v>
      </c>
      <c r="W23" s="4">
        <v>0.41226706397298</v>
      </c>
      <c r="X23" s="4">
        <v>0.495329827784015</v>
      </c>
      <c r="Y23" s="4">
        <v>0.39422673195348</v>
      </c>
      <c r="Z23" s="4">
        <v>0.46179021535285</v>
      </c>
      <c r="AA23" s="4">
        <v>0.582638433315012</v>
      </c>
      <c r="AB23" s="4">
        <v>0.299842633606949</v>
      </c>
      <c r="AC23" s="4">
        <v>0.477783502323428</v>
      </c>
      <c r="AD23" s="4">
        <v>0.494687666381356</v>
      </c>
      <c r="AE23" s="4">
        <v>0.479056953013071</v>
      </c>
      <c r="AF23" s="4">
        <v>0.455240316018854</v>
      </c>
      <c r="AG23" s="4">
        <v>0.521857009301071</v>
      </c>
      <c r="AH23" s="4">
        <v>0.34549101770793</v>
      </c>
      <c r="AI23" s="4">
        <v>0.537877710922523</v>
      </c>
      <c r="AJ23" s="4">
        <v>0.202353861214294</v>
      </c>
      <c r="AK23" s="4">
        <v>0.0757984086358145</v>
      </c>
      <c r="AL23" s="4">
        <v>0.272475674758189</v>
      </c>
      <c r="AM23" s="4">
        <v>0.195365669369363</v>
      </c>
      <c r="AN23" s="4">
        <v>0.16830494382781</v>
      </c>
      <c r="AO23" s="4">
        <v>0.350906178322338</v>
      </c>
      <c r="AP23" s="4">
        <v>0.361603200362787</v>
      </c>
      <c r="AQ23" s="4">
        <v>0.296344511450831</v>
      </c>
      <c r="AR23" s="4">
        <v>0.488364440041961</v>
      </c>
      <c r="AS23" s="4">
        <v>0.223337158732334</v>
      </c>
      <c r="AT23" s="4">
        <v>0.264589703369321</v>
      </c>
      <c r="AU23" s="4">
        <v>0.348549175825483</v>
      </c>
      <c r="AV23" s="4">
        <v>0.399572097501737</v>
      </c>
      <c r="AW23" s="4">
        <v>0.176404249966939</v>
      </c>
      <c r="AX23" s="4">
        <v>0.140073996593094</v>
      </c>
      <c r="AY23" s="4">
        <v>0.37725327316762</v>
      </c>
      <c r="AZ23" s="4">
        <v>0.509352833802235</v>
      </c>
      <c r="BA23" s="4">
        <v>0.37209972909711</v>
      </c>
      <c r="BB23" s="4">
        <v>0.511379976151011</v>
      </c>
      <c r="BC23" s="4">
        <v>0.392968138359699</v>
      </c>
      <c r="BD23" s="4">
        <v>0.440315914674226</v>
      </c>
      <c r="BE23" s="4">
        <v>0.349416247843236</v>
      </c>
      <c r="BF23" s="4">
        <v>0.508483823224957</v>
      </c>
      <c r="BG23" s="4">
        <v>0.446686779173577</v>
      </c>
      <c r="BH23" s="4">
        <v>0.108912398401354</v>
      </c>
      <c r="BI23" s="4">
        <v>0.176779283925501</v>
      </c>
      <c r="BJ23" s="4">
        <v>0.291344849079149</v>
      </c>
      <c r="BK23" s="4">
        <v>0.529378023670962</v>
      </c>
      <c r="BL23" s="4">
        <v>0.59668587366867</v>
      </c>
      <c r="BM23" s="4">
        <v>0.521946109177754</v>
      </c>
      <c r="BN23" s="4">
        <v>0.452853403555433</v>
      </c>
      <c r="BO23" s="4">
        <v>0.490194077680551</v>
      </c>
      <c r="BP23" s="4">
        <v>0.521027438485033</v>
      </c>
      <c r="BQ23" s="4">
        <v>0.393445478863288</v>
      </c>
      <c r="BR23" s="4">
        <v>0.478872542760326</v>
      </c>
      <c r="BS23" s="4">
        <v>0.533857693269079</v>
      </c>
      <c r="BT23" s="4">
        <v>0.523652406874272</v>
      </c>
      <c r="BU23" s="4">
        <v>0.643130832674862</v>
      </c>
      <c r="BV23" s="4">
        <v>0.224559498060223</v>
      </c>
      <c r="BW23" s="4">
        <v>0.263667682020214</v>
      </c>
      <c r="BX23" s="4">
        <v>0.274003297108812</v>
      </c>
      <c r="BY23" s="4">
        <v>0.368997278315069</v>
      </c>
      <c r="BZ23" s="4">
        <v>0.343746053787756</v>
      </c>
      <c r="CA23" s="4">
        <v>0.590990661161543</v>
      </c>
      <c r="CB23" s="4">
        <v>0.516874511917669</v>
      </c>
      <c r="CC23" s="4">
        <v>0.287303128863282</v>
      </c>
      <c r="CD23" s="4">
        <v>0.360753311205557</v>
      </c>
      <c r="CE23" s="4">
        <v>0.396300362181214</v>
      </c>
      <c r="CF23" s="4">
        <v>0.481739227402709</v>
      </c>
      <c r="CG23" s="4">
        <v>0.586790889146213</v>
      </c>
      <c r="CH23" s="4">
        <v>0.454102475231006</v>
      </c>
      <c r="CI23" s="4">
        <v>0.684454073411445</v>
      </c>
      <c r="CJ23" s="4">
        <v>0.444978319563934</v>
      </c>
      <c r="CK23" s="4">
        <v>0.183879898833499</v>
      </c>
      <c r="CL23" s="4">
        <v>0.589743695425933</v>
      </c>
      <c r="CM23" s="4">
        <v>0.12899011101497</v>
      </c>
      <c r="CN23" s="4">
        <v>0.354558361830209</v>
      </c>
      <c r="CO23" s="4">
        <v>0.352374644630593</v>
      </c>
      <c r="CP23" s="4">
        <v>0.277288628867969</v>
      </c>
      <c r="CQ23" s="4">
        <v>0.0401348831522419</v>
      </c>
      <c r="CR23" s="4">
        <v>0.164289043735123</v>
      </c>
      <c r="CS23" s="4">
        <v>0.271539557299052</v>
      </c>
      <c r="CT23" s="4">
        <v>0.513315520307295</v>
      </c>
      <c r="CU23" s="4">
        <v>0.294786673403643</v>
      </c>
      <c r="CV23" s="4">
        <v>0.445820962600333</v>
      </c>
      <c r="CW23" s="4">
        <v>0.405708872956326</v>
      </c>
      <c r="CX23" s="4">
        <v>0.384807696474657</v>
      </c>
      <c r="CY23" s="4">
        <v>0.339065463513692</v>
      </c>
      <c r="CZ23" s="4">
        <v>0.305564600789166</v>
      </c>
      <c r="DA23" s="4">
        <v>0.185797927078152</v>
      </c>
      <c r="DB23" s="4">
        <v>0.173504954752769</v>
      </c>
      <c r="DC23" s="4">
        <v>0.324404102898381</v>
      </c>
      <c r="DD23" s="4">
        <v>0.0483367657718052</v>
      </c>
      <c r="DE23" s="4">
        <v>0.481049689290777</v>
      </c>
      <c r="DF23" s="4">
        <v>0.315805742905652</v>
      </c>
      <c r="DG23" s="4">
        <v>-0.0408141598315539</v>
      </c>
      <c r="DH23" s="4">
        <v>0.319894533303536</v>
      </c>
      <c r="DI23" s="4">
        <v>0.378423646281998</v>
      </c>
      <c r="DJ23" s="4">
        <v>0.419789023731915</v>
      </c>
      <c r="DK23" s="4">
        <v>0.367141449948744</v>
      </c>
      <c r="DL23" s="4">
        <v>0.35696710755137</v>
      </c>
      <c r="DM23" s="4">
        <v>0.369840649062865</v>
      </c>
      <c r="DN23" s="4">
        <v>0.281422347809401</v>
      </c>
      <c r="DO23" s="4">
        <v>0.322849499452062</v>
      </c>
      <c r="DP23" s="4">
        <v>0.412050418922198</v>
      </c>
      <c r="DQ23" s="4">
        <v>0.386809070843149</v>
      </c>
      <c r="DR23" s="4">
        <v>0.39706768153722</v>
      </c>
      <c r="DS23" s="4">
        <v>0.324357834229683</v>
      </c>
      <c r="DT23" s="4">
        <v>0.322622995841938</v>
      </c>
      <c r="DU23" s="4">
        <v>0.445769956485459</v>
      </c>
      <c r="DV23" s="4">
        <v>0.410458363926895</v>
      </c>
      <c r="DW23" s="4">
        <v>0.296272791878737</v>
      </c>
      <c r="DX23" s="4">
        <v>0.309935385349475</v>
      </c>
      <c r="DY23" s="4">
        <v>0.345168881213076</v>
      </c>
    </row>
    <row r="24" ht="14" spans="1:129">
      <c r="A24" s="31" t="s">
        <v>22</v>
      </c>
      <c r="B24" s="4" t="str">
        <v/>
      </c>
      <c r="C24" s="4" t="str">
        <v/>
      </c>
      <c r="D24" s="4" t="str">
        <v/>
      </c>
      <c r="E24" s="4" t="str">
        <v/>
      </c>
      <c r="F24" s="4" t="str">
        <v/>
      </c>
      <c r="G24" s="4" t="str">
        <v/>
      </c>
      <c r="H24" s="4" t="str">
        <v/>
      </c>
      <c r="I24" s="4" t="str">
        <v/>
      </c>
      <c r="J24" s="4" t="str">
        <v/>
      </c>
      <c r="K24" s="4" t="str">
        <v/>
      </c>
      <c r="L24" s="4" t="str">
        <v/>
      </c>
      <c r="M24" s="4" t="str">
        <v/>
      </c>
      <c r="N24" s="4" t="str">
        <v/>
      </c>
      <c r="O24" s="4" t="str">
        <v/>
      </c>
      <c r="P24" s="4" t="str">
        <v/>
      </c>
      <c r="Q24" s="4" t="str">
        <v/>
      </c>
      <c r="R24" s="4" t="str">
        <v/>
      </c>
      <c r="S24" s="4" t="str">
        <v/>
      </c>
      <c r="T24" s="4" t="str">
        <v/>
      </c>
      <c r="U24" s="4" t="str">
        <v/>
      </c>
      <c r="V24" s="4">
        <v>1</v>
      </c>
      <c r="W24" s="4">
        <v>0.505599429930908</v>
      </c>
      <c r="X24" s="4">
        <v>0.642613520332455</v>
      </c>
      <c r="Y24" s="4">
        <v>0.519991569182561</v>
      </c>
      <c r="Z24" s="4">
        <v>0.504375772916383</v>
      </c>
      <c r="AA24" s="4">
        <v>0.626463515149617</v>
      </c>
      <c r="AB24" s="4">
        <v>0.11003022429233</v>
      </c>
      <c r="AC24" s="4">
        <v>0.517778322911872</v>
      </c>
      <c r="AD24" s="4">
        <v>0.44997981877471</v>
      </c>
      <c r="AE24" s="4">
        <v>0.512791223218363</v>
      </c>
      <c r="AF24" s="4">
        <v>0.502502408135308</v>
      </c>
      <c r="AG24" s="4">
        <v>0.545381170579816</v>
      </c>
      <c r="AH24" s="4">
        <v>0.350550404071666</v>
      </c>
      <c r="AI24" s="4">
        <v>0.600721779380763</v>
      </c>
      <c r="AJ24" s="4">
        <v>0.112499153020619</v>
      </c>
      <c r="AK24" s="4">
        <v>0.142814324330664</v>
      </c>
      <c r="AL24" s="4">
        <v>0.335023287281402</v>
      </c>
      <c r="AM24" s="4">
        <v>0.383594484042138</v>
      </c>
      <c r="AN24" s="4">
        <v>0.318730105698396</v>
      </c>
      <c r="AO24" s="4">
        <v>0.516675256419105</v>
      </c>
      <c r="AP24" s="4">
        <v>0.484654167618079</v>
      </c>
      <c r="AQ24" s="4">
        <v>0.182203947310329</v>
      </c>
      <c r="AR24" s="4">
        <v>0.4363601386154</v>
      </c>
      <c r="AS24" s="4">
        <v>0.471481999488127</v>
      </c>
      <c r="AT24" s="4">
        <v>0.479352574910321</v>
      </c>
      <c r="AU24" s="4">
        <v>0.49065256922604</v>
      </c>
      <c r="AV24" s="4">
        <v>0.486592749382497</v>
      </c>
      <c r="AW24" s="4">
        <v>0.482261307154501</v>
      </c>
      <c r="AX24" s="4">
        <v>0.318621633020352</v>
      </c>
      <c r="AY24" s="4">
        <v>0.347730843187659</v>
      </c>
      <c r="AZ24" s="4">
        <v>0.396260983627062</v>
      </c>
      <c r="BA24" s="4">
        <v>0.434294650225107</v>
      </c>
      <c r="BB24" s="4">
        <v>0.521008845623978</v>
      </c>
      <c r="BC24" s="4">
        <v>0.590548357642084</v>
      </c>
      <c r="BD24" s="4">
        <v>0.55340203214232</v>
      </c>
      <c r="BE24" s="4">
        <v>0.386143093021964</v>
      </c>
      <c r="BF24" s="4">
        <v>0.599375515994286</v>
      </c>
      <c r="BG24" s="4">
        <v>0.482389450253509</v>
      </c>
      <c r="BH24" s="4">
        <v>0.349493047221325</v>
      </c>
      <c r="BI24" s="4">
        <v>0.302102864793376</v>
      </c>
      <c r="BJ24" s="4">
        <v>0.387266735504705</v>
      </c>
      <c r="BK24" s="4">
        <v>0.541145032025149</v>
      </c>
      <c r="BL24" s="4">
        <v>0.647454099270126</v>
      </c>
      <c r="BM24" s="4">
        <v>0.573652638363224</v>
      </c>
      <c r="BN24" s="4">
        <v>0.493493633638892</v>
      </c>
      <c r="BO24" s="4">
        <v>0.509623761132072</v>
      </c>
      <c r="BP24" s="4">
        <v>0.588801242065537</v>
      </c>
      <c r="BQ24" s="4">
        <v>0.512174196526325</v>
      </c>
      <c r="BR24" s="4">
        <v>0.400180267917882</v>
      </c>
      <c r="BS24" s="4">
        <v>0.685944944297462</v>
      </c>
      <c r="BT24" s="4">
        <v>0.558230381543535</v>
      </c>
      <c r="BU24" s="4">
        <v>0.625458438912869</v>
      </c>
      <c r="BV24" s="4">
        <v>0.190318922884218</v>
      </c>
      <c r="BW24" s="4">
        <v>0.350201053512577</v>
      </c>
      <c r="BX24" s="4">
        <v>0.321523054761851</v>
      </c>
      <c r="BY24" s="4">
        <v>0.378609741473936</v>
      </c>
      <c r="BZ24" s="4">
        <v>0.285080787988162</v>
      </c>
      <c r="CA24" s="4">
        <v>0.601626105492668</v>
      </c>
      <c r="CB24" s="4">
        <v>0.477467141376415</v>
      </c>
      <c r="CC24" s="4">
        <v>0.388282885425644</v>
      </c>
      <c r="CD24" s="4">
        <v>0.365093352733439</v>
      </c>
      <c r="CE24" s="4">
        <v>0.600599051294855</v>
      </c>
      <c r="CF24" s="4">
        <v>0.594505359612222</v>
      </c>
      <c r="CG24" s="4">
        <v>0.716064589009446</v>
      </c>
      <c r="CH24" s="4">
        <v>0.609993816516456</v>
      </c>
      <c r="CI24" s="4">
        <v>0.730827414075054</v>
      </c>
      <c r="CJ24" s="4">
        <v>0.442197703084327</v>
      </c>
      <c r="CK24" s="4">
        <v>0.253451906275664</v>
      </c>
      <c r="CL24" s="4">
        <v>0.626717113706441</v>
      </c>
      <c r="CM24" s="4">
        <v>0.0255638880100133</v>
      </c>
      <c r="CN24" s="4">
        <v>0.273732657203258</v>
      </c>
      <c r="CO24" s="4">
        <v>0.226416905259342</v>
      </c>
      <c r="CP24" s="4">
        <v>0.187347468263174</v>
      </c>
      <c r="CQ24" s="4">
        <v>-0.0601071817392066</v>
      </c>
      <c r="CR24" s="4">
        <v>0.261631836159381</v>
      </c>
      <c r="CS24" s="4">
        <v>0.309196799860125</v>
      </c>
      <c r="CT24" s="4">
        <v>0.607403460813953</v>
      </c>
      <c r="CU24" s="4">
        <v>0.439942287948826</v>
      </c>
      <c r="CV24" s="4">
        <v>0.409842191219795</v>
      </c>
      <c r="CW24" s="4">
        <v>0.44608133529983</v>
      </c>
      <c r="CX24" s="4">
        <v>0.314670288694451</v>
      </c>
      <c r="CY24" s="4">
        <v>0.331093167228906</v>
      </c>
      <c r="CZ24" s="4">
        <v>0.335031779080223</v>
      </c>
      <c r="DA24" s="4">
        <v>0.159404685237483</v>
      </c>
      <c r="DB24" s="4">
        <v>0.202795715541226</v>
      </c>
      <c r="DC24" s="4">
        <v>0.307357755300919</v>
      </c>
      <c r="DD24" s="4">
        <v>0.0649792564021382</v>
      </c>
      <c r="DE24" s="4">
        <v>0.429870363685301</v>
      </c>
      <c r="DF24" s="4">
        <v>0.256878616760373</v>
      </c>
      <c r="DG24" s="4">
        <v>0.188776860881432</v>
      </c>
      <c r="DH24" s="4">
        <v>0.47281379939321</v>
      </c>
      <c r="DI24" s="4">
        <v>0.525046643444739</v>
      </c>
      <c r="DJ24" s="4">
        <v>0.555810765111295</v>
      </c>
      <c r="DK24" s="4">
        <v>0.459785785093328</v>
      </c>
      <c r="DL24" s="4">
        <v>0.484931450443343</v>
      </c>
      <c r="DM24" s="4">
        <v>0.520875723753374</v>
      </c>
      <c r="DN24" s="4">
        <v>0.537719455337976</v>
      </c>
      <c r="DO24" s="4">
        <v>0.426472034631477</v>
      </c>
      <c r="DP24" s="4">
        <v>0.507184563640561</v>
      </c>
      <c r="DQ24" s="4">
        <v>0.520008290763566</v>
      </c>
      <c r="DR24" s="4">
        <v>0.544476914185883</v>
      </c>
      <c r="DS24" s="4">
        <v>0.372731232750297</v>
      </c>
      <c r="DT24" s="4">
        <v>0.495719159958283</v>
      </c>
      <c r="DU24" s="4">
        <v>0.513479561557045</v>
      </c>
      <c r="DV24" s="4">
        <v>0.491943826397239</v>
      </c>
      <c r="DW24" s="4">
        <v>0.200390570632463</v>
      </c>
      <c r="DX24" s="4">
        <v>0.565118061365703</v>
      </c>
      <c r="DY24" s="4">
        <v>0.522838662698685</v>
      </c>
    </row>
    <row r="25" ht="14" spans="1:129">
      <c r="A25" s="31" t="s">
        <v>23</v>
      </c>
      <c r="B25" s="4" t="str">
        <v/>
      </c>
      <c r="C25" s="4" t="str">
        <v/>
      </c>
      <c r="D25" s="4" t="str">
        <v/>
      </c>
      <c r="E25" s="4" t="str">
        <v/>
      </c>
      <c r="F25" s="4" t="str">
        <v/>
      </c>
      <c r="G25" s="4" t="str">
        <v/>
      </c>
      <c r="H25" s="4" t="str">
        <v/>
      </c>
      <c r="I25" s="4" t="str">
        <v/>
      </c>
      <c r="J25" s="4" t="str">
        <v/>
      </c>
      <c r="K25" s="4" t="str">
        <v/>
      </c>
      <c r="L25" s="4" t="str">
        <v/>
      </c>
      <c r="M25" s="4" t="str">
        <v/>
      </c>
      <c r="N25" s="4" t="str">
        <v/>
      </c>
      <c r="O25" s="4" t="str">
        <v/>
      </c>
      <c r="P25" s="4" t="str">
        <v/>
      </c>
      <c r="Q25" s="4" t="str">
        <v/>
      </c>
      <c r="R25" s="4" t="str">
        <v/>
      </c>
      <c r="S25" s="4" t="str">
        <v/>
      </c>
      <c r="T25" s="4" t="str">
        <v/>
      </c>
      <c r="U25" s="4" t="str">
        <v/>
      </c>
      <c r="V25" s="4" t="str">
        <v/>
      </c>
      <c r="W25" s="4">
        <v>1</v>
      </c>
      <c r="X25" s="4">
        <v>0.368908809297906</v>
      </c>
      <c r="Y25" s="4">
        <v>0.327689912026093</v>
      </c>
      <c r="Z25" s="4">
        <v>0.537249427661206</v>
      </c>
      <c r="AA25" s="4">
        <v>0.448286301263343</v>
      </c>
      <c r="AB25" s="4">
        <v>0.098795857163795</v>
      </c>
      <c r="AC25" s="4">
        <v>0.419159306156496</v>
      </c>
      <c r="AD25" s="4">
        <v>0.541646032664129</v>
      </c>
      <c r="AE25" s="4">
        <v>0.425782542389327</v>
      </c>
      <c r="AF25" s="4">
        <v>0.357416930792714</v>
      </c>
      <c r="AG25" s="4">
        <v>0.511262513838608</v>
      </c>
      <c r="AH25" s="4">
        <v>0.350663579464994</v>
      </c>
      <c r="AI25" s="4">
        <v>0.425962024251799</v>
      </c>
      <c r="AJ25" s="4">
        <v>0.172898350430169</v>
      </c>
      <c r="AK25" s="4">
        <v>0.316768917381213</v>
      </c>
      <c r="AL25" s="4">
        <v>0.350750767916353</v>
      </c>
      <c r="AM25" s="4">
        <v>0.408091203401877</v>
      </c>
      <c r="AN25" s="4">
        <v>0.147559133235956</v>
      </c>
      <c r="AO25" s="4">
        <v>0.321080134282832</v>
      </c>
      <c r="AP25" s="4">
        <v>0.327721082543539</v>
      </c>
      <c r="AQ25" s="4">
        <v>0.285712297292519</v>
      </c>
      <c r="AR25" s="4">
        <v>0.418549860128746</v>
      </c>
      <c r="AS25" s="4">
        <v>0.304859249504993</v>
      </c>
      <c r="AT25" s="4">
        <v>0.407829353197442</v>
      </c>
      <c r="AU25" s="4">
        <v>0.347081077870896</v>
      </c>
      <c r="AV25" s="4">
        <v>0.406988719601699</v>
      </c>
      <c r="AW25" s="4">
        <v>0.426639506808665</v>
      </c>
      <c r="AX25" s="4">
        <v>0.380360256098993</v>
      </c>
      <c r="AY25" s="4">
        <v>0.471749395603189</v>
      </c>
      <c r="AZ25" s="4">
        <v>0.391469178141213</v>
      </c>
      <c r="BA25" s="4">
        <v>0.500886696296361</v>
      </c>
      <c r="BB25" s="4">
        <v>0.362760633117849</v>
      </c>
      <c r="BC25" s="4">
        <v>0.37138855611922</v>
      </c>
      <c r="BD25" s="4">
        <v>0.360008668510773</v>
      </c>
      <c r="BE25" s="4">
        <v>0.194968326442441</v>
      </c>
      <c r="BF25" s="4">
        <v>0.411848501990144</v>
      </c>
      <c r="BG25" s="4">
        <v>0.51868383862453</v>
      </c>
      <c r="BH25" s="4">
        <v>0.422204687837154</v>
      </c>
      <c r="BI25" s="4">
        <v>0.348208752453113</v>
      </c>
      <c r="BJ25" s="4">
        <v>0.245968422992287</v>
      </c>
      <c r="BK25" s="4">
        <v>0.393565501260669</v>
      </c>
      <c r="BL25" s="4">
        <v>0.324251792669697</v>
      </c>
      <c r="BM25" s="4">
        <v>0.312168975729085</v>
      </c>
      <c r="BN25" s="4">
        <v>0.203500272091493</v>
      </c>
      <c r="BO25" s="4">
        <v>0.403321041974126</v>
      </c>
      <c r="BP25" s="4">
        <v>0.41309333033377</v>
      </c>
      <c r="BQ25" s="4">
        <v>0.324464412388253</v>
      </c>
      <c r="BR25" s="4">
        <v>0.377406901504182</v>
      </c>
      <c r="BS25" s="4">
        <v>0.289890659933067</v>
      </c>
      <c r="BT25" s="4">
        <v>0.250272485252567</v>
      </c>
      <c r="BU25" s="4">
        <v>0.425598312745062</v>
      </c>
      <c r="BV25" s="4">
        <v>0.176088506019153</v>
      </c>
      <c r="BW25" s="4">
        <v>0.195243386897546</v>
      </c>
      <c r="BX25" s="4">
        <v>0.373804804415575</v>
      </c>
      <c r="BY25" s="4">
        <v>0.0898297729481048</v>
      </c>
      <c r="BZ25" s="4">
        <v>0.21319839953125</v>
      </c>
      <c r="CA25" s="4">
        <v>0.294172010400484</v>
      </c>
      <c r="CB25" s="4">
        <v>0.373871308241281</v>
      </c>
      <c r="CC25" s="4">
        <v>0.463837732578064</v>
      </c>
      <c r="CD25" s="4">
        <v>0.287271303161662</v>
      </c>
      <c r="CE25" s="4">
        <v>0.331804736367183</v>
      </c>
      <c r="CF25" s="4">
        <v>0.422606546194685</v>
      </c>
      <c r="CG25" s="4">
        <v>0.395623136581353</v>
      </c>
      <c r="CH25" s="4">
        <v>0.39452396704307</v>
      </c>
      <c r="CI25" s="4">
        <v>0.610076294538184</v>
      </c>
      <c r="CJ25" s="4">
        <v>0.423999002032185</v>
      </c>
      <c r="CK25" s="4">
        <v>0.302463645103139</v>
      </c>
      <c r="CL25" s="4">
        <v>0.337546215564918</v>
      </c>
      <c r="CM25" s="4">
        <v>-0.0794797671802785</v>
      </c>
      <c r="CN25" s="4">
        <v>0.30360087939356</v>
      </c>
      <c r="CO25" s="4">
        <v>0.301852603559696</v>
      </c>
      <c r="CP25" s="4">
        <v>0.1781782047776</v>
      </c>
      <c r="CQ25" s="4">
        <v>0.271570844702296</v>
      </c>
      <c r="CR25" s="4">
        <v>0.266889833656885</v>
      </c>
      <c r="CS25" s="4">
        <v>0.174141239729017</v>
      </c>
      <c r="CT25" s="4">
        <v>0.23108242333491</v>
      </c>
      <c r="CU25" s="4">
        <v>0.321814181992163</v>
      </c>
      <c r="CV25" s="4">
        <v>0.301655165086381</v>
      </c>
      <c r="CW25" s="4">
        <v>0.305286114596378</v>
      </c>
      <c r="CX25" s="4">
        <v>0.392111144155218</v>
      </c>
      <c r="CY25" s="4">
        <v>0.260891217344373</v>
      </c>
      <c r="CZ25" s="4">
        <v>0.505990170504531</v>
      </c>
      <c r="DA25" s="4">
        <v>0.250904365874024</v>
      </c>
      <c r="DB25" s="4">
        <v>0.0863576350092468</v>
      </c>
      <c r="DC25" s="4">
        <v>0.0866253998639871</v>
      </c>
      <c r="DD25" s="4">
        <v>-0.104446736317923</v>
      </c>
      <c r="DE25" s="4">
        <v>0.450045600088903</v>
      </c>
      <c r="DF25" s="4">
        <v>0.26841053967272</v>
      </c>
      <c r="DG25" s="4">
        <v>0.386337789059202</v>
      </c>
      <c r="DH25" s="4">
        <v>0.298455375238901</v>
      </c>
      <c r="DI25" s="4">
        <v>0.395747862385889</v>
      </c>
      <c r="DJ25" s="4">
        <v>0.359822666868254</v>
      </c>
      <c r="DK25" s="4">
        <v>0.246846647857198</v>
      </c>
      <c r="DL25" s="4">
        <v>0.246753811533324</v>
      </c>
      <c r="DM25" s="4">
        <v>0.305830718844408</v>
      </c>
      <c r="DN25" s="4">
        <v>0.335316213154781</v>
      </c>
      <c r="DO25" s="4">
        <v>0.180369897008182</v>
      </c>
      <c r="DP25" s="4">
        <v>0.332975716466547</v>
      </c>
      <c r="DQ25" s="4">
        <v>0.336578121251845</v>
      </c>
      <c r="DR25" s="4">
        <v>0.370034867170197</v>
      </c>
      <c r="DS25" s="4">
        <v>0.401886135280288</v>
      </c>
      <c r="DT25" s="4">
        <v>0.319955944447243</v>
      </c>
      <c r="DU25" s="4">
        <v>0.284608390047167</v>
      </c>
      <c r="DV25" s="4">
        <v>0.313229745379385</v>
      </c>
      <c r="DW25" s="4">
        <v>0.359180454563449</v>
      </c>
      <c r="DX25" s="4">
        <v>0.518127862066203</v>
      </c>
      <c r="DY25" s="4">
        <v>0.321752743179546</v>
      </c>
    </row>
    <row r="26" ht="14" spans="1:129">
      <c r="A26" s="31" t="s">
        <v>24</v>
      </c>
      <c r="B26" s="4" t="str">
        <v/>
      </c>
      <c r="C26" s="4" t="str">
        <v/>
      </c>
      <c r="D26" s="4" t="str">
        <v/>
      </c>
      <c r="E26" s="4" t="str">
        <v/>
      </c>
      <c r="F26" s="4" t="str">
        <v/>
      </c>
      <c r="G26" s="4" t="str">
        <v/>
      </c>
      <c r="H26" s="4" t="str">
        <v/>
      </c>
      <c r="I26" s="4" t="str">
        <v/>
      </c>
      <c r="J26" s="4" t="str">
        <v/>
      </c>
      <c r="K26" s="4" t="str">
        <v/>
      </c>
      <c r="L26" s="4" t="str">
        <v/>
      </c>
      <c r="M26" s="4" t="str">
        <v/>
      </c>
      <c r="N26" s="4" t="str">
        <v/>
      </c>
      <c r="O26" s="4" t="str">
        <v/>
      </c>
      <c r="P26" s="4" t="str">
        <v/>
      </c>
      <c r="Q26" s="4" t="str">
        <v/>
      </c>
      <c r="R26" s="4" t="str">
        <v/>
      </c>
      <c r="S26" s="4" t="str">
        <v/>
      </c>
      <c r="T26" s="4" t="str">
        <v/>
      </c>
      <c r="U26" s="4" t="str">
        <v/>
      </c>
      <c r="V26" s="4" t="str">
        <v/>
      </c>
      <c r="W26" s="4" t="str">
        <v/>
      </c>
      <c r="X26" s="4">
        <v>1</v>
      </c>
      <c r="Y26" s="4">
        <v>0.327884984182285</v>
      </c>
      <c r="Z26" s="4">
        <v>0.364007260682961</v>
      </c>
      <c r="AA26" s="4">
        <v>0.552140195527137</v>
      </c>
      <c r="AB26" s="4">
        <v>0.230069823369591</v>
      </c>
      <c r="AC26" s="4">
        <v>0.274121412022793</v>
      </c>
      <c r="AD26" s="4">
        <v>0.395509236126833</v>
      </c>
      <c r="AE26" s="4">
        <v>0.445214240034609</v>
      </c>
      <c r="AF26" s="4">
        <v>0.237293204407547</v>
      </c>
      <c r="AG26" s="4">
        <v>0.420845943724092</v>
      </c>
      <c r="AH26" s="4">
        <v>0.21003327611645</v>
      </c>
      <c r="AI26" s="4">
        <v>0.435997832352839</v>
      </c>
      <c r="AJ26" s="4">
        <v>0.161114891022336</v>
      </c>
      <c r="AK26" s="4">
        <v>-0.0174637973840578</v>
      </c>
      <c r="AL26" s="4">
        <v>0.163842465551723</v>
      </c>
      <c r="AM26" s="4">
        <v>0.433495714113871</v>
      </c>
      <c r="AN26" s="4">
        <v>0.0457522937837501</v>
      </c>
      <c r="AO26" s="4">
        <v>0.276360706013614</v>
      </c>
      <c r="AP26" s="4">
        <v>0.289172817758725</v>
      </c>
      <c r="AQ26" s="4">
        <v>0.386362473473328</v>
      </c>
      <c r="AR26" s="4">
        <v>0.235723524155617</v>
      </c>
      <c r="AS26" s="4">
        <v>0.281346331705174</v>
      </c>
      <c r="AT26" s="4">
        <v>0.238947639018317</v>
      </c>
      <c r="AU26" s="4">
        <v>0.316576236350321</v>
      </c>
      <c r="AV26" s="4">
        <v>0.238079448778576</v>
      </c>
      <c r="AW26" s="4">
        <v>0.297166549455924</v>
      </c>
      <c r="AX26" s="4">
        <v>0.267022271050599</v>
      </c>
      <c r="AY26" s="4">
        <v>0.375841042847835</v>
      </c>
      <c r="AZ26" s="4">
        <v>0.331124888849522</v>
      </c>
      <c r="BA26" s="4">
        <v>0.305598530050979</v>
      </c>
      <c r="BB26" s="4">
        <v>0.423925144592898</v>
      </c>
      <c r="BC26" s="4">
        <v>0.356649510144654</v>
      </c>
      <c r="BD26" s="4">
        <v>0.45456864166902</v>
      </c>
      <c r="BE26" s="4">
        <v>0.0595941244533185</v>
      </c>
      <c r="BF26" s="4">
        <v>0.310560578904301</v>
      </c>
      <c r="BG26" s="4">
        <v>0.351944478304623</v>
      </c>
      <c r="BH26" s="4">
        <v>0.270878897973433</v>
      </c>
      <c r="BI26" s="4">
        <v>0.270785920031959</v>
      </c>
      <c r="BJ26" s="4">
        <v>0.180331744098793</v>
      </c>
      <c r="BK26" s="4">
        <v>0.500943304071847</v>
      </c>
      <c r="BL26" s="4">
        <v>0.522824155261348</v>
      </c>
      <c r="BM26" s="4">
        <v>0.433158230067035</v>
      </c>
      <c r="BN26" s="4">
        <v>0.366591511171556</v>
      </c>
      <c r="BO26" s="4">
        <v>0.484182028178203</v>
      </c>
      <c r="BP26" s="4">
        <v>0.341459059805213</v>
      </c>
      <c r="BQ26" s="4">
        <v>0.422784334934217</v>
      </c>
      <c r="BR26" s="4">
        <v>0.246556373764925</v>
      </c>
      <c r="BS26" s="4">
        <v>0.399553460502108</v>
      </c>
      <c r="BT26" s="4">
        <v>0.328923671579026</v>
      </c>
      <c r="BU26" s="4">
        <v>0.617060369279737</v>
      </c>
      <c r="BV26" s="4">
        <v>0.305044428537502</v>
      </c>
      <c r="BW26" s="4">
        <v>0.325855077404085</v>
      </c>
      <c r="BX26" s="4">
        <v>0.277693753679139</v>
      </c>
      <c r="BY26" s="4">
        <v>0.506755726719273</v>
      </c>
      <c r="BZ26" s="4">
        <v>0.357866995645508</v>
      </c>
      <c r="CA26" s="4">
        <v>0.53474604516335</v>
      </c>
      <c r="CB26" s="4">
        <v>0.53212971765096</v>
      </c>
      <c r="CC26" s="4">
        <v>0.328425515841629</v>
      </c>
      <c r="CD26" s="4">
        <v>0.324347292566136</v>
      </c>
      <c r="CE26" s="4">
        <v>0.325684908210325</v>
      </c>
      <c r="CF26" s="4">
        <v>0.385709852102458</v>
      </c>
      <c r="CG26" s="4">
        <v>0.669412511907691</v>
      </c>
      <c r="CH26" s="4">
        <v>0.548804149507927</v>
      </c>
      <c r="CI26" s="4">
        <v>0.534811583561723</v>
      </c>
      <c r="CJ26" s="4">
        <v>0.339875779563217</v>
      </c>
      <c r="CK26" s="4">
        <v>0.0847427715315035</v>
      </c>
      <c r="CL26" s="4">
        <v>0.462485951849416</v>
      </c>
      <c r="CM26" s="4">
        <v>0.116573984257581</v>
      </c>
      <c r="CN26" s="4">
        <v>0.315063365187467</v>
      </c>
      <c r="CO26" s="4">
        <v>0.435621785848836</v>
      </c>
      <c r="CP26" s="4">
        <v>0.363425516425838</v>
      </c>
      <c r="CQ26" s="4">
        <v>0.137159679407384</v>
      </c>
      <c r="CR26" s="4">
        <v>0.314126801733603</v>
      </c>
      <c r="CS26" s="4">
        <v>0.0624421065831912</v>
      </c>
      <c r="CT26" s="4">
        <v>0.437064529226153</v>
      </c>
      <c r="CU26" s="4">
        <v>0.190038123928168</v>
      </c>
      <c r="CV26" s="4">
        <v>0.304712257525896</v>
      </c>
      <c r="CW26" s="4">
        <v>0.377013147257949</v>
      </c>
      <c r="CX26" s="4">
        <v>0.125001577534359</v>
      </c>
      <c r="CY26" s="4">
        <v>0.241917063884685</v>
      </c>
      <c r="CZ26" s="4">
        <v>0.245446851709211</v>
      </c>
      <c r="DA26" s="4">
        <v>0.130040987206668</v>
      </c>
      <c r="DB26" s="4">
        <v>0.09311711988395</v>
      </c>
      <c r="DC26" s="4">
        <v>0.0230769014950417</v>
      </c>
      <c r="DD26" s="4">
        <v>0.218263611685203</v>
      </c>
      <c r="DE26" s="4">
        <v>0.269624188888281</v>
      </c>
      <c r="DF26" s="4">
        <v>0.0523416705197977</v>
      </c>
      <c r="DG26" s="4">
        <v>0.241708211617638</v>
      </c>
      <c r="DH26" s="4">
        <v>0.369521702285211</v>
      </c>
      <c r="DI26" s="4">
        <v>0.255923871409918</v>
      </c>
      <c r="DJ26" s="4">
        <v>0.262699620499676</v>
      </c>
      <c r="DK26" s="4">
        <v>0.164194369921439</v>
      </c>
      <c r="DL26" s="4">
        <v>0.295291871849757</v>
      </c>
      <c r="DM26" s="4">
        <v>0.278891006240423</v>
      </c>
      <c r="DN26" s="4">
        <v>0.378067018036254</v>
      </c>
      <c r="DO26" s="4">
        <v>0.205283480924816</v>
      </c>
      <c r="DP26" s="4">
        <v>0.270635076041587</v>
      </c>
      <c r="DQ26" s="4">
        <v>0.342655323614624</v>
      </c>
      <c r="DR26" s="4">
        <v>0.319317169150592</v>
      </c>
      <c r="DS26" s="4">
        <v>0.208045209428947</v>
      </c>
      <c r="DT26" s="4">
        <v>0.34240325770861</v>
      </c>
      <c r="DU26" s="4">
        <v>0.315993347209095</v>
      </c>
      <c r="DV26" s="4">
        <v>0.404131519279732</v>
      </c>
      <c r="DW26" s="4">
        <v>0.250607565502089</v>
      </c>
      <c r="DX26" s="4">
        <v>0.241163043449391</v>
      </c>
      <c r="DY26" s="4">
        <v>0.319205558536858</v>
      </c>
    </row>
    <row r="27" ht="14" spans="1:129">
      <c r="A27" s="31" t="s">
        <v>25</v>
      </c>
      <c r="B27" s="4" t="str">
        <v/>
      </c>
      <c r="C27" s="4" t="str">
        <v/>
      </c>
      <c r="D27" s="4" t="str">
        <v/>
      </c>
      <c r="E27" s="4" t="str">
        <v/>
      </c>
      <c r="F27" s="4" t="str">
        <v/>
      </c>
      <c r="G27" s="4" t="str">
        <v/>
      </c>
      <c r="H27" s="4" t="str">
        <v/>
      </c>
      <c r="I27" s="4" t="str">
        <v/>
      </c>
      <c r="J27" s="4" t="str">
        <v/>
      </c>
      <c r="K27" s="4" t="str">
        <v/>
      </c>
      <c r="L27" s="4" t="str">
        <v/>
      </c>
      <c r="M27" s="4" t="str">
        <v/>
      </c>
      <c r="N27" s="4" t="str">
        <v/>
      </c>
      <c r="O27" s="4" t="str">
        <v/>
      </c>
      <c r="P27" s="4" t="str">
        <v/>
      </c>
      <c r="Q27" s="4" t="str">
        <v/>
      </c>
      <c r="R27" s="4" t="str">
        <v/>
      </c>
      <c r="S27" s="4" t="str">
        <v/>
      </c>
      <c r="T27" s="4" t="str">
        <v/>
      </c>
      <c r="U27" s="4" t="str">
        <v/>
      </c>
      <c r="V27" s="4" t="str">
        <v/>
      </c>
      <c r="W27" s="4" t="str">
        <v/>
      </c>
      <c r="X27" s="4" t="str">
        <v/>
      </c>
      <c r="Y27" s="4">
        <v>1</v>
      </c>
      <c r="Z27" s="4">
        <v>0.425048976324278</v>
      </c>
      <c r="AA27" s="4">
        <v>0.395777112063585</v>
      </c>
      <c r="AB27" s="4">
        <v>0.125941886161418</v>
      </c>
      <c r="AC27" s="4">
        <v>0.380527360077202</v>
      </c>
      <c r="AD27" s="4">
        <v>0.480644555423429</v>
      </c>
      <c r="AE27" s="4">
        <v>0.407014785175447</v>
      </c>
      <c r="AF27" s="4">
        <v>0.394871508156234</v>
      </c>
      <c r="AG27" s="4">
        <v>0.499607506226465</v>
      </c>
      <c r="AH27" s="4">
        <v>0.447253636343162</v>
      </c>
      <c r="AI27" s="4">
        <v>0.430331209048416</v>
      </c>
      <c r="AJ27" s="4">
        <v>0.34034685748694</v>
      </c>
      <c r="AK27" s="4">
        <v>0.371635455913289</v>
      </c>
      <c r="AL27" s="4">
        <v>0.42657069165472</v>
      </c>
      <c r="AM27" s="4">
        <v>0.410164592487943</v>
      </c>
      <c r="AN27" s="4">
        <v>0.425974846620391</v>
      </c>
      <c r="AO27" s="4">
        <v>0.531834439428507</v>
      </c>
      <c r="AP27" s="4">
        <v>0.562562705172023</v>
      </c>
      <c r="AQ27" s="4">
        <v>0.354020396860739</v>
      </c>
      <c r="AR27" s="4">
        <v>0.327582248489618</v>
      </c>
      <c r="AS27" s="4">
        <v>0.460709830424864</v>
      </c>
      <c r="AT27" s="4">
        <v>0.563474881897649</v>
      </c>
      <c r="AU27" s="4">
        <v>0.514304791974149</v>
      </c>
      <c r="AV27" s="4">
        <v>0.531422191946795</v>
      </c>
      <c r="AW27" s="4">
        <v>0.394791728847924</v>
      </c>
      <c r="AX27" s="4">
        <v>0.373364501455408</v>
      </c>
      <c r="AY27" s="4">
        <v>0.456076934541029</v>
      </c>
      <c r="AZ27" s="4">
        <v>0.344077882455308</v>
      </c>
      <c r="BA27" s="4">
        <v>0.342683593378808</v>
      </c>
      <c r="BB27" s="4">
        <v>0.414577499113298</v>
      </c>
      <c r="BC27" s="4">
        <v>0.454927911966243</v>
      </c>
      <c r="BD27" s="4">
        <v>0.502800449270035</v>
      </c>
      <c r="BE27" s="4">
        <v>0.288597240081955</v>
      </c>
      <c r="BF27" s="4">
        <v>0.58323976307151</v>
      </c>
      <c r="BG27" s="4">
        <v>0.468488676897829</v>
      </c>
      <c r="BH27" s="4">
        <v>0.363905814012243</v>
      </c>
      <c r="BI27" s="4">
        <v>0.23423737126593</v>
      </c>
      <c r="BJ27" s="4">
        <v>0.359135289734739</v>
      </c>
      <c r="BK27" s="4">
        <v>0.306120853142457</v>
      </c>
      <c r="BL27" s="4">
        <v>0.377654185096137</v>
      </c>
      <c r="BM27" s="4">
        <v>0.319015168133022</v>
      </c>
      <c r="BN27" s="4">
        <v>0.523468577254335</v>
      </c>
      <c r="BO27" s="4">
        <v>0.431876324251321</v>
      </c>
      <c r="BP27" s="4">
        <v>0.513254804845912</v>
      </c>
      <c r="BQ27" s="4">
        <v>0.196705565720849</v>
      </c>
      <c r="BR27" s="4">
        <v>0.25737197613919</v>
      </c>
      <c r="BS27" s="4">
        <v>0.483761725520926</v>
      </c>
      <c r="BT27" s="4">
        <v>0.346425580316182</v>
      </c>
      <c r="BU27" s="4">
        <v>0.414568735946135</v>
      </c>
      <c r="BV27" s="4">
        <v>0.103377585386748</v>
      </c>
      <c r="BW27" s="4">
        <v>0.287331255784603</v>
      </c>
      <c r="BX27" s="4">
        <v>0.172536202877044</v>
      </c>
      <c r="BY27" s="4">
        <v>0.241060880863033</v>
      </c>
      <c r="BZ27" s="4">
        <v>0.360145308167474</v>
      </c>
      <c r="CA27" s="4">
        <v>0.425326270948821</v>
      </c>
      <c r="CB27" s="4">
        <v>0.434290862595695</v>
      </c>
      <c r="CC27" s="4">
        <v>0.389577666390801</v>
      </c>
      <c r="CD27" s="4">
        <v>0.29176074763863</v>
      </c>
      <c r="CE27" s="4">
        <v>0.357981848874684</v>
      </c>
      <c r="CF27" s="4">
        <v>0.564515102498675</v>
      </c>
      <c r="CG27" s="4">
        <v>0.354062626096837</v>
      </c>
      <c r="CH27" s="4">
        <v>0.489487158334235</v>
      </c>
      <c r="CI27" s="4">
        <v>0.625608172432886</v>
      </c>
      <c r="CJ27" s="4">
        <v>0.541140938851851</v>
      </c>
      <c r="CK27" s="4">
        <v>0.492078763792053</v>
      </c>
      <c r="CL27" s="4">
        <v>0.352443719744301</v>
      </c>
      <c r="CM27" s="4">
        <v>0.184333598751832</v>
      </c>
      <c r="CN27" s="4">
        <v>0.609210562616743</v>
      </c>
      <c r="CO27" s="4">
        <v>0.161280868706436</v>
      </c>
      <c r="CP27" s="4">
        <v>0.261030160805256</v>
      </c>
      <c r="CQ27" s="4">
        <v>0.249812058439291</v>
      </c>
      <c r="CR27" s="4">
        <v>0.386933878192804</v>
      </c>
      <c r="CS27" s="4">
        <v>0.358251461745665</v>
      </c>
      <c r="CT27" s="4">
        <v>0.354786197829233</v>
      </c>
      <c r="CU27" s="4">
        <v>0.248182920305322</v>
      </c>
      <c r="CV27" s="4">
        <v>0.382089473552983</v>
      </c>
      <c r="CW27" s="4">
        <v>0.439810003405229</v>
      </c>
      <c r="CX27" s="4">
        <v>0.179924830990481</v>
      </c>
      <c r="CY27" s="4">
        <v>0.253056294765131</v>
      </c>
      <c r="CZ27" s="4">
        <v>0.194785258706578</v>
      </c>
      <c r="DA27" s="4">
        <v>0.311071293969838</v>
      </c>
      <c r="DB27" s="4">
        <v>0.448760419352079</v>
      </c>
      <c r="DC27" s="4">
        <v>0.282797965090655</v>
      </c>
      <c r="DD27" s="4">
        <v>-0.00499973839710298</v>
      </c>
      <c r="DE27" s="4">
        <v>0.453357518138892</v>
      </c>
      <c r="DF27" s="4">
        <v>0.370168440830578</v>
      </c>
      <c r="DG27" s="4">
        <v>0.267195182327608</v>
      </c>
      <c r="DH27" s="4">
        <v>0.568537462084491</v>
      </c>
      <c r="DI27" s="4">
        <v>0.414513410817907</v>
      </c>
      <c r="DJ27" s="4">
        <v>0.398457123746848</v>
      </c>
      <c r="DK27" s="4">
        <v>0.367300953368107</v>
      </c>
      <c r="DL27" s="4">
        <v>0.464574296983494</v>
      </c>
      <c r="DM27" s="4">
        <v>0.456523673283284</v>
      </c>
      <c r="DN27" s="4">
        <v>0.410367352034557</v>
      </c>
      <c r="DO27" s="4">
        <v>0.350636440246463</v>
      </c>
      <c r="DP27" s="4">
        <v>0.441750747276299</v>
      </c>
      <c r="DQ27" s="4">
        <v>0.359343598026778</v>
      </c>
      <c r="DR27" s="4">
        <v>0.505335776100101</v>
      </c>
      <c r="DS27" s="4">
        <v>0.297353263909271</v>
      </c>
      <c r="DT27" s="4">
        <v>0.456553019258612</v>
      </c>
      <c r="DU27" s="4">
        <v>0.518465297910141</v>
      </c>
      <c r="DV27" s="4">
        <v>0.368635253235835</v>
      </c>
      <c r="DW27" s="4">
        <v>0.296356643297255</v>
      </c>
      <c r="DX27" s="4">
        <v>0.281179118121043</v>
      </c>
      <c r="DY27" s="4">
        <v>0.529512889928716</v>
      </c>
    </row>
    <row r="28" ht="14" spans="1:129">
      <c r="A28" s="31" t="s">
        <v>26</v>
      </c>
      <c r="B28" s="4" t="str">
        <v/>
      </c>
      <c r="C28" s="4" t="str">
        <v/>
      </c>
      <c r="D28" s="4" t="str">
        <v/>
      </c>
      <c r="E28" s="4" t="str">
        <v/>
      </c>
      <c r="F28" s="4" t="str">
        <v/>
      </c>
      <c r="G28" s="4" t="str">
        <v/>
      </c>
      <c r="H28" s="4" t="str">
        <v/>
      </c>
      <c r="I28" s="4" t="str">
        <v/>
      </c>
      <c r="J28" s="4" t="str">
        <v/>
      </c>
      <c r="K28" s="4" t="str">
        <v/>
      </c>
      <c r="L28" s="4" t="str">
        <v/>
      </c>
      <c r="M28" s="4" t="str">
        <v/>
      </c>
      <c r="N28" s="4" t="str">
        <v/>
      </c>
      <c r="O28" s="4" t="str">
        <v/>
      </c>
      <c r="P28" s="4" t="str">
        <v/>
      </c>
      <c r="Q28" s="4" t="str">
        <v/>
      </c>
      <c r="R28" s="4" t="str">
        <v/>
      </c>
      <c r="S28" s="4" t="str">
        <v/>
      </c>
      <c r="T28" s="4" t="str">
        <v/>
      </c>
      <c r="U28" s="4" t="str">
        <v/>
      </c>
      <c r="V28" s="4" t="str">
        <v/>
      </c>
      <c r="W28" s="4" t="str">
        <v/>
      </c>
      <c r="X28" s="4" t="str">
        <v/>
      </c>
      <c r="Y28" s="4" t="str">
        <v/>
      </c>
      <c r="Z28" s="4">
        <v>1</v>
      </c>
      <c r="AA28" s="4">
        <v>0.591934688394458</v>
      </c>
      <c r="AB28" s="4">
        <v>0.268024802311605</v>
      </c>
      <c r="AC28" s="4">
        <v>0.568322339851405</v>
      </c>
      <c r="AD28" s="4">
        <v>0.412141233934183</v>
      </c>
      <c r="AE28" s="4">
        <v>0.295403129780439</v>
      </c>
      <c r="AF28" s="4">
        <v>0.350515897091457</v>
      </c>
      <c r="AG28" s="4">
        <v>0.451172654963404</v>
      </c>
      <c r="AH28" s="4">
        <v>0.243284857439376</v>
      </c>
      <c r="AI28" s="4">
        <v>0.471482043113785</v>
      </c>
      <c r="AJ28" s="4">
        <v>0.213462508780579</v>
      </c>
      <c r="AK28" s="4">
        <v>0.343384759077306</v>
      </c>
      <c r="AL28" s="4">
        <v>0.352932962357835</v>
      </c>
      <c r="AM28" s="4">
        <v>0.141567824694336</v>
      </c>
      <c r="AN28" s="4">
        <v>0.00294816765468335</v>
      </c>
      <c r="AO28" s="4">
        <v>0.243773607570422</v>
      </c>
      <c r="AP28" s="4">
        <v>0.218758054329976</v>
      </c>
      <c r="AQ28" s="4">
        <v>0.207647442573645</v>
      </c>
      <c r="AR28" s="4">
        <v>0.486137356514641</v>
      </c>
      <c r="AS28" s="4">
        <v>0.209451253158648</v>
      </c>
      <c r="AT28" s="4">
        <v>0.207565358093059</v>
      </c>
      <c r="AU28" s="4">
        <v>0.21995533704557</v>
      </c>
      <c r="AV28" s="4">
        <v>0.18654599583682</v>
      </c>
      <c r="AW28" s="4">
        <v>0.26193113951776</v>
      </c>
      <c r="AX28" s="4">
        <v>0.258010187713387</v>
      </c>
      <c r="AY28" s="4">
        <v>0.253486098523018</v>
      </c>
      <c r="AZ28" s="4">
        <v>0.206841859747952</v>
      </c>
      <c r="BA28" s="4">
        <v>0.335756072411647</v>
      </c>
      <c r="BB28" s="4">
        <v>0.349252979945946</v>
      </c>
      <c r="BC28" s="4">
        <v>0.381688992401011</v>
      </c>
      <c r="BD28" s="4">
        <v>0.412794044264485</v>
      </c>
      <c r="BE28" s="4">
        <v>0.177984599886182</v>
      </c>
      <c r="BF28" s="4">
        <v>0.494127989507086</v>
      </c>
      <c r="BG28" s="4">
        <v>0.610789301106356</v>
      </c>
      <c r="BH28" s="4">
        <v>0.227356675804229</v>
      </c>
      <c r="BI28" s="4">
        <v>0.136628632025921</v>
      </c>
      <c r="BJ28" s="4">
        <v>0.150026113199296</v>
      </c>
      <c r="BK28" s="4">
        <v>0.327394920850572</v>
      </c>
      <c r="BL28" s="4">
        <v>0.18207903436868</v>
      </c>
      <c r="BM28" s="4">
        <v>0.238578556800233</v>
      </c>
      <c r="BN28" s="4">
        <v>0.294723347603787</v>
      </c>
      <c r="BO28" s="4">
        <v>0.447381926969019</v>
      </c>
      <c r="BP28" s="4">
        <v>0.421483094909089</v>
      </c>
      <c r="BQ28" s="4">
        <v>0.186043271147794</v>
      </c>
      <c r="BR28" s="4">
        <v>0.263232376045322</v>
      </c>
      <c r="BS28" s="4">
        <v>0.191613982198258</v>
      </c>
      <c r="BT28" s="4">
        <v>0.132757027698444</v>
      </c>
      <c r="BU28" s="4">
        <v>0.408612518774592</v>
      </c>
      <c r="BV28" s="4">
        <v>0.207724924812579</v>
      </c>
      <c r="BW28" s="4">
        <v>0.141689214050592</v>
      </c>
      <c r="BX28" s="4">
        <v>0.22175767297629</v>
      </c>
      <c r="BY28" s="4">
        <v>0.250765095032264</v>
      </c>
      <c r="BZ28" s="4">
        <v>0.264334095566848</v>
      </c>
      <c r="CA28" s="4">
        <v>0.32856047660269</v>
      </c>
      <c r="CB28" s="4">
        <v>0.432175282512644</v>
      </c>
      <c r="CC28" s="4">
        <v>0.250278896991171</v>
      </c>
      <c r="CD28" s="4">
        <v>0.390890066782473</v>
      </c>
      <c r="CE28" s="4">
        <v>0.480705894806957</v>
      </c>
      <c r="CF28" s="4">
        <v>0.410112049610253</v>
      </c>
      <c r="CG28" s="4">
        <v>0.212621851789321</v>
      </c>
      <c r="CH28" s="4">
        <v>0.477584011205315</v>
      </c>
      <c r="CI28" s="4">
        <v>0.532259661201204</v>
      </c>
      <c r="CJ28" s="4">
        <v>0.336484680861247</v>
      </c>
      <c r="CK28" s="4">
        <v>0.340426640052997</v>
      </c>
      <c r="CL28" s="4">
        <v>0.175574984279028</v>
      </c>
      <c r="CM28" s="4">
        <v>0.221173243723604</v>
      </c>
      <c r="CN28" s="4">
        <v>0.331302025979317</v>
      </c>
      <c r="CO28" s="4">
        <v>0.229145368647987</v>
      </c>
      <c r="CP28" s="4">
        <v>0.325254082622182</v>
      </c>
      <c r="CQ28" s="4">
        <v>0.288365975484513</v>
      </c>
      <c r="CR28" s="4">
        <v>0.32473764907616</v>
      </c>
      <c r="CS28" s="4">
        <v>0.348896318386093</v>
      </c>
      <c r="CT28" s="4">
        <v>0.148429425630952</v>
      </c>
      <c r="CU28" s="4">
        <v>0.268428450567828</v>
      </c>
      <c r="CV28" s="4">
        <v>0.376549419709208</v>
      </c>
      <c r="CW28" s="4">
        <v>0.187117807871247</v>
      </c>
      <c r="CX28" s="4">
        <v>0.0984779297565411</v>
      </c>
      <c r="CY28" s="4">
        <v>0.292369451065356</v>
      </c>
      <c r="CZ28" s="4">
        <v>0.293289738237803</v>
      </c>
      <c r="DA28" s="4">
        <v>0.219165040742567</v>
      </c>
      <c r="DB28" s="4">
        <v>0.0725048714902278</v>
      </c>
      <c r="DC28" s="4">
        <v>0.217229245563883</v>
      </c>
      <c r="DD28" s="4">
        <v>-0.106393191213408</v>
      </c>
      <c r="DE28" s="4">
        <v>0.284358946361179</v>
      </c>
      <c r="DF28" s="4">
        <v>0.298746664572106</v>
      </c>
      <c r="DG28" s="4">
        <v>0.310844942826262</v>
      </c>
      <c r="DH28" s="4">
        <v>0.297445776435349</v>
      </c>
      <c r="DI28" s="4">
        <v>0.341233671790465</v>
      </c>
      <c r="DJ28" s="4">
        <v>0.294163807734471</v>
      </c>
      <c r="DK28" s="4">
        <v>0.179288273164505</v>
      </c>
      <c r="DL28" s="4">
        <v>0.263938697815855</v>
      </c>
      <c r="DM28" s="4">
        <v>0.305345728933786</v>
      </c>
      <c r="DN28" s="4">
        <v>0.308030429050374</v>
      </c>
      <c r="DO28" s="4">
        <v>0.265987207965631</v>
      </c>
      <c r="DP28" s="4">
        <v>0.27929328916205</v>
      </c>
      <c r="DQ28" s="4">
        <v>0.287182004201883</v>
      </c>
      <c r="DR28" s="4">
        <v>0.279822479988963</v>
      </c>
      <c r="DS28" s="4">
        <v>0.234885330914051</v>
      </c>
      <c r="DT28" s="4">
        <v>0.347094823907281</v>
      </c>
      <c r="DU28" s="4">
        <v>0.224451732072839</v>
      </c>
      <c r="DV28" s="4">
        <v>0.298332504805198</v>
      </c>
      <c r="DW28" s="4">
        <v>0.150247496023676</v>
      </c>
      <c r="DX28" s="4">
        <v>0.360440563758494</v>
      </c>
      <c r="DY28" s="4">
        <v>0.213683253474694</v>
      </c>
    </row>
    <row r="29" ht="14" spans="1:129">
      <c r="A29" s="31" t="s">
        <v>27</v>
      </c>
      <c r="B29" s="4" t="str">
        <v/>
      </c>
      <c r="C29" s="4" t="str">
        <v/>
      </c>
      <c r="D29" s="4" t="str">
        <v/>
      </c>
      <c r="E29" s="4" t="str">
        <v/>
      </c>
      <c r="F29" s="4" t="str">
        <v/>
      </c>
      <c r="G29" s="4" t="str">
        <v/>
      </c>
      <c r="H29" s="4" t="str">
        <v/>
      </c>
      <c r="I29" s="4" t="str">
        <v/>
      </c>
      <c r="J29" s="4" t="str">
        <v/>
      </c>
      <c r="K29" s="4" t="str">
        <v/>
      </c>
      <c r="L29" s="4" t="str">
        <v/>
      </c>
      <c r="M29" s="4" t="str">
        <v/>
      </c>
      <c r="N29" s="4" t="str">
        <v/>
      </c>
      <c r="O29" s="4" t="str">
        <v/>
      </c>
      <c r="P29" s="4" t="str">
        <v/>
      </c>
      <c r="Q29" s="4" t="str">
        <v/>
      </c>
      <c r="R29" s="4" t="str">
        <v/>
      </c>
      <c r="S29" s="4" t="str">
        <v/>
      </c>
      <c r="T29" s="4" t="str">
        <v/>
      </c>
      <c r="U29" s="4" t="str">
        <v/>
      </c>
      <c r="V29" s="4" t="str">
        <v/>
      </c>
      <c r="W29" s="4" t="str">
        <v/>
      </c>
      <c r="X29" s="4" t="str">
        <v/>
      </c>
      <c r="Y29" s="4" t="str">
        <v/>
      </c>
      <c r="Z29" s="4" t="str">
        <v/>
      </c>
      <c r="AA29" s="4">
        <v>1</v>
      </c>
      <c r="AB29" s="4">
        <v>0.201460133380574</v>
      </c>
      <c r="AC29" s="4">
        <v>0.509623104315759</v>
      </c>
      <c r="AD29" s="4">
        <v>0.474545374359381</v>
      </c>
      <c r="AE29" s="4">
        <v>0.6230922655275</v>
      </c>
      <c r="AF29" s="4">
        <v>0.579632671603152</v>
      </c>
      <c r="AG29" s="4">
        <v>0.574387133416738</v>
      </c>
      <c r="AH29" s="4">
        <v>0.487496178295725</v>
      </c>
      <c r="AI29" s="4">
        <v>0.479370461716763</v>
      </c>
      <c r="AJ29" s="4">
        <v>0.127886206940453</v>
      </c>
      <c r="AK29" s="4">
        <v>0.159657965810338</v>
      </c>
      <c r="AL29" s="4">
        <v>0.326504460617425</v>
      </c>
      <c r="AM29" s="4">
        <v>0.557681888903897</v>
      </c>
      <c r="AN29" s="4">
        <v>0.0547621556983443</v>
      </c>
      <c r="AO29" s="4">
        <v>0.394255279195469</v>
      </c>
      <c r="AP29" s="4">
        <v>0.280758738766512</v>
      </c>
      <c r="AQ29" s="4">
        <v>0.255208553100711</v>
      </c>
      <c r="AR29" s="4">
        <v>0.481741980596247</v>
      </c>
      <c r="AS29" s="4">
        <v>0.298491404950935</v>
      </c>
      <c r="AT29" s="4">
        <v>0.298067199600236</v>
      </c>
      <c r="AU29" s="4">
        <v>0.204738963185236</v>
      </c>
      <c r="AV29" s="4">
        <v>0.289381396893857</v>
      </c>
      <c r="AW29" s="4">
        <v>0.448994143038081</v>
      </c>
      <c r="AX29" s="4">
        <v>0.400444936085093</v>
      </c>
      <c r="AY29" s="4">
        <v>0.546014115887168</v>
      </c>
      <c r="AZ29" s="4">
        <v>0.451004736973118</v>
      </c>
      <c r="BA29" s="4">
        <v>0.450298276471373</v>
      </c>
      <c r="BB29" s="4">
        <v>0.548179654855535</v>
      </c>
      <c r="BC29" s="4">
        <v>0.511963796364864</v>
      </c>
      <c r="BD29" s="4">
        <v>0.475762653293625</v>
      </c>
      <c r="BE29" s="4">
        <v>0.458957383515049</v>
      </c>
      <c r="BF29" s="4">
        <v>0.467548428354046</v>
      </c>
      <c r="BG29" s="4">
        <v>0.582674395457258</v>
      </c>
      <c r="BH29" s="4">
        <v>0.251764572688205</v>
      </c>
      <c r="BI29" s="4">
        <v>0.216302322339874</v>
      </c>
      <c r="BJ29" s="4">
        <v>0.215136625424485</v>
      </c>
      <c r="BK29" s="4">
        <v>0.282802473238931</v>
      </c>
      <c r="BL29" s="4">
        <v>0.335016127111395</v>
      </c>
      <c r="BM29" s="4">
        <v>0.325235747228017</v>
      </c>
      <c r="BN29" s="4">
        <v>0.48392177238199</v>
      </c>
      <c r="BO29" s="4">
        <v>0.409166947333368</v>
      </c>
      <c r="BP29" s="4">
        <v>0.541317236805126</v>
      </c>
      <c r="BQ29" s="4">
        <v>0.315762652656185</v>
      </c>
      <c r="BR29" s="4">
        <v>0.356157241895111</v>
      </c>
      <c r="BS29" s="4">
        <v>0.458788315443845</v>
      </c>
      <c r="BT29" s="4">
        <v>0.293818516575387</v>
      </c>
      <c r="BU29" s="4">
        <v>0.414279323165874</v>
      </c>
      <c r="BV29" s="4">
        <v>0.435952864203962</v>
      </c>
      <c r="BW29" s="4">
        <v>0.306686667712518</v>
      </c>
      <c r="BX29" s="4">
        <v>0.247292095127345</v>
      </c>
      <c r="BY29" s="4">
        <v>0.401651284105211</v>
      </c>
      <c r="BZ29" s="4">
        <v>0.186481084390357</v>
      </c>
      <c r="CA29" s="4">
        <v>0.365012459914094</v>
      </c>
      <c r="CB29" s="4">
        <v>0.296726031684808</v>
      </c>
      <c r="CC29" s="4">
        <v>0.415856009108595</v>
      </c>
      <c r="CD29" s="4">
        <v>0.334758670882678</v>
      </c>
      <c r="CE29" s="4">
        <v>0.326178782679117</v>
      </c>
      <c r="CF29" s="4">
        <v>0.452310987072678</v>
      </c>
      <c r="CG29" s="4">
        <v>0.563429578214984</v>
      </c>
      <c r="CH29" s="4">
        <v>0.437790175108535</v>
      </c>
      <c r="CI29" s="4">
        <v>0.644382449125308</v>
      </c>
      <c r="CJ29" s="4">
        <v>0.271675956153361</v>
      </c>
      <c r="CK29" s="4">
        <v>0.261331983571584</v>
      </c>
      <c r="CL29" s="4">
        <v>0.336461382227429</v>
      </c>
      <c r="CM29" s="4">
        <v>0.0870286686632122</v>
      </c>
      <c r="CN29" s="4">
        <v>0.232293511172177</v>
      </c>
      <c r="CO29" s="4">
        <v>0.360290346773052</v>
      </c>
      <c r="CP29" s="4">
        <v>0.14200553510673</v>
      </c>
      <c r="CQ29" s="4">
        <v>0.0750100293942788</v>
      </c>
      <c r="CR29" s="4">
        <v>0.112405171908478</v>
      </c>
      <c r="CS29" s="4">
        <v>0.127761000281169</v>
      </c>
      <c r="CT29" s="4">
        <v>0.246606868869891</v>
      </c>
      <c r="CU29" s="4">
        <v>0.172447256566576</v>
      </c>
      <c r="CV29" s="4">
        <v>0.56389765107329</v>
      </c>
      <c r="CW29" s="4">
        <v>0.410922083382136</v>
      </c>
      <c r="CX29" s="4">
        <v>0.270325554676942</v>
      </c>
      <c r="CY29" s="4">
        <v>0.426550097698702</v>
      </c>
      <c r="CZ29" s="4">
        <v>0.386966955708064</v>
      </c>
      <c r="DA29" s="4">
        <v>0.305808044184683</v>
      </c>
      <c r="DB29" s="4">
        <v>0.209734490844932</v>
      </c>
      <c r="DC29" s="4">
        <v>0.240294111758174</v>
      </c>
      <c r="DD29" s="4">
        <v>-0.0282910882304835</v>
      </c>
      <c r="DE29" s="4">
        <v>0.448010766186828</v>
      </c>
      <c r="DF29" s="4">
        <v>0.301412574179627</v>
      </c>
      <c r="DG29" s="4">
        <v>0.304942533734123</v>
      </c>
      <c r="DH29" s="4">
        <v>0.392538464214951</v>
      </c>
      <c r="DI29" s="4">
        <v>0.31464303896896</v>
      </c>
      <c r="DJ29" s="4">
        <v>0.22849276433902</v>
      </c>
      <c r="DK29" s="4">
        <v>0.228175537250697</v>
      </c>
      <c r="DL29" s="4">
        <v>0.275264276503742</v>
      </c>
      <c r="DM29" s="4">
        <v>0.303853223823685</v>
      </c>
      <c r="DN29" s="4">
        <v>0.262953667831661</v>
      </c>
      <c r="DO29" s="4">
        <v>0.192104061785825</v>
      </c>
      <c r="DP29" s="4">
        <v>0.293509623866233</v>
      </c>
      <c r="DQ29" s="4">
        <v>0.254775902140834</v>
      </c>
      <c r="DR29" s="4">
        <v>0.389281154627625</v>
      </c>
      <c r="DS29" s="4">
        <v>0.320734285274948</v>
      </c>
      <c r="DT29" s="4">
        <v>0.289465369323965</v>
      </c>
      <c r="DU29" s="4">
        <v>0.3789597516033</v>
      </c>
      <c r="DV29" s="4">
        <v>0.28282761013373</v>
      </c>
      <c r="DW29" s="4">
        <v>0.311196179664998</v>
      </c>
      <c r="DX29" s="4">
        <v>0.531362349845196</v>
      </c>
      <c r="DY29" s="4">
        <v>0.31577446325591</v>
      </c>
    </row>
    <row r="30" ht="14" spans="1:129">
      <c r="A30" s="31" t="s">
        <v>28</v>
      </c>
      <c r="B30" s="4" t="str">
        <v/>
      </c>
      <c r="C30" s="4" t="str">
        <v/>
      </c>
      <c r="D30" s="4" t="str">
        <v/>
      </c>
      <c r="E30" s="4" t="str">
        <v/>
      </c>
      <c r="F30" s="4" t="str">
        <v/>
      </c>
      <c r="G30" s="4" t="str">
        <v/>
      </c>
      <c r="H30" s="4" t="str">
        <v/>
      </c>
      <c r="I30" s="4" t="str">
        <v/>
      </c>
      <c r="J30" s="4" t="str">
        <v/>
      </c>
      <c r="K30" s="4" t="str">
        <v/>
      </c>
      <c r="L30" s="4" t="str">
        <v/>
      </c>
      <c r="M30" s="4" t="str">
        <v/>
      </c>
      <c r="N30" s="4" t="str">
        <v/>
      </c>
      <c r="O30" s="4" t="str">
        <v/>
      </c>
      <c r="P30" s="4" t="str">
        <v/>
      </c>
      <c r="Q30" s="4" t="str">
        <v/>
      </c>
      <c r="R30" s="4" t="str">
        <v/>
      </c>
      <c r="S30" s="4" t="str">
        <v/>
      </c>
      <c r="T30" s="4" t="str">
        <v/>
      </c>
      <c r="U30" s="4" t="str">
        <v/>
      </c>
      <c r="V30" s="4" t="str">
        <v/>
      </c>
      <c r="W30" s="4" t="str">
        <v/>
      </c>
      <c r="X30" s="4" t="str">
        <v/>
      </c>
      <c r="Y30" s="4" t="str">
        <v/>
      </c>
      <c r="Z30" s="4" t="str">
        <v/>
      </c>
      <c r="AA30" s="4" t="str">
        <v/>
      </c>
      <c r="AB30" s="4">
        <v>1</v>
      </c>
      <c r="AC30" s="4">
        <v>0.046823465092643</v>
      </c>
      <c r="AD30" s="4">
        <v>0.321463738320222</v>
      </c>
      <c r="AE30" s="4">
        <v>0.326953513511293</v>
      </c>
      <c r="AF30" s="4">
        <v>0.0674933952283278</v>
      </c>
      <c r="AG30" s="4">
        <v>0.330277795287386</v>
      </c>
      <c r="AH30" s="4">
        <v>0.146270953965366</v>
      </c>
      <c r="AI30" s="4">
        <v>0.0665437014580899</v>
      </c>
      <c r="AJ30" s="4">
        <v>-0.00312633153297342</v>
      </c>
      <c r="AK30" s="4">
        <v>-0.163496203172796</v>
      </c>
      <c r="AL30" s="4">
        <v>0.212513678803831</v>
      </c>
      <c r="AM30" s="4">
        <v>0.191995925592963</v>
      </c>
      <c r="AN30" s="4">
        <v>-0.0787787311655681</v>
      </c>
      <c r="AO30" s="4">
        <v>0.128745152873675</v>
      </c>
      <c r="AP30" s="4">
        <v>0.130312034116538</v>
      </c>
      <c r="AQ30" s="4">
        <v>0.282096525124686</v>
      </c>
      <c r="AR30" s="4">
        <v>0.242230341730378</v>
      </c>
      <c r="AS30" s="4">
        <v>0.156634623472288</v>
      </c>
      <c r="AT30" s="4">
        <v>0.147290143923115</v>
      </c>
      <c r="AU30" s="4">
        <v>0.187119591703259</v>
      </c>
      <c r="AV30" s="4">
        <v>0.188107402080456</v>
      </c>
      <c r="AW30" s="4">
        <v>0.123759455276186</v>
      </c>
      <c r="AX30" s="4">
        <v>0.121966863630823</v>
      </c>
      <c r="AY30" s="4">
        <v>0.148345410424333</v>
      </c>
      <c r="AZ30" s="4">
        <v>0.0715623816209661</v>
      </c>
      <c r="BA30" s="4">
        <v>0.155645411797628</v>
      </c>
      <c r="BB30" s="4">
        <v>0.352841844038209</v>
      </c>
      <c r="BC30" s="4">
        <v>0.241893617239779</v>
      </c>
      <c r="BD30" s="4">
        <v>0.19786519160677</v>
      </c>
      <c r="BE30" s="4">
        <v>0.0106483775527987</v>
      </c>
      <c r="BF30" s="4">
        <v>0.123560573276121</v>
      </c>
      <c r="BG30" s="4">
        <v>0.190063266389383</v>
      </c>
      <c r="BH30" s="4">
        <v>0.224834251047367</v>
      </c>
      <c r="BI30" s="4">
        <v>0.116746020106977</v>
      </c>
      <c r="BJ30" s="4">
        <v>-0.0288310066920694</v>
      </c>
      <c r="BK30" s="4">
        <v>-0.016906067688752</v>
      </c>
      <c r="BL30" s="4">
        <v>0.0457593165426145</v>
      </c>
      <c r="BM30" s="4">
        <v>0.0485149499498709</v>
      </c>
      <c r="BN30" s="4">
        <v>0.173831252428039</v>
      </c>
      <c r="BO30" s="4">
        <v>0.119311517710274</v>
      </c>
      <c r="BP30" s="4">
        <v>0.0491239609773152</v>
      </c>
      <c r="BQ30" s="4">
        <v>0.00899735589511817</v>
      </c>
      <c r="BR30" s="4">
        <v>0.164162660703209</v>
      </c>
      <c r="BS30" s="4">
        <v>0.0218591202653144</v>
      </c>
      <c r="BT30" s="4">
        <v>0.0819540879428502</v>
      </c>
      <c r="BU30" s="4">
        <v>0.189844225105084</v>
      </c>
      <c r="BV30" s="4">
        <v>0.0435823050489304</v>
      </c>
      <c r="BW30" s="4">
        <v>-0.097154818578405</v>
      </c>
      <c r="BX30" s="4">
        <v>0.0711950255107755</v>
      </c>
      <c r="BY30" s="4">
        <v>0.108558225244372</v>
      </c>
      <c r="BZ30" s="4">
        <v>0.0854342477823298</v>
      </c>
      <c r="CA30" s="4">
        <v>0.179991969115835</v>
      </c>
      <c r="CB30" s="4">
        <v>0.226181661728529</v>
      </c>
      <c r="CC30" s="4">
        <v>-0.022441857022618</v>
      </c>
      <c r="CD30" s="4">
        <v>0.165047068515083</v>
      </c>
      <c r="CE30" s="4">
        <v>0.0772548960523725</v>
      </c>
      <c r="CF30" s="4">
        <v>0.100438307791692</v>
      </c>
      <c r="CG30" s="4">
        <v>0.141643699902615</v>
      </c>
      <c r="CH30" s="4">
        <v>-0.064190580344755</v>
      </c>
      <c r="CI30" s="4">
        <v>0.191448014369709</v>
      </c>
      <c r="CJ30" s="4">
        <v>0.130961867476369</v>
      </c>
      <c r="CK30" s="4">
        <v>-0.0618445232798032</v>
      </c>
      <c r="CL30" s="4">
        <v>0.0377876626201044</v>
      </c>
      <c r="CM30" s="4">
        <v>-0.0538884753784071</v>
      </c>
      <c r="CN30" s="4">
        <v>0.105523328020657</v>
      </c>
      <c r="CO30" s="4">
        <v>0.214781230567894</v>
      </c>
      <c r="CP30" s="4">
        <v>0.159863288206536</v>
      </c>
      <c r="CQ30" s="4">
        <v>0.214354935866474</v>
      </c>
      <c r="CR30" s="4">
        <v>-0.137026568467598</v>
      </c>
      <c r="CS30" s="4">
        <v>0.0738430356063092</v>
      </c>
      <c r="CT30" s="4">
        <v>0.0715662014991254</v>
      </c>
      <c r="CU30" s="4">
        <v>-0.18010545920172</v>
      </c>
      <c r="CV30" s="4">
        <v>0.0432623550708242</v>
      </c>
      <c r="CW30" s="4">
        <v>0.040302426848628</v>
      </c>
      <c r="CX30" s="4">
        <v>0.0112283160675829</v>
      </c>
      <c r="CY30" s="4">
        <v>0.230728957206387</v>
      </c>
      <c r="CZ30" s="4">
        <v>0.0879197416466141</v>
      </c>
      <c r="DA30" s="4">
        <v>-0.0717057137443754</v>
      </c>
      <c r="DB30" s="4">
        <v>0.061606635068905</v>
      </c>
      <c r="DC30" s="4">
        <v>-0.0194302692882931</v>
      </c>
      <c r="DD30" s="4">
        <v>-0.0813917101682413</v>
      </c>
      <c r="DE30" s="4">
        <v>0.189513701227968</v>
      </c>
      <c r="DF30" s="4">
        <v>0.0232117857653506</v>
      </c>
      <c r="DG30" s="4">
        <v>0.131409786726343</v>
      </c>
      <c r="DH30" s="4">
        <v>0.138941616122438</v>
      </c>
      <c r="DI30" s="4">
        <v>0.0796092850640889</v>
      </c>
      <c r="DJ30" s="4">
        <v>0.0823550893994666</v>
      </c>
      <c r="DK30" s="4">
        <v>0.0617423429676803</v>
      </c>
      <c r="DL30" s="4">
        <v>0.0876534027448605</v>
      </c>
      <c r="DM30" s="4">
        <v>0.0832474793961648</v>
      </c>
      <c r="DN30" s="4">
        <v>0.0462863548562235</v>
      </c>
      <c r="DO30" s="4">
        <v>0.244451826371635</v>
      </c>
      <c r="DP30" s="4">
        <v>0.0934172487222218</v>
      </c>
      <c r="DQ30" s="4">
        <v>0.105610237381687</v>
      </c>
      <c r="DR30" s="4">
        <v>0.0790454236555344</v>
      </c>
      <c r="DS30" s="4">
        <v>0.100836554729349</v>
      </c>
      <c r="DT30" s="4">
        <v>0.0726144556284151</v>
      </c>
      <c r="DU30" s="4">
        <v>0.108986687717313</v>
      </c>
      <c r="DV30" s="4">
        <v>0.173821539112149</v>
      </c>
      <c r="DW30" s="4">
        <v>0.0650416321566677</v>
      </c>
      <c r="DX30" s="4">
        <v>0.0824119158815561</v>
      </c>
      <c r="DY30" s="4">
        <v>0.0223538371154384</v>
      </c>
    </row>
    <row r="31" ht="14" spans="1:129">
      <c r="A31" s="31" t="s">
        <v>29</v>
      </c>
      <c r="B31" s="4" t="str">
        <v/>
      </c>
      <c r="C31" s="4" t="str">
        <v/>
      </c>
      <c r="D31" s="4" t="str">
        <v/>
      </c>
      <c r="E31" s="4" t="str">
        <v/>
      </c>
      <c r="F31" s="4" t="str">
        <v/>
      </c>
      <c r="G31" s="4" t="str">
        <v/>
      </c>
      <c r="H31" s="4" t="str">
        <v/>
      </c>
      <c r="I31" s="4" t="str">
        <v/>
      </c>
      <c r="J31" s="4" t="str">
        <v/>
      </c>
      <c r="K31" s="4" t="str">
        <v/>
      </c>
      <c r="L31" s="4" t="str">
        <v/>
      </c>
      <c r="M31" s="4" t="str">
        <v/>
      </c>
      <c r="N31" s="4" t="str">
        <v/>
      </c>
      <c r="O31" s="4" t="str">
        <v/>
      </c>
      <c r="P31" s="4" t="str">
        <v/>
      </c>
      <c r="Q31" s="4" t="str">
        <v/>
      </c>
      <c r="R31" s="4" t="str">
        <v/>
      </c>
      <c r="S31" s="4" t="str">
        <v/>
      </c>
      <c r="T31" s="4" t="str">
        <v/>
      </c>
      <c r="U31" s="4" t="str">
        <v/>
      </c>
      <c r="V31" s="4" t="str">
        <v/>
      </c>
      <c r="W31" s="4" t="str">
        <v/>
      </c>
      <c r="X31" s="4" t="str">
        <v/>
      </c>
      <c r="Y31" s="4" t="str">
        <v/>
      </c>
      <c r="Z31" s="4" t="str">
        <v/>
      </c>
      <c r="AA31" s="4" t="str">
        <v/>
      </c>
      <c r="AB31" s="4" t="str">
        <v/>
      </c>
      <c r="AC31" s="4">
        <v>1</v>
      </c>
      <c r="AD31" s="4">
        <v>0.392804975032854</v>
      </c>
      <c r="AE31" s="4">
        <v>0.372350935997915</v>
      </c>
      <c r="AF31" s="4">
        <v>0.413912575253412</v>
      </c>
      <c r="AG31" s="4">
        <v>0.481675915506122</v>
      </c>
      <c r="AH31" s="4">
        <v>0.273981217888808</v>
      </c>
      <c r="AI31" s="4">
        <v>0.528066154892393</v>
      </c>
      <c r="AJ31" s="4">
        <v>0.103130834123747</v>
      </c>
      <c r="AK31" s="4">
        <v>0.371922792069693</v>
      </c>
      <c r="AL31" s="4">
        <v>0.227248080249498</v>
      </c>
      <c r="AM31" s="4">
        <v>0.254545129163487</v>
      </c>
      <c r="AN31" s="4">
        <v>0.187793558153305</v>
      </c>
      <c r="AO31" s="4">
        <v>0.328981800757284</v>
      </c>
      <c r="AP31" s="4">
        <v>0.438169282182525</v>
      </c>
      <c r="AQ31" s="4">
        <v>0.0237842085888685</v>
      </c>
      <c r="AR31" s="4">
        <v>0.412378522850375</v>
      </c>
      <c r="AS31" s="4">
        <v>0.236345600150888</v>
      </c>
      <c r="AT31" s="4">
        <v>0.342876911240383</v>
      </c>
      <c r="AU31" s="4">
        <v>0.236337889058306</v>
      </c>
      <c r="AV31" s="4">
        <v>0.300556147229719</v>
      </c>
      <c r="AW31" s="4">
        <v>0.151446845787971</v>
      </c>
      <c r="AX31" s="4">
        <v>0.131883427076565</v>
      </c>
      <c r="AY31" s="4">
        <v>0.183539267895571</v>
      </c>
      <c r="AZ31" s="4">
        <v>0.377939526873886</v>
      </c>
      <c r="BA31" s="4">
        <v>0.378123442479066</v>
      </c>
      <c r="BB31" s="4">
        <v>0.249371559135668</v>
      </c>
      <c r="BC31" s="4">
        <v>0.386327117427272</v>
      </c>
      <c r="BD31" s="4">
        <v>0.358417402253918</v>
      </c>
      <c r="BE31" s="4">
        <v>0.29625139155257</v>
      </c>
      <c r="BF31" s="4">
        <v>0.651698811044604</v>
      </c>
      <c r="BG31" s="4">
        <v>0.565831479653642</v>
      </c>
      <c r="BH31" s="4">
        <v>0.324118216439383</v>
      </c>
      <c r="BI31" s="4">
        <v>0.224114895744692</v>
      </c>
      <c r="BJ31" s="4">
        <v>0.119201578175597</v>
      </c>
      <c r="BK31" s="4">
        <v>0.420694907403893</v>
      </c>
      <c r="BL31" s="4">
        <v>0.267773192198342</v>
      </c>
      <c r="BM31" s="4">
        <v>0.327891154503019</v>
      </c>
      <c r="BN31" s="4">
        <v>0.290841255271702</v>
      </c>
      <c r="BO31" s="4">
        <v>0.553251678481835</v>
      </c>
      <c r="BP31" s="4">
        <v>0.409846113177415</v>
      </c>
      <c r="BQ31" s="4">
        <v>0.228763405661968</v>
      </c>
      <c r="BR31" s="4">
        <v>0.281224823471737</v>
      </c>
      <c r="BS31" s="4">
        <v>0.296730159629776</v>
      </c>
      <c r="BT31" s="4">
        <v>0.243461009801852</v>
      </c>
      <c r="BU31" s="4">
        <v>0.382705417733399</v>
      </c>
      <c r="BV31" s="4">
        <v>0.165181854883855</v>
      </c>
      <c r="BW31" s="4">
        <v>0.0971681555586346</v>
      </c>
      <c r="BX31" s="4">
        <v>0.180531746099304</v>
      </c>
      <c r="BY31" s="4">
        <v>0.214130972487449</v>
      </c>
      <c r="BZ31" s="4">
        <v>0.166263223177719</v>
      </c>
      <c r="CA31" s="4">
        <v>0.253087780434675</v>
      </c>
      <c r="CB31" s="4">
        <v>0.306124841932598</v>
      </c>
      <c r="CC31" s="4">
        <v>0.0902791039956218</v>
      </c>
      <c r="CD31" s="4">
        <v>0.32364451141941</v>
      </c>
      <c r="CE31" s="4">
        <v>0.267683346416368</v>
      </c>
      <c r="CF31" s="4">
        <v>0.438106278595032</v>
      </c>
      <c r="CG31" s="4">
        <v>0.396979477830421</v>
      </c>
      <c r="CH31" s="4">
        <v>0.427891343218008</v>
      </c>
      <c r="CI31" s="4">
        <v>0.450008248946299</v>
      </c>
      <c r="CJ31" s="4">
        <v>0.481678946999651</v>
      </c>
      <c r="CK31" s="4">
        <v>0.158870574907169</v>
      </c>
      <c r="CL31" s="4">
        <v>0.214470409945343</v>
      </c>
      <c r="CM31" s="4">
        <v>0.129198410226389</v>
      </c>
      <c r="CN31" s="4">
        <v>0.366164563393166</v>
      </c>
      <c r="CO31" s="4">
        <v>0.190834096628327</v>
      </c>
      <c r="CP31" s="4">
        <v>0.266018317440184</v>
      </c>
      <c r="CQ31" s="4">
        <v>0.20713821373693</v>
      </c>
      <c r="CR31" s="4">
        <v>0.274326022397233</v>
      </c>
      <c r="CS31" s="4">
        <v>0.294219543373499</v>
      </c>
      <c r="CT31" s="4">
        <v>0.261189961088452</v>
      </c>
      <c r="CU31" s="4">
        <v>0.267948448267058</v>
      </c>
      <c r="CV31" s="4">
        <v>0.322360591530835</v>
      </c>
      <c r="CW31" s="4">
        <v>0.166762584015266</v>
      </c>
      <c r="CX31" s="4">
        <v>0.205090955899784</v>
      </c>
      <c r="CY31" s="4">
        <v>0.189973820897186</v>
      </c>
      <c r="CZ31" s="4">
        <v>0.299292102268131</v>
      </c>
      <c r="DA31" s="4">
        <v>0.31433834450272</v>
      </c>
      <c r="DB31" s="4">
        <v>0.185438157418884</v>
      </c>
      <c r="DC31" s="4">
        <v>0.245131413352527</v>
      </c>
      <c r="DD31" s="4">
        <v>-0.13182184256528</v>
      </c>
      <c r="DE31" s="4">
        <v>0.434465581968777</v>
      </c>
      <c r="DF31" s="4">
        <v>0.262289496031282</v>
      </c>
      <c r="DG31" s="4">
        <v>0.155918292903641</v>
      </c>
      <c r="DH31" s="4">
        <v>0.154184365333878</v>
      </c>
      <c r="DI31" s="4">
        <v>0.389868006969549</v>
      </c>
      <c r="DJ31" s="4">
        <v>0.393172588344574</v>
      </c>
      <c r="DK31" s="4">
        <v>0.288072022863208</v>
      </c>
      <c r="DL31" s="4">
        <v>0.321549865950803</v>
      </c>
      <c r="DM31" s="4">
        <v>0.389276059345671</v>
      </c>
      <c r="DN31" s="4">
        <v>0.313887220219481</v>
      </c>
      <c r="DO31" s="4">
        <v>0.253530140759094</v>
      </c>
      <c r="DP31" s="4">
        <v>0.309492096934922</v>
      </c>
      <c r="DQ31" s="4">
        <v>0.283430703011932</v>
      </c>
      <c r="DR31" s="4">
        <v>0.297306435300455</v>
      </c>
      <c r="DS31" s="4">
        <v>0.320927356955227</v>
      </c>
      <c r="DT31" s="4">
        <v>0.298142177790755</v>
      </c>
      <c r="DU31" s="4">
        <v>0.2100054327528</v>
      </c>
      <c r="DV31" s="4">
        <v>0.297935777059057</v>
      </c>
      <c r="DW31" s="4">
        <v>0.115935157597081</v>
      </c>
      <c r="DX31" s="4">
        <v>0.444008315129248</v>
      </c>
      <c r="DY31" s="4">
        <v>0.240461465807982</v>
      </c>
    </row>
    <row r="32" ht="14" spans="1:129">
      <c r="A32" s="31" t="s">
        <v>30</v>
      </c>
      <c r="B32" s="4" t="str">
        <v/>
      </c>
      <c r="C32" s="4" t="str">
        <v/>
      </c>
      <c r="D32" s="4" t="str">
        <v/>
      </c>
      <c r="E32" s="4" t="str">
        <v/>
      </c>
      <c r="F32" s="4" t="str">
        <v/>
      </c>
      <c r="G32" s="4" t="str">
        <v/>
      </c>
      <c r="H32" s="4" t="str">
        <v/>
      </c>
      <c r="I32" s="4" t="str">
        <v/>
      </c>
      <c r="J32" s="4" t="str">
        <v/>
      </c>
      <c r="K32" s="4" t="str">
        <v/>
      </c>
      <c r="L32" s="4" t="str">
        <v/>
      </c>
      <c r="M32" s="4" t="str">
        <v/>
      </c>
      <c r="N32" s="4" t="str">
        <v/>
      </c>
      <c r="O32" s="4" t="str">
        <v/>
      </c>
      <c r="P32" s="4" t="str">
        <v/>
      </c>
      <c r="Q32" s="4" t="str">
        <v/>
      </c>
      <c r="R32" s="4" t="str">
        <v/>
      </c>
      <c r="S32" s="4" t="str">
        <v/>
      </c>
      <c r="T32" s="4" t="str">
        <v/>
      </c>
      <c r="U32" s="4" t="str">
        <v/>
      </c>
      <c r="V32" s="4" t="str">
        <v/>
      </c>
      <c r="W32" s="4" t="str">
        <v/>
      </c>
      <c r="X32" s="4" t="str">
        <v/>
      </c>
      <c r="Y32" s="4" t="str">
        <v/>
      </c>
      <c r="Z32" s="4" t="str">
        <v/>
      </c>
      <c r="AA32" s="4" t="str">
        <v/>
      </c>
      <c r="AB32" s="4" t="str">
        <v/>
      </c>
      <c r="AC32" s="4" t="str">
        <v/>
      </c>
      <c r="AD32" s="4">
        <v>1</v>
      </c>
      <c r="AE32" s="4">
        <v>0.798592887492565</v>
      </c>
      <c r="AF32" s="4">
        <v>0.489467894369096</v>
      </c>
      <c r="AG32" s="4">
        <v>0.702427334467995</v>
      </c>
      <c r="AH32" s="4">
        <v>0.465871334456017</v>
      </c>
      <c r="AI32" s="4">
        <v>0.526740902725081</v>
      </c>
      <c r="AJ32" s="4">
        <v>0.433635575147326</v>
      </c>
      <c r="AK32" s="4">
        <v>0.23998467062241</v>
      </c>
      <c r="AL32" s="4">
        <v>0.343843911915909</v>
      </c>
      <c r="AM32" s="4">
        <v>0.574552245326856</v>
      </c>
      <c r="AN32" s="4">
        <v>0.399563080370847</v>
      </c>
      <c r="AO32" s="4">
        <v>0.488586085098123</v>
      </c>
      <c r="AP32" s="4">
        <v>0.563568214427409</v>
      </c>
      <c r="AQ32" s="4">
        <v>0.542930337684137</v>
      </c>
      <c r="AR32" s="4">
        <v>0.435344368446351</v>
      </c>
      <c r="AS32" s="4">
        <v>0.370518971304046</v>
      </c>
      <c r="AT32" s="4">
        <v>0.481431626522661</v>
      </c>
      <c r="AU32" s="4">
        <v>0.497672367202625</v>
      </c>
      <c r="AV32" s="4">
        <v>0.526108716712381</v>
      </c>
      <c r="AW32" s="4">
        <v>0.309332062362572</v>
      </c>
      <c r="AX32" s="4">
        <v>0.481736402336584</v>
      </c>
      <c r="AY32" s="4">
        <v>0.655902932489462</v>
      </c>
      <c r="AZ32" s="4">
        <v>0.626809409390157</v>
      </c>
      <c r="BA32" s="4">
        <v>0.588263782759939</v>
      </c>
      <c r="BB32" s="4">
        <v>0.531704678389442</v>
      </c>
      <c r="BC32" s="4">
        <v>0.427208442522231</v>
      </c>
      <c r="BD32" s="4">
        <v>0.537921405590305</v>
      </c>
      <c r="BE32" s="4">
        <v>0.446796668685268</v>
      </c>
      <c r="BF32" s="4">
        <v>0.498822843588122</v>
      </c>
      <c r="BG32" s="4">
        <v>0.757052808414995</v>
      </c>
      <c r="BH32" s="4">
        <v>0.46654558265932</v>
      </c>
      <c r="BI32" s="4">
        <v>0.306701063443992</v>
      </c>
      <c r="BJ32" s="4">
        <v>0.258779079011095</v>
      </c>
      <c r="BK32" s="4">
        <v>0.382268486311062</v>
      </c>
      <c r="BL32" s="4">
        <v>0.315592376714041</v>
      </c>
      <c r="BM32" s="4">
        <v>0.336532552770227</v>
      </c>
      <c r="BN32" s="4">
        <v>0.395116158018315</v>
      </c>
      <c r="BO32" s="4">
        <v>0.486493753056783</v>
      </c>
      <c r="BP32" s="4">
        <v>0.418729964485751</v>
      </c>
      <c r="BQ32" s="4">
        <v>0.295889632342653</v>
      </c>
      <c r="BR32" s="4">
        <v>0.439364398941808</v>
      </c>
      <c r="BS32" s="4">
        <v>0.361961592449478</v>
      </c>
      <c r="BT32" s="4">
        <v>0.35362042491509</v>
      </c>
      <c r="BU32" s="4">
        <v>0.42288170218078</v>
      </c>
      <c r="BV32" s="4">
        <v>0.150317351365679</v>
      </c>
      <c r="BW32" s="4">
        <v>0.126822552969613</v>
      </c>
      <c r="BX32" s="4">
        <v>0.402850778113958</v>
      </c>
      <c r="BY32" s="4">
        <v>0.261357273808592</v>
      </c>
      <c r="BZ32" s="4">
        <v>0.188400237282619</v>
      </c>
      <c r="CA32" s="4">
        <v>0.340602426413085</v>
      </c>
      <c r="CB32" s="4">
        <v>0.403039330064818</v>
      </c>
      <c r="CC32" s="4">
        <v>0.31533034626614</v>
      </c>
      <c r="CD32" s="4">
        <v>0.233893783426109</v>
      </c>
      <c r="CE32" s="4">
        <v>0.212700200236881</v>
      </c>
      <c r="CF32" s="4">
        <v>0.441886484322214</v>
      </c>
      <c r="CG32" s="4">
        <v>0.427673776440342</v>
      </c>
      <c r="CH32" s="4">
        <v>0.462309851127619</v>
      </c>
      <c r="CI32" s="4">
        <v>0.723458074218317</v>
      </c>
      <c r="CJ32" s="4">
        <v>0.308332058087728</v>
      </c>
      <c r="CK32" s="4">
        <v>0.26931775659306</v>
      </c>
      <c r="CL32" s="4">
        <v>0.444338184729936</v>
      </c>
      <c r="CM32" s="4">
        <v>-0.0311759269633938</v>
      </c>
      <c r="CN32" s="4">
        <v>0.434296055267761</v>
      </c>
      <c r="CO32" s="4">
        <v>0.321075947736286</v>
      </c>
      <c r="CP32" s="4">
        <v>0.108363074654399</v>
      </c>
      <c r="CQ32" s="4">
        <v>0.138001814313199</v>
      </c>
      <c r="CR32" s="4">
        <v>0.236579130850464</v>
      </c>
      <c r="CS32" s="4">
        <v>0.208284319265354</v>
      </c>
      <c r="CT32" s="4">
        <v>0.345490441076985</v>
      </c>
      <c r="CU32" s="4">
        <v>0.220623740353192</v>
      </c>
      <c r="CV32" s="4">
        <v>0.377926894715619</v>
      </c>
      <c r="CW32" s="4">
        <v>0.400170993543576</v>
      </c>
      <c r="CX32" s="4">
        <v>0.202074928956397</v>
      </c>
      <c r="CY32" s="4">
        <v>0.22948720595856</v>
      </c>
      <c r="CZ32" s="4">
        <v>0.559579283655716</v>
      </c>
      <c r="DA32" s="4">
        <v>0.121890825655808</v>
      </c>
      <c r="DB32" s="4">
        <v>0.219721086644899</v>
      </c>
      <c r="DC32" s="4">
        <v>0.239998585634648</v>
      </c>
      <c r="DD32" s="4">
        <v>0.133943582416783</v>
      </c>
      <c r="DE32" s="4">
        <v>0.465735941168233</v>
      </c>
      <c r="DF32" s="4">
        <v>0.202578530494421</v>
      </c>
      <c r="DG32" s="4">
        <v>0.16326629831295</v>
      </c>
      <c r="DH32" s="4">
        <v>0.443087308765676</v>
      </c>
      <c r="DI32" s="4">
        <v>0.431548886588759</v>
      </c>
      <c r="DJ32" s="4">
        <v>0.353244921663908</v>
      </c>
      <c r="DK32" s="4">
        <v>0.325420700443691</v>
      </c>
      <c r="DL32" s="4">
        <v>0.421542913239344</v>
      </c>
      <c r="DM32" s="4">
        <v>0.365713236924632</v>
      </c>
      <c r="DN32" s="4">
        <v>0.366311227817935</v>
      </c>
      <c r="DO32" s="4">
        <v>0.371345505215169</v>
      </c>
      <c r="DP32" s="4">
        <v>0.426772922693412</v>
      </c>
      <c r="DQ32" s="4">
        <v>0.385685112137732</v>
      </c>
      <c r="DR32" s="4">
        <v>0.397840839446587</v>
      </c>
      <c r="DS32" s="4">
        <v>0.157636235241803</v>
      </c>
      <c r="DT32" s="4">
        <v>0.313303162017877</v>
      </c>
      <c r="DU32" s="4">
        <v>0.373955009468111</v>
      </c>
      <c r="DV32" s="4">
        <v>0.407007984972132</v>
      </c>
      <c r="DW32" s="4">
        <v>0.410981078661617</v>
      </c>
      <c r="DX32" s="4">
        <v>0.425642851296742</v>
      </c>
      <c r="DY32" s="4">
        <v>0.378876230241476</v>
      </c>
    </row>
    <row r="33" ht="14" spans="1:129">
      <c r="A33" s="31" t="s">
        <v>31</v>
      </c>
      <c r="B33" s="4" t="str">
        <v/>
      </c>
      <c r="C33" s="4" t="str">
        <v/>
      </c>
      <c r="D33" s="4" t="str">
        <v/>
      </c>
      <c r="E33" s="4" t="str">
        <v/>
      </c>
      <c r="F33" s="4" t="str">
        <v/>
      </c>
      <c r="G33" s="4" t="str">
        <v/>
      </c>
      <c r="H33" s="4" t="str">
        <v/>
      </c>
      <c r="I33" s="4" t="str">
        <v/>
      </c>
      <c r="J33" s="4" t="str">
        <v/>
      </c>
      <c r="K33" s="4" t="str">
        <v/>
      </c>
      <c r="L33" s="4" t="str">
        <v/>
      </c>
      <c r="M33" s="4" t="str">
        <v/>
      </c>
      <c r="N33" s="4" t="str">
        <v/>
      </c>
      <c r="O33" s="4" t="str">
        <v/>
      </c>
      <c r="P33" s="4" t="str">
        <v/>
      </c>
      <c r="Q33" s="4" t="str">
        <v/>
      </c>
      <c r="R33" s="4" t="str">
        <v/>
      </c>
      <c r="S33" s="4" t="str">
        <v/>
      </c>
      <c r="T33" s="4" t="str">
        <v/>
      </c>
      <c r="U33" s="4" t="str">
        <v/>
      </c>
      <c r="V33" s="4" t="str">
        <v/>
      </c>
      <c r="W33" s="4" t="str">
        <v/>
      </c>
      <c r="X33" s="4" t="str">
        <v/>
      </c>
      <c r="Y33" s="4" t="str">
        <v/>
      </c>
      <c r="Z33" s="4" t="str">
        <v/>
      </c>
      <c r="AA33" s="4" t="str">
        <v/>
      </c>
      <c r="AB33" s="4" t="str">
        <v/>
      </c>
      <c r="AC33" s="4" t="str">
        <v/>
      </c>
      <c r="AD33" s="4" t="str">
        <v/>
      </c>
      <c r="AE33" s="4">
        <v>1</v>
      </c>
      <c r="AF33" s="4">
        <v>0.528516604734591</v>
      </c>
      <c r="AG33" s="4">
        <v>0.679444488575032</v>
      </c>
      <c r="AH33" s="4">
        <v>0.579865289826556</v>
      </c>
      <c r="AI33" s="4">
        <v>0.595409656975946</v>
      </c>
      <c r="AJ33" s="4">
        <v>0.298483676694146</v>
      </c>
      <c r="AK33" s="4">
        <v>0.082405945208241</v>
      </c>
      <c r="AL33" s="4">
        <v>0.284722371537242</v>
      </c>
      <c r="AM33" s="4">
        <v>0.611488147332906</v>
      </c>
      <c r="AN33" s="4">
        <v>0.308351142083954</v>
      </c>
      <c r="AO33" s="4">
        <v>0.533610343923649</v>
      </c>
      <c r="AP33" s="4">
        <v>0.519258581760039</v>
      </c>
      <c r="AQ33" s="4">
        <v>0.390113103022348</v>
      </c>
      <c r="AR33" s="4">
        <v>0.402822290993402</v>
      </c>
      <c r="AS33" s="4">
        <v>0.420366262161035</v>
      </c>
      <c r="AT33" s="4">
        <v>0.505094015643555</v>
      </c>
      <c r="AU33" s="4">
        <v>0.485305191194255</v>
      </c>
      <c r="AV33" s="4">
        <v>0.508862405056264</v>
      </c>
      <c r="AW33" s="4">
        <v>0.364129357263265</v>
      </c>
      <c r="AX33" s="4">
        <v>0.534025935944305</v>
      </c>
      <c r="AY33" s="4">
        <v>0.665994334418695</v>
      </c>
      <c r="AZ33" s="4">
        <v>0.670169112243911</v>
      </c>
      <c r="BA33" s="4">
        <v>0.682438251470255</v>
      </c>
      <c r="BB33" s="4">
        <v>0.522199918052407</v>
      </c>
      <c r="BC33" s="4">
        <v>0.458977567650819</v>
      </c>
      <c r="BD33" s="4">
        <v>0.56176193161705</v>
      </c>
      <c r="BE33" s="4">
        <v>0.539306693927072</v>
      </c>
      <c r="BF33" s="4">
        <v>0.487642222933401</v>
      </c>
      <c r="BG33" s="4">
        <v>0.693079265878756</v>
      </c>
      <c r="BH33" s="4">
        <v>0.469629274778452</v>
      </c>
      <c r="BI33" s="4">
        <v>0.353153173980674</v>
      </c>
      <c r="BJ33" s="4">
        <v>0.240487451395568</v>
      </c>
      <c r="BK33" s="4">
        <v>0.323784976772316</v>
      </c>
      <c r="BL33" s="4">
        <v>0.378804608324844</v>
      </c>
      <c r="BM33" s="4">
        <v>0.338488628715101</v>
      </c>
      <c r="BN33" s="4">
        <v>0.534216013162484</v>
      </c>
      <c r="BO33" s="4">
        <v>0.361666705524578</v>
      </c>
      <c r="BP33" s="4">
        <v>0.387962147387947</v>
      </c>
      <c r="BQ33" s="4">
        <v>0.266930941389417</v>
      </c>
      <c r="BR33" s="4">
        <v>0.489639952959915</v>
      </c>
      <c r="BS33" s="4">
        <v>0.419882732770758</v>
      </c>
      <c r="BT33" s="4">
        <v>0.408665462191591</v>
      </c>
      <c r="BU33" s="4">
        <v>0.402347076367601</v>
      </c>
      <c r="BV33" s="4">
        <v>0.356670583300409</v>
      </c>
      <c r="BW33" s="4">
        <v>0.179340927226108</v>
      </c>
      <c r="BX33" s="4">
        <v>0.288738092435743</v>
      </c>
      <c r="BY33" s="4">
        <v>0.272079275582346</v>
      </c>
      <c r="BZ33" s="4">
        <v>0.152464316002801</v>
      </c>
      <c r="CA33" s="4">
        <v>0.346796319747764</v>
      </c>
      <c r="CB33" s="4">
        <v>0.289404516692098</v>
      </c>
      <c r="CC33" s="4">
        <v>0.349933286898973</v>
      </c>
      <c r="CD33" s="4">
        <v>0.251801711058262</v>
      </c>
      <c r="CE33" s="4">
        <v>0.175417362418881</v>
      </c>
      <c r="CF33" s="4">
        <v>0.431319776345474</v>
      </c>
      <c r="CG33" s="4">
        <v>0.586328463683031</v>
      </c>
      <c r="CH33" s="4">
        <v>0.401357538146545</v>
      </c>
      <c r="CI33" s="4">
        <v>0.667783452231823</v>
      </c>
      <c r="CJ33" s="4">
        <v>0.302652236167185</v>
      </c>
      <c r="CK33" s="4">
        <v>0.196288557914127</v>
      </c>
      <c r="CL33" s="4">
        <v>0.382240771560944</v>
      </c>
      <c r="CM33" s="4">
        <v>-0.04334661320569</v>
      </c>
      <c r="CN33" s="4">
        <v>0.329955677762184</v>
      </c>
      <c r="CO33" s="4">
        <v>0.252802528796121</v>
      </c>
      <c r="CP33" s="4">
        <v>0.10003221660619</v>
      </c>
      <c r="CQ33" s="4">
        <v>0.098221598402563</v>
      </c>
      <c r="CR33" s="4">
        <v>0.045063560404663</v>
      </c>
      <c r="CS33" s="4">
        <v>0.104692809222256</v>
      </c>
      <c r="CT33" s="4">
        <v>0.32796259519645</v>
      </c>
      <c r="CU33" s="4">
        <v>0.171653226405347</v>
      </c>
      <c r="CV33" s="4">
        <v>0.334830794224289</v>
      </c>
      <c r="CW33" s="4">
        <v>0.471394268878748</v>
      </c>
      <c r="CX33" s="4">
        <v>0.217226634636721</v>
      </c>
      <c r="CY33" s="4">
        <v>0.301890025537533</v>
      </c>
      <c r="CZ33" s="4">
        <v>0.555868932321386</v>
      </c>
      <c r="DA33" s="4">
        <v>0.0901692793659406</v>
      </c>
      <c r="DB33" s="4">
        <v>0.278669474263063</v>
      </c>
      <c r="DC33" s="4">
        <v>0.174856701647121</v>
      </c>
      <c r="DD33" s="4">
        <v>0.174312565588415</v>
      </c>
      <c r="DE33" s="4">
        <v>0.467482434026604</v>
      </c>
      <c r="DF33" s="4">
        <v>0.273041979831653</v>
      </c>
      <c r="DG33" s="4">
        <v>0.109154501770768</v>
      </c>
      <c r="DH33" s="4">
        <v>0.4066751141531</v>
      </c>
      <c r="DI33" s="4">
        <v>0.278609249919162</v>
      </c>
      <c r="DJ33" s="4">
        <v>0.207330704423695</v>
      </c>
      <c r="DK33" s="4">
        <v>0.278589556914727</v>
      </c>
      <c r="DL33" s="4">
        <v>0.346748517140177</v>
      </c>
      <c r="DM33" s="4">
        <v>0.313704990813448</v>
      </c>
      <c r="DN33" s="4">
        <v>0.274183774374403</v>
      </c>
      <c r="DO33" s="4">
        <v>0.286953114112196</v>
      </c>
      <c r="DP33" s="4">
        <v>0.331930978787771</v>
      </c>
      <c r="DQ33" s="4">
        <v>0.302237740267063</v>
      </c>
      <c r="DR33" s="4">
        <v>0.378442927238623</v>
      </c>
      <c r="DS33" s="4">
        <v>0.137218446981595</v>
      </c>
      <c r="DT33" s="4">
        <v>0.236256507525133</v>
      </c>
      <c r="DU33" s="4">
        <v>0.370478034284557</v>
      </c>
      <c r="DV33" s="4">
        <v>0.331950957976685</v>
      </c>
      <c r="DW33" s="4">
        <v>0.343713577545286</v>
      </c>
      <c r="DX33" s="4">
        <v>0.571692323695217</v>
      </c>
      <c r="DY33" s="4">
        <v>0.341009590972162</v>
      </c>
    </row>
    <row r="34" ht="14" spans="1:129">
      <c r="A34" s="31" t="s">
        <v>32</v>
      </c>
      <c r="B34" s="4" t="str">
        <v/>
      </c>
      <c r="C34" s="4" t="str">
        <v/>
      </c>
      <c r="D34" s="4" t="str">
        <v/>
      </c>
      <c r="E34" s="4" t="str">
        <v/>
      </c>
      <c r="F34" s="4" t="str">
        <v/>
      </c>
      <c r="G34" s="4" t="str">
        <v/>
      </c>
      <c r="H34" s="4" t="str">
        <v/>
      </c>
      <c r="I34" s="4" t="str">
        <v/>
      </c>
      <c r="J34" s="4" t="str">
        <v/>
      </c>
      <c r="K34" s="4" t="str">
        <v/>
      </c>
      <c r="L34" s="4" t="str">
        <v/>
      </c>
      <c r="M34" s="4" t="str">
        <v/>
      </c>
      <c r="N34" s="4" t="str">
        <v/>
      </c>
      <c r="O34" s="4" t="str">
        <v/>
      </c>
      <c r="P34" s="4" t="str">
        <v/>
      </c>
      <c r="Q34" s="4" t="str">
        <v/>
      </c>
      <c r="R34" s="4" t="str">
        <v/>
      </c>
      <c r="S34" s="4" t="str">
        <v/>
      </c>
      <c r="T34" s="4" t="str">
        <v/>
      </c>
      <c r="U34" s="4" t="str">
        <v/>
      </c>
      <c r="V34" s="4" t="str">
        <v/>
      </c>
      <c r="W34" s="4" t="str">
        <v/>
      </c>
      <c r="X34" s="4" t="str">
        <v/>
      </c>
      <c r="Y34" s="4" t="str">
        <v/>
      </c>
      <c r="Z34" s="4" t="str">
        <v/>
      </c>
      <c r="AA34" s="4" t="str">
        <v/>
      </c>
      <c r="AB34" s="4" t="str">
        <v/>
      </c>
      <c r="AC34" s="4" t="str">
        <v/>
      </c>
      <c r="AD34" s="4" t="str">
        <v/>
      </c>
      <c r="AE34" s="4" t="str">
        <v/>
      </c>
      <c r="AF34" s="4">
        <v>1</v>
      </c>
      <c r="AG34" s="4">
        <v>0.501885640139898</v>
      </c>
      <c r="AH34" s="4">
        <v>0.454523393778941</v>
      </c>
      <c r="AI34" s="4">
        <v>0.441017544349081</v>
      </c>
      <c r="AJ34" s="4">
        <v>0.197328093926208</v>
      </c>
      <c r="AK34" s="4">
        <v>0.229814120544142</v>
      </c>
      <c r="AL34" s="4">
        <v>0.376744979781312</v>
      </c>
      <c r="AM34" s="4">
        <v>0.36474279522667</v>
      </c>
      <c r="AN34" s="4">
        <v>0.229310614924474</v>
      </c>
      <c r="AO34" s="4">
        <v>0.475599911078913</v>
      </c>
      <c r="AP34" s="4">
        <v>0.390171856760875</v>
      </c>
      <c r="AQ34" s="4">
        <v>0.260341194318198</v>
      </c>
      <c r="AR34" s="4">
        <v>0.347486843835588</v>
      </c>
      <c r="AS34" s="4">
        <v>0.266076305062596</v>
      </c>
      <c r="AT34" s="4">
        <v>0.425981712689264</v>
      </c>
      <c r="AU34" s="4">
        <v>0.402415314943853</v>
      </c>
      <c r="AV34" s="4">
        <v>0.393376809385138</v>
      </c>
      <c r="AW34" s="4">
        <v>0.32972903334946</v>
      </c>
      <c r="AX34" s="4">
        <v>0.366175146793933</v>
      </c>
      <c r="AY34" s="4">
        <v>0.399765873424132</v>
      </c>
      <c r="AZ34" s="4">
        <v>0.268851846262501</v>
      </c>
      <c r="BA34" s="4">
        <v>0.373417367968426</v>
      </c>
      <c r="BB34" s="4">
        <v>0.447055589255664</v>
      </c>
      <c r="BC34" s="4">
        <v>0.379968594749654</v>
      </c>
      <c r="BD34" s="4">
        <v>0.535127868383585</v>
      </c>
      <c r="BE34" s="4">
        <v>0.432126926626049</v>
      </c>
      <c r="BF34" s="4">
        <v>0.577383030990271</v>
      </c>
      <c r="BG34" s="4">
        <v>0.430948465843174</v>
      </c>
      <c r="BH34" s="4">
        <v>0.320554159618688</v>
      </c>
      <c r="BI34" s="4">
        <v>0.108171935281319</v>
      </c>
      <c r="BJ34" s="4">
        <v>0.24486322610995</v>
      </c>
      <c r="BK34" s="4">
        <v>0.331839174885205</v>
      </c>
      <c r="BL34" s="4">
        <v>0.420359156090153</v>
      </c>
      <c r="BM34" s="4">
        <v>0.342391854727315</v>
      </c>
      <c r="BN34" s="4">
        <v>0.45574177970844</v>
      </c>
      <c r="BO34" s="4">
        <v>0.330760403706676</v>
      </c>
      <c r="BP34" s="4">
        <v>0.59451144418954</v>
      </c>
      <c r="BQ34" s="4">
        <v>0.2056731181222</v>
      </c>
      <c r="BR34" s="4">
        <v>0.508439726504177</v>
      </c>
      <c r="BS34" s="4">
        <v>0.436525531218946</v>
      </c>
      <c r="BT34" s="4">
        <v>0.338710809149333</v>
      </c>
      <c r="BU34" s="4">
        <v>0.385480611956925</v>
      </c>
      <c r="BV34" s="4">
        <v>0.238446412605473</v>
      </c>
      <c r="BW34" s="4">
        <v>0.257345876064493</v>
      </c>
      <c r="BX34" s="4">
        <v>0.239900251714389</v>
      </c>
      <c r="BY34" s="4">
        <v>0.260863321652509</v>
      </c>
      <c r="BZ34" s="4">
        <v>0.231873007575533</v>
      </c>
      <c r="CA34" s="4">
        <v>0.353811682260133</v>
      </c>
      <c r="CB34" s="4">
        <v>0.313308266216743</v>
      </c>
      <c r="CC34" s="4">
        <v>0.484024843236864</v>
      </c>
      <c r="CD34" s="4">
        <v>0.181952840834666</v>
      </c>
      <c r="CE34" s="4">
        <v>0.295888876024773</v>
      </c>
      <c r="CF34" s="4">
        <v>0.350441551049946</v>
      </c>
      <c r="CG34" s="4">
        <v>0.434072064447293</v>
      </c>
      <c r="CH34" s="4">
        <v>0.371771263129656</v>
      </c>
      <c r="CI34" s="4">
        <v>0.581932632569395</v>
      </c>
      <c r="CJ34" s="4">
        <v>0.273852835942825</v>
      </c>
      <c r="CK34" s="4">
        <v>0.32709683476578</v>
      </c>
      <c r="CL34" s="4">
        <v>0.244532103388223</v>
      </c>
      <c r="CM34" s="4">
        <v>-0.138895278455842</v>
      </c>
      <c r="CN34" s="4">
        <v>0.247156522979908</v>
      </c>
      <c r="CO34" s="4">
        <v>0.0280266879650196</v>
      </c>
      <c r="CP34" s="4">
        <v>0.0262481390469946</v>
      </c>
      <c r="CQ34" s="4">
        <v>-0.0721528210510913</v>
      </c>
      <c r="CR34" s="4">
        <v>0.00413770674578409</v>
      </c>
      <c r="CS34" s="4">
        <v>0.197904971681711</v>
      </c>
      <c r="CT34" s="4">
        <v>0.131297078894535</v>
      </c>
      <c r="CU34" s="4">
        <v>0.220061046903459</v>
      </c>
      <c r="CV34" s="4">
        <v>0.421611849061262</v>
      </c>
      <c r="CW34" s="4">
        <v>0.46505397069438</v>
      </c>
      <c r="CX34" s="4">
        <v>0.303210024225692</v>
      </c>
      <c r="CY34" s="4">
        <v>0.381542589036246</v>
      </c>
      <c r="CZ34" s="4">
        <v>0.236870869553708</v>
      </c>
      <c r="DA34" s="4">
        <v>0.237112149232169</v>
      </c>
      <c r="DB34" s="4">
        <v>0.245317498503244</v>
      </c>
      <c r="DC34" s="4">
        <v>0.319064726465107</v>
      </c>
      <c r="DD34" s="4">
        <v>0.029560474387503</v>
      </c>
      <c r="DE34" s="4">
        <v>0.426756227430605</v>
      </c>
      <c r="DF34" s="4">
        <v>0.366009467198526</v>
      </c>
      <c r="DG34" s="4">
        <v>0.154916424660932</v>
      </c>
      <c r="DH34" s="4">
        <v>0.458943426366651</v>
      </c>
      <c r="DI34" s="4">
        <v>0.375737415752143</v>
      </c>
      <c r="DJ34" s="4">
        <v>0.263414487468207</v>
      </c>
      <c r="DK34" s="4">
        <v>0.257355951910073</v>
      </c>
      <c r="DL34" s="4">
        <v>0.278818250703302</v>
      </c>
      <c r="DM34" s="4">
        <v>0.31090170524296</v>
      </c>
      <c r="DN34" s="4">
        <v>0.268068512623166</v>
      </c>
      <c r="DO34" s="4">
        <v>0.203803083248191</v>
      </c>
      <c r="DP34" s="4">
        <v>0.337920984046049</v>
      </c>
      <c r="DQ34" s="4">
        <v>0.228511617329415</v>
      </c>
      <c r="DR34" s="4">
        <v>0.364768323523852</v>
      </c>
      <c r="DS34" s="4">
        <v>0.271326003927189</v>
      </c>
      <c r="DT34" s="4">
        <v>0.207008147555766</v>
      </c>
      <c r="DU34" s="4">
        <v>0.32860090986565</v>
      </c>
      <c r="DV34" s="4">
        <v>0.255251157863322</v>
      </c>
      <c r="DW34" s="4">
        <v>0.13944683872824</v>
      </c>
      <c r="DX34" s="4">
        <v>0.473423924346073</v>
      </c>
      <c r="DY34" s="4">
        <v>0.417183176662002</v>
      </c>
    </row>
    <row r="35" ht="14" spans="1:129">
      <c r="A35" s="31" t="s">
        <v>33</v>
      </c>
      <c r="B35" s="4" t="str">
        <v/>
      </c>
      <c r="C35" s="4" t="str">
        <v/>
      </c>
      <c r="D35" s="4" t="str">
        <v/>
      </c>
      <c r="E35" s="4" t="str">
        <v/>
      </c>
      <c r="F35" s="4" t="str">
        <v/>
      </c>
      <c r="G35" s="4" t="str">
        <v/>
      </c>
      <c r="H35" s="4" t="str">
        <v/>
      </c>
      <c r="I35" s="4" t="str">
        <v/>
      </c>
      <c r="J35" s="4" t="str">
        <v/>
      </c>
      <c r="K35" s="4" t="str">
        <v/>
      </c>
      <c r="L35" s="4" t="str">
        <v/>
      </c>
      <c r="M35" s="4" t="str">
        <v/>
      </c>
      <c r="N35" s="4" t="str">
        <v/>
      </c>
      <c r="O35" s="4" t="str">
        <v/>
      </c>
      <c r="P35" s="4" t="str">
        <v/>
      </c>
      <c r="Q35" s="4" t="str">
        <v/>
      </c>
      <c r="R35" s="4" t="str">
        <v/>
      </c>
      <c r="S35" s="4" t="str">
        <v/>
      </c>
      <c r="T35" s="4" t="str">
        <v/>
      </c>
      <c r="U35" s="4" t="str">
        <v/>
      </c>
      <c r="V35" s="4" t="str">
        <v/>
      </c>
      <c r="W35" s="4" t="str">
        <v/>
      </c>
      <c r="X35" s="4" t="str">
        <v/>
      </c>
      <c r="Y35" s="4" t="str">
        <v/>
      </c>
      <c r="Z35" s="4" t="str">
        <v/>
      </c>
      <c r="AA35" s="4" t="str">
        <v/>
      </c>
      <c r="AB35" s="4" t="str">
        <v/>
      </c>
      <c r="AC35" s="4" t="str">
        <v/>
      </c>
      <c r="AD35" s="4" t="str">
        <v/>
      </c>
      <c r="AE35" s="4" t="str">
        <v/>
      </c>
      <c r="AF35" s="4" t="str">
        <v/>
      </c>
      <c r="AG35" s="4">
        <v>1</v>
      </c>
      <c r="AH35" s="4">
        <v>0.513029917342286</v>
      </c>
      <c r="AI35" s="4">
        <v>0.578092694718447</v>
      </c>
      <c r="AJ35" s="4">
        <v>0.265715810940948</v>
      </c>
      <c r="AK35" s="4">
        <v>0.281897070301177</v>
      </c>
      <c r="AL35" s="4">
        <v>0.379649328759934</v>
      </c>
      <c r="AM35" s="4">
        <v>0.467009986974256</v>
      </c>
      <c r="AN35" s="4">
        <v>0.2483602509721</v>
      </c>
      <c r="AO35" s="4">
        <v>0.519140069167453</v>
      </c>
      <c r="AP35" s="4">
        <v>0.505782203657596</v>
      </c>
      <c r="AQ35" s="4">
        <v>0.430620670423233</v>
      </c>
      <c r="AR35" s="4">
        <v>0.450426896409149</v>
      </c>
      <c r="AS35" s="4">
        <v>0.309912409296849</v>
      </c>
      <c r="AT35" s="4">
        <v>0.498396930221181</v>
      </c>
      <c r="AU35" s="4">
        <v>0.439715098689524</v>
      </c>
      <c r="AV35" s="4">
        <v>0.496636201181761</v>
      </c>
      <c r="AW35" s="4">
        <v>0.352656992188914</v>
      </c>
      <c r="AX35" s="4">
        <v>0.376670031258347</v>
      </c>
      <c r="AY35" s="4">
        <v>0.612620683586445</v>
      </c>
      <c r="AZ35" s="4">
        <v>0.55101887084026</v>
      </c>
      <c r="BA35" s="4">
        <v>0.594274080403009</v>
      </c>
      <c r="BB35" s="4">
        <v>0.665228685490743</v>
      </c>
      <c r="BC35" s="4">
        <v>0.587026881478813</v>
      </c>
      <c r="BD35" s="4">
        <v>0.50760109880852</v>
      </c>
      <c r="BE35" s="4">
        <v>0.326490719049869</v>
      </c>
      <c r="BF35" s="4">
        <v>0.484319668222409</v>
      </c>
      <c r="BG35" s="4">
        <v>0.605985865374728</v>
      </c>
      <c r="BH35" s="4">
        <v>0.560533579733985</v>
      </c>
      <c r="BI35" s="4">
        <v>0.306099294653152</v>
      </c>
      <c r="BJ35" s="4">
        <v>0.25893092406718</v>
      </c>
      <c r="BK35" s="4">
        <v>0.404808185403054</v>
      </c>
      <c r="BL35" s="4">
        <v>0.435555069638684</v>
      </c>
      <c r="BM35" s="4">
        <v>0.42093628321591</v>
      </c>
      <c r="BN35" s="4">
        <v>0.445480520586525</v>
      </c>
      <c r="BO35" s="4">
        <v>0.516026405385759</v>
      </c>
      <c r="BP35" s="4">
        <v>0.492026229484497</v>
      </c>
      <c r="BQ35" s="4">
        <v>0.404702817251011</v>
      </c>
      <c r="BR35" s="4">
        <v>0.490748199452906</v>
      </c>
      <c r="BS35" s="4">
        <v>0.381487811605415</v>
      </c>
      <c r="BT35" s="4">
        <v>0.335325792319063</v>
      </c>
      <c r="BU35" s="4">
        <v>0.533676144744891</v>
      </c>
      <c r="BV35" s="4">
        <v>0.199355386349558</v>
      </c>
      <c r="BW35" s="4">
        <v>0.099022083686765</v>
      </c>
      <c r="BX35" s="4">
        <v>0.431557153494966</v>
      </c>
      <c r="BY35" s="4">
        <v>0.312615207343969</v>
      </c>
      <c r="BZ35" s="4">
        <v>0.350109538580728</v>
      </c>
      <c r="CA35" s="4">
        <v>0.362632579070711</v>
      </c>
      <c r="CB35" s="4">
        <v>0.456196848355605</v>
      </c>
      <c r="CC35" s="4">
        <v>0.279251152962837</v>
      </c>
      <c r="CD35" s="4">
        <v>0.423115119356763</v>
      </c>
      <c r="CE35" s="4">
        <v>0.246355087765746</v>
      </c>
      <c r="CF35" s="4">
        <v>0.456528741441033</v>
      </c>
      <c r="CG35" s="4">
        <v>0.525860770374603</v>
      </c>
      <c r="CH35" s="4">
        <v>0.415649061889609</v>
      </c>
      <c r="CI35" s="4">
        <v>0.713371325055057</v>
      </c>
      <c r="CJ35" s="4">
        <v>0.492389335043761</v>
      </c>
      <c r="CK35" s="4">
        <v>0.192637922286456</v>
      </c>
      <c r="CL35" s="4">
        <v>0.43332982365867</v>
      </c>
      <c r="CM35" s="4">
        <v>0.112918465360156</v>
      </c>
      <c r="CN35" s="4">
        <v>0.347147107468497</v>
      </c>
      <c r="CO35" s="4">
        <v>0.39608042505673</v>
      </c>
      <c r="CP35" s="4">
        <v>0.219908913758735</v>
      </c>
      <c r="CQ35" s="4">
        <v>0.247604022642897</v>
      </c>
      <c r="CR35" s="4">
        <v>0.240675451909476</v>
      </c>
      <c r="CS35" s="4">
        <v>0.182370107560266</v>
      </c>
      <c r="CT35" s="4">
        <v>0.271945081732513</v>
      </c>
      <c r="CU35" s="4">
        <v>0.390923674512478</v>
      </c>
      <c r="CV35" s="4">
        <v>0.382154476011754</v>
      </c>
      <c r="CW35" s="4">
        <v>0.371254007444669</v>
      </c>
      <c r="CX35" s="4">
        <v>0.334462577509606</v>
      </c>
      <c r="CY35" s="4">
        <v>0.338151255087244</v>
      </c>
      <c r="CZ35" s="4">
        <v>0.532751004293854</v>
      </c>
      <c r="DA35" s="4">
        <v>0.12156865370583</v>
      </c>
      <c r="DB35" s="4">
        <v>0.325122390369194</v>
      </c>
      <c r="DC35" s="4">
        <v>0.23644406252354</v>
      </c>
      <c r="DD35" s="4">
        <v>0.107192275844785</v>
      </c>
      <c r="DE35" s="4">
        <v>0.442425456026986</v>
      </c>
      <c r="DF35" s="4">
        <v>0.364252742242411</v>
      </c>
      <c r="DG35" s="4">
        <v>0.277106225609952</v>
      </c>
      <c r="DH35" s="4">
        <v>0.405182576668084</v>
      </c>
      <c r="DI35" s="4">
        <v>0.323545818225131</v>
      </c>
      <c r="DJ35" s="4">
        <v>0.295488084625824</v>
      </c>
      <c r="DK35" s="4">
        <v>0.251527610129952</v>
      </c>
      <c r="DL35" s="4">
        <v>0.363053421764251</v>
      </c>
      <c r="DM35" s="4">
        <v>0.296270788194871</v>
      </c>
      <c r="DN35" s="4">
        <v>0.329124961431272</v>
      </c>
      <c r="DO35" s="4">
        <v>0.280243955007635</v>
      </c>
      <c r="DP35" s="4">
        <v>0.416992605734232</v>
      </c>
      <c r="DQ35" s="4">
        <v>0.315447947552959</v>
      </c>
      <c r="DR35" s="4">
        <v>0.380382118255582</v>
      </c>
      <c r="DS35" s="4">
        <v>0.316597156097301</v>
      </c>
      <c r="DT35" s="4">
        <v>0.291871468866001</v>
      </c>
      <c r="DU35" s="4">
        <v>0.341209778730486</v>
      </c>
      <c r="DV35" s="4">
        <v>0.37735438441665</v>
      </c>
      <c r="DW35" s="4">
        <v>0.290944208094138</v>
      </c>
      <c r="DX35" s="4">
        <v>0.442966788357224</v>
      </c>
      <c r="DY35" s="4">
        <v>0.343944792403821</v>
      </c>
    </row>
    <row r="36" ht="14" spans="1:129">
      <c r="A36" s="31" t="s">
        <v>34</v>
      </c>
      <c r="B36" s="4" t="str">
        <v/>
      </c>
      <c r="C36" s="4" t="str">
        <v/>
      </c>
      <c r="D36" s="4" t="str">
        <v/>
      </c>
      <c r="E36" s="4" t="str">
        <v/>
      </c>
      <c r="F36" s="4" t="str">
        <v/>
      </c>
      <c r="G36" s="4" t="str">
        <v/>
      </c>
      <c r="H36" s="4" t="str">
        <v/>
      </c>
      <c r="I36" s="4" t="str">
        <v/>
      </c>
      <c r="J36" s="4" t="str">
        <v/>
      </c>
      <c r="K36" s="4" t="str">
        <v/>
      </c>
      <c r="L36" s="4" t="str">
        <v/>
      </c>
      <c r="M36" s="4" t="str">
        <v/>
      </c>
      <c r="N36" s="4" t="str">
        <v/>
      </c>
      <c r="O36" s="4" t="str">
        <v/>
      </c>
      <c r="P36" s="4" t="str">
        <v/>
      </c>
      <c r="Q36" s="4" t="str">
        <v/>
      </c>
      <c r="R36" s="4" t="str">
        <v/>
      </c>
      <c r="S36" s="4" t="str">
        <v/>
      </c>
      <c r="T36" s="4" t="str">
        <v/>
      </c>
      <c r="U36" s="4" t="str">
        <v/>
      </c>
      <c r="V36" s="4" t="str">
        <v/>
      </c>
      <c r="W36" s="4" t="str">
        <v/>
      </c>
      <c r="X36" s="4" t="str">
        <v/>
      </c>
      <c r="Y36" s="4" t="str">
        <v/>
      </c>
      <c r="Z36" s="4" t="str">
        <v/>
      </c>
      <c r="AA36" s="4" t="str">
        <v/>
      </c>
      <c r="AB36" s="4" t="str">
        <v/>
      </c>
      <c r="AC36" s="4" t="str">
        <v/>
      </c>
      <c r="AD36" s="4" t="str">
        <v/>
      </c>
      <c r="AE36" s="4" t="str">
        <v/>
      </c>
      <c r="AF36" s="4" t="str">
        <v/>
      </c>
      <c r="AG36" s="4" t="str">
        <v/>
      </c>
      <c r="AH36" s="4">
        <v>1</v>
      </c>
      <c r="AI36" s="4">
        <v>0.4524239432543</v>
      </c>
      <c r="AJ36" s="4">
        <v>0.272000070683204</v>
      </c>
      <c r="AK36" s="4">
        <v>0.254627011211099</v>
      </c>
      <c r="AL36" s="4">
        <v>0.40915306577139</v>
      </c>
      <c r="AM36" s="4">
        <v>0.409401766160794</v>
      </c>
      <c r="AN36" s="4">
        <v>0.313396306025907</v>
      </c>
      <c r="AO36" s="4">
        <v>0.461729900990993</v>
      </c>
      <c r="AP36" s="4">
        <v>0.285243244358252</v>
      </c>
      <c r="AQ36" s="4">
        <v>0.307507307466257</v>
      </c>
      <c r="AR36" s="4">
        <v>0.31238992638379</v>
      </c>
      <c r="AS36" s="4">
        <v>0.300141694954014</v>
      </c>
      <c r="AT36" s="4">
        <v>0.36748158914741</v>
      </c>
      <c r="AU36" s="4">
        <v>0.295768432174862</v>
      </c>
      <c r="AV36" s="4">
        <v>0.330326880863845</v>
      </c>
      <c r="AW36" s="4">
        <v>0.225695839580661</v>
      </c>
      <c r="AX36" s="4">
        <v>0.48088159217223</v>
      </c>
      <c r="AY36" s="4">
        <v>0.549644419072992</v>
      </c>
      <c r="AZ36" s="4">
        <v>0.363542528566702</v>
      </c>
      <c r="BA36" s="4">
        <v>0.437165223455657</v>
      </c>
      <c r="BB36" s="4">
        <v>0.574333685274323</v>
      </c>
      <c r="BC36" s="4">
        <v>0.491064708209028</v>
      </c>
      <c r="BD36" s="4">
        <v>0.331499484573558</v>
      </c>
      <c r="BE36" s="4">
        <v>0.393000674791564</v>
      </c>
      <c r="BF36" s="4">
        <v>0.367024324656263</v>
      </c>
      <c r="BG36" s="4">
        <v>0.358568247957326</v>
      </c>
      <c r="BH36" s="4">
        <v>0.307468072460227</v>
      </c>
      <c r="BI36" s="4">
        <v>0.221053493518097</v>
      </c>
      <c r="BJ36" s="4">
        <v>0.0875129350400655</v>
      </c>
      <c r="BK36" s="4">
        <v>0.041759648149481</v>
      </c>
      <c r="BL36" s="4">
        <v>0.254195867324037</v>
      </c>
      <c r="BM36" s="4">
        <v>0.238428042186196</v>
      </c>
      <c r="BN36" s="4">
        <v>0.438797068613923</v>
      </c>
      <c r="BO36" s="4">
        <v>0.243828113907873</v>
      </c>
      <c r="BP36" s="4">
        <v>0.272192830692833</v>
      </c>
      <c r="BQ36" s="4">
        <v>0.0695768079349661</v>
      </c>
      <c r="BR36" s="4">
        <v>0.283178239185476</v>
      </c>
      <c r="BS36" s="4">
        <v>0.326660475004627</v>
      </c>
      <c r="BT36" s="4">
        <v>0.284382078292203</v>
      </c>
      <c r="BU36" s="4">
        <v>0.324209438340207</v>
      </c>
      <c r="BV36" s="4">
        <v>0.190688593191365</v>
      </c>
      <c r="BW36" s="4">
        <v>0.161362553043549</v>
      </c>
      <c r="BX36" s="4">
        <v>0.352964309451543</v>
      </c>
      <c r="BY36" s="4">
        <v>0.234823127599262</v>
      </c>
      <c r="BZ36" s="4">
        <v>0.0629555560303701</v>
      </c>
      <c r="CA36" s="4">
        <v>0.129646402849126</v>
      </c>
      <c r="CB36" s="4">
        <v>0.103418459094543</v>
      </c>
      <c r="CC36" s="4">
        <v>0.282128463169734</v>
      </c>
      <c r="CD36" s="4">
        <v>0.101404476125936</v>
      </c>
      <c r="CE36" s="4">
        <v>0.155479092838556</v>
      </c>
      <c r="CF36" s="4">
        <v>0.214831802165833</v>
      </c>
      <c r="CG36" s="4">
        <v>0.486691235120398</v>
      </c>
      <c r="CH36" s="4">
        <v>0.17381649995716</v>
      </c>
      <c r="CI36" s="4">
        <v>0.510225450216432</v>
      </c>
      <c r="CJ36" s="4">
        <v>0.242451836035539</v>
      </c>
      <c r="CK36" s="4">
        <v>0.183150872773789</v>
      </c>
      <c r="CL36" s="4">
        <v>0.306506892211331</v>
      </c>
      <c r="CM36" s="4">
        <v>0.148903327920523</v>
      </c>
      <c r="CN36" s="4">
        <v>0.377420377823682</v>
      </c>
      <c r="CO36" s="4">
        <v>0.228514020495333</v>
      </c>
      <c r="CP36" s="4">
        <v>0.0792362479095774</v>
      </c>
      <c r="CQ36" s="4">
        <v>0.167640258275512</v>
      </c>
      <c r="CR36" s="4">
        <v>0.0207320719009154</v>
      </c>
      <c r="CS36" s="4">
        <v>-0.0598457884092026</v>
      </c>
      <c r="CT36" s="4">
        <v>0.144167397461094</v>
      </c>
      <c r="CU36" s="4">
        <v>0.196631073846867</v>
      </c>
      <c r="CV36" s="4">
        <v>0.169094395005838</v>
      </c>
      <c r="CW36" s="4">
        <v>0.191658807193205</v>
      </c>
      <c r="CX36" s="4">
        <v>0.226739572857907</v>
      </c>
      <c r="CY36" s="4">
        <v>0.385591701445485</v>
      </c>
      <c r="CZ36" s="4">
        <v>0.359710131235067</v>
      </c>
      <c r="DA36" s="4">
        <v>0.117410674270504</v>
      </c>
      <c r="DB36" s="4">
        <v>0.436699070453549</v>
      </c>
      <c r="DC36" s="4">
        <v>0.239165212359127</v>
      </c>
      <c r="DD36" s="4">
        <v>0.117632366390324</v>
      </c>
      <c r="DE36" s="4">
        <v>0.494633474336442</v>
      </c>
      <c r="DF36" s="4">
        <v>0.377789992353823</v>
      </c>
      <c r="DG36" s="4">
        <v>0.273071005130603</v>
      </c>
      <c r="DH36" s="4">
        <v>0.384589199177885</v>
      </c>
      <c r="DI36" s="4">
        <v>0.305288893645367</v>
      </c>
      <c r="DJ36" s="4">
        <v>0.172642965491237</v>
      </c>
      <c r="DK36" s="4">
        <v>0.283396314596414</v>
      </c>
      <c r="DL36" s="4">
        <v>0.268104381747289</v>
      </c>
      <c r="DM36" s="4">
        <v>0.28274378584864</v>
      </c>
      <c r="DN36" s="4">
        <v>0.236933654511895</v>
      </c>
      <c r="DO36" s="4">
        <v>0.165193917316935</v>
      </c>
      <c r="DP36" s="4">
        <v>0.277768944656707</v>
      </c>
      <c r="DQ36" s="4">
        <v>0.219743634604651</v>
      </c>
      <c r="DR36" s="4">
        <v>0.356980937818464</v>
      </c>
      <c r="DS36" s="4">
        <v>0.292953159732827</v>
      </c>
      <c r="DT36" s="4">
        <v>0.143537404076779</v>
      </c>
      <c r="DU36" s="4">
        <v>0.341765468778008</v>
      </c>
      <c r="DV36" s="4">
        <v>0.175868621605336</v>
      </c>
      <c r="DW36" s="4">
        <v>0.0914850393543612</v>
      </c>
      <c r="DX36" s="4">
        <v>0.30484330293459</v>
      </c>
      <c r="DY36" s="4">
        <v>0.295092084006035</v>
      </c>
    </row>
    <row r="37" ht="14" spans="1:129">
      <c r="A37" s="31" t="s">
        <v>35</v>
      </c>
      <c r="B37" s="4" t="str">
        <v/>
      </c>
      <c r="C37" s="4" t="str">
        <v/>
      </c>
      <c r="D37" s="4" t="str">
        <v/>
      </c>
      <c r="E37" s="4" t="str">
        <v/>
      </c>
      <c r="F37" s="4" t="str">
        <v/>
      </c>
      <c r="G37" s="4" t="str">
        <v/>
      </c>
      <c r="H37" s="4" t="str">
        <v/>
      </c>
      <c r="I37" s="4" t="str">
        <v/>
      </c>
      <c r="J37" s="4" t="str">
        <v/>
      </c>
      <c r="K37" s="4" t="str">
        <v/>
      </c>
      <c r="L37" s="4" t="str">
        <v/>
      </c>
      <c r="M37" s="4" t="str">
        <v/>
      </c>
      <c r="N37" s="4" t="str">
        <v/>
      </c>
      <c r="O37" s="4" t="str">
        <v/>
      </c>
      <c r="P37" s="4" t="str">
        <v/>
      </c>
      <c r="Q37" s="4" t="str">
        <v/>
      </c>
      <c r="R37" s="4" t="str">
        <v/>
      </c>
      <c r="S37" s="4" t="str">
        <v/>
      </c>
      <c r="T37" s="4" t="str">
        <v/>
      </c>
      <c r="U37" s="4" t="str">
        <v/>
      </c>
      <c r="V37" s="4" t="str">
        <v/>
      </c>
      <c r="W37" s="4" t="str">
        <v/>
      </c>
      <c r="X37" s="4" t="str">
        <v/>
      </c>
      <c r="Y37" s="4" t="str">
        <v/>
      </c>
      <c r="Z37" s="4" t="str">
        <v/>
      </c>
      <c r="AA37" s="4" t="str">
        <v/>
      </c>
      <c r="AB37" s="4" t="str">
        <v/>
      </c>
      <c r="AC37" s="4" t="str">
        <v/>
      </c>
      <c r="AD37" s="4" t="str">
        <v/>
      </c>
      <c r="AE37" s="4" t="str">
        <v/>
      </c>
      <c r="AF37" s="4" t="str">
        <v/>
      </c>
      <c r="AG37" s="4" t="str">
        <v/>
      </c>
      <c r="AH37" s="4" t="str">
        <v/>
      </c>
      <c r="AI37" s="4">
        <v>1</v>
      </c>
      <c r="AJ37" s="4">
        <v>0.301747356478545</v>
      </c>
      <c r="AK37" s="4">
        <v>0.267310680552928</v>
      </c>
      <c r="AL37" s="4">
        <v>0.222015310835617</v>
      </c>
      <c r="AM37" s="4">
        <v>0.257966939367405</v>
      </c>
      <c r="AN37" s="4">
        <v>0.193377338983858</v>
      </c>
      <c r="AO37" s="4">
        <v>0.409953664503858</v>
      </c>
      <c r="AP37" s="4">
        <v>0.442956853069717</v>
      </c>
      <c r="AQ37" s="4">
        <v>0.317613968737996</v>
      </c>
      <c r="AR37" s="4">
        <v>0.47397627916515</v>
      </c>
      <c r="AS37" s="4">
        <v>0.38285923514411</v>
      </c>
      <c r="AT37" s="4">
        <v>0.452636870557992</v>
      </c>
      <c r="AU37" s="4">
        <v>0.377151278039114</v>
      </c>
      <c r="AV37" s="4">
        <v>0.450785506243889</v>
      </c>
      <c r="AW37" s="4">
        <v>0.302866597824916</v>
      </c>
      <c r="AX37" s="4">
        <v>0.288284193263926</v>
      </c>
      <c r="AY37" s="4">
        <v>0.382648910754997</v>
      </c>
      <c r="AZ37" s="4">
        <v>0.493174150799084</v>
      </c>
      <c r="BA37" s="4">
        <v>0.554131677277742</v>
      </c>
      <c r="BB37" s="4">
        <v>0.405267672368628</v>
      </c>
      <c r="BC37" s="4">
        <v>0.45192350399461</v>
      </c>
      <c r="BD37" s="4">
        <v>0.571649063175459</v>
      </c>
      <c r="BE37" s="4">
        <v>0.283760008861283</v>
      </c>
      <c r="BF37" s="4">
        <v>0.595481156536133</v>
      </c>
      <c r="BG37" s="4">
        <v>0.605882873507888</v>
      </c>
      <c r="BH37" s="4">
        <v>0.3317835175724</v>
      </c>
      <c r="BI37" s="4">
        <v>0.364012249523199</v>
      </c>
      <c r="BJ37" s="4">
        <v>0.191474459774492</v>
      </c>
      <c r="BK37" s="4">
        <v>0.348903577978696</v>
      </c>
      <c r="BL37" s="4">
        <v>0.43170669502531</v>
      </c>
      <c r="BM37" s="4">
        <v>0.405040704160491</v>
      </c>
      <c r="BN37" s="4">
        <v>0.373519407684048</v>
      </c>
      <c r="BO37" s="4">
        <v>0.479522548424802</v>
      </c>
      <c r="BP37" s="4">
        <v>0.390392724375505</v>
      </c>
      <c r="BQ37" s="4">
        <v>0.323733872812555</v>
      </c>
      <c r="BR37" s="4">
        <v>0.482765365404691</v>
      </c>
      <c r="BS37" s="4">
        <v>0.383032153930385</v>
      </c>
      <c r="BT37" s="4">
        <v>0.402860729886709</v>
      </c>
      <c r="BU37" s="4">
        <v>0.488628940523338</v>
      </c>
      <c r="BV37" s="4">
        <v>0.256658387264238</v>
      </c>
      <c r="BW37" s="4">
        <v>0.137454744234047</v>
      </c>
      <c r="BX37" s="4">
        <v>0.444132328159531</v>
      </c>
      <c r="BY37" s="4">
        <v>0.329284517214585</v>
      </c>
      <c r="BZ37" s="4">
        <v>0.36218338374806</v>
      </c>
      <c r="CA37" s="4">
        <v>0.415355169076483</v>
      </c>
      <c r="CB37" s="4">
        <v>0.468817882327573</v>
      </c>
      <c r="CC37" s="4">
        <v>0.302143138083913</v>
      </c>
      <c r="CD37" s="4">
        <v>0.406766386247517</v>
      </c>
      <c r="CE37" s="4">
        <v>0.429677636504371</v>
      </c>
      <c r="CF37" s="4">
        <v>0.537050125116197</v>
      </c>
      <c r="CG37" s="4">
        <v>0.506520464994399</v>
      </c>
      <c r="CH37" s="4">
        <v>0.508226887498858</v>
      </c>
      <c r="CI37" s="4">
        <v>0.647327268479185</v>
      </c>
      <c r="CJ37" s="4">
        <v>0.548975808308971</v>
      </c>
      <c r="CK37" s="4">
        <v>0.263919552728679</v>
      </c>
      <c r="CL37" s="4">
        <v>0.415795890090883</v>
      </c>
      <c r="CM37" s="4">
        <v>0.0796714616168673</v>
      </c>
      <c r="CN37" s="4">
        <v>0.406853855487899</v>
      </c>
      <c r="CO37" s="4">
        <v>0.290310327513541</v>
      </c>
      <c r="CP37" s="4">
        <v>0.358187993516258</v>
      </c>
      <c r="CQ37" s="4">
        <v>0.227894503166589</v>
      </c>
      <c r="CR37" s="4">
        <v>0.169118054831218</v>
      </c>
      <c r="CS37" s="4">
        <v>0.140374061901236</v>
      </c>
      <c r="CT37" s="4">
        <v>0.356803915073948</v>
      </c>
      <c r="CU37" s="4">
        <v>0.332419163683318</v>
      </c>
      <c r="CV37" s="4">
        <v>0.333074212435246</v>
      </c>
      <c r="CW37" s="4">
        <v>0.331987178421393</v>
      </c>
      <c r="CX37" s="4">
        <v>0.210362696382768</v>
      </c>
      <c r="CY37" s="4">
        <v>0.196587398362057</v>
      </c>
      <c r="CZ37" s="4">
        <v>0.403497030082319</v>
      </c>
      <c r="DA37" s="4">
        <v>0.0613983686484333</v>
      </c>
      <c r="DB37" s="4">
        <v>0.154375414277094</v>
      </c>
      <c r="DC37" s="4">
        <v>0.31913043485475</v>
      </c>
      <c r="DD37" s="4">
        <v>0.208674607748072</v>
      </c>
      <c r="DE37" s="4">
        <v>0.446050837910434</v>
      </c>
      <c r="DF37" s="4">
        <v>0.312663666844868</v>
      </c>
      <c r="DG37" s="4">
        <v>0.191759580387406</v>
      </c>
      <c r="DH37" s="4">
        <v>0.371985381475214</v>
      </c>
      <c r="DI37" s="4">
        <v>0.383701040533014</v>
      </c>
      <c r="DJ37" s="4">
        <v>0.375291562658624</v>
      </c>
      <c r="DK37" s="4">
        <v>0.343285277814865</v>
      </c>
      <c r="DL37" s="4">
        <v>0.341789593460314</v>
      </c>
      <c r="DM37" s="4">
        <v>0.406627388250256</v>
      </c>
      <c r="DN37" s="4">
        <v>0.434059638668351</v>
      </c>
      <c r="DO37" s="4">
        <v>0.298075526332235</v>
      </c>
      <c r="DP37" s="4">
        <v>0.403034520816078</v>
      </c>
      <c r="DQ37" s="4">
        <v>0.420574942347235</v>
      </c>
      <c r="DR37" s="4">
        <v>0.379153740751818</v>
      </c>
      <c r="DS37" s="4">
        <v>0.197126931060932</v>
      </c>
      <c r="DT37" s="4">
        <v>0.340864423077124</v>
      </c>
      <c r="DU37" s="4">
        <v>0.438346979678554</v>
      </c>
      <c r="DV37" s="4">
        <v>0.391333220182568</v>
      </c>
      <c r="DW37" s="4">
        <v>0.119894567808362</v>
      </c>
      <c r="DX37" s="4">
        <v>0.498698049909725</v>
      </c>
      <c r="DY37" s="4">
        <v>0.392783751387288</v>
      </c>
    </row>
    <row r="38" ht="14" spans="1:129">
      <c r="A38" s="31" t="s">
        <v>36</v>
      </c>
      <c r="B38" s="4" t="str">
        <v/>
      </c>
      <c r="C38" s="4" t="str">
        <v/>
      </c>
      <c r="D38" s="4" t="str">
        <v/>
      </c>
      <c r="E38" s="4" t="str">
        <v/>
      </c>
      <c r="F38" s="4" t="str">
        <v/>
      </c>
      <c r="G38" s="4" t="str">
        <v/>
      </c>
      <c r="H38" s="4" t="str">
        <v/>
      </c>
      <c r="I38" s="4" t="str">
        <v/>
      </c>
      <c r="J38" s="4" t="str">
        <v/>
      </c>
      <c r="K38" s="4" t="str">
        <v/>
      </c>
      <c r="L38" s="4" t="str">
        <v/>
      </c>
      <c r="M38" s="4" t="str">
        <v/>
      </c>
      <c r="N38" s="4" t="str">
        <v/>
      </c>
      <c r="O38" s="4" t="str">
        <v/>
      </c>
      <c r="P38" s="4" t="str">
        <v/>
      </c>
      <c r="Q38" s="4" t="str">
        <v/>
      </c>
      <c r="R38" s="4" t="str">
        <v/>
      </c>
      <c r="S38" s="4" t="str">
        <v/>
      </c>
      <c r="T38" s="4" t="str">
        <v/>
      </c>
      <c r="U38" s="4" t="str">
        <v/>
      </c>
      <c r="V38" s="4" t="str">
        <v/>
      </c>
      <c r="W38" s="4" t="str">
        <v/>
      </c>
      <c r="X38" s="4" t="str">
        <v/>
      </c>
      <c r="Y38" s="4" t="str">
        <v/>
      </c>
      <c r="Z38" s="4" t="str">
        <v/>
      </c>
      <c r="AA38" s="4" t="str">
        <v/>
      </c>
      <c r="AB38" s="4" t="str">
        <v/>
      </c>
      <c r="AC38" s="4" t="str">
        <v/>
      </c>
      <c r="AD38" s="4" t="str">
        <v/>
      </c>
      <c r="AE38" s="4" t="str">
        <v/>
      </c>
      <c r="AF38" s="4" t="str">
        <v/>
      </c>
      <c r="AG38" s="4" t="str">
        <v/>
      </c>
      <c r="AH38" s="4" t="str">
        <v/>
      </c>
      <c r="AI38" s="4" t="str">
        <v/>
      </c>
      <c r="AJ38" s="4">
        <v>1</v>
      </c>
      <c r="AK38" s="4">
        <v>0.257229730770205</v>
      </c>
      <c r="AL38" s="4">
        <v>0.165860945596002</v>
      </c>
      <c r="AM38" s="4">
        <v>0.0753886223575741</v>
      </c>
      <c r="AN38" s="4">
        <v>0.255418411026392</v>
      </c>
      <c r="AO38" s="4">
        <v>0.0432273017464443</v>
      </c>
      <c r="AP38" s="4">
        <v>0.238158258238589</v>
      </c>
      <c r="AQ38" s="4">
        <v>0.259153271888718</v>
      </c>
      <c r="AR38" s="4">
        <v>0.152863013606049</v>
      </c>
      <c r="AS38" s="4">
        <v>0.0915047682347122</v>
      </c>
      <c r="AT38" s="4">
        <v>0.0720047485512404</v>
      </c>
      <c r="AU38" s="4">
        <v>0.140712744302049</v>
      </c>
      <c r="AV38" s="4">
        <v>0.0931647879629257</v>
      </c>
      <c r="AW38" s="4">
        <v>0.0522844513177488</v>
      </c>
      <c r="AX38" s="4">
        <v>0.14922399800987</v>
      </c>
      <c r="AY38" s="4">
        <v>0.314376298427306</v>
      </c>
      <c r="AZ38" s="4">
        <v>0.211933512162973</v>
      </c>
      <c r="BA38" s="4">
        <v>0.229408220455551</v>
      </c>
      <c r="BB38" s="4">
        <v>0.122044581428183</v>
      </c>
      <c r="BC38" s="4">
        <v>0.138744030772217</v>
      </c>
      <c r="BD38" s="4">
        <v>0.201655155587673</v>
      </c>
      <c r="BE38" s="4">
        <v>0.0367424283571387</v>
      </c>
      <c r="BF38" s="4">
        <v>0.378912893881038</v>
      </c>
      <c r="BG38" s="4">
        <v>0.264704325165083</v>
      </c>
      <c r="BH38" s="4">
        <v>0.271704113969793</v>
      </c>
      <c r="BI38" s="4">
        <v>0.0835499542193776</v>
      </c>
      <c r="BJ38" s="4">
        <v>0.19511277385735</v>
      </c>
      <c r="BK38" s="4">
        <v>0.137109800214951</v>
      </c>
      <c r="BL38" s="4">
        <v>0.0721418561254555</v>
      </c>
      <c r="BM38" s="4">
        <v>0.0500014558721264</v>
      </c>
      <c r="BN38" s="4">
        <v>0.338876732139332</v>
      </c>
      <c r="BO38" s="4">
        <v>0.411707369355395</v>
      </c>
      <c r="BP38" s="4">
        <v>0.233431676564549</v>
      </c>
      <c r="BQ38" s="4">
        <v>0.0422948158775273</v>
      </c>
      <c r="BR38" s="4">
        <v>0.249928614573136</v>
      </c>
      <c r="BS38" s="4">
        <v>0.0206627827364163</v>
      </c>
      <c r="BT38" s="4">
        <v>-0.0353532623815248</v>
      </c>
      <c r="BU38" s="4">
        <v>0.137122406063608</v>
      </c>
      <c r="BV38" s="4">
        <v>0.03315888835945</v>
      </c>
      <c r="BW38" s="4">
        <v>0.16475212599736</v>
      </c>
      <c r="BX38" s="4">
        <v>0.368159565924607</v>
      </c>
      <c r="BY38" s="4">
        <v>0.110690486049464</v>
      </c>
      <c r="BZ38" s="4">
        <v>0.191857783654155</v>
      </c>
      <c r="CA38" s="4">
        <v>0.10433465236404</v>
      </c>
      <c r="CB38" s="4">
        <v>0.250542990580659</v>
      </c>
      <c r="CC38" s="4">
        <v>0.126544749688332</v>
      </c>
      <c r="CD38" s="4">
        <v>0.163100776444968</v>
      </c>
      <c r="CE38" s="4">
        <v>0.212688622448112</v>
      </c>
      <c r="CF38" s="4">
        <v>0.290294668149977</v>
      </c>
      <c r="CG38" s="4">
        <v>0.12505757836993</v>
      </c>
      <c r="CH38" s="4">
        <v>0.365496041445173</v>
      </c>
      <c r="CI38" s="4">
        <v>0.336605674040135</v>
      </c>
      <c r="CJ38" s="4">
        <v>0.191752241441177</v>
      </c>
      <c r="CK38" s="4">
        <v>0.0867598664549192</v>
      </c>
      <c r="CL38" s="4">
        <v>0.11024788866489</v>
      </c>
      <c r="CM38" s="4">
        <v>0.27377446507988</v>
      </c>
      <c r="CN38" s="4">
        <v>0.373951676700507</v>
      </c>
      <c r="CO38" s="4">
        <v>0.181335582862593</v>
      </c>
      <c r="CP38" s="4">
        <v>0.182666765261552</v>
      </c>
      <c r="CQ38" s="4">
        <v>0.234323579015926</v>
      </c>
      <c r="CR38" s="4">
        <v>0.256896554342187</v>
      </c>
      <c r="CS38" s="4">
        <v>-0.00336911722624994</v>
      </c>
      <c r="CT38" s="4">
        <v>0.0306746138723402</v>
      </c>
      <c r="CU38" s="4">
        <v>0.0249866762859571</v>
      </c>
      <c r="CV38" s="4">
        <v>0.347999118861172</v>
      </c>
      <c r="CW38" s="4">
        <v>0.279962164736655</v>
      </c>
      <c r="CX38" s="4">
        <v>0.00648431422496511</v>
      </c>
      <c r="CY38" s="4">
        <v>0.118407531795545</v>
      </c>
      <c r="CZ38" s="4">
        <v>0.237602255093155</v>
      </c>
      <c r="DA38" s="4">
        <v>0.238269949652612</v>
      </c>
      <c r="DB38" s="4">
        <v>0.183203172459292</v>
      </c>
      <c r="DC38" s="4">
        <v>0.26708900715266</v>
      </c>
      <c r="DD38" s="4">
        <v>0.0208872848977914</v>
      </c>
      <c r="DE38" s="4">
        <v>0.33400443736311</v>
      </c>
      <c r="DF38" s="4">
        <v>0.32005102029177</v>
      </c>
      <c r="DG38" s="4">
        <v>0.0998445005881863</v>
      </c>
      <c r="DH38" s="4">
        <v>0.174690900515231</v>
      </c>
      <c r="DI38" s="4">
        <v>0.143656381807528</v>
      </c>
      <c r="DJ38" s="4">
        <v>0.141303201896366</v>
      </c>
      <c r="DK38" s="4">
        <v>0.108985753996148</v>
      </c>
      <c r="DL38" s="4">
        <v>0.10790833918877</v>
      </c>
      <c r="DM38" s="4">
        <v>0.115229701542984</v>
      </c>
      <c r="DN38" s="4">
        <v>0.193195709919067</v>
      </c>
      <c r="DO38" s="4">
        <v>0.0475098472517976</v>
      </c>
      <c r="DP38" s="4">
        <v>0.170497821029644</v>
      </c>
      <c r="DQ38" s="4">
        <v>0.134874411419563</v>
      </c>
      <c r="DR38" s="4">
        <v>0.158743571402961</v>
      </c>
      <c r="DS38" s="4">
        <v>0.0978817163840719</v>
      </c>
      <c r="DT38" s="4">
        <v>0.182005905832074</v>
      </c>
      <c r="DU38" s="4">
        <v>0.153777930141287</v>
      </c>
      <c r="DV38" s="4">
        <v>0.0695001196278719</v>
      </c>
      <c r="DW38" s="4">
        <v>0.156526920979053</v>
      </c>
      <c r="DX38" s="4">
        <v>0.0619168992304162</v>
      </c>
      <c r="DY38" s="4">
        <v>0.126692245658409</v>
      </c>
    </row>
    <row r="39" ht="14" spans="1:129">
      <c r="A39" s="31" t="s">
        <v>37</v>
      </c>
      <c r="B39" s="4" t="str">
        <v/>
      </c>
      <c r="C39" s="4" t="str">
        <v/>
      </c>
      <c r="D39" s="4" t="str">
        <v/>
      </c>
      <c r="E39" s="4" t="str">
        <v/>
      </c>
      <c r="F39" s="4" t="str">
        <v/>
      </c>
      <c r="G39" s="4" t="str">
        <v/>
      </c>
      <c r="H39" s="4" t="str">
        <v/>
      </c>
      <c r="I39" s="4" t="str">
        <v/>
      </c>
      <c r="J39" s="4" t="str">
        <v/>
      </c>
      <c r="K39" s="4" t="str">
        <v/>
      </c>
      <c r="L39" s="4" t="str">
        <v/>
      </c>
      <c r="M39" s="4" t="str">
        <v/>
      </c>
      <c r="N39" s="4" t="str">
        <v/>
      </c>
      <c r="O39" s="4" t="str">
        <v/>
      </c>
      <c r="P39" s="4" t="str">
        <v/>
      </c>
      <c r="Q39" s="4" t="str">
        <v/>
      </c>
      <c r="R39" s="4" t="str">
        <v/>
      </c>
      <c r="S39" s="4" t="str">
        <v/>
      </c>
      <c r="T39" s="4" t="str">
        <v/>
      </c>
      <c r="U39" s="4" t="str">
        <v/>
      </c>
      <c r="V39" s="4" t="str">
        <v/>
      </c>
      <c r="W39" s="4" t="str">
        <v/>
      </c>
      <c r="X39" s="4" t="str">
        <v/>
      </c>
      <c r="Y39" s="4" t="str">
        <v/>
      </c>
      <c r="Z39" s="4" t="str">
        <v/>
      </c>
      <c r="AA39" s="4" t="str">
        <v/>
      </c>
      <c r="AB39" s="4" t="str">
        <v/>
      </c>
      <c r="AC39" s="4" t="str">
        <v/>
      </c>
      <c r="AD39" s="4" t="str">
        <v/>
      </c>
      <c r="AE39" s="4" t="str">
        <v/>
      </c>
      <c r="AF39" s="4" t="str">
        <v/>
      </c>
      <c r="AG39" s="4" t="str">
        <v/>
      </c>
      <c r="AH39" s="4" t="str">
        <v/>
      </c>
      <c r="AI39" s="4" t="str">
        <v/>
      </c>
      <c r="AJ39" s="4" t="str">
        <v/>
      </c>
      <c r="AK39" s="4">
        <v>1</v>
      </c>
      <c r="AL39" s="4">
        <v>-0.0039335847151554</v>
      </c>
      <c r="AM39" s="4">
        <v>0.0943737699329617</v>
      </c>
      <c r="AN39" s="4">
        <v>0.20987022757247</v>
      </c>
      <c r="AO39" s="4">
        <v>0.153432951488664</v>
      </c>
      <c r="AP39" s="4">
        <v>0.126009421930331</v>
      </c>
      <c r="AQ39" s="4">
        <v>-0.031601875067134</v>
      </c>
      <c r="AR39" s="4">
        <v>0.147727518839788</v>
      </c>
      <c r="AS39" s="4">
        <v>-0.0442125896165391</v>
      </c>
      <c r="AT39" s="4">
        <v>0.026276075314548</v>
      </c>
      <c r="AU39" s="4">
        <v>0.0102108483202965</v>
      </c>
      <c r="AV39" s="4">
        <v>0.00792450999160051</v>
      </c>
      <c r="AW39" s="4">
        <v>0.0110097699301763</v>
      </c>
      <c r="AX39" s="4">
        <v>0.140237086337499</v>
      </c>
      <c r="AY39" s="4">
        <v>0.107454424233008</v>
      </c>
      <c r="AZ39" s="4">
        <v>0.118140701674713</v>
      </c>
      <c r="BA39" s="4">
        <v>0.0701153940532496</v>
      </c>
      <c r="BB39" s="4">
        <v>0.0625004726639869</v>
      </c>
      <c r="BC39" s="4">
        <v>0.0689930967499094</v>
      </c>
      <c r="BD39" s="4">
        <v>0.00757910769315026</v>
      </c>
      <c r="BE39" s="4">
        <v>-0.110747717776699</v>
      </c>
      <c r="BF39" s="4">
        <v>0.23717434609253</v>
      </c>
      <c r="BG39" s="4">
        <v>0.294942968301306</v>
      </c>
      <c r="BH39" s="4">
        <v>0.128096085978549</v>
      </c>
      <c r="BI39" s="4">
        <v>-0.19381287202256</v>
      </c>
      <c r="BJ39" s="4">
        <v>-0.148589502010468</v>
      </c>
      <c r="BK39" s="4">
        <v>0.0719924303981506</v>
      </c>
      <c r="BL39" s="4">
        <v>0.0182065759514179</v>
      </c>
      <c r="BM39" s="4">
        <v>-0.188262928717388</v>
      </c>
      <c r="BN39" s="4">
        <v>0.0963449623885085</v>
      </c>
      <c r="BO39" s="4">
        <v>0.133980215449126</v>
      </c>
      <c r="BP39" s="4">
        <v>0.232017113928315</v>
      </c>
      <c r="BQ39" s="4">
        <v>0.110223599494438</v>
      </c>
      <c r="BR39" s="4">
        <v>0.172536356747012</v>
      </c>
      <c r="BS39" s="4">
        <v>0.0445690557120392</v>
      </c>
      <c r="BT39" s="4">
        <v>-0.230391313381889</v>
      </c>
      <c r="BU39" s="4">
        <v>0.00122557576957619</v>
      </c>
      <c r="BV39" s="4">
        <v>-0.101453085800511</v>
      </c>
      <c r="BW39" s="4">
        <v>-0.129482639155985</v>
      </c>
      <c r="BX39" s="4">
        <v>0.0647655343301324</v>
      </c>
      <c r="BY39" s="4">
        <v>-0.218488183988359</v>
      </c>
      <c r="BZ39" s="4">
        <v>0.199610504678202</v>
      </c>
      <c r="CA39" s="4">
        <v>-0.0176410044155669</v>
      </c>
      <c r="CB39" s="4">
        <v>0.113789235190174</v>
      </c>
      <c r="CC39" s="4">
        <v>0.0979809987779708</v>
      </c>
      <c r="CD39" s="4">
        <v>0.188841847084676</v>
      </c>
      <c r="CE39" s="4">
        <v>0.0987657102385515</v>
      </c>
      <c r="CF39" s="4">
        <v>0.190136830976592</v>
      </c>
      <c r="CG39" s="4">
        <v>0.0792408425480614</v>
      </c>
      <c r="CH39" s="4">
        <v>0.291781890523382</v>
      </c>
      <c r="CI39" s="4">
        <v>0.11822413018709</v>
      </c>
      <c r="CJ39" s="4">
        <v>0.352226222334521</v>
      </c>
      <c r="CK39" s="4">
        <v>0.211972108500622</v>
      </c>
      <c r="CL39" s="4">
        <v>-0.172656249236377</v>
      </c>
      <c r="CM39" s="4">
        <v>0.409995419898634</v>
      </c>
      <c r="CN39" s="4">
        <v>0.287445122557668</v>
      </c>
      <c r="CO39" s="4">
        <v>0.212749959468279</v>
      </c>
      <c r="CP39" s="4">
        <v>0.11230359385133</v>
      </c>
      <c r="CQ39" s="4">
        <v>0.188406342083194</v>
      </c>
      <c r="CR39" s="4">
        <v>0.428802759512363</v>
      </c>
      <c r="CS39" s="4">
        <v>0.314341317075895</v>
      </c>
      <c r="CT39" s="4">
        <v>-0.238172824784278</v>
      </c>
      <c r="CU39" s="4">
        <v>0.213718792204684</v>
      </c>
      <c r="CV39" s="4">
        <v>0.326133719779284</v>
      </c>
      <c r="CW39" s="4">
        <v>0.118593675980151</v>
      </c>
      <c r="CX39" s="4">
        <v>0.0639730532846462</v>
      </c>
      <c r="CY39" s="4">
        <v>-0.138404745957623</v>
      </c>
      <c r="CZ39" s="4">
        <v>-0.0121448663660758</v>
      </c>
      <c r="DA39" s="4">
        <v>0.0571549215137992</v>
      </c>
      <c r="DB39" s="4">
        <v>0.134230261186624</v>
      </c>
      <c r="DC39" s="4">
        <v>0.0433631145076164</v>
      </c>
      <c r="DD39" s="4">
        <v>-0.205935233931966</v>
      </c>
      <c r="DE39" s="4">
        <v>0.222471559896901</v>
      </c>
      <c r="DF39" s="4">
        <v>0.153381107416191</v>
      </c>
      <c r="DG39" s="4">
        <v>0.107183415899593</v>
      </c>
      <c r="DH39" s="4">
        <v>0.087415622086725</v>
      </c>
      <c r="DI39" s="4">
        <v>0.0186773158500292</v>
      </c>
      <c r="DJ39" s="4">
        <v>0.00570278244947668</v>
      </c>
      <c r="DK39" s="4">
        <v>-0.108292356328898</v>
      </c>
      <c r="DL39" s="4">
        <v>-0.0841264182703376</v>
      </c>
      <c r="DM39" s="4">
        <v>-0.0631138843266639</v>
      </c>
      <c r="DN39" s="4">
        <v>-0.101621116517586</v>
      </c>
      <c r="DO39" s="4">
        <v>-0.30716268891914</v>
      </c>
      <c r="DP39" s="4">
        <v>-0.11275135355253</v>
      </c>
      <c r="DQ39" s="4">
        <v>-0.153251380522779</v>
      </c>
      <c r="DR39" s="4">
        <v>-0.0846701404795972</v>
      </c>
      <c r="DS39" s="4">
        <v>0.022943833973464</v>
      </c>
      <c r="DT39" s="4">
        <v>-0.135349390769267</v>
      </c>
      <c r="DU39" s="4">
        <v>-0.170530801919159</v>
      </c>
      <c r="DV39" s="4">
        <v>-0.242859204959909</v>
      </c>
      <c r="DW39" s="4">
        <v>0.0227622772983585</v>
      </c>
      <c r="DX39" s="4">
        <v>0.15711550484177</v>
      </c>
      <c r="DY39" s="4">
        <v>-0.0035191598104116</v>
      </c>
    </row>
    <row r="40" ht="14" spans="1:129">
      <c r="A40" s="31" t="s">
        <v>38</v>
      </c>
      <c r="B40" s="4" t="str">
        <v/>
      </c>
      <c r="C40" s="4" t="str">
        <v/>
      </c>
      <c r="D40" s="4" t="str">
        <v/>
      </c>
      <c r="E40" s="4" t="str">
        <v/>
      </c>
      <c r="F40" s="4" t="str">
        <v/>
      </c>
      <c r="G40" s="4" t="str">
        <v/>
      </c>
      <c r="H40" s="4" t="str">
        <v/>
      </c>
      <c r="I40" s="4" t="str">
        <v/>
      </c>
      <c r="J40" s="4" t="str">
        <v/>
      </c>
      <c r="K40" s="4" t="str">
        <v/>
      </c>
      <c r="L40" s="4" t="str">
        <v/>
      </c>
      <c r="M40" s="4" t="str">
        <v/>
      </c>
      <c r="N40" s="4" t="str">
        <v/>
      </c>
      <c r="O40" s="4" t="str">
        <v/>
      </c>
      <c r="P40" s="4" t="str">
        <v/>
      </c>
      <c r="Q40" s="4" t="str">
        <v/>
      </c>
      <c r="R40" s="4" t="str">
        <v/>
      </c>
      <c r="S40" s="4" t="str">
        <v/>
      </c>
      <c r="T40" s="4" t="str">
        <v/>
      </c>
      <c r="U40" s="4" t="str">
        <v/>
      </c>
      <c r="V40" s="4" t="str">
        <v/>
      </c>
      <c r="W40" s="4" t="str">
        <v/>
      </c>
      <c r="X40" s="4" t="str">
        <v/>
      </c>
      <c r="Y40" s="4" t="str">
        <v/>
      </c>
      <c r="Z40" s="4" t="str">
        <v/>
      </c>
      <c r="AA40" s="4" t="str">
        <v/>
      </c>
      <c r="AB40" s="4" t="str">
        <v/>
      </c>
      <c r="AC40" s="4" t="str">
        <v/>
      </c>
      <c r="AD40" s="4" t="str">
        <v/>
      </c>
      <c r="AE40" s="4" t="str">
        <v/>
      </c>
      <c r="AF40" s="4" t="str">
        <v/>
      </c>
      <c r="AG40" s="4" t="str">
        <v/>
      </c>
      <c r="AH40" s="4" t="str">
        <v/>
      </c>
      <c r="AI40" s="4" t="str">
        <v/>
      </c>
      <c r="AJ40" s="4" t="str">
        <v/>
      </c>
      <c r="AK40" s="4" t="str">
        <v/>
      </c>
      <c r="AL40" s="4">
        <v>1</v>
      </c>
      <c r="AM40" s="4">
        <v>0.266154574654231</v>
      </c>
      <c r="AN40" s="4">
        <v>0.342917927903385</v>
      </c>
      <c r="AO40" s="4">
        <v>0.450589316301092</v>
      </c>
      <c r="AP40" s="4">
        <v>0.516060211381923</v>
      </c>
      <c r="AQ40" s="4">
        <v>0.453526011930973</v>
      </c>
      <c r="AR40" s="4">
        <v>0.339279494522247</v>
      </c>
      <c r="AS40" s="4">
        <v>0.372570636083421</v>
      </c>
      <c r="AT40" s="4">
        <v>0.549961093130287</v>
      </c>
      <c r="AU40" s="4">
        <v>0.429870578959852</v>
      </c>
      <c r="AV40" s="4">
        <v>0.491476312017802</v>
      </c>
      <c r="AW40" s="4">
        <v>0.329674301624697</v>
      </c>
      <c r="AX40" s="4">
        <v>0.307042899536547</v>
      </c>
      <c r="AY40" s="4">
        <v>0.351733611399705</v>
      </c>
      <c r="AZ40" s="4">
        <v>0.184524521132779</v>
      </c>
      <c r="BA40" s="4">
        <v>0.205382293506333</v>
      </c>
      <c r="BB40" s="4">
        <v>0.494475917991737</v>
      </c>
      <c r="BC40" s="4">
        <v>0.574267874762117</v>
      </c>
      <c r="BD40" s="4">
        <v>0.434239530908772</v>
      </c>
      <c r="BE40" s="4">
        <v>0.227363427004251</v>
      </c>
      <c r="BF40" s="4">
        <v>0.431843589385041</v>
      </c>
      <c r="BG40" s="4">
        <v>0.335791228606425</v>
      </c>
      <c r="BH40" s="4">
        <v>0.438797108652728</v>
      </c>
      <c r="BI40" s="4">
        <v>0.408284113395667</v>
      </c>
      <c r="BJ40" s="4">
        <v>0.469054171596645</v>
      </c>
      <c r="BK40" s="4">
        <v>0.132664335635094</v>
      </c>
      <c r="BL40" s="4">
        <v>0.295980615229068</v>
      </c>
      <c r="BM40" s="4">
        <v>0.345424975854879</v>
      </c>
      <c r="BN40" s="4">
        <v>0.441905094828815</v>
      </c>
      <c r="BO40" s="4">
        <v>0.436997570204953</v>
      </c>
      <c r="BP40" s="4">
        <v>0.431194292770476</v>
      </c>
      <c r="BQ40" s="4">
        <v>-0.101847586234884</v>
      </c>
      <c r="BR40" s="4">
        <v>0.222534197633159</v>
      </c>
      <c r="BS40" s="4">
        <v>0.315041524108111</v>
      </c>
      <c r="BT40" s="4">
        <v>0.314123415827773</v>
      </c>
      <c r="BU40" s="4">
        <v>0.394343552427044</v>
      </c>
      <c r="BV40" s="4">
        <v>0.243464545092216</v>
      </c>
      <c r="BW40" s="4">
        <v>0.22879656601425</v>
      </c>
      <c r="BX40" s="4">
        <v>0.360347266172723</v>
      </c>
      <c r="BY40" s="4">
        <v>0.526015460642779</v>
      </c>
      <c r="BZ40" s="4">
        <v>0.0666703681656312</v>
      </c>
      <c r="CA40" s="4">
        <v>0.0899534046823996</v>
      </c>
      <c r="CB40" s="4">
        <v>0.171946748740482</v>
      </c>
      <c r="CC40" s="4">
        <v>0.187332509239749</v>
      </c>
      <c r="CD40" s="4">
        <v>0.0113961951303898</v>
      </c>
      <c r="CE40" s="4">
        <v>0.240810991732865</v>
      </c>
      <c r="CF40" s="4">
        <v>0.237630543336951</v>
      </c>
      <c r="CG40" s="4">
        <v>0.306351586705156</v>
      </c>
      <c r="CH40" s="4">
        <v>0.0898420865008322</v>
      </c>
      <c r="CI40" s="4">
        <v>0.56132237626545</v>
      </c>
      <c r="CJ40" s="4">
        <v>0.145930878966843</v>
      </c>
      <c r="CK40" s="4">
        <v>0.365850248865124</v>
      </c>
      <c r="CL40" s="4">
        <v>0.39180753674285</v>
      </c>
      <c r="CM40" s="4">
        <v>-0.0291662101825171</v>
      </c>
      <c r="CN40" s="4">
        <v>0.293447203198327</v>
      </c>
      <c r="CO40" s="4">
        <v>0.128051068470033</v>
      </c>
      <c r="CP40" s="4">
        <v>0.00905226416239368</v>
      </c>
      <c r="CQ40" s="4">
        <v>0.184723680242157</v>
      </c>
      <c r="CR40" s="4">
        <v>0.116188331587277</v>
      </c>
      <c r="CS40" s="4">
        <v>0.0890786717450761</v>
      </c>
      <c r="CT40" s="4">
        <v>0.337382084435826</v>
      </c>
      <c r="CU40" s="4">
        <v>0.199393489999194</v>
      </c>
      <c r="CV40" s="4">
        <v>0.142899636924708</v>
      </c>
      <c r="CW40" s="4">
        <v>0.246972383448542</v>
      </c>
      <c r="CX40" s="4">
        <v>0.285594349901791</v>
      </c>
      <c r="CY40" s="4">
        <v>0.284808332870348</v>
      </c>
      <c r="CZ40" s="4">
        <v>0.299960998133702</v>
      </c>
      <c r="DA40" s="4">
        <v>0.260288897304218</v>
      </c>
      <c r="DB40" s="4">
        <v>0.346795649905805</v>
      </c>
      <c r="DC40" s="4">
        <v>0.383147710389683</v>
      </c>
      <c r="DD40" s="4">
        <v>0.241805706919797</v>
      </c>
      <c r="DE40" s="4">
        <v>0.407198097029921</v>
      </c>
      <c r="DF40" s="4">
        <v>0.368549455179253</v>
      </c>
      <c r="DG40" s="4">
        <v>0.430679557339809</v>
      </c>
      <c r="DH40" s="4">
        <v>0.510937549012</v>
      </c>
      <c r="DI40" s="4">
        <v>0.556530579562147</v>
      </c>
      <c r="DJ40" s="4">
        <v>0.575820260387118</v>
      </c>
      <c r="DK40" s="4">
        <v>0.517336406865474</v>
      </c>
      <c r="DL40" s="4">
        <v>0.516873260947117</v>
      </c>
      <c r="DM40" s="4">
        <v>0.535390535501052</v>
      </c>
      <c r="DN40" s="4">
        <v>0.529311459604618</v>
      </c>
      <c r="DO40" s="4">
        <v>0.48702410059108</v>
      </c>
      <c r="DP40" s="4">
        <v>0.53805438810229</v>
      </c>
      <c r="DQ40" s="4">
        <v>0.477560516350056</v>
      </c>
      <c r="DR40" s="4">
        <v>0.53511862441626</v>
      </c>
      <c r="DS40" s="4">
        <v>0.488996339982334</v>
      </c>
      <c r="DT40" s="4">
        <v>0.509620014715703</v>
      </c>
      <c r="DU40" s="4">
        <v>0.532200083638069</v>
      </c>
      <c r="DV40" s="4">
        <v>0.462088163625552</v>
      </c>
      <c r="DW40" s="4">
        <v>0.239647459977334</v>
      </c>
      <c r="DX40" s="4">
        <v>0.200814460983821</v>
      </c>
      <c r="DY40" s="4">
        <v>0.51053470799685</v>
      </c>
    </row>
    <row r="41" ht="14" spans="1:129">
      <c r="A41" s="31" t="s">
        <v>39</v>
      </c>
      <c r="B41" s="4" t="str">
        <v/>
      </c>
      <c r="C41" s="4" t="str">
        <v/>
      </c>
      <c r="D41" s="4" t="str">
        <v/>
      </c>
      <c r="E41" s="4" t="str">
        <v/>
      </c>
      <c r="F41" s="4" t="str">
        <v/>
      </c>
      <c r="G41" s="4" t="str">
        <v/>
      </c>
      <c r="H41" s="4" t="str">
        <v/>
      </c>
      <c r="I41" s="4" t="str">
        <v/>
      </c>
      <c r="J41" s="4" t="str">
        <v/>
      </c>
      <c r="K41" s="4" t="str">
        <v/>
      </c>
      <c r="L41" s="4" t="str">
        <v/>
      </c>
      <c r="M41" s="4" t="str">
        <v/>
      </c>
      <c r="N41" s="4" t="str">
        <v/>
      </c>
      <c r="O41" s="4" t="str">
        <v/>
      </c>
      <c r="P41" s="4" t="str">
        <v/>
      </c>
      <c r="Q41" s="4" t="str">
        <v/>
      </c>
      <c r="R41" s="4" t="str">
        <v/>
      </c>
      <c r="S41" s="4" t="str">
        <v/>
      </c>
      <c r="T41" s="4" t="str">
        <v/>
      </c>
      <c r="U41" s="4" t="str">
        <v/>
      </c>
      <c r="V41" s="4" t="str">
        <v/>
      </c>
      <c r="W41" s="4" t="str">
        <v/>
      </c>
      <c r="X41" s="4" t="str">
        <v/>
      </c>
      <c r="Y41" s="4" t="str">
        <v/>
      </c>
      <c r="Z41" s="4" t="str">
        <v/>
      </c>
      <c r="AA41" s="4" t="str">
        <v/>
      </c>
      <c r="AB41" s="4" t="str">
        <v/>
      </c>
      <c r="AC41" s="4" t="str">
        <v/>
      </c>
      <c r="AD41" s="4" t="str">
        <v/>
      </c>
      <c r="AE41" s="4" t="str">
        <v/>
      </c>
      <c r="AF41" s="4" t="str">
        <v/>
      </c>
      <c r="AG41" s="4" t="str">
        <v/>
      </c>
      <c r="AH41" s="4" t="str">
        <v/>
      </c>
      <c r="AI41" s="4" t="str">
        <v/>
      </c>
      <c r="AJ41" s="4" t="str">
        <v/>
      </c>
      <c r="AK41" s="4" t="str">
        <v/>
      </c>
      <c r="AL41" s="4" t="str">
        <v/>
      </c>
      <c r="AM41" s="4">
        <v>1</v>
      </c>
      <c r="AN41" s="4">
        <v>0.265287434043312</v>
      </c>
      <c r="AO41" s="4">
        <v>0.420100251104697</v>
      </c>
      <c r="AP41" s="4">
        <v>0.417546561964384</v>
      </c>
      <c r="AQ41" s="4">
        <v>0.386795907751403</v>
      </c>
      <c r="AR41" s="4">
        <v>0.376899333950109</v>
      </c>
      <c r="AS41" s="4">
        <v>0.4519406579319</v>
      </c>
      <c r="AT41" s="4">
        <v>0.41448824619315</v>
      </c>
      <c r="AU41" s="4">
        <v>0.312666545634153</v>
      </c>
      <c r="AV41" s="4">
        <v>0.383142210008334</v>
      </c>
      <c r="AW41" s="4">
        <v>0.345671432236083</v>
      </c>
      <c r="AX41" s="4">
        <v>0.544432358394418</v>
      </c>
      <c r="AY41" s="4">
        <v>0.597998165989608</v>
      </c>
      <c r="AZ41" s="4">
        <v>0.477790290583526</v>
      </c>
      <c r="BA41" s="4">
        <v>0.405287815942103</v>
      </c>
      <c r="BB41" s="4">
        <v>0.375613669850726</v>
      </c>
      <c r="BC41" s="4">
        <v>0.441741650216798</v>
      </c>
      <c r="BD41" s="4">
        <v>0.348286882079362</v>
      </c>
      <c r="BE41" s="4">
        <v>0.31112310353766</v>
      </c>
      <c r="BF41" s="4">
        <v>0.348640489072787</v>
      </c>
      <c r="BG41" s="4">
        <v>0.533910671409724</v>
      </c>
      <c r="BH41" s="4">
        <v>0.416074440317402</v>
      </c>
      <c r="BI41" s="4">
        <v>0.189086939781176</v>
      </c>
      <c r="BJ41" s="4">
        <v>0.205802389878831</v>
      </c>
      <c r="BK41" s="4">
        <v>0.048699803181843</v>
      </c>
      <c r="BL41" s="4">
        <v>0.0778712228139318</v>
      </c>
      <c r="BM41" s="4">
        <v>0.144415382500873</v>
      </c>
      <c r="BN41" s="4">
        <v>0.375930240263857</v>
      </c>
      <c r="BO41" s="4">
        <v>0.320869605491304</v>
      </c>
      <c r="BP41" s="4">
        <v>0.385536158642882</v>
      </c>
      <c r="BQ41" s="4">
        <v>0.19043351152827</v>
      </c>
      <c r="BR41" s="4">
        <v>0.116688169455633</v>
      </c>
      <c r="BS41" s="4">
        <v>0.331942386516135</v>
      </c>
      <c r="BT41" s="4">
        <v>0.196194012471883</v>
      </c>
      <c r="BU41" s="4">
        <v>0.146210295490836</v>
      </c>
      <c r="BV41" s="4">
        <v>0.336645009354598</v>
      </c>
      <c r="BW41" s="4">
        <v>0.153572146277267</v>
      </c>
      <c r="BX41" s="4">
        <v>0.226530377564369</v>
      </c>
      <c r="BY41" s="4">
        <v>0.198253681594384</v>
      </c>
      <c r="BZ41" s="4">
        <v>-0.0148435059523526</v>
      </c>
      <c r="CA41" s="4">
        <v>0.10852921978708</v>
      </c>
      <c r="CB41" s="4">
        <v>0.0551114454989518</v>
      </c>
      <c r="CC41" s="4">
        <v>0.316418282930744</v>
      </c>
      <c r="CD41" s="4">
        <v>0.133243070869061</v>
      </c>
      <c r="CE41" s="4">
        <v>0.0728276429664192</v>
      </c>
      <c r="CF41" s="4">
        <v>0.280570609069768</v>
      </c>
      <c r="CG41" s="4">
        <v>0.402696341717259</v>
      </c>
      <c r="CH41" s="4">
        <v>0.242776074533471</v>
      </c>
      <c r="CI41" s="4">
        <v>0.490945415632221</v>
      </c>
      <c r="CJ41" s="4">
        <v>0.170531212520862</v>
      </c>
      <c r="CK41" s="4">
        <v>0.267443757105299</v>
      </c>
      <c r="CL41" s="4">
        <v>0.26123518926064</v>
      </c>
      <c r="CM41" s="4">
        <v>-0.153418577710564</v>
      </c>
      <c r="CN41" s="4">
        <v>0.328035573512642</v>
      </c>
      <c r="CO41" s="4">
        <v>0.127158148848291</v>
      </c>
      <c r="CP41" s="4">
        <v>-0.0893476135283882</v>
      </c>
      <c r="CQ41" s="4">
        <v>-0.0131703389485925</v>
      </c>
      <c r="CR41" s="4">
        <v>0.0989679979830056</v>
      </c>
      <c r="CS41" s="4">
        <v>-0.00416125983687666</v>
      </c>
      <c r="CT41" s="4">
        <v>0.137714481793543</v>
      </c>
      <c r="CU41" s="4">
        <v>0.0236633179205813</v>
      </c>
      <c r="CV41" s="4">
        <v>0.383940869730027</v>
      </c>
      <c r="CW41" s="4">
        <v>0.461646319211181</v>
      </c>
      <c r="CX41" s="4">
        <v>0.152244424274334</v>
      </c>
      <c r="CY41" s="4">
        <v>0.111484846643153</v>
      </c>
      <c r="CZ41" s="4">
        <v>0.376317182464359</v>
      </c>
      <c r="DA41" s="4">
        <v>0.242875157828837</v>
      </c>
      <c r="DB41" s="4">
        <v>0.205365212726302</v>
      </c>
      <c r="DC41" s="4">
        <v>0.123153757488158</v>
      </c>
      <c r="DD41" s="4">
        <v>-0.00244965808370526</v>
      </c>
      <c r="DE41" s="4">
        <v>0.487270191763505</v>
      </c>
      <c r="DF41" s="4">
        <v>0.128431588893227</v>
      </c>
      <c r="DG41" s="4">
        <v>0.328528089651438</v>
      </c>
      <c r="DH41" s="4">
        <v>0.41081874260944</v>
      </c>
      <c r="DI41" s="4">
        <v>0.25351587269192</v>
      </c>
      <c r="DJ41" s="4">
        <v>0.140765698750141</v>
      </c>
      <c r="DK41" s="4">
        <v>0.196219994841576</v>
      </c>
      <c r="DL41" s="4">
        <v>0.262313128218026</v>
      </c>
      <c r="DM41" s="4">
        <v>0.264205466893769</v>
      </c>
      <c r="DN41" s="4">
        <v>0.308778694732521</v>
      </c>
      <c r="DO41" s="4">
        <v>0.127183774951585</v>
      </c>
      <c r="DP41" s="4">
        <v>0.255815287301625</v>
      </c>
      <c r="DQ41" s="4">
        <v>0.175875538490209</v>
      </c>
      <c r="DR41" s="4">
        <v>0.36640150759783</v>
      </c>
      <c r="DS41" s="4">
        <v>0.173710973073397</v>
      </c>
      <c r="DT41" s="4">
        <v>0.244001874958376</v>
      </c>
      <c r="DU41" s="4">
        <v>0.320569438837652</v>
      </c>
      <c r="DV41" s="4">
        <v>0.21584532715933</v>
      </c>
      <c r="DW41" s="4">
        <v>0.264232158485178</v>
      </c>
      <c r="DX41" s="4">
        <v>0.492969865009036</v>
      </c>
      <c r="DY41" s="4">
        <v>0.325815725788278</v>
      </c>
    </row>
    <row r="42" ht="14" spans="1:129">
      <c r="A42" s="31" t="s">
        <v>40</v>
      </c>
      <c r="B42" s="4" t="str">
        <v/>
      </c>
      <c r="C42" s="4" t="str">
        <v/>
      </c>
      <c r="D42" s="4" t="str">
        <v/>
      </c>
      <c r="E42" s="4" t="str">
        <v/>
      </c>
      <c r="F42" s="4" t="str">
        <v/>
      </c>
      <c r="G42" s="4" t="str">
        <v/>
      </c>
      <c r="H42" s="4" t="str">
        <v/>
      </c>
      <c r="I42" s="4" t="str">
        <v/>
      </c>
      <c r="J42" s="4" t="str">
        <v/>
      </c>
      <c r="K42" s="4" t="str">
        <v/>
      </c>
      <c r="L42" s="4" t="str">
        <v/>
      </c>
      <c r="M42" s="4" t="str">
        <v/>
      </c>
      <c r="N42" s="4" t="str">
        <v/>
      </c>
      <c r="O42" s="4" t="str">
        <v/>
      </c>
      <c r="P42" s="4" t="str">
        <v/>
      </c>
      <c r="Q42" s="4" t="str">
        <v/>
      </c>
      <c r="R42" s="4" t="str">
        <v/>
      </c>
      <c r="S42" s="4" t="str">
        <v/>
      </c>
      <c r="T42" s="4" t="str">
        <v/>
      </c>
      <c r="U42" s="4" t="str">
        <v/>
      </c>
      <c r="V42" s="4" t="str">
        <v/>
      </c>
      <c r="W42" s="4" t="str">
        <v/>
      </c>
      <c r="X42" s="4" t="str">
        <v/>
      </c>
      <c r="Y42" s="4" t="str">
        <v/>
      </c>
      <c r="Z42" s="4" t="str">
        <v/>
      </c>
      <c r="AA42" s="4" t="str">
        <v/>
      </c>
      <c r="AB42" s="4" t="str">
        <v/>
      </c>
      <c r="AC42" s="4" t="str">
        <v/>
      </c>
      <c r="AD42" s="4" t="str">
        <v/>
      </c>
      <c r="AE42" s="4" t="str">
        <v/>
      </c>
      <c r="AF42" s="4" t="str">
        <v/>
      </c>
      <c r="AG42" s="4" t="str">
        <v/>
      </c>
      <c r="AH42" s="4" t="str">
        <v/>
      </c>
      <c r="AI42" s="4" t="str">
        <v/>
      </c>
      <c r="AJ42" s="4" t="str">
        <v/>
      </c>
      <c r="AK42" s="4" t="str">
        <v/>
      </c>
      <c r="AL42" s="4" t="str">
        <v/>
      </c>
      <c r="AM42" s="4" t="str">
        <v/>
      </c>
      <c r="AN42" s="4">
        <v>1</v>
      </c>
      <c r="AO42" s="4">
        <v>0.441918736479118</v>
      </c>
      <c r="AP42" s="4">
        <v>0.442785477455487</v>
      </c>
      <c r="AQ42" s="4">
        <v>0.00862997365723365</v>
      </c>
      <c r="AR42" s="4">
        <v>-0.0980769336437808</v>
      </c>
      <c r="AS42" s="4">
        <v>0.453447438245695</v>
      </c>
      <c r="AT42" s="4">
        <v>0.436663848869159</v>
      </c>
      <c r="AU42" s="4">
        <v>0.333605122562542</v>
      </c>
      <c r="AV42" s="4">
        <v>0.446982198080006</v>
      </c>
      <c r="AW42" s="4">
        <v>0.103374980224699</v>
      </c>
      <c r="AX42" s="4">
        <v>0.391580073623703</v>
      </c>
      <c r="AY42" s="4">
        <v>0.22069687636264</v>
      </c>
      <c r="AZ42" s="4">
        <v>0.24551995576406</v>
      </c>
      <c r="BA42" s="4">
        <v>0.182143446973835</v>
      </c>
      <c r="BB42" s="4">
        <v>0.267195147194109</v>
      </c>
      <c r="BC42" s="4">
        <v>0.356910970208462</v>
      </c>
      <c r="BD42" s="4">
        <v>0.269184269195262</v>
      </c>
      <c r="BE42" s="4">
        <v>0.211206656242938</v>
      </c>
      <c r="BF42" s="4">
        <v>0.351017327027999</v>
      </c>
      <c r="BG42" s="4">
        <v>0.122621194753829</v>
      </c>
      <c r="BH42" s="4">
        <v>0.268026918544122</v>
      </c>
      <c r="BI42" s="4">
        <v>0.141350256550411</v>
      </c>
      <c r="BJ42" s="4">
        <v>0.358283972545166</v>
      </c>
      <c r="BK42" s="4">
        <v>0.139078005166025</v>
      </c>
      <c r="BL42" s="4">
        <v>0.198620740136303</v>
      </c>
      <c r="BM42" s="4">
        <v>0.234378526175637</v>
      </c>
      <c r="BN42" s="4">
        <v>0.265684443545987</v>
      </c>
      <c r="BO42" s="4">
        <v>0.185807203642349</v>
      </c>
      <c r="BP42" s="4">
        <v>0.227279666469079</v>
      </c>
      <c r="BQ42" s="4">
        <v>-0.0545216407085624</v>
      </c>
      <c r="BR42" s="4">
        <v>0.188770104429581</v>
      </c>
      <c r="BS42" s="4">
        <v>0.256271530211452</v>
      </c>
      <c r="BT42" s="4">
        <v>0.305309246865653</v>
      </c>
      <c r="BU42" s="4">
        <v>0.097775780254919</v>
      </c>
      <c r="BV42" s="4">
        <v>-0.128871096964945</v>
      </c>
      <c r="BW42" s="4">
        <v>0.0788695539883284</v>
      </c>
      <c r="BX42" s="4">
        <v>0.193609702461644</v>
      </c>
      <c r="BY42" s="4">
        <v>0.104634096607992</v>
      </c>
      <c r="BZ42" s="4">
        <v>-0.00631641351566778</v>
      </c>
      <c r="CA42" s="4">
        <v>0.0511547497950518</v>
      </c>
      <c r="CB42" s="4">
        <v>0.0143364443775901</v>
      </c>
      <c r="CC42" s="4">
        <v>0.144665496577916</v>
      </c>
      <c r="CD42" s="4">
        <v>-0.0196119857137988</v>
      </c>
      <c r="CE42" s="4">
        <v>0.117827716219503</v>
      </c>
      <c r="CF42" s="4">
        <v>0.159932569434586</v>
      </c>
      <c r="CG42" s="4">
        <v>0.264077941360166</v>
      </c>
      <c r="CH42" s="4">
        <v>0.132271485077239</v>
      </c>
      <c r="CI42" s="4">
        <v>0.327816314212894</v>
      </c>
      <c r="CJ42" s="4">
        <v>0.00367722654090868</v>
      </c>
      <c r="CK42" s="4">
        <v>0.154668504024472</v>
      </c>
      <c r="CL42" s="4">
        <v>0.378991441680827</v>
      </c>
      <c r="CM42" s="4">
        <v>0.0877468360830433</v>
      </c>
      <c r="CN42" s="4">
        <v>0.16678099585941</v>
      </c>
      <c r="CO42" s="4">
        <v>0.0755938084243762</v>
      </c>
      <c r="CP42" s="4">
        <v>-0.243811563431525</v>
      </c>
      <c r="CQ42" s="4">
        <v>-0.0391870745566454</v>
      </c>
      <c r="CR42" s="4">
        <v>0.198135146296951</v>
      </c>
      <c r="CS42" s="4">
        <v>0.0836643162738781</v>
      </c>
      <c r="CT42" s="4">
        <v>0.257691897954119</v>
      </c>
      <c r="CU42" s="4">
        <v>0.176834922620695</v>
      </c>
      <c r="CV42" s="4">
        <v>0.0351944140757648</v>
      </c>
      <c r="CW42" s="4">
        <v>0.117221154646957</v>
      </c>
      <c r="CX42" s="4">
        <v>0.144212012695579</v>
      </c>
      <c r="CY42" s="4">
        <v>0.0829671473712374</v>
      </c>
      <c r="CZ42" s="4">
        <v>0.164377738995486</v>
      </c>
      <c r="DA42" s="4">
        <v>0.117618120731749</v>
      </c>
      <c r="DB42" s="4">
        <v>0.180420027191554</v>
      </c>
      <c r="DC42" s="4">
        <v>0.215367622301744</v>
      </c>
      <c r="DD42" s="4">
        <v>0.0907118921872559</v>
      </c>
      <c r="DE42" s="4">
        <v>0.341287922867088</v>
      </c>
      <c r="DF42" s="4">
        <v>0.166236321104193</v>
      </c>
      <c r="DG42" s="4">
        <v>-0.0230090395347734</v>
      </c>
      <c r="DH42" s="4">
        <v>0.460817696480228</v>
      </c>
      <c r="DI42" s="4">
        <v>0.447846716165772</v>
      </c>
      <c r="DJ42" s="4">
        <v>0.412279476879822</v>
      </c>
      <c r="DK42" s="4">
        <v>0.454269856934051</v>
      </c>
      <c r="DL42" s="4">
        <v>0.335450111357428</v>
      </c>
      <c r="DM42" s="4">
        <v>0.345681676351299</v>
      </c>
      <c r="DN42" s="4">
        <v>0.292042766555928</v>
      </c>
      <c r="DO42" s="4">
        <v>0.307085361724019</v>
      </c>
      <c r="DP42" s="4">
        <v>0.343370278645471</v>
      </c>
      <c r="DQ42" s="4">
        <v>0.29595409312573</v>
      </c>
      <c r="DR42" s="4">
        <v>0.345527127519732</v>
      </c>
      <c r="DS42" s="4">
        <v>0.20185958509464</v>
      </c>
      <c r="DT42" s="4">
        <v>0.194374456557712</v>
      </c>
      <c r="DU42" s="4">
        <v>0.299181700793625</v>
      </c>
      <c r="DV42" s="4">
        <v>0.186286958089443</v>
      </c>
      <c r="DW42" s="4">
        <v>0.185855068286488</v>
      </c>
      <c r="DX42" s="4">
        <v>0.134432384650424</v>
      </c>
      <c r="DY42" s="4">
        <v>0.320052797082278</v>
      </c>
    </row>
    <row r="43" ht="14" spans="1:129">
      <c r="A43" s="31" t="s">
        <v>41</v>
      </c>
      <c r="B43" s="4" t="str">
        <v/>
      </c>
      <c r="C43" s="4" t="str">
        <v/>
      </c>
      <c r="D43" s="4" t="str">
        <v/>
      </c>
      <c r="E43" s="4" t="str">
        <v/>
      </c>
      <c r="F43" s="4" t="str">
        <v/>
      </c>
      <c r="G43" s="4" t="str">
        <v/>
      </c>
      <c r="H43" s="4" t="str">
        <v/>
      </c>
      <c r="I43" s="4" t="str">
        <v/>
      </c>
      <c r="J43" s="4" t="str">
        <v/>
      </c>
      <c r="K43" s="4" t="str">
        <v/>
      </c>
      <c r="L43" s="4" t="str">
        <v/>
      </c>
      <c r="M43" s="4" t="str">
        <v/>
      </c>
      <c r="N43" s="4" t="str">
        <v/>
      </c>
      <c r="O43" s="4" t="str">
        <v/>
      </c>
      <c r="P43" s="4" t="str">
        <v/>
      </c>
      <c r="Q43" s="4" t="str">
        <v/>
      </c>
      <c r="R43" s="4" t="str">
        <v/>
      </c>
      <c r="S43" s="4" t="str">
        <v/>
      </c>
      <c r="T43" s="4" t="str">
        <v/>
      </c>
      <c r="U43" s="4" t="str">
        <v/>
      </c>
      <c r="V43" s="4" t="str">
        <v/>
      </c>
      <c r="W43" s="4" t="str">
        <v/>
      </c>
      <c r="X43" s="4" t="str">
        <v/>
      </c>
      <c r="Y43" s="4" t="str">
        <v/>
      </c>
      <c r="Z43" s="4" t="str">
        <v/>
      </c>
      <c r="AA43" s="4" t="str">
        <v/>
      </c>
      <c r="AB43" s="4" t="str">
        <v/>
      </c>
      <c r="AC43" s="4" t="str">
        <v/>
      </c>
      <c r="AD43" s="4" t="str">
        <v/>
      </c>
      <c r="AE43" s="4" t="str">
        <v/>
      </c>
      <c r="AF43" s="4" t="str">
        <v/>
      </c>
      <c r="AG43" s="4" t="str">
        <v/>
      </c>
      <c r="AH43" s="4" t="str">
        <v/>
      </c>
      <c r="AI43" s="4" t="str">
        <v/>
      </c>
      <c r="AJ43" s="4" t="str">
        <v/>
      </c>
      <c r="AK43" s="4" t="str">
        <v/>
      </c>
      <c r="AL43" s="4" t="str">
        <v/>
      </c>
      <c r="AM43" s="4" t="str">
        <v/>
      </c>
      <c r="AN43" s="4" t="str">
        <v/>
      </c>
      <c r="AO43" s="4">
        <v>1</v>
      </c>
      <c r="AP43" s="4">
        <v>0.58873701131125</v>
      </c>
      <c r="AQ43" s="4">
        <v>0.464154086124899</v>
      </c>
      <c r="AR43" s="4">
        <v>0.24811265355976</v>
      </c>
      <c r="AS43" s="4">
        <v>0.487694871102458</v>
      </c>
      <c r="AT43" s="4">
        <v>0.642031616458626</v>
      </c>
      <c r="AU43" s="4">
        <v>0.604936486820711</v>
      </c>
      <c r="AV43" s="4">
        <v>0.647117534778138</v>
      </c>
      <c r="AW43" s="4">
        <v>0.349251930889701</v>
      </c>
      <c r="AX43" s="4">
        <v>0.620896562738206</v>
      </c>
      <c r="AY43" s="4">
        <v>0.502876255819009</v>
      </c>
      <c r="AZ43" s="4">
        <v>0.486511178345069</v>
      </c>
      <c r="BA43" s="4">
        <v>0.416919516351558</v>
      </c>
      <c r="BB43" s="4">
        <v>0.493937717071884</v>
      </c>
      <c r="BC43" s="4">
        <v>0.550111120943456</v>
      </c>
      <c r="BD43" s="4">
        <v>0.558688447480966</v>
      </c>
      <c r="BE43" s="4">
        <v>0.364080380284696</v>
      </c>
      <c r="BF43" s="4">
        <v>0.454423584755611</v>
      </c>
      <c r="BG43" s="4">
        <v>0.390849874488285</v>
      </c>
      <c r="BH43" s="4">
        <v>0.421315430199446</v>
      </c>
      <c r="BI43" s="4">
        <v>0.284646289967199</v>
      </c>
      <c r="BJ43" s="4">
        <v>0.474157476969833</v>
      </c>
      <c r="BK43" s="4">
        <v>0.320512762484093</v>
      </c>
      <c r="BL43" s="4">
        <v>0.476941209238174</v>
      </c>
      <c r="BM43" s="4">
        <v>0.419364279179388</v>
      </c>
      <c r="BN43" s="4">
        <v>0.476361879787443</v>
      </c>
      <c r="BO43" s="4">
        <v>0.391427514362282</v>
      </c>
      <c r="BP43" s="4">
        <v>0.485336699460203</v>
      </c>
      <c r="BQ43" s="4">
        <v>0.115938695381563</v>
      </c>
      <c r="BR43" s="4">
        <v>0.31730048669193</v>
      </c>
      <c r="BS43" s="4">
        <v>0.494452186263422</v>
      </c>
      <c r="BT43" s="4">
        <v>0.47423299733275</v>
      </c>
      <c r="BU43" s="4">
        <v>0.47036750710785</v>
      </c>
      <c r="BV43" s="4">
        <v>0.0479614091714825</v>
      </c>
      <c r="BW43" s="4">
        <v>0.30363033061253</v>
      </c>
      <c r="BX43" s="4">
        <v>0.224612009135276</v>
      </c>
      <c r="BY43" s="4">
        <v>0.251160954888962</v>
      </c>
      <c r="BZ43" s="4">
        <v>0.276011981312227</v>
      </c>
      <c r="CA43" s="4">
        <v>0.308572867447295</v>
      </c>
      <c r="CB43" s="4">
        <v>0.25317697621976</v>
      </c>
      <c r="CC43" s="4">
        <v>0.267978684135241</v>
      </c>
      <c r="CD43" s="4">
        <v>0.258851093601932</v>
      </c>
      <c r="CE43" s="4">
        <v>0.450322341950244</v>
      </c>
      <c r="CF43" s="4">
        <v>0.443187519030832</v>
      </c>
      <c r="CG43" s="4">
        <v>0.493548041788187</v>
      </c>
      <c r="CH43" s="4">
        <v>0.259331065676077</v>
      </c>
      <c r="CI43" s="4">
        <v>0.609838408704665</v>
      </c>
      <c r="CJ43" s="4">
        <v>0.28790846979137</v>
      </c>
      <c r="CK43" s="4">
        <v>0.376046564728019</v>
      </c>
      <c r="CL43" s="4">
        <v>0.45028741185025</v>
      </c>
      <c r="CM43" s="4">
        <v>-0.0720875210783296</v>
      </c>
      <c r="CN43" s="4">
        <v>0.343104467219903</v>
      </c>
      <c r="CO43" s="4">
        <v>0.158472149961553</v>
      </c>
      <c r="CP43" s="4">
        <v>0.149966453268817</v>
      </c>
      <c r="CQ43" s="4">
        <v>0.0921523157160791</v>
      </c>
      <c r="CR43" s="4">
        <v>0.0990407355944259</v>
      </c>
      <c r="CS43" s="4">
        <v>0.273028141180368</v>
      </c>
      <c r="CT43" s="4">
        <v>0.477486858598766</v>
      </c>
      <c r="CU43" s="4">
        <v>0.337768447933501</v>
      </c>
      <c r="CV43" s="4">
        <v>0.223508954716859</v>
      </c>
      <c r="CW43" s="4">
        <v>0.333150120244255</v>
      </c>
      <c r="CX43" s="4">
        <v>0.266546765216504</v>
      </c>
      <c r="CY43" s="4">
        <v>0.174183499028552</v>
      </c>
      <c r="CZ43" s="4">
        <v>0.299774935622535</v>
      </c>
      <c r="DA43" s="4">
        <v>0.0496579927444148</v>
      </c>
      <c r="DB43" s="4">
        <v>0.232211357459485</v>
      </c>
      <c r="DC43" s="4">
        <v>0.393542917778356</v>
      </c>
      <c r="DD43" s="4">
        <v>0.240483746678048</v>
      </c>
      <c r="DE43" s="4">
        <v>0.382142849812198</v>
      </c>
      <c r="DF43" s="4">
        <v>0.152591459652067</v>
      </c>
      <c r="DG43" s="4">
        <v>0.245108130693829</v>
      </c>
      <c r="DH43" s="4">
        <v>0.521079859709637</v>
      </c>
      <c r="DI43" s="4">
        <v>0.465687778884069</v>
      </c>
      <c r="DJ43" s="4">
        <v>0.426959270807081</v>
      </c>
      <c r="DK43" s="4">
        <v>0.39739949380115</v>
      </c>
      <c r="DL43" s="4">
        <v>0.473497774747049</v>
      </c>
      <c r="DM43" s="4">
        <v>0.455297148935806</v>
      </c>
      <c r="DN43" s="4">
        <v>0.375473721334216</v>
      </c>
      <c r="DO43" s="4">
        <v>0.441575022113562</v>
      </c>
      <c r="DP43" s="4">
        <v>0.490022509128746</v>
      </c>
      <c r="DQ43" s="4">
        <v>0.450881940135126</v>
      </c>
      <c r="DR43" s="4">
        <v>0.500161506423547</v>
      </c>
      <c r="DS43" s="4">
        <v>0.330531346861533</v>
      </c>
      <c r="DT43" s="4">
        <v>0.426741565131218</v>
      </c>
      <c r="DU43" s="4">
        <v>0.423207580394492</v>
      </c>
      <c r="DV43" s="4">
        <v>0.419686568406916</v>
      </c>
      <c r="DW43" s="4">
        <v>0.339691538106272</v>
      </c>
      <c r="DX43" s="4">
        <v>0.392456525324478</v>
      </c>
      <c r="DY43" s="4">
        <v>0.594536159160055</v>
      </c>
    </row>
    <row r="44" ht="14" spans="1:129">
      <c r="A44" s="31" t="s">
        <v>42</v>
      </c>
      <c r="B44" s="4" t="str">
        <v/>
      </c>
      <c r="C44" s="4" t="str">
        <v/>
      </c>
      <c r="D44" s="4" t="str">
        <v/>
      </c>
      <c r="E44" s="4" t="str">
        <v/>
      </c>
      <c r="F44" s="4" t="str">
        <v/>
      </c>
      <c r="G44" s="4" t="str">
        <v/>
      </c>
      <c r="H44" s="4" t="str">
        <v/>
      </c>
      <c r="I44" s="4" t="str">
        <v/>
      </c>
      <c r="J44" s="4" t="str">
        <v/>
      </c>
      <c r="K44" s="4" t="str">
        <v/>
      </c>
      <c r="L44" s="4" t="str">
        <v/>
      </c>
      <c r="M44" s="4" t="str">
        <v/>
      </c>
      <c r="N44" s="4" t="str">
        <v/>
      </c>
      <c r="O44" s="4" t="str">
        <v/>
      </c>
      <c r="P44" s="4" t="str">
        <v/>
      </c>
      <c r="Q44" s="4" t="str">
        <v/>
      </c>
      <c r="R44" s="4" t="str">
        <v/>
      </c>
      <c r="S44" s="4" t="str">
        <v/>
      </c>
      <c r="T44" s="4" t="str">
        <v/>
      </c>
      <c r="U44" s="4" t="str">
        <v/>
      </c>
      <c r="V44" s="4" t="str">
        <v/>
      </c>
      <c r="W44" s="4" t="str">
        <v/>
      </c>
      <c r="X44" s="4" t="str">
        <v/>
      </c>
      <c r="Y44" s="4" t="str">
        <v/>
      </c>
      <c r="Z44" s="4" t="str">
        <v/>
      </c>
      <c r="AA44" s="4" t="str">
        <v/>
      </c>
      <c r="AB44" s="4" t="str">
        <v/>
      </c>
      <c r="AC44" s="4" t="str">
        <v/>
      </c>
      <c r="AD44" s="4" t="str">
        <v/>
      </c>
      <c r="AE44" s="4" t="str">
        <v/>
      </c>
      <c r="AF44" s="4" t="str">
        <v/>
      </c>
      <c r="AG44" s="4" t="str">
        <v/>
      </c>
      <c r="AH44" s="4" t="str">
        <v/>
      </c>
      <c r="AI44" s="4" t="str">
        <v/>
      </c>
      <c r="AJ44" s="4" t="str">
        <v/>
      </c>
      <c r="AK44" s="4" t="str">
        <v/>
      </c>
      <c r="AL44" s="4" t="str">
        <v/>
      </c>
      <c r="AM44" s="4" t="str">
        <v/>
      </c>
      <c r="AN44" s="4" t="str">
        <v/>
      </c>
      <c r="AO44" s="4" t="str">
        <v/>
      </c>
      <c r="AP44" s="4">
        <v>1</v>
      </c>
      <c r="AQ44" s="4">
        <v>0.467752164724952</v>
      </c>
      <c r="AR44" s="4">
        <v>0.274736973859334</v>
      </c>
      <c r="AS44" s="4">
        <v>0.614484902231892</v>
      </c>
      <c r="AT44" s="4">
        <v>0.840667528379836</v>
      </c>
      <c r="AU44" s="4">
        <v>0.78579322850721</v>
      </c>
      <c r="AV44" s="4">
        <v>0.835419575316306</v>
      </c>
      <c r="AW44" s="4">
        <v>0.394167571224039</v>
      </c>
      <c r="AX44" s="4">
        <v>0.476391507666884</v>
      </c>
      <c r="AY44" s="4">
        <v>0.399608347581578</v>
      </c>
      <c r="AZ44" s="4">
        <v>0.485223697359122</v>
      </c>
      <c r="BA44" s="4">
        <v>0.419063210241211</v>
      </c>
      <c r="BB44" s="4">
        <v>0.463492930370667</v>
      </c>
      <c r="BC44" s="4">
        <v>0.494455233024638</v>
      </c>
      <c r="BD44" s="4">
        <v>0.6655158837187</v>
      </c>
      <c r="BE44" s="4">
        <v>0.432400191665662</v>
      </c>
      <c r="BF44" s="4">
        <v>0.63348192965511</v>
      </c>
      <c r="BG44" s="4">
        <v>0.448210547140844</v>
      </c>
      <c r="BH44" s="4">
        <v>0.634145416556531</v>
      </c>
      <c r="BI44" s="4">
        <v>0.439469432425167</v>
      </c>
      <c r="BJ44" s="4">
        <v>0.595988594842041</v>
      </c>
      <c r="BK44" s="4">
        <v>0.370072037103748</v>
      </c>
      <c r="BL44" s="4">
        <v>0.479335957487961</v>
      </c>
      <c r="BM44" s="4">
        <v>0.472183939064664</v>
      </c>
      <c r="BN44" s="4">
        <v>0.479212512055915</v>
      </c>
      <c r="BO44" s="4">
        <v>0.559249929837973</v>
      </c>
      <c r="BP44" s="4">
        <v>0.519093498059143</v>
      </c>
      <c r="BQ44" s="4">
        <v>0.0903118420237539</v>
      </c>
      <c r="BR44" s="4">
        <v>0.412732056951775</v>
      </c>
      <c r="BS44" s="4">
        <v>0.500839080321648</v>
      </c>
      <c r="BT44" s="4">
        <v>0.570129841270104</v>
      </c>
      <c r="BU44" s="4">
        <v>0.410031385615979</v>
      </c>
      <c r="BV44" s="4">
        <v>0.0821698239858458</v>
      </c>
      <c r="BW44" s="4">
        <v>0.275739352301223</v>
      </c>
      <c r="BX44" s="4">
        <v>0.347850365403671</v>
      </c>
      <c r="BY44" s="4">
        <v>0.4317316475795</v>
      </c>
      <c r="BZ44" s="4">
        <v>0.3471850973478</v>
      </c>
      <c r="CA44" s="4">
        <v>0.338486863377236</v>
      </c>
      <c r="CB44" s="4">
        <v>0.34570514585533</v>
      </c>
      <c r="CC44" s="4">
        <v>0.268360528032594</v>
      </c>
      <c r="CD44" s="4">
        <v>0.199062053188668</v>
      </c>
      <c r="CE44" s="4">
        <v>0.371045921787158</v>
      </c>
      <c r="CF44" s="4">
        <v>0.652140225127326</v>
      </c>
      <c r="CG44" s="4">
        <v>0.516988004460899</v>
      </c>
      <c r="CH44" s="4">
        <v>0.423511194473303</v>
      </c>
      <c r="CI44" s="4">
        <v>0.698229598659676</v>
      </c>
      <c r="CJ44" s="4">
        <v>0.487558602261816</v>
      </c>
      <c r="CK44" s="4">
        <v>0.347614802273853</v>
      </c>
      <c r="CL44" s="4">
        <v>0.550213437956167</v>
      </c>
      <c r="CM44" s="4">
        <v>-0.134140767886979</v>
      </c>
      <c r="CN44" s="4">
        <v>0.560409813660138</v>
      </c>
      <c r="CO44" s="4">
        <v>0.157452459588832</v>
      </c>
      <c r="CP44" s="4">
        <v>0.201870498990963</v>
      </c>
      <c r="CQ44" s="4">
        <v>0.14215509241141</v>
      </c>
      <c r="CR44" s="4">
        <v>0.308025470133873</v>
      </c>
      <c r="CS44" s="4">
        <v>0.323213062951575</v>
      </c>
      <c r="CT44" s="4">
        <v>0.578140023091294</v>
      </c>
      <c r="CU44" s="4">
        <v>0.383414873051682</v>
      </c>
      <c r="CV44" s="4">
        <v>0.403332446828334</v>
      </c>
      <c r="CW44" s="4">
        <v>0.504564464731954</v>
      </c>
      <c r="CX44" s="4">
        <v>0.288955067237163</v>
      </c>
      <c r="CY44" s="4">
        <v>0.102835153955071</v>
      </c>
      <c r="CZ44" s="4">
        <v>0.441731670835097</v>
      </c>
      <c r="DA44" s="4">
        <v>0.367043797564478</v>
      </c>
      <c r="DB44" s="4">
        <v>0.463824297849502</v>
      </c>
      <c r="DC44" s="4">
        <v>0.531691201553146</v>
      </c>
      <c r="DD44" s="4">
        <v>0.194877190233505</v>
      </c>
      <c r="DE44" s="4">
        <v>0.528594551662076</v>
      </c>
      <c r="DF44" s="4">
        <v>0.38068467022674</v>
      </c>
      <c r="DG44" s="4">
        <v>0.269952255801478</v>
      </c>
      <c r="DH44" s="4">
        <v>0.597239347624689</v>
      </c>
      <c r="DI44" s="4">
        <v>0.571807754583525</v>
      </c>
      <c r="DJ44" s="4">
        <v>0.586260292704886</v>
      </c>
      <c r="DK44" s="4">
        <v>0.551066593098226</v>
      </c>
      <c r="DL44" s="4">
        <v>0.624430211859538</v>
      </c>
      <c r="DM44" s="4">
        <v>0.619043653341647</v>
      </c>
      <c r="DN44" s="4">
        <v>0.556535256491158</v>
      </c>
      <c r="DO44" s="4">
        <v>0.532903727503823</v>
      </c>
      <c r="DP44" s="4">
        <v>0.651951831108534</v>
      </c>
      <c r="DQ44" s="4">
        <v>0.569723582560138</v>
      </c>
      <c r="DR44" s="4">
        <v>0.647929419689863</v>
      </c>
      <c r="DS44" s="4">
        <v>0.396973963669259</v>
      </c>
      <c r="DT44" s="4">
        <v>0.600529508654914</v>
      </c>
      <c r="DU44" s="4">
        <v>0.586467272745219</v>
      </c>
      <c r="DV44" s="4">
        <v>0.517853122080984</v>
      </c>
      <c r="DW44" s="4">
        <v>0.232490899856262</v>
      </c>
      <c r="DX44" s="4">
        <v>0.367811346984061</v>
      </c>
      <c r="DY44" s="4">
        <v>0.675169962973064</v>
      </c>
    </row>
    <row r="45" ht="14" spans="1:129">
      <c r="A45" s="31" t="s">
        <v>43</v>
      </c>
      <c r="B45" s="4" t="str">
        <v/>
      </c>
      <c r="C45" s="4" t="str">
        <v/>
      </c>
      <c r="D45" s="4" t="str">
        <v/>
      </c>
      <c r="E45" s="4" t="str">
        <v/>
      </c>
      <c r="F45" s="4" t="str">
        <v/>
      </c>
      <c r="G45" s="4" t="str">
        <v/>
      </c>
      <c r="H45" s="4" t="str">
        <v/>
      </c>
      <c r="I45" s="4" t="str">
        <v/>
      </c>
      <c r="J45" s="4" t="str">
        <v/>
      </c>
      <c r="K45" s="4" t="str">
        <v/>
      </c>
      <c r="L45" s="4" t="str">
        <v/>
      </c>
      <c r="M45" s="4" t="str">
        <v/>
      </c>
      <c r="N45" s="4" t="str">
        <v/>
      </c>
      <c r="O45" s="4" t="str">
        <v/>
      </c>
      <c r="P45" s="4" t="str">
        <v/>
      </c>
      <c r="Q45" s="4" t="str">
        <v/>
      </c>
      <c r="R45" s="4" t="str">
        <v/>
      </c>
      <c r="S45" s="4" t="str">
        <v/>
      </c>
      <c r="T45" s="4" t="str">
        <v/>
      </c>
      <c r="U45" s="4" t="str">
        <v/>
      </c>
      <c r="V45" s="4" t="str">
        <v/>
      </c>
      <c r="W45" s="4" t="str">
        <v/>
      </c>
      <c r="X45" s="4" t="str">
        <v/>
      </c>
      <c r="Y45" s="4" t="str">
        <v/>
      </c>
      <c r="Z45" s="4" t="str">
        <v/>
      </c>
      <c r="AA45" s="4" t="str">
        <v/>
      </c>
      <c r="AB45" s="4" t="str">
        <v/>
      </c>
      <c r="AC45" s="4" t="str">
        <v/>
      </c>
      <c r="AD45" s="4" t="str">
        <v/>
      </c>
      <c r="AE45" s="4" t="str">
        <v/>
      </c>
      <c r="AF45" s="4" t="str">
        <v/>
      </c>
      <c r="AG45" s="4" t="str">
        <v/>
      </c>
      <c r="AH45" s="4" t="str">
        <v/>
      </c>
      <c r="AI45" s="4" t="str">
        <v/>
      </c>
      <c r="AJ45" s="4" t="str">
        <v/>
      </c>
      <c r="AK45" s="4" t="str">
        <v/>
      </c>
      <c r="AL45" s="4" t="str">
        <v/>
      </c>
      <c r="AM45" s="4" t="str">
        <v/>
      </c>
      <c r="AN45" s="4" t="str">
        <v/>
      </c>
      <c r="AO45" s="4" t="str">
        <v/>
      </c>
      <c r="AP45" s="4" t="str">
        <v/>
      </c>
      <c r="AQ45" s="4">
        <v>1</v>
      </c>
      <c r="AR45" s="4">
        <v>0.389208706732463</v>
      </c>
      <c r="AS45" s="4">
        <v>0.248832822589559</v>
      </c>
      <c r="AT45" s="4">
        <v>0.385227151396488</v>
      </c>
      <c r="AU45" s="4">
        <v>0.437783198736268</v>
      </c>
      <c r="AV45" s="4">
        <v>0.422056166961758</v>
      </c>
      <c r="AW45" s="4">
        <v>0.226515109491101</v>
      </c>
      <c r="AX45" s="4">
        <v>0.343614557924251</v>
      </c>
      <c r="AY45" s="4">
        <v>0.534218386625649</v>
      </c>
      <c r="AZ45" s="4">
        <v>0.296487092544968</v>
      </c>
      <c r="BA45" s="4">
        <v>0.225058529873569</v>
      </c>
      <c r="BB45" s="4">
        <v>0.461086272134206</v>
      </c>
      <c r="BC45" s="4">
        <v>0.292398618901589</v>
      </c>
      <c r="BD45" s="4">
        <v>0.454397421559093</v>
      </c>
      <c r="BE45" s="4">
        <v>0.234891763425731</v>
      </c>
      <c r="BF45" s="4">
        <v>0.227381207900496</v>
      </c>
      <c r="BG45" s="4">
        <v>0.393185051640308</v>
      </c>
      <c r="BH45" s="4">
        <v>0.21107386521537</v>
      </c>
      <c r="BI45" s="4">
        <v>0.151787913130364</v>
      </c>
      <c r="BJ45" s="4">
        <v>0.286766787379794</v>
      </c>
      <c r="BK45" s="4">
        <v>0.240275369056938</v>
      </c>
      <c r="BL45" s="4">
        <v>0.332851028024775</v>
      </c>
      <c r="BM45" s="4">
        <v>0.225002312217309</v>
      </c>
      <c r="BN45" s="4">
        <v>0.387628827836109</v>
      </c>
      <c r="BO45" s="4">
        <v>0.435431206029136</v>
      </c>
      <c r="BP45" s="4">
        <v>0.259859324208044</v>
      </c>
      <c r="BQ45" s="4">
        <v>0.12349622436729</v>
      </c>
      <c r="BR45" s="4">
        <v>0.215013471893211</v>
      </c>
      <c r="BS45" s="4">
        <v>0.212538565780271</v>
      </c>
      <c r="BT45" s="4">
        <v>0.208990494225106</v>
      </c>
      <c r="BU45" s="4">
        <v>0.397797296554504</v>
      </c>
      <c r="BV45" s="4">
        <v>0.107937537820113</v>
      </c>
      <c r="BW45" s="4">
        <v>0.213752965337907</v>
      </c>
      <c r="BX45" s="4">
        <v>0.32932172620251</v>
      </c>
      <c r="BY45" s="4">
        <v>0.337861661839189</v>
      </c>
      <c r="BZ45" s="4">
        <v>0.279515919350562</v>
      </c>
      <c r="CA45" s="4">
        <v>0.289306384490698</v>
      </c>
      <c r="CB45" s="4">
        <v>0.397413892074278</v>
      </c>
      <c r="CC45" s="4">
        <v>0.179440427501899</v>
      </c>
      <c r="CD45" s="4">
        <v>0.296052434966586</v>
      </c>
      <c r="CE45" s="4">
        <v>0.193287194236666</v>
      </c>
      <c r="CF45" s="4">
        <v>0.312513727122089</v>
      </c>
      <c r="CG45" s="4">
        <v>0.324130728181163</v>
      </c>
      <c r="CH45" s="4">
        <v>0.262778934487083</v>
      </c>
      <c r="CI45" s="4">
        <v>0.523596019593512</v>
      </c>
      <c r="CJ45" s="4">
        <v>0.384717887455306</v>
      </c>
      <c r="CK45" s="4">
        <v>0.223622003393229</v>
      </c>
      <c r="CL45" s="4">
        <v>0.385680214337083</v>
      </c>
      <c r="CM45" s="4">
        <v>-0.0934654285891435</v>
      </c>
      <c r="CN45" s="4">
        <v>0.470367606321211</v>
      </c>
      <c r="CO45" s="4">
        <v>0.294944194842236</v>
      </c>
      <c r="CP45" s="4">
        <v>0.296799040346859</v>
      </c>
      <c r="CQ45" s="4">
        <v>0.254458528693344</v>
      </c>
      <c r="CR45" s="4">
        <v>0.0991330494724869</v>
      </c>
      <c r="CS45" s="4">
        <v>-0.0160122415535815</v>
      </c>
      <c r="CT45" s="4">
        <v>0.302534625741795</v>
      </c>
      <c r="CU45" s="4">
        <v>0.133696517580985</v>
      </c>
      <c r="CV45" s="4">
        <v>0.290467191517922</v>
      </c>
      <c r="CW45" s="4">
        <v>0.37052709264833</v>
      </c>
      <c r="CX45" s="4">
        <v>0.221617377466584</v>
      </c>
      <c r="CY45" s="4">
        <v>0.120081973311562</v>
      </c>
      <c r="CZ45" s="4">
        <v>0.259370840748628</v>
      </c>
      <c r="DA45" s="4">
        <v>0.112590732768585</v>
      </c>
      <c r="DB45" s="4">
        <v>0.071816176235247</v>
      </c>
      <c r="DC45" s="4">
        <v>0.190916111124758</v>
      </c>
      <c r="DD45" s="4">
        <v>0.335758761173175</v>
      </c>
      <c r="DE45" s="4">
        <v>0.300450205149456</v>
      </c>
      <c r="DF45" s="4">
        <v>0.163028148788857</v>
      </c>
      <c r="DG45" s="4">
        <v>0.240096530360943</v>
      </c>
      <c r="DH45" s="4">
        <v>0.335331771324131</v>
      </c>
      <c r="DI45" s="4">
        <v>0.261541646184147</v>
      </c>
      <c r="DJ45" s="4">
        <v>0.208011949108214</v>
      </c>
      <c r="DK45" s="4">
        <v>0.139413692689077</v>
      </c>
      <c r="DL45" s="4">
        <v>0.332076119369758</v>
      </c>
      <c r="DM45" s="4">
        <v>0.231555489384835</v>
      </c>
      <c r="DN45" s="4">
        <v>0.270348940366459</v>
      </c>
      <c r="DO45" s="4">
        <v>0.231088172813923</v>
      </c>
      <c r="DP45" s="4">
        <v>0.316063749230187</v>
      </c>
      <c r="DQ45" s="4">
        <v>0.26150695798738</v>
      </c>
      <c r="DR45" s="4">
        <v>0.277797174088338</v>
      </c>
      <c r="DS45" s="4">
        <v>0.13639747383709</v>
      </c>
      <c r="DT45" s="4">
        <v>0.331862743378403</v>
      </c>
      <c r="DU45" s="4">
        <v>0.29660332203101</v>
      </c>
      <c r="DV45" s="4">
        <v>0.289234346445117</v>
      </c>
      <c r="DW45" s="4">
        <v>0.238841485602995</v>
      </c>
      <c r="DX45" s="4">
        <v>0.107483234203141</v>
      </c>
      <c r="DY45" s="4">
        <v>0.423964623579749</v>
      </c>
    </row>
    <row r="46" ht="14" spans="1:129">
      <c r="A46" s="31" t="s">
        <v>44</v>
      </c>
      <c r="B46" s="4" t="str">
        <v/>
      </c>
      <c r="C46" s="4" t="str">
        <v/>
      </c>
      <c r="D46" s="4" t="str">
        <v/>
      </c>
      <c r="E46" s="4" t="str">
        <v/>
      </c>
      <c r="F46" s="4" t="str">
        <v/>
      </c>
      <c r="G46" s="4" t="str">
        <v/>
      </c>
      <c r="H46" s="4" t="str">
        <v/>
      </c>
      <c r="I46" s="4" t="str">
        <v/>
      </c>
      <c r="J46" s="4" t="str">
        <v/>
      </c>
      <c r="K46" s="4" t="str">
        <v/>
      </c>
      <c r="L46" s="4" t="str">
        <v/>
      </c>
      <c r="M46" s="4" t="str">
        <v/>
      </c>
      <c r="N46" s="4" t="str">
        <v/>
      </c>
      <c r="O46" s="4" t="str">
        <v/>
      </c>
      <c r="P46" s="4" t="str">
        <v/>
      </c>
      <c r="Q46" s="4" t="str">
        <v/>
      </c>
      <c r="R46" s="4" t="str">
        <v/>
      </c>
      <c r="S46" s="4" t="str">
        <v/>
      </c>
      <c r="T46" s="4" t="str">
        <v/>
      </c>
      <c r="U46" s="4" t="str">
        <v/>
      </c>
      <c r="V46" s="4" t="str">
        <v/>
      </c>
      <c r="W46" s="4" t="str">
        <v/>
      </c>
      <c r="X46" s="4" t="str">
        <v/>
      </c>
      <c r="Y46" s="4" t="str">
        <v/>
      </c>
      <c r="Z46" s="4" t="str">
        <v/>
      </c>
      <c r="AA46" s="4" t="str">
        <v/>
      </c>
      <c r="AB46" s="4" t="str">
        <v/>
      </c>
      <c r="AC46" s="4" t="str">
        <v/>
      </c>
      <c r="AD46" s="4" t="str">
        <v/>
      </c>
      <c r="AE46" s="4" t="str">
        <v/>
      </c>
      <c r="AF46" s="4" t="str">
        <v/>
      </c>
      <c r="AG46" s="4" t="str">
        <v/>
      </c>
      <c r="AH46" s="4" t="str">
        <v/>
      </c>
      <c r="AI46" s="4" t="str">
        <v/>
      </c>
      <c r="AJ46" s="4" t="str">
        <v/>
      </c>
      <c r="AK46" s="4" t="str">
        <v/>
      </c>
      <c r="AL46" s="4" t="str">
        <v/>
      </c>
      <c r="AM46" s="4" t="str">
        <v/>
      </c>
      <c r="AN46" s="4" t="str">
        <v/>
      </c>
      <c r="AO46" s="4" t="str">
        <v/>
      </c>
      <c r="AP46" s="4" t="str">
        <v/>
      </c>
      <c r="AQ46" s="4" t="str">
        <v/>
      </c>
      <c r="AR46" s="4">
        <v>1</v>
      </c>
      <c r="AS46" s="4">
        <v>0.16218954785685</v>
      </c>
      <c r="AT46" s="4">
        <v>0.224199912084583</v>
      </c>
      <c r="AU46" s="4">
        <v>0.241570751899621</v>
      </c>
      <c r="AV46" s="4">
        <v>0.241955706878299</v>
      </c>
      <c r="AW46" s="4">
        <v>0.316210728196778</v>
      </c>
      <c r="AX46" s="4">
        <v>0.150959473680628</v>
      </c>
      <c r="AY46" s="4">
        <v>0.396576518108102</v>
      </c>
      <c r="AZ46" s="4">
        <v>0.387013023427871</v>
      </c>
      <c r="BA46" s="4">
        <v>0.258409744310378</v>
      </c>
      <c r="BB46" s="4">
        <v>0.298123781646155</v>
      </c>
      <c r="BC46" s="4">
        <v>0.369163351600724</v>
      </c>
      <c r="BD46" s="4">
        <v>0.386049464172791</v>
      </c>
      <c r="BE46" s="4">
        <v>0.305331236850543</v>
      </c>
      <c r="BF46" s="4">
        <v>0.48274918193177</v>
      </c>
      <c r="BG46" s="4">
        <v>0.559745140458076</v>
      </c>
      <c r="BH46" s="4">
        <v>0.296491991692295</v>
      </c>
      <c r="BI46" s="4">
        <v>0.110548678776715</v>
      </c>
      <c r="BJ46" s="4">
        <v>0.0809666524542115</v>
      </c>
      <c r="BK46" s="4">
        <v>0.0713887686112251</v>
      </c>
      <c r="BL46" s="4">
        <v>0.164467747801791</v>
      </c>
      <c r="BM46" s="4">
        <v>0.148108637553143</v>
      </c>
      <c r="BN46" s="4">
        <v>0.44166593158178</v>
      </c>
      <c r="BO46" s="4">
        <v>0.414536353699857</v>
      </c>
      <c r="BP46" s="4">
        <v>0.328006522195494</v>
      </c>
      <c r="BQ46" s="4">
        <v>0.179460796781193</v>
      </c>
      <c r="BR46" s="4">
        <v>0.229248575670271</v>
      </c>
      <c r="BS46" s="4">
        <v>0.285998052419052</v>
      </c>
      <c r="BT46" s="4">
        <v>0.189305234973029</v>
      </c>
      <c r="BU46" s="4">
        <v>0.170344587908136</v>
      </c>
      <c r="BV46" s="4">
        <v>0.337639998157073</v>
      </c>
      <c r="BW46" s="4">
        <v>0.0842742627924378</v>
      </c>
      <c r="BX46" s="4">
        <v>0.339472685263431</v>
      </c>
      <c r="BY46" s="4">
        <v>0.289219407665962</v>
      </c>
      <c r="BZ46" s="4">
        <v>0.217489625481744</v>
      </c>
      <c r="CA46" s="4">
        <v>0.222519708246178</v>
      </c>
      <c r="CB46" s="4">
        <v>0.314472843672946</v>
      </c>
      <c r="CC46" s="4">
        <v>0.218918437283332</v>
      </c>
      <c r="CD46" s="4">
        <v>0.275109988796424</v>
      </c>
      <c r="CE46" s="4">
        <v>0.2203021928988</v>
      </c>
      <c r="CF46" s="4">
        <v>0.309480233682506</v>
      </c>
      <c r="CG46" s="4">
        <v>0.19465054960146</v>
      </c>
      <c r="CH46" s="4">
        <v>0.396312610552203</v>
      </c>
      <c r="CI46" s="4">
        <v>0.533549002404766</v>
      </c>
      <c r="CJ46" s="4">
        <v>0.41390322435883</v>
      </c>
      <c r="CK46" s="4">
        <v>0.238428951153422</v>
      </c>
      <c r="CL46" s="4">
        <v>0.223118596789615</v>
      </c>
      <c r="CM46" s="4">
        <v>-0.0357371787662682</v>
      </c>
      <c r="CN46" s="4">
        <v>0.361748095979809</v>
      </c>
      <c r="CO46" s="4">
        <v>0.146485340735381</v>
      </c>
      <c r="CP46" s="4">
        <v>0.295575047866529</v>
      </c>
      <c r="CQ46" s="4">
        <v>0.238396669619845</v>
      </c>
      <c r="CR46" s="4">
        <v>0.0603636617062851</v>
      </c>
      <c r="CS46" s="4">
        <v>0.158975569423023</v>
      </c>
      <c r="CT46" s="4">
        <v>0.195107822748121</v>
      </c>
      <c r="CU46" s="4">
        <v>0.123369731241624</v>
      </c>
      <c r="CV46" s="4">
        <v>0.399434925036688</v>
      </c>
      <c r="CW46" s="4">
        <v>0.349653630571262</v>
      </c>
      <c r="CX46" s="4">
        <v>0.399272247082485</v>
      </c>
      <c r="CY46" s="4">
        <v>0.151900730526082</v>
      </c>
      <c r="CZ46" s="4">
        <v>0.232467914638874</v>
      </c>
      <c r="DA46" s="4">
        <v>0.107131950069846</v>
      </c>
      <c r="DB46" s="4">
        <v>0.0777907885776605</v>
      </c>
      <c r="DC46" s="4">
        <v>0.307156838417781</v>
      </c>
      <c r="DD46" s="4">
        <v>-0.0960907564542924</v>
      </c>
      <c r="DE46" s="4">
        <v>0.407856363487458</v>
      </c>
      <c r="DF46" s="4">
        <v>0.330302620423214</v>
      </c>
      <c r="DG46" s="4">
        <v>0.0944410490959368</v>
      </c>
      <c r="DH46" s="4">
        <v>0.227207978643392</v>
      </c>
      <c r="DI46" s="4">
        <v>0.22907672610824</v>
      </c>
      <c r="DJ46" s="4">
        <v>0.270441923597188</v>
      </c>
      <c r="DK46" s="4">
        <v>0.209889687627564</v>
      </c>
      <c r="DL46" s="4">
        <v>0.25323155510823</v>
      </c>
      <c r="DM46" s="4">
        <v>0.241730776753174</v>
      </c>
      <c r="DN46" s="4">
        <v>0.325876115406411</v>
      </c>
      <c r="DO46" s="4">
        <v>0.167298654177905</v>
      </c>
      <c r="DP46" s="4">
        <v>0.221095408153137</v>
      </c>
      <c r="DQ46" s="4">
        <v>0.17624088498552</v>
      </c>
      <c r="DR46" s="4">
        <v>0.288362448969035</v>
      </c>
      <c r="DS46" s="4">
        <v>0.177417268446275</v>
      </c>
      <c r="DT46" s="4">
        <v>0.268305561041739</v>
      </c>
      <c r="DU46" s="4">
        <v>0.30877613648892</v>
      </c>
      <c r="DV46" s="4">
        <v>0.222805205524764</v>
      </c>
      <c r="DW46" s="4">
        <v>0.149491175484592</v>
      </c>
      <c r="DX46" s="4">
        <v>0.428214793891257</v>
      </c>
      <c r="DY46" s="4">
        <v>0.150568700048163</v>
      </c>
    </row>
    <row r="47" ht="14" spans="1:129">
      <c r="A47" s="31" t="s">
        <v>45</v>
      </c>
      <c r="B47" s="4" t="str">
        <v/>
      </c>
      <c r="C47" s="4" t="str">
        <v/>
      </c>
      <c r="D47" s="4" t="str">
        <v/>
      </c>
      <c r="E47" s="4" t="str">
        <v/>
      </c>
      <c r="F47" s="4" t="str">
        <v/>
      </c>
      <c r="G47" s="4" t="str">
        <v/>
      </c>
      <c r="H47" s="4" t="str">
        <v/>
      </c>
      <c r="I47" s="4" t="str">
        <v/>
      </c>
      <c r="J47" s="4" t="str">
        <v/>
      </c>
      <c r="K47" s="4" t="str">
        <v/>
      </c>
      <c r="L47" s="4" t="str">
        <v/>
      </c>
      <c r="M47" s="4" t="str">
        <v/>
      </c>
      <c r="N47" s="4" t="str">
        <v/>
      </c>
      <c r="O47" s="4" t="str">
        <v/>
      </c>
      <c r="P47" s="4" t="str">
        <v/>
      </c>
      <c r="Q47" s="4" t="str">
        <v/>
      </c>
      <c r="R47" s="4" t="str">
        <v/>
      </c>
      <c r="S47" s="4" t="str">
        <v/>
      </c>
      <c r="T47" s="4" t="str">
        <v/>
      </c>
      <c r="U47" s="4" t="str">
        <v/>
      </c>
      <c r="V47" s="4" t="str">
        <v/>
      </c>
      <c r="W47" s="4" t="str">
        <v/>
      </c>
      <c r="X47" s="4" t="str">
        <v/>
      </c>
      <c r="Y47" s="4" t="str">
        <v/>
      </c>
      <c r="Z47" s="4" t="str">
        <v/>
      </c>
      <c r="AA47" s="4" t="str">
        <v/>
      </c>
      <c r="AB47" s="4" t="str">
        <v/>
      </c>
      <c r="AC47" s="4" t="str">
        <v/>
      </c>
      <c r="AD47" s="4" t="str">
        <v/>
      </c>
      <c r="AE47" s="4" t="str">
        <v/>
      </c>
      <c r="AF47" s="4" t="str">
        <v/>
      </c>
      <c r="AG47" s="4" t="str">
        <v/>
      </c>
      <c r="AH47" s="4" t="str">
        <v/>
      </c>
      <c r="AI47" s="4" t="str">
        <v/>
      </c>
      <c r="AJ47" s="4" t="str">
        <v/>
      </c>
      <c r="AK47" s="4" t="str">
        <v/>
      </c>
      <c r="AL47" s="4" t="str">
        <v/>
      </c>
      <c r="AM47" s="4" t="str">
        <v/>
      </c>
      <c r="AN47" s="4" t="str">
        <v/>
      </c>
      <c r="AO47" s="4" t="str">
        <v/>
      </c>
      <c r="AP47" s="4" t="str">
        <v/>
      </c>
      <c r="AQ47" s="4" t="str">
        <v/>
      </c>
      <c r="AR47" s="4" t="str">
        <v/>
      </c>
      <c r="AS47" s="4">
        <v>1</v>
      </c>
      <c r="AT47" s="4">
        <v>0.701211924241649</v>
      </c>
      <c r="AU47" s="4">
        <v>0.638838440364386</v>
      </c>
      <c r="AV47" s="4">
        <v>0.673668015249144</v>
      </c>
      <c r="AW47" s="4">
        <v>0.497389079810237</v>
      </c>
      <c r="AX47" s="4">
        <v>0.55840337419552</v>
      </c>
      <c r="AY47" s="4">
        <v>0.353036981785924</v>
      </c>
      <c r="AZ47" s="4">
        <v>0.195787161844777</v>
      </c>
      <c r="BA47" s="4">
        <v>0.34932471654954</v>
      </c>
      <c r="BB47" s="4">
        <v>0.36952060160422</v>
      </c>
      <c r="BC47" s="4">
        <v>0.50992383792691</v>
      </c>
      <c r="BD47" s="4">
        <v>0.567852321007339</v>
      </c>
      <c r="BE47" s="4">
        <v>0.356421028363524</v>
      </c>
      <c r="BF47" s="4">
        <v>0.457962704302847</v>
      </c>
      <c r="BG47" s="4">
        <v>0.318432739891611</v>
      </c>
      <c r="BH47" s="4">
        <v>0.430947120547064</v>
      </c>
      <c r="BI47" s="4">
        <v>0.353628987663125</v>
      </c>
      <c r="BJ47" s="4">
        <v>0.494810531567567</v>
      </c>
      <c r="BK47" s="4">
        <v>0.0293622812377562</v>
      </c>
      <c r="BL47" s="4">
        <v>0.376717024107977</v>
      </c>
      <c r="BM47" s="4">
        <v>0.312008111580218</v>
      </c>
      <c r="BN47" s="4">
        <v>0.203714875202247</v>
      </c>
      <c r="BO47" s="4">
        <v>0.248949929620601</v>
      </c>
      <c r="BP47" s="4">
        <v>0.456833053425798</v>
      </c>
      <c r="BQ47" s="4">
        <v>0.134730057284727</v>
      </c>
      <c r="BR47" s="4">
        <v>0.180757292694588</v>
      </c>
      <c r="BS47" s="4">
        <v>0.423813834626377</v>
      </c>
      <c r="BT47" s="4">
        <v>0.480084852035782</v>
      </c>
      <c r="BU47" s="4">
        <v>0.177517036449676</v>
      </c>
      <c r="BV47" s="4">
        <v>0.0609541713867997</v>
      </c>
      <c r="BW47" s="4">
        <v>0.123572844221792</v>
      </c>
      <c r="BX47" s="4">
        <v>0.15354804083329</v>
      </c>
      <c r="BY47" s="4">
        <v>0.200566157333749</v>
      </c>
      <c r="BZ47" s="4">
        <v>0.041264437124786</v>
      </c>
      <c r="CA47" s="4">
        <v>0.195924785864945</v>
      </c>
      <c r="CB47" s="4">
        <v>0.119200731516545</v>
      </c>
      <c r="CC47" s="4">
        <v>0.358428651736721</v>
      </c>
      <c r="CD47" s="4">
        <v>0.0758152596539349</v>
      </c>
      <c r="CE47" s="4">
        <v>0.294475335746239</v>
      </c>
      <c r="CF47" s="4">
        <v>0.437143315573159</v>
      </c>
      <c r="CG47" s="4">
        <v>0.435601502889744</v>
      </c>
      <c r="CH47" s="4">
        <v>0.20471543393533</v>
      </c>
      <c r="CI47" s="4">
        <v>0.524233678662545</v>
      </c>
      <c r="CJ47" s="4">
        <v>0.253030460791978</v>
      </c>
      <c r="CK47" s="4">
        <v>0.287085292477445</v>
      </c>
      <c r="CL47" s="4">
        <v>0.371665744029843</v>
      </c>
      <c r="CM47" s="4">
        <v>-0.232972163573117</v>
      </c>
      <c r="CN47" s="4">
        <v>0.309798138241835</v>
      </c>
      <c r="CO47" s="4">
        <v>-0.0471889106358271</v>
      </c>
      <c r="CP47" s="4">
        <v>-0.0968286311372521</v>
      </c>
      <c r="CQ47" s="4">
        <v>-0.0144659890534575</v>
      </c>
      <c r="CR47" s="4">
        <v>0.0792984534698185</v>
      </c>
      <c r="CS47" s="4">
        <v>0.208496709397341</v>
      </c>
      <c r="CT47" s="4">
        <v>0.447626054666582</v>
      </c>
      <c r="CU47" s="4">
        <v>0.292570481526673</v>
      </c>
      <c r="CV47" s="4">
        <v>0.230875464078554</v>
      </c>
      <c r="CW47" s="4">
        <v>0.386705796236015</v>
      </c>
      <c r="CX47" s="4">
        <v>0.16419534978373</v>
      </c>
      <c r="CY47" s="4">
        <v>0.295474335450181</v>
      </c>
      <c r="CZ47" s="4">
        <v>0.244006495299896</v>
      </c>
      <c r="DA47" s="4">
        <v>0.308176870478088</v>
      </c>
      <c r="DB47" s="4">
        <v>0.274315990338412</v>
      </c>
      <c r="DC47" s="4">
        <v>0.329874222876271</v>
      </c>
      <c r="DD47" s="4">
        <v>0.0933962229371926</v>
      </c>
      <c r="DE47" s="4">
        <v>0.408168534928696</v>
      </c>
      <c r="DF47" s="4">
        <v>0.331979468906622</v>
      </c>
      <c r="DG47" s="4">
        <v>0.273977334024074</v>
      </c>
      <c r="DH47" s="4">
        <v>0.635998516174338</v>
      </c>
      <c r="DI47" s="4">
        <v>0.501060146559423</v>
      </c>
      <c r="DJ47" s="4">
        <v>0.399258718799154</v>
      </c>
      <c r="DK47" s="4">
        <v>0.425870785243953</v>
      </c>
      <c r="DL47" s="4">
        <v>0.429775275967377</v>
      </c>
      <c r="DM47" s="4">
        <v>0.483305520983949</v>
      </c>
      <c r="DN47" s="4">
        <v>0.54014244863393</v>
      </c>
      <c r="DO47" s="4">
        <v>0.497297376268251</v>
      </c>
      <c r="DP47" s="4">
        <v>0.478276525478438</v>
      </c>
      <c r="DQ47" s="4">
        <v>0.468615363501977</v>
      </c>
      <c r="DR47" s="4">
        <v>0.547938914771567</v>
      </c>
      <c r="DS47" s="4">
        <v>0.411284543279988</v>
      </c>
      <c r="DT47" s="4">
        <v>0.474679063188552</v>
      </c>
      <c r="DU47" s="4">
        <v>0.603451851685478</v>
      </c>
      <c r="DV47" s="4">
        <v>0.411096399726354</v>
      </c>
      <c r="DW47" s="4">
        <v>0.207470386078788</v>
      </c>
      <c r="DX47" s="4">
        <v>0.382811337320696</v>
      </c>
      <c r="DY47" s="4">
        <v>0.658721049207189</v>
      </c>
    </row>
    <row r="48" ht="14" spans="1:129">
      <c r="A48" s="31" t="s">
        <v>46</v>
      </c>
      <c r="B48" s="4" t="str">
        <v/>
      </c>
      <c r="C48" s="4" t="str">
        <v/>
      </c>
      <c r="D48" s="4" t="str">
        <v/>
      </c>
      <c r="E48" s="4" t="str">
        <v/>
      </c>
      <c r="F48" s="4" t="str">
        <v/>
      </c>
      <c r="G48" s="4" t="str">
        <v/>
      </c>
      <c r="H48" s="4" t="str">
        <v/>
      </c>
      <c r="I48" s="4" t="str">
        <v/>
      </c>
      <c r="J48" s="4" t="str">
        <v/>
      </c>
      <c r="K48" s="4" t="str">
        <v/>
      </c>
      <c r="L48" s="4" t="str">
        <v/>
      </c>
      <c r="M48" s="4" t="str">
        <v/>
      </c>
      <c r="N48" s="4" t="str">
        <v/>
      </c>
      <c r="O48" s="4" t="str">
        <v/>
      </c>
      <c r="P48" s="4" t="str">
        <v/>
      </c>
      <c r="Q48" s="4" t="str">
        <v/>
      </c>
      <c r="R48" s="4" t="str">
        <v/>
      </c>
      <c r="S48" s="4" t="str">
        <v/>
      </c>
      <c r="T48" s="4" t="str">
        <v/>
      </c>
      <c r="U48" s="4" t="str">
        <v/>
      </c>
      <c r="V48" s="4" t="str">
        <v/>
      </c>
      <c r="W48" s="4" t="str">
        <v/>
      </c>
      <c r="X48" s="4" t="str">
        <v/>
      </c>
      <c r="Y48" s="4" t="str">
        <v/>
      </c>
      <c r="Z48" s="4" t="str">
        <v/>
      </c>
      <c r="AA48" s="4" t="str">
        <v/>
      </c>
      <c r="AB48" s="4" t="str">
        <v/>
      </c>
      <c r="AC48" s="4" t="str">
        <v/>
      </c>
      <c r="AD48" s="4" t="str">
        <v/>
      </c>
      <c r="AE48" s="4" t="str">
        <v/>
      </c>
      <c r="AF48" s="4" t="str">
        <v/>
      </c>
      <c r="AG48" s="4" t="str">
        <v/>
      </c>
      <c r="AH48" s="4" t="str">
        <v/>
      </c>
      <c r="AI48" s="4" t="str">
        <v/>
      </c>
      <c r="AJ48" s="4" t="str">
        <v/>
      </c>
      <c r="AK48" s="4" t="str">
        <v/>
      </c>
      <c r="AL48" s="4" t="str">
        <v/>
      </c>
      <c r="AM48" s="4" t="str">
        <v/>
      </c>
      <c r="AN48" s="4" t="str">
        <v/>
      </c>
      <c r="AO48" s="4" t="str">
        <v/>
      </c>
      <c r="AP48" s="4" t="str">
        <v/>
      </c>
      <c r="AQ48" s="4" t="str">
        <v/>
      </c>
      <c r="AR48" s="4" t="str">
        <v/>
      </c>
      <c r="AS48" s="4" t="str">
        <v/>
      </c>
      <c r="AT48" s="4">
        <v>1</v>
      </c>
      <c r="AU48" s="4">
        <v>0.756346962284031</v>
      </c>
      <c r="AV48" s="4">
        <v>0.863454031360137</v>
      </c>
      <c r="AW48" s="4">
        <v>0.570736255044475</v>
      </c>
      <c r="AX48" s="4">
        <v>0.523110702168705</v>
      </c>
      <c r="AY48" s="4">
        <v>0.393114185632533</v>
      </c>
      <c r="AZ48" s="4">
        <v>0.386624891818529</v>
      </c>
      <c r="BA48" s="4">
        <v>0.472445830374888</v>
      </c>
      <c r="BB48" s="4">
        <v>0.483938565532425</v>
      </c>
      <c r="BC48" s="4">
        <v>0.611225462986893</v>
      </c>
      <c r="BD48" s="4">
        <v>0.64473587851305</v>
      </c>
      <c r="BE48" s="4">
        <v>0.406091053998004</v>
      </c>
      <c r="BF48" s="4">
        <v>0.585080474695184</v>
      </c>
      <c r="BG48" s="4">
        <v>0.381006304650326</v>
      </c>
      <c r="BH48" s="4">
        <v>0.629090487877537</v>
      </c>
      <c r="BI48" s="4">
        <v>0.533074990031562</v>
      </c>
      <c r="BJ48" s="4">
        <v>0.596928797636761</v>
      </c>
      <c r="BK48" s="4">
        <v>0.271775572296821</v>
      </c>
      <c r="BL48" s="4">
        <v>0.48823644205212</v>
      </c>
      <c r="BM48" s="4">
        <v>0.47123895963031</v>
      </c>
      <c r="BN48" s="4">
        <v>0.408160725936592</v>
      </c>
      <c r="BO48" s="4">
        <v>0.373601330658306</v>
      </c>
      <c r="BP48" s="4">
        <v>0.467315876148986</v>
      </c>
      <c r="BQ48" s="4">
        <v>0.0710417957107528</v>
      </c>
      <c r="BR48" s="4">
        <v>0.351732109767656</v>
      </c>
      <c r="BS48" s="4">
        <v>0.493113157760432</v>
      </c>
      <c r="BT48" s="4">
        <v>0.584634285956583</v>
      </c>
      <c r="BU48" s="4">
        <v>0.388345726032495</v>
      </c>
      <c r="BV48" s="4">
        <v>0.205058935882142</v>
      </c>
      <c r="BW48" s="4">
        <v>0.185714074561552</v>
      </c>
      <c r="BX48" s="4">
        <v>0.300503518498934</v>
      </c>
      <c r="BY48" s="4">
        <v>0.402991771137151</v>
      </c>
      <c r="BZ48" s="4">
        <v>0.263331831645151</v>
      </c>
      <c r="CA48" s="4">
        <v>0.272302427053769</v>
      </c>
      <c r="CB48" s="4">
        <v>0.294746173650716</v>
      </c>
      <c r="CC48" s="4">
        <v>0.380312329784708</v>
      </c>
      <c r="CD48" s="4">
        <v>0.204262388021568</v>
      </c>
      <c r="CE48" s="4">
        <v>0.408795167529041</v>
      </c>
      <c r="CF48" s="4">
        <v>0.579149796650164</v>
      </c>
      <c r="CG48" s="4">
        <v>0.485662979271103</v>
      </c>
      <c r="CH48" s="4">
        <v>0.296273009443751</v>
      </c>
      <c r="CI48" s="4">
        <v>0.669901723926703</v>
      </c>
      <c r="CJ48" s="4">
        <v>0.450424789869293</v>
      </c>
      <c r="CK48" s="4">
        <v>0.366406726004873</v>
      </c>
      <c r="CL48" s="4">
        <v>0.521016271566317</v>
      </c>
      <c r="CM48" s="4">
        <v>-0.263423571903588</v>
      </c>
      <c r="CN48" s="4">
        <v>0.408516953068916</v>
      </c>
      <c r="CO48" s="4">
        <v>0.0692912176929347</v>
      </c>
      <c r="CP48" s="4">
        <v>0.0816382394490326</v>
      </c>
      <c r="CQ48" s="4">
        <v>0.155741746089288</v>
      </c>
      <c r="CR48" s="4">
        <v>0.204916925682506</v>
      </c>
      <c r="CS48" s="4">
        <v>0.322105327109686</v>
      </c>
      <c r="CT48" s="4">
        <v>0.54580193058018</v>
      </c>
      <c r="CU48" s="4">
        <v>0.32255899426338</v>
      </c>
      <c r="CV48" s="4">
        <v>0.263609967996317</v>
      </c>
      <c r="CW48" s="4">
        <v>0.393387991813792</v>
      </c>
      <c r="CX48" s="4">
        <v>0.33347222571068</v>
      </c>
      <c r="CY48" s="4">
        <v>0.183967597783217</v>
      </c>
      <c r="CZ48" s="4">
        <v>0.454357732432922</v>
      </c>
      <c r="DA48" s="4">
        <v>0.291069466178145</v>
      </c>
      <c r="DB48" s="4">
        <v>0.455943001374871</v>
      </c>
      <c r="DC48" s="4">
        <v>0.365778128502041</v>
      </c>
      <c r="DD48" s="4">
        <v>0.168513884105441</v>
      </c>
      <c r="DE48" s="4">
        <v>0.424613926905706</v>
      </c>
      <c r="DF48" s="4">
        <v>0.35834515838594</v>
      </c>
      <c r="DG48" s="4">
        <v>0.377151694812009</v>
      </c>
      <c r="DH48" s="4">
        <v>0.651252832348423</v>
      </c>
      <c r="DI48" s="4">
        <v>0.626981565251263</v>
      </c>
      <c r="DJ48" s="4">
        <v>0.591190631238475</v>
      </c>
      <c r="DK48" s="4">
        <v>0.585897935024031</v>
      </c>
      <c r="DL48" s="4">
        <v>0.616717888495674</v>
      </c>
      <c r="DM48" s="4">
        <v>0.644697761191872</v>
      </c>
      <c r="DN48" s="4">
        <v>0.627525813402266</v>
      </c>
      <c r="DO48" s="4">
        <v>0.59997261801942</v>
      </c>
      <c r="DP48" s="4">
        <v>0.678649544923673</v>
      </c>
      <c r="DQ48" s="4">
        <v>0.603937193842812</v>
      </c>
      <c r="DR48" s="4">
        <v>0.691792421624417</v>
      </c>
      <c r="DS48" s="4">
        <v>0.477943153632291</v>
      </c>
      <c r="DT48" s="4">
        <v>0.62050892408127</v>
      </c>
      <c r="DU48" s="4">
        <v>0.666435732196652</v>
      </c>
      <c r="DV48" s="4">
        <v>0.576129104922801</v>
      </c>
      <c r="DW48" s="4">
        <v>0.231464805752447</v>
      </c>
      <c r="DX48" s="4">
        <v>0.375236789370355</v>
      </c>
      <c r="DY48" s="4">
        <v>0.720922526183202</v>
      </c>
    </row>
    <row r="49" ht="14" spans="1:129">
      <c r="A49" s="31" t="s">
        <v>47</v>
      </c>
      <c r="B49" s="2" t="str">
        <v/>
      </c>
      <c r="C49" s="2" t="str">
        <v/>
      </c>
      <c r="D49" s="2" t="str">
        <v/>
      </c>
      <c r="E49" s="2" t="str">
        <v/>
      </c>
      <c r="F49" s="2" t="str">
        <v/>
      </c>
      <c r="G49" s="2" t="str">
        <v/>
      </c>
      <c r="H49" s="2" t="str">
        <v/>
      </c>
      <c r="I49" s="2" t="str">
        <v/>
      </c>
      <c r="J49" s="2" t="str">
        <v/>
      </c>
      <c r="K49" s="2" t="str">
        <v/>
      </c>
      <c r="L49" s="2" t="str">
        <v/>
      </c>
      <c r="M49" s="2" t="str">
        <v/>
      </c>
      <c r="N49" s="2" t="str">
        <v/>
      </c>
      <c r="O49" s="2" t="str">
        <v/>
      </c>
      <c r="P49" s="2" t="str">
        <v/>
      </c>
      <c r="Q49" s="2" t="str">
        <v/>
      </c>
      <c r="R49" s="2" t="str">
        <v/>
      </c>
      <c r="S49" s="2" t="str">
        <v/>
      </c>
      <c r="T49" s="2" t="str">
        <v/>
      </c>
      <c r="U49" s="2" t="str">
        <v/>
      </c>
      <c r="V49" s="2" t="str">
        <v/>
      </c>
      <c r="W49" s="2" t="str">
        <v/>
      </c>
      <c r="X49" s="2" t="str">
        <v/>
      </c>
      <c r="Y49" s="2" t="str">
        <v/>
      </c>
      <c r="Z49" s="2" t="str">
        <v/>
      </c>
      <c r="AA49" s="2" t="str">
        <v/>
      </c>
      <c r="AB49" s="2" t="str">
        <v/>
      </c>
      <c r="AC49" s="2" t="str">
        <v/>
      </c>
      <c r="AD49" s="2" t="str">
        <v/>
      </c>
      <c r="AE49" s="2" t="str">
        <v/>
      </c>
      <c r="AF49" s="2" t="str">
        <v/>
      </c>
      <c r="AG49" s="2" t="str">
        <v/>
      </c>
      <c r="AH49" s="2" t="str">
        <v/>
      </c>
      <c r="AI49" s="2" t="str">
        <v/>
      </c>
      <c r="AJ49" s="2" t="str">
        <v/>
      </c>
      <c r="AK49" s="2" t="str">
        <v/>
      </c>
      <c r="AL49" s="2" t="str">
        <v/>
      </c>
      <c r="AM49" s="2" t="str">
        <v/>
      </c>
      <c r="AN49" s="2" t="str">
        <v/>
      </c>
      <c r="AO49" s="2" t="str">
        <v/>
      </c>
      <c r="AP49" s="2" t="str">
        <v/>
      </c>
      <c r="AQ49" s="2" t="str">
        <v/>
      </c>
      <c r="AR49" s="4" t="str">
        <v/>
      </c>
      <c r="AS49" s="4" t="str">
        <v/>
      </c>
      <c r="AT49" s="4" t="str">
        <v/>
      </c>
      <c r="AU49" s="4">
        <v>1</v>
      </c>
      <c r="AV49" s="4">
        <v>0.832355565578537</v>
      </c>
      <c r="AW49" s="4">
        <v>0.413264651669903</v>
      </c>
      <c r="AX49" s="4">
        <v>0.522321376375875</v>
      </c>
      <c r="AY49" s="4">
        <v>0.406126486714802</v>
      </c>
      <c r="AZ49" s="4">
        <v>0.430331765840023</v>
      </c>
      <c r="BA49" s="4">
        <v>0.442084310445339</v>
      </c>
      <c r="BB49" s="4">
        <v>0.586113691226639</v>
      </c>
      <c r="BC49" s="4">
        <v>0.471395175755338</v>
      </c>
      <c r="BD49" s="4">
        <v>0.713221784068528</v>
      </c>
      <c r="BE49" s="4">
        <v>0.438909629521424</v>
      </c>
      <c r="BF49" s="4">
        <v>0.544320010236356</v>
      </c>
      <c r="BG49" s="4">
        <v>0.375372696904661</v>
      </c>
      <c r="BH49" s="4">
        <v>0.617581903372892</v>
      </c>
      <c r="BI49" s="4">
        <v>0.449550700434485</v>
      </c>
      <c r="BJ49" s="4">
        <v>0.611433818376853</v>
      </c>
      <c r="BK49" s="4">
        <v>0.348920559280645</v>
      </c>
      <c r="BL49" s="4">
        <v>0.460433789354199</v>
      </c>
      <c r="BM49" s="4">
        <v>0.512459890152912</v>
      </c>
      <c r="BN49" s="4">
        <v>0.412045325262536</v>
      </c>
      <c r="BO49" s="4">
        <v>0.468025966438566</v>
      </c>
      <c r="BP49" s="4">
        <v>0.519313348228902</v>
      </c>
      <c r="BQ49" s="4">
        <v>0.156586411347195</v>
      </c>
      <c r="BR49" s="4">
        <v>0.452744137627132</v>
      </c>
      <c r="BS49" s="4">
        <v>0.530637204905566</v>
      </c>
      <c r="BT49" s="4">
        <v>0.671616792120682</v>
      </c>
      <c r="BU49" s="4">
        <v>0.447627279382193</v>
      </c>
      <c r="BV49" s="4">
        <v>0.127927694555859</v>
      </c>
      <c r="BW49" s="4">
        <v>0.398999595915047</v>
      </c>
      <c r="BX49" s="4">
        <v>0.244892929958813</v>
      </c>
      <c r="BY49" s="4">
        <v>0.366978719010342</v>
      </c>
      <c r="BZ49" s="4">
        <v>0.344630998797292</v>
      </c>
      <c r="CA49" s="4">
        <v>0.404564839878556</v>
      </c>
      <c r="CB49" s="4">
        <v>0.403795821048029</v>
      </c>
      <c r="CC49" s="4">
        <v>0.426076610292876</v>
      </c>
      <c r="CD49" s="4">
        <v>0.16702873960988</v>
      </c>
      <c r="CE49" s="4">
        <v>0.340473095687232</v>
      </c>
      <c r="CF49" s="4">
        <v>0.614606148412371</v>
      </c>
      <c r="CG49" s="4">
        <v>0.509428450696543</v>
      </c>
      <c r="CH49" s="4">
        <v>0.401863922018109</v>
      </c>
      <c r="CI49" s="4">
        <v>0.731842525033682</v>
      </c>
      <c r="CJ49" s="4">
        <v>0.452629396955479</v>
      </c>
      <c r="CK49" s="4">
        <v>0.417776399237112</v>
      </c>
      <c r="CL49" s="4">
        <v>0.56560521909791</v>
      </c>
      <c r="CM49" s="4">
        <v>-0.192884109520214</v>
      </c>
      <c r="CN49" s="4">
        <v>0.495295592743973</v>
      </c>
      <c r="CO49" s="4">
        <v>0.0567972093211926</v>
      </c>
      <c r="CP49" s="4">
        <v>0.16770655666446</v>
      </c>
      <c r="CQ49" s="4">
        <v>0.0345260828308415</v>
      </c>
      <c r="CR49" s="4">
        <v>0.230248737485458</v>
      </c>
      <c r="CS49" s="4">
        <v>0.457820908506706</v>
      </c>
      <c r="CT49" s="4">
        <v>0.652645429833012</v>
      </c>
      <c r="CU49" s="4">
        <v>0.458531126493811</v>
      </c>
      <c r="CV49" s="4">
        <v>0.270775655402103</v>
      </c>
      <c r="CW49" s="4">
        <v>0.543021016124349</v>
      </c>
      <c r="CX49" s="4">
        <v>0.36775003867305</v>
      </c>
      <c r="CY49" s="4">
        <v>0.218896524549679</v>
      </c>
      <c r="CZ49" s="4">
        <v>0.427141006753608</v>
      </c>
      <c r="DA49" s="4">
        <v>0.202841561359444</v>
      </c>
      <c r="DB49" s="4">
        <v>0.485328253532807</v>
      </c>
      <c r="DC49" s="4">
        <v>0.447229923377655</v>
      </c>
      <c r="DD49" s="4">
        <v>0.206040938262875</v>
      </c>
      <c r="DE49" s="4">
        <v>0.492158763746099</v>
      </c>
      <c r="DF49" s="4">
        <v>0.443383297594864</v>
      </c>
      <c r="DG49" s="4">
        <v>0.293031352887</v>
      </c>
      <c r="DH49" s="4">
        <v>0.710069388915305</v>
      </c>
      <c r="DI49" s="4">
        <v>0.544083294243667</v>
      </c>
      <c r="DJ49" s="4">
        <v>0.52745845092296</v>
      </c>
      <c r="DK49" s="4">
        <v>0.48710060795351</v>
      </c>
      <c r="DL49" s="4">
        <v>0.601521516247395</v>
      </c>
      <c r="DM49" s="4">
        <v>0.569202836381039</v>
      </c>
      <c r="DN49" s="4">
        <v>0.586841200328835</v>
      </c>
      <c r="DO49" s="4">
        <v>0.603850775123255</v>
      </c>
      <c r="DP49" s="4">
        <v>0.62280716155436</v>
      </c>
      <c r="DQ49" s="4">
        <v>0.558477009588124</v>
      </c>
      <c r="DR49" s="4">
        <v>0.665363178479198</v>
      </c>
      <c r="DS49" s="4">
        <v>0.385721464460076</v>
      </c>
      <c r="DT49" s="4">
        <v>0.539841639616688</v>
      </c>
      <c r="DU49" s="4">
        <v>0.604098983640329</v>
      </c>
      <c r="DV49" s="4">
        <v>0.611299100432171</v>
      </c>
      <c r="DW49" s="4">
        <v>0.337051940688094</v>
      </c>
      <c r="DX49" s="4">
        <v>0.336012398578849</v>
      </c>
      <c r="DY49" s="4">
        <v>0.744711703507712</v>
      </c>
    </row>
    <row r="50" ht="14" spans="1:129">
      <c r="A50" s="31" t="s">
        <v>48</v>
      </c>
      <c r="B50" s="2" t="str">
        <v/>
      </c>
      <c r="C50" s="2" t="str">
        <v/>
      </c>
      <c r="D50" s="2" t="str">
        <v/>
      </c>
      <c r="E50" s="2" t="str">
        <v/>
      </c>
      <c r="F50" s="2" t="str">
        <v/>
      </c>
      <c r="G50" s="2" t="str">
        <v/>
      </c>
      <c r="H50" s="2" t="str">
        <v/>
      </c>
      <c r="I50" s="2" t="str">
        <v/>
      </c>
      <c r="J50" s="2" t="str">
        <v/>
      </c>
      <c r="K50" s="2" t="str">
        <v/>
      </c>
      <c r="L50" s="2" t="str">
        <v/>
      </c>
      <c r="M50" s="2" t="str">
        <v/>
      </c>
      <c r="N50" s="2" t="str">
        <v/>
      </c>
      <c r="O50" s="2" t="str">
        <v/>
      </c>
      <c r="P50" s="2" t="str">
        <v/>
      </c>
      <c r="Q50" s="2" t="str">
        <v/>
      </c>
      <c r="R50" s="2" t="str">
        <v/>
      </c>
      <c r="S50" s="2" t="str">
        <v/>
      </c>
      <c r="T50" s="2" t="str">
        <v/>
      </c>
      <c r="U50" s="2" t="str">
        <v/>
      </c>
      <c r="V50" s="2" t="str">
        <v/>
      </c>
      <c r="W50" s="2" t="str">
        <v/>
      </c>
      <c r="X50" s="2" t="str">
        <v/>
      </c>
      <c r="Y50" s="2" t="str">
        <v/>
      </c>
      <c r="Z50" s="2" t="str">
        <v/>
      </c>
      <c r="AA50" s="2" t="str">
        <v/>
      </c>
      <c r="AB50" s="2" t="str">
        <v/>
      </c>
      <c r="AC50" s="2" t="str">
        <v/>
      </c>
      <c r="AD50" s="2" t="str">
        <v/>
      </c>
      <c r="AE50" s="2" t="str">
        <v/>
      </c>
      <c r="AF50" s="2" t="str">
        <v/>
      </c>
      <c r="AG50" s="2" t="str">
        <v/>
      </c>
      <c r="AH50" s="2" t="str">
        <v/>
      </c>
      <c r="AI50" s="2" t="str">
        <v/>
      </c>
      <c r="AJ50" s="2" t="str">
        <v/>
      </c>
      <c r="AK50" s="2" t="str">
        <v/>
      </c>
      <c r="AL50" s="2" t="str">
        <v/>
      </c>
      <c r="AM50" s="2" t="str">
        <v/>
      </c>
      <c r="AN50" s="2" t="str">
        <v/>
      </c>
      <c r="AO50" s="2" t="str">
        <v/>
      </c>
      <c r="AP50" s="2" t="str">
        <v/>
      </c>
      <c r="AQ50" s="2" t="str">
        <v/>
      </c>
      <c r="AR50" s="4" t="str">
        <v/>
      </c>
      <c r="AS50" s="4" t="str">
        <v/>
      </c>
      <c r="AT50" s="4" t="str">
        <v/>
      </c>
      <c r="AU50" s="4" t="str">
        <v/>
      </c>
      <c r="AV50" s="4">
        <v>1</v>
      </c>
      <c r="AW50" s="4">
        <v>0.473357160085104</v>
      </c>
      <c r="AX50" s="4">
        <v>0.530506486008187</v>
      </c>
      <c r="AY50" s="4">
        <v>0.369721792066659</v>
      </c>
      <c r="AZ50" s="4">
        <v>0.478564160895386</v>
      </c>
      <c r="BA50" s="4">
        <v>0.468574240266296</v>
      </c>
      <c r="BB50" s="4">
        <v>0.564425833730964</v>
      </c>
      <c r="BC50" s="4">
        <v>0.559565427530169</v>
      </c>
      <c r="BD50" s="4">
        <v>0.667258574371256</v>
      </c>
      <c r="BE50" s="4">
        <v>0.41019492445682</v>
      </c>
      <c r="BF50" s="4">
        <v>0.567312072675744</v>
      </c>
      <c r="BG50" s="4">
        <v>0.384043184348082</v>
      </c>
      <c r="BH50" s="4">
        <v>0.584759393069978</v>
      </c>
      <c r="BI50" s="4">
        <v>0.493980877448047</v>
      </c>
      <c r="BJ50" s="4">
        <v>0.602988710858236</v>
      </c>
      <c r="BK50" s="4">
        <v>0.288738046451469</v>
      </c>
      <c r="BL50" s="4">
        <v>0.496409386405235</v>
      </c>
      <c r="BM50" s="4">
        <v>0.450864856827388</v>
      </c>
      <c r="BN50" s="4">
        <v>0.378048237421498</v>
      </c>
      <c r="BO50" s="4">
        <v>0.471771049417369</v>
      </c>
      <c r="BP50" s="4">
        <v>0.55646762279127</v>
      </c>
      <c r="BQ50" s="4">
        <v>0.131696035051626</v>
      </c>
      <c r="BR50" s="4">
        <v>0.513953523992386</v>
      </c>
      <c r="BS50" s="4">
        <v>0.623676448096976</v>
      </c>
      <c r="BT50" s="4">
        <v>0.703298789276909</v>
      </c>
      <c r="BU50" s="4">
        <v>0.430088725449512</v>
      </c>
      <c r="BV50" s="4">
        <v>0.110315318088339</v>
      </c>
      <c r="BW50" s="4">
        <v>0.250299376273151</v>
      </c>
      <c r="BX50" s="4">
        <v>0.297212976408884</v>
      </c>
      <c r="BY50" s="4">
        <v>0.398262334463625</v>
      </c>
      <c r="BZ50" s="4">
        <v>0.267509247068344</v>
      </c>
      <c r="CA50" s="4">
        <v>0.400668266030509</v>
      </c>
      <c r="CB50" s="4">
        <v>0.334399766325193</v>
      </c>
      <c r="CC50" s="4">
        <v>0.398683775821152</v>
      </c>
      <c r="CD50" s="4">
        <v>0.227859031263186</v>
      </c>
      <c r="CE50" s="4">
        <v>0.413945643250074</v>
      </c>
      <c r="CF50" s="4">
        <v>0.631437091010367</v>
      </c>
      <c r="CG50" s="4">
        <v>0.51658102872699</v>
      </c>
      <c r="CH50" s="4">
        <v>0.296025315418791</v>
      </c>
      <c r="CI50" s="4">
        <v>0.734831709470386</v>
      </c>
      <c r="CJ50" s="4">
        <v>0.463586132013616</v>
      </c>
      <c r="CK50" s="4">
        <v>0.398472274802082</v>
      </c>
      <c r="CL50" s="4">
        <v>0.590921534641627</v>
      </c>
      <c r="CM50" s="4">
        <v>-0.324181645025644</v>
      </c>
      <c r="CN50" s="4">
        <v>0.429797938636451</v>
      </c>
      <c r="CO50" s="4">
        <v>0.119114831443841</v>
      </c>
      <c r="CP50" s="4">
        <v>0.105697607991807</v>
      </c>
      <c r="CQ50" s="4">
        <v>0.0615964173203456</v>
      </c>
      <c r="CR50" s="4">
        <v>0.164337055934935</v>
      </c>
      <c r="CS50" s="4">
        <v>0.341296012652576</v>
      </c>
      <c r="CT50" s="4">
        <v>0.607103768318157</v>
      </c>
      <c r="CU50" s="4">
        <v>0.406342546525989</v>
      </c>
      <c r="CV50" s="4">
        <v>0.315970613229835</v>
      </c>
      <c r="CW50" s="4">
        <v>0.428638459141301</v>
      </c>
      <c r="CX50" s="4">
        <v>0.410221203179124</v>
      </c>
      <c r="CY50" s="4">
        <v>0.176010659263268</v>
      </c>
      <c r="CZ50" s="4">
        <v>0.476866994753539</v>
      </c>
      <c r="DA50" s="4">
        <v>0.281543592192261</v>
      </c>
      <c r="DB50" s="4">
        <v>0.467120409526623</v>
      </c>
      <c r="DC50" s="4">
        <v>0.497161385437558</v>
      </c>
      <c r="DD50" s="4">
        <v>0.119720842132732</v>
      </c>
      <c r="DE50" s="4">
        <v>0.561688476331611</v>
      </c>
      <c r="DF50" s="4">
        <v>0.307924438789774</v>
      </c>
      <c r="DG50" s="4">
        <v>0.356196025698126</v>
      </c>
      <c r="DH50" s="4">
        <v>0.62338210507107</v>
      </c>
      <c r="DI50" s="4">
        <v>0.594913656423378</v>
      </c>
      <c r="DJ50" s="4">
        <v>0.615420473854814</v>
      </c>
      <c r="DK50" s="4">
        <v>0.600854231293645</v>
      </c>
      <c r="DL50" s="4">
        <v>0.646519294691212</v>
      </c>
      <c r="DM50" s="4">
        <v>0.656573235782259</v>
      </c>
      <c r="DN50" s="4">
        <v>0.580932114748486</v>
      </c>
      <c r="DO50" s="4">
        <v>0.611135598825041</v>
      </c>
      <c r="DP50" s="4">
        <v>0.691615860535452</v>
      </c>
      <c r="DQ50" s="4">
        <v>0.616007848145484</v>
      </c>
      <c r="DR50" s="4">
        <v>0.710670550307992</v>
      </c>
      <c r="DS50" s="4">
        <v>0.511788468938826</v>
      </c>
      <c r="DT50" s="4">
        <v>0.575896082365869</v>
      </c>
      <c r="DU50" s="4">
        <v>0.698402569203236</v>
      </c>
      <c r="DV50" s="4">
        <v>0.610729203480523</v>
      </c>
      <c r="DW50" s="4">
        <v>0.303298889964283</v>
      </c>
      <c r="DX50" s="4">
        <v>0.373044071004962</v>
      </c>
      <c r="DY50" s="4">
        <v>0.77312545281653</v>
      </c>
    </row>
    <row r="51" ht="14" spans="1:129">
      <c r="A51" s="31" t="s">
        <v>49</v>
      </c>
      <c r="B51" s="2" t="str">
        <v/>
      </c>
      <c r="C51" s="2" t="str">
        <v/>
      </c>
      <c r="D51" s="2" t="str">
        <v/>
      </c>
      <c r="E51" s="2" t="str">
        <v/>
      </c>
      <c r="F51" s="2" t="str">
        <v/>
      </c>
      <c r="G51" s="2" t="str">
        <v/>
      </c>
      <c r="H51" s="2" t="str">
        <v/>
      </c>
      <c r="I51" s="2" t="str">
        <v/>
      </c>
      <c r="J51" s="2" t="str">
        <v/>
      </c>
      <c r="K51" s="2" t="str">
        <v/>
      </c>
      <c r="L51" s="2" t="str">
        <v/>
      </c>
      <c r="M51" s="2" t="str">
        <v/>
      </c>
      <c r="N51" s="2" t="str">
        <v/>
      </c>
      <c r="O51" s="2" t="str">
        <v/>
      </c>
      <c r="P51" s="2" t="str">
        <v/>
      </c>
      <c r="Q51" s="2" t="str">
        <v/>
      </c>
      <c r="R51" s="2" t="str">
        <v/>
      </c>
      <c r="S51" s="2" t="str">
        <v/>
      </c>
      <c r="T51" s="2" t="str">
        <v/>
      </c>
      <c r="U51" s="2" t="str">
        <v/>
      </c>
      <c r="V51" s="2" t="str">
        <v/>
      </c>
      <c r="W51" s="2" t="str">
        <v/>
      </c>
      <c r="X51" s="2" t="str">
        <v/>
      </c>
      <c r="Y51" s="2" t="str">
        <v/>
      </c>
      <c r="Z51" s="2" t="str">
        <v/>
      </c>
      <c r="AA51" s="2" t="str">
        <v/>
      </c>
      <c r="AB51" s="2" t="str">
        <v/>
      </c>
      <c r="AC51" s="2" t="str">
        <v/>
      </c>
      <c r="AD51" s="2" t="str">
        <v/>
      </c>
      <c r="AE51" s="2" t="str">
        <v/>
      </c>
      <c r="AF51" s="2" t="str">
        <v/>
      </c>
      <c r="AG51" s="2" t="str">
        <v/>
      </c>
      <c r="AH51" s="2" t="str">
        <v/>
      </c>
      <c r="AI51" s="2" t="str">
        <v/>
      </c>
      <c r="AJ51" s="2" t="str">
        <v/>
      </c>
      <c r="AK51" s="2" t="str">
        <v/>
      </c>
      <c r="AL51" s="2" t="str">
        <v/>
      </c>
      <c r="AM51" s="2" t="str">
        <v/>
      </c>
      <c r="AN51" s="2" t="str">
        <v/>
      </c>
      <c r="AO51" s="2" t="str">
        <v/>
      </c>
      <c r="AP51" s="2" t="str">
        <v/>
      </c>
      <c r="AQ51" s="2" t="str">
        <v/>
      </c>
      <c r="AR51" s="4" t="str">
        <v/>
      </c>
      <c r="AS51" s="4" t="str">
        <v/>
      </c>
      <c r="AT51" s="4" t="str">
        <v/>
      </c>
      <c r="AU51" s="4" t="str">
        <v/>
      </c>
      <c r="AV51" s="4" t="str">
        <v/>
      </c>
      <c r="AW51" s="4">
        <v>1</v>
      </c>
      <c r="AX51" s="4">
        <v>0.361019470281069</v>
      </c>
      <c r="AY51" s="4">
        <v>0.2827387442493</v>
      </c>
      <c r="AZ51" s="4">
        <v>0.158380156225574</v>
      </c>
      <c r="BA51" s="4">
        <v>0.384727092011727</v>
      </c>
      <c r="BB51" s="4">
        <v>0.44537717344404</v>
      </c>
      <c r="BC51" s="4">
        <v>0.561618858545641</v>
      </c>
      <c r="BD51" s="4">
        <v>0.543763476984345</v>
      </c>
      <c r="BE51" s="4">
        <v>0.274732402620333</v>
      </c>
      <c r="BF51" s="4">
        <v>0.350057371871325</v>
      </c>
      <c r="BG51" s="4">
        <v>0.285949012549812</v>
      </c>
      <c r="BH51" s="4">
        <v>0.454949401846104</v>
      </c>
      <c r="BI51" s="4">
        <v>0.342255979292511</v>
      </c>
      <c r="BJ51" s="4">
        <v>0.420158417473931</v>
      </c>
      <c r="BK51" s="4">
        <v>0.155924469577092</v>
      </c>
      <c r="BL51" s="4">
        <v>0.409713017370203</v>
      </c>
      <c r="BM51" s="4">
        <v>0.173417365905032</v>
      </c>
      <c r="BN51" s="4">
        <v>0.290982053056885</v>
      </c>
      <c r="BO51" s="4">
        <v>0.170617219763362</v>
      </c>
      <c r="BP51" s="4">
        <v>0.411605707521335</v>
      </c>
      <c r="BQ51" s="4">
        <v>0.362675272459661</v>
      </c>
      <c r="BR51" s="4">
        <v>0.225368434715258</v>
      </c>
      <c r="BS51" s="4">
        <v>0.31000513813345</v>
      </c>
      <c r="BT51" s="4">
        <v>0.311796746236847</v>
      </c>
      <c r="BU51" s="4">
        <v>0.2852765569023</v>
      </c>
      <c r="BV51" s="4">
        <v>0.129456474866674</v>
      </c>
      <c r="BW51" s="4">
        <v>0.199312134747051</v>
      </c>
      <c r="BX51" s="4">
        <v>0.233499649475227</v>
      </c>
      <c r="BY51" s="4">
        <v>0.281813663596765</v>
      </c>
      <c r="BZ51" s="4">
        <v>0.268853615970783</v>
      </c>
      <c r="CA51" s="4">
        <v>0.210125339413753</v>
      </c>
      <c r="CB51" s="4">
        <v>0.2617932588027</v>
      </c>
      <c r="CC51" s="4">
        <v>0.447508186538461</v>
      </c>
      <c r="CD51" s="4">
        <v>0.127745209982032</v>
      </c>
      <c r="CE51" s="4">
        <v>0.324928159922637</v>
      </c>
      <c r="CF51" s="4">
        <v>0.455095255992038</v>
      </c>
      <c r="CG51" s="4">
        <v>0.388026013042421</v>
      </c>
      <c r="CH51" s="4">
        <v>0.403304841436926</v>
      </c>
      <c r="CI51" s="4">
        <v>0.498681411559161</v>
      </c>
      <c r="CJ51" s="4">
        <v>0.334456516688815</v>
      </c>
      <c r="CK51" s="4">
        <v>0.255315636857908</v>
      </c>
      <c r="CL51" s="4">
        <v>0.251676338548955</v>
      </c>
      <c r="CM51" s="4">
        <v>-0.0584200425579695</v>
      </c>
      <c r="CN51" s="4">
        <v>0.196112776150545</v>
      </c>
      <c r="CO51" s="4">
        <v>0.122671711022225</v>
      </c>
      <c r="CP51" s="4">
        <v>0.0593927132399456</v>
      </c>
      <c r="CQ51" s="4">
        <v>0.155285479564018</v>
      </c>
      <c r="CR51" s="4">
        <v>0.162575745643008</v>
      </c>
      <c r="CS51" s="4">
        <v>0.111946088066772</v>
      </c>
      <c r="CT51" s="4">
        <v>0.279210845866094</v>
      </c>
      <c r="CU51" s="4">
        <v>0.289899911179653</v>
      </c>
      <c r="CV51" s="4">
        <v>0.378421717855574</v>
      </c>
      <c r="CW51" s="4">
        <v>0.368500978498872</v>
      </c>
      <c r="CX51" s="4">
        <v>0.380619117044448</v>
      </c>
      <c r="CY51" s="4">
        <v>0.192437515570923</v>
      </c>
      <c r="CZ51" s="4">
        <v>0.272420956726438</v>
      </c>
      <c r="DA51" s="4">
        <v>0.262673564038039</v>
      </c>
      <c r="DB51" s="4">
        <v>0.358794515447963</v>
      </c>
      <c r="DC51" s="4">
        <v>0.189603675763118</v>
      </c>
      <c r="DD51" s="4">
        <v>-0.0246434236109706</v>
      </c>
      <c r="DE51" s="4">
        <v>0.325133300281453</v>
      </c>
      <c r="DF51" s="4">
        <v>0.218271469424195</v>
      </c>
      <c r="DG51" s="4">
        <v>0.391479767867223</v>
      </c>
      <c r="DH51" s="4">
        <v>0.438554840475414</v>
      </c>
      <c r="DI51" s="4">
        <v>0.414164628058019</v>
      </c>
      <c r="DJ51" s="4">
        <v>0.380030526111715</v>
      </c>
      <c r="DK51" s="4">
        <v>0.308388729422723</v>
      </c>
      <c r="DL51" s="4">
        <v>0.261606421511537</v>
      </c>
      <c r="DM51" s="4">
        <v>0.353597310598989</v>
      </c>
      <c r="DN51" s="4">
        <v>0.410959846593183</v>
      </c>
      <c r="DO51" s="4">
        <v>0.310193920534845</v>
      </c>
      <c r="DP51" s="4">
        <v>0.381277463558391</v>
      </c>
      <c r="DQ51" s="4">
        <v>0.30478749404381</v>
      </c>
      <c r="DR51" s="4">
        <v>0.440381483550792</v>
      </c>
      <c r="DS51" s="4">
        <v>0.344456013279843</v>
      </c>
      <c r="DT51" s="4">
        <v>0.374725732633879</v>
      </c>
      <c r="DU51" s="4">
        <v>0.391494700582701</v>
      </c>
      <c r="DV51" s="4">
        <v>0.317853630452758</v>
      </c>
      <c r="DW51" s="4">
        <v>0.133449303678271</v>
      </c>
      <c r="DX51" s="4">
        <v>0.34046726644358</v>
      </c>
      <c r="DY51" s="4">
        <v>0.433083783455244</v>
      </c>
    </row>
    <row r="52" ht="14" spans="1:129">
      <c r="A52" s="31" t="s">
        <v>50</v>
      </c>
      <c r="B52" s="2" t="str">
        <v/>
      </c>
      <c r="C52" s="2" t="str">
        <v/>
      </c>
      <c r="D52" s="2" t="str">
        <v/>
      </c>
      <c r="E52" s="2" t="str">
        <v/>
      </c>
      <c r="F52" s="2" t="str">
        <v/>
      </c>
      <c r="G52" s="2" t="str">
        <v/>
      </c>
      <c r="H52" s="2" t="str">
        <v/>
      </c>
      <c r="I52" s="2" t="str">
        <v/>
      </c>
      <c r="J52" s="2" t="str">
        <v/>
      </c>
      <c r="K52" s="2" t="str">
        <v/>
      </c>
      <c r="L52" s="2" t="str">
        <v/>
      </c>
      <c r="M52" s="2" t="str">
        <v/>
      </c>
      <c r="N52" s="2" t="str">
        <v/>
      </c>
      <c r="O52" s="2" t="str">
        <v/>
      </c>
      <c r="P52" s="2" t="str">
        <v/>
      </c>
      <c r="Q52" s="2" t="str">
        <v/>
      </c>
      <c r="R52" s="2" t="str">
        <v/>
      </c>
      <c r="S52" s="2" t="str">
        <v/>
      </c>
      <c r="T52" s="2" t="str">
        <v/>
      </c>
      <c r="U52" s="2" t="str">
        <v/>
      </c>
      <c r="V52" s="2" t="str">
        <v/>
      </c>
      <c r="W52" s="2" t="str">
        <v/>
      </c>
      <c r="X52" s="2" t="str">
        <v/>
      </c>
      <c r="Y52" s="2" t="str">
        <v/>
      </c>
      <c r="Z52" s="2" t="str">
        <v/>
      </c>
      <c r="AA52" s="2" t="str">
        <v/>
      </c>
      <c r="AB52" s="2" t="str">
        <v/>
      </c>
      <c r="AC52" s="2" t="str">
        <v/>
      </c>
      <c r="AD52" s="2" t="str">
        <v/>
      </c>
      <c r="AE52" s="2" t="str">
        <v/>
      </c>
      <c r="AF52" s="2" t="str">
        <v/>
      </c>
      <c r="AG52" s="2" t="str">
        <v/>
      </c>
      <c r="AH52" s="2" t="str">
        <v/>
      </c>
      <c r="AI52" s="2" t="str">
        <v/>
      </c>
      <c r="AJ52" s="2" t="str">
        <v/>
      </c>
      <c r="AK52" s="2" t="str">
        <v/>
      </c>
      <c r="AL52" s="2" t="str">
        <v/>
      </c>
      <c r="AM52" s="2" t="str">
        <v/>
      </c>
      <c r="AN52" s="2" t="str">
        <v/>
      </c>
      <c r="AO52" s="2" t="str">
        <v/>
      </c>
      <c r="AP52" s="2" t="str">
        <v/>
      </c>
      <c r="AQ52" s="2" t="str">
        <v/>
      </c>
      <c r="AR52" s="4" t="str">
        <v/>
      </c>
      <c r="AS52" s="4" t="str">
        <v/>
      </c>
      <c r="AT52" s="4" t="str">
        <v/>
      </c>
      <c r="AU52" s="4" t="str">
        <v/>
      </c>
      <c r="AV52" s="4" t="str">
        <v/>
      </c>
      <c r="AW52" s="4" t="str">
        <v/>
      </c>
      <c r="AX52" s="4">
        <v>1</v>
      </c>
      <c r="AY52" s="4">
        <v>0.666898895244216</v>
      </c>
      <c r="AZ52" s="4">
        <v>0.322571766199855</v>
      </c>
      <c r="BA52" s="4">
        <v>0.457318305750884</v>
      </c>
      <c r="BB52" s="4">
        <v>0.396102247239637</v>
      </c>
      <c r="BC52" s="4">
        <v>0.416301643314645</v>
      </c>
      <c r="BD52" s="4">
        <v>0.458315371592559</v>
      </c>
      <c r="BE52" s="4">
        <v>0.381448101817774</v>
      </c>
      <c r="BF52" s="4">
        <v>0.323744116435472</v>
      </c>
      <c r="BG52" s="4">
        <v>0.380846395479126</v>
      </c>
      <c r="BH52" s="4">
        <v>0.48302806356237</v>
      </c>
      <c r="BI52" s="4">
        <v>0.27102712823202</v>
      </c>
      <c r="BJ52" s="4">
        <v>0.397741745232907</v>
      </c>
      <c r="BK52" s="4">
        <v>0.0414576107303629</v>
      </c>
      <c r="BL52" s="4">
        <v>0.19279578157225</v>
      </c>
      <c r="BM52" s="4">
        <v>0.172441889983026</v>
      </c>
      <c r="BN52" s="4">
        <v>0.368719996903892</v>
      </c>
      <c r="BO52" s="4">
        <v>0.217133456728094</v>
      </c>
      <c r="BP52" s="4">
        <v>0.313195704066367</v>
      </c>
      <c r="BQ52" s="4">
        <v>0.016005840424196</v>
      </c>
      <c r="BR52" s="4">
        <v>0.229339371656958</v>
      </c>
      <c r="BS52" s="4">
        <v>0.370080252063184</v>
      </c>
      <c r="BT52" s="4">
        <v>0.259170642874542</v>
      </c>
      <c r="BU52" s="4">
        <v>0.149116627206683</v>
      </c>
      <c r="BV52" s="4">
        <v>0.0719570407105015</v>
      </c>
      <c r="BW52" s="4">
        <v>0.255683371684198</v>
      </c>
      <c r="BX52" s="4">
        <v>0.155953088952841</v>
      </c>
      <c r="BY52" s="4">
        <v>0.226867210320169</v>
      </c>
      <c r="BZ52" s="4">
        <v>0.194017720168829</v>
      </c>
      <c r="CA52" s="4">
        <v>0.123078322407261</v>
      </c>
      <c r="CB52" s="4">
        <v>0.0569009627306943</v>
      </c>
      <c r="CC52" s="4">
        <v>0.503451509245893</v>
      </c>
      <c r="CD52" s="4">
        <v>0.0593271315857147</v>
      </c>
      <c r="CE52" s="4">
        <v>0.217795273953976</v>
      </c>
      <c r="CF52" s="4">
        <v>0.357639151329444</v>
      </c>
      <c r="CG52" s="4">
        <v>0.358836906452144</v>
      </c>
      <c r="CH52" s="4">
        <v>0.230485217290533</v>
      </c>
      <c r="CI52" s="4">
        <v>0.515671464690213</v>
      </c>
      <c r="CJ52" s="4">
        <v>0.07399022011838</v>
      </c>
      <c r="CK52" s="4">
        <v>0.410903317956868</v>
      </c>
      <c r="CL52" s="4">
        <v>0.247110726730692</v>
      </c>
      <c r="CM52" s="4">
        <v>-0.105221565528489</v>
      </c>
      <c r="CN52" s="4">
        <v>0.392770063377767</v>
      </c>
      <c r="CO52" s="4">
        <v>0.162064460721605</v>
      </c>
      <c r="CP52" s="4">
        <v>0.090814021881602</v>
      </c>
      <c r="CQ52" s="4">
        <v>0.125830112946337</v>
      </c>
      <c r="CR52" s="4">
        <v>0.126394000402821</v>
      </c>
      <c r="CS52" s="4">
        <v>0.091467746311697</v>
      </c>
      <c r="CT52" s="4">
        <v>0.188324695921282</v>
      </c>
      <c r="CU52" s="4">
        <v>0.153318526743663</v>
      </c>
      <c r="CV52" s="4">
        <v>0.169921435267722</v>
      </c>
      <c r="CW52" s="4">
        <v>0.269541040177781</v>
      </c>
      <c r="CX52" s="4">
        <v>0.143600968569387</v>
      </c>
      <c r="CY52" s="4">
        <v>0.0954647638502342</v>
      </c>
      <c r="CZ52" s="4">
        <v>0.343993833311481</v>
      </c>
      <c r="DA52" s="4">
        <v>0.0464950171578283</v>
      </c>
      <c r="DB52" s="4">
        <v>0.186119229506703</v>
      </c>
      <c r="DC52" s="4">
        <v>0.2218465454793</v>
      </c>
      <c r="DD52" s="4">
        <v>0.0839364197270815</v>
      </c>
      <c r="DE52" s="4">
        <v>0.365503069774571</v>
      </c>
      <c r="DF52" s="4">
        <v>0.167075426888808</v>
      </c>
      <c r="DG52" s="4">
        <v>0.375514205643365</v>
      </c>
      <c r="DH52" s="4">
        <v>0.554209379261415</v>
      </c>
      <c r="DI52" s="4">
        <v>0.345602313013887</v>
      </c>
      <c r="DJ52" s="4">
        <v>0.170281742273291</v>
      </c>
      <c r="DK52" s="4">
        <v>0.226661378273955</v>
      </c>
      <c r="DL52" s="4">
        <v>0.341737513603269</v>
      </c>
      <c r="DM52" s="4">
        <v>0.309380719503057</v>
      </c>
      <c r="DN52" s="4">
        <v>0.275416005270635</v>
      </c>
      <c r="DO52" s="4">
        <v>0.237361944640125</v>
      </c>
      <c r="DP52" s="4">
        <v>0.346758345181058</v>
      </c>
      <c r="DQ52" s="4">
        <v>0.340401262718593</v>
      </c>
      <c r="DR52" s="4">
        <v>0.427329999784119</v>
      </c>
      <c r="DS52" s="4">
        <v>0.198270492083513</v>
      </c>
      <c r="DT52" s="4">
        <v>0.298978854753795</v>
      </c>
      <c r="DU52" s="4">
        <v>0.362929197290146</v>
      </c>
      <c r="DV52" s="4">
        <v>0.269785051830417</v>
      </c>
      <c r="DW52" s="4">
        <v>0.338051981141039</v>
      </c>
      <c r="DX52" s="4">
        <v>0.367733392446472</v>
      </c>
      <c r="DY52" s="4">
        <v>0.43395673033645</v>
      </c>
    </row>
    <row r="53" ht="14" spans="1:129">
      <c r="A53" s="31" t="s">
        <v>51</v>
      </c>
      <c r="B53" s="2" t="str">
        <v/>
      </c>
      <c r="C53" s="2" t="str">
        <v/>
      </c>
      <c r="D53" s="2" t="str">
        <v/>
      </c>
      <c r="E53" s="2" t="str">
        <v/>
      </c>
      <c r="F53" s="2" t="str">
        <v/>
      </c>
      <c r="G53" s="2" t="str">
        <v/>
      </c>
      <c r="H53" s="2" t="str">
        <v/>
      </c>
      <c r="I53" s="2" t="str">
        <v/>
      </c>
      <c r="J53" s="2" t="str">
        <v/>
      </c>
      <c r="K53" s="2" t="str">
        <v/>
      </c>
      <c r="L53" s="2" t="str">
        <v/>
      </c>
      <c r="M53" s="2" t="str">
        <v/>
      </c>
      <c r="N53" s="2" t="str">
        <v/>
      </c>
      <c r="O53" s="2" t="str">
        <v/>
      </c>
      <c r="P53" s="2" t="str">
        <v/>
      </c>
      <c r="Q53" s="2" t="str">
        <v/>
      </c>
      <c r="R53" s="2" t="str">
        <v/>
      </c>
      <c r="S53" s="2" t="str">
        <v/>
      </c>
      <c r="T53" s="2" t="str">
        <v/>
      </c>
      <c r="U53" s="2" t="str">
        <v/>
      </c>
      <c r="V53" s="2" t="str">
        <v/>
      </c>
      <c r="W53" s="2" t="str">
        <v/>
      </c>
      <c r="X53" s="2" t="str">
        <v/>
      </c>
      <c r="Y53" s="2" t="str">
        <v/>
      </c>
      <c r="Z53" s="2" t="str">
        <v/>
      </c>
      <c r="AA53" s="2" t="str">
        <v/>
      </c>
      <c r="AB53" s="2" t="str">
        <v/>
      </c>
      <c r="AC53" s="2" t="str">
        <v/>
      </c>
      <c r="AD53" s="2" t="str">
        <v/>
      </c>
      <c r="AE53" s="2" t="str">
        <v/>
      </c>
      <c r="AF53" s="2" t="str">
        <v/>
      </c>
      <c r="AG53" s="2" t="str">
        <v/>
      </c>
      <c r="AH53" s="2" t="str">
        <v/>
      </c>
      <c r="AI53" s="2" t="str">
        <v/>
      </c>
      <c r="AJ53" s="2" t="str">
        <v/>
      </c>
      <c r="AK53" s="2" t="str">
        <v/>
      </c>
      <c r="AL53" s="2" t="str">
        <v/>
      </c>
      <c r="AM53" s="2" t="str">
        <v/>
      </c>
      <c r="AN53" s="2" t="str">
        <v/>
      </c>
      <c r="AO53" s="2" t="str">
        <v/>
      </c>
      <c r="AP53" s="2" t="str">
        <v/>
      </c>
      <c r="AQ53" s="2" t="str">
        <v/>
      </c>
      <c r="AR53" s="4" t="str">
        <v/>
      </c>
      <c r="AS53" s="4" t="str">
        <v/>
      </c>
      <c r="AT53" s="4" t="str">
        <v/>
      </c>
      <c r="AU53" s="4" t="str">
        <v/>
      </c>
      <c r="AV53" s="4" t="str">
        <v/>
      </c>
      <c r="AW53" s="4" t="str">
        <v/>
      </c>
      <c r="AX53" s="4" t="str">
        <v/>
      </c>
      <c r="AY53" s="4">
        <v>1</v>
      </c>
      <c r="AZ53" s="4">
        <v>0.524241972060567</v>
      </c>
      <c r="BA53" s="4">
        <v>0.452092480366588</v>
      </c>
      <c r="BB53" s="4">
        <v>0.475014345457787</v>
      </c>
      <c r="BC53" s="4">
        <v>0.287320791820983</v>
      </c>
      <c r="BD53" s="4">
        <v>0.428646344633614</v>
      </c>
      <c r="BE53" s="4">
        <v>0.445890300319181</v>
      </c>
      <c r="BF53" s="4">
        <v>0.328020794971832</v>
      </c>
      <c r="BG53" s="4">
        <v>0.557595313564817</v>
      </c>
      <c r="BH53" s="4">
        <v>0.348011301819117</v>
      </c>
      <c r="BI53" s="4">
        <v>0.230497091239893</v>
      </c>
      <c r="BJ53" s="4">
        <v>0.263122837689696</v>
      </c>
      <c r="BK53" s="4">
        <v>0.277727218554143</v>
      </c>
      <c r="BL53" s="4">
        <v>0.259018674712459</v>
      </c>
      <c r="BM53" s="4">
        <v>0.283265087818403</v>
      </c>
      <c r="BN53" s="4">
        <v>0.376687032333248</v>
      </c>
      <c r="BO53" s="4">
        <v>0.347092151359768</v>
      </c>
      <c r="BP53" s="4">
        <v>0.282063147332423</v>
      </c>
      <c r="BQ53" s="4">
        <v>0.146525132087149</v>
      </c>
      <c r="BR53" s="4">
        <v>0.238313283300329</v>
      </c>
      <c r="BS53" s="4">
        <v>0.368916925222567</v>
      </c>
      <c r="BT53" s="4">
        <v>0.254773180539154</v>
      </c>
      <c r="BU53" s="4">
        <v>0.367401303841603</v>
      </c>
      <c r="BV53" s="4">
        <v>0.188539332500959</v>
      </c>
      <c r="BW53" s="4">
        <v>0.195267273374642</v>
      </c>
      <c r="BX53" s="4">
        <v>0.291947470544755</v>
      </c>
      <c r="BY53" s="4">
        <v>0.242055791287451</v>
      </c>
      <c r="BZ53" s="4">
        <v>0.353479247472255</v>
      </c>
      <c r="CA53" s="4">
        <v>0.263330649495916</v>
      </c>
      <c r="CB53" s="4">
        <v>0.294596306687882</v>
      </c>
      <c r="CC53" s="4">
        <v>0.427593164292341</v>
      </c>
      <c r="CD53" s="4">
        <v>0.280860595917164</v>
      </c>
      <c r="CE53" s="4">
        <v>0.149208015717736</v>
      </c>
      <c r="CF53" s="4">
        <v>0.411925461617079</v>
      </c>
      <c r="CG53" s="4">
        <v>0.375577547899601</v>
      </c>
      <c r="CH53" s="4">
        <v>0.332705217117652</v>
      </c>
      <c r="CI53" s="4">
        <v>0.623434258089529</v>
      </c>
      <c r="CJ53" s="4">
        <v>0.26968589577334</v>
      </c>
      <c r="CK53" s="4">
        <v>0.409449406513164</v>
      </c>
      <c r="CL53" s="4">
        <v>0.432896151871131</v>
      </c>
      <c r="CM53" s="4">
        <v>0.0174029227318903</v>
      </c>
      <c r="CN53" s="4">
        <v>0.516676900981388</v>
      </c>
      <c r="CO53" s="4">
        <v>0.337484107368814</v>
      </c>
      <c r="CP53" s="4">
        <v>0.185091169506797</v>
      </c>
      <c r="CQ53" s="4">
        <v>0.22510986013288</v>
      </c>
      <c r="CR53" s="4">
        <v>0.145278929946489</v>
      </c>
      <c r="CS53" s="4">
        <v>0.0241393192246932</v>
      </c>
      <c r="CT53" s="4">
        <v>0.293057619773104</v>
      </c>
      <c r="CU53" s="4">
        <v>0.167933311919746</v>
      </c>
      <c r="CV53" s="4">
        <v>0.331816392307923</v>
      </c>
      <c r="CW53" s="4">
        <v>0.348026781513485</v>
      </c>
      <c r="CX53" s="4">
        <v>0.2562151722612</v>
      </c>
      <c r="CY53" s="4">
        <v>0.252005869205763</v>
      </c>
      <c r="CZ53" s="4">
        <v>0.529325577057354</v>
      </c>
      <c r="DA53" s="4">
        <v>0.129392500722219</v>
      </c>
      <c r="DB53" s="4">
        <v>0.196423045001258</v>
      </c>
      <c r="DC53" s="4">
        <v>0.178534145936483</v>
      </c>
      <c r="DD53" s="4">
        <v>0.200611896368097</v>
      </c>
      <c r="DE53" s="4">
        <v>0.337377542003125</v>
      </c>
      <c r="DF53" s="4">
        <v>0.382729716943227</v>
      </c>
      <c r="DG53" s="4">
        <v>0.180351970230434</v>
      </c>
      <c r="DH53" s="4">
        <v>0.502937827093662</v>
      </c>
      <c r="DI53" s="4">
        <v>0.262041991080561</v>
      </c>
      <c r="DJ53" s="4">
        <v>0.15503684819792</v>
      </c>
      <c r="DK53" s="4">
        <v>0.217994182924207</v>
      </c>
      <c r="DL53" s="4">
        <v>0.278977100238233</v>
      </c>
      <c r="DM53" s="4">
        <v>0.213685944208169</v>
      </c>
      <c r="DN53" s="4">
        <v>0.240663039198181</v>
      </c>
      <c r="DO53" s="4">
        <v>0.216245076961496</v>
      </c>
      <c r="DP53" s="4">
        <v>0.333780312856183</v>
      </c>
      <c r="DQ53" s="4">
        <v>0.273138868417893</v>
      </c>
      <c r="DR53" s="4">
        <v>0.364813422171442</v>
      </c>
      <c r="DS53" s="4">
        <v>0.207988595835117</v>
      </c>
      <c r="DT53" s="4">
        <v>0.29056176032647</v>
      </c>
      <c r="DU53" s="4">
        <v>0.39524163247888</v>
      </c>
      <c r="DV53" s="4">
        <v>0.294414873273181</v>
      </c>
      <c r="DW53" s="4">
        <v>0.527299838786067</v>
      </c>
      <c r="DX53" s="4">
        <v>0.474133832907731</v>
      </c>
      <c r="DY53" s="4">
        <v>0.31572306374486</v>
      </c>
    </row>
    <row r="54" ht="14" spans="1:129">
      <c r="A54" s="31" t="s">
        <v>52</v>
      </c>
      <c r="B54" s="2" t="str">
        <v/>
      </c>
      <c r="C54" s="2" t="str">
        <v/>
      </c>
      <c r="D54" s="2" t="str">
        <v/>
      </c>
      <c r="E54" s="2" t="str">
        <v/>
      </c>
      <c r="F54" s="2" t="str">
        <v/>
      </c>
      <c r="G54" s="2" t="str">
        <v/>
      </c>
      <c r="H54" s="2" t="str">
        <v/>
      </c>
      <c r="I54" s="2" t="str">
        <v/>
      </c>
      <c r="J54" s="2" t="str">
        <v/>
      </c>
      <c r="K54" s="2" t="str">
        <v/>
      </c>
      <c r="L54" s="2" t="str">
        <v/>
      </c>
      <c r="M54" s="2" t="str">
        <v/>
      </c>
      <c r="N54" s="2" t="str">
        <v/>
      </c>
      <c r="O54" s="2" t="str">
        <v/>
      </c>
      <c r="P54" s="2" t="str">
        <v/>
      </c>
      <c r="Q54" s="2" t="str">
        <v/>
      </c>
      <c r="R54" s="2" t="str">
        <v/>
      </c>
      <c r="S54" s="2" t="str">
        <v/>
      </c>
      <c r="T54" s="2" t="str">
        <v/>
      </c>
      <c r="U54" s="2" t="str">
        <v/>
      </c>
      <c r="V54" s="2" t="str">
        <v/>
      </c>
      <c r="W54" s="2" t="str">
        <v/>
      </c>
      <c r="X54" s="2" t="str">
        <v/>
      </c>
      <c r="Y54" s="2" t="str">
        <v/>
      </c>
      <c r="Z54" s="2" t="str">
        <v/>
      </c>
      <c r="AA54" s="2" t="str">
        <v/>
      </c>
      <c r="AB54" s="2" t="str">
        <v/>
      </c>
      <c r="AC54" s="2" t="str">
        <v/>
      </c>
      <c r="AD54" s="2" t="str">
        <v/>
      </c>
      <c r="AE54" s="2" t="str">
        <v/>
      </c>
      <c r="AF54" s="2" t="str">
        <v/>
      </c>
      <c r="AG54" s="2" t="str">
        <v/>
      </c>
      <c r="AH54" s="2" t="str">
        <v/>
      </c>
      <c r="AI54" s="2" t="str">
        <v/>
      </c>
      <c r="AJ54" s="2" t="str">
        <v/>
      </c>
      <c r="AK54" s="2" t="str">
        <v/>
      </c>
      <c r="AL54" s="2" t="str">
        <v/>
      </c>
      <c r="AM54" s="2" t="str">
        <v/>
      </c>
      <c r="AN54" s="2" t="str">
        <v/>
      </c>
      <c r="AO54" s="2" t="str">
        <v/>
      </c>
      <c r="AP54" s="2" t="str">
        <v/>
      </c>
      <c r="AQ54" s="2" t="str">
        <v/>
      </c>
      <c r="AR54" s="4" t="str">
        <v/>
      </c>
      <c r="AS54" s="4" t="str">
        <v/>
      </c>
      <c r="AT54" s="4" t="str">
        <v/>
      </c>
      <c r="AU54" s="4" t="str">
        <v/>
      </c>
      <c r="AV54" s="4" t="str">
        <v/>
      </c>
      <c r="AW54" s="4" t="str">
        <v/>
      </c>
      <c r="AX54" s="4" t="str">
        <v/>
      </c>
      <c r="AY54" s="4" t="str">
        <v/>
      </c>
      <c r="AZ54" s="4">
        <v>1</v>
      </c>
      <c r="BA54" s="4">
        <v>0.640514958954408</v>
      </c>
      <c r="BB54" s="4">
        <v>0.490534167423562</v>
      </c>
      <c r="BC54" s="4">
        <v>0.338701520145211</v>
      </c>
      <c r="BD54" s="4">
        <v>0.477928228448111</v>
      </c>
      <c r="BE54" s="4">
        <v>0.338458338497952</v>
      </c>
      <c r="BF54" s="4">
        <v>0.432756874545151</v>
      </c>
      <c r="BG54" s="4">
        <v>0.607207682063955</v>
      </c>
      <c r="BH54" s="4">
        <v>0.358079763183205</v>
      </c>
      <c r="BI54" s="4">
        <v>0.354942309896629</v>
      </c>
      <c r="BJ54" s="4">
        <v>0.372178406185562</v>
      </c>
      <c r="BK54" s="4">
        <v>0.391569156647742</v>
      </c>
      <c r="BL54" s="4">
        <v>0.252465859530571</v>
      </c>
      <c r="BM54" s="4">
        <v>0.435375466619235</v>
      </c>
      <c r="BN54" s="4">
        <v>0.379443474928066</v>
      </c>
      <c r="BO54" s="4">
        <v>0.515650423169104</v>
      </c>
      <c r="BP54" s="4">
        <v>0.310696197757855</v>
      </c>
      <c r="BQ54" s="4">
        <v>0.331145091900407</v>
      </c>
      <c r="BR54" s="4">
        <v>0.358436805977391</v>
      </c>
      <c r="BS54" s="4">
        <v>0.417795288674565</v>
      </c>
      <c r="BT54" s="4">
        <v>0.484149676604669</v>
      </c>
      <c r="BU54" s="4">
        <v>0.404828789066799</v>
      </c>
      <c r="BV54" s="4">
        <v>0.272042581009829</v>
      </c>
      <c r="BW54" s="4">
        <v>0.212317494547676</v>
      </c>
      <c r="BX54" s="4">
        <v>0.302676074036891</v>
      </c>
      <c r="BY54" s="4">
        <v>0.249381277427412</v>
      </c>
      <c r="BZ54" s="4">
        <v>0.167765578682366</v>
      </c>
      <c r="CA54" s="4">
        <v>0.245791449430429</v>
      </c>
      <c r="CB54" s="4">
        <v>0.228574506193671</v>
      </c>
      <c r="CC54" s="4">
        <v>0.195378692138625</v>
      </c>
      <c r="CD54" s="4">
        <v>0.240663998477502</v>
      </c>
      <c r="CE54" s="4">
        <v>0.12621003430449</v>
      </c>
      <c r="CF54" s="4">
        <v>0.40585288936608</v>
      </c>
      <c r="CG54" s="4">
        <v>0.367599921056434</v>
      </c>
      <c r="CH54" s="4">
        <v>0.332003628638547</v>
      </c>
      <c r="CI54" s="4">
        <v>0.622770021852642</v>
      </c>
      <c r="CJ54" s="4">
        <v>0.313116481039026</v>
      </c>
      <c r="CK54" s="4">
        <v>0.131419604567088</v>
      </c>
      <c r="CL54" s="4">
        <v>0.486299460133052</v>
      </c>
      <c r="CM54" s="4">
        <v>-0.0777412920301937</v>
      </c>
      <c r="CN54" s="4">
        <v>0.321090315072392</v>
      </c>
      <c r="CO54" s="4">
        <v>0.278275413135525</v>
      </c>
      <c r="CP54" s="4">
        <v>0.166148995202427</v>
      </c>
      <c r="CQ54" s="4">
        <v>0.0312850989625243</v>
      </c>
      <c r="CR54" s="4">
        <v>0.156230583254834</v>
      </c>
      <c r="CS54" s="4">
        <v>0.144059191418307</v>
      </c>
      <c r="CT54" s="4">
        <v>0.43508682505616</v>
      </c>
      <c r="CU54" s="4">
        <v>0.185998758808076</v>
      </c>
      <c r="CV54" s="4">
        <v>0.28911430664108</v>
      </c>
      <c r="CW54" s="4">
        <v>0.443066307757689</v>
      </c>
      <c r="CX54" s="4">
        <v>0.307205385249628</v>
      </c>
      <c r="CY54" s="4">
        <v>0.00514184084409593</v>
      </c>
      <c r="CZ54" s="4">
        <v>0.555812457591399</v>
      </c>
      <c r="DA54" s="4">
        <v>0.205420478087243</v>
      </c>
      <c r="DB54" s="4">
        <v>0.222141769733631</v>
      </c>
      <c r="DC54" s="4">
        <v>0.320854330067729</v>
      </c>
      <c r="DD54" s="4">
        <v>0.193240437958668</v>
      </c>
      <c r="DE54" s="4">
        <v>0.486068218444726</v>
      </c>
      <c r="DF54" s="4">
        <v>0.165234915240423</v>
      </c>
      <c r="DG54" s="4">
        <v>0.135937395244485</v>
      </c>
      <c r="DH54" s="4">
        <v>0.323770733954976</v>
      </c>
      <c r="DI54" s="4">
        <v>0.225341756666627</v>
      </c>
      <c r="DJ54" s="4">
        <v>0.242371666539542</v>
      </c>
      <c r="DK54" s="4">
        <v>0.339040338447256</v>
      </c>
      <c r="DL54" s="4">
        <v>0.3698121252164</v>
      </c>
      <c r="DM54" s="4">
        <v>0.337759919583643</v>
      </c>
      <c r="DN54" s="4">
        <v>0.28922139824717</v>
      </c>
      <c r="DO54" s="4">
        <v>0.302168527152018</v>
      </c>
      <c r="DP54" s="4">
        <v>0.376255667386526</v>
      </c>
      <c r="DQ54" s="4">
        <v>0.363307356254895</v>
      </c>
      <c r="DR54" s="4">
        <v>0.408727512463038</v>
      </c>
      <c r="DS54" s="4">
        <v>0.16923528648403</v>
      </c>
      <c r="DT54" s="4">
        <v>0.285977785173706</v>
      </c>
      <c r="DU54" s="4">
        <v>0.380041382666384</v>
      </c>
      <c r="DV54" s="4">
        <v>0.409116034904635</v>
      </c>
      <c r="DW54" s="4">
        <v>0.489257266125687</v>
      </c>
      <c r="DX54" s="4">
        <v>0.40318548213699</v>
      </c>
      <c r="DY54" s="4">
        <v>0.288700778067186</v>
      </c>
    </row>
    <row r="55" ht="14" spans="1:129">
      <c r="A55" s="31" t="s">
        <v>53</v>
      </c>
      <c r="B55" s="2" t="str">
        <v/>
      </c>
      <c r="C55" s="2" t="str">
        <v/>
      </c>
      <c r="D55" s="2" t="str">
        <v/>
      </c>
      <c r="E55" s="2" t="str">
        <v/>
      </c>
      <c r="F55" s="2" t="str">
        <v/>
      </c>
      <c r="G55" s="2" t="str">
        <v/>
      </c>
      <c r="H55" s="2" t="str">
        <v/>
      </c>
      <c r="I55" s="2" t="str">
        <v/>
      </c>
      <c r="J55" s="2" t="str">
        <v/>
      </c>
      <c r="K55" s="2" t="str">
        <v/>
      </c>
      <c r="L55" s="2" t="str">
        <v/>
      </c>
      <c r="M55" s="2" t="str">
        <v/>
      </c>
      <c r="N55" s="2" t="str">
        <v/>
      </c>
      <c r="O55" s="2" t="str">
        <v/>
      </c>
      <c r="P55" s="2" t="str">
        <v/>
      </c>
      <c r="Q55" s="2" t="str">
        <v/>
      </c>
      <c r="R55" s="2" t="str">
        <v/>
      </c>
      <c r="S55" s="2" t="str">
        <v/>
      </c>
      <c r="T55" s="2" t="str">
        <v/>
      </c>
      <c r="U55" s="2" t="str">
        <v/>
      </c>
      <c r="V55" s="2" t="str">
        <v/>
      </c>
      <c r="W55" s="2" t="str">
        <v/>
      </c>
      <c r="X55" s="2" t="str">
        <v/>
      </c>
      <c r="Y55" s="2" t="str">
        <v/>
      </c>
      <c r="Z55" s="2" t="str">
        <v/>
      </c>
      <c r="AA55" s="2" t="str">
        <v/>
      </c>
      <c r="AB55" s="2" t="str">
        <v/>
      </c>
      <c r="AC55" s="2" t="str">
        <v/>
      </c>
      <c r="AD55" s="2" t="str">
        <v/>
      </c>
      <c r="AE55" s="2" t="str">
        <v/>
      </c>
      <c r="AF55" s="2" t="str">
        <v/>
      </c>
      <c r="AG55" s="2" t="str">
        <v/>
      </c>
      <c r="AH55" s="2" t="str">
        <v/>
      </c>
      <c r="AI55" s="2" t="str">
        <v/>
      </c>
      <c r="AJ55" s="2" t="str">
        <v/>
      </c>
      <c r="AK55" s="2" t="str">
        <v/>
      </c>
      <c r="AL55" s="2" t="str">
        <v/>
      </c>
      <c r="AM55" s="2" t="str">
        <v/>
      </c>
      <c r="AN55" s="2" t="str">
        <v/>
      </c>
      <c r="AO55" s="2" t="str">
        <v/>
      </c>
      <c r="AP55" s="2" t="str">
        <v/>
      </c>
      <c r="AQ55" s="2" t="str">
        <v/>
      </c>
      <c r="AR55" s="4" t="str">
        <v/>
      </c>
      <c r="AS55" s="4" t="str">
        <v/>
      </c>
      <c r="AT55" s="4" t="str">
        <v/>
      </c>
      <c r="AU55" s="4" t="str">
        <v/>
      </c>
      <c r="AV55" s="4" t="str">
        <v/>
      </c>
      <c r="AW55" s="4" t="str">
        <v/>
      </c>
      <c r="AX55" s="4" t="str">
        <v/>
      </c>
      <c r="AY55" s="4" t="str">
        <v/>
      </c>
      <c r="AZ55" s="4" t="str">
        <v/>
      </c>
      <c r="BA55" s="4">
        <v>1</v>
      </c>
      <c r="BB55" s="4">
        <v>0.423572304960861</v>
      </c>
      <c r="BC55" s="4">
        <v>0.487122966739239</v>
      </c>
      <c r="BD55" s="4">
        <v>0.488081304645394</v>
      </c>
      <c r="BE55" s="4">
        <v>0.339138109040448</v>
      </c>
      <c r="BF55" s="4">
        <v>0.443253678902766</v>
      </c>
      <c r="BG55" s="4">
        <v>0.615220230060292</v>
      </c>
      <c r="BH55" s="4">
        <v>0.507215226442039</v>
      </c>
      <c r="BI55" s="4">
        <v>0.560161530115706</v>
      </c>
      <c r="BJ55" s="4">
        <v>0.280691844444296</v>
      </c>
      <c r="BK55" s="4">
        <v>0.302667311540288</v>
      </c>
      <c r="BL55" s="4">
        <v>0.339272572820468</v>
      </c>
      <c r="BM55" s="4">
        <v>0.422182913858982</v>
      </c>
      <c r="BN55" s="4">
        <v>0.354396672558711</v>
      </c>
      <c r="BO55" s="4">
        <v>0.314240127458491</v>
      </c>
      <c r="BP55" s="4">
        <v>0.329637972991201</v>
      </c>
      <c r="BQ55" s="4">
        <v>0.418504524765742</v>
      </c>
      <c r="BR55" s="4">
        <v>0.413704903818355</v>
      </c>
      <c r="BS55" s="4">
        <v>0.298931879561639</v>
      </c>
      <c r="BT55" s="4">
        <v>0.360970376393593</v>
      </c>
      <c r="BU55" s="4">
        <v>0.455749388325722</v>
      </c>
      <c r="BV55" s="4">
        <v>0.33640966520953</v>
      </c>
      <c r="BW55" s="4">
        <v>0.266168351123741</v>
      </c>
      <c r="BX55" s="4">
        <v>0.20247557571871</v>
      </c>
      <c r="BY55" s="4">
        <v>0.218339492523554</v>
      </c>
      <c r="BZ55" s="4">
        <v>0.0897988843814312</v>
      </c>
      <c r="CA55" s="4">
        <v>0.215428510430947</v>
      </c>
      <c r="CB55" s="4">
        <v>0.16201156762252</v>
      </c>
      <c r="CC55" s="4">
        <v>0.256706702489545</v>
      </c>
      <c r="CD55" s="4">
        <v>0.147034809246433</v>
      </c>
      <c r="CE55" s="4">
        <v>0.183207871462361</v>
      </c>
      <c r="CF55" s="4">
        <v>0.319958900208404</v>
      </c>
      <c r="CG55" s="4">
        <v>0.43189698253216</v>
      </c>
      <c r="CH55" s="4">
        <v>0.288335973952694</v>
      </c>
      <c r="CI55" s="4">
        <v>0.591625864241932</v>
      </c>
      <c r="CJ55" s="4">
        <v>0.267794481314954</v>
      </c>
      <c r="CK55" s="4">
        <v>0.0511339242497156</v>
      </c>
      <c r="CL55" s="4">
        <v>0.331473337472633</v>
      </c>
      <c r="CM55" s="4">
        <v>-0.0990192045966689</v>
      </c>
      <c r="CN55" s="4">
        <v>0.137683129890383</v>
      </c>
      <c r="CO55" s="4">
        <v>0.126433606552422</v>
      </c>
      <c r="CP55" s="4">
        <v>0.14278589540185</v>
      </c>
      <c r="CQ55" s="4">
        <v>-0.00535726169831799</v>
      </c>
      <c r="CR55" s="4">
        <v>-0.0157577014262985</v>
      </c>
      <c r="CS55" s="4">
        <v>0.10371346950535</v>
      </c>
      <c r="CT55" s="4">
        <v>0.269990697152907</v>
      </c>
      <c r="CU55" s="4">
        <v>0.120629677065217</v>
      </c>
      <c r="CV55" s="4">
        <v>0.108062142344015</v>
      </c>
      <c r="CW55" s="4">
        <v>0.327551735818776</v>
      </c>
      <c r="CX55" s="4">
        <v>0.0740061157971557</v>
      </c>
      <c r="CY55" s="4">
        <v>0.199075365009766</v>
      </c>
      <c r="CZ55" s="4">
        <v>0.643251246938573</v>
      </c>
      <c r="DA55" s="4">
        <v>0.0854482199253135</v>
      </c>
      <c r="DB55" s="4">
        <v>0.167197185121817</v>
      </c>
      <c r="DC55" s="4">
        <v>0.111066200530731</v>
      </c>
      <c r="DD55" s="4">
        <v>0.00554697828567935</v>
      </c>
      <c r="DE55" s="4">
        <v>0.368896625707439</v>
      </c>
      <c r="DF55" s="4">
        <v>0.161717944747452</v>
      </c>
      <c r="DG55" s="4">
        <v>0.343924923344149</v>
      </c>
      <c r="DH55" s="4">
        <v>0.204192238533169</v>
      </c>
      <c r="DI55" s="4">
        <v>0.219834643672216</v>
      </c>
      <c r="DJ55" s="4">
        <v>0.163089370780396</v>
      </c>
      <c r="DK55" s="4">
        <v>0.275453460753971</v>
      </c>
      <c r="DL55" s="4">
        <v>0.335807069138076</v>
      </c>
      <c r="DM55" s="4">
        <v>0.283709350385084</v>
      </c>
      <c r="DN55" s="4">
        <v>0.238462182517059</v>
      </c>
      <c r="DO55" s="4">
        <v>0.306069974383738</v>
      </c>
      <c r="DP55" s="4">
        <v>0.373763516170278</v>
      </c>
      <c r="DQ55" s="4">
        <v>0.332489904860003</v>
      </c>
      <c r="DR55" s="4">
        <v>0.394961628749126</v>
      </c>
      <c r="DS55" s="4">
        <v>0.224431942487803</v>
      </c>
      <c r="DT55" s="4">
        <v>0.264031175826731</v>
      </c>
      <c r="DU55" s="4">
        <v>0.302972552119201</v>
      </c>
      <c r="DV55" s="4">
        <v>0.427193461147943</v>
      </c>
      <c r="DW55" s="4">
        <v>0.337951838587782</v>
      </c>
      <c r="DX55" s="4">
        <v>0.441677321222805</v>
      </c>
      <c r="DY55" s="4">
        <v>0.297900156894314</v>
      </c>
    </row>
    <row r="56" ht="14" spans="1:129">
      <c r="A56" s="31" t="s">
        <v>54</v>
      </c>
      <c r="B56" s="2" t="str">
        <v/>
      </c>
      <c r="C56" s="2" t="str">
        <v/>
      </c>
      <c r="D56" s="2" t="str">
        <v/>
      </c>
      <c r="E56" s="2" t="str">
        <v/>
      </c>
      <c r="F56" s="2" t="str">
        <v/>
      </c>
      <c r="G56" s="2" t="str">
        <v/>
      </c>
      <c r="H56" s="2" t="str">
        <v/>
      </c>
      <c r="I56" s="2" t="str">
        <v/>
      </c>
      <c r="J56" s="2" t="str">
        <v/>
      </c>
      <c r="K56" s="2" t="str">
        <v/>
      </c>
      <c r="L56" s="2" t="str">
        <v/>
      </c>
      <c r="M56" s="2" t="str">
        <v/>
      </c>
      <c r="N56" s="2" t="str">
        <v/>
      </c>
      <c r="O56" s="2" t="str">
        <v/>
      </c>
      <c r="P56" s="2" t="str">
        <v/>
      </c>
      <c r="Q56" s="2" t="str">
        <v/>
      </c>
      <c r="R56" s="2" t="str">
        <v/>
      </c>
      <c r="S56" s="2" t="str">
        <v/>
      </c>
      <c r="T56" s="2" t="str">
        <v/>
      </c>
      <c r="U56" s="2" t="str">
        <v/>
      </c>
      <c r="V56" s="2" t="str">
        <v/>
      </c>
      <c r="W56" s="2" t="str">
        <v/>
      </c>
      <c r="X56" s="2" t="str">
        <v/>
      </c>
      <c r="Y56" s="2" t="str">
        <v/>
      </c>
      <c r="Z56" s="2" t="str">
        <v/>
      </c>
      <c r="AA56" s="2" t="str">
        <v/>
      </c>
      <c r="AB56" s="2" t="str">
        <v/>
      </c>
      <c r="AC56" s="2" t="str">
        <v/>
      </c>
      <c r="AD56" s="2" t="str">
        <v/>
      </c>
      <c r="AE56" s="2" t="str">
        <v/>
      </c>
      <c r="AF56" s="2" t="str">
        <v/>
      </c>
      <c r="AG56" s="2" t="str">
        <v/>
      </c>
      <c r="AH56" s="2" t="str">
        <v/>
      </c>
      <c r="AI56" s="2" t="str">
        <v/>
      </c>
      <c r="AJ56" s="2" t="str">
        <v/>
      </c>
      <c r="AK56" s="2" t="str">
        <v/>
      </c>
      <c r="AL56" s="2" t="str">
        <v/>
      </c>
      <c r="AM56" s="2" t="str">
        <v/>
      </c>
      <c r="AN56" s="2" t="str">
        <v/>
      </c>
      <c r="AO56" s="2" t="str">
        <v/>
      </c>
      <c r="AP56" s="2" t="str">
        <v/>
      </c>
      <c r="AQ56" s="2" t="str">
        <v/>
      </c>
      <c r="AR56" s="4" t="str">
        <v/>
      </c>
      <c r="AS56" s="4" t="str">
        <v/>
      </c>
      <c r="AT56" s="4" t="str">
        <v/>
      </c>
      <c r="AU56" s="4" t="str">
        <v/>
      </c>
      <c r="AV56" s="4" t="str">
        <v/>
      </c>
      <c r="AW56" s="4" t="str">
        <v/>
      </c>
      <c r="AX56" s="4" t="str">
        <v/>
      </c>
      <c r="AY56" s="4" t="str">
        <v/>
      </c>
      <c r="AZ56" s="4" t="str">
        <v/>
      </c>
      <c r="BA56" s="4" t="str">
        <v/>
      </c>
      <c r="BB56" s="4">
        <v>1</v>
      </c>
      <c r="BC56" s="4">
        <v>0.599442790056576</v>
      </c>
      <c r="BD56" s="4">
        <v>0.619913383549888</v>
      </c>
      <c r="BE56" s="4">
        <v>0.355986643445801</v>
      </c>
      <c r="BF56" s="4">
        <v>0.422111522956274</v>
      </c>
      <c r="BG56" s="4">
        <v>0.350073560797756</v>
      </c>
      <c r="BH56" s="4">
        <v>0.366372536455513</v>
      </c>
      <c r="BI56" s="4">
        <v>0.298837779539279</v>
      </c>
      <c r="BJ56" s="4">
        <v>0.418374527073379</v>
      </c>
      <c r="BK56" s="4">
        <v>0.286076992547745</v>
      </c>
      <c r="BL56" s="4">
        <v>0.433856410237875</v>
      </c>
      <c r="BM56" s="4">
        <v>0.446263843803773</v>
      </c>
      <c r="BN56" s="4">
        <v>0.440196415885684</v>
      </c>
      <c r="BO56" s="4">
        <v>0.481422264339831</v>
      </c>
      <c r="BP56" s="4">
        <v>0.489924628591136</v>
      </c>
      <c r="BQ56" s="4">
        <v>0.299549696592919</v>
      </c>
      <c r="BR56" s="4">
        <v>0.483146331034062</v>
      </c>
      <c r="BS56" s="4">
        <v>0.427785724741098</v>
      </c>
      <c r="BT56" s="4">
        <v>0.514232086864028</v>
      </c>
      <c r="BU56" s="4">
        <v>0.539695127295337</v>
      </c>
      <c r="BV56" s="4">
        <v>0.152198347316352</v>
      </c>
      <c r="BW56" s="4">
        <v>0.326841230007791</v>
      </c>
      <c r="BX56" s="4">
        <v>0.435342247150981</v>
      </c>
      <c r="BY56" s="4">
        <v>0.440902123940703</v>
      </c>
      <c r="BZ56" s="4">
        <v>0.31823363889321</v>
      </c>
      <c r="CA56" s="4">
        <v>0.370920624800461</v>
      </c>
      <c r="CB56" s="4">
        <v>0.411084856505199</v>
      </c>
      <c r="CC56" s="4">
        <v>0.422075884427802</v>
      </c>
      <c r="CD56" s="4">
        <v>0.211919165512713</v>
      </c>
      <c r="CE56" s="4">
        <v>0.251842205554789</v>
      </c>
      <c r="CF56" s="4">
        <v>0.429926622343148</v>
      </c>
      <c r="CG56" s="4">
        <v>0.623298026512746</v>
      </c>
      <c r="CH56" s="4">
        <v>0.330337938437289</v>
      </c>
      <c r="CI56" s="4">
        <v>0.735972826149092</v>
      </c>
      <c r="CJ56" s="4">
        <v>0.411309303943099</v>
      </c>
      <c r="CK56" s="4">
        <v>0.185142714825657</v>
      </c>
      <c r="CL56" s="4">
        <v>0.533658147357451</v>
      </c>
      <c r="CM56" s="4">
        <v>0.11017630788497</v>
      </c>
      <c r="CN56" s="4">
        <v>0.326477443584919</v>
      </c>
      <c r="CO56" s="4">
        <v>0.357846100161983</v>
      </c>
      <c r="CP56" s="4">
        <v>0.102243202640111</v>
      </c>
      <c r="CQ56" s="4">
        <v>0.0989656711887284</v>
      </c>
      <c r="CR56" s="4">
        <v>0.210496282230627</v>
      </c>
      <c r="CS56" s="4">
        <v>0.12495760399769</v>
      </c>
      <c r="CT56" s="4">
        <v>0.425023211221956</v>
      </c>
      <c r="CU56" s="4">
        <v>0.36469840559616</v>
      </c>
      <c r="CV56" s="4">
        <v>0.363352338025128</v>
      </c>
      <c r="CW56" s="4">
        <v>0.446318778925404</v>
      </c>
      <c r="CX56" s="4">
        <v>0.469802689552473</v>
      </c>
      <c r="CY56" s="4">
        <v>0.414918787199284</v>
      </c>
      <c r="CZ56" s="4">
        <v>0.469501059339312</v>
      </c>
      <c r="DA56" s="4">
        <v>0.261099037492099</v>
      </c>
      <c r="DB56" s="4">
        <v>0.449614873693106</v>
      </c>
      <c r="DC56" s="4">
        <v>0.332958968103839</v>
      </c>
      <c r="DD56" s="4">
        <v>0.263623252519725</v>
      </c>
      <c r="DE56" s="4">
        <v>0.59083554878571</v>
      </c>
      <c r="DF56" s="4">
        <v>0.406407490625963</v>
      </c>
      <c r="DG56" s="4">
        <v>0.424421717698011</v>
      </c>
      <c r="DH56" s="4">
        <v>0.640890132057344</v>
      </c>
      <c r="DI56" s="4">
        <v>0.479658450587443</v>
      </c>
      <c r="DJ56" s="4">
        <v>0.457958731123907</v>
      </c>
      <c r="DK56" s="4">
        <v>0.407526716938996</v>
      </c>
      <c r="DL56" s="4">
        <v>0.476156502852358</v>
      </c>
      <c r="DM56" s="4">
        <v>0.457619335424508</v>
      </c>
      <c r="DN56" s="4">
        <v>0.451670777690532</v>
      </c>
      <c r="DO56" s="4">
        <v>0.440985965109104</v>
      </c>
      <c r="DP56" s="4">
        <v>0.520312400563511</v>
      </c>
      <c r="DQ56" s="4">
        <v>0.398667470939041</v>
      </c>
      <c r="DR56" s="4">
        <v>0.55699698765384</v>
      </c>
      <c r="DS56" s="4">
        <v>0.447463369446713</v>
      </c>
      <c r="DT56" s="4">
        <v>0.32795327656455</v>
      </c>
      <c r="DU56" s="4">
        <v>0.532260098669819</v>
      </c>
      <c r="DV56" s="4">
        <v>0.493758217037136</v>
      </c>
      <c r="DW56" s="4">
        <v>0.237794246555046</v>
      </c>
      <c r="DX56" s="4">
        <v>0.294008139613711</v>
      </c>
      <c r="DY56" s="4">
        <v>0.532144965221231</v>
      </c>
    </row>
    <row r="57" ht="14" spans="1:129">
      <c r="A57" s="31" t="s">
        <v>55</v>
      </c>
      <c r="B57" s="2" t="str">
        <v/>
      </c>
      <c r="C57" s="2" t="str">
        <v/>
      </c>
      <c r="D57" s="2" t="str">
        <v/>
      </c>
      <c r="E57" s="2" t="str">
        <v/>
      </c>
      <c r="F57" s="2" t="str">
        <v/>
      </c>
      <c r="G57" s="2" t="str">
        <v/>
      </c>
      <c r="H57" s="2" t="str">
        <v/>
      </c>
      <c r="I57" s="2" t="str">
        <v/>
      </c>
      <c r="J57" s="2" t="str">
        <v/>
      </c>
      <c r="K57" s="2" t="str">
        <v/>
      </c>
      <c r="L57" s="2" t="str">
        <v/>
      </c>
      <c r="M57" s="2" t="str">
        <v/>
      </c>
      <c r="N57" s="2" t="str">
        <v/>
      </c>
      <c r="O57" s="2" t="str">
        <v/>
      </c>
      <c r="P57" s="2" t="str">
        <v/>
      </c>
      <c r="Q57" s="2" t="str">
        <v/>
      </c>
      <c r="R57" s="2" t="str">
        <v/>
      </c>
      <c r="S57" s="2" t="str">
        <v/>
      </c>
      <c r="T57" s="2" t="str">
        <v/>
      </c>
      <c r="U57" s="2" t="str">
        <v/>
      </c>
      <c r="V57" s="2" t="str">
        <v/>
      </c>
      <c r="W57" s="2" t="str">
        <v/>
      </c>
      <c r="X57" s="2" t="str">
        <v/>
      </c>
      <c r="Y57" s="2" t="str">
        <v/>
      </c>
      <c r="Z57" s="2" t="str">
        <v/>
      </c>
      <c r="AA57" s="2" t="str">
        <v/>
      </c>
      <c r="AB57" s="2" t="str">
        <v/>
      </c>
      <c r="AC57" s="2" t="str">
        <v/>
      </c>
      <c r="AD57" s="2" t="str">
        <v/>
      </c>
      <c r="AE57" s="2" t="str">
        <v/>
      </c>
      <c r="AF57" s="2" t="str">
        <v/>
      </c>
      <c r="AG57" s="2" t="str">
        <v/>
      </c>
      <c r="AH57" s="2" t="str">
        <v/>
      </c>
      <c r="AI57" s="2" t="str">
        <v/>
      </c>
      <c r="AJ57" s="2" t="str">
        <v/>
      </c>
      <c r="AK57" s="2" t="str">
        <v/>
      </c>
      <c r="AL57" s="2" t="str">
        <v/>
      </c>
      <c r="AM57" s="2" t="str">
        <v/>
      </c>
      <c r="AN57" s="2" t="str">
        <v/>
      </c>
      <c r="AO57" s="2" t="str">
        <v/>
      </c>
      <c r="AP57" s="2" t="str">
        <v/>
      </c>
      <c r="AQ57" s="2" t="str">
        <v/>
      </c>
      <c r="AR57" s="4" t="str">
        <v/>
      </c>
      <c r="AS57" s="4" t="str">
        <v/>
      </c>
      <c r="AT57" s="4" t="str">
        <v/>
      </c>
      <c r="AU57" s="4" t="str">
        <v/>
      </c>
      <c r="AV57" s="4" t="str">
        <v/>
      </c>
      <c r="AW57" s="4" t="str">
        <v/>
      </c>
      <c r="AX57" s="4" t="str">
        <v/>
      </c>
      <c r="AY57" s="4" t="str">
        <v/>
      </c>
      <c r="AZ57" s="4" t="str">
        <v/>
      </c>
      <c r="BA57" s="4" t="str">
        <v/>
      </c>
      <c r="BB57" s="4" t="str">
        <v/>
      </c>
      <c r="BC57" s="4">
        <v>1</v>
      </c>
      <c r="BD57" s="4">
        <v>0.498116654670119</v>
      </c>
      <c r="BE57" s="4">
        <v>0.231439660671622</v>
      </c>
      <c r="BF57" s="4">
        <v>0.47118142126139</v>
      </c>
      <c r="BG57" s="4">
        <v>0.357892495311841</v>
      </c>
      <c r="BH57" s="4">
        <v>0.530026556950379</v>
      </c>
      <c r="BI57" s="4">
        <v>0.385350293809844</v>
      </c>
      <c r="BJ57" s="4">
        <v>0.414708666390298</v>
      </c>
      <c r="BK57" s="4">
        <v>0.0789625349609768</v>
      </c>
      <c r="BL57" s="4">
        <v>0.348770327444786</v>
      </c>
      <c r="BM57" s="4">
        <v>0.310658701750219</v>
      </c>
      <c r="BN57" s="4">
        <v>0.508257030244335</v>
      </c>
      <c r="BO57" s="4">
        <v>0.397616324037594</v>
      </c>
      <c r="BP57" s="4">
        <v>0.550944109559015</v>
      </c>
      <c r="BQ57" s="4">
        <v>0.318421154045069</v>
      </c>
      <c r="BR57" s="4">
        <v>0.300904151481981</v>
      </c>
      <c r="BS57" s="4">
        <v>0.414352405325847</v>
      </c>
      <c r="BT57" s="4">
        <v>0.336739708220814</v>
      </c>
      <c r="BU57" s="4">
        <v>0.378792084075539</v>
      </c>
      <c r="BV57" s="4">
        <v>0.263239833432805</v>
      </c>
      <c r="BW57" s="4">
        <v>0.0999234861007887</v>
      </c>
      <c r="BX57" s="4">
        <v>0.223359130745264</v>
      </c>
      <c r="BY57" s="4">
        <v>0.398213468465269</v>
      </c>
      <c r="BZ57" s="4">
        <v>0.0904295064954578</v>
      </c>
      <c r="CA57" s="4">
        <v>0.159694565478132</v>
      </c>
      <c r="CB57" s="4">
        <v>0.189007030645726</v>
      </c>
      <c r="CC57" s="4">
        <v>0.199428003386774</v>
      </c>
      <c r="CD57" s="4">
        <v>0.151535208156278</v>
      </c>
      <c r="CE57" s="4">
        <v>0.323291308723892</v>
      </c>
      <c r="CF57" s="4">
        <v>0.377731222693212</v>
      </c>
      <c r="CG57" s="4">
        <v>0.542098495711298</v>
      </c>
      <c r="CH57" s="4">
        <v>0.26179720459162</v>
      </c>
      <c r="CI57" s="4">
        <v>0.594282725165522</v>
      </c>
      <c r="CJ57" s="4">
        <v>0.246378992280914</v>
      </c>
      <c r="CK57" s="4">
        <v>0.0934083256597284</v>
      </c>
      <c r="CL57" s="4">
        <v>0.391697898320336</v>
      </c>
      <c r="CM57" s="4">
        <v>-0.0666376989209829</v>
      </c>
      <c r="CN57" s="4">
        <v>0.215646865863917</v>
      </c>
      <c r="CO57" s="4">
        <v>0.0738375941047813</v>
      </c>
      <c r="CP57" s="4">
        <v>0.023873281287646</v>
      </c>
      <c r="CQ57" s="4">
        <v>0.0853999256136533</v>
      </c>
      <c r="CR57" s="4">
        <v>0.126954162621062</v>
      </c>
      <c r="CS57" s="4">
        <v>0.20289396535467</v>
      </c>
      <c r="CT57" s="4">
        <v>0.33748857878419</v>
      </c>
      <c r="CU57" s="4">
        <v>0.328286159793081</v>
      </c>
      <c r="CV57" s="4">
        <v>0.210066581841257</v>
      </c>
      <c r="CW57" s="4">
        <v>0.23480815545806</v>
      </c>
      <c r="CX57" s="4">
        <v>0.243000179494536</v>
      </c>
      <c r="CY57" s="4">
        <v>0.268992341133398</v>
      </c>
      <c r="CZ57" s="4">
        <v>0.363929383851164</v>
      </c>
      <c r="DA57" s="4">
        <v>0.104206400125013</v>
      </c>
      <c r="DB57" s="4">
        <v>0.381504395074139</v>
      </c>
      <c r="DC57" s="4">
        <v>0.34544997315485</v>
      </c>
      <c r="DD57" s="4">
        <v>-0.0281741186657704</v>
      </c>
      <c r="DE57" s="4">
        <v>0.546348190614683</v>
      </c>
      <c r="DF57" s="4">
        <v>0.165418533560229</v>
      </c>
      <c r="DG57" s="4">
        <v>0.396842014715643</v>
      </c>
      <c r="DH57" s="4">
        <v>0.480159399929701</v>
      </c>
      <c r="DI57" s="4">
        <v>0.453433026478344</v>
      </c>
      <c r="DJ57" s="4">
        <v>0.419119544276376</v>
      </c>
      <c r="DK57" s="4">
        <v>0.34670978464122</v>
      </c>
      <c r="DL57" s="4">
        <v>0.393856662579327</v>
      </c>
      <c r="DM57" s="4">
        <v>0.416231875682836</v>
      </c>
      <c r="DN57" s="4">
        <v>0.492566851203425</v>
      </c>
      <c r="DO57" s="4">
        <v>0.343246806325071</v>
      </c>
      <c r="DP57" s="4">
        <v>0.442734600540712</v>
      </c>
      <c r="DQ57" s="4">
        <v>0.409545412156891</v>
      </c>
      <c r="DR57" s="4">
        <v>0.468707044109872</v>
      </c>
      <c r="DS57" s="4">
        <v>0.32602062499135</v>
      </c>
      <c r="DT57" s="4">
        <v>0.408650340851033</v>
      </c>
      <c r="DU57" s="4">
        <v>0.42579151444148</v>
      </c>
      <c r="DV57" s="4">
        <v>0.401310449350768</v>
      </c>
      <c r="DW57" s="4">
        <v>0.0439057295203907</v>
      </c>
      <c r="DX57" s="4">
        <v>0.404201760737419</v>
      </c>
      <c r="DY57" s="4">
        <v>0.486374753885593</v>
      </c>
    </row>
    <row r="58" ht="14" spans="1:129">
      <c r="A58" s="31" t="s">
        <v>56</v>
      </c>
      <c r="B58" s="2" t="str">
        <v/>
      </c>
      <c r="C58" s="2" t="str">
        <v/>
      </c>
      <c r="D58" s="2" t="str">
        <v/>
      </c>
      <c r="E58" s="2" t="str">
        <v/>
      </c>
      <c r="F58" s="2" t="str">
        <v/>
      </c>
      <c r="G58" s="2" t="str">
        <v/>
      </c>
      <c r="H58" s="2" t="str">
        <v/>
      </c>
      <c r="I58" s="2" t="str">
        <v/>
      </c>
      <c r="J58" s="2" t="str">
        <v/>
      </c>
      <c r="K58" s="2" t="str">
        <v/>
      </c>
      <c r="L58" s="2" t="str">
        <v/>
      </c>
      <c r="M58" s="2" t="str">
        <v/>
      </c>
      <c r="N58" s="2" t="str">
        <v/>
      </c>
      <c r="O58" s="2" t="str">
        <v/>
      </c>
      <c r="P58" s="2" t="str">
        <v/>
      </c>
      <c r="Q58" s="2" t="str">
        <v/>
      </c>
      <c r="R58" s="2" t="str">
        <v/>
      </c>
      <c r="S58" s="2" t="str">
        <v/>
      </c>
      <c r="T58" s="2" t="str">
        <v/>
      </c>
      <c r="U58" s="2" t="str">
        <v/>
      </c>
      <c r="V58" s="2" t="str">
        <v/>
      </c>
      <c r="W58" s="2" t="str">
        <v/>
      </c>
      <c r="X58" s="2" t="str">
        <v/>
      </c>
      <c r="Y58" s="2" t="str">
        <v/>
      </c>
      <c r="Z58" s="2" t="str">
        <v/>
      </c>
      <c r="AA58" s="2" t="str">
        <v/>
      </c>
      <c r="AB58" s="2" t="str">
        <v/>
      </c>
      <c r="AC58" s="2" t="str">
        <v/>
      </c>
      <c r="AD58" s="2" t="str">
        <v/>
      </c>
      <c r="AE58" s="2" t="str">
        <v/>
      </c>
      <c r="AF58" s="2" t="str">
        <v/>
      </c>
      <c r="AG58" s="2" t="str">
        <v/>
      </c>
      <c r="AH58" s="2" t="str">
        <v/>
      </c>
      <c r="AI58" s="2" t="str">
        <v/>
      </c>
      <c r="AJ58" s="2" t="str">
        <v/>
      </c>
      <c r="AK58" s="2" t="str">
        <v/>
      </c>
      <c r="AL58" s="2" t="str">
        <v/>
      </c>
      <c r="AM58" s="2" t="str">
        <v/>
      </c>
      <c r="AN58" s="2" t="str">
        <v/>
      </c>
      <c r="AO58" s="2" t="str">
        <v/>
      </c>
      <c r="AP58" s="2" t="str">
        <v/>
      </c>
      <c r="AQ58" s="2" t="str">
        <v/>
      </c>
      <c r="AR58" s="4" t="str">
        <v/>
      </c>
      <c r="AS58" s="4" t="str">
        <v/>
      </c>
      <c r="AT58" s="4" t="str">
        <v/>
      </c>
      <c r="AU58" s="4" t="str">
        <v/>
      </c>
      <c r="AV58" s="4" t="str">
        <v/>
      </c>
      <c r="AW58" s="4" t="str">
        <v/>
      </c>
      <c r="AX58" s="4" t="str">
        <v/>
      </c>
      <c r="AY58" s="4" t="str">
        <v/>
      </c>
      <c r="AZ58" s="4" t="str">
        <v/>
      </c>
      <c r="BA58" s="4" t="str">
        <v/>
      </c>
      <c r="BB58" s="4" t="str">
        <v/>
      </c>
      <c r="BC58" s="4" t="str">
        <v/>
      </c>
      <c r="BD58" s="4">
        <v>1</v>
      </c>
      <c r="BE58" s="4">
        <v>0.486941428805056</v>
      </c>
      <c r="BF58" s="4">
        <v>0.643603378606096</v>
      </c>
      <c r="BG58" s="4">
        <v>0.483618848766679</v>
      </c>
      <c r="BH58" s="4">
        <v>0.500690399497897</v>
      </c>
      <c r="BI58" s="4">
        <v>0.437560338732354</v>
      </c>
      <c r="BJ58" s="4">
        <v>0.44602133064209</v>
      </c>
      <c r="BK58" s="4">
        <v>0.410516118955429</v>
      </c>
      <c r="BL58" s="4">
        <v>0.437135242808432</v>
      </c>
      <c r="BM58" s="4">
        <v>0.58902191760545</v>
      </c>
      <c r="BN58" s="4">
        <v>0.479187110826638</v>
      </c>
      <c r="BO58" s="4">
        <v>0.543925201535101</v>
      </c>
      <c r="BP58" s="4">
        <v>0.541751885650275</v>
      </c>
      <c r="BQ58" s="4">
        <v>0.234686502729189</v>
      </c>
      <c r="BR58" s="4">
        <v>0.555905183188564</v>
      </c>
      <c r="BS58" s="4">
        <v>0.482328521912146</v>
      </c>
      <c r="BT58" s="4">
        <v>0.625917778019633</v>
      </c>
      <c r="BU58" s="4">
        <v>0.519662396946496</v>
      </c>
      <c r="BV58" s="4">
        <v>0.277349595081808</v>
      </c>
      <c r="BW58" s="4">
        <v>0.377600961683497</v>
      </c>
      <c r="BX58" s="4">
        <v>0.332526739751636</v>
      </c>
      <c r="BY58" s="4">
        <v>0.472785650178933</v>
      </c>
      <c r="BZ58" s="4">
        <v>0.398002692463368</v>
      </c>
      <c r="CA58" s="4">
        <v>0.448047715691526</v>
      </c>
      <c r="CB58" s="4">
        <v>0.562903388015808</v>
      </c>
      <c r="CC58" s="4">
        <v>0.468164711586737</v>
      </c>
      <c r="CD58" s="4">
        <v>0.395413038385046</v>
      </c>
      <c r="CE58" s="4">
        <v>0.4617956122561</v>
      </c>
      <c r="CF58" s="4">
        <v>0.65784040953026</v>
      </c>
      <c r="CG58" s="4">
        <v>0.510076328805512</v>
      </c>
      <c r="CH58" s="4">
        <v>0.529445858135714</v>
      </c>
      <c r="CI58" s="4">
        <v>0.771776953203673</v>
      </c>
      <c r="CJ58" s="4">
        <v>0.516934999988767</v>
      </c>
      <c r="CK58" s="4">
        <v>0.321931555583328</v>
      </c>
      <c r="CL58" s="4">
        <v>0.589966060793389</v>
      </c>
      <c r="CM58" s="4">
        <v>-0.0970127425374515</v>
      </c>
      <c r="CN58" s="4">
        <v>0.432302728272519</v>
      </c>
      <c r="CO58" s="4">
        <v>0.286569789187739</v>
      </c>
      <c r="CP58" s="4">
        <v>0.316109447480154</v>
      </c>
      <c r="CQ58" s="4">
        <v>0.130053880070147</v>
      </c>
      <c r="CR58" s="4">
        <v>0.277639795121222</v>
      </c>
      <c r="CS58" s="4">
        <v>0.310045830716102</v>
      </c>
      <c r="CT58" s="4">
        <v>0.554353705930258</v>
      </c>
      <c r="CU58" s="4">
        <v>0.364084629249969</v>
      </c>
      <c r="CV58" s="4">
        <v>0.35657012144626</v>
      </c>
      <c r="CW58" s="4">
        <v>0.570072868411881</v>
      </c>
      <c r="CX58" s="4">
        <v>0.434827655230039</v>
      </c>
      <c r="CY58" s="4">
        <v>0.26036095974976</v>
      </c>
      <c r="CZ58" s="4">
        <v>0.460197342264634</v>
      </c>
      <c r="DA58" s="4">
        <v>0.30567172689357</v>
      </c>
      <c r="DB58" s="4">
        <v>0.454955567679398</v>
      </c>
      <c r="DC58" s="4">
        <v>0.449305900228438</v>
      </c>
      <c r="DD58" s="4">
        <v>0.221741660337056</v>
      </c>
      <c r="DE58" s="4">
        <v>0.431127500164507</v>
      </c>
      <c r="DF58" s="4">
        <v>0.339169131036481</v>
      </c>
      <c r="DG58" s="4">
        <v>0.306558143631493</v>
      </c>
      <c r="DH58" s="4">
        <v>0.666813896212433</v>
      </c>
      <c r="DI58" s="4">
        <v>0.551463093608588</v>
      </c>
      <c r="DJ58" s="4">
        <v>0.542357516692361</v>
      </c>
      <c r="DK58" s="4">
        <v>0.550246114134878</v>
      </c>
      <c r="DL58" s="4">
        <v>0.59164964638607</v>
      </c>
      <c r="DM58" s="4">
        <v>0.60561689736944</v>
      </c>
      <c r="DN58" s="4">
        <v>0.62888010094862</v>
      </c>
      <c r="DO58" s="4">
        <v>0.581806896105548</v>
      </c>
      <c r="DP58" s="4">
        <v>0.668735451569253</v>
      </c>
      <c r="DQ58" s="4">
        <v>0.583622716559472</v>
      </c>
      <c r="DR58" s="4">
        <v>0.640733104259611</v>
      </c>
      <c r="DS58" s="4">
        <v>0.395392542751667</v>
      </c>
      <c r="DT58" s="4">
        <v>0.565386918812016</v>
      </c>
      <c r="DU58" s="4">
        <v>0.631557337406047</v>
      </c>
      <c r="DV58" s="4">
        <v>0.650213874289297</v>
      </c>
      <c r="DW58" s="4">
        <v>0.281409257461644</v>
      </c>
      <c r="DX58" s="4">
        <v>0.421600801281026</v>
      </c>
      <c r="DY58" s="4">
        <v>0.591449193607837</v>
      </c>
    </row>
    <row r="59" ht="14" spans="1:129">
      <c r="A59" s="31" t="s">
        <v>57</v>
      </c>
      <c r="B59" s="2" t="str">
        <v/>
      </c>
      <c r="C59" s="2" t="str">
        <v/>
      </c>
      <c r="D59" s="2" t="str">
        <v/>
      </c>
      <c r="E59" s="2" t="str">
        <v/>
      </c>
      <c r="F59" s="2" t="str">
        <v/>
      </c>
      <c r="G59" s="2" t="str">
        <v/>
      </c>
      <c r="H59" s="2" t="str">
        <v/>
      </c>
      <c r="I59" s="2" t="str">
        <v/>
      </c>
      <c r="J59" s="2" t="str">
        <v/>
      </c>
      <c r="K59" s="2" t="str">
        <v/>
      </c>
      <c r="L59" s="2" t="str">
        <v/>
      </c>
      <c r="M59" s="2" t="str">
        <v/>
      </c>
      <c r="N59" s="2" t="str">
        <v/>
      </c>
      <c r="O59" s="2" t="str">
        <v/>
      </c>
      <c r="P59" s="2" t="str">
        <v/>
      </c>
      <c r="Q59" s="2" t="str">
        <v/>
      </c>
      <c r="R59" s="2" t="str">
        <v/>
      </c>
      <c r="S59" s="2" t="str">
        <v/>
      </c>
      <c r="T59" s="2" t="str">
        <v/>
      </c>
      <c r="U59" s="2" t="str">
        <v/>
      </c>
      <c r="V59" s="2" t="str">
        <v/>
      </c>
      <c r="W59" s="2" t="str">
        <v/>
      </c>
      <c r="X59" s="2" t="str">
        <v/>
      </c>
      <c r="Y59" s="2" t="str">
        <v/>
      </c>
      <c r="Z59" s="2" t="str">
        <v/>
      </c>
      <c r="AA59" s="2" t="str">
        <v/>
      </c>
      <c r="AB59" s="2" t="str">
        <v/>
      </c>
      <c r="AC59" s="2" t="str">
        <v/>
      </c>
      <c r="AD59" s="2" t="str">
        <v/>
      </c>
      <c r="AE59" s="2" t="str">
        <v/>
      </c>
      <c r="AF59" s="2" t="str">
        <v/>
      </c>
      <c r="AG59" s="2" t="str">
        <v/>
      </c>
      <c r="AH59" s="2" t="str">
        <v/>
      </c>
      <c r="AI59" s="2" t="str">
        <v/>
      </c>
      <c r="AJ59" s="2" t="str">
        <v/>
      </c>
      <c r="AK59" s="2" t="str">
        <v/>
      </c>
      <c r="AL59" s="2" t="str">
        <v/>
      </c>
      <c r="AM59" s="2" t="str">
        <v/>
      </c>
      <c r="AN59" s="2" t="str">
        <v/>
      </c>
      <c r="AO59" s="2" t="str">
        <v/>
      </c>
      <c r="AP59" s="2" t="str">
        <v/>
      </c>
      <c r="AQ59" s="2" t="str">
        <v/>
      </c>
      <c r="AR59" s="4" t="str">
        <v/>
      </c>
      <c r="AS59" s="4" t="str">
        <v/>
      </c>
      <c r="AT59" s="4" t="str">
        <v/>
      </c>
      <c r="AU59" s="4" t="str">
        <v/>
      </c>
      <c r="AV59" s="4" t="str">
        <v/>
      </c>
      <c r="AW59" s="4" t="str">
        <v/>
      </c>
      <c r="AX59" s="4" t="str">
        <v/>
      </c>
      <c r="AY59" s="4" t="str">
        <v/>
      </c>
      <c r="AZ59" s="4" t="str">
        <v/>
      </c>
      <c r="BA59" s="4" t="str">
        <v/>
      </c>
      <c r="BB59" s="4" t="str">
        <v/>
      </c>
      <c r="BC59" s="4" t="str">
        <v/>
      </c>
      <c r="BD59" s="4" t="str">
        <v/>
      </c>
      <c r="BE59" s="4">
        <v>1</v>
      </c>
      <c r="BF59" s="4">
        <v>0.423674864312106</v>
      </c>
      <c r="BG59" s="4">
        <v>0.398851186449125</v>
      </c>
      <c r="BH59" s="4">
        <v>0.215033481806274</v>
      </c>
      <c r="BI59" s="4">
        <v>0.246671945867344</v>
      </c>
      <c r="BJ59" s="4">
        <v>0.361327979968237</v>
      </c>
      <c r="BK59" s="4">
        <v>0.229060973903776</v>
      </c>
      <c r="BL59" s="4">
        <v>0.281358352019565</v>
      </c>
      <c r="BM59" s="4">
        <v>0.370456380342532</v>
      </c>
      <c r="BN59" s="4">
        <v>0.364776939026043</v>
      </c>
      <c r="BO59" s="4">
        <v>0.224906443555741</v>
      </c>
      <c r="BP59" s="4">
        <v>0.26714541828895</v>
      </c>
      <c r="BQ59" s="4">
        <v>0.187999073287206</v>
      </c>
      <c r="BR59" s="4">
        <v>0.253513903198158</v>
      </c>
      <c r="BS59" s="4">
        <v>0.521153282868053</v>
      </c>
      <c r="BT59" s="4">
        <v>0.518616487819566</v>
      </c>
      <c r="BU59" s="4">
        <v>0.255289649125381</v>
      </c>
      <c r="BV59" s="4">
        <v>0.184312652039615</v>
      </c>
      <c r="BW59" s="4">
        <v>0.404015148042995</v>
      </c>
      <c r="BX59" s="4">
        <v>0.187091145506728</v>
      </c>
      <c r="BY59" s="4">
        <v>0.245400825707608</v>
      </c>
      <c r="BZ59" s="4">
        <v>0.0679916025780748</v>
      </c>
      <c r="CA59" s="4">
        <v>0.338859135681374</v>
      </c>
      <c r="CB59" s="4">
        <v>0.148640404341308</v>
      </c>
      <c r="CC59" s="4">
        <v>0.385807907309345</v>
      </c>
      <c r="CD59" s="4">
        <v>0.155720925000982</v>
      </c>
      <c r="CE59" s="4">
        <v>0.135985569207205</v>
      </c>
      <c r="CF59" s="4">
        <v>0.494788226038504</v>
      </c>
      <c r="CG59" s="4">
        <v>0.39374022850144</v>
      </c>
      <c r="CH59" s="4">
        <v>0.333373209502431</v>
      </c>
      <c r="CI59" s="4">
        <v>0.561207624354526</v>
      </c>
      <c r="CJ59" s="4">
        <v>0.224433419815767</v>
      </c>
      <c r="CK59" s="4">
        <v>0.354037255827194</v>
      </c>
      <c r="CL59" s="4">
        <v>0.443834200136841</v>
      </c>
      <c r="CM59" s="4">
        <v>-0.112606541053817</v>
      </c>
      <c r="CN59" s="4">
        <v>0.175952055659975</v>
      </c>
      <c r="CO59" s="4">
        <v>0.0897649858581301</v>
      </c>
      <c r="CP59" s="4">
        <v>0.0135959962394409</v>
      </c>
      <c r="CQ59" s="4">
        <v>-0.0851096141846506</v>
      </c>
      <c r="CR59" s="4">
        <v>0.0643504587898593</v>
      </c>
      <c r="CS59" s="4">
        <v>0.23087508590109</v>
      </c>
      <c r="CT59" s="4">
        <v>0.443646804077981</v>
      </c>
      <c r="CU59" s="4">
        <v>0.19717376506989</v>
      </c>
      <c r="CV59" s="4">
        <v>0.284500392453271</v>
      </c>
      <c r="CW59" s="4">
        <v>0.379046308067</v>
      </c>
      <c r="CX59" s="4">
        <v>0.278533412276169</v>
      </c>
      <c r="CY59" s="4">
        <v>0.338799190577386</v>
      </c>
      <c r="CZ59" s="4">
        <v>0.305099156134887</v>
      </c>
      <c r="DA59" s="4">
        <v>0.103355548969024</v>
      </c>
      <c r="DB59" s="4">
        <v>0.342539683473772</v>
      </c>
      <c r="DC59" s="4">
        <v>0.346760247542506</v>
      </c>
      <c r="DD59" s="4">
        <v>0.114490876819438</v>
      </c>
      <c r="DE59" s="4">
        <v>0.277098489904377</v>
      </c>
      <c r="DF59" s="4">
        <v>0.339642616353011</v>
      </c>
      <c r="DG59" s="4">
        <v>-0.0256354959289532</v>
      </c>
      <c r="DH59" s="4">
        <v>0.351352755257175</v>
      </c>
      <c r="DI59" s="4">
        <v>0.406994306792034</v>
      </c>
      <c r="DJ59" s="4">
        <v>0.319294747441679</v>
      </c>
      <c r="DK59" s="4">
        <v>0.401311453303386</v>
      </c>
      <c r="DL59" s="4">
        <v>0.488657298862298</v>
      </c>
      <c r="DM59" s="4">
        <v>0.455654560463396</v>
      </c>
      <c r="DN59" s="4">
        <v>0.328979746693298</v>
      </c>
      <c r="DO59" s="4">
        <v>0.456853303902122</v>
      </c>
      <c r="DP59" s="4">
        <v>0.413029043989611</v>
      </c>
      <c r="DQ59" s="4">
        <v>0.396420809518774</v>
      </c>
      <c r="DR59" s="4">
        <v>0.504583000236915</v>
      </c>
      <c r="DS59" s="4">
        <v>0.131686346193345</v>
      </c>
      <c r="DT59" s="4">
        <v>0.38305142020192</v>
      </c>
      <c r="DU59" s="4">
        <v>0.481722530061843</v>
      </c>
      <c r="DV59" s="4">
        <v>0.360022777032889</v>
      </c>
      <c r="DW59" s="4">
        <v>0.27643846347411</v>
      </c>
      <c r="DX59" s="4">
        <v>0.442255127604641</v>
      </c>
      <c r="DY59" s="4">
        <v>0.420594690087665</v>
      </c>
    </row>
    <row r="60" ht="14" spans="1:129">
      <c r="A60" s="31" t="s">
        <v>58</v>
      </c>
      <c r="B60" s="2" t="str">
        <v/>
      </c>
      <c r="C60" s="2" t="str">
        <v/>
      </c>
      <c r="D60" s="2" t="str">
        <v/>
      </c>
      <c r="E60" s="2" t="str">
        <v/>
      </c>
      <c r="F60" s="2" t="str">
        <v/>
      </c>
      <c r="G60" s="2" t="str">
        <v/>
      </c>
      <c r="H60" s="2" t="str">
        <v/>
      </c>
      <c r="I60" s="2" t="str">
        <v/>
      </c>
      <c r="J60" s="2" t="str">
        <v/>
      </c>
      <c r="K60" s="2" t="str">
        <v/>
      </c>
      <c r="L60" s="2" t="str">
        <v/>
      </c>
      <c r="M60" s="2" t="str">
        <v/>
      </c>
      <c r="N60" s="2" t="str">
        <v/>
      </c>
      <c r="O60" s="2" t="str">
        <v/>
      </c>
      <c r="P60" s="2" t="str">
        <v/>
      </c>
      <c r="Q60" s="2" t="str">
        <v/>
      </c>
      <c r="R60" s="2" t="str">
        <v/>
      </c>
      <c r="S60" s="2" t="str">
        <v/>
      </c>
      <c r="T60" s="2" t="str">
        <v/>
      </c>
      <c r="U60" s="2" t="str">
        <v/>
      </c>
      <c r="V60" s="2" t="str">
        <v/>
      </c>
      <c r="W60" s="2" t="str">
        <v/>
      </c>
      <c r="X60" s="2" t="str">
        <v/>
      </c>
      <c r="Y60" s="2" t="str">
        <v/>
      </c>
      <c r="Z60" s="2" t="str">
        <v/>
      </c>
      <c r="AA60" s="2" t="str">
        <v/>
      </c>
      <c r="AB60" s="2" t="str">
        <v/>
      </c>
      <c r="AC60" s="2" t="str">
        <v/>
      </c>
      <c r="AD60" s="2" t="str">
        <v/>
      </c>
      <c r="AE60" s="2" t="str">
        <v/>
      </c>
      <c r="AF60" s="2" t="str">
        <v/>
      </c>
      <c r="AG60" s="2" t="str">
        <v/>
      </c>
      <c r="AH60" s="2" t="str">
        <v/>
      </c>
      <c r="AI60" s="2" t="str">
        <v/>
      </c>
      <c r="AJ60" s="2" t="str">
        <v/>
      </c>
      <c r="AK60" s="2" t="str">
        <v/>
      </c>
      <c r="AL60" s="2" t="str">
        <v/>
      </c>
      <c r="AM60" s="2" t="str">
        <v/>
      </c>
      <c r="AN60" s="2" t="str">
        <v/>
      </c>
      <c r="AO60" s="2" t="str">
        <v/>
      </c>
      <c r="AP60" s="2" t="str">
        <v/>
      </c>
      <c r="AQ60" s="2" t="str">
        <v/>
      </c>
      <c r="AR60" s="4" t="str">
        <v/>
      </c>
      <c r="AS60" s="4" t="str">
        <v/>
      </c>
      <c r="AT60" s="4" t="str">
        <v/>
      </c>
      <c r="AU60" s="4" t="str">
        <v/>
      </c>
      <c r="AV60" s="4" t="str">
        <v/>
      </c>
      <c r="AW60" s="4" t="str">
        <v/>
      </c>
      <c r="AX60" s="4" t="str">
        <v/>
      </c>
      <c r="AY60" s="4" t="str">
        <v/>
      </c>
      <c r="AZ60" s="4" t="str">
        <v/>
      </c>
      <c r="BA60" s="4" t="str">
        <v/>
      </c>
      <c r="BB60" s="4" t="str">
        <v/>
      </c>
      <c r="BC60" s="4" t="str">
        <v/>
      </c>
      <c r="BD60" s="4" t="str">
        <v/>
      </c>
      <c r="BE60" s="4" t="str">
        <v/>
      </c>
      <c r="BF60" s="4">
        <v>1</v>
      </c>
      <c r="BG60" s="4">
        <v>0.553311562876208</v>
      </c>
      <c r="BH60" s="4">
        <v>0.512133997580508</v>
      </c>
      <c r="BI60" s="4">
        <v>0.413488325996442</v>
      </c>
      <c r="BJ60" s="4">
        <v>0.357090094305493</v>
      </c>
      <c r="BK60" s="4">
        <v>0.379083343307129</v>
      </c>
      <c r="BL60" s="4">
        <v>0.401822279424199</v>
      </c>
      <c r="BM60" s="4">
        <v>0.478947721942058</v>
      </c>
      <c r="BN60" s="4">
        <v>0.534371958908778</v>
      </c>
      <c r="BO60" s="4">
        <v>0.654884681955253</v>
      </c>
      <c r="BP60" s="4">
        <v>0.531330614177209</v>
      </c>
      <c r="BQ60" s="4">
        <v>0.241757549133341</v>
      </c>
      <c r="BR60" s="4">
        <v>0.448309159368149</v>
      </c>
      <c r="BS60" s="4">
        <v>0.399618644836567</v>
      </c>
      <c r="BT60" s="4">
        <v>0.486513486959143</v>
      </c>
      <c r="BU60" s="4">
        <v>0.457308398240552</v>
      </c>
      <c r="BV60" s="4">
        <v>0.258793712785416</v>
      </c>
      <c r="BW60" s="4">
        <v>0.363388417295463</v>
      </c>
      <c r="BX60" s="4">
        <v>0.323871570242987</v>
      </c>
      <c r="BY60" s="4">
        <v>0.421793134958405</v>
      </c>
      <c r="BZ60" s="4">
        <v>0.336147242448662</v>
      </c>
      <c r="CA60" s="4">
        <v>0.386155483332468</v>
      </c>
      <c r="CB60" s="4">
        <v>0.439053825135856</v>
      </c>
      <c r="CC60" s="4">
        <v>0.392771776630378</v>
      </c>
      <c r="CD60" s="4">
        <v>0.310609462157206</v>
      </c>
      <c r="CE60" s="4">
        <v>0.416554699859722</v>
      </c>
      <c r="CF60" s="4">
        <v>0.675728776675385</v>
      </c>
      <c r="CG60" s="4">
        <v>0.428584583897323</v>
      </c>
      <c r="CH60" s="4">
        <v>0.556644575734273</v>
      </c>
      <c r="CI60" s="4">
        <v>0.705377210494737</v>
      </c>
      <c r="CJ60" s="4">
        <v>0.602958748518803</v>
      </c>
      <c r="CK60" s="4">
        <v>0.343638364699269</v>
      </c>
      <c r="CL60" s="4">
        <v>0.416711903391669</v>
      </c>
      <c r="CM60" s="4">
        <v>-0.0585386946009192</v>
      </c>
      <c r="CN60" s="4">
        <v>0.476906304422195</v>
      </c>
      <c r="CO60" s="4">
        <v>0.0984881634383527</v>
      </c>
      <c r="CP60" s="4">
        <v>0.268937820618263</v>
      </c>
      <c r="CQ60" s="4">
        <v>0.149300337627707</v>
      </c>
      <c r="CR60" s="4">
        <v>0.294960806668044</v>
      </c>
      <c r="CS60" s="4">
        <v>0.388610521715201</v>
      </c>
      <c r="CT60" s="4">
        <v>0.441824964028619</v>
      </c>
      <c r="CU60" s="4">
        <v>0.293628887085527</v>
      </c>
      <c r="CV60" s="4">
        <v>0.443192130055919</v>
      </c>
      <c r="CW60" s="4">
        <v>0.422223825201096</v>
      </c>
      <c r="CX60" s="4">
        <v>0.313368967122881</v>
      </c>
      <c r="CY60" s="4">
        <v>0.266815809860045</v>
      </c>
      <c r="CZ60" s="4">
        <v>0.460360922947935</v>
      </c>
      <c r="DA60" s="4">
        <v>0.482275471541074</v>
      </c>
      <c r="DB60" s="4">
        <v>0.407095562942571</v>
      </c>
      <c r="DC60" s="4">
        <v>0.371318861166235</v>
      </c>
      <c r="DD60" s="4">
        <v>0.122850220772219</v>
      </c>
      <c r="DE60" s="4">
        <v>0.566529677816914</v>
      </c>
      <c r="DF60" s="4">
        <v>0.456362745987534</v>
      </c>
      <c r="DG60" s="4">
        <v>0.28579293925711</v>
      </c>
      <c r="DH60" s="4">
        <v>0.494656096777467</v>
      </c>
      <c r="DI60" s="4">
        <v>0.555278796262538</v>
      </c>
      <c r="DJ60" s="4">
        <v>0.539861425912987</v>
      </c>
      <c r="DK60" s="4">
        <v>0.531773431376126</v>
      </c>
      <c r="DL60" s="4">
        <v>0.524721568743736</v>
      </c>
      <c r="DM60" s="4">
        <v>0.588090628761618</v>
      </c>
      <c r="DN60" s="4">
        <v>0.555952880827444</v>
      </c>
      <c r="DO60" s="4">
        <v>0.493137682545479</v>
      </c>
      <c r="DP60" s="4">
        <v>0.571729055921751</v>
      </c>
      <c r="DQ60" s="4">
        <v>0.522274167791947</v>
      </c>
      <c r="DR60" s="4">
        <v>0.577625074382409</v>
      </c>
      <c r="DS60" s="4">
        <v>0.44827688748419</v>
      </c>
      <c r="DT60" s="4">
        <v>0.531223351843191</v>
      </c>
      <c r="DU60" s="4">
        <v>0.530331678962802</v>
      </c>
      <c r="DV60" s="4">
        <v>0.516823867114695</v>
      </c>
      <c r="DW60" s="4">
        <v>0.176864476319676</v>
      </c>
      <c r="DX60" s="4">
        <v>0.415363447877344</v>
      </c>
      <c r="DY60" s="4">
        <v>0.505450706642463</v>
      </c>
    </row>
    <row r="61" ht="14" spans="1:129">
      <c r="A61" s="31" t="s">
        <v>59</v>
      </c>
      <c r="B61" s="2" t="str">
        <v/>
      </c>
      <c r="C61" s="2" t="str">
        <v/>
      </c>
      <c r="D61" s="2" t="str">
        <v/>
      </c>
      <c r="E61" s="2" t="str">
        <v/>
      </c>
      <c r="F61" s="2" t="str">
        <v/>
      </c>
      <c r="G61" s="2" t="str">
        <v/>
      </c>
      <c r="H61" s="2" t="str">
        <v/>
      </c>
      <c r="I61" s="2" t="str">
        <v/>
      </c>
      <c r="J61" s="2" t="str">
        <v/>
      </c>
      <c r="K61" s="2" t="str">
        <v/>
      </c>
      <c r="L61" s="2" t="str">
        <v/>
      </c>
      <c r="M61" s="2" t="str">
        <v/>
      </c>
      <c r="N61" s="2" t="str">
        <v/>
      </c>
      <c r="O61" s="2" t="str">
        <v/>
      </c>
      <c r="P61" s="2" t="str">
        <v/>
      </c>
      <c r="Q61" s="2" t="str">
        <v/>
      </c>
      <c r="R61" s="2" t="str">
        <v/>
      </c>
      <c r="S61" s="2" t="str">
        <v/>
      </c>
      <c r="T61" s="2" t="str">
        <v/>
      </c>
      <c r="U61" s="2" t="str">
        <v/>
      </c>
      <c r="V61" s="2" t="str">
        <v/>
      </c>
      <c r="W61" s="2" t="str">
        <v/>
      </c>
      <c r="X61" s="2" t="str">
        <v/>
      </c>
      <c r="Y61" s="2" t="str">
        <v/>
      </c>
      <c r="Z61" s="2" t="str">
        <v/>
      </c>
      <c r="AA61" s="2" t="str">
        <v/>
      </c>
      <c r="AB61" s="2" t="str">
        <v/>
      </c>
      <c r="AC61" s="2" t="str">
        <v/>
      </c>
      <c r="AD61" s="2" t="str">
        <v/>
      </c>
      <c r="AE61" s="2" t="str">
        <v/>
      </c>
      <c r="AF61" s="2" t="str">
        <v/>
      </c>
      <c r="AG61" s="2" t="str">
        <v/>
      </c>
      <c r="AH61" s="2" t="str">
        <v/>
      </c>
      <c r="AI61" s="2" t="str">
        <v/>
      </c>
      <c r="AJ61" s="2" t="str">
        <v/>
      </c>
      <c r="AK61" s="2" t="str">
        <v/>
      </c>
      <c r="AL61" s="2" t="str">
        <v/>
      </c>
      <c r="AM61" s="2" t="str">
        <v/>
      </c>
      <c r="AN61" s="2" t="str">
        <v/>
      </c>
      <c r="AO61" s="2" t="str">
        <v/>
      </c>
      <c r="AP61" s="2" t="str">
        <v/>
      </c>
      <c r="AQ61" s="2" t="str">
        <v/>
      </c>
      <c r="AR61" s="4" t="str">
        <v/>
      </c>
      <c r="AS61" s="4" t="str">
        <v/>
      </c>
      <c r="AT61" s="4" t="str">
        <v/>
      </c>
      <c r="AU61" s="4" t="str">
        <v/>
      </c>
      <c r="AV61" s="4" t="str">
        <v/>
      </c>
      <c r="AW61" s="4" t="str">
        <v/>
      </c>
      <c r="AX61" s="4" t="str">
        <v/>
      </c>
      <c r="AY61" s="4" t="str">
        <v/>
      </c>
      <c r="AZ61" s="4" t="str">
        <v/>
      </c>
      <c r="BA61" s="4" t="str">
        <v/>
      </c>
      <c r="BB61" s="4" t="str">
        <v/>
      </c>
      <c r="BC61" s="4" t="str">
        <v/>
      </c>
      <c r="BD61" s="4" t="str">
        <v/>
      </c>
      <c r="BE61" s="4" t="str">
        <v/>
      </c>
      <c r="BF61" s="4" t="str">
        <v/>
      </c>
      <c r="BG61" s="4">
        <v>1</v>
      </c>
      <c r="BH61" s="4">
        <v>0.413230688013913</v>
      </c>
      <c r="BI61" s="4">
        <v>0.346662127968013</v>
      </c>
      <c r="BJ61" s="4">
        <v>0.101631776159597</v>
      </c>
      <c r="BK61" s="4">
        <v>0.276461574640958</v>
      </c>
      <c r="BL61" s="4">
        <v>0.221339827444763</v>
      </c>
      <c r="BM61" s="4">
        <v>0.264649046199401</v>
      </c>
      <c r="BN61" s="4">
        <v>0.346258946524813</v>
      </c>
      <c r="BO61" s="4">
        <v>0.496492178834687</v>
      </c>
      <c r="BP61" s="4">
        <v>0.43193611434657</v>
      </c>
      <c r="BQ61" s="4">
        <v>0.282471631095229</v>
      </c>
      <c r="BR61" s="4">
        <v>0.266061669590116</v>
      </c>
      <c r="BS61" s="4">
        <v>0.358217826556255</v>
      </c>
      <c r="BT61" s="4">
        <v>0.21607372655912</v>
      </c>
      <c r="BU61" s="4">
        <v>0.365875725530482</v>
      </c>
      <c r="BV61" s="4">
        <v>0.396392773902303</v>
      </c>
      <c r="BW61" s="4">
        <v>0.0850407308041824</v>
      </c>
      <c r="BX61" s="4">
        <v>0.300016613285668</v>
      </c>
      <c r="BY61" s="4">
        <v>0.28715740388151</v>
      </c>
      <c r="BZ61" s="4">
        <v>0.101282264450776</v>
      </c>
      <c r="CA61" s="4">
        <v>0.19797373840727</v>
      </c>
      <c r="CB61" s="4">
        <v>0.284472077250378</v>
      </c>
      <c r="CC61" s="4">
        <v>0.202832354952629</v>
      </c>
      <c r="CD61" s="4">
        <v>0.283191937459582</v>
      </c>
      <c r="CE61" s="4">
        <v>0.207192379911214</v>
      </c>
      <c r="CF61" s="4">
        <v>0.414697691583979</v>
      </c>
      <c r="CG61" s="4">
        <v>0.30768530678571</v>
      </c>
      <c r="CH61" s="4">
        <v>0.451181571580432</v>
      </c>
      <c r="CI61" s="4">
        <v>0.622522017287517</v>
      </c>
      <c r="CJ61" s="4">
        <v>0.382084693790164</v>
      </c>
      <c r="CK61" s="4">
        <v>0.415673386984434</v>
      </c>
      <c r="CL61" s="4">
        <v>0.284248676988514</v>
      </c>
      <c r="CM61" s="4">
        <v>-0.0201472711754677</v>
      </c>
      <c r="CN61" s="4">
        <v>0.425074551609091</v>
      </c>
      <c r="CO61" s="4">
        <v>0.249460173041417</v>
      </c>
      <c r="CP61" s="4">
        <v>0.204606734915719</v>
      </c>
      <c r="CQ61" s="4">
        <v>0.150095800491134</v>
      </c>
      <c r="CR61" s="4">
        <v>0.202078902171593</v>
      </c>
      <c r="CS61" s="4">
        <v>0.247305477985817</v>
      </c>
      <c r="CT61" s="4">
        <v>0.244268893098775</v>
      </c>
      <c r="CU61" s="4">
        <v>0.164228565690731</v>
      </c>
      <c r="CV61" s="4">
        <v>0.398501256737492</v>
      </c>
      <c r="CW61" s="4">
        <v>0.381602054742798</v>
      </c>
      <c r="CX61" s="4">
        <v>0.137921468820589</v>
      </c>
      <c r="CY61" s="4">
        <v>0.11359889973567</v>
      </c>
      <c r="CZ61" s="4">
        <v>0.477718427876851</v>
      </c>
      <c r="DA61" s="4">
        <v>0.21578990177926</v>
      </c>
      <c r="DB61" s="4">
        <v>0.142138487114129</v>
      </c>
      <c r="DC61" s="4">
        <v>0.222595959927948</v>
      </c>
      <c r="DD61" s="4">
        <v>0.0291597748648373</v>
      </c>
      <c r="DE61" s="4">
        <v>0.425843626017521</v>
      </c>
      <c r="DF61" s="4">
        <v>0.251655092389609</v>
      </c>
      <c r="DG61" s="4">
        <v>0.192594430953078</v>
      </c>
      <c r="DH61" s="4">
        <v>0.313303430455819</v>
      </c>
      <c r="DI61" s="4">
        <v>0.277837399122832</v>
      </c>
      <c r="DJ61" s="4">
        <v>0.231287938989123</v>
      </c>
      <c r="DK61" s="4">
        <v>0.216191677627495</v>
      </c>
      <c r="DL61" s="4">
        <v>0.345292918216523</v>
      </c>
      <c r="DM61" s="4">
        <v>0.297306031503074</v>
      </c>
      <c r="DN61" s="4">
        <v>0.331983836981126</v>
      </c>
      <c r="DO61" s="4">
        <v>0.256249015432019</v>
      </c>
      <c r="DP61" s="4">
        <v>0.298428743378362</v>
      </c>
      <c r="DQ61" s="4">
        <v>0.298741034769311</v>
      </c>
      <c r="DR61" s="4">
        <v>0.282756958071259</v>
      </c>
      <c r="DS61" s="4">
        <v>0.112656947941251</v>
      </c>
      <c r="DT61" s="4">
        <v>0.271836462610756</v>
      </c>
      <c r="DU61" s="4">
        <v>0.290889478604013</v>
      </c>
      <c r="DV61" s="4">
        <v>0.331199780894308</v>
      </c>
      <c r="DW61" s="4">
        <v>0.338792366383132</v>
      </c>
      <c r="DX61" s="4">
        <v>0.488023434823576</v>
      </c>
      <c r="DY61" s="4">
        <v>0.270357399979356</v>
      </c>
    </row>
    <row r="62" ht="14" spans="1:129">
      <c r="A62" s="31" t="s">
        <v>60</v>
      </c>
      <c r="B62" s="2" t="str">
        <v/>
      </c>
      <c r="C62" s="2" t="str">
        <v/>
      </c>
      <c r="D62" s="2" t="str">
        <v/>
      </c>
      <c r="E62" s="2" t="str">
        <v/>
      </c>
      <c r="F62" s="2" t="str">
        <v/>
      </c>
      <c r="G62" s="2" t="str">
        <v/>
      </c>
      <c r="H62" s="2" t="str">
        <v/>
      </c>
      <c r="I62" s="2" t="str">
        <v/>
      </c>
      <c r="J62" s="2" t="str">
        <v/>
      </c>
      <c r="K62" s="2" t="str">
        <v/>
      </c>
      <c r="L62" s="2" t="str">
        <v/>
      </c>
      <c r="M62" s="2" t="str">
        <v/>
      </c>
      <c r="N62" s="2" t="str">
        <v/>
      </c>
      <c r="O62" s="2" t="str">
        <v/>
      </c>
      <c r="P62" s="2" t="str">
        <v/>
      </c>
      <c r="Q62" s="2" t="str">
        <v/>
      </c>
      <c r="R62" s="2" t="str">
        <v/>
      </c>
      <c r="S62" s="2" t="str">
        <v/>
      </c>
      <c r="T62" s="2" t="str">
        <v/>
      </c>
      <c r="U62" s="2" t="str">
        <v/>
      </c>
      <c r="V62" s="2" t="str">
        <v/>
      </c>
      <c r="W62" s="2" t="str">
        <v/>
      </c>
      <c r="X62" s="2" t="str">
        <v/>
      </c>
      <c r="Y62" s="2" t="str">
        <v/>
      </c>
      <c r="Z62" s="2" t="str">
        <v/>
      </c>
      <c r="AA62" s="2" t="str">
        <v/>
      </c>
      <c r="AB62" s="2" t="str">
        <v/>
      </c>
      <c r="AC62" s="2" t="str">
        <v/>
      </c>
      <c r="AD62" s="2" t="str">
        <v/>
      </c>
      <c r="AE62" s="2" t="str">
        <v/>
      </c>
      <c r="AF62" s="2" t="str">
        <v/>
      </c>
      <c r="AG62" s="2" t="str">
        <v/>
      </c>
      <c r="AH62" s="2" t="str">
        <v/>
      </c>
      <c r="AI62" s="2" t="str">
        <v/>
      </c>
      <c r="AJ62" s="2" t="str">
        <v/>
      </c>
      <c r="AK62" s="2" t="str">
        <v/>
      </c>
      <c r="AL62" s="2" t="str">
        <v/>
      </c>
      <c r="AM62" s="2" t="str">
        <v/>
      </c>
      <c r="AN62" s="2" t="str">
        <v/>
      </c>
      <c r="AO62" s="2" t="str">
        <v/>
      </c>
      <c r="AP62" s="2" t="str">
        <v/>
      </c>
      <c r="AQ62" s="2" t="str">
        <v/>
      </c>
      <c r="AR62" s="4" t="str">
        <v/>
      </c>
      <c r="AS62" s="4" t="str">
        <v/>
      </c>
      <c r="AT62" s="4" t="str">
        <v/>
      </c>
      <c r="AU62" s="4" t="str">
        <v/>
      </c>
      <c r="AV62" s="4" t="str">
        <v/>
      </c>
      <c r="AW62" s="4" t="str">
        <v/>
      </c>
      <c r="AX62" s="4" t="str">
        <v/>
      </c>
      <c r="AY62" s="4" t="str">
        <v/>
      </c>
      <c r="AZ62" s="4" t="str">
        <v/>
      </c>
      <c r="BA62" s="4" t="str">
        <v/>
      </c>
      <c r="BB62" s="4" t="str">
        <v/>
      </c>
      <c r="BC62" s="4" t="str">
        <v/>
      </c>
      <c r="BD62" s="4" t="str">
        <v/>
      </c>
      <c r="BE62" s="4" t="str">
        <v/>
      </c>
      <c r="BF62" s="4" t="str">
        <v/>
      </c>
      <c r="BG62" s="4" t="str">
        <v/>
      </c>
      <c r="BH62" s="4">
        <v>1</v>
      </c>
      <c r="BI62" s="4">
        <v>0.601507969485053</v>
      </c>
      <c r="BJ62" s="4">
        <v>0.367301821231645</v>
      </c>
      <c r="BK62" s="4">
        <v>0.17373733246992</v>
      </c>
      <c r="BL62" s="4">
        <v>0.215918112399733</v>
      </c>
      <c r="BM62" s="4">
        <v>0.368943659646408</v>
      </c>
      <c r="BN62" s="4">
        <v>0.374904669401805</v>
      </c>
      <c r="BO62" s="4">
        <v>0.475625899817578</v>
      </c>
      <c r="BP62" s="4">
        <v>0.371761815997052</v>
      </c>
      <c r="BQ62" s="4">
        <v>0.14967552211884</v>
      </c>
      <c r="BR62" s="4">
        <v>0.394393142274142</v>
      </c>
      <c r="BS62" s="4">
        <v>0.302346482866075</v>
      </c>
      <c r="BT62" s="4">
        <v>0.35413604894214</v>
      </c>
      <c r="BU62" s="4">
        <v>0.27851438974344</v>
      </c>
      <c r="BV62" s="4">
        <v>0.249775437233467</v>
      </c>
      <c r="BW62" s="4">
        <v>0.226198552254491</v>
      </c>
      <c r="BX62" s="4">
        <v>0.360844016626087</v>
      </c>
      <c r="BY62" s="4">
        <v>0.342162916774583</v>
      </c>
      <c r="BZ62" s="4">
        <v>0.185870598624355</v>
      </c>
      <c r="CA62" s="4">
        <v>0.0632897185228965</v>
      </c>
      <c r="CB62" s="4">
        <v>0.222313914494009</v>
      </c>
      <c r="CC62" s="4">
        <v>0.307383869017856</v>
      </c>
      <c r="CD62" s="4">
        <v>0.156771388527762</v>
      </c>
      <c r="CE62" s="4">
        <v>0.262937396131318</v>
      </c>
      <c r="CF62" s="4">
        <v>0.440429362134562</v>
      </c>
      <c r="CG62" s="4">
        <v>0.352221669412317</v>
      </c>
      <c r="CH62" s="4">
        <v>0.316995778204927</v>
      </c>
      <c r="CI62" s="4">
        <v>0.573662540448598</v>
      </c>
      <c r="CJ62" s="4">
        <v>0.312893095370432</v>
      </c>
      <c r="CK62" s="4">
        <v>0.199130656574217</v>
      </c>
      <c r="CL62" s="4">
        <v>0.309635746433374</v>
      </c>
      <c r="CM62" s="4">
        <v>-0.0871543500076747</v>
      </c>
      <c r="CN62" s="4">
        <v>0.30550861447817</v>
      </c>
      <c r="CO62" s="4">
        <v>0.187527235901935</v>
      </c>
      <c r="CP62" s="4">
        <v>0.251864275623206</v>
      </c>
      <c r="CQ62" s="4">
        <v>0.234848140071281</v>
      </c>
      <c r="CR62" s="4">
        <v>0.202890144133756</v>
      </c>
      <c r="CS62" s="4">
        <v>0.275227203974169</v>
      </c>
      <c r="CT62" s="4">
        <v>0.332345023884998</v>
      </c>
      <c r="CU62" s="4">
        <v>0.214685676150641</v>
      </c>
      <c r="CV62" s="4">
        <v>0.209142174711234</v>
      </c>
      <c r="CW62" s="4">
        <v>0.32493216641666</v>
      </c>
      <c r="CX62" s="4">
        <v>0.239566002435289</v>
      </c>
      <c r="CY62" s="4">
        <v>0.0847435622000487</v>
      </c>
      <c r="CZ62" s="4">
        <v>0.491767842508168</v>
      </c>
      <c r="DA62" s="4">
        <v>0.135598530694998</v>
      </c>
      <c r="DB62" s="4">
        <v>0.457954859037037</v>
      </c>
      <c r="DC62" s="4">
        <v>0.264880188049969</v>
      </c>
      <c r="DD62" s="4">
        <v>0.0243944239558582</v>
      </c>
      <c r="DE62" s="4">
        <v>0.377532215998701</v>
      </c>
      <c r="DF62" s="4">
        <v>0.271400514261485</v>
      </c>
      <c r="DG62" s="4">
        <v>0.471228049997274</v>
      </c>
      <c r="DH62" s="4">
        <v>0.453624278039004</v>
      </c>
      <c r="DI62" s="4">
        <v>0.442031983677845</v>
      </c>
      <c r="DJ62" s="4">
        <v>0.433689245512439</v>
      </c>
      <c r="DK62" s="4">
        <v>0.400866958436319</v>
      </c>
      <c r="DL62" s="4">
        <v>0.482365107040981</v>
      </c>
      <c r="DM62" s="4">
        <v>0.447469716070729</v>
      </c>
      <c r="DN62" s="4">
        <v>0.505072472722987</v>
      </c>
      <c r="DO62" s="4">
        <v>0.436796761630466</v>
      </c>
      <c r="DP62" s="4">
        <v>0.476110650541293</v>
      </c>
      <c r="DQ62" s="4">
        <v>0.492163228307312</v>
      </c>
      <c r="DR62" s="4">
        <v>0.516157315067134</v>
      </c>
      <c r="DS62" s="4">
        <v>0.342916174320077</v>
      </c>
      <c r="DT62" s="4">
        <v>0.480427046004722</v>
      </c>
      <c r="DU62" s="4">
        <v>0.406000804157966</v>
      </c>
      <c r="DV62" s="4">
        <v>0.487881184102785</v>
      </c>
      <c r="DW62" s="4">
        <v>0.246574226026721</v>
      </c>
      <c r="DX62" s="4">
        <v>0.316594229183357</v>
      </c>
      <c r="DY62" s="4">
        <v>0.426728660469639</v>
      </c>
    </row>
    <row r="63" ht="14" spans="1:129">
      <c r="A63" s="31" t="s">
        <v>61</v>
      </c>
      <c r="B63" s="2" t="str">
        <v/>
      </c>
      <c r="C63" s="2" t="str">
        <v/>
      </c>
      <c r="D63" s="2" t="str">
        <v/>
      </c>
      <c r="E63" s="2" t="str">
        <v/>
      </c>
      <c r="F63" s="2" t="str">
        <v/>
      </c>
      <c r="G63" s="2" t="str">
        <v/>
      </c>
      <c r="H63" s="2" t="str">
        <v/>
      </c>
      <c r="I63" s="2" t="str">
        <v/>
      </c>
      <c r="J63" s="2" t="str">
        <v/>
      </c>
      <c r="K63" s="2" t="str">
        <v/>
      </c>
      <c r="L63" s="2" t="str">
        <v/>
      </c>
      <c r="M63" s="2" t="str">
        <v/>
      </c>
      <c r="N63" s="2" t="str">
        <v/>
      </c>
      <c r="O63" s="2" t="str">
        <v/>
      </c>
      <c r="P63" s="2" t="str">
        <v/>
      </c>
      <c r="Q63" s="2" t="str">
        <v/>
      </c>
      <c r="R63" s="2" t="str">
        <v/>
      </c>
      <c r="S63" s="2" t="str">
        <v/>
      </c>
      <c r="T63" s="2" t="str">
        <v/>
      </c>
      <c r="U63" s="2" t="str">
        <v/>
      </c>
      <c r="V63" s="2" t="str">
        <v/>
      </c>
      <c r="W63" s="2" t="str">
        <v/>
      </c>
      <c r="X63" s="2" t="str">
        <v/>
      </c>
      <c r="Y63" s="2" t="str">
        <v/>
      </c>
      <c r="Z63" s="2" t="str">
        <v/>
      </c>
      <c r="AA63" s="2" t="str">
        <v/>
      </c>
      <c r="AB63" s="2" t="str">
        <v/>
      </c>
      <c r="AC63" s="2" t="str">
        <v/>
      </c>
      <c r="AD63" s="2" t="str">
        <v/>
      </c>
      <c r="AE63" s="2" t="str">
        <v/>
      </c>
      <c r="AF63" s="2" t="str">
        <v/>
      </c>
      <c r="AG63" s="2" t="str">
        <v/>
      </c>
      <c r="AH63" s="2" t="str">
        <v/>
      </c>
      <c r="AI63" s="2" t="str">
        <v/>
      </c>
      <c r="AJ63" s="2" t="str">
        <v/>
      </c>
      <c r="AK63" s="2" t="str">
        <v/>
      </c>
      <c r="AL63" s="2" t="str">
        <v/>
      </c>
      <c r="AM63" s="2" t="str">
        <v/>
      </c>
      <c r="AN63" s="2" t="str">
        <v/>
      </c>
      <c r="AO63" s="2" t="str">
        <v/>
      </c>
      <c r="AP63" s="2" t="str">
        <v/>
      </c>
      <c r="AQ63" s="2" t="str">
        <v/>
      </c>
      <c r="AR63" s="4" t="str">
        <v/>
      </c>
      <c r="AS63" s="4" t="str">
        <v/>
      </c>
      <c r="AT63" s="4" t="str">
        <v/>
      </c>
      <c r="AU63" s="4" t="str">
        <v/>
      </c>
      <c r="AV63" s="4" t="str">
        <v/>
      </c>
      <c r="AW63" s="4" t="str">
        <v/>
      </c>
      <c r="AX63" s="4" t="str">
        <v/>
      </c>
      <c r="AY63" s="4" t="str">
        <v/>
      </c>
      <c r="AZ63" s="4" t="str">
        <v/>
      </c>
      <c r="BA63" s="4" t="str">
        <v/>
      </c>
      <c r="BB63" s="4" t="str">
        <v/>
      </c>
      <c r="BC63" s="4" t="str">
        <v/>
      </c>
      <c r="BD63" s="4" t="str">
        <v/>
      </c>
      <c r="BE63" s="4" t="str">
        <v/>
      </c>
      <c r="BF63" s="4" t="str">
        <v/>
      </c>
      <c r="BG63" s="4" t="str">
        <v/>
      </c>
      <c r="BH63" s="4" t="str">
        <v/>
      </c>
      <c r="BI63" s="4">
        <v>1</v>
      </c>
      <c r="BJ63" s="4">
        <v>0.262924737254784</v>
      </c>
      <c r="BK63" s="4">
        <v>0.208482553227204</v>
      </c>
      <c r="BL63" s="4">
        <v>0.24913449608866</v>
      </c>
      <c r="BM63" s="4">
        <v>0.54666870550344</v>
      </c>
      <c r="BN63" s="4">
        <v>0.294810621598086</v>
      </c>
      <c r="BO63" s="4">
        <v>0.282996845057047</v>
      </c>
      <c r="BP63" s="4">
        <v>0.232946590279963</v>
      </c>
      <c r="BQ63" s="4">
        <v>0.215147468842613</v>
      </c>
      <c r="BR63" s="4">
        <v>0.349722869824785</v>
      </c>
      <c r="BS63" s="4">
        <v>0.238889729643806</v>
      </c>
      <c r="BT63" s="4">
        <v>0.440613470885989</v>
      </c>
      <c r="BU63" s="4">
        <v>0.34537795979502</v>
      </c>
      <c r="BV63" s="4">
        <v>0.243814406478995</v>
      </c>
      <c r="BW63" s="4">
        <v>0.373007805213007</v>
      </c>
      <c r="BX63" s="4">
        <v>0.319505570418624</v>
      </c>
      <c r="BY63" s="4">
        <v>0.424431019022607</v>
      </c>
      <c r="BZ63" s="4">
        <v>0.0682960102400163</v>
      </c>
      <c r="CA63" s="4">
        <v>0.0443027570611266</v>
      </c>
      <c r="CB63" s="4">
        <v>0.142445580548161</v>
      </c>
      <c r="CC63" s="4">
        <v>0.2095401708683</v>
      </c>
      <c r="CD63" s="4">
        <v>-0.01503449575856</v>
      </c>
      <c r="CE63" s="4">
        <v>0.120334826951387</v>
      </c>
      <c r="CF63" s="4">
        <v>0.348308082459652</v>
      </c>
      <c r="CG63" s="4">
        <v>0.361039096156537</v>
      </c>
      <c r="CH63" s="4">
        <v>0.0958809428871687</v>
      </c>
      <c r="CI63" s="4">
        <v>0.462123891360372</v>
      </c>
      <c r="CJ63" s="4">
        <v>0.222936580144922</v>
      </c>
      <c r="CK63" s="4">
        <v>0.0267397363621377</v>
      </c>
      <c r="CL63" s="4">
        <v>0.4119375959521</v>
      </c>
      <c r="CM63" s="4">
        <v>-0.130278539039367</v>
      </c>
      <c r="CN63" s="4">
        <v>0.0945466911242732</v>
      </c>
      <c r="CO63" s="4">
        <v>0.188050257135967</v>
      </c>
      <c r="CP63" s="4">
        <v>0.261194090909069</v>
      </c>
      <c r="CQ63" s="4">
        <v>0.219608755141076</v>
      </c>
      <c r="CR63" s="4">
        <v>0.0365596817661459</v>
      </c>
      <c r="CS63" s="4">
        <v>0.230641965122319</v>
      </c>
      <c r="CT63" s="4">
        <v>0.449493600748828</v>
      </c>
      <c r="CU63" s="4">
        <v>0.0522758810932413</v>
      </c>
      <c r="CV63" s="4">
        <v>0.0478388397470566</v>
      </c>
      <c r="CW63" s="4">
        <v>0.229079406031003</v>
      </c>
      <c r="CX63" s="4">
        <v>0.150190781071919</v>
      </c>
      <c r="CY63" s="4">
        <v>0.12577569141513</v>
      </c>
      <c r="CZ63" s="4">
        <v>0.573599419542008</v>
      </c>
      <c r="DA63" s="4">
        <v>0.180759444767618</v>
      </c>
      <c r="DB63" s="4">
        <v>0.251404131233533</v>
      </c>
      <c r="DC63" s="4">
        <v>0.187712020451979</v>
      </c>
      <c r="DD63" s="4">
        <v>0.220968530523271</v>
      </c>
      <c r="DE63" s="4">
        <v>0.219424268632313</v>
      </c>
      <c r="DF63" s="4">
        <v>0.105167745173718</v>
      </c>
      <c r="DG63" s="4">
        <v>0.50798668271895</v>
      </c>
      <c r="DH63" s="4">
        <v>0.294477068699584</v>
      </c>
      <c r="DI63" s="4">
        <v>0.408899423970511</v>
      </c>
      <c r="DJ63" s="4">
        <v>0.409455321003941</v>
      </c>
      <c r="DK63" s="4">
        <v>0.428096976082695</v>
      </c>
      <c r="DL63" s="4">
        <v>0.461693363436531</v>
      </c>
      <c r="DM63" s="4">
        <v>0.439845359828194</v>
      </c>
      <c r="DN63" s="4">
        <v>0.453036693973519</v>
      </c>
      <c r="DO63" s="4">
        <v>0.559167730948241</v>
      </c>
      <c r="DP63" s="4">
        <v>0.485278560707708</v>
      </c>
      <c r="DQ63" s="4">
        <v>0.546439709320126</v>
      </c>
      <c r="DR63" s="4">
        <v>0.445167149102502</v>
      </c>
      <c r="DS63" s="4">
        <v>0.370565747047778</v>
      </c>
      <c r="DT63" s="4">
        <v>0.440324788737747</v>
      </c>
      <c r="DU63" s="4">
        <v>0.450257813424908</v>
      </c>
      <c r="DV63" s="4">
        <v>0.592768739492151</v>
      </c>
      <c r="DW63" s="4">
        <v>0.329996005439818</v>
      </c>
      <c r="DX63" s="4">
        <v>0.100608935380626</v>
      </c>
      <c r="DY63" s="4">
        <v>0.376473311828021</v>
      </c>
    </row>
    <row r="64" ht="14" spans="1:129">
      <c r="A64" s="31" t="s">
        <v>62</v>
      </c>
      <c r="B64" s="2" t="str">
        <v/>
      </c>
      <c r="C64" s="2" t="str">
        <v/>
      </c>
      <c r="D64" s="2" t="str">
        <v/>
      </c>
      <c r="E64" s="2" t="str">
        <v/>
      </c>
      <c r="F64" s="2" t="str">
        <v/>
      </c>
      <c r="G64" s="2" t="str">
        <v/>
      </c>
      <c r="H64" s="2" t="str">
        <v/>
      </c>
      <c r="I64" s="2" t="str">
        <v/>
      </c>
      <c r="J64" s="2" t="str">
        <v/>
      </c>
      <c r="K64" s="2" t="str">
        <v/>
      </c>
      <c r="L64" s="2" t="str">
        <v/>
      </c>
      <c r="M64" s="2" t="str">
        <v/>
      </c>
      <c r="N64" s="2" t="str">
        <v/>
      </c>
      <c r="O64" s="2" t="str">
        <v/>
      </c>
      <c r="P64" s="2" t="str">
        <v/>
      </c>
      <c r="Q64" s="2" t="str">
        <v/>
      </c>
      <c r="R64" s="2" t="str">
        <v/>
      </c>
      <c r="S64" s="2" t="str">
        <v/>
      </c>
      <c r="T64" s="2" t="str">
        <v/>
      </c>
      <c r="U64" s="2" t="str">
        <v/>
      </c>
      <c r="V64" s="2" t="str">
        <v/>
      </c>
      <c r="W64" s="2" t="str">
        <v/>
      </c>
      <c r="X64" s="2" t="str">
        <v/>
      </c>
      <c r="Y64" s="2" t="str">
        <v/>
      </c>
      <c r="Z64" s="2" t="str">
        <v/>
      </c>
      <c r="AA64" s="2" t="str">
        <v/>
      </c>
      <c r="AB64" s="2" t="str">
        <v/>
      </c>
      <c r="AC64" s="2" t="str">
        <v/>
      </c>
      <c r="AD64" s="2" t="str">
        <v/>
      </c>
      <c r="AE64" s="2" t="str">
        <v/>
      </c>
      <c r="AF64" s="2" t="str">
        <v/>
      </c>
      <c r="AG64" s="2" t="str">
        <v/>
      </c>
      <c r="AH64" s="2" t="str">
        <v/>
      </c>
      <c r="AI64" s="2" t="str">
        <v/>
      </c>
      <c r="AJ64" s="2" t="str">
        <v/>
      </c>
      <c r="AK64" s="2" t="str">
        <v/>
      </c>
      <c r="AL64" s="2" t="str">
        <v/>
      </c>
      <c r="AM64" s="2" t="str">
        <v/>
      </c>
      <c r="AN64" s="2" t="str">
        <v/>
      </c>
      <c r="AO64" s="2" t="str">
        <v/>
      </c>
      <c r="AP64" s="2" t="str">
        <v/>
      </c>
      <c r="AQ64" s="2" t="str">
        <v/>
      </c>
      <c r="AR64" s="4" t="str">
        <v/>
      </c>
      <c r="AS64" s="4" t="str">
        <v/>
      </c>
      <c r="AT64" s="4" t="str">
        <v/>
      </c>
      <c r="AU64" s="4" t="str">
        <v/>
      </c>
      <c r="AV64" s="4" t="str">
        <v/>
      </c>
      <c r="AW64" s="4" t="str">
        <v/>
      </c>
      <c r="AX64" s="4" t="str">
        <v/>
      </c>
      <c r="AY64" s="4" t="str">
        <v/>
      </c>
      <c r="AZ64" s="4" t="str">
        <v/>
      </c>
      <c r="BA64" s="4" t="str">
        <v/>
      </c>
      <c r="BB64" s="4" t="str">
        <v/>
      </c>
      <c r="BC64" s="4" t="str">
        <v/>
      </c>
      <c r="BD64" s="4" t="str">
        <v/>
      </c>
      <c r="BE64" s="4" t="str">
        <v/>
      </c>
      <c r="BF64" s="4" t="str">
        <v/>
      </c>
      <c r="BG64" s="4" t="str">
        <v/>
      </c>
      <c r="BH64" s="4" t="str">
        <v/>
      </c>
      <c r="BI64" s="4" t="str">
        <v/>
      </c>
      <c r="BJ64" s="4">
        <v>1</v>
      </c>
      <c r="BK64" s="4">
        <v>0.378733562601041</v>
      </c>
      <c r="BL64" s="4">
        <v>0.371440880474396</v>
      </c>
      <c r="BM64" s="4">
        <v>0.432409038273394</v>
      </c>
      <c r="BN64" s="4">
        <v>0.332263718492462</v>
      </c>
      <c r="BO64" s="4">
        <v>0.457601688088475</v>
      </c>
      <c r="BP64" s="4">
        <v>0.40513006737552</v>
      </c>
      <c r="BQ64" s="4">
        <v>0.148366420832209</v>
      </c>
      <c r="BR64" s="4">
        <v>0.263159680909462</v>
      </c>
      <c r="BS64" s="4">
        <v>0.45807563051241</v>
      </c>
      <c r="BT64" s="4">
        <v>0.566357528974762</v>
      </c>
      <c r="BU64" s="4">
        <v>0.372382251974529</v>
      </c>
      <c r="BV64" s="4">
        <v>0.0465495896458483</v>
      </c>
      <c r="BW64" s="4">
        <v>0.476270615832624</v>
      </c>
      <c r="BX64" s="4">
        <v>0.321729318136235</v>
      </c>
      <c r="BY64" s="4">
        <v>0.3767672320373</v>
      </c>
      <c r="BZ64" s="4">
        <v>0.189424574809579</v>
      </c>
      <c r="CA64" s="4">
        <v>0.34257189751214</v>
      </c>
      <c r="CB64" s="4">
        <v>0.204050401861165</v>
      </c>
      <c r="CC64" s="4">
        <v>0.316581775871834</v>
      </c>
      <c r="CD64" s="4">
        <v>0.119812308259449</v>
      </c>
      <c r="CE64" s="4">
        <v>0.387414462989736</v>
      </c>
      <c r="CF64" s="4">
        <v>0.482105557919557</v>
      </c>
      <c r="CG64" s="4">
        <v>0.326536396163943</v>
      </c>
      <c r="CH64" s="4">
        <v>0.286994140044869</v>
      </c>
      <c r="CI64" s="4">
        <v>0.615411160449262</v>
      </c>
      <c r="CJ64" s="4">
        <v>0.150988891603629</v>
      </c>
      <c r="CK64" s="4">
        <v>0.370193185967691</v>
      </c>
      <c r="CL64" s="4">
        <v>0.474478618373199</v>
      </c>
      <c r="CM64" s="4">
        <v>-0.104077603340494</v>
      </c>
      <c r="CN64" s="4">
        <v>0.233535228328257</v>
      </c>
      <c r="CO64" s="4">
        <v>0.034156490554363</v>
      </c>
      <c r="CP64" s="4">
        <v>0.000356257239460375</v>
      </c>
      <c r="CQ64" s="4">
        <v>-0.0343916363006566</v>
      </c>
      <c r="CR64" s="4">
        <v>0.203786878714777</v>
      </c>
      <c r="CS64" s="4">
        <v>0.225893920745962</v>
      </c>
      <c r="CT64" s="4">
        <v>0.548814342210084</v>
      </c>
      <c r="CU64" s="4">
        <v>0.3170280932659</v>
      </c>
      <c r="CV64" s="4">
        <v>0.26154431830977</v>
      </c>
      <c r="CW64" s="4">
        <v>0.479999347577064</v>
      </c>
      <c r="CX64" s="4">
        <v>0.266692923352391</v>
      </c>
      <c r="CY64" s="4">
        <v>0.139790881826633</v>
      </c>
      <c r="CZ64" s="4">
        <v>0.292970481482769</v>
      </c>
      <c r="DA64" s="4">
        <v>0.330817577881291</v>
      </c>
      <c r="DB64" s="4">
        <v>0.361543705628859</v>
      </c>
      <c r="DC64" s="4">
        <v>0.487042970349764</v>
      </c>
      <c r="DD64" s="4">
        <v>0.199525152842225</v>
      </c>
      <c r="DE64" s="4">
        <v>0.382016785178542</v>
      </c>
      <c r="DF64" s="4">
        <v>0.348322471558162</v>
      </c>
      <c r="DG64" s="4">
        <v>0.319587403761995</v>
      </c>
      <c r="DH64" s="4">
        <v>0.555368113537172</v>
      </c>
      <c r="DI64" s="4">
        <v>0.57937751802921</v>
      </c>
      <c r="DJ64" s="4">
        <v>0.562471406010945</v>
      </c>
      <c r="DK64" s="4">
        <v>0.519558320027467</v>
      </c>
      <c r="DL64" s="4">
        <v>0.569970477107453</v>
      </c>
      <c r="DM64" s="4">
        <v>0.630303697765175</v>
      </c>
      <c r="DN64" s="4">
        <v>0.53941264105673</v>
      </c>
      <c r="DO64" s="4">
        <v>0.55085870482838</v>
      </c>
      <c r="DP64" s="4">
        <v>0.595972245355218</v>
      </c>
      <c r="DQ64" s="4">
        <v>0.565630546590317</v>
      </c>
      <c r="DR64" s="4">
        <v>0.697743828531936</v>
      </c>
      <c r="DS64" s="4">
        <v>0.393238928365769</v>
      </c>
      <c r="DT64" s="4">
        <v>0.591657671300779</v>
      </c>
      <c r="DU64" s="4">
        <v>0.596281003484995</v>
      </c>
      <c r="DV64" s="4">
        <v>0.508578135030463</v>
      </c>
      <c r="DW64" s="4">
        <v>0.351477672871687</v>
      </c>
      <c r="DX64" s="4">
        <v>0.245751324936084</v>
      </c>
      <c r="DY64" s="4">
        <v>0.712725938684269</v>
      </c>
    </row>
    <row r="65" ht="14" spans="1:129">
      <c r="A65" s="31" t="s">
        <v>63</v>
      </c>
      <c r="B65" s="2" t="str">
        <v/>
      </c>
      <c r="C65" s="2" t="str">
        <v/>
      </c>
      <c r="D65" s="2" t="str">
        <v/>
      </c>
      <c r="E65" s="2" t="str">
        <v/>
      </c>
      <c r="F65" s="2" t="str">
        <v/>
      </c>
      <c r="G65" s="2" t="str">
        <v/>
      </c>
      <c r="H65" s="2" t="str">
        <v/>
      </c>
      <c r="I65" s="2" t="str">
        <v/>
      </c>
      <c r="J65" s="2" t="str">
        <v/>
      </c>
      <c r="K65" s="2" t="str">
        <v/>
      </c>
      <c r="L65" s="2" t="str">
        <v/>
      </c>
      <c r="M65" s="2" t="str">
        <v/>
      </c>
      <c r="N65" s="2" t="str">
        <v/>
      </c>
      <c r="O65" s="2" t="str">
        <v/>
      </c>
      <c r="P65" s="2" t="str">
        <v/>
      </c>
      <c r="Q65" s="2" t="str">
        <v/>
      </c>
      <c r="R65" s="2" t="str">
        <v/>
      </c>
      <c r="S65" s="2" t="str">
        <v/>
      </c>
      <c r="T65" s="2" t="str">
        <v/>
      </c>
      <c r="U65" s="2" t="str">
        <v/>
      </c>
      <c r="V65" s="2" t="str">
        <v/>
      </c>
      <c r="W65" s="2" t="str">
        <v/>
      </c>
      <c r="X65" s="2" t="str">
        <v/>
      </c>
      <c r="Y65" s="2" t="str">
        <v/>
      </c>
      <c r="Z65" s="2" t="str">
        <v/>
      </c>
      <c r="AA65" s="2" t="str">
        <v/>
      </c>
      <c r="AB65" s="2" t="str">
        <v/>
      </c>
      <c r="AC65" s="2" t="str">
        <v/>
      </c>
      <c r="AD65" s="2" t="str">
        <v/>
      </c>
      <c r="AE65" s="2" t="str">
        <v/>
      </c>
      <c r="AF65" s="2" t="str">
        <v/>
      </c>
      <c r="AG65" s="2" t="str">
        <v/>
      </c>
      <c r="AH65" s="2" t="str">
        <v/>
      </c>
      <c r="AI65" s="2" t="str">
        <v/>
      </c>
      <c r="AJ65" s="2" t="str">
        <v/>
      </c>
      <c r="AK65" s="2" t="str">
        <v/>
      </c>
      <c r="AL65" s="2" t="str">
        <v/>
      </c>
      <c r="AM65" s="2" t="str">
        <v/>
      </c>
      <c r="AN65" s="2" t="str">
        <v/>
      </c>
      <c r="AO65" s="2" t="str">
        <v/>
      </c>
      <c r="AP65" s="2" t="str">
        <v/>
      </c>
      <c r="AQ65" s="2" t="str">
        <v/>
      </c>
      <c r="AR65" s="4" t="str">
        <v/>
      </c>
      <c r="AS65" s="4" t="str">
        <v/>
      </c>
      <c r="AT65" s="4" t="str">
        <v/>
      </c>
      <c r="AU65" s="4" t="str">
        <v/>
      </c>
      <c r="AV65" s="4" t="str">
        <v/>
      </c>
      <c r="AW65" s="4" t="str">
        <v/>
      </c>
      <c r="AX65" s="4" t="str">
        <v/>
      </c>
      <c r="AY65" s="4" t="str">
        <v/>
      </c>
      <c r="AZ65" s="4" t="str">
        <v/>
      </c>
      <c r="BA65" s="4" t="str">
        <v/>
      </c>
      <c r="BB65" s="4" t="str">
        <v/>
      </c>
      <c r="BC65" s="4" t="str">
        <v/>
      </c>
      <c r="BD65" s="4" t="str">
        <v/>
      </c>
      <c r="BE65" s="4" t="str">
        <v/>
      </c>
      <c r="BF65" s="4" t="str">
        <v/>
      </c>
      <c r="BG65" s="4" t="str">
        <v/>
      </c>
      <c r="BH65" s="4" t="str">
        <v/>
      </c>
      <c r="BI65" s="4" t="str">
        <v/>
      </c>
      <c r="BJ65" s="4" t="str">
        <v/>
      </c>
      <c r="BK65" s="4">
        <v>1</v>
      </c>
      <c r="BL65" s="4">
        <v>0.59154830414648</v>
      </c>
      <c r="BM65" s="4">
        <v>0.62874331039038</v>
      </c>
      <c r="BN65" s="4">
        <v>0.198461584479989</v>
      </c>
      <c r="BO65" s="4">
        <v>0.554214212193338</v>
      </c>
      <c r="BP65" s="4">
        <v>0.238309977805393</v>
      </c>
      <c r="BQ65" s="4">
        <v>0.397068617267033</v>
      </c>
      <c r="BR65" s="4">
        <v>0.392104943957535</v>
      </c>
      <c r="BS65" s="4">
        <v>0.34566358306194</v>
      </c>
      <c r="BT65" s="4">
        <v>0.472302854937007</v>
      </c>
      <c r="BU65" s="4">
        <v>0.768621446764708</v>
      </c>
      <c r="BV65" s="4">
        <v>0.0248055021879256</v>
      </c>
      <c r="BW65" s="4">
        <v>0.37297029788186</v>
      </c>
      <c r="BX65" s="4">
        <v>0.269247336597963</v>
      </c>
      <c r="BY65" s="4">
        <v>0.271093121008065</v>
      </c>
      <c r="BZ65" s="4">
        <v>0.463205126063176</v>
      </c>
      <c r="CA65" s="4">
        <v>0.693385238381917</v>
      </c>
      <c r="CB65" s="4">
        <v>0.61663274303186</v>
      </c>
      <c r="CC65" s="4">
        <v>0.223766866352809</v>
      </c>
      <c r="CD65" s="4">
        <v>0.518569285888431</v>
      </c>
      <c r="CE65" s="4">
        <v>0.439661712463099</v>
      </c>
      <c r="CF65" s="4">
        <v>0.484281555498977</v>
      </c>
      <c r="CG65" s="4">
        <v>0.434823176830522</v>
      </c>
      <c r="CH65" s="4">
        <v>0.499653810346594</v>
      </c>
      <c r="CI65" s="4">
        <v>0.528460300371721</v>
      </c>
      <c r="CJ65" s="4">
        <v>0.410116066017128</v>
      </c>
      <c r="CK65" s="4">
        <v>0.151448151242902</v>
      </c>
      <c r="CL65" s="4">
        <v>0.550853812284825</v>
      </c>
      <c r="CM65" s="4">
        <v>0.107921746245556</v>
      </c>
      <c r="CN65" s="4">
        <v>0.24965299574039</v>
      </c>
      <c r="CO65" s="4">
        <v>0.353109431540406</v>
      </c>
      <c r="CP65" s="4">
        <v>0.404385599204919</v>
      </c>
      <c r="CQ65" s="4">
        <v>0.0937595224403579</v>
      </c>
      <c r="CR65" s="4">
        <v>0.291376761277669</v>
      </c>
      <c r="CS65" s="4">
        <v>0.256114413820361</v>
      </c>
      <c r="CT65" s="4">
        <v>0.535809203910823</v>
      </c>
      <c r="CU65" s="4">
        <v>0.346030858517059</v>
      </c>
      <c r="CV65" s="4">
        <v>0.310185318519037</v>
      </c>
      <c r="CW65" s="4">
        <v>0.374971447054168</v>
      </c>
      <c r="CX65" s="4">
        <v>0.252395749440225</v>
      </c>
      <c r="CY65" s="4">
        <v>0.150131627407488</v>
      </c>
      <c r="CZ65" s="4">
        <v>0.405399670340207</v>
      </c>
      <c r="DA65" s="4">
        <v>0.158147652489202</v>
      </c>
      <c r="DB65" s="4">
        <v>0.16381092072827</v>
      </c>
      <c r="DC65" s="4">
        <v>0.0614324534705988</v>
      </c>
      <c r="DD65" s="4">
        <v>0.218207045434587</v>
      </c>
      <c r="DE65" s="4">
        <v>0.101738742179387</v>
      </c>
      <c r="DF65" s="4">
        <v>0.16682364179875</v>
      </c>
      <c r="DG65" s="4">
        <v>0.075497901707131</v>
      </c>
      <c r="DH65" s="4">
        <v>0.21485873139902</v>
      </c>
      <c r="DI65" s="4">
        <v>0.388000962473264</v>
      </c>
      <c r="DJ65" s="4">
        <v>0.428963405681947</v>
      </c>
      <c r="DK65" s="4">
        <v>0.339021954495674</v>
      </c>
      <c r="DL65" s="4">
        <v>0.37448275730604</v>
      </c>
      <c r="DM65" s="4">
        <v>0.376132047371724</v>
      </c>
      <c r="DN65" s="4">
        <v>0.303073578929687</v>
      </c>
      <c r="DO65" s="4">
        <v>0.377356704908071</v>
      </c>
      <c r="DP65" s="4">
        <v>0.43015671225856</v>
      </c>
      <c r="DQ65" s="4">
        <v>0.412413563009213</v>
      </c>
      <c r="DR65" s="4">
        <v>0.339507575765388</v>
      </c>
      <c r="DS65" s="4">
        <v>0.250652300065201</v>
      </c>
      <c r="DT65" s="4">
        <v>0.405745044898967</v>
      </c>
      <c r="DU65" s="4">
        <v>0.25083704368747</v>
      </c>
      <c r="DV65" s="4">
        <v>0.501790803240401</v>
      </c>
      <c r="DW65" s="4">
        <v>0.348058824550866</v>
      </c>
      <c r="DX65" s="4">
        <v>0.193052358105838</v>
      </c>
      <c r="DY65" s="4">
        <v>0.362239326955696</v>
      </c>
    </row>
    <row r="66" ht="14" spans="1:129">
      <c r="A66" s="31" t="s">
        <v>64</v>
      </c>
      <c r="B66" s="2" t="str">
        <v/>
      </c>
      <c r="C66" s="2" t="str">
        <v/>
      </c>
      <c r="D66" s="2" t="str">
        <v/>
      </c>
      <c r="E66" s="2" t="str">
        <v/>
      </c>
      <c r="F66" s="2" t="str">
        <v/>
      </c>
      <c r="G66" s="2" t="str">
        <v/>
      </c>
      <c r="H66" s="2" t="str">
        <v/>
      </c>
      <c r="I66" s="2" t="str">
        <v/>
      </c>
      <c r="J66" s="2" t="str">
        <v/>
      </c>
      <c r="K66" s="2" t="str">
        <v/>
      </c>
      <c r="L66" s="2" t="str">
        <v/>
      </c>
      <c r="M66" s="2" t="str">
        <v/>
      </c>
      <c r="N66" s="2" t="str">
        <v/>
      </c>
      <c r="O66" s="2" t="str">
        <v/>
      </c>
      <c r="P66" s="2" t="str">
        <v/>
      </c>
      <c r="Q66" s="2" t="str">
        <v/>
      </c>
      <c r="R66" s="2" t="str">
        <v/>
      </c>
      <c r="S66" s="2" t="str">
        <v/>
      </c>
      <c r="T66" s="2" t="str">
        <v/>
      </c>
      <c r="U66" s="2" t="str">
        <v/>
      </c>
      <c r="V66" s="2" t="str">
        <v/>
      </c>
      <c r="W66" s="2" t="str">
        <v/>
      </c>
      <c r="X66" s="2" t="str">
        <v/>
      </c>
      <c r="Y66" s="2" t="str">
        <v/>
      </c>
      <c r="Z66" s="2" t="str">
        <v/>
      </c>
      <c r="AA66" s="2" t="str">
        <v/>
      </c>
      <c r="AB66" s="2" t="str">
        <v/>
      </c>
      <c r="AC66" s="2" t="str">
        <v/>
      </c>
      <c r="AD66" s="2" t="str">
        <v/>
      </c>
      <c r="AE66" s="2" t="str">
        <v/>
      </c>
      <c r="AF66" s="2" t="str">
        <v/>
      </c>
      <c r="AG66" s="2" t="str">
        <v/>
      </c>
      <c r="AH66" s="2" t="str">
        <v/>
      </c>
      <c r="AI66" s="2" t="str">
        <v/>
      </c>
      <c r="AJ66" s="2" t="str">
        <v/>
      </c>
      <c r="AK66" s="2" t="str">
        <v/>
      </c>
      <c r="AL66" s="2" t="str">
        <v/>
      </c>
      <c r="AM66" s="2" t="str">
        <v/>
      </c>
      <c r="AN66" s="2" t="str">
        <v/>
      </c>
      <c r="AO66" s="2" t="str">
        <v/>
      </c>
      <c r="AP66" s="2" t="str">
        <v/>
      </c>
      <c r="AQ66" s="2" t="str">
        <v/>
      </c>
      <c r="AR66" s="4" t="str">
        <v/>
      </c>
      <c r="AS66" s="4" t="str">
        <v/>
      </c>
      <c r="AT66" s="4" t="str">
        <v/>
      </c>
      <c r="AU66" s="4" t="str">
        <v/>
      </c>
      <c r="AV66" s="4" t="str">
        <v/>
      </c>
      <c r="AW66" s="4" t="str">
        <v/>
      </c>
      <c r="AX66" s="4" t="str">
        <v/>
      </c>
      <c r="AY66" s="4" t="str">
        <v/>
      </c>
      <c r="AZ66" s="4" t="str">
        <v/>
      </c>
      <c r="BA66" s="4" t="str">
        <v/>
      </c>
      <c r="BB66" s="4" t="str">
        <v/>
      </c>
      <c r="BC66" s="4" t="str">
        <v/>
      </c>
      <c r="BD66" s="4" t="str">
        <v/>
      </c>
      <c r="BE66" s="4" t="str">
        <v/>
      </c>
      <c r="BF66" s="4" t="str">
        <v/>
      </c>
      <c r="BG66" s="4" t="str">
        <v/>
      </c>
      <c r="BH66" s="4" t="str">
        <v/>
      </c>
      <c r="BI66" s="4" t="str">
        <v/>
      </c>
      <c r="BJ66" s="4" t="str">
        <v/>
      </c>
      <c r="BK66" s="4" t="str">
        <v/>
      </c>
      <c r="BL66" s="4">
        <v>1</v>
      </c>
      <c r="BM66" s="4">
        <v>0.518181033608743</v>
      </c>
      <c r="BN66" s="4">
        <v>0.24740174036064</v>
      </c>
      <c r="BO66" s="4">
        <v>0.327695640092087</v>
      </c>
      <c r="BP66" s="4">
        <v>0.422720517006617</v>
      </c>
      <c r="BQ66" s="4">
        <v>0.419978347510529</v>
      </c>
      <c r="BR66" s="4">
        <v>0.381115708502442</v>
      </c>
      <c r="BS66" s="4">
        <v>0.549936136972813</v>
      </c>
      <c r="BT66" s="4">
        <v>0.555222125572594</v>
      </c>
      <c r="BU66" s="4">
        <v>0.707716361913031</v>
      </c>
      <c r="BV66" s="4">
        <v>0.0355899905582179</v>
      </c>
      <c r="BW66" s="4">
        <v>0.32283005466247</v>
      </c>
      <c r="BX66" s="4">
        <v>0.250235489798355</v>
      </c>
      <c r="BY66" s="4">
        <v>0.392053738284295</v>
      </c>
      <c r="BZ66" s="4">
        <v>0.389294631855996</v>
      </c>
      <c r="CA66" s="4">
        <v>0.632395739101401</v>
      </c>
      <c r="CB66" s="4">
        <v>0.424087235209089</v>
      </c>
      <c r="CC66" s="4">
        <v>0.359966801354614</v>
      </c>
      <c r="CD66" s="4">
        <v>0.225656099772491</v>
      </c>
      <c r="CE66" s="4">
        <v>0.412819775773798</v>
      </c>
      <c r="CF66" s="4">
        <v>0.454382183284208</v>
      </c>
      <c r="CG66" s="4">
        <v>0.677167511485991</v>
      </c>
      <c r="CH66" s="4">
        <v>0.426054878402694</v>
      </c>
      <c r="CI66" s="4">
        <v>0.570958413217878</v>
      </c>
      <c r="CJ66" s="4">
        <v>0.422562099454022</v>
      </c>
      <c r="CK66" s="4">
        <v>0.15534220739538</v>
      </c>
      <c r="CL66" s="4">
        <v>0.500942123069552</v>
      </c>
      <c r="CM66" s="4">
        <v>-0.0183503243986704</v>
      </c>
      <c r="CN66" s="4">
        <v>0.208287779990728</v>
      </c>
      <c r="CO66" s="4">
        <v>0.252190078867969</v>
      </c>
      <c r="CP66" s="4">
        <v>0.238861203697555</v>
      </c>
      <c r="CQ66" s="4">
        <v>-0.00877475667313467</v>
      </c>
      <c r="CR66" s="4">
        <v>0.139700702450925</v>
      </c>
      <c r="CS66" s="4">
        <v>0.15695636886673</v>
      </c>
      <c r="CT66" s="4">
        <v>0.535583974249332</v>
      </c>
      <c r="CU66" s="4">
        <v>0.399012746776241</v>
      </c>
      <c r="CV66" s="4">
        <v>0.344853569024129</v>
      </c>
      <c r="CW66" s="4">
        <v>0.428470555203898</v>
      </c>
      <c r="CX66" s="4">
        <v>0.309056478281943</v>
      </c>
      <c r="CY66" s="4">
        <v>0.289182480979945</v>
      </c>
      <c r="CZ66" s="4">
        <v>0.168172898469147</v>
      </c>
      <c r="DA66" s="4">
        <v>0.132081349756225</v>
      </c>
      <c r="DB66" s="4">
        <v>0.180433137445082</v>
      </c>
      <c r="DC66" s="4">
        <v>0.159575862755098</v>
      </c>
      <c r="DD66" s="4">
        <v>0.245731234962293</v>
      </c>
      <c r="DE66" s="4">
        <v>0.267290428714454</v>
      </c>
      <c r="DF66" s="4">
        <v>0.180230643483305</v>
      </c>
      <c r="DG66" s="4">
        <v>0.0751123347181936</v>
      </c>
      <c r="DH66" s="4">
        <v>0.333815478159098</v>
      </c>
      <c r="DI66" s="4">
        <v>0.39541762735632</v>
      </c>
      <c r="DJ66" s="4">
        <v>0.453570092432521</v>
      </c>
      <c r="DK66" s="4">
        <v>0.365875500988364</v>
      </c>
      <c r="DL66" s="4">
        <v>0.420044951239766</v>
      </c>
      <c r="DM66" s="4">
        <v>0.405868886286057</v>
      </c>
      <c r="DN66" s="4">
        <v>0.369446986356095</v>
      </c>
      <c r="DO66" s="4">
        <v>0.368330185876932</v>
      </c>
      <c r="DP66" s="4">
        <v>0.42572625952356</v>
      </c>
      <c r="DQ66" s="4">
        <v>0.453539906768027</v>
      </c>
      <c r="DR66" s="4">
        <v>0.451325237066079</v>
      </c>
      <c r="DS66" s="4">
        <v>0.411593349707518</v>
      </c>
      <c r="DT66" s="4">
        <v>0.438563119248434</v>
      </c>
      <c r="DU66" s="4">
        <v>0.447914201551879</v>
      </c>
      <c r="DV66" s="4">
        <v>0.433077978693303</v>
      </c>
      <c r="DW66" s="4">
        <v>0.162412878802512</v>
      </c>
      <c r="DX66" s="4">
        <v>0.187917234682946</v>
      </c>
      <c r="DY66" s="4">
        <v>0.521994037222502</v>
      </c>
    </row>
    <row r="67" ht="14" spans="1:129">
      <c r="A67" s="31" t="s">
        <v>65</v>
      </c>
      <c r="B67" s="2" t="str">
        <v/>
      </c>
      <c r="C67" s="2" t="str">
        <v/>
      </c>
      <c r="D67" s="2" t="str">
        <v/>
      </c>
      <c r="E67" s="2" t="str">
        <v/>
      </c>
      <c r="F67" s="2" t="str">
        <v/>
      </c>
      <c r="G67" s="2" t="str">
        <v/>
      </c>
      <c r="H67" s="2" t="str">
        <v/>
      </c>
      <c r="I67" s="2" t="str">
        <v/>
      </c>
      <c r="J67" s="2" t="str">
        <v/>
      </c>
      <c r="K67" s="2" t="str">
        <v/>
      </c>
      <c r="L67" s="2" t="str">
        <v/>
      </c>
      <c r="M67" s="2" t="str">
        <v/>
      </c>
      <c r="N67" s="2" t="str">
        <v/>
      </c>
      <c r="O67" s="2" t="str">
        <v/>
      </c>
      <c r="P67" s="2" t="str">
        <v/>
      </c>
      <c r="Q67" s="2" t="str">
        <v/>
      </c>
      <c r="R67" s="2" t="str">
        <v/>
      </c>
      <c r="S67" s="2" t="str">
        <v/>
      </c>
      <c r="T67" s="2" t="str">
        <v/>
      </c>
      <c r="U67" s="2" t="str">
        <v/>
      </c>
      <c r="V67" s="2" t="str">
        <v/>
      </c>
      <c r="W67" s="2" t="str">
        <v/>
      </c>
      <c r="X67" s="2" t="str">
        <v/>
      </c>
      <c r="Y67" s="2" t="str">
        <v/>
      </c>
      <c r="Z67" s="2" t="str">
        <v/>
      </c>
      <c r="AA67" s="2" t="str">
        <v/>
      </c>
      <c r="AB67" s="2" t="str">
        <v/>
      </c>
      <c r="AC67" s="2" t="str">
        <v/>
      </c>
      <c r="AD67" s="2" t="str">
        <v/>
      </c>
      <c r="AE67" s="2" t="str">
        <v/>
      </c>
      <c r="AF67" s="2" t="str">
        <v/>
      </c>
      <c r="AG67" s="2" t="str">
        <v/>
      </c>
      <c r="AH67" s="2" t="str">
        <v/>
      </c>
      <c r="AI67" s="2" t="str">
        <v/>
      </c>
      <c r="AJ67" s="2" t="str">
        <v/>
      </c>
      <c r="AK67" s="2" t="str">
        <v/>
      </c>
      <c r="AL67" s="2" t="str">
        <v/>
      </c>
      <c r="AM67" s="2" t="str">
        <v/>
      </c>
      <c r="AN67" s="2" t="str">
        <v/>
      </c>
      <c r="AO67" s="2" t="str">
        <v/>
      </c>
      <c r="AP67" s="2" t="str">
        <v/>
      </c>
      <c r="AQ67" s="2" t="str">
        <v/>
      </c>
      <c r="AR67" s="4" t="str">
        <v/>
      </c>
      <c r="AS67" s="4" t="str">
        <v/>
      </c>
      <c r="AT67" s="4" t="str">
        <v/>
      </c>
      <c r="AU67" s="4" t="str">
        <v/>
      </c>
      <c r="AV67" s="4" t="str">
        <v/>
      </c>
      <c r="AW67" s="4" t="str">
        <v/>
      </c>
      <c r="AX67" s="4" t="str">
        <v/>
      </c>
      <c r="AY67" s="4" t="str">
        <v/>
      </c>
      <c r="AZ67" s="4" t="str">
        <v/>
      </c>
      <c r="BA67" s="4" t="str">
        <v/>
      </c>
      <c r="BB67" s="4" t="str">
        <v/>
      </c>
      <c r="BC67" s="4" t="str">
        <v/>
      </c>
      <c r="BD67" s="4" t="str">
        <v/>
      </c>
      <c r="BE67" s="4" t="str">
        <v/>
      </c>
      <c r="BF67" s="4" t="str">
        <v/>
      </c>
      <c r="BG67" s="4" t="str">
        <v/>
      </c>
      <c r="BH67" s="4" t="str">
        <v/>
      </c>
      <c r="BI67" s="4" t="str">
        <v/>
      </c>
      <c r="BJ67" s="4" t="str">
        <v/>
      </c>
      <c r="BK67" s="4" t="str">
        <v/>
      </c>
      <c r="BL67" s="4" t="str">
        <v/>
      </c>
      <c r="BM67" s="4">
        <v>1</v>
      </c>
      <c r="BN67" s="4">
        <v>0.399859633026305</v>
      </c>
      <c r="BO67" s="4">
        <v>0.504344471020158</v>
      </c>
      <c r="BP67" s="4">
        <v>0.318761177441441</v>
      </c>
      <c r="BQ67" s="4">
        <v>0.274347078848614</v>
      </c>
      <c r="BR67" s="4">
        <v>0.533250226217712</v>
      </c>
      <c r="BS67" s="4">
        <v>0.475742687029008</v>
      </c>
      <c r="BT67" s="4">
        <v>0.743859080206733</v>
      </c>
      <c r="BU67" s="4">
        <v>0.64539770070441</v>
      </c>
      <c r="BV67" s="4">
        <v>0.186878295199196</v>
      </c>
      <c r="BW67" s="4">
        <v>0.517659358675294</v>
      </c>
      <c r="BX67" s="4">
        <v>0.369578798661205</v>
      </c>
      <c r="BY67" s="4">
        <v>0.49521331406308</v>
      </c>
      <c r="BZ67" s="4">
        <v>0.261185671222297</v>
      </c>
      <c r="CA67" s="4">
        <v>0.542197464362091</v>
      </c>
      <c r="CB67" s="4">
        <v>0.506349012196679</v>
      </c>
      <c r="CC67" s="4">
        <v>0.28332387222527</v>
      </c>
      <c r="CD67" s="4">
        <v>0.278287053743155</v>
      </c>
      <c r="CE67" s="4">
        <v>0.403180288222556</v>
      </c>
      <c r="CF67" s="4">
        <v>0.500410590585472</v>
      </c>
      <c r="CG67" s="4">
        <v>0.495958013941997</v>
      </c>
      <c r="CH67" s="4">
        <v>0.340382427700236</v>
      </c>
      <c r="CI67" s="4">
        <v>0.661296070762849</v>
      </c>
      <c r="CJ67" s="4">
        <v>0.283941269340097</v>
      </c>
      <c r="CK67" s="4">
        <v>0.16214839739464</v>
      </c>
      <c r="CL67" s="4">
        <v>0.785376234327418</v>
      </c>
      <c r="CM67" s="4">
        <v>-0.0604457052610309</v>
      </c>
      <c r="CN67" s="4">
        <v>0.21851330874202</v>
      </c>
      <c r="CO67" s="4">
        <v>0.337977720411041</v>
      </c>
      <c r="CP67" s="4">
        <v>0.302047823628424</v>
      </c>
      <c r="CQ67" s="4">
        <v>-0.0695650507160413</v>
      </c>
      <c r="CR67" s="4">
        <v>0.211708191140975</v>
      </c>
      <c r="CS67" s="4">
        <v>0.289015071805411</v>
      </c>
      <c r="CT67" s="4">
        <v>0.753990146122202</v>
      </c>
      <c r="CU67" s="4">
        <v>0.32995641879218</v>
      </c>
      <c r="CV67" s="4">
        <v>0.149379475380178</v>
      </c>
      <c r="CW67" s="4">
        <v>0.380684476929903</v>
      </c>
      <c r="CX67" s="4">
        <v>0.233039973459993</v>
      </c>
      <c r="CY67" s="4">
        <v>0.378640741390324</v>
      </c>
      <c r="CZ67" s="4">
        <v>0.535985933748214</v>
      </c>
      <c r="DA67" s="4">
        <v>0.20896376085654</v>
      </c>
      <c r="DB67" s="4">
        <v>0.333617511379818</v>
      </c>
      <c r="DC67" s="4">
        <v>0.173844802789545</v>
      </c>
      <c r="DD67" s="4">
        <v>0.304665275712353</v>
      </c>
      <c r="DE67" s="4">
        <v>0.0840031718191958</v>
      </c>
      <c r="DF67" s="4">
        <v>0.218554808538908</v>
      </c>
      <c r="DG67" s="4">
        <v>0.189672308722141</v>
      </c>
      <c r="DH67" s="4">
        <v>0.433207442848862</v>
      </c>
      <c r="DI67" s="4">
        <v>0.606481336125731</v>
      </c>
      <c r="DJ67" s="4">
        <v>0.587206344237614</v>
      </c>
      <c r="DK67" s="4">
        <v>0.655511350690229</v>
      </c>
      <c r="DL67" s="4">
        <v>0.649236122871907</v>
      </c>
      <c r="DM67" s="4">
        <v>0.620530977284509</v>
      </c>
      <c r="DN67" s="4">
        <v>0.579455855461478</v>
      </c>
      <c r="DO67" s="4">
        <v>0.670830040355721</v>
      </c>
      <c r="DP67" s="4">
        <v>0.708410109144061</v>
      </c>
      <c r="DQ67" s="4">
        <v>0.703456348580395</v>
      </c>
      <c r="DR67" s="4">
        <v>0.6582833178949</v>
      </c>
      <c r="DS67" s="4">
        <v>0.520601301755799</v>
      </c>
      <c r="DT67" s="4">
        <v>0.6242068779332</v>
      </c>
      <c r="DU67" s="4">
        <v>0.612267891887316</v>
      </c>
      <c r="DV67" s="4">
        <v>0.757164050152366</v>
      </c>
      <c r="DW67" s="4">
        <v>0.397933519159583</v>
      </c>
      <c r="DX67" s="4">
        <v>0.206375711376761</v>
      </c>
      <c r="DY67" s="4">
        <v>0.515403466552496</v>
      </c>
    </row>
    <row r="68" ht="14" spans="1:129">
      <c r="A68" s="31" t="s">
        <v>66</v>
      </c>
      <c r="B68" s="2" t="str">
        <v/>
      </c>
      <c r="C68" s="2" t="str">
        <v/>
      </c>
      <c r="D68" s="2" t="str">
        <v/>
      </c>
      <c r="E68" s="2" t="str">
        <v/>
      </c>
      <c r="F68" s="2" t="str">
        <v/>
      </c>
      <c r="G68" s="2" t="str">
        <v/>
      </c>
      <c r="H68" s="2" t="str">
        <v/>
      </c>
      <c r="I68" s="2" t="str">
        <v/>
      </c>
      <c r="J68" s="2" t="str">
        <v/>
      </c>
      <c r="K68" s="2" t="str">
        <v/>
      </c>
      <c r="L68" s="2" t="str">
        <v/>
      </c>
      <c r="M68" s="2" t="str">
        <v/>
      </c>
      <c r="N68" s="2" t="str">
        <v/>
      </c>
      <c r="O68" s="2" t="str">
        <v/>
      </c>
      <c r="P68" s="2" t="str">
        <v/>
      </c>
      <c r="Q68" s="2" t="str">
        <v/>
      </c>
      <c r="R68" s="2" t="str">
        <v/>
      </c>
      <c r="S68" s="2" t="str">
        <v/>
      </c>
      <c r="T68" s="2" t="str">
        <v/>
      </c>
      <c r="U68" s="2" t="str">
        <v/>
      </c>
      <c r="V68" s="2" t="str">
        <v/>
      </c>
      <c r="W68" s="2" t="str">
        <v/>
      </c>
      <c r="X68" s="2" t="str">
        <v/>
      </c>
      <c r="Y68" s="2" t="str">
        <v/>
      </c>
      <c r="Z68" s="2" t="str">
        <v/>
      </c>
      <c r="AA68" s="2" t="str">
        <v/>
      </c>
      <c r="AB68" s="2" t="str">
        <v/>
      </c>
      <c r="AC68" s="2" t="str">
        <v/>
      </c>
      <c r="AD68" s="2" t="str">
        <v/>
      </c>
      <c r="AE68" s="2" t="str">
        <v/>
      </c>
      <c r="AF68" s="2" t="str">
        <v/>
      </c>
      <c r="AG68" s="2" t="str">
        <v/>
      </c>
      <c r="AH68" s="2" t="str">
        <v/>
      </c>
      <c r="AI68" s="2" t="str">
        <v/>
      </c>
      <c r="AJ68" s="2" t="str">
        <v/>
      </c>
      <c r="AK68" s="2" t="str">
        <v/>
      </c>
      <c r="AL68" s="2" t="str">
        <v/>
      </c>
      <c r="AM68" s="2" t="str">
        <v/>
      </c>
      <c r="AN68" s="2" t="str">
        <v/>
      </c>
      <c r="AO68" s="2" t="str">
        <v/>
      </c>
      <c r="AP68" s="2" t="str">
        <v/>
      </c>
      <c r="AQ68" s="2" t="str">
        <v/>
      </c>
      <c r="AR68" s="4" t="str">
        <v/>
      </c>
      <c r="AS68" s="4" t="str">
        <v/>
      </c>
      <c r="AT68" s="4" t="str">
        <v/>
      </c>
      <c r="AU68" s="4" t="str">
        <v/>
      </c>
      <c r="AV68" s="4" t="str">
        <v/>
      </c>
      <c r="AW68" s="4" t="str">
        <v/>
      </c>
      <c r="AX68" s="4" t="str">
        <v/>
      </c>
      <c r="AY68" s="4" t="str">
        <v/>
      </c>
      <c r="AZ68" s="4" t="str">
        <v/>
      </c>
      <c r="BA68" s="4" t="str">
        <v/>
      </c>
      <c r="BB68" s="4" t="str">
        <v/>
      </c>
      <c r="BC68" s="4" t="str">
        <v/>
      </c>
      <c r="BD68" s="4" t="str">
        <v/>
      </c>
      <c r="BE68" s="4" t="str">
        <v/>
      </c>
      <c r="BF68" s="4" t="str">
        <v/>
      </c>
      <c r="BG68" s="4" t="str">
        <v/>
      </c>
      <c r="BH68" s="4" t="str">
        <v/>
      </c>
      <c r="BI68" s="4" t="str">
        <v/>
      </c>
      <c r="BJ68" s="4" t="str">
        <v/>
      </c>
      <c r="BK68" s="4" t="str">
        <v/>
      </c>
      <c r="BL68" s="4" t="str">
        <v/>
      </c>
      <c r="BM68" s="4" t="str">
        <v/>
      </c>
      <c r="BN68" s="4">
        <v>1</v>
      </c>
      <c r="BO68" s="4">
        <v>0.422472595381539</v>
      </c>
      <c r="BP68" s="4">
        <v>0.492246865519261</v>
      </c>
      <c r="BQ68" s="4">
        <v>0.0800277244859797</v>
      </c>
      <c r="BR68" s="4">
        <v>0.407264516228001</v>
      </c>
      <c r="BS68" s="4">
        <v>0.384540173405407</v>
      </c>
      <c r="BT68" s="4">
        <v>0.339677944591301</v>
      </c>
      <c r="BU68" s="4">
        <v>0.346242594014716</v>
      </c>
      <c r="BV68" s="4">
        <v>0.321287355041808</v>
      </c>
      <c r="BW68" s="4">
        <v>0.355117391555515</v>
      </c>
      <c r="BX68" s="4">
        <v>0.202520920643988</v>
      </c>
      <c r="BY68" s="4">
        <v>0.410358514292822</v>
      </c>
      <c r="BZ68" s="4">
        <v>0.238580341432004</v>
      </c>
      <c r="CA68" s="4">
        <v>0.276605426259225</v>
      </c>
      <c r="CB68" s="4">
        <v>0.281724594874263</v>
      </c>
      <c r="CC68" s="4">
        <v>0.213641516273623</v>
      </c>
      <c r="CD68" s="4">
        <v>0.11897806234879</v>
      </c>
      <c r="CE68" s="4">
        <v>0.19931934832674</v>
      </c>
      <c r="CF68" s="4">
        <v>0.430389808839563</v>
      </c>
      <c r="CG68" s="4">
        <v>0.517184958045471</v>
      </c>
      <c r="CH68" s="4">
        <v>0.359346946549788</v>
      </c>
      <c r="CI68" s="4">
        <v>0.574896273000795</v>
      </c>
      <c r="CJ68" s="4">
        <v>0.319573743006849</v>
      </c>
      <c r="CK68" s="4">
        <v>0.232767415318386</v>
      </c>
      <c r="CL68" s="4">
        <v>0.416610052023334</v>
      </c>
      <c r="CM68" s="4">
        <v>0.159703363778532</v>
      </c>
      <c r="CN68" s="4">
        <v>0.37746796147737</v>
      </c>
      <c r="CO68" s="4">
        <v>0.132923554676559</v>
      </c>
      <c r="CP68" s="4">
        <v>0.145976102612319</v>
      </c>
      <c r="CQ68" s="4">
        <v>0.107684885051391</v>
      </c>
      <c r="CR68" s="4">
        <v>0.209371575022889</v>
      </c>
      <c r="CS68" s="4">
        <v>0.17074316927614</v>
      </c>
      <c r="CT68" s="4">
        <v>0.316049288512872</v>
      </c>
      <c r="CU68" s="4">
        <v>0.138659572720514</v>
      </c>
      <c r="CV68" s="4">
        <v>0.303641217668566</v>
      </c>
      <c r="CW68" s="4">
        <v>0.405209343174213</v>
      </c>
      <c r="CX68" s="4">
        <v>0.227077636979192</v>
      </c>
      <c r="CY68" s="4">
        <v>0.291574490384028</v>
      </c>
      <c r="CZ68" s="4">
        <v>0.305957064001881</v>
      </c>
      <c r="DA68" s="4">
        <v>0.141736774953492</v>
      </c>
      <c r="DB68" s="4">
        <v>0.359296374017403</v>
      </c>
      <c r="DC68" s="4">
        <v>0.246242656862973</v>
      </c>
      <c r="DD68" s="4">
        <v>0.166880989496066</v>
      </c>
      <c r="DE68" s="4">
        <v>0.374957046233326</v>
      </c>
      <c r="DF68" s="4">
        <v>0.289207322896657</v>
      </c>
      <c r="DG68" s="4">
        <v>0.0839357780736234</v>
      </c>
      <c r="DH68" s="4">
        <v>0.339946165631699</v>
      </c>
      <c r="DI68" s="4">
        <v>0.348361638188725</v>
      </c>
      <c r="DJ68" s="4">
        <v>0.330847941965295</v>
      </c>
      <c r="DK68" s="4">
        <v>0.339608396415316</v>
      </c>
      <c r="DL68" s="4">
        <v>0.394556914843337</v>
      </c>
      <c r="DM68" s="4">
        <v>0.364787886902583</v>
      </c>
      <c r="DN68" s="4">
        <v>0.330728365934668</v>
      </c>
      <c r="DO68" s="4">
        <v>0.242970930989571</v>
      </c>
      <c r="DP68" s="4">
        <v>0.393083597950637</v>
      </c>
      <c r="DQ68" s="4">
        <v>0.284347180592891</v>
      </c>
      <c r="DR68" s="4">
        <v>0.437039640610378</v>
      </c>
      <c r="DS68" s="4">
        <v>0.26588289165989</v>
      </c>
      <c r="DT68" s="4">
        <v>0.328304712579476</v>
      </c>
      <c r="DU68" s="4">
        <v>0.397379298739075</v>
      </c>
      <c r="DV68" s="4">
        <v>0.283873075222183</v>
      </c>
      <c r="DW68" s="4">
        <v>0.194461297988702</v>
      </c>
      <c r="DX68" s="4">
        <v>0.265444123350276</v>
      </c>
      <c r="DY68" s="4">
        <v>0.365162356215891</v>
      </c>
    </row>
    <row r="69" ht="14" spans="1:129">
      <c r="A69" s="31" t="s">
        <v>67</v>
      </c>
      <c r="B69" s="2" t="str">
        <v/>
      </c>
      <c r="C69" s="2" t="str">
        <v/>
      </c>
      <c r="D69" s="2" t="str">
        <v/>
      </c>
      <c r="E69" s="2" t="str">
        <v/>
      </c>
      <c r="F69" s="2" t="str">
        <v/>
      </c>
      <c r="G69" s="2" t="str">
        <v/>
      </c>
      <c r="H69" s="2" t="str">
        <v/>
      </c>
      <c r="I69" s="2" t="str">
        <v/>
      </c>
      <c r="J69" s="2" t="str">
        <v/>
      </c>
      <c r="K69" s="2" t="str">
        <v/>
      </c>
      <c r="L69" s="2" t="str">
        <v/>
      </c>
      <c r="M69" s="2" t="str">
        <v/>
      </c>
      <c r="N69" s="2" t="str">
        <v/>
      </c>
      <c r="O69" s="2" t="str">
        <v/>
      </c>
      <c r="P69" s="2" t="str">
        <v/>
      </c>
      <c r="Q69" s="2" t="str">
        <v/>
      </c>
      <c r="R69" s="2" t="str">
        <v/>
      </c>
      <c r="S69" s="2" t="str">
        <v/>
      </c>
      <c r="T69" s="2" t="str">
        <v/>
      </c>
      <c r="U69" s="2" t="str">
        <v/>
      </c>
      <c r="V69" s="2" t="str">
        <v/>
      </c>
      <c r="W69" s="2" t="str">
        <v/>
      </c>
      <c r="X69" s="2" t="str">
        <v/>
      </c>
      <c r="Y69" s="2" t="str">
        <v/>
      </c>
      <c r="Z69" s="2" t="str">
        <v/>
      </c>
      <c r="AA69" s="2" t="str">
        <v/>
      </c>
      <c r="AB69" s="2" t="str">
        <v/>
      </c>
      <c r="AC69" s="2" t="str">
        <v/>
      </c>
      <c r="AD69" s="2" t="str">
        <v/>
      </c>
      <c r="AE69" s="2" t="str">
        <v/>
      </c>
      <c r="AF69" s="2" t="str">
        <v/>
      </c>
      <c r="AG69" s="2" t="str">
        <v/>
      </c>
      <c r="AH69" s="2" t="str">
        <v/>
      </c>
      <c r="AI69" s="2" t="str">
        <v/>
      </c>
      <c r="AJ69" s="2" t="str">
        <v/>
      </c>
      <c r="AK69" s="2" t="str">
        <v/>
      </c>
      <c r="AL69" s="2" t="str">
        <v/>
      </c>
      <c r="AM69" s="2" t="str">
        <v/>
      </c>
      <c r="AN69" s="2" t="str">
        <v/>
      </c>
      <c r="AO69" s="2" t="str">
        <v/>
      </c>
      <c r="AP69" s="2" t="str">
        <v/>
      </c>
      <c r="AQ69" s="2" t="str">
        <v/>
      </c>
      <c r="AR69" s="4" t="str">
        <v/>
      </c>
      <c r="AS69" s="4" t="str">
        <v/>
      </c>
      <c r="AT69" s="4" t="str">
        <v/>
      </c>
      <c r="AU69" s="4" t="str">
        <v/>
      </c>
      <c r="AV69" s="4" t="str">
        <v/>
      </c>
      <c r="AW69" s="4" t="str">
        <v/>
      </c>
      <c r="AX69" s="4" t="str">
        <v/>
      </c>
      <c r="AY69" s="4" t="str">
        <v/>
      </c>
      <c r="AZ69" s="4" t="str">
        <v/>
      </c>
      <c r="BA69" s="4" t="str">
        <v/>
      </c>
      <c r="BB69" s="4" t="str">
        <v/>
      </c>
      <c r="BC69" s="4" t="str">
        <v/>
      </c>
      <c r="BD69" s="4" t="str">
        <v/>
      </c>
      <c r="BE69" s="4" t="str">
        <v/>
      </c>
      <c r="BF69" s="4" t="str">
        <v/>
      </c>
      <c r="BG69" s="4" t="str">
        <v/>
      </c>
      <c r="BH69" s="4" t="str">
        <v/>
      </c>
      <c r="BI69" s="4" t="str">
        <v/>
      </c>
      <c r="BJ69" s="4" t="str">
        <v/>
      </c>
      <c r="BK69" s="4" t="str">
        <v/>
      </c>
      <c r="BL69" s="4" t="str">
        <v/>
      </c>
      <c r="BM69" s="4" t="str">
        <v/>
      </c>
      <c r="BN69" s="4" t="str">
        <v/>
      </c>
      <c r="BO69" s="4">
        <v>1</v>
      </c>
      <c r="BP69" s="4">
        <v>0.477545311707704</v>
      </c>
      <c r="BQ69" s="4">
        <v>0.27482083159199</v>
      </c>
      <c r="BR69" s="4">
        <v>0.372449407758352</v>
      </c>
      <c r="BS69" s="4">
        <v>0.394065430762877</v>
      </c>
      <c r="BT69" s="4">
        <v>0.37369055995452</v>
      </c>
      <c r="BU69" s="4">
        <v>0.547599919521417</v>
      </c>
      <c r="BV69" s="4">
        <v>0.311113995916597</v>
      </c>
      <c r="BW69" s="4">
        <v>0.385301172155834</v>
      </c>
      <c r="BX69" s="4">
        <v>0.507309435391387</v>
      </c>
      <c r="BY69" s="4">
        <v>0.504833922615669</v>
      </c>
      <c r="BZ69" s="4">
        <v>0.361704671631748</v>
      </c>
      <c r="CA69" s="4">
        <v>0.465353466274213</v>
      </c>
      <c r="CB69" s="4">
        <v>0.560602951643552</v>
      </c>
      <c r="CC69" s="4">
        <v>0.193378487035298</v>
      </c>
      <c r="CD69" s="4">
        <v>0.480804385426296</v>
      </c>
      <c r="CE69" s="4">
        <v>0.403873006061814</v>
      </c>
      <c r="CF69" s="4">
        <v>0.520503099342262</v>
      </c>
      <c r="CG69" s="4">
        <v>0.374157855466825</v>
      </c>
      <c r="CH69" s="4">
        <v>0.500251281303306</v>
      </c>
      <c r="CI69" s="4">
        <v>0.694027482098712</v>
      </c>
      <c r="CJ69" s="4">
        <v>0.534345523222454</v>
      </c>
      <c r="CK69" s="4">
        <v>0.34957670258724</v>
      </c>
      <c r="CL69" s="4">
        <v>0.471847209736711</v>
      </c>
      <c r="CM69" s="4">
        <v>0.00253471289790626</v>
      </c>
      <c r="CN69" s="4">
        <v>0.510833702164927</v>
      </c>
      <c r="CO69" s="4">
        <v>0.340103883171419</v>
      </c>
      <c r="CP69" s="4">
        <v>0.423480761137818</v>
      </c>
      <c r="CQ69" s="4">
        <v>0.276669278955992</v>
      </c>
      <c r="CR69" s="4">
        <v>0.376824449861943</v>
      </c>
      <c r="CS69" s="4">
        <v>0.283625522536691</v>
      </c>
      <c r="CT69" s="4">
        <v>0.447544576732598</v>
      </c>
      <c r="CU69" s="4">
        <v>0.274994283732711</v>
      </c>
      <c r="CV69" s="4">
        <v>0.402350685935901</v>
      </c>
      <c r="CW69" s="4">
        <v>0.439119598210921</v>
      </c>
      <c r="CX69" s="4">
        <v>0.296050013900138</v>
      </c>
      <c r="CY69" s="4">
        <v>0.0969541514137501</v>
      </c>
      <c r="CZ69" s="4">
        <v>0.464128356142837</v>
      </c>
      <c r="DA69" s="4">
        <v>0.40405725088017</v>
      </c>
      <c r="DB69" s="4">
        <v>0.350626527578454</v>
      </c>
      <c r="DC69" s="4">
        <v>0.380947599920083</v>
      </c>
      <c r="DD69" s="4">
        <v>0.163126334155214</v>
      </c>
      <c r="DE69" s="4">
        <v>0.562745873332876</v>
      </c>
      <c r="DF69" s="4">
        <v>0.298349606486418</v>
      </c>
      <c r="DG69" s="4">
        <v>0.310552757734573</v>
      </c>
      <c r="DH69" s="4">
        <v>0.40484273431641</v>
      </c>
      <c r="DI69" s="4">
        <v>0.464954318932382</v>
      </c>
      <c r="DJ69" s="4">
        <v>0.539725952263108</v>
      </c>
      <c r="DK69" s="4">
        <v>0.408281116878955</v>
      </c>
      <c r="DL69" s="4">
        <v>0.517570902814018</v>
      </c>
      <c r="DM69" s="4">
        <v>0.532538821841071</v>
      </c>
      <c r="DN69" s="4">
        <v>0.565087944982348</v>
      </c>
      <c r="DO69" s="4">
        <v>0.397805114908788</v>
      </c>
      <c r="DP69" s="4">
        <v>0.493032872652166</v>
      </c>
      <c r="DQ69" s="4">
        <v>0.499789017519346</v>
      </c>
      <c r="DR69" s="4">
        <v>0.48412265563633</v>
      </c>
      <c r="DS69" s="4">
        <v>0.369346174087043</v>
      </c>
      <c r="DT69" s="4">
        <v>0.46646815034883</v>
      </c>
      <c r="DU69" s="4">
        <v>0.435939112577142</v>
      </c>
      <c r="DV69" s="4">
        <v>0.528374594025158</v>
      </c>
      <c r="DW69" s="4">
        <v>0.29865588984746</v>
      </c>
      <c r="DX69" s="4">
        <v>0.2807058974238</v>
      </c>
      <c r="DY69" s="4">
        <v>0.486705186133643</v>
      </c>
    </row>
    <row r="70" ht="14" spans="1:129">
      <c r="A70" s="31" t="s">
        <v>68</v>
      </c>
      <c r="B70" s="2" t="str">
        <v/>
      </c>
      <c r="C70" s="2" t="str">
        <v/>
      </c>
      <c r="D70" s="2" t="str">
        <v/>
      </c>
      <c r="E70" s="2" t="str">
        <v/>
      </c>
      <c r="F70" s="2" t="str">
        <v/>
      </c>
      <c r="G70" s="2" t="str">
        <v/>
      </c>
      <c r="H70" s="2" t="str">
        <v/>
      </c>
      <c r="I70" s="2" t="str">
        <v/>
      </c>
      <c r="J70" s="2" t="str">
        <v/>
      </c>
      <c r="K70" s="2" t="str">
        <v/>
      </c>
      <c r="L70" s="2" t="str">
        <v/>
      </c>
      <c r="M70" s="2" t="str">
        <v/>
      </c>
      <c r="N70" s="2" t="str">
        <v/>
      </c>
      <c r="O70" s="2" t="str">
        <v/>
      </c>
      <c r="P70" s="2" t="str">
        <v/>
      </c>
      <c r="Q70" s="2" t="str">
        <v/>
      </c>
      <c r="R70" s="2" t="str">
        <v/>
      </c>
      <c r="S70" s="2" t="str">
        <v/>
      </c>
      <c r="T70" s="2" t="str">
        <v/>
      </c>
      <c r="U70" s="2" t="str">
        <v/>
      </c>
      <c r="V70" s="2" t="str">
        <v/>
      </c>
      <c r="W70" s="2" t="str">
        <v/>
      </c>
      <c r="X70" s="2" t="str">
        <v/>
      </c>
      <c r="Y70" s="2" t="str">
        <v/>
      </c>
      <c r="Z70" s="2" t="str">
        <v/>
      </c>
      <c r="AA70" s="2" t="str">
        <v/>
      </c>
      <c r="AB70" s="2" t="str">
        <v/>
      </c>
      <c r="AC70" s="2" t="str">
        <v/>
      </c>
      <c r="AD70" s="2" t="str">
        <v/>
      </c>
      <c r="AE70" s="2" t="str">
        <v/>
      </c>
      <c r="AF70" s="2" t="str">
        <v/>
      </c>
      <c r="AG70" s="2" t="str">
        <v/>
      </c>
      <c r="AH70" s="2" t="str">
        <v/>
      </c>
      <c r="AI70" s="2" t="str">
        <v/>
      </c>
      <c r="AJ70" s="2" t="str">
        <v/>
      </c>
      <c r="AK70" s="2" t="str">
        <v/>
      </c>
      <c r="AL70" s="2" t="str">
        <v/>
      </c>
      <c r="AM70" s="2" t="str">
        <v/>
      </c>
      <c r="AN70" s="2" t="str">
        <v/>
      </c>
      <c r="AO70" s="2" t="str">
        <v/>
      </c>
      <c r="AP70" s="2" t="str">
        <v/>
      </c>
      <c r="AQ70" s="2" t="str">
        <v/>
      </c>
      <c r="AR70" s="4" t="str">
        <v/>
      </c>
      <c r="AS70" s="4" t="str">
        <v/>
      </c>
      <c r="AT70" s="4" t="str">
        <v/>
      </c>
      <c r="AU70" s="4" t="str">
        <v/>
      </c>
      <c r="AV70" s="4" t="str">
        <v/>
      </c>
      <c r="AW70" s="4" t="str">
        <v/>
      </c>
      <c r="AX70" s="4" t="str">
        <v/>
      </c>
      <c r="AY70" s="4" t="str">
        <v/>
      </c>
      <c r="AZ70" s="4" t="str">
        <v/>
      </c>
      <c r="BA70" s="4" t="str">
        <v/>
      </c>
      <c r="BB70" s="4" t="str">
        <v/>
      </c>
      <c r="BC70" s="4" t="str">
        <v/>
      </c>
      <c r="BD70" s="4" t="str">
        <v/>
      </c>
      <c r="BE70" s="4" t="str">
        <v/>
      </c>
      <c r="BF70" s="4" t="str">
        <v/>
      </c>
      <c r="BG70" s="4" t="str">
        <v/>
      </c>
      <c r="BH70" s="4" t="str">
        <v/>
      </c>
      <c r="BI70" s="4" t="str">
        <v/>
      </c>
      <c r="BJ70" s="4" t="str">
        <v/>
      </c>
      <c r="BK70" s="4" t="str">
        <v/>
      </c>
      <c r="BL70" s="4" t="str">
        <v/>
      </c>
      <c r="BM70" s="4" t="str">
        <v/>
      </c>
      <c r="BN70" s="4" t="str">
        <v/>
      </c>
      <c r="BO70" s="4" t="str">
        <v/>
      </c>
      <c r="BP70" s="4">
        <v>1</v>
      </c>
      <c r="BQ70" s="4">
        <v>0.291661502300322</v>
      </c>
      <c r="BR70" s="4">
        <v>0.479086005957052</v>
      </c>
      <c r="BS70" s="4">
        <v>0.479394069556072</v>
      </c>
      <c r="BT70" s="4">
        <v>0.420880117619506</v>
      </c>
      <c r="BU70" s="4">
        <v>0.382336399983288</v>
      </c>
      <c r="BV70" s="4">
        <v>0.288072721387091</v>
      </c>
      <c r="BW70" s="4">
        <v>0.193442140835006</v>
      </c>
      <c r="BX70" s="4">
        <v>0.203042658345583</v>
      </c>
      <c r="BY70" s="4">
        <v>0.289219288321577</v>
      </c>
      <c r="BZ70" s="4">
        <v>0.202662350225355</v>
      </c>
      <c r="CA70" s="4">
        <v>0.311734311886737</v>
      </c>
      <c r="CB70" s="4">
        <v>0.324382803559998</v>
      </c>
      <c r="CC70" s="4">
        <v>0.388576086828991</v>
      </c>
      <c r="CD70" s="4">
        <v>0.189431350095192</v>
      </c>
      <c r="CE70" s="4">
        <v>0.442377041525621</v>
      </c>
      <c r="CF70" s="4">
        <v>0.518109061073367</v>
      </c>
      <c r="CG70" s="4">
        <v>0.510332952026944</v>
      </c>
      <c r="CH70" s="4">
        <v>0.381185104255567</v>
      </c>
      <c r="CI70" s="4">
        <v>0.650632783083105</v>
      </c>
      <c r="CJ70" s="4">
        <v>0.362982786472595</v>
      </c>
      <c r="CK70" s="4">
        <v>0.347337243681619</v>
      </c>
      <c r="CL70" s="4">
        <v>0.366617692095393</v>
      </c>
      <c r="CM70" s="4">
        <v>-0.0491798503951359</v>
      </c>
      <c r="CN70" s="4">
        <v>0.312887241135565</v>
      </c>
      <c r="CO70" s="4">
        <v>0.0900402358953087</v>
      </c>
      <c r="CP70" s="4">
        <v>-0.0545277929024008</v>
      </c>
      <c r="CQ70" s="4">
        <v>-0.012017586222718</v>
      </c>
      <c r="CR70" s="4">
        <v>0.230701089707233</v>
      </c>
      <c r="CS70" s="4">
        <v>0.415512230762844</v>
      </c>
      <c r="CT70" s="4">
        <v>0.300871542584356</v>
      </c>
      <c r="CU70" s="4">
        <v>0.478441858429178</v>
      </c>
      <c r="CV70" s="4">
        <v>0.537446848261689</v>
      </c>
      <c r="CW70" s="4">
        <v>0.584182131047457</v>
      </c>
      <c r="CX70" s="4">
        <v>0.343604405470017</v>
      </c>
      <c r="CY70" s="4">
        <v>0.244470151653624</v>
      </c>
      <c r="CZ70" s="4">
        <v>0.257593495629819</v>
      </c>
      <c r="DA70" s="4">
        <v>0.294529759897652</v>
      </c>
      <c r="DB70" s="4">
        <v>0.306519315237321</v>
      </c>
      <c r="DC70" s="4">
        <v>0.460101799290177</v>
      </c>
      <c r="DD70" s="4">
        <v>0.0173013146210857</v>
      </c>
      <c r="DE70" s="4">
        <v>0.545067720185685</v>
      </c>
      <c r="DF70" s="4">
        <v>0.32013849942373</v>
      </c>
      <c r="DG70" s="4">
        <v>0.206675262893148</v>
      </c>
      <c r="DH70" s="4">
        <v>0.4579741326077</v>
      </c>
      <c r="DI70" s="4">
        <v>0.35953904548139</v>
      </c>
      <c r="DJ70" s="4">
        <v>0.407249888876824</v>
      </c>
      <c r="DK70" s="4">
        <v>0.248138610181192</v>
      </c>
      <c r="DL70" s="4">
        <v>0.324096807642763</v>
      </c>
      <c r="DM70" s="4">
        <v>0.368980890230398</v>
      </c>
      <c r="DN70" s="4">
        <v>0.400352179308348</v>
      </c>
      <c r="DO70" s="4">
        <v>0.248863694379558</v>
      </c>
      <c r="DP70" s="4">
        <v>0.406731938357927</v>
      </c>
      <c r="DQ70" s="4">
        <v>0.310502253332718</v>
      </c>
      <c r="DR70" s="4">
        <v>0.448004364718694</v>
      </c>
      <c r="DS70" s="4">
        <v>0.418453184232177</v>
      </c>
      <c r="DT70" s="4">
        <v>0.317166956760229</v>
      </c>
      <c r="DU70" s="4">
        <v>0.446132206356599</v>
      </c>
      <c r="DV70" s="4">
        <v>0.276732926036988</v>
      </c>
      <c r="DW70" s="4">
        <v>0.123674318444467</v>
      </c>
      <c r="DX70" s="4">
        <v>0.425026185458436</v>
      </c>
      <c r="DY70" s="4">
        <v>0.54519548767774</v>
      </c>
    </row>
    <row r="71" ht="14" spans="1:129">
      <c r="A71" s="31" t="s">
        <v>69</v>
      </c>
      <c r="B71" s="2" t="str">
        <v/>
      </c>
      <c r="C71" s="2" t="str">
        <v/>
      </c>
      <c r="D71" s="2" t="str">
        <v/>
      </c>
      <c r="E71" s="2" t="str">
        <v/>
      </c>
      <c r="F71" s="2" t="str">
        <v/>
      </c>
      <c r="G71" s="2" t="str">
        <v/>
      </c>
      <c r="H71" s="2" t="str">
        <v/>
      </c>
      <c r="I71" s="2" t="str">
        <v/>
      </c>
      <c r="J71" s="2" t="str">
        <v/>
      </c>
      <c r="K71" s="2" t="str">
        <v/>
      </c>
      <c r="L71" s="2" t="str">
        <v/>
      </c>
      <c r="M71" s="2" t="str">
        <v/>
      </c>
      <c r="N71" s="2" t="str">
        <v/>
      </c>
      <c r="O71" s="2" t="str">
        <v/>
      </c>
      <c r="P71" s="2" t="str">
        <v/>
      </c>
      <c r="Q71" s="2" t="str">
        <v/>
      </c>
      <c r="R71" s="2" t="str">
        <v/>
      </c>
      <c r="S71" s="2" t="str">
        <v/>
      </c>
      <c r="T71" s="2" t="str">
        <v/>
      </c>
      <c r="U71" s="2" t="str">
        <v/>
      </c>
      <c r="V71" s="2" t="str">
        <v/>
      </c>
      <c r="W71" s="2" t="str">
        <v/>
      </c>
      <c r="X71" s="2" t="str">
        <v/>
      </c>
      <c r="Y71" s="2" t="str">
        <v/>
      </c>
      <c r="Z71" s="2" t="str">
        <v/>
      </c>
      <c r="AA71" s="2" t="str">
        <v/>
      </c>
      <c r="AB71" s="2" t="str">
        <v/>
      </c>
      <c r="AC71" s="2" t="str">
        <v/>
      </c>
      <c r="AD71" s="2" t="str">
        <v/>
      </c>
      <c r="AE71" s="2" t="str">
        <v/>
      </c>
      <c r="AF71" s="2" t="str">
        <v/>
      </c>
      <c r="AG71" s="2" t="str">
        <v/>
      </c>
      <c r="AH71" s="2" t="str">
        <v/>
      </c>
      <c r="AI71" s="2" t="str">
        <v/>
      </c>
      <c r="AJ71" s="2" t="str">
        <v/>
      </c>
      <c r="AK71" s="2" t="str">
        <v/>
      </c>
      <c r="AL71" s="2" t="str">
        <v/>
      </c>
      <c r="AM71" s="2" t="str">
        <v/>
      </c>
      <c r="AN71" s="2" t="str">
        <v/>
      </c>
      <c r="AO71" s="2" t="str">
        <v/>
      </c>
      <c r="AP71" s="2" t="str">
        <v/>
      </c>
      <c r="AQ71" s="2" t="str">
        <v/>
      </c>
      <c r="AR71" s="2" t="str">
        <v/>
      </c>
      <c r="AS71" s="2" t="str">
        <v/>
      </c>
      <c r="AT71" s="2" t="str">
        <v/>
      </c>
      <c r="AU71" s="2" t="str">
        <v/>
      </c>
      <c r="AV71" s="2" t="str">
        <v/>
      </c>
      <c r="AW71" s="2" t="str">
        <v/>
      </c>
      <c r="AX71" s="2" t="str">
        <v/>
      </c>
      <c r="AY71" s="2" t="str">
        <v/>
      </c>
      <c r="AZ71" s="2" t="str">
        <v/>
      </c>
      <c r="BA71" s="2" t="str">
        <v/>
      </c>
      <c r="BB71" s="2" t="str">
        <v/>
      </c>
      <c r="BC71" s="2" t="str">
        <v/>
      </c>
      <c r="BD71" s="2" t="str">
        <v/>
      </c>
      <c r="BE71" s="2" t="str">
        <v/>
      </c>
      <c r="BF71" s="2" t="str">
        <v/>
      </c>
      <c r="BG71" s="2" t="str">
        <v/>
      </c>
      <c r="BH71" s="2" t="str">
        <v/>
      </c>
      <c r="BI71" s="2" t="str">
        <v/>
      </c>
      <c r="BJ71" s="2" t="str">
        <v/>
      </c>
      <c r="BK71" s="2" t="str">
        <v/>
      </c>
      <c r="BL71" s="2" t="str">
        <v/>
      </c>
      <c r="BM71" s="2" t="str">
        <v/>
      </c>
      <c r="BN71" s="2" t="str">
        <v/>
      </c>
      <c r="BO71" s="2" t="str">
        <v/>
      </c>
      <c r="BP71" s="4" t="str">
        <v/>
      </c>
      <c r="BQ71" s="4">
        <v>1</v>
      </c>
      <c r="BR71" s="4">
        <v>0.30229747312146</v>
      </c>
      <c r="BS71" s="4">
        <v>0.362114157245628</v>
      </c>
      <c r="BT71" s="4">
        <v>0.216086239009729</v>
      </c>
      <c r="BU71" s="4">
        <v>0.407029520608379</v>
      </c>
      <c r="BV71" s="4">
        <v>0.0284502798075991</v>
      </c>
      <c r="BW71" s="4">
        <v>0.175306016640665</v>
      </c>
      <c r="BX71" s="4">
        <v>0.12010542738214</v>
      </c>
      <c r="BY71" s="4">
        <v>-0.00278089528891404</v>
      </c>
      <c r="BZ71" s="4">
        <v>0.156473391553071</v>
      </c>
      <c r="CA71" s="4">
        <v>0.371417831587868</v>
      </c>
      <c r="CB71" s="4">
        <v>0.257757036942256</v>
      </c>
      <c r="CC71" s="4">
        <v>0.147583116668792</v>
      </c>
      <c r="CD71" s="4">
        <v>0.229013732360179</v>
      </c>
      <c r="CE71" s="4">
        <v>0.0937551039944775</v>
      </c>
      <c r="CF71" s="4">
        <v>0.314965769847679</v>
      </c>
      <c r="CG71" s="4">
        <v>0.340919262215523</v>
      </c>
      <c r="CH71" s="4">
        <v>0.413609325939724</v>
      </c>
      <c r="CI71" s="4">
        <v>0.342634758693625</v>
      </c>
      <c r="CJ71" s="4">
        <v>0.312645066470639</v>
      </c>
      <c r="CK71" s="4">
        <v>-0.151357155435235</v>
      </c>
      <c r="CL71" s="4">
        <v>0.248018549843995</v>
      </c>
      <c r="CM71" s="4">
        <v>-0.0202303052578975</v>
      </c>
      <c r="CN71" s="4">
        <v>-0.032632490815353</v>
      </c>
      <c r="CO71" s="4">
        <v>0.199861807836689</v>
      </c>
      <c r="CP71" s="4">
        <v>0.164861745066613</v>
      </c>
      <c r="CQ71" s="4">
        <v>-0.127314865827791</v>
      </c>
      <c r="CR71" s="4">
        <v>0.205493533431024</v>
      </c>
      <c r="CS71" s="4">
        <v>0.262633215756548</v>
      </c>
      <c r="CT71" s="4">
        <v>0.233611216923938</v>
      </c>
      <c r="CU71" s="4">
        <v>0.22185068834821</v>
      </c>
      <c r="CV71" s="4">
        <v>0.249531002364076</v>
      </c>
      <c r="CW71" s="4">
        <v>0.298177939113535</v>
      </c>
      <c r="CX71" s="4">
        <v>0.0283814311715617</v>
      </c>
      <c r="CY71" s="4">
        <v>-0.00226700781376801</v>
      </c>
      <c r="CZ71" s="4">
        <v>0.191576475919772</v>
      </c>
      <c r="DA71" s="4">
        <v>0.0857936419550876</v>
      </c>
      <c r="DB71" s="4">
        <v>0.0785250304362528</v>
      </c>
      <c r="DC71" s="4">
        <v>-0.0375517117297973</v>
      </c>
      <c r="DD71" s="4">
        <v>-0.0557100663808294</v>
      </c>
      <c r="DE71" s="4">
        <v>0.169973012667739</v>
      </c>
      <c r="DF71" s="4">
        <v>-0.0361556943105094</v>
      </c>
      <c r="DG71" s="4">
        <v>0.10812181160668</v>
      </c>
      <c r="DH71" s="4">
        <v>0.0986607801657784</v>
      </c>
      <c r="DI71" s="4">
        <v>-0.00506403921653804</v>
      </c>
      <c r="DJ71" s="4">
        <v>0.0335378434219697</v>
      </c>
      <c r="DK71" s="4">
        <v>-0.0490433254337586</v>
      </c>
      <c r="DL71" s="4">
        <v>0.0914373630731402</v>
      </c>
      <c r="DM71" s="4">
        <v>0.0540951055726383</v>
      </c>
      <c r="DN71" s="4">
        <v>0.0648555533316734</v>
      </c>
      <c r="DO71" s="4">
        <v>0.0228597834851409</v>
      </c>
      <c r="DP71" s="4">
        <v>0.0415984898962099</v>
      </c>
      <c r="DQ71" s="4">
        <v>0.122333743522972</v>
      </c>
      <c r="DR71" s="4">
        <v>0.0795249412156028</v>
      </c>
      <c r="DS71" s="4">
        <v>0.017377863540214</v>
      </c>
      <c r="DT71" s="4">
        <v>0.0789786815771953</v>
      </c>
      <c r="DU71" s="4">
        <v>0.0664994822266544</v>
      </c>
      <c r="DV71" s="4">
        <v>0.16343478265964</v>
      </c>
      <c r="DW71" s="4">
        <v>0.163039887775355</v>
      </c>
      <c r="DX71" s="4">
        <v>0.28033453461341</v>
      </c>
      <c r="DY71" s="4">
        <v>0.158736563492314</v>
      </c>
    </row>
    <row r="72" ht="14" spans="1:129">
      <c r="A72" s="31" t="s">
        <v>70</v>
      </c>
      <c r="B72" s="2" t="str">
        <v/>
      </c>
      <c r="C72" s="2" t="str">
        <v/>
      </c>
      <c r="D72" s="2" t="str">
        <v/>
      </c>
      <c r="E72" s="2" t="str">
        <v/>
      </c>
      <c r="F72" s="2" t="str">
        <v/>
      </c>
      <c r="G72" s="2" t="str">
        <v/>
      </c>
      <c r="H72" s="2" t="str">
        <v/>
      </c>
      <c r="I72" s="2" t="str">
        <v/>
      </c>
      <c r="J72" s="2" t="str">
        <v/>
      </c>
      <c r="K72" s="2" t="str">
        <v/>
      </c>
      <c r="L72" s="2" t="str">
        <v/>
      </c>
      <c r="M72" s="2" t="str">
        <v/>
      </c>
      <c r="N72" s="2" t="str">
        <v/>
      </c>
      <c r="O72" s="2" t="str">
        <v/>
      </c>
      <c r="P72" s="2" t="str">
        <v/>
      </c>
      <c r="Q72" s="2" t="str">
        <v/>
      </c>
      <c r="R72" s="2" t="str">
        <v/>
      </c>
      <c r="S72" s="2" t="str">
        <v/>
      </c>
      <c r="T72" s="2" t="str">
        <v/>
      </c>
      <c r="U72" s="2" t="str">
        <v/>
      </c>
      <c r="V72" s="2" t="str">
        <v/>
      </c>
      <c r="W72" s="2" t="str">
        <v/>
      </c>
      <c r="X72" s="2" t="str">
        <v/>
      </c>
      <c r="Y72" s="2" t="str">
        <v/>
      </c>
      <c r="Z72" s="2" t="str">
        <v/>
      </c>
      <c r="AA72" s="2" t="str">
        <v/>
      </c>
      <c r="AB72" s="2" t="str">
        <v/>
      </c>
      <c r="AC72" s="2" t="str">
        <v/>
      </c>
      <c r="AD72" s="2" t="str">
        <v/>
      </c>
      <c r="AE72" s="2" t="str">
        <v/>
      </c>
      <c r="AF72" s="2" t="str">
        <v/>
      </c>
      <c r="AG72" s="2" t="str">
        <v/>
      </c>
      <c r="AH72" s="2" t="str">
        <v/>
      </c>
      <c r="AI72" s="2" t="str">
        <v/>
      </c>
      <c r="AJ72" s="2" t="str">
        <v/>
      </c>
      <c r="AK72" s="2" t="str">
        <v/>
      </c>
      <c r="AL72" s="2" t="str">
        <v/>
      </c>
      <c r="AM72" s="2" t="str">
        <v/>
      </c>
      <c r="AN72" s="2" t="str">
        <v/>
      </c>
      <c r="AO72" s="2" t="str">
        <v/>
      </c>
      <c r="AP72" s="2" t="str">
        <v/>
      </c>
      <c r="AQ72" s="2" t="str">
        <v/>
      </c>
      <c r="AR72" s="2" t="str">
        <v/>
      </c>
      <c r="AS72" s="2" t="str">
        <v/>
      </c>
      <c r="AT72" s="2" t="str">
        <v/>
      </c>
      <c r="AU72" s="2" t="str">
        <v/>
      </c>
      <c r="AV72" s="2" t="str">
        <v/>
      </c>
      <c r="AW72" s="2" t="str">
        <v/>
      </c>
      <c r="AX72" s="2" t="str">
        <v/>
      </c>
      <c r="AY72" s="2" t="str">
        <v/>
      </c>
      <c r="AZ72" s="2" t="str">
        <v/>
      </c>
      <c r="BA72" s="2" t="str">
        <v/>
      </c>
      <c r="BB72" s="2" t="str">
        <v/>
      </c>
      <c r="BC72" s="2" t="str">
        <v/>
      </c>
      <c r="BD72" s="2" t="str">
        <v/>
      </c>
      <c r="BE72" s="2" t="str">
        <v/>
      </c>
      <c r="BF72" s="2" t="str">
        <v/>
      </c>
      <c r="BG72" s="2" t="str">
        <v/>
      </c>
      <c r="BH72" s="2" t="str">
        <v/>
      </c>
      <c r="BI72" s="2" t="str">
        <v/>
      </c>
      <c r="BJ72" s="2" t="str">
        <v/>
      </c>
      <c r="BK72" s="2" t="str">
        <v/>
      </c>
      <c r="BL72" s="2" t="str">
        <v/>
      </c>
      <c r="BM72" s="2" t="str">
        <v/>
      </c>
      <c r="BN72" s="2" t="str">
        <v/>
      </c>
      <c r="BO72" s="2" t="str">
        <v/>
      </c>
      <c r="BP72" s="4" t="str">
        <v/>
      </c>
      <c r="BQ72" s="4" t="str">
        <v/>
      </c>
      <c r="BR72" s="4">
        <v>1</v>
      </c>
      <c r="BS72" s="4">
        <v>0.429934160854599</v>
      </c>
      <c r="BT72" s="4">
        <v>0.523514593505172</v>
      </c>
      <c r="BU72" s="4">
        <v>0.411971618769179</v>
      </c>
      <c r="BV72" s="4">
        <v>0.104859531510191</v>
      </c>
      <c r="BW72" s="4">
        <v>0.30897945402967</v>
      </c>
      <c r="BX72" s="4">
        <v>0.368509067099975</v>
      </c>
      <c r="BY72" s="4">
        <v>0.225056939896232</v>
      </c>
      <c r="BZ72" s="4">
        <v>0.264816575545582</v>
      </c>
      <c r="CA72" s="4">
        <v>0.439715866009639</v>
      </c>
      <c r="CB72" s="4">
        <v>0.448243158601291</v>
      </c>
      <c r="CC72" s="4">
        <v>0.326707730603548</v>
      </c>
      <c r="CD72" s="4">
        <v>0.305123632800231</v>
      </c>
      <c r="CE72" s="4">
        <v>0.377549887595044</v>
      </c>
      <c r="CF72" s="4">
        <v>0.502199980590053</v>
      </c>
      <c r="CG72" s="4">
        <v>0.487681993151746</v>
      </c>
      <c r="CH72" s="4">
        <v>0.324999836010352</v>
      </c>
      <c r="CI72" s="4">
        <v>0.596129943982138</v>
      </c>
      <c r="CJ72" s="4">
        <v>0.374147760264012</v>
      </c>
      <c r="CK72" s="4">
        <v>0.0904811102166098</v>
      </c>
      <c r="CL72" s="4">
        <v>0.425229302950107</v>
      </c>
      <c r="CM72" s="4">
        <v>-0.0365659927280924</v>
      </c>
      <c r="CN72" s="4">
        <v>0.158795628688862</v>
      </c>
      <c r="CO72" s="4">
        <v>0.296030616937543</v>
      </c>
      <c r="CP72" s="4">
        <v>0.236883578302247</v>
      </c>
      <c r="CQ72" s="4">
        <v>0.0287277492983203</v>
      </c>
      <c r="CR72" s="4">
        <v>0.150422022137034</v>
      </c>
      <c r="CS72" s="4">
        <v>0.370379482219046</v>
      </c>
      <c r="CT72" s="4">
        <v>0.352118011294214</v>
      </c>
      <c r="CU72" s="4">
        <v>0.295554846239593</v>
      </c>
      <c r="CV72" s="4">
        <v>0.353049513462906</v>
      </c>
      <c r="CW72" s="4">
        <v>0.431036179783931</v>
      </c>
      <c r="CX72" s="4">
        <v>0.253533175040128</v>
      </c>
      <c r="CY72" s="4">
        <v>0.234225237449029</v>
      </c>
      <c r="CZ72" s="4">
        <v>0.495566124838676</v>
      </c>
      <c r="DA72" s="4">
        <v>0.192465377917685</v>
      </c>
      <c r="DB72" s="4">
        <v>0.373679704765691</v>
      </c>
      <c r="DC72" s="4">
        <v>0.239444009847917</v>
      </c>
      <c r="DD72" s="4">
        <v>0.0235827221092847</v>
      </c>
      <c r="DE72" s="4">
        <v>0.290606467150439</v>
      </c>
      <c r="DF72" s="4">
        <v>0.216094876243258</v>
      </c>
      <c r="DG72" s="4">
        <v>0.217725767496677</v>
      </c>
      <c r="DH72" s="4">
        <v>0.352845886048368</v>
      </c>
      <c r="DI72" s="4">
        <v>0.366706672231522</v>
      </c>
      <c r="DJ72" s="4">
        <v>0.415821694419563</v>
      </c>
      <c r="DK72" s="4">
        <v>0.393216495430869</v>
      </c>
      <c r="DL72" s="4">
        <v>0.450552634185019</v>
      </c>
      <c r="DM72" s="4">
        <v>0.434144856694895</v>
      </c>
      <c r="DN72" s="4">
        <v>0.257278299838806</v>
      </c>
      <c r="DO72" s="4">
        <v>0.305641484559536</v>
      </c>
      <c r="DP72" s="4">
        <v>0.450069555663388</v>
      </c>
      <c r="DQ72" s="4">
        <v>0.420967132277264</v>
      </c>
      <c r="DR72" s="4">
        <v>0.453370048628137</v>
      </c>
      <c r="DS72" s="4">
        <v>0.438686925405091</v>
      </c>
      <c r="DT72" s="4">
        <v>0.291380128999301</v>
      </c>
      <c r="DU72" s="4">
        <v>0.390115370896038</v>
      </c>
      <c r="DV72" s="4">
        <v>0.400612649883071</v>
      </c>
      <c r="DW72" s="4">
        <v>0.257747594388639</v>
      </c>
      <c r="DX72" s="4">
        <v>0.354227557717047</v>
      </c>
      <c r="DY72" s="4">
        <v>0.389052922136464</v>
      </c>
    </row>
    <row r="73" ht="14" spans="1:129">
      <c r="A73" s="31" t="s">
        <v>71</v>
      </c>
      <c r="B73" s="2" t="str">
        <v/>
      </c>
      <c r="C73" s="2" t="str">
        <v/>
      </c>
      <c r="D73" s="2" t="str">
        <v/>
      </c>
      <c r="E73" s="2" t="str">
        <v/>
      </c>
      <c r="F73" s="2" t="str">
        <v/>
      </c>
      <c r="G73" s="2" t="str">
        <v/>
      </c>
      <c r="H73" s="2" t="str">
        <v/>
      </c>
      <c r="I73" s="2" t="str">
        <v/>
      </c>
      <c r="J73" s="2" t="str">
        <v/>
      </c>
      <c r="K73" s="2" t="str">
        <v/>
      </c>
      <c r="L73" s="2" t="str">
        <v/>
      </c>
      <c r="M73" s="2" t="str">
        <v/>
      </c>
      <c r="N73" s="2" t="str">
        <v/>
      </c>
      <c r="O73" s="2" t="str">
        <v/>
      </c>
      <c r="P73" s="2" t="str">
        <v/>
      </c>
      <c r="Q73" s="2" t="str">
        <v/>
      </c>
      <c r="R73" s="2" t="str">
        <v/>
      </c>
      <c r="S73" s="2" t="str">
        <v/>
      </c>
      <c r="T73" s="2" t="str">
        <v/>
      </c>
      <c r="U73" s="2" t="str">
        <v/>
      </c>
      <c r="V73" s="2" t="str">
        <v/>
      </c>
      <c r="W73" s="2" t="str">
        <v/>
      </c>
      <c r="X73" s="2" t="str">
        <v/>
      </c>
      <c r="Y73" s="2" t="str">
        <v/>
      </c>
      <c r="Z73" s="2" t="str">
        <v/>
      </c>
      <c r="AA73" s="2" t="str">
        <v/>
      </c>
      <c r="AB73" s="2" t="str">
        <v/>
      </c>
      <c r="AC73" s="2" t="str">
        <v/>
      </c>
      <c r="AD73" s="2" t="str">
        <v/>
      </c>
      <c r="AE73" s="2" t="str">
        <v/>
      </c>
      <c r="AF73" s="2" t="str">
        <v/>
      </c>
      <c r="AG73" s="2" t="str">
        <v/>
      </c>
      <c r="AH73" s="2" t="str">
        <v/>
      </c>
      <c r="AI73" s="2" t="str">
        <v/>
      </c>
      <c r="AJ73" s="2" t="str">
        <v/>
      </c>
      <c r="AK73" s="2" t="str">
        <v/>
      </c>
      <c r="AL73" s="2" t="str">
        <v/>
      </c>
      <c r="AM73" s="2" t="str">
        <v/>
      </c>
      <c r="AN73" s="2" t="str">
        <v/>
      </c>
      <c r="AO73" s="2" t="str">
        <v/>
      </c>
      <c r="AP73" s="2" t="str">
        <v/>
      </c>
      <c r="AQ73" s="2" t="str">
        <v/>
      </c>
      <c r="AR73" s="2" t="str">
        <v/>
      </c>
      <c r="AS73" s="2" t="str">
        <v/>
      </c>
      <c r="AT73" s="2" t="str">
        <v/>
      </c>
      <c r="AU73" s="2" t="str">
        <v/>
      </c>
      <c r="AV73" s="2" t="str">
        <v/>
      </c>
      <c r="AW73" s="2" t="str">
        <v/>
      </c>
      <c r="AX73" s="2" t="str">
        <v/>
      </c>
      <c r="AY73" s="2" t="str">
        <v/>
      </c>
      <c r="AZ73" s="2" t="str">
        <v/>
      </c>
      <c r="BA73" s="2" t="str">
        <v/>
      </c>
      <c r="BB73" s="2" t="str">
        <v/>
      </c>
      <c r="BC73" s="2" t="str">
        <v/>
      </c>
      <c r="BD73" s="2" t="str">
        <v/>
      </c>
      <c r="BE73" s="2" t="str">
        <v/>
      </c>
      <c r="BF73" s="2" t="str">
        <v/>
      </c>
      <c r="BG73" s="2" t="str">
        <v/>
      </c>
      <c r="BH73" s="2" t="str">
        <v/>
      </c>
      <c r="BI73" s="2" t="str">
        <v/>
      </c>
      <c r="BJ73" s="2" t="str">
        <v/>
      </c>
      <c r="BK73" s="2" t="str">
        <v/>
      </c>
      <c r="BL73" s="2" t="str">
        <v/>
      </c>
      <c r="BM73" s="2" t="str">
        <v/>
      </c>
      <c r="BN73" s="2" t="str">
        <v/>
      </c>
      <c r="BO73" s="2" t="str">
        <v/>
      </c>
      <c r="BP73" s="4" t="str">
        <v/>
      </c>
      <c r="BQ73" s="4" t="str">
        <v/>
      </c>
      <c r="BR73" s="4" t="str">
        <v/>
      </c>
      <c r="BS73" s="4">
        <v>1</v>
      </c>
      <c r="BT73" s="4">
        <v>0.699671757004144</v>
      </c>
      <c r="BU73" s="4">
        <v>0.49732825999183</v>
      </c>
      <c r="BV73" s="4">
        <v>0.149571401069012</v>
      </c>
      <c r="BW73" s="4">
        <v>0.287216297739799</v>
      </c>
      <c r="BX73" s="4">
        <v>0.223114205874052</v>
      </c>
      <c r="BY73" s="4">
        <v>0.36363147346239</v>
      </c>
      <c r="BZ73" s="4">
        <v>0.157330516804986</v>
      </c>
      <c r="CA73" s="4">
        <v>0.559850504947919</v>
      </c>
      <c r="CB73" s="4">
        <v>0.29397878242337</v>
      </c>
      <c r="CC73" s="4">
        <v>0.370907087169525</v>
      </c>
      <c r="CD73" s="4">
        <v>0.223868154319116</v>
      </c>
      <c r="CE73" s="4">
        <v>0.431498215937724</v>
      </c>
      <c r="CF73" s="4">
        <v>0.582333312545525</v>
      </c>
      <c r="CG73" s="4">
        <v>0.6184678145733</v>
      </c>
      <c r="CH73" s="4">
        <v>0.3696664402978</v>
      </c>
      <c r="CI73" s="4">
        <v>0.662509562567003</v>
      </c>
      <c r="CJ73" s="4">
        <v>0.304405604270634</v>
      </c>
      <c r="CK73" s="4">
        <v>0.424621653687919</v>
      </c>
      <c r="CL73" s="4">
        <v>0.622442909419833</v>
      </c>
      <c r="CM73" s="4">
        <v>-0.224030271456497</v>
      </c>
      <c r="CN73" s="4">
        <v>0.305713148501254</v>
      </c>
      <c r="CO73" s="4">
        <v>0.208321057490012</v>
      </c>
      <c r="CP73" s="4">
        <v>0.114691940655023</v>
      </c>
      <c r="CQ73" s="4">
        <v>-0.235197822526986</v>
      </c>
      <c r="CR73" s="4">
        <v>0.255160632684712</v>
      </c>
      <c r="CS73" s="4">
        <v>0.308884531482369</v>
      </c>
      <c r="CT73" s="4">
        <v>0.649436290193627</v>
      </c>
      <c r="CU73" s="4">
        <v>0.38746203717616</v>
      </c>
      <c r="CV73" s="4">
        <v>0.294828317859082</v>
      </c>
      <c r="CW73" s="4">
        <v>0.394211175175218</v>
      </c>
      <c r="CX73" s="4">
        <v>0.252947551199942</v>
      </c>
      <c r="CY73" s="4">
        <v>0.233854879547884</v>
      </c>
      <c r="CZ73" s="4">
        <v>0.251732515123059</v>
      </c>
      <c r="DA73" s="4">
        <v>0.17935319778773</v>
      </c>
      <c r="DB73" s="4">
        <v>0.437453914465741</v>
      </c>
      <c r="DC73" s="4">
        <v>0.439641454896433</v>
      </c>
      <c r="DD73" s="4">
        <v>-0.00916216628423189</v>
      </c>
      <c r="DE73" s="4">
        <v>0.358825542953471</v>
      </c>
      <c r="DF73" s="4">
        <v>0.175025697156861</v>
      </c>
      <c r="DG73" s="4">
        <v>0.117483732521677</v>
      </c>
      <c r="DH73" s="4">
        <v>0.506864076272168</v>
      </c>
      <c r="DI73" s="4">
        <v>0.51869242832945</v>
      </c>
      <c r="DJ73" s="4">
        <v>0.579641236453815</v>
      </c>
      <c r="DK73" s="4">
        <v>0.575304073930854</v>
      </c>
      <c r="DL73" s="4">
        <v>0.686943171589335</v>
      </c>
      <c r="DM73" s="4">
        <v>0.668006585703609</v>
      </c>
      <c r="DN73" s="4">
        <v>0.543604626873453</v>
      </c>
      <c r="DO73" s="4">
        <v>0.472960777208074</v>
      </c>
      <c r="DP73" s="4">
        <v>0.551443949502714</v>
      </c>
      <c r="DQ73" s="4">
        <v>0.643224096904919</v>
      </c>
      <c r="DR73" s="4">
        <v>0.67354789745887</v>
      </c>
      <c r="DS73" s="4">
        <v>0.378342179676606</v>
      </c>
      <c r="DT73" s="4">
        <v>0.573424720218755</v>
      </c>
      <c r="DU73" s="4">
        <v>0.714485070412404</v>
      </c>
      <c r="DV73" s="4">
        <v>0.542376000190545</v>
      </c>
      <c r="DW73" s="4">
        <v>0.312172037971857</v>
      </c>
      <c r="DX73" s="4">
        <v>0.478627246731085</v>
      </c>
      <c r="DY73" s="4">
        <v>0.649855782621831</v>
      </c>
    </row>
    <row r="74" ht="14" spans="1:129">
      <c r="A74" s="31" t="s">
        <v>72</v>
      </c>
      <c r="B74" s="2" t="str">
        <v/>
      </c>
      <c r="C74" s="2" t="str">
        <v/>
      </c>
      <c r="D74" s="2" t="str">
        <v/>
      </c>
      <c r="E74" s="2" t="str">
        <v/>
      </c>
      <c r="F74" s="2" t="str">
        <v/>
      </c>
      <c r="G74" s="2" t="str">
        <v/>
      </c>
      <c r="H74" s="2" t="str">
        <v/>
      </c>
      <c r="I74" s="2" t="str">
        <v/>
      </c>
      <c r="J74" s="2" t="str">
        <v/>
      </c>
      <c r="K74" s="2" t="str">
        <v/>
      </c>
      <c r="L74" s="2" t="str">
        <v/>
      </c>
      <c r="M74" s="2" t="str">
        <v/>
      </c>
      <c r="N74" s="2" t="str">
        <v/>
      </c>
      <c r="O74" s="2" t="str">
        <v/>
      </c>
      <c r="P74" s="2" t="str">
        <v/>
      </c>
      <c r="Q74" s="2" t="str">
        <v/>
      </c>
      <c r="R74" s="2" t="str">
        <v/>
      </c>
      <c r="S74" s="2" t="str">
        <v/>
      </c>
      <c r="T74" s="2" t="str">
        <v/>
      </c>
      <c r="U74" s="2" t="str">
        <v/>
      </c>
      <c r="V74" s="2" t="str">
        <v/>
      </c>
      <c r="W74" s="2" t="str">
        <v/>
      </c>
      <c r="X74" s="2" t="str">
        <v/>
      </c>
      <c r="Y74" s="2" t="str">
        <v/>
      </c>
      <c r="Z74" s="2" t="str">
        <v/>
      </c>
      <c r="AA74" s="2" t="str">
        <v/>
      </c>
      <c r="AB74" s="2" t="str">
        <v/>
      </c>
      <c r="AC74" s="2" t="str">
        <v/>
      </c>
      <c r="AD74" s="2" t="str">
        <v/>
      </c>
      <c r="AE74" s="2" t="str">
        <v/>
      </c>
      <c r="AF74" s="2" t="str">
        <v/>
      </c>
      <c r="AG74" s="2" t="str">
        <v/>
      </c>
      <c r="AH74" s="2" t="str">
        <v/>
      </c>
      <c r="AI74" s="2" t="str">
        <v/>
      </c>
      <c r="AJ74" s="2" t="str">
        <v/>
      </c>
      <c r="AK74" s="2" t="str">
        <v/>
      </c>
      <c r="AL74" s="2" t="str">
        <v/>
      </c>
      <c r="AM74" s="2" t="str">
        <v/>
      </c>
      <c r="AN74" s="2" t="str">
        <v/>
      </c>
      <c r="AO74" s="2" t="str">
        <v/>
      </c>
      <c r="AP74" s="2" t="str">
        <v/>
      </c>
      <c r="AQ74" s="2" t="str">
        <v/>
      </c>
      <c r="AR74" s="2" t="str">
        <v/>
      </c>
      <c r="AS74" s="2" t="str">
        <v/>
      </c>
      <c r="AT74" s="2" t="str">
        <v/>
      </c>
      <c r="AU74" s="2" t="str">
        <v/>
      </c>
      <c r="AV74" s="2" t="str">
        <v/>
      </c>
      <c r="AW74" s="2" t="str">
        <v/>
      </c>
      <c r="AX74" s="2" t="str">
        <v/>
      </c>
      <c r="AY74" s="2" t="str">
        <v/>
      </c>
      <c r="AZ74" s="2" t="str">
        <v/>
      </c>
      <c r="BA74" s="2" t="str">
        <v/>
      </c>
      <c r="BB74" s="2" t="str">
        <v/>
      </c>
      <c r="BC74" s="2" t="str">
        <v/>
      </c>
      <c r="BD74" s="2" t="str">
        <v/>
      </c>
      <c r="BE74" s="2" t="str">
        <v/>
      </c>
      <c r="BF74" s="2" t="str">
        <v/>
      </c>
      <c r="BG74" s="2" t="str">
        <v/>
      </c>
      <c r="BH74" s="2" t="str">
        <v/>
      </c>
      <c r="BI74" s="2" t="str">
        <v/>
      </c>
      <c r="BJ74" s="2" t="str">
        <v/>
      </c>
      <c r="BK74" s="2" t="str">
        <v/>
      </c>
      <c r="BL74" s="2" t="str">
        <v/>
      </c>
      <c r="BM74" s="2" t="str">
        <v/>
      </c>
      <c r="BN74" s="2" t="str">
        <v/>
      </c>
      <c r="BO74" s="2" t="str">
        <v/>
      </c>
      <c r="BP74" s="4" t="str">
        <v/>
      </c>
      <c r="BQ74" s="4" t="str">
        <v/>
      </c>
      <c r="BR74" s="4" t="str">
        <v/>
      </c>
      <c r="BS74" s="4" t="str">
        <v/>
      </c>
      <c r="BT74" s="4">
        <v>1</v>
      </c>
      <c r="BU74" s="4">
        <v>0.578601153067592</v>
      </c>
      <c r="BV74" s="4">
        <v>0.0781054625793647</v>
      </c>
      <c r="BW74" s="4">
        <v>0.381525537151037</v>
      </c>
      <c r="BX74" s="4">
        <v>0.29120665376801</v>
      </c>
      <c r="BY74" s="4">
        <v>0.473770296551431</v>
      </c>
      <c r="BZ74" s="4">
        <v>0.174535947086815</v>
      </c>
      <c r="CA74" s="4">
        <v>0.56304483564003</v>
      </c>
      <c r="CB74" s="4">
        <v>0.354974499375016</v>
      </c>
      <c r="CC74" s="4">
        <v>0.375919889217909</v>
      </c>
      <c r="CD74" s="4">
        <v>0.162543826427252</v>
      </c>
      <c r="CE74" s="4">
        <v>0.442270803783286</v>
      </c>
      <c r="CF74" s="4">
        <v>0.602027947399713</v>
      </c>
      <c r="CG74" s="4">
        <v>0.572489237647973</v>
      </c>
      <c r="CH74" s="4">
        <v>0.309728990996782</v>
      </c>
      <c r="CI74" s="4">
        <v>0.710242123057739</v>
      </c>
      <c r="CJ74" s="4">
        <v>0.28790603634083</v>
      </c>
      <c r="CK74" s="4">
        <v>0.266956441949063</v>
      </c>
      <c r="CL74" s="4">
        <v>0.816504756031694</v>
      </c>
      <c r="CM74" s="4">
        <v>-0.222397077435329</v>
      </c>
      <c r="CN74" s="4">
        <v>0.251904631786142</v>
      </c>
      <c r="CO74" s="4">
        <v>0.173514394725197</v>
      </c>
      <c r="CP74" s="4">
        <v>0.0745447276579599</v>
      </c>
      <c r="CQ74" s="4">
        <v>-0.223473004563824</v>
      </c>
      <c r="CR74" s="4">
        <v>0.111887524295636</v>
      </c>
      <c r="CS74" s="4">
        <v>0.276315904520865</v>
      </c>
      <c r="CT74" s="4">
        <v>0.834253142563406</v>
      </c>
      <c r="CU74" s="4">
        <v>0.483576376740276</v>
      </c>
      <c r="CV74" s="4">
        <v>0.216124103746103</v>
      </c>
      <c r="CW74" s="4">
        <v>0.410773093061436</v>
      </c>
      <c r="CX74" s="4">
        <v>0.418833797109603</v>
      </c>
      <c r="CY74" s="4">
        <v>0.390301553137357</v>
      </c>
      <c r="CZ74" s="4">
        <v>0.448828493241828</v>
      </c>
      <c r="DA74" s="4">
        <v>0.223451532207679</v>
      </c>
      <c r="DB74" s="4">
        <v>0.473075377116684</v>
      </c>
      <c r="DC74" s="4">
        <v>0.414936488124245</v>
      </c>
      <c r="DD74" s="4">
        <v>0.314255745237432</v>
      </c>
      <c r="DE74" s="4">
        <v>0.266591437965316</v>
      </c>
      <c r="DF74" s="4">
        <v>0.260720594881759</v>
      </c>
      <c r="DG74" s="4">
        <v>0.143830738328793</v>
      </c>
      <c r="DH74" s="4">
        <v>0.523029582157443</v>
      </c>
      <c r="DI74" s="4">
        <v>0.689237991924041</v>
      </c>
      <c r="DJ74" s="4">
        <v>0.679005896047828</v>
      </c>
      <c r="DK74" s="4">
        <v>0.782052256292033</v>
      </c>
      <c r="DL74" s="4">
        <v>0.747883816032292</v>
      </c>
      <c r="DM74" s="4">
        <v>0.778775829549399</v>
      </c>
      <c r="DN74" s="4">
        <v>0.669150154460071</v>
      </c>
      <c r="DO74" s="4">
        <v>0.781411721169681</v>
      </c>
      <c r="DP74" s="4">
        <v>0.771907910822136</v>
      </c>
      <c r="DQ74" s="4">
        <v>0.790405413931882</v>
      </c>
      <c r="DR74" s="4">
        <v>0.817995163437946</v>
      </c>
      <c r="DS74" s="4">
        <v>0.560560400081592</v>
      </c>
      <c r="DT74" s="4">
        <v>0.701543976546284</v>
      </c>
      <c r="DU74" s="4">
        <v>0.801325533463068</v>
      </c>
      <c r="DV74" s="4">
        <v>0.768951545886277</v>
      </c>
      <c r="DW74" s="4">
        <v>0.274599949081088</v>
      </c>
      <c r="DX74" s="4">
        <v>0.305902143383491</v>
      </c>
      <c r="DY74" s="4">
        <v>0.711475183637779</v>
      </c>
    </row>
    <row r="75" ht="14" spans="1:129">
      <c r="A75" s="31" t="s">
        <v>73</v>
      </c>
      <c r="B75" s="2" t="str">
        <v/>
      </c>
      <c r="C75" s="2" t="str">
        <v/>
      </c>
      <c r="D75" s="2" t="str">
        <v/>
      </c>
      <c r="E75" s="2" t="str">
        <v/>
      </c>
      <c r="F75" s="2" t="str">
        <v/>
      </c>
      <c r="G75" s="2" t="str">
        <v/>
      </c>
      <c r="H75" s="2" t="str">
        <v/>
      </c>
      <c r="I75" s="2" t="str">
        <v/>
      </c>
      <c r="J75" s="2" t="str">
        <v/>
      </c>
      <c r="K75" s="2" t="str">
        <v/>
      </c>
      <c r="L75" s="2" t="str">
        <v/>
      </c>
      <c r="M75" s="2" t="str">
        <v/>
      </c>
      <c r="N75" s="2" t="str">
        <v/>
      </c>
      <c r="O75" s="2" t="str">
        <v/>
      </c>
      <c r="P75" s="2" t="str">
        <v/>
      </c>
      <c r="Q75" s="2" t="str">
        <v/>
      </c>
      <c r="R75" s="2" t="str">
        <v/>
      </c>
      <c r="S75" s="2" t="str">
        <v/>
      </c>
      <c r="T75" s="2" t="str">
        <v/>
      </c>
      <c r="U75" s="2" t="str">
        <v/>
      </c>
      <c r="V75" s="2" t="str">
        <v/>
      </c>
      <c r="W75" s="2" t="str">
        <v/>
      </c>
      <c r="X75" s="2" t="str">
        <v/>
      </c>
      <c r="Y75" s="2" t="str">
        <v/>
      </c>
      <c r="Z75" s="2" t="str">
        <v/>
      </c>
      <c r="AA75" s="2" t="str">
        <v/>
      </c>
      <c r="AB75" s="2" t="str">
        <v/>
      </c>
      <c r="AC75" s="2" t="str">
        <v/>
      </c>
      <c r="AD75" s="2" t="str">
        <v/>
      </c>
      <c r="AE75" s="2" t="str">
        <v/>
      </c>
      <c r="AF75" s="2" t="str">
        <v/>
      </c>
      <c r="AG75" s="2" t="str">
        <v/>
      </c>
      <c r="AH75" s="2" t="str">
        <v/>
      </c>
      <c r="AI75" s="2" t="str">
        <v/>
      </c>
      <c r="AJ75" s="2" t="str">
        <v/>
      </c>
      <c r="AK75" s="2" t="str">
        <v/>
      </c>
      <c r="AL75" s="2" t="str">
        <v/>
      </c>
      <c r="AM75" s="2" t="str">
        <v/>
      </c>
      <c r="AN75" s="2" t="str">
        <v/>
      </c>
      <c r="AO75" s="2" t="str">
        <v/>
      </c>
      <c r="AP75" s="2" t="str">
        <v/>
      </c>
      <c r="AQ75" s="2" t="str">
        <v/>
      </c>
      <c r="AR75" s="2" t="str">
        <v/>
      </c>
      <c r="AS75" s="2" t="str">
        <v/>
      </c>
      <c r="AT75" s="2" t="str">
        <v/>
      </c>
      <c r="AU75" s="2" t="str">
        <v/>
      </c>
      <c r="AV75" s="2" t="str">
        <v/>
      </c>
      <c r="AW75" s="2" t="str">
        <v/>
      </c>
      <c r="AX75" s="2" t="str">
        <v/>
      </c>
      <c r="AY75" s="2" t="str">
        <v/>
      </c>
      <c r="AZ75" s="2" t="str">
        <v/>
      </c>
      <c r="BA75" s="2" t="str">
        <v/>
      </c>
      <c r="BB75" s="2" t="str">
        <v/>
      </c>
      <c r="BC75" s="2" t="str">
        <v/>
      </c>
      <c r="BD75" s="2" t="str">
        <v/>
      </c>
      <c r="BE75" s="2" t="str">
        <v/>
      </c>
      <c r="BF75" s="2" t="str">
        <v/>
      </c>
      <c r="BG75" s="2" t="str">
        <v/>
      </c>
      <c r="BH75" s="2" t="str">
        <v/>
      </c>
      <c r="BI75" s="2" t="str">
        <v/>
      </c>
      <c r="BJ75" s="2" t="str">
        <v/>
      </c>
      <c r="BK75" s="2" t="str">
        <v/>
      </c>
      <c r="BL75" s="2" t="str">
        <v/>
      </c>
      <c r="BM75" s="2" t="str">
        <v/>
      </c>
      <c r="BN75" s="2" t="str">
        <v/>
      </c>
      <c r="BO75" s="2" t="str">
        <v/>
      </c>
      <c r="BP75" s="4" t="str">
        <v/>
      </c>
      <c r="BQ75" s="4" t="str">
        <v/>
      </c>
      <c r="BR75" s="4" t="str">
        <v/>
      </c>
      <c r="BS75" s="4" t="str">
        <v/>
      </c>
      <c r="BT75" s="4" t="str">
        <v/>
      </c>
      <c r="BU75" s="4">
        <v>1</v>
      </c>
      <c r="BV75" s="4">
        <v>0.143506078842108</v>
      </c>
      <c r="BW75" s="4">
        <v>0.374334902666048</v>
      </c>
      <c r="BX75" s="4">
        <v>0.296187282300391</v>
      </c>
      <c r="BY75" s="4">
        <v>0.4632510058211</v>
      </c>
      <c r="BZ75" s="4">
        <v>0.430855954407943</v>
      </c>
      <c r="CA75" s="4">
        <v>0.676113177262812</v>
      </c>
      <c r="CB75" s="4">
        <v>0.578851696091399</v>
      </c>
      <c r="CC75" s="4">
        <v>0.223957545944214</v>
      </c>
      <c r="CD75" s="4">
        <v>0.41945660704228</v>
      </c>
      <c r="CE75" s="4">
        <v>0.511757843381939</v>
      </c>
      <c r="CF75" s="4">
        <v>0.547446228620949</v>
      </c>
      <c r="CG75" s="4">
        <v>0.653898600983881</v>
      </c>
      <c r="CH75" s="4">
        <v>0.452616504171406</v>
      </c>
      <c r="CI75" s="4">
        <v>0.676050362685981</v>
      </c>
      <c r="CJ75" s="4">
        <v>0.465325931023629</v>
      </c>
      <c r="CK75" s="4">
        <v>0.237157777438715</v>
      </c>
      <c r="CL75" s="4">
        <v>0.658818614912036</v>
      </c>
      <c r="CM75" s="4">
        <v>0.116578804826903</v>
      </c>
      <c r="CN75" s="4">
        <v>0.311432352925522</v>
      </c>
      <c r="CO75" s="4">
        <v>0.361655549687231</v>
      </c>
      <c r="CP75" s="4">
        <v>0.378713947175217</v>
      </c>
      <c r="CQ75" s="4">
        <v>0.0488209202907138</v>
      </c>
      <c r="CR75" s="4">
        <v>0.23050157284737</v>
      </c>
      <c r="CS75" s="4">
        <v>0.177475063309632</v>
      </c>
      <c r="CT75" s="4">
        <v>0.611185104643336</v>
      </c>
      <c r="CU75" s="4">
        <v>0.393688748089056</v>
      </c>
      <c r="CV75" s="4">
        <v>0.249346877579678</v>
      </c>
      <c r="CW75" s="4">
        <v>0.299244322465832</v>
      </c>
      <c r="CX75" s="4">
        <v>0.191471983867463</v>
      </c>
      <c r="CY75" s="4">
        <v>0.317418536298569</v>
      </c>
      <c r="CZ75" s="4">
        <v>0.436010979837607</v>
      </c>
      <c r="DA75" s="4">
        <v>0.114839253447652</v>
      </c>
      <c r="DB75" s="4">
        <v>0.314743105954071</v>
      </c>
      <c r="DC75" s="4">
        <v>0.20257930527279</v>
      </c>
      <c r="DD75" s="4">
        <v>0.267266660047904</v>
      </c>
      <c r="DE75" s="4">
        <v>0.267318626628713</v>
      </c>
      <c r="DF75" s="4">
        <v>0.21117462200764</v>
      </c>
      <c r="DG75" s="4">
        <v>0.241566102797568</v>
      </c>
      <c r="DH75" s="4">
        <v>0.318550635645395</v>
      </c>
      <c r="DI75" s="4">
        <v>0.458727652921635</v>
      </c>
      <c r="DJ75" s="4">
        <v>0.532011012602139</v>
      </c>
      <c r="DK75" s="4">
        <v>0.469537309083281</v>
      </c>
      <c r="DL75" s="4">
        <v>0.47867997423748</v>
      </c>
      <c r="DM75" s="4">
        <v>0.508768214317773</v>
      </c>
      <c r="DN75" s="4">
        <v>0.419544142216702</v>
      </c>
      <c r="DO75" s="4">
        <v>0.493327564717018</v>
      </c>
      <c r="DP75" s="4">
        <v>0.561455462540641</v>
      </c>
      <c r="DQ75" s="4">
        <v>0.546003563160859</v>
      </c>
      <c r="DR75" s="4">
        <v>0.52393686184338</v>
      </c>
      <c r="DS75" s="4">
        <v>0.425209418260612</v>
      </c>
      <c r="DT75" s="4">
        <v>0.521308241747141</v>
      </c>
      <c r="DU75" s="4">
        <v>0.477177236248014</v>
      </c>
      <c r="DV75" s="4">
        <v>0.64393429014237</v>
      </c>
      <c r="DW75" s="4">
        <v>0.265461635806207</v>
      </c>
      <c r="DX75" s="4">
        <v>0.284884039952072</v>
      </c>
      <c r="DY75" s="4">
        <v>0.517513178069072</v>
      </c>
    </row>
    <row r="76" ht="14" spans="1:129">
      <c r="A76" s="31" t="s">
        <v>74</v>
      </c>
      <c r="B76" s="2" t="str">
        <v/>
      </c>
      <c r="C76" s="2" t="str">
        <v/>
      </c>
      <c r="D76" s="2" t="str">
        <v/>
      </c>
      <c r="E76" s="2" t="str">
        <v/>
      </c>
      <c r="F76" s="2" t="str">
        <v/>
      </c>
      <c r="G76" s="2" t="str">
        <v/>
      </c>
      <c r="H76" s="2" t="str">
        <v/>
      </c>
      <c r="I76" s="2" t="str">
        <v/>
      </c>
      <c r="J76" s="2" t="str">
        <v/>
      </c>
      <c r="K76" s="2" t="str">
        <v/>
      </c>
      <c r="L76" s="2" t="str">
        <v/>
      </c>
      <c r="M76" s="2" t="str">
        <v/>
      </c>
      <c r="N76" s="2" t="str">
        <v/>
      </c>
      <c r="O76" s="2" t="str">
        <v/>
      </c>
      <c r="P76" s="2" t="str">
        <v/>
      </c>
      <c r="Q76" s="2" t="str">
        <v/>
      </c>
      <c r="R76" s="2" t="str">
        <v/>
      </c>
      <c r="S76" s="2" t="str">
        <v/>
      </c>
      <c r="T76" s="2" t="str">
        <v/>
      </c>
      <c r="U76" s="2" t="str">
        <v/>
      </c>
      <c r="V76" s="2" t="str">
        <v/>
      </c>
      <c r="W76" s="2" t="str">
        <v/>
      </c>
      <c r="X76" s="2" t="str">
        <v/>
      </c>
      <c r="Y76" s="2" t="str">
        <v/>
      </c>
      <c r="Z76" s="2" t="str">
        <v/>
      </c>
      <c r="AA76" s="2" t="str">
        <v/>
      </c>
      <c r="AB76" s="2" t="str">
        <v/>
      </c>
      <c r="AC76" s="2" t="str">
        <v/>
      </c>
      <c r="AD76" s="2" t="str">
        <v/>
      </c>
      <c r="AE76" s="2" t="str">
        <v/>
      </c>
      <c r="AF76" s="2" t="str">
        <v/>
      </c>
      <c r="AG76" s="2" t="str">
        <v/>
      </c>
      <c r="AH76" s="2" t="str">
        <v/>
      </c>
      <c r="AI76" s="2" t="str">
        <v/>
      </c>
      <c r="AJ76" s="2" t="str">
        <v/>
      </c>
      <c r="AK76" s="2" t="str">
        <v/>
      </c>
      <c r="AL76" s="2" t="str">
        <v/>
      </c>
      <c r="AM76" s="2" t="str">
        <v/>
      </c>
      <c r="AN76" s="2" t="str">
        <v/>
      </c>
      <c r="AO76" s="2" t="str">
        <v/>
      </c>
      <c r="AP76" s="2" t="str">
        <v/>
      </c>
      <c r="AQ76" s="2" t="str">
        <v/>
      </c>
      <c r="AR76" s="2" t="str">
        <v/>
      </c>
      <c r="AS76" s="2" t="str">
        <v/>
      </c>
      <c r="AT76" s="2" t="str">
        <v/>
      </c>
      <c r="AU76" s="2" t="str">
        <v/>
      </c>
      <c r="AV76" s="2" t="str">
        <v/>
      </c>
      <c r="AW76" s="2" t="str">
        <v/>
      </c>
      <c r="AX76" s="2" t="str">
        <v/>
      </c>
      <c r="AY76" s="2" t="str">
        <v/>
      </c>
      <c r="AZ76" s="2" t="str">
        <v/>
      </c>
      <c r="BA76" s="2" t="str">
        <v/>
      </c>
      <c r="BB76" s="2" t="str">
        <v/>
      </c>
      <c r="BC76" s="2" t="str">
        <v/>
      </c>
      <c r="BD76" s="2" t="str">
        <v/>
      </c>
      <c r="BE76" s="2" t="str">
        <v/>
      </c>
      <c r="BF76" s="2" t="str">
        <v/>
      </c>
      <c r="BG76" s="2" t="str">
        <v/>
      </c>
      <c r="BH76" s="2" t="str">
        <v/>
      </c>
      <c r="BI76" s="2" t="str">
        <v/>
      </c>
      <c r="BJ76" s="2" t="str">
        <v/>
      </c>
      <c r="BK76" s="2" t="str">
        <v/>
      </c>
      <c r="BL76" s="2" t="str">
        <v/>
      </c>
      <c r="BM76" s="2" t="str">
        <v/>
      </c>
      <c r="BN76" s="2" t="str">
        <v/>
      </c>
      <c r="BO76" s="2" t="str">
        <v/>
      </c>
      <c r="BP76" s="4" t="str">
        <v/>
      </c>
      <c r="BQ76" s="4" t="str">
        <v/>
      </c>
      <c r="BR76" s="4" t="str">
        <v/>
      </c>
      <c r="BS76" s="4" t="str">
        <v/>
      </c>
      <c r="BT76" s="4" t="str">
        <v/>
      </c>
      <c r="BU76" s="4" t="str">
        <v/>
      </c>
      <c r="BV76" s="4">
        <v>1</v>
      </c>
      <c r="BW76" s="4">
        <v>0.170141572627071</v>
      </c>
      <c r="BX76" s="4">
        <v>0.100013172395014</v>
      </c>
      <c r="BY76" s="4">
        <v>0.422458661749878</v>
      </c>
      <c r="BZ76" s="4">
        <v>0.0177421657775885</v>
      </c>
      <c r="CA76" s="4">
        <v>0.100530606135979</v>
      </c>
      <c r="CB76" s="4">
        <v>0.200766832148863</v>
      </c>
      <c r="CC76" s="4">
        <v>0.217971862584295</v>
      </c>
      <c r="CD76" s="4">
        <v>0.199857345651236</v>
      </c>
      <c r="CE76" s="4">
        <v>0.098607528713002</v>
      </c>
      <c r="CF76" s="4">
        <v>0.068424954788381</v>
      </c>
      <c r="CG76" s="4">
        <v>0.163674575626347</v>
      </c>
      <c r="CH76" s="4">
        <v>0.223942219344371</v>
      </c>
      <c r="CI76" s="4">
        <v>0.303667923423564</v>
      </c>
      <c r="CJ76" s="4">
        <v>0.183673725402578</v>
      </c>
      <c r="CK76" s="4">
        <v>0.232422162318213</v>
      </c>
      <c r="CL76" s="4">
        <v>0.13236426733985</v>
      </c>
      <c r="CM76" s="4">
        <v>-0.0960981169529834</v>
      </c>
      <c r="CN76" s="4">
        <v>0.0883680734702713</v>
      </c>
      <c r="CO76" s="4">
        <v>0.170512256279846</v>
      </c>
      <c r="CP76" s="4">
        <v>0.1064755675518</v>
      </c>
      <c r="CQ76" s="4">
        <v>0.0805754911077221</v>
      </c>
      <c r="CR76" s="4">
        <v>0.0789300960324824</v>
      </c>
      <c r="CS76" s="4">
        <v>0.125616788431299</v>
      </c>
      <c r="CT76" s="4">
        <v>0.0642990487520339</v>
      </c>
      <c r="CU76" s="4">
        <v>-0.0624623092492545</v>
      </c>
      <c r="CV76" s="4">
        <v>0.0586662303099202</v>
      </c>
      <c r="CW76" s="4">
        <v>0.263387187653766</v>
      </c>
      <c r="CX76" s="4">
        <v>0.17214121670234</v>
      </c>
      <c r="CY76" s="4">
        <v>0.102546365804678</v>
      </c>
      <c r="CZ76" s="4">
        <v>0.323302630890064</v>
      </c>
      <c r="DA76" s="4">
        <v>0.109467742538611</v>
      </c>
      <c r="DB76" s="4">
        <v>0.193689018776495</v>
      </c>
      <c r="DC76" s="4">
        <v>-0.0648658423405085</v>
      </c>
      <c r="DD76" s="4">
        <v>-0.0735304534590722</v>
      </c>
      <c r="DE76" s="4">
        <v>0.191604032149055</v>
      </c>
      <c r="DF76" s="4">
        <v>0.205055544298368</v>
      </c>
      <c r="DG76" s="4">
        <v>0.0879886548316538</v>
      </c>
      <c r="DH76" s="4">
        <v>0.144425468309479</v>
      </c>
      <c r="DI76" s="4">
        <v>0.0361615652917989</v>
      </c>
      <c r="DJ76" s="4">
        <v>0.049864662148159</v>
      </c>
      <c r="DK76" s="4">
        <v>0.0879929256120599</v>
      </c>
      <c r="DL76" s="4">
        <v>0.176959383185152</v>
      </c>
      <c r="DM76" s="4">
        <v>0.147836179549874</v>
      </c>
      <c r="DN76" s="4">
        <v>0.241168324914576</v>
      </c>
      <c r="DO76" s="4">
        <v>0.0212034603101745</v>
      </c>
      <c r="DP76" s="4">
        <v>0.0960600599444492</v>
      </c>
      <c r="DQ76" s="4">
        <v>0.102377509819521</v>
      </c>
      <c r="DR76" s="4">
        <v>0.166634355802647</v>
      </c>
      <c r="DS76" s="4">
        <v>0.029394777218899</v>
      </c>
      <c r="DT76" s="4">
        <v>0.0902768646836201</v>
      </c>
      <c r="DU76" s="4">
        <v>0.215447841485314</v>
      </c>
      <c r="DV76" s="4">
        <v>0.207258488577856</v>
      </c>
      <c r="DW76" s="4">
        <v>0.135873166320817</v>
      </c>
      <c r="DX76" s="4">
        <v>0.235090789301827</v>
      </c>
      <c r="DY76" s="4">
        <v>0.047736304806279</v>
      </c>
    </row>
    <row r="77" ht="14" spans="1:129">
      <c r="A77" s="31" t="s">
        <v>75</v>
      </c>
      <c r="B77" s="2" t="str">
        <v/>
      </c>
      <c r="C77" s="2" t="str">
        <v/>
      </c>
      <c r="D77" s="2" t="str">
        <v/>
      </c>
      <c r="E77" s="2" t="str">
        <v/>
      </c>
      <c r="F77" s="2" t="str">
        <v/>
      </c>
      <c r="G77" s="2" t="str">
        <v/>
      </c>
      <c r="H77" s="2" t="str">
        <v/>
      </c>
      <c r="I77" s="2" t="str">
        <v/>
      </c>
      <c r="J77" s="2" t="str">
        <v/>
      </c>
      <c r="K77" s="2" t="str">
        <v/>
      </c>
      <c r="L77" s="2" t="str">
        <v/>
      </c>
      <c r="M77" s="2" t="str">
        <v/>
      </c>
      <c r="N77" s="2" t="str">
        <v/>
      </c>
      <c r="O77" s="2" t="str">
        <v/>
      </c>
      <c r="P77" s="2" t="str">
        <v/>
      </c>
      <c r="Q77" s="2" t="str">
        <v/>
      </c>
      <c r="R77" s="2" t="str">
        <v/>
      </c>
      <c r="S77" s="2" t="str">
        <v/>
      </c>
      <c r="T77" s="2" t="str">
        <v/>
      </c>
      <c r="U77" s="2" t="str">
        <v/>
      </c>
      <c r="V77" s="2" t="str">
        <v/>
      </c>
      <c r="W77" s="2" t="str">
        <v/>
      </c>
      <c r="X77" s="2" t="str">
        <v/>
      </c>
      <c r="Y77" s="2" t="str">
        <v/>
      </c>
      <c r="Z77" s="2" t="str">
        <v/>
      </c>
      <c r="AA77" s="2" t="str">
        <v/>
      </c>
      <c r="AB77" s="2" t="str">
        <v/>
      </c>
      <c r="AC77" s="2" t="str">
        <v/>
      </c>
      <c r="AD77" s="2" t="str">
        <v/>
      </c>
      <c r="AE77" s="2" t="str">
        <v/>
      </c>
      <c r="AF77" s="2" t="str">
        <v/>
      </c>
      <c r="AG77" s="2" t="str">
        <v/>
      </c>
      <c r="AH77" s="2" t="str">
        <v/>
      </c>
      <c r="AI77" s="2" t="str">
        <v/>
      </c>
      <c r="AJ77" s="2" t="str">
        <v/>
      </c>
      <c r="AK77" s="2" t="str">
        <v/>
      </c>
      <c r="AL77" s="2" t="str">
        <v/>
      </c>
      <c r="AM77" s="2" t="str">
        <v/>
      </c>
      <c r="AN77" s="2" t="str">
        <v/>
      </c>
      <c r="AO77" s="2" t="str">
        <v/>
      </c>
      <c r="AP77" s="2" t="str">
        <v/>
      </c>
      <c r="AQ77" s="2" t="str">
        <v/>
      </c>
      <c r="AR77" s="2" t="str">
        <v/>
      </c>
      <c r="AS77" s="2" t="str">
        <v/>
      </c>
      <c r="AT77" s="2" t="str">
        <v/>
      </c>
      <c r="AU77" s="2" t="str">
        <v/>
      </c>
      <c r="AV77" s="2" t="str">
        <v/>
      </c>
      <c r="AW77" s="2" t="str">
        <v/>
      </c>
      <c r="AX77" s="2" t="str">
        <v/>
      </c>
      <c r="AY77" s="2" t="str">
        <v/>
      </c>
      <c r="AZ77" s="2" t="str">
        <v/>
      </c>
      <c r="BA77" s="2" t="str">
        <v/>
      </c>
      <c r="BB77" s="2" t="str">
        <v/>
      </c>
      <c r="BC77" s="2" t="str">
        <v/>
      </c>
      <c r="BD77" s="2" t="str">
        <v/>
      </c>
      <c r="BE77" s="2" t="str">
        <v/>
      </c>
      <c r="BF77" s="2" t="str">
        <v/>
      </c>
      <c r="BG77" s="2" t="str">
        <v/>
      </c>
      <c r="BH77" s="2" t="str">
        <v/>
      </c>
      <c r="BI77" s="2" t="str">
        <v/>
      </c>
      <c r="BJ77" s="2" t="str">
        <v/>
      </c>
      <c r="BK77" s="2" t="str">
        <v/>
      </c>
      <c r="BL77" s="2" t="str">
        <v/>
      </c>
      <c r="BM77" s="2" t="str">
        <v/>
      </c>
      <c r="BN77" s="2" t="str">
        <v/>
      </c>
      <c r="BO77" s="2" t="str">
        <v/>
      </c>
      <c r="BP77" s="4" t="str">
        <v/>
      </c>
      <c r="BQ77" s="4" t="str">
        <v/>
      </c>
      <c r="BR77" s="4" t="str">
        <v/>
      </c>
      <c r="BS77" s="4" t="str">
        <v/>
      </c>
      <c r="BT77" s="4" t="str">
        <v/>
      </c>
      <c r="BU77" s="4" t="str">
        <v/>
      </c>
      <c r="BV77" s="4" t="str">
        <v/>
      </c>
      <c r="BW77" s="4">
        <v>1</v>
      </c>
      <c r="BX77" s="4">
        <v>0.309099385821701</v>
      </c>
      <c r="BY77" s="4">
        <v>0.412327477884607</v>
      </c>
      <c r="BZ77" s="4">
        <v>0.220394503654591</v>
      </c>
      <c r="CA77" s="4">
        <v>0.383623633470777</v>
      </c>
      <c r="CB77" s="4">
        <v>0.266263420935567</v>
      </c>
      <c r="CC77" s="4">
        <v>0.40527146340986</v>
      </c>
      <c r="CD77" s="4">
        <v>0.0247384603680923</v>
      </c>
      <c r="CE77" s="4">
        <v>0.215624151979997</v>
      </c>
      <c r="CF77" s="4">
        <v>0.352189808706077</v>
      </c>
      <c r="CG77" s="4">
        <v>0.346157054669824</v>
      </c>
      <c r="CH77" s="4">
        <v>0.384380417796008</v>
      </c>
      <c r="CI77" s="4">
        <v>0.493660330453991</v>
      </c>
      <c r="CJ77" s="4">
        <v>0.185614174182313</v>
      </c>
      <c r="CK77" s="4">
        <v>0.311902410509454</v>
      </c>
      <c r="CL77" s="4">
        <v>0.328445658643364</v>
      </c>
      <c r="CM77" s="4">
        <v>0.162517389961169</v>
      </c>
      <c r="CN77" s="4">
        <v>0.154622233467625</v>
      </c>
      <c r="CO77" s="4">
        <v>0.162055322937541</v>
      </c>
      <c r="CP77" s="4">
        <v>0.292912262023313</v>
      </c>
      <c r="CQ77" s="4">
        <v>0.00282967145667248</v>
      </c>
      <c r="CR77" s="4">
        <v>0.170919431645944</v>
      </c>
      <c r="CS77" s="4">
        <v>0.154498521402105</v>
      </c>
      <c r="CT77" s="4">
        <v>0.388750858307405</v>
      </c>
      <c r="CU77" s="4">
        <v>0.102631567919864</v>
      </c>
      <c r="CV77" s="4">
        <v>0.228252602636835</v>
      </c>
      <c r="CW77" s="4">
        <v>0.435619066999435</v>
      </c>
      <c r="CX77" s="4">
        <v>0.19893250346059</v>
      </c>
      <c r="CY77" s="4">
        <v>0.255105095633086</v>
      </c>
      <c r="CZ77" s="4">
        <v>0.254716060343472</v>
      </c>
      <c r="DA77" s="4">
        <v>0.342157252035331</v>
      </c>
      <c r="DB77" s="4">
        <v>0.266594490654736</v>
      </c>
      <c r="DC77" s="4">
        <v>0.256166442240129</v>
      </c>
      <c r="DD77" s="4">
        <v>0.236952508072821</v>
      </c>
      <c r="DE77" s="4">
        <v>0.301660278192495</v>
      </c>
      <c r="DF77" s="4">
        <v>0.25964082830508</v>
      </c>
      <c r="DG77" s="4">
        <v>0.42535208641573</v>
      </c>
      <c r="DH77" s="4">
        <v>0.363090280544971</v>
      </c>
      <c r="DI77" s="4">
        <v>0.396605421668424</v>
      </c>
      <c r="DJ77" s="4">
        <v>0.356700601946747</v>
      </c>
      <c r="DK77" s="4">
        <v>0.361436927793359</v>
      </c>
      <c r="DL77" s="4">
        <v>0.477592008733725</v>
      </c>
      <c r="DM77" s="4">
        <v>0.456755847706225</v>
      </c>
      <c r="DN77" s="4">
        <v>0.334691505607971</v>
      </c>
      <c r="DO77" s="4">
        <v>0.38116226879949</v>
      </c>
      <c r="DP77" s="4">
        <v>0.428964596918826</v>
      </c>
      <c r="DQ77" s="4">
        <v>0.38513069099328</v>
      </c>
      <c r="DR77" s="4">
        <v>0.527980076608671</v>
      </c>
      <c r="DS77" s="4">
        <v>0.314981177752068</v>
      </c>
      <c r="DT77" s="4">
        <v>0.416932736193003</v>
      </c>
      <c r="DU77" s="4">
        <v>0.37670396258013</v>
      </c>
      <c r="DV77" s="4">
        <v>0.487969539352442</v>
      </c>
      <c r="DW77" s="4">
        <v>0.342791056301043</v>
      </c>
      <c r="DX77" s="4">
        <v>0.045370993483867</v>
      </c>
      <c r="DY77" s="4">
        <v>0.424997922137544</v>
      </c>
    </row>
    <row r="78" ht="14" spans="1:129">
      <c r="A78" s="31" t="s">
        <v>76</v>
      </c>
      <c r="B78" s="2" t="str">
        <v/>
      </c>
      <c r="C78" s="2" t="str">
        <v/>
      </c>
      <c r="D78" s="2" t="str">
        <v/>
      </c>
      <c r="E78" s="2" t="str">
        <v/>
      </c>
      <c r="F78" s="2" t="str">
        <v/>
      </c>
      <c r="G78" s="2" t="str">
        <v/>
      </c>
      <c r="H78" s="2" t="str">
        <v/>
      </c>
      <c r="I78" s="2" t="str">
        <v/>
      </c>
      <c r="J78" s="2" t="str">
        <v/>
      </c>
      <c r="K78" s="2" t="str">
        <v/>
      </c>
      <c r="L78" s="2" t="str">
        <v/>
      </c>
      <c r="M78" s="2" t="str">
        <v/>
      </c>
      <c r="N78" s="2" t="str">
        <v/>
      </c>
      <c r="O78" s="2" t="str">
        <v/>
      </c>
      <c r="P78" s="2" t="str">
        <v/>
      </c>
      <c r="Q78" s="2" t="str">
        <v/>
      </c>
      <c r="R78" s="2" t="str">
        <v/>
      </c>
      <c r="S78" s="2" t="str">
        <v/>
      </c>
      <c r="T78" s="2" t="str">
        <v/>
      </c>
      <c r="U78" s="2" t="str">
        <v/>
      </c>
      <c r="V78" s="2" t="str">
        <v/>
      </c>
      <c r="W78" s="2" t="str">
        <v/>
      </c>
      <c r="X78" s="2" t="str">
        <v/>
      </c>
      <c r="Y78" s="2" t="str">
        <v/>
      </c>
      <c r="Z78" s="2" t="str">
        <v/>
      </c>
      <c r="AA78" s="2" t="str">
        <v/>
      </c>
      <c r="AB78" s="2" t="str">
        <v/>
      </c>
      <c r="AC78" s="2" t="str">
        <v/>
      </c>
      <c r="AD78" s="2" t="str">
        <v/>
      </c>
      <c r="AE78" s="2" t="str">
        <v/>
      </c>
      <c r="AF78" s="2" t="str">
        <v/>
      </c>
      <c r="AG78" s="2" t="str">
        <v/>
      </c>
      <c r="AH78" s="2" t="str">
        <v/>
      </c>
      <c r="AI78" s="2" t="str">
        <v/>
      </c>
      <c r="AJ78" s="2" t="str">
        <v/>
      </c>
      <c r="AK78" s="2" t="str">
        <v/>
      </c>
      <c r="AL78" s="2" t="str">
        <v/>
      </c>
      <c r="AM78" s="2" t="str">
        <v/>
      </c>
      <c r="AN78" s="2" t="str">
        <v/>
      </c>
      <c r="AO78" s="2" t="str">
        <v/>
      </c>
      <c r="AP78" s="2" t="str">
        <v/>
      </c>
      <c r="AQ78" s="2" t="str">
        <v/>
      </c>
      <c r="AR78" s="2" t="str">
        <v/>
      </c>
      <c r="AS78" s="2" t="str">
        <v/>
      </c>
      <c r="AT78" s="2" t="str">
        <v/>
      </c>
      <c r="AU78" s="2" t="str">
        <v/>
      </c>
      <c r="AV78" s="2" t="str">
        <v/>
      </c>
      <c r="AW78" s="2" t="str">
        <v/>
      </c>
      <c r="AX78" s="2" t="str">
        <v/>
      </c>
      <c r="AY78" s="2" t="str">
        <v/>
      </c>
      <c r="AZ78" s="2" t="str">
        <v/>
      </c>
      <c r="BA78" s="2" t="str">
        <v/>
      </c>
      <c r="BB78" s="2" t="str">
        <v/>
      </c>
      <c r="BC78" s="2" t="str">
        <v/>
      </c>
      <c r="BD78" s="2" t="str">
        <v/>
      </c>
      <c r="BE78" s="2" t="str">
        <v/>
      </c>
      <c r="BF78" s="2" t="str">
        <v/>
      </c>
      <c r="BG78" s="2" t="str">
        <v/>
      </c>
      <c r="BH78" s="2" t="str">
        <v/>
      </c>
      <c r="BI78" s="2" t="str">
        <v/>
      </c>
      <c r="BJ78" s="2" t="str">
        <v/>
      </c>
      <c r="BK78" s="2" t="str">
        <v/>
      </c>
      <c r="BL78" s="2" t="str">
        <v/>
      </c>
      <c r="BM78" s="2" t="str">
        <v/>
      </c>
      <c r="BN78" s="2" t="str">
        <v/>
      </c>
      <c r="BO78" s="2" t="str">
        <v/>
      </c>
      <c r="BP78" s="4" t="str">
        <v/>
      </c>
      <c r="BQ78" s="4" t="str">
        <v/>
      </c>
      <c r="BR78" s="4" t="str">
        <v/>
      </c>
      <c r="BS78" s="4" t="str">
        <v/>
      </c>
      <c r="BT78" s="4" t="str">
        <v/>
      </c>
      <c r="BU78" s="4" t="str">
        <v/>
      </c>
      <c r="BV78" s="4" t="str">
        <v/>
      </c>
      <c r="BW78" s="4" t="str">
        <v/>
      </c>
      <c r="BX78" s="4">
        <v>1</v>
      </c>
      <c r="BY78" s="4">
        <v>0.501818054427084</v>
      </c>
      <c r="BZ78" s="4">
        <v>0.337687452370423</v>
      </c>
      <c r="CA78" s="4">
        <v>0.193878575232512</v>
      </c>
      <c r="CB78" s="4">
        <v>0.304884877355952</v>
      </c>
      <c r="CC78" s="4">
        <v>0.202060948952788</v>
      </c>
      <c r="CD78" s="4">
        <v>0.164596235959193</v>
      </c>
      <c r="CE78" s="4">
        <v>0.259563104662763</v>
      </c>
      <c r="CF78" s="4">
        <v>0.217600370467341</v>
      </c>
      <c r="CG78" s="4">
        <v>0.346714687467254</v>
      </c>
      <c r="CH78" s="4">
        <v>0.210545685933815</v>
      </c>
      <c r="CI78" s="4">
        <v>0.532069672719167</v>
      </c>
      <c r="CJ78" s="4">
        <v>0.219750604106382</v>
      </c>
      <c r="CK78" s="4">
        <v>0.284924274084145</v>
      </c>
      <c r="CL78" s="4">
        <v>0.400897956196208</v>
      </c>
      <c r="CM78" s="4">
        <v>0.199155611343898</v>
      </c>
      <c r="CN78" s="4">
        <v>0.303698285142194</v>
      </c>
      <c r="CO78" s="4">
        <v>0.428890390258775</v>
      </c>
      <c r="CP78" s="4">
        <v>0.244029414938559</v>
      </c>
      <c r="CQ78" s="4">
        <v>0.316715884908091</v>
      </c>
      <c r="CR78" s="4">
        <v>0.186193684245647</v>
      </c>
      <c r="CS78" s="4">
        <v>-0.0658491568880848</v>
      </c>
      <c r="CT78" s="4">
        <v>0.252470300481514</v>
      </c>
      <c r="CU78" s="4">
        <v>0.182170156095394</v>
      </c>
      <c r="CV78" s="4">
        <v>0.46640871356808</v>
      </c>
      <c r="CW78" s="4">
        <v>0.40038544017133</v>
      </c>
      <c r="CX78" s="4">
        <v>0.290099027744861</v>
      </c>
      <c r="CY78" s="4">
        <v>0.183994299580057</v>
      </c>
      <c r="CZ78" s="4">
        <v>0.368568376913224</v>
      </c>
      <c r="DA78" s="4">
        <v>0.317877538619279</v>
      </c>
      <c r="DB78" s="4">
        <v>0.296087364280108</v>
      </c>
      <c r="DC78" s="4">
        <v>0.491668790306646</v>
      </c>
      <c r="DD78" s="4">
        <v>0.231957158531937</v>
      </c>
      <c r="DE78" s="4">
        <v>0.43402092117958</v>
      </c>
      <c r="DF78" s="4">
        <v>0.459433919686048</v>
      </c>
      <c r="DG78" s="4">
        <v>0.38009124465925</v>
      </c>
      <c r="DH78" s="4">
        <v>0.43008610398923</v>
      </c>
      <c r="DI78" s="4">
        <v>0.492802956819006</v>
      </c>
      <c r="DJ78" s="4">
        <v>0.501270819527294</v>
      </c>
      <c r="DK78" s="4">
        <v>0.420588157759046</v>
      </c>
      <c r="DL78" s="4">
        <v>0.429216695613777</v>
      </c>
      <c r="DM78" s="4">
        <v>0.447066877137062</v>
      </c>
      <c r="DN78" s="4">
        <v>0.492621974995849</v>
      </c>
      <c r="DO78" s="4">
        <v>0.332959605824479</v>
      </c>
      <c r="DP78" s="4">
        <v>0.467427940287309</v>
      </c>
      <c r="DQ78" s="4">
        <v>0.402310062522731</v>
      </c>
      <c r="DR78" s="4">
        <v>0.427965734149467</v>
      </c>
      <c r="DS78" s="4">
        <v>0.358933284878763</v>
      </c>
      <c r="DT78" s="4">
        <v>0.314337454375035</v>
      </c>
      <c r="DU78" s="4">
        <v>0.376964066287526</v>
      </c>
      <c r="DV78" s="4">
        <v>0.372302210216339</v>
      </c>
      <c r="DW78" s="4">
        <v>0.212134605424881</v>
      </c>
      <c r="DX78" s="4">
        <v>0.0691344184117209</v>
      </c>
      <c r="DY78" s="4">
        <v>0.333065303122091</v>
      </c>
    </row>
    <row r="79" ht="14" spans="1:129">
      <c r="A79" s="31" t="s">
        <v>77</v>
      </c>
      <c r="B79" s="2" t="str">
        <v/>
      </c>
      <c r="C79" s="2" t="str">
        <v/>
      </c>
      <c r="D79" s="2" t="str">
        <v/>
      </c>
      <c r="E79" s="2" t="str">
        <v/>
      </c>
      <c r="F79" s="2" t="str">
        <v/>
      </c>
      <c r="G79" s="2" t="str">
        <v/>
      </c>
      <c r="H79" s="2" t="str">
        <v/>
      </c>
      <c r="I79" s="2" t="str">
        <v/>
      </c>
      <c r="J79" s="2" t="str">
        <v/>
      </c>
      <c r="K79" s="2" t="str">
        <v/>
      </c>
      <c r="L79" s="2" t="str">
        <v/>
      </c>
      <c r="M79" s="2" t="str">
        <v/>
      </c>
      <c r="N79" s="2" t="str">
        <v/>
      </c>
      <c r="O79" s="2" t="str">
        <v/>
      </c>
      <c r="P79" s="2" t="str">
        <v/>
      </c>
      <c r="Q79" s="2" t="str">
        <v/>
      </c>
      <c r="R79" s="2" t="str">
        <v/>
      </c>
      <c r="S79" s="2" t="str">
        <v/>
      </c>
      <c r="T79" s="2" t="str">
        <v/>
      </c>
      <c r="U79" s="2" t="str">
        <v/>
      </c>
      <c r="V79" s="2" t="str">
        <v/>
      </c>
      <c r="W79" s="2" t="str">
        <v/>
      </c>
      <c r="X79" s="2" t="str">
        <v/>
      </c>
      <c r="Y79" s="2" t="str">
        <v/>
      </c>
      <c r="Z79" s="2" t="str">
        <v/>
      </c>
      <c r="AA79" s="2" t="str">
        <v/>
      </c>
      <c r="AB79" s="2" t="str">
        <v/>
      </c>
      <c r="AC79" s="2" t="str">
        <v/>
      </c>
      <c r="AD79" s="2" t="str">
        <v/>
      </c>
      <c r="AE79" s="2" t="str">
        <v/>
      </c>
      <c r="AF79" s="2" t="str">
        <v/>
      </c>
      <c r="AG79" s="2" t="str">
        <v/>
      </c>
      <c r="AH79" s="2" t="str">
        <v/>
      </c>
      <c r="AI79" s="2" t="str">
        <v/>
      </c>
      <c r="AJ79" s="2" t="str">
        <v/>
      </c>
      <c r="AK79" s="2" t="str">
        <v/>
      </c>
      <c r="AL79" s="2" t="str">
        <v/>
      </c>
      <c r="AM79" s="2" t="str">
        <v/>
      </c>
      <c r="AN79" s="2" t="str">
        <v/>
      </c>
      <c r="AO79" s="2" t="str">
        <v/>
      </c>
      <c r="AP79" s="2" t="str">
        <v/>
      </c>
      <c r="AQ79" s="2" t="str">
        <v/>
      </c>
      <c r="AR79" s="2" t="str">
        <v/>
      </c>
      <c r="AS79" s="2" t="str">
        <v/>
      </c>
      <c r="AT79" s="2" t="str">
        <v/>
      </c>
      <c r="AU79" s="2" t="str">
        <v/>
      </c>
      <c r="AV79" s="2" t="str">
        <v/>
      </c>
      <c r="AW79" s="2" t="str">
        <v/>
      </c>
      <c r="AX79" s="2" t="str">
        <v/>
      </c>
      <c r="AY79" s="2" t="str">
        <v/>
      </c>
      <c r="AZ79" s="2" t="str">
        <v/>
      </c>
      <c r="BA79" s="2" t="str">
        <v/>
      </c>
      <c r="BB79" s="2" t="str">
        <v/>
      </c>
      <c r="BC79" s="2" t="str">
        <v/>
      </c>
      <c r="BD79" s="2" t="str">
        <v/>
      </c>
      <c r="BE79" s="2" t="str">
        <v/>
      </c>
      <c r="BF79" s="2" t="str">
        <v/>
      </c>
      <c r="BG79" s="2" t="str">
        <v/>
      </c>
      <c r="BH79" s="2" t="str">
        <v/>
      </c>
      <c r="BI79" s="2" t="str">
        <v/>
      </c>
      <c r="BJ79" s="2" t="str">
        <v/>
      </c>
      <c r="BK79" s="2" t="str">
        <v/>
      </c>
      <c r="BL79" s="2" t="str">
        <v/>
      </c>
      <c r="BM79" s="2" t="str">
        <v/>
      </c>
      <c r="BN79" s="2" t="str">
        <v/>
      </c>
      <c r="BO79" s="2" t="str">
        <v/>
      </c>
      <c r="BP79" s="4" t="str">
        <v/>
      </c>
      <c r="BQ79" s="4" t="str">
        <v/>
      </c>
      <c r="BR79" s="4" t="str">
        <v/>
      </c>
      <c r="BS79" s="4" t="str">
        <v/>
      </c>
      <c r="BT79" s="4" t="str">
        <v/>
      </c>
      <c r="BU79" s="4" t="str">
        <v/>
      </c>
      <c r="BV79" s="4" t="str">
        <v/>
      </c>
      <c r="BW79" s="4" t="str">
        <v/>
      </c>
      <c r="BX79" s="4" t="str">
        <v/>
      </c>
      <c r="BY79" s="4">
        <v>1</v>
      </c>
      <c r="BZ79" s="4">
        <v>0.330118426458422</v>
      </c>
      <c r="CA79" s="4">
        <v>0.323175910262781</v>
      </c>
      <c r="CB79" s="4">
        <v>0.377966458871891</v>
      </c>
      <c r="CC79" s="4">
        <v>0.292242668689262</v>
      </c>
      <c r="CD79" s="4">
        <v>0.0950857759470145</v>
      </c>
      <c r="CE79" s="4">
        <v>0.220547766846957</v>
      </c>
      <c r="CF79" s="4">
        <v>0.313628623842531</v>
      </c>
      <c r="CG79" s="4">
        <v>0.430976518635541</v>
      </c>
      <c r="CH79" s="4">
        <v>0.324631558484923</v>
      </c>
      <c r="CI79" s="4">
        <v>0.560504336843546</v>
      </c>
      <c r="CJ79" s="4">
        <v>0.198168067119287</v>
      </c>
      <c r="CK79" s="4">
        <v>0.346289154352207</v>
      </c>
      <c r="CL79" s="4">
        <v>0.511230116065874</v>
      </c>
      <c r="CM79" s="4">
        <v>0.068783101928594</v>
      </c>
      <c r="CN79" s="4">
        <v>0.353895030545519</v>
      </c>
      <c r="CO79" s="4">
        <v>0.365082555384882</v>
      </c>
      <c r="CP79" s="4">
        <v>0.320449240119727</v>
      </c>
      <c r="CQ79" s="4">
        <v>0.18301696894044</v>
      </c>
      <c r="CR79" s="4">
        <v>0.203182312698112</v>
      </c>
      <c r="CS79" s="4">
        <v>0.0340899554174288</v>
      </c>
      <c r="CT79" s="4">
        <v>0.46681743664359</v>
      </c>
      <c r="CU79" s="4">
        <v>0.196972969459276</v>
      </c>
      <c r="CV79" s="4">
        <v>0.264125122424891</v>
      </c>
      <c r="CW79" s="4">
        <v>0.261256036828356</v>
      </c>
      <c r="CX79" s="4">
        <v>0.266203511767082</v>
      </c>
      <c r="CY79" s="4">
        <v>0.276474442985194</v>
      </c>
      <c r="CZ79" s="4">
        <v>0.388485943788053</v>
      </c>
      <c r="DA79" s="4">
        <v>0.260596417923542</v>
      </c>
      <c r="DB79" s="4">
        <v>0.399091675996901</v>
      </c>
      <c r="DC79" s="4">
        <v>0.363507853877861</v>
      </c>
      <c r="DD79" s="4">
        <v>0.348186095263025</v>
      </c>
      <c r="DE79" s="4">
        <v>0.2979931175941</v>
      </c>
      <c r="DF79" s="4">
        <v>0.227381795817025</v>
      </c>
      <c r="DG79" s="4">
        <v>0.351066482034896</v>
      </c>
      <c r="DH79" s="4">
        <v>0.461333427866196</v>
      </c>
      <c r="DI79" s="4">
        <v>0.542281983070306</v>
      </c>
      <c r="DJ79" s="4">
        <v>0.50216233453517</v>
      </c>
      <c r="DK79" s="4">
        <v>0.51683360505208</v>
      </c>
      <c r="DL79" s="4">
        <v>0.575841949226406</v>
      </c>
      <c r="DM79" s="4">
        <v>0.551952645082915</v>
      </c>
      <c r="DN79" s="4">
        <v>0.602737637444636</v>
      </c>
      <c r="DO79" s="4">
        <v>0.48097905719053</v>
      </c>
      <c r="DP79" s="4">
        <v>0.557518027074454</v>
      </c>
      <c r="DQ79" s="4">
        <v>0.531995416984016</v>
      </c>
      <c r="DR79" s="4">
        <v>0.561534527348618</v>
      </c>
      <c r="DS79" s="4">
        <v>0.350943331437753</v>
      </c>
      <c r="DT79" s="4">
        <v>0.48215907531267</v>
      </c>
      <c r="DU79" s="4">
        <v>0.529478573580012</v>
      </c>
      <c r="DV79" s="4">
        <v>0.614000150777894</v>
      </c>
      <c r="DW79" s="4">
        <v>0.153650010686339</v>
      </c>
      <c r="DX79" s="4">
        <v>0.00950530544655062</v>
      </c>
      <c r="DY79" s="4">
        <v>0.439419498370245</v>
      </c>
    </row>
    <row r="80" ht="14" spans="1:129">
      <c r="A80" s="31" t="s">
        <v>78</v>
      </c>
      <c r="B80" s="2" t="str">
        <v/>
      </c>
      <c r="C80" s="2" t="str">
        <v/>
      </c>
      <c r="D80" s="2" t="str">
        <v/>
      </c>
      <c r="E80" s="2" t="str">
        <v/>
      </c>
      <c r="F80" s="2" t="str">
        <v/>
      </c>
      <c r="G80" s="2" t="str">
        <v/>
      </c>
      <c r="H80" s="2" t="str">
        <v/>
      </c>
      <c r="I80" s="2" t="str">
        <v/>
      </c>
      <c r="J80" s="2" t="str">
        <v/>
      </c>
      <c r="K80" s="2" t="str">
        <v/>
      </c>
      <c r="L80" s="2" t="str">
        <v/>
      </c>
      <c r="M80" s="2" t="str">
        <v/>
      </c>
      <c r="N80" s="2" t="str">
        <v/>
      </c>
      <c r="O80" s="2" t="str">
        <v/>
      </c>
      <c r="P80" s="2" t="str">
        <v/>
      </c>
      <c r="Q80" s="2" t="str">
        <v/>
      </c>
      <c r="R80" s="2" t="str">
        <v/>
      </c>
      <c r="S80" s="2" t="str">
        <v/>
      </c>
      <c r="T80" s="2" t="str">
        <v/>
      </c>
      <c r="U80" s="2" t="str">
        <v/>
      </c>
      <c r="V80" s="2" t="str">
        <v/>
      </c>
      <c r="W80" s="2" t="str">
        <v/>
      </c>
      <c r="X80" s="2" t="str">
        <v/>
      </c>
      <c r="Y80" s="2" t="str">
        <v/>
      </c>
      <c r="Z80" s="2" t="str">
        <v/>
      </c>
      <c r="AA80" s="2" t="str">
        <v/>
      </c>
      <c r="AB80" s="2" t="str">
        <v/>
      </c>
      <c r="AC80" s="2" t="str">
        <v/>
      </c>
      <c r="AD80" s="2" t="str">
        <v/>
      </c>
      <c r="AE80" s="2" t="str">
        <v/>
      </c>
      <c r="AF80" s="2" t="str">
        <v/>
      </c>
      <c r="AG80" s="2" t="str">
        <v/>
      </c>
      <c r="AH80" s="2" t="str">
        <v/>
      </c>
      <c r="AI80" s="2" t="str">
        <v/>
      </c>
      <c r="AJ80" s="2" t="str">
        <v/>
      </c>
      <c r="AK80" s="2" t="str">
        <v/>
      </c>
      <c r="AL80" s="2" t="str">
        <v/>
      </c>
      <c r="AM80" s="2" t="str">
        <v/>
      </c>
      <c r="AN80" s="2" t="str">
        <v/>
      </c>
      <c r="AO80" s="2" t="str">
        <v/>
      </c>
      <c r="AP80" s="2" t="str">
        <v/>
      </c>
      <c r="AQ80" s="2" t="str">
        <v/>
      </c>
      <c r="AR80" s="2" t="str">
        <v/>
      </c>
      <c r="AS80" s="2" t="str">
        <v/>
      </c>
      <c r="AT80" s="2" t="str">
        <v/>
      </c>
      <c r="AU80" s="2" t="str">
        <v/>
      </c>
      <c r="AV80" s="2" t="str">
        <v/>
      </c>
      <c r="AW80" s="2" t="str">
        <v/>
      </c>
      <c r="AX80" s="2" t="str">
        <v/>
      </c>
      <c r="AY80" s="2" t="str">
        <v/>
      </c>
      <c r="AZ80" s="2" t="str">
        <v/>
      </c>
      <c r="BA80" s="2" t="str">
        <v/>
      </c>
      <c r="BB80" s="2" t="str">
        <v/>
      </c>
      <c r="BC80" s="2" t="str">
        <v/>
      </c>
      <c r="BD80" s="2" t="str">
        <v/>
      </c>
      <c r="BE80" s="2" t="str">
        <v/>
      </c>
      <c r="BF80" s="2" t="str">
        <v/>
      </c>
      <c r="BG80" s="2" t="str">
        <v/>
      </c>
      <c r="BH80" s="2" t="str">
        <v/>
      </c>
      <c r="BI80" s="2" t="str">
        <v/>
      </c>
      <c r="BJ80" s="2" t="str">
        <v/>
      </c>
      <c r="BK80" s="2" t="str">
        <v/>
      </c>
      <c r="BL80" s="2" t="str">
        <v/>
      </c>
      <c r="BM80" s="2" t="str">
        <v/>
      </c>
      <c r="BN80" s="2" t="str">
        <v/>
      </c>
      <c r="BO80" s="2" t="str">
        <v/>
      </c>
      <c r="BP80" s="4" t="str">
        <v/>
      </c>
      <c r="BQ80" s="4" t="str">
        <v/>
      </c>
      <c r="BR80" s="4" t="str">
        <v/>
      </c>
      <c r="BS80" s="4" t="str">
        <v/>
      </c>
      <c r="BT80" s="4" t="str">
        <v/>
      </c>
      <c r="BU80" s="4" t="str">
        <v/>
      </c>
      <c r="BV80" s="4" t="str">
        <v/>
      </c>
      <c r="BW80" s="4" t="str">
        <v/>
      </c>
      <c r="BX80" s="4" t="str">
        <v/>
      </c>
      <c r="BY80" s="4" t="str">
        <v/>
      </c>
      <c r="BZ80" s="4">
        <v>1</v>
      </c>
      <c r="CA80" s="4">
        <v>0.5372073885708</v>
      </c>
      <c r="CB80" s="4">
        <v>0.727966007889457</v>
      </c>
      <c r="CC80" s="4">
        <v>0.455325187362002</v>
      </c>
      <c r="CD80" s="4">
        <v>0.442940017581716</v>
      </c>
      <c r="CE80" s="4">
        <v>0.312338342426535</v>
      </c>
      <c r="CF80" s="4">
        <v>0.487236735576824</v>
      </c>
      <c r="CG80" s="4">
        <v>0.286060513046323</v>
      </c>
      <c r="CH80" s="4">
        <v>0.527842174076837</v>
      </c>
      <c r="CI80" s="4">
        <v>0.397838027602782</v>
      </c>
      <c r="CJ80" s="4">
        <v>0.572202966246964</v>
      </c>
      <c r="CK80" s="4">
        <v>0.373695622610998</v>
      </c>
      <c r="CL80" s="4">
        <v>0.267432636365713</v>
      </c>
      <c r="CM80" s="4">
        <v>0.302264659856167</v>
      </c>
      <c r="CN80" s="4">
        <v>0.58937177578694</v>
      </c>
      <c r="CO80" s="4">
        <v>0.440132502519267</v>
      </c>
      <c r="CP80" s="4">
        <v>0.638910078611677</v>
      </c>
      <c r="CQ80" s="4">
        <v>0.515008637658027</v>
      </c>
      <c r="CR80" s="4">
        <v>0.490083539582162</v>
      </c>
      <c r="CS80" s="4">
        <v>0.228755434922482</v>
      </c>
      <c r="CT80" s="4">
        <v>0.26896987152073</v>
      </c>
      <c r="CU80" s="4">
        <v>0.336607542845708</v>
      </c>
      <c r="CV80" s="4">
        <v>0.409895319454745</v>
      </c>
      <c r="CW80" s="4">
        <v>0.327819471584547</v>
      </c>
      <c r="CX80" s="4">
        <v>0.269071773039062</v>
      </c>
      <c r="CY80" s="4">
        <v>0.0959992454697228</v>
      </c>
      <c r="CZ80" s="4">
        <v>0.224898537254309</v>
      </c>
      <c r="DA80" s="4">
        <v>0.0948779071947777</v>
      </c>
      <c r="DB80" s="4">
        <v>0.235763437270055</v>
      </c>
      <c r="DC80" s="4">
        <v>0.21579366923868</v>
      </c>
      <c r="DD80" s="4">
        <v>0.092745672230633</v>
      </c>
      <c r="DE80" s="4">
        <v>0.2096944606308</v>
      </c>
      <c r="DF80" s="4">
        <v>0.403309889877564</v>
      </c>
      <c r="DG80" s="4">
        <v>0.0719152404751081</v>
      </c>
      <c r="DH80" s="4">
        <v>0.418674777482285</v>
      </c>
      <c r="DI80" s="4">
        <v>0.158596567596603</v>
      </c>
      <c r="DJ80" s="4">
        <v>0.238501970074357</v>
      </c>
      <c r="DK80" s="4">
        <v>0.0917134569961364</v>
      </c>
      <c r="DL80" s="4">
        <v>0.0924125450568638</v>
      </c>
      <c r="DM80" s="4">
        <v>0.111295708877765</v>
      </c>
      <c r="DN80" s="4">
        <v>0.140883485101144</v>
      </c>
      <c r="DO80" s="4">
        <v>0.0895451294408671</v>
      </c>
      <c r="DP80" s="4">
        <v>0.21901165584646</v>
      </c>
      <c r="DQ80" s="4">
        <v>0.123289661263585</v>
      </c>
      <c r="DR80" s="4">
        <v>0.180749683717015</v>
      </c>
      <c r="DS80" s="4">
        <v>0.0652110578147166</v>
      </c>
      <c r="DT80" s="4">
        <v>0.184516917430984</v>
      </c>
      <c r="DU80" s="4">
        <v>0.175661197525518</v>
      </c>
      <c r="DV80" s="4">
        <v>0.211466405524058</v>
      </c>
      <c r="DW80" s="4">
        <v>0.21078092751693</v>
      </c>
      <c r="DX80" s="4">
        <v>0.142445671944209</v>
      </c>
      <c r="DY80" s="4">
        <v>0.197345871753257</v>
      </c>
    </row>
    <row r="81" ht="14" spans="1:129">
      <c r="A81" s="31" t="s">
        <v>79</v>
      </c>
      <c r="B81" s="2" t="str">
        <v/>
      </c>
      <c r="C81" s="2" t="str">
        <v/>
      </c>
      <c r="D81" s="2" t="str">
        <v/>
      </c>
      <c r="E81" s="2" t="str">
        <v/>
      </c>
      <c r="F81" s="2" t="str">
        <v/>
      </c>
      <c r="G81" s="2" t="str">
        <v/>
      </c>
      <c r="H81" s="2" t="str">
        <v/>
      </c>
      <c r="I81" s="2" t="str">
        <v/>
      </c>
      <c r="J81" s="2" t="str">
        <v/>
      </c>
      <c r="K81" s="2" t="str">
        <v/>
      </c>
      <c r="L81" s="2" t="str">
        <v/>
      </c>
      <c r="M81" s="2" t="str">
        <v/>
      </c>
      <c r="N81" s="2" t="str">
        <v/>
      </c>
      <c r="O81" s="2" t="str">
        <v/>
      </c>
      <c r="P81" s="2" t="str">
        <v/>
      </c>
      <c r="Q81" s="2" t="str">
        <v/>
      </c>
      <c r="R81" s="2" t="str">
        <v/>
      </c>
      <c r="S81" s="2" t="str">
        <v/>
      </c>
      <c r="T81" s="2" t="str">
        <v/>
      </c>
      <c r="U81" s="2" t="str">
        <v/>
      </c>
      <c r="V81" s="2" t="str">
        <v/>
      </c>
      <c r="W81" s="2" t="str">
        <v/>
      </c>
      <c r="X81" s="2" t="str">
        <v/>
      </c>
      <c r="Y81" s="2" t="str">
        <v/>
      </c>
      <c r="Z81" s="2" t="str">
        <v/>
      </c>
      <c r="AA81" s="2" t="str">
        <v/>
      </c>
      <c r="AB81" s="2" t="str">
        <v/>
      </c>
      <c r="AC81" s="2" t="str">
        <v/>
      </c>
      <c r="AD81" s="2" t="str">
        <v/>
      </c>
      <c r="AE81" s="2" t="str">
        <v/>
      </c>
      <c r="AF81" s="2" t="str">
        <v/>
      </c>
      <c r="AG81" s="2" t="str">
        <v/>
      </c>
      <c r="AH81" s="2" t="str">
        <v/>
      </c>
      <c r="AI81" s="2" t="str">
        <v/>
      </c>
      <c r="AJ81" s="2" t="str">
        <v/>
      </c>
      <c r="AK81" s="2" t="str">
        <v/>
      </c>
      <c r="AL81" s="2" t="str">
        <v/>
      </c>
      <c r="AM81" s="2" t="str">
        <v/>
      </c>
      <c r="AN81" s="2" t="str">
        <v/>
      </c>
      <c r="AO81" s="2" t="str">
        <v/>
      </c>
      <c r="AP81" s="2" t="str">
        <v/>
      </c>
      <c r="AQ81" s="2" t="str">
        <v/>
      </c>
      <c r="AR81" s="2" t="str">
        <v/>
      </c>
      <c r="AS81" s="2" t="str">
        <v/>
      </c>
      <c r="AT81" s="2" t="str">
        <v/>
      </c>
      <c r="AU81" s="2" t="str">
        <v/>
      </c>
      <c r="AV81" s="2" t="str">
        <v/>
      </c>
      <c r="AW81" s="2" t="str">
        <v/>
      </c>
      <c r="AX81" s="2" t="str">
        <v/>
      </c>
      <c r="AY81" s="2" t="str">
        <v/>
      </c>
      <c r="AZ81" s="2" t="str">
        <v/>
      </c>
      <c r="BA81" s="2" t="str">
        <v/>
      </c>
      <c r="BB81" s="2" t="str">
        <v/>
      </c>
      <c r="BC81" s="2" t="str">
        <v/>
      </c>
      <c r="BD81" s="2" t="str">
        <v/>
      </c>
      <c r="BE81" s="2" t="str">
        <v/>
      </c>
      <c r="BF81" s="2" t="str">
        <v/>
      </c>
      <c r="BG81" s="2" t="str">
        <v/>
      </c>
      <c r="BH81" s="2" t="str">
        <v/>
      </c>
      <c r="BI81" s="2" t="str">
        <v/>
      </c>
      <c r="BJ81" s="2" t="str">
        <v/>
      </c>
      <c r="BK81" s="2" t="str">
        <v/>
      </c>
      <c r="BL81" s="2" t="str">
        <v/>
      </c>
      <c r="BM81" s="2" t="str">
        <v/>
      </c>
      <c r="BN81" s="2" t="str">
        <v/>
      </c>
      <c r="BO81" s="2" t="str">
        <v/>
      </c>
      <c r="BP81" s="4" t="str">
        <v/>
      </c>
      <c r="BQ81" s="4" t="str">
        <v/>
      </c>
      <c r="BR81" s="4" t="str">
        <v/>
      </c>
      <c r="BS81" s="4" t="str">
        <v/>
      </c>
      <c r="BT81" s="4" t="str">
        <v/>
      </c>
      <c r="BU81" s="4" t="str">
        <v/>
      </c>
      <c r="BV81" s="4" t="str">
        <v/>
      </c>
      <c r="BW81" s="4" t="str">
        <v/>
      </c>
      <c r="BX81" s="4" t="str">
        <v/>
      </c>
      <c r="BY81" s="4" t="str">
        <v/>
      </c>
      <c r="BZ81" s="4" t="str">
        <v/>
      </c>
      <c r="CA81" s="4">
        <v>1</v>
      </c>
      <c r="CB81" s="4">
        <v>0.740865217044878</v>
      </c>
      <c r="CC81" s="4">
        <v>0.425334318007651</v>
      </c>
      <c r="CD81" s="4">
        <v>0.490377892378847</v>
      </c>
      <c r="CE81" s="4">
        <v>0.524667091155541</v>
      </c>
      <c r="CF81" s="4">
        <v>0.597548669602543</v>
      </c>
      <c r="CG81" s="4">
        <v>0.473849907307573</v>
      </c>
      <c r="CH81" s="4">
        <v>0.626399340968801</v>
      </c>
      <c r="CI81" s="4">
        <v>0.595839008843624</v>
      </c>
      <c r="CJ81" s="4">
        <v>0.469299527906734</v>
      </c>
      <c r="CK81" s="4">
        <v>0.338112946476413</v>
      </c>
      <c r="CL81" s="4">
        <v>0.542208475449241</v>
      </c>
      <c r="CM81" s="4">
        <v>-0.00897967263179271</v>
      </c>
      <c r="CN81" s="4">
        <v>0.370753124711285</v>
      </c>
      <c r="CO81" s="4">
        <v>0.374011990031843</v>
      </c>
      <c r="CP81" s="4">
        <v>0.430925028538188</v>
      </c>
      <c r="CQ81" s="4">
        <v>-0.00643226469242487</v>
      </c>
      <c r="CR81" s="4">
        <v>0.30676898459808</v>
      </c>
      <c r="CS81" s="4">
        <v>0.30942709652728</v>
      </c>
      <c r="CT81" s="4">
        <v>0.575426906632877</v>
      </c>
      <c r="CU81" s="4">
        <v>0.312811866675565</v>
      </c>
      <c r="CV81" s="4">
        <v>0.32230362457291</v>
      </c>
      <c r="CW81" s="4">
        <v>0.413937767835044</v>
      </c>
      <c r="CX81" s="4">
        <v>0.206618390918381</v>
      </c>
      <c r="CY81" s="4">
        <v>0.440465840273505</v>
      </c>
      <c r="CZ81" s="4">
        <v>0.23334374856879</v>
      </c>
      <c r="DA81" s="4">
        <v>0.0769647377459922</v>
      </c>
      <c r="DB81" s="4">
        <v>0.25486465064461</v>
      </c>
      <c r="DC81" s="4">
        <v>0.110204822571929</v>
      </c>
      <c r="DD81" s="4">
        <v>0.0199881532046326</v>
      </c>
      <c r="DE81" s="4">
        <v>0.161633769568909</v>
      </c>
      <c r="DF81" s="4">
        <v>0.201454053236909</v>
      </c>
      <c r="DG81" s="4">
        <v>0.00216443099965068</v>
      </c>
      <c r="DH81" s="4">
        <v>0.325488584407275</v>
      </c>
      <c r="DI81" s="4">
        <v>0.357608738637128</v>
      </c>
      <c r="DJ81" s="4">
        <v>0.410870023046692</v>
      </c>
      <c r="DK81" s="4">
        <v>0.345674484817683</v>
      </c>
      <c r="DL81" s="4">
        <v>0.413757598126912</v>
      </c>
      <c r="DM81" s="4">
        <v>0.444233182354984</v>
      </c>
      <c r="DN81" s="4">
        <v>0.363171378405941</v>
      </c>
      <c r="DO81" s="4">
        <v>0.368454217438423</v>
      </c>
      <c r="DP81" s="4">
        <v>0.407548265528096</v>
      </c>
      <c r="DQ81" s="4">
        <v>0.421312296832769</v>
      </c>
      <c r="DR81" s="4">
        <v>0.458247082916608</v>
      </c>
      <c r="DS81" s="4">
        <v>0.261087847832054</v>
      </c>
      <c r="DT81" s="4">
        <v>0.436658920258737</v>
      </c>
      <c r="DU81" s="4">
        <v>0.464930232747344</v>
      </c>
      <c r="DV81" s="4">
        <v>0.49148126412108</v>
      </c>
      <c r="DW81" s="4">
        <v>0.278204057923461</v>
      </c>
      <c r="DX81" s="4">
        <v>0.369123060077778</v>
      </c>
      <c r="DY81" s="4">
        <v>0.498729886220143</v>
      </c>
    </row>
    <row r="82" ht="14" spans="1:129">
      <c r="A82" s="31" t="s">
        <v>80</v>
      </c>
      <c r="B82" s="2" t="str">
        <v/>
      </c>
      <c r="C82" s="2" t="str">
        <v/>
      </c>
      <c r="D82" s="2" t="str">
        <v/>
      </c>
      <c r="E82" s="2" t="str">
        <v/>
      </c>
      <c r="F82" s="2" t="str">
        <v/>
      </c>
      <c r="G82" s="2" t="str">
        <v/>
      </c>
      <c r="H82" s="2" t="str">
        <v/>
      </c>
      <c r="I82" s="2" t="str">
        <v/>
      </c>
      <c r="J82" s="2" t="str">
        <v/>
      </c>
      <c r="K82" s="2" t="str">
        <v/>
      </c>
      <c r="L82" s="2" t="str">
        <v/>
      </c>
      <c r="M82" s="2" t="str">
        <v/>
      </c>
      <c r="N82" s="2" t="str">
        <v/>
      </c>
      <c r="O82" s="2" t="str">
        <v/>
      </c>
      <c r="P82" s="2" t="str">
        <v/>
      </c>
      <c r="Q82" s="2" t="str">
        <v/>
      </c>
      <c r="R82" s="2" t="str">
        <v/>
      </c>
      <c r="S82" s="2" t="str">
        <v/>
      </c>
      <c r="T82" s="2" t="str">
        <v/>
      </c>
      <c r="U82" s="2" t="str">
        <v/>
      </c>
      <c r="V82" s="2" t="str">
        <v/>
      </c>
      <c r="W82" s="2" t="str">
        <v/>
      </c>
      <c r="X82" s="2" t="str">
        <v/>
      </c>
      <c r="Y82" s="2" t="str">
        <v/>
      </c>
      <c r="Z82" s="2" t="str">
        <v/>
      </c>
      <c r="AA82" s="2" t="str">
        <v/>
      </c>
      <c r="AB82" s="2" t="str">
        <v/>
      </c>
      <c r="AC82" s="2" t="str">
        <v/>
      </c>
      <c r="AD82" s="2" t="str">
        <v/>
      </c>
      <c r="AE82" s="2" t="str">
        <v/>
      </c>
      <c r="AF82" s="2" t="str">
        <v/>
      </c>
      <c r="AG82" s="2" t="str">
        <v/>
      </c>
      <c r="AH82" s="2" t="str">
        <v/>
      </c>
      <c r="AI82" s="2" t="str">
        <v/>
      </c>
      <c r="AJ82" s="2" t="str">
        <v/>
      </c>
      <c r="AK82" s="2" t="str">
        <v/>
      </c>
      <c r="AL82" s="2" t="str">
        <v/>
      </c>
      <c r="AM82" s="2" t="str">
        <v/>
      </c>
      <c r="AN82" s="2" t="str">
        <v/>
      </c>
      <c r="AO82" s="2" t="str">
        <v/>
      </c>
      <c r="AP82" s="2" t="str">
        <v/>
      </c>
      <c r="AQ82" s="2" t="str">
        <v/>
      </c>
      <c r="AR82" s="2" t="str">
        <v/>
      </c>
      <c r="AS82" s="2" t="str">
        <v/>
      </c>
      <c r="AT82" s="2" t="str">
        <v/>
      </c>
      <c r="AU82" s="2" t="str">
        <v/>
      </c>
      <c r="AV82" s="2" t="str">
        <v/>
      </c>
      <c r="AW82" s="2" t="str">
        <v/>
      </c>
      <c r="AX82" s="2" t="str">
        <v/>
      </c>
      <c r="AY82" s="2" t="str">
        <v/>
      </c>
      <c r="AZ82" s="2" t="str">
        <v/>
      </c>
      <c r="BA82" s="2" t="str">
        <v/>
      </c>
      <c r="BB82" s="2" t="str">
        <v/>
      </c>
      <c r="BC82" s="2" t="str">
        <v/>
      </c>
      <c r="BD82" s="2" t="str">
        <v/>
      </c>
      <c r="BE82" s="2" t="str">
        <v/>
      </c>
      <c r="BF82" s="2" t="str">
        <v/>
      </c>
      <c r="BG82" s="2" t="str">
        <v/>
      </c>
      <c r="BH82" s="2" t="str">
        <v/>
      </c>
      <c r="BI82" s="2" t="str">
        <v/>
      </c>
      <c r="BJ82" s="2" t="str">
        <v/>
      </c>
      <c r="BK82" s="2" t="str">
        <v/>
      </c>
      <c r="BL82" s="2" t="str">
        <v/>
      </c>
      <c r="BM82" s="2" t="str">
        <v/>
      </c>
      <c r="BN82" s="2" t="str">
        <v/>
      </c>
      <c r="BO82" s="2" t="str">
        <v/>
      </c>
      <c r="BP82" s="4" t="str">
        <v/>
      </c>
      <c r="BQ82" s="4" t="str">
        <v/>
      </c>
      <c r="BR82" s="4" t="str">
        <v/>
      </c>
      <c r="BS82" s="4" t="str">
        <v/>
      </c>
      <c r="BT82" s="4" t="str">
        <v/>
      </c>
      <c r="BU82" s="4" t="str">
        <v/>
      </c>
      <c r="BV82" s="4" t="str">
        <v/>
      </c>
      <c r="BW82" s="4" t="str">
        <v/>
      </c>
      <c r="BX82" s="4" t="str">
        <v/>
      </c>
      <c r="BY82" s="4" t="str">
        <v/>
      </c>
      <c r="BZ82" s="4" t="str">
        <v/>
      </c>
      <c r="CA82" s="4" t="str">
        <v/>
      </c>
      <c r="CB82" s="4">
        <v>1</v>
      </c>
      <c r="CC82" s="4">
        <v>0.494768350466101</v>
      </c>
      <c r="CD82" s="4">
        <v>0.636896452853927</v>
      </c>
      <c r="CE82" s="4">
        <v>0.516711336386969</v>
      </c>
      <c r="CF82" s="4">
        <v>0.585866222325065</v>
      </c>
      <c r="CG82" s="4">
        <v>0.357017843632104</v>
      </c>
      <c r="CH82" s="4">
        <v>0.719201363874648</v>
      </c>
      <c r="CI82" s="4">
        <v>0.578372743336904</v>
      </c>
      <c r="CJ82" s="4">
        <v>0.693095861899857</v>
      </c>
      <c r="CK82" s="4">
        <v>0.318879831187152</v>
      </c>
      <c r="CL82" s="4">
        <v>0.463414505506217</v>
      </c>
      <c r="CM82" s="4">
        <v>0.133131518128221</v>
      </c>
      <c r="CN82" s="4">
        <v>0.562646636791169</v>
      </c>
      <c r="CO82" s="4">
        <v>0.513541468768551</v>
      </c>
      <c r="CP82" s="4">
        <v>0.646684046337697</v>
      </c>
      <c r="CQ82" s="4">
        <v>0.425529910002608</v>
      </c>
      <c r="CR82" s="4">
        <v>0.557291340415166</v>
      </c>
      <c r="CS82" s="4">
        <v>0.370953559325247</v>
      </c>
      <c r="CT82" s="4">
        <v>0.491644971594514</v>
      </c>
      <c r="CU82" s="4">
        <v>0.38761436163846</v>
      </c>
      <c r="CV82" s="4">
        <v>0.29383653647295</v>
      </c>
      <c r="CW82" s="4">
        <v>0.357425166426791</v>
      </c>
      <c r="CX82" s="4">
        <v>0.311906104755038</v>
      </c>
      <c r="CY82" s="4">
        <v>0.290711894784436</v>
      </c>
      <c r="CZ82" s="4">
        <v>0.358801861524986</v>
      </c>
      <c r="DA82" s="4">
        <v>0.127576993802481</v>
      </c>
      <c r="DB82" s="4">
        <v>0.250062064967085</v>
      </c>
      <c r="DC82" s="4">
        <v>0.0988913811940169</v>
      </c>
      <c r="DD82" s="4">
        <v>0.0727290615997917</v>
      </c>
      <c r="DE82" s="4">
        <v>0.185362249096622</v>
      </c>
      <c r="DF82" s="4">
        <v>0.255876473637033</v>
      </c>
      <c r="DG82" s="4">
        <v>0.0825828878005053</v>
      </c>
      <c r="DH82" s="4">
        <v>0.390831774058358</v>
      </c>
      <c r="DI82" s="4">
        <v>0.334595401449439</v>
      </c>
      <c r="DJ82" s="4">
        <v>0.408656177675992</v>
      </c>
      <c r="DK82" s="4">
        <v>0.2498540940549</v>
      </c>
      <c r="DL82" s="4">
        <v>0.300572245778747</v>
      </c>
      <c r="DM82" s="4">
        <v>0.322955745896873</v>
      </c>
      <c r="DN82" s="4">
        <v>0.358627289098573</v>
      </c>
      <c r="DO82" s="4">
        <v>0.295600149162666</v>
      </c>
      <c r="DP82" s="4">
        <v>0.357566885427984</v>
      </c>
      <c r="DQ82" s="4">
        <v>0.355506796364479</v>
      </c>
      <c r="DR82" s="4">
        <v>0.306166893185122</v>
      </c>
      <c r="DS82" s="4">
        <v>0.132955922473185</v>
      </c>
      <c r="DT82" s="4">
        <v>0.335881246156687</v>
      </c>
      <c r="DU82" s="4">
        <v>0.324182781247743</v>
      </c>
      <c r="DV82" s="4">
        <v>0.434309118251427</v>
      </c>
      <c r="DW82" s="4">
        <v>0.274407111257492</v>
      </c>
      <c r="DX82" s="4">
        <v>0.291224072190111</v>
      </c>
      <c r="DY82" s="4">
        <v>0.306565727885694</v>
      </c>
    </row>
    <row r="83" ht="14" spans="1:129">
      <c r="A83" s="31" t="s">
        <v>81</v>
      </c>
      <c r="B83" s="2" t="str">
        <v/>
      </c>
      <c r="C83" s="2" t="str">
        <v/>
      </c>
      <c r="D83" s="2" t="str">
        <v/>
      </c>
      <c r="E83" s="2" t="str">
        <v/>
      </c>
      <c r="F83" s="2" t="str">
        <v/>
      </c>
      <c r="G83" s="2" t="str">
        <v/>
      </c>
      <c r="H83" s="2" t="str">
        <v/>
      </c>
      <c r="I83" s="2" t="str">
        <v/>
      </c>
      <c r="J83" s="2" t="str">
        <v/>
      </c>
      <c r="K83" s="2" t="str">
        <v/>
      </c>
      <c r="L83" s="2" t="str">
        <v/>
      </c>
      <c r="M83" s="2" t="str">
        <v/>
      </c>
      <c r="N83" s="2" t="str">
        <v/>
      </c>
      <c r="O83" s="2" t="str">
        <v/>
      </c>
      <c r="P83" s="2" t="str">
        <v/>
      </c>
      <c r="Q83" s="2" t="str">
        <v/>
      </c>
      <c r="R83" s="2" t="str">
        <v/>
      </c>
      <c r="S83" s="2" t="str">
        <v/>
      </c>
      <c r="T83" s="2" t="str">
        <v/>
      </c>
      <c r="U83" s="2" t="str">
        <v/>
      </c>
      <c r="V83" s="2" t="str">
        <v/>
      </c>
      <c r="W83" s="2" t="str">
        <v/>
      </c>
      <c r="X83" s="2" t="str">
        <v/>
      </c>
      <c r="Y83" s="2" t="str">
        <v/>
      </c>
      <c r="Z83" s="2" t="str">
        <v/>
      </c>
      <c r="AA83" s="2" t="str">
        <v/>
      </c>
      <c r="AB83" s="2" t="str">
        <v/>
      </c>
      <c r="AC83" s="2" t="str">
        <v/>
      </c>
      <c r="AD83" s="2" t="str">
        <v/>
      </c>
      <c r="AE83" s="2" t="str">
        <v/>
      </c>
      <c r="AF83" s="2" t="str">
        <v/>
      </c>
      <c r="AG83" s="2" t="str">
        <v/>
      </c>
      <c r="AH83" s="2" t="str">
        <v/>
      </c>
      <c r="AI83" s="2" t="str">
        <v/>
      </c>
      <c r="AJ83" s="2" t="str">
        <v/>
      </c>
      <c r="AK83" s="2" t="str">
        <v/>
      </c>
      <c r="AL83" s="2" t="str">
        <v/>
      </c>
      <c r="AM83" s="2" t="str">
        <v/>
      </c>
      <c r="AN83" s="2" t="str">
        <v/>
      </c>
      <c r="AO83" s="2" t="str">
        <v/>
      </c>
      <c r="AP83" s="2" t="str">
        <v/>
      </c>
      <c r="AQ83" s="2" t="str">
        <v/>
      </c>
      <c r="AR83" s="2" t="str">
        <v/>
      </c>
      <c r="AS83" s="2" t="str">
        <v/>
      </c>
      <c r="AT83" s="2" t="str">
        <v/>
      </c>
      <c r="AU83" s="2" t="str">
        <v/>
      </c>
      <c r="AV83" s="2" t="str">
        <v/>
      </c>
      <c r="AW83" s="2" t="str">
        <v/>
      </c>
      <c r="AX83" s="2" t="str">
        <v/>
      </c>
      <c r="AY83" s="2" t="str">
        <v/>
      </c>
      <c r="AZ83" s="2" t="str">
        <v/>
      </c>
      <c r="BA83" s="2" t="str">
        <v/>
      </c>
      <c r="BB83" s="2" t="str">
        <v/>
      </c>
      <c r="BC83" s="2" t="str">
        <v/>
      </c>
      <c r="BD83" s="2" t="str">
        <v/>
      </c>
      <c r="BE83" s="2" t="str">
        <v/>
      </c>
      <c r="BF83" s="2" t="str">
        <v/>
      </c>
      <c r="BG83" s="2" t="str">
        <v/>
      </c>
      <c r="BH83" s="2" t="str">
        <v/>
      </c>
      <c r="BI83" s="2" t="str">
        <v/>
      </c>
      <c r="BJ83" s="2" t="str">
        <v/>
      </c>
      <c r="BK83" s="2" t="str">
        <v/>
      </c>
      <c r="BL83" s="2" t="str">
        <v/>
      </c>
      <c r="BM83" s="2" t="str">
        <v/>
      </c>
      <c r="BN83" s="2" t="str">
        <v/>
      </c>
      <c r="BO83" s="2" t="str">
        <v/>
      </c>
      <c r="BP83" s="4" t="str">
        <v/>
      </c>
      <c r="BQ83" s="4" t="str">
        <v/>
      </c>
      <c r="BR83" s="4" t="str">
        <v/>
      </c>
      <c r="BS83" s="4" t="str">
        <v/>
      </c>
      <c r="BT83" s="4" t="str">
        <v/>
      </c>
      <c r="BU83" s="4" t="str">
        <v/>
      </c>
      <c r="BV83" s="4" t="str">
        <v/>
      </c>
      <c r="BW83" s="4" t="str">
        <v/>
      </c>
      <c r="BX83" s="4" t="str">
        <v/>
      </c>
      <c r="BY83" s="4" t="str">
        <v/>
      </c>
      <c r="BZ83" s="4" t="str">
        <v/>
      </c>
      <c r="CA83" s="4" t="str">
        <v/>
      </c>
      <c r="CB83" s="4" t="str">
        <v/>
      </c>
      <c r="CC83" s="4">
        <v>1</v>
      </c>
      <c r="CD83" s="4">
        <v>0.213166027313074</v>
      </c>
      <c r="CE83" s="4">
        <v>0.288258798018986</v>
      </c>
      <c r="CF83" s="4">
        <v>0.480531324883905</v>
      </c>
      <c r="CG83" s="4">
        <v>0.382474092364861</v>
      </c>
      <c r="CH83" s="4">
        <v>0.506084376940326</v>
      </c>
      <c r="CI83" s="4">
        <v>0.56154665615559</v>
      </c>
      <c r="CJ83" s="4">
        <v>0.383089871927446</v>
      </c>
      <c r="CK83" s="4">
        <v>0.401401112165564</v>
      </c>
      <c r="CL83" s="4">
        <v>0.242345999863076</v>
      </c>
      <c r="CM83" s="4">
        <v>-0.0543012798485051</v>
      </c>
      <c r="CN83" s="4">
        <v>0.341231942472782</v>
      </c>
      <c r="CO83" s="4">
        <v>0.260551356075502</v>
      </c>
      <c r="CP83" s="4">
        <v>0.254465318715808</v>
      </c>
      <c r="CQ83" s="4">
        <v>0.229205512378151</v>
      </c>
      <c r="CR83" s="4">
        <v>0.306282980737147</v>
      </c>
      <c r="CS83" s="4">
        <v>0.135382496399548</v>
      </c>
      <c r="CT83" s="4">
        <v>0.275852463888643</v>
      </c>
      <c r="CU83" s="4">
        <v>0.292333742941217</v>
      </c>
      <c r="CV83" s="4">
        <v>0.32238104943699</v>
      </c>
      <c r="CW83" s="4">
        <v>0.493041957501198</v>
      </c>
      <c r="CX83" s="4">
        <v>0.476525057741326</v>
      </c>
      <c r="CY83" s="4">
        <v>0.352569949037285</v>
      </c>
      <c r="CZ83" s="4">
        <v>0.275486776402213</v>
      </c>
      <c r="DA83" s="4">
        <v>0.144194164112748</v>
      </c>
      <c r="DB83" s="4">
        <v>0.209591872149533</v>
      </c>
      <c r="DC83" s="4">
        <v>0.0783532938981431</v>
      </c>
      <c r="DD83" s="4">
        <v>0.0494918279065374</v>
      </c>
      <c r="DE83" s="4">
        <v>0.327708772603265</v>
      </c>
      <c r="DF83" s="4">
        <v>0.303137645532599</v>
      </c>
      <c r="DG83" s="4">
        <v>0.33013911475062</v>
      </c>
      <c r="DH83" s="4">
        <v>0.553177726160882</v>
      </c>
      <c r="DI83" s="4">
        <v>0.365636875856781</v>
      </c>
      <c r="DJ83" s="4">
        <v>0.257066036550873</v>
      </c>
      <c r="DK83" s="4">
        <v>0.215135836565497</v>
      </c>
      <c r="DL83" s="4">
        <v>0.290032959480856</v>
      </c>
      <c r="DM83" s="4">
        <v>0.302069442650523</v>
      </c>
      <c r="DN83" s="4">
        <v>0.328957176761222</v>
      </c>
      <c r="DO83" s="4">
        <v>0.227371735253117</v>
      </c>
      <c r="DP83" s="4">
        <v>0.312348723984352</v>
      </c>
      <c r="DQ83" s="4">
        <v>0.311629186052618</v>
      </c>
      <c r="DR83" s="4">
        <v>0.448779417326001</v>
      </c>
      <c r="DS83" s="4">
        <v>0.178657205655324</v>
      </c>
      <c r="DT83" s="4">
        <v>0.3231267950515</v>
      </c>
      <c r="DU83" s="4">
        <v>0.456119078949388</v>
      </c>
      <c r="DV83" s="4">
        <v>0.321931702126728</v>
      </c>
      <c r="DW83" s="4">
        <v>0.30451097114381</v>
      </c>
      <c r="DX83" s="4">
        <v>0.356552142813189</v>
      </c>
      <c r="DY83" s="4">
        <v>0.393631760985408</v>
      </c>
    </row>
    <row r="84" ht="14" spans="1:129">
      <c r="A84" s="31" t="s">
        <v>82</v>
      </c>
      <c r="B84" s="2" t="str">
        <v/>
      </c>
      <c r="C84" s="2" t="str">
        <v/>
      </c>
      <c r="D84" s="2" t="str">
        <v/>
      </c>
      <c r="E84" s="2" t="str">
        <v/>
      </c>
      <c r="F84" s="2" t="str">
        <v/>
      </c>
      <c r="G84" s="2" t="str">
        <v/>
      </c>
      <c r="H84" s="2" t="str">
        <v/>
      </c>
      <c r="I84" s="2" t="str">
        <v/>
      </c>
      <c r="J84" s="2" t="str">
        <v/>
      </c>
      <c r="K84" s="2" t="str">
        <v/>
      </c>
      <c r="L84" s="2" t="str">
        <v/>
      </c>
      <c r="M84" s="2" t="str">
        <v/>
      </c>
      <c r="N84" s="2" t="str">
        <v/>
      </c>
      <c r="O84" s="2" t="str">
        <v/>
      </c>
      <c r="P84" s="2" t="str">
        <v/>
      </c>
      <c r="Q84" s="2" t="str">
        <v/>
      </c>
      <c r="R84" s="2" t="str">
        <v/>
      </c>
      <c r="S84" s="2" t="str">
        <v/>
      </c>
      <c r="T84" s="2" t="str">
        <v/>
      </c>
      <c r="U84" s="2" t="str">
        <v/>
      </c>
      <c r="V84" s="2" t="str">
        <v/>
      </c>
      <c r="W84" s="2" t="str">
        <v/>
      </c>
      <c r="X84" s="2" t="str">
        <v/>
      </c>
      <c r="Y84" s="2" t="str">
        <v/>
      </c>
      <c r="Z84" s="2" t="str">
        <v/>
      </c>
      <c r="AA84" s="2" t="str">
        <v/>
      </c>
      <c r="AB84" s="2" t="str">
        <v/>
      </c>
      <c r="AC84" s="2" t="str">
        <v/>
      </c>
      <c r="AD84" s="2" t="str">
        <v/>
      </c>
      <c r="AE84" s="2" t="str">
        <v/>
      </c>
      <c r="AF84" s="2" t="str">
        <v/>
      </c>
      <c r="AG84" s="2" t="str">
        <v/>
      </c>
      <c r="AH84" s="2" t="str">
        <v/>
      </c>
      <c r="AI84" s="2" t="str">
        <v/>
      </c>
      <c r="AJ84" s="2" t="str">
        <v/>
      </c>
      <c r="AK84" s="2" t="str">
        <v/>
      </c>
      <c r="AL84" s="2" t="str">
        <v/>
      </c>
      <c r="AM84" s="2" t="str">
        <v/>
      </c>
      <c r="AN84" s="2" t="str">
        <v/>
      </c>
      <c r="AO84" s="2" t="str">
        <v/>
      </c>
      <c r="AP84" s="2" t="str">
        <v/>
      </c>
      <c r="AQ84" s="2" t="str">
        <v/>
      </c>
      <c r="AR84" s="2" t="str">
        <v/>
      </c>
      <c r="AS84" s="2" t="str">
        <v/>
      </c>
      <c r="AT84" s="2" t="str">
        <v/>
      </c>
      <c r="AU84" s="2" t="str">
        <v/>
      </c>
      <c r="AV84" s="2" t="str">
        <v/>
      </c>
      <c r="AW84" s="2" t="str">
        <v/>
      </c>
      <c r="AX84" s="2" t="str">
        <v/>
      </c>
      <c r="AY84" s="2" t="str">
        <v/>
      </c>
      <c r="AZ84" s="2" t="str">
        <v/>
      </c>
      <c r="BA84" s="2" t="str">
        <v/>
      </c>
      <c r="BB84" s="2" t="str">
        <v/>
      </c>
      <c r="BC84" s="2" t="str">
        <v/>
      </c>
      <c r="BD84" s="2" t="str">
        <v/>
      </c>
      <c r="BE84" s="2" t="str">
        <v/>
      </c>
      <c r="BF84" s="2" t="str">
        <v/>
      </c>
      <c r="BG84" s="2" t="str">
        <v/>
      </c>
      <c r="BH84" s="2" t="str">
        <v/>
      </c>
      <c r="BI84" s="2" t="str">
        <v/>
      </c>
      <c r="BJ84" s="2" t="str">
        <v/>
      </c>
      <c r="BK84" s="2" t="str">
        <v/>
      </c>
      <c r="BL84" s="2" t="str">
        <v/>
      </c>
      <c r="BM84" s="2" t="str">
        <v/>
      </c>
      <c r="BN84" s="2" t="str">
        <v/>
      </c>
      <c r="BO84" s="2" t="str">
        <v/>
      </c>
      <c r="BP84" s="4" t="str">
        <v/>
      </c>
      <c r="BQ84" s="4" t="str">
        <v/>
      </c>
      <c r="BR84" s="4" t="str">
        <v/>
      </c>
      <c r="BS84" s="4" t="str">
        <v/>
      </c>
      <c r="BT84" s="4" t="str">
        <v/>
      </c>
      <c r="BU84" s="4" t="str">
        <v/>
      </c>
      <c r="BV84" s="4" t="str">
        <v/>
      </c>
      <c r="BW84" s="4" t="str">
        <v/>
      </c>
      <c r="BX84" s="4" t="str">
        <v/>
      </c>
      <c r="BY84" s="4" t="str">
        <v/>
      </c>
      <c r="BZ84" s="4" t="str">
        <v/>
      </c>
      <c r="CA84" s="4" t="str">
        <v/>
      </c>
      <c r="CB84" s="4" t="str">
        <v/>
      </c>
      <c r="CC84" s="4" t="str">
        <v/>
      </c>
      <c r="CD84" s="4">
        <v>1</v>
      </c>
      <c r="CE84" s="4">
        <v>0.581130461758257</v>
      </c>
      <c r="CF84" s="4">
        <v>0.555501489770146</v>
      </c>
      <c r="CG84" s="4">
        <v>0.198297400237427</v>
      </c>
      <c r="CH84" s="4">
        <v>0.473184911308244</v>
      </c>
      <c r="CI84" s="4">
        <v>0.383660429155627</v>
      </c>
      <c r="CJ84" s="4">
        <v>0.635123880605851</v>
      </c>
      <c r="CK84" s="4">
        <v>0.122072794366937</v>
      </c>
      <c r="CL84" s="4">
        <v>0.30316398915599</v>
      </c>
      <c r="CM84" s="4">
        <v>0.0681340347068028</v>
      </c>
      <c r="CN84" s="4">
        <v>0.270002825673261</v>
      </c>
      <c r="CO84" s="4">
        <v>0.440499123271161</v>
      </c>
      <c r="CP84" s="4">
        <v>0.5786970152974</v>
      </c>
      <c r="CQ84" s="4">
        <v>0.341189966385761</v>
      </c>
      <c r="CR84" s="4">
        <v>0.258921756768056</v>
      </c>
      <c r="CS84" s="4">
        <v>0.332588252949083</v>
      </c>
      <c r="CT84" s="4">
        <v>0.268979048011812</v>
      </c>
      <c r="CU84" s="4">
        <v>0.12727058770619</v>
      </c>
      <c r="CV84" s="4">
        <v>0.380199770598415</v>
      </c>
      <c r="CW84" s="4">
        <v>0.286853209559671</v>
      </c>
      <c r="CX84" s="4">
        <v>0.253489535666778</v>
      </c>
      <c r="CY84" s="4">
        <v>-0.00689620208230861</v>
      </c>
      <c r="CZ84" s="4">
        <v>0.321373547439628</v>
      </c>
      <c r="DA84" s="4">
        <v>0.00966000165583412</v>
      </c>
      <c r="DB84" s="4">
        <v>0.117951568602501</v>
      </c>
      <c r="DC84" s="4">
        <v>0.0230214191938099</v>
      </c>
      <c r="DD84" s="4">
        <v>-0.0953357490294561</v>
      </c>
      <c r="DE84" s="4">
        <v>0.0879540804536453</v>
      </c>
      <c r="DF84" s="4">
        <v>0.11524319056021</v>
      </c>
      <c r="DG84" s="4">
        <v>0.0405767804185114</v>
      </c>
      <c r="DH84" s="4">
        <v>0.136323747374</v>
      </c>
      <c r="DI84" s="4">
        <v>0.128966081462522</v>
      </c>
      <c r="DJ84" s="4">
        <v>0.193605908683609</v>
      </c>
      <c r="DK84" s="4">
        <v>0.103400705101438</v>
      </c>
      <c r="DL84" s="4">
        <v>0.15179922091447</v>
      </c>
      <c r="DM84" s="4">
        <v>0.153539165696085</v>
      </c>
      <c r="DN84" s="4">
        <v>0.173040318548849</v>
      </c>
      <c r="DO84" s="4">
        <v>0.13129768857157</v>
      </c>
      <c r="DP84" s="4">
        <v>0.159747188551568</v>
      </c>
      <c r="DQ84" s="4">
        <v>0.153493876796577</v>
      </c>
      <c r="DR84" s="4">
        <v>0.153542908511384</v>
      </c>
      <c r="DS84" s="4">
        <v>0.0784451111960022</v>
      </c>
      <c r="DT84" s="4">
        <v>0.231801211110486</v>
      </c>
      <c r="DU84" s="4">
        <v>0.130524575512431</v>
      </c>
      <c r="DV84" s="4">
        <v>0.181866907397242</v>
      </c>
      <c r="DW84" s="4">
        <v>0.0932227484352276</v>
      </c>
      <c r="DX84" s="4">
        <v>0.408574252077072</v>
      </c>
      <c r="DY84" s="4">
        <v>0.171571160581146</v>
      </c>
    </row>
    <row r="85" ht="14" spans="1:129">
      <c r="A85" s="31" t="s">
        <v>83</v>
      </c>
      <c r="B85" s="2" t="str">
        <v/>
      </c>
      <c r="C85" s="2" t="str">
        <v/>
      </c>
      <c r="D85" s="2" t="str">
        <v/>
      </c>
      <c r="E85" s="2" t="str">
        <v/>
      </c>
      <c r="F85" s="2" t="str">
        <v/>
      </c>
      <c r="G85" s="2" t="str">
        <v/>
      </c>
      <c r="H85" s="2" t="str">
        <v/>
      </c>
      <c r="I85" s="2" t="str">
        <v/>
      </c>
      <c r="J85" s="2" t="str">
        <v/>
      </c>
      <c r="K85" s="2" t="str">
        <v/>
      </c>
      <c r="L85" s="2" t="str">
        <v/>
      </c>
      <c r="M85" s="2" t="str">
        <v/>
      </c>
      <c r="N85" s="2" t="str">
        <v/>
      </c>
      <c r="O85" s="2" t="str">
        <v/>
      </c>
      <c r="P85" s="2" t="str">
        <v/>
      </c>
      <c r="Q85" s="2" t="str">
        <v/>
      </c>
      <c r="R85" s="2" t="str">
        <v/>
      </c>
      <c r="S85" s="2" t="str">
        <v/>
      </c>
      <c r="T85" s="2" t="str">
        <v/>
      </c>
      <c r="U85" s="2" t="str">
        <v/>
      </c>
      <c r="V85" s="2" t="str">
        <v/>
      </c>
      <c r="W85" s="2" t="str">
        <v/>
      </c>
      <c r="X85" s="2" t="str">
        <v/>
      </c>
      <c r="Y85" s="2" t="str">
        <v/>
      </c>
      <c r="Z85" s="2" t="str">
        <v/>
      </c>
      <c r="AA85" s="2" t="str">
        <v/>
      </c>
      <c r="AB85" s="2" t="str">
        <v/>
      </c>
      <c r="AC85" s="2" t="str">
        <v/>
      </c>
      <c r="AD85" s="2" t="str">
        <v/>
      </c>
      <c r="AE85" s="2" t="str">
        <v/>
      </c>
      <c r="AF85" s="2" t="str">
        <v/>
      </c>
      <c r="AG85" s="2" t="str">
        <v/>
      </c>
      <c r="AH85" s="2" t="str">
        <v/>
      </c>
      <c r="AI85" s="2" t="str">
        <v/>
      </c>
      <c r="AJ85" s="2" t="str">
        <v/>
      </c>
      <c r="AK85" s="2" t="str">
        <v/>
      </c>
      <c r="AL85" s="2" t="str">
        <v/>
      </c>
      <c r="AM85" s="2" t="str">
        <v/>
      </c>
      <c r="AN85" s="2" t="str">
        <v/>
      </c>
      <c r="AO85" s="2" t="str">
        <v/>
      </c>
      <c r="AP85" s="2" t="str">
        <v/>
      </c>
      <c r="AQ85" s="2" t="str">
        <v/>
      </c>
      <c r="AR85" s="2" t="str">
        <v/>
      </c>
      <c r="AS85" s="2" t="str">
        <v/>
      </c>
      <c r="AT85" s="2" t="str">
        <v/>
      </c>
      <c r="AU85" s="2" t="str">
        <v/>
      </c>
      <c r="AV85" s="2" t="str">
        <v/>
      </c>
      <c r="AW85" s="2" t="str">
        <v/>
      </c>
      <c r="AX85" s="2" t="str">
        <v/>
      </c>
      <c r="AY85" s="2" t="str">
        <v/>
      </c>
      <c r="AZ85" s="2" t="str">
        <v/>
      </c>
      <c r="BA85" s="2" t="str">
        <v/>
      </c>
      <c r="BB85" s="2" t="str">
        <v/>
      </c>
      <c r="BC85" s="2" t="str">
        <v/>
      </c>
      <c r="BD85" s="2" t="str">
        <v/>
      </c>
      <c r="BE85" s="2" t="str">
        <v/>
      </c>
      <c r="BF85" s="2" t="str">
        <v/>
      </c>
      <c r="BG85" s="2" t="str">
        <v/>
      </c>
      <c r="BH85" s="2" t="str">
        <v/>
      </c>
      <c r="BI85" s="2" t="str">
        <v/>
      </c>
      <c r="BJ85" s="2" t="str">
        <v/>
      </c>
      <c r="BK85" s="2" t="str">
        <v/>
      </c>
      <c r="BL85" s="2" t="str">
        <v/>
      </c>
      <c r="BM85" s="2" t="str">
        <v/>
      </c>
      <c r="BN85" s="2" t="str">
        <v/>
      </c>
      <c r="BO85" s="2" t="str">
        <v/>
      </c>
      <c r="BP85" s="4" t="str">
        <v/>
      </c>
      <c r="BQ85" s="4" t="str">
        <v/>
      </c>
      <c r="BR85" s="4" t="str">
        <v/>
      </c>
      <c r="BS85" s="4" t="str">
        <v/>
      </c>
      <c r="BT85" s="4" t="str">
        <v/>
      </c>
      <c r="BU85" s="4" t="str">
        <v/>
      </c>
      <c r="BV85" s="4" t="str">
        <v/>
      </c>
      <c r="BW85" s="4" t="str">
        <v/>
      </c>
      <c r="BX85" s="4" t="str">
        <v/>
      </c>
      <c r="BY85" s="4" t="str">
        <v/>
      </c>
      <c r="BZ85" s="4" t="str">
        <v/>
      </c>
      <c r="CA85" s="4" t="str">
        <v/>
      </c>
      <c r="CB85" s="4" t="str">
        <v/>
      </c>
      <c r="CC85" s="4" t="str">
        <v/>
      </c>
      <c r="CD85" s="4" t="str">
        <v/>
      </c>
      <c r="CE85" s="4">
        <v>1</v>
      </c>
      <c r="CF85" s="4">
        <v>0.595090359650498</v>
      </c>
      <c r="CG85" s="4">
        <v>0.345173793316386</v>
      </c>
      <c r="CH85" s="4">
        <v>0.489212851872769</v>
      </c>
      <c r="CI85" s="4">
        <v>0.524952800562306</v>
      </c>
      <c r="CJ85" s="4">
        <v>0.37567240374277</v>
      </c>
      <c r="CK85" s="4">
        <v>0.271599737011874</v>
      </c>
      <c r="CL85" s="4">
        <v>0.479282938354572</v>
      </c>
      <c r="CM85" s="4">
        <v>-0.0427511696649291</v>
      </c>
      <c r="CN85" s="4">
        <v>0.250646601037125</v>
      </c>
      <c r="CO85" s="4">
        <v>0.183961453712135</v>
      </c>
      <c r="CP85" s="4">
        <v>0.32314165735095</v>
      </c>
      <c r="CQ85" s="4">
        <v>0.0320102543702525</v>
      </c>
      <c r="CR85" s="4">
        <v>0.196336355175935</v>
      </c>
      <c r="CS85" s="4">
        <v>0.360366311057996</v>
      </c>
      <c r="CT85" s="4">
        <v>0.507580591210708</v>
      </c>
      <c r="CU85" s="4">
        <v>0.351608113229075</v>
      </c>
      <c r="CV85" s="4">
        <v>0.321360826290652</v>
      </c>
      <c r="CW85" s="4">
        <v>0.242474237827379</v>
      </c>
      <c r="CX85" s="4">
        <v>0.191478743621106</v>
      </c>
      <c r="CY85" s="4">
        <v>0.161108723398436</v>
      </c>
      <c r="CZ85" s="4">
        <v>0.290620964024481</v>
      </c>
      <c r="DA85" s="4">
        <v>0.101737453905406</v>
      </c>
      <c r="DB85" s="4">
        <v>0.164311226035876</v>
      </c>
      <c r="DC85" s="4">
        <v>0.34836401914687</v>
      </c>
      <c r="DD85" s="4">
        <v>0.000923389668978625</v>
      </c>
      <c r="DE85" s="4">
        <v>0.120785225345662</v>
      </c>
      <c r="DF85" s="4">
        <v>0.142598335142567</v>
      </c>
      <c r="DG85" s="4">
        <v>0.215194744243665</v>
      </c>
      <c r="DH85" s="4">
        <v>0.28424026110454</v>
      </c>
      <c r="DI85" s="4">
        <v>0.496190629622559</v>
      </c>
      <c r="DJ85" s="4">
        <v>0.562088002188334</v>
      </c>
      <c r="DK85" s="4">
        <v>0.464701437281698</v>
      </c>
      <c r="DL85" s="4">
        <v>0.44883766089359</v>
      </c>
      <c r="DM85" s="4">
        <v>0.542000873375922</v>
      </c>
      <c r="DN85" s="4">
        <v>0.467838086295254</v>
      </c>
      <c r="DO85" s="4">
        <v>0.46331196182895</v>
      </c>
      <c r="DP85" s="4">
        <v>0.533590933521904</v>
      </c>
      <c r="DQ85" s="4">
        <v>0.565624408897754</v>
      </c>
      <c r="DR85" s="4">
        <v>0.513327028658916</v>
      </c>
      <c r="DS85" s="4">
        <v>0.382333735972081</v>
      </c>
      <c r="DT85" s="4">
        <v>0.591981156004273</v>
      </c>
      <c r="DU85" s="4">
        <v>0.45664909268485</v>
      </c>
      <c r="DV85" s="4">
        <v>0.430203753939537</v>
      </c>
      <c r="DW85" s="4">
        <v>0.0196165631824961</v>
      </c>
      <c r="DX85" s="4">
        <v>0.422979179754749</v>
      </c>
      <c r="DY85" s="4">
        <v>0.465002649445334</v>
      </c>
    </row>
    <row r="86" ht="14" spans="1:129">
      <c r="A86" s="31" t="s">
        <v>84</v>
      </c>
      <c r="B86" s="2" t="str">
        <v/>
      </c>
      <c r="C86" s="2" t="str">
        <v/>
      </c>
      <c r="D86" s="2" t="str">
        <v/>
      </c>
      <c r="E86" s="2" t="str">
        <v/>
      </c>
      <c r="F86" s="2" t="str">
        <v/>
      </c>
      <c r="G86" s="2" t="str">
        <v/>
      </c>
      <c r="H86" s="2" t="str">
        <v/>
      </c>
      <c r="I86" s="2" t="str">
        <v/>
      </c>
      <c r="J86" s="2" t="str">
        <v/>
      </c>
      <c r="K86" s="2" t="str">
        <v/>
      </c>
      <c r="L86" s="2" t="str">
        <v/>
      </c>
      <c r="M86" s="2" t="str">
        <v/>
      </c>
      <c r="N86" s="2" t="str">
        <v/>
      </c>
      <c r="O86" s="2" t="str">
        <v/>
      </c>
      <c r="P86" s="2" t="str">
        <v/>
      </c>
      <c r="Q86" s="2" t="str">
        <v/>
      </c>
      <c r="R86" s="2" t="str">
        <v/>
      </c>
      <c r="S86" s="2" t="str">
        <v/>
      </c>
      <c r="T86" s="2" t="str">
        <v/>
      </c>
      <c r="U86" s="2" t="str">
        <v/>
      </c>
      <c r="V86" s="2" t="str">
        <v/>
      </c>
      <c r="W86" s="2" t="str">
        <v/>
      </c>
      <c r="X86" s="2" t="str">
        <v/>
      </c>
      <c r="Y86" s="2" t="str">
        <v/>
      </c>
      <c r="Z86" s="2" t="str">
        <v/>
      </c>
      <c r="AA86" s="2" t="str">
        <v/>
      </c>
      <c r="AB86" s="2" t="str">
        <v/>
      </c>
      <c r="AC86" s="2" t="str">
        <v/>
      </c>
      <c r="AD86" s="2" t="str">
        <v/>
      </c>
      <c r="AE86" s="2" t="str">
        <v/>
      </c>
      <c r="AF86" s="2" t="str">
        <v/>
      </c>
      <c r="AG86" s="2" t="str">
        <v/>
      </c>
      <c r="AH86" s="2" t="str">
        <v/>
      </c>
      <c r="AI86" s="2" t="str">
        <v/>
      </c>
      <c r="AJ86" s="2" t="str">
        <v/>
      </c>
      <c r="AK86" s="2" t="str">
        <v/>
      </c>
      <c r="AL86" s="2" t="str">
        <v/>
      </c>
      <c r="AM86" s="2" t="str">
        <v/>
      </c>
      <c r="AN86" s="2" t="str">
        <v/>
      </c>
      <c r="AO86" s="2" t="str">
        <v/>
      </c>
      <c r="AP86" s="2" t="str">
        <v/>
      </c>
      <c r="AQ86" s="2" t="str">
        <v/>
      </c>
      <c r="AR86" s="2" t="str">
        <v/>
      </c>
      <c r="AS86" s="2" t="str">
        <v/>
      </c>
      <c r="AT86" s="2" t="str">
        <v/>
      </c>
      <c r="AU86" s="2" t="str">
        <v/>
      </c>
      <c r="AV86" s="2" t="str">
        <v/>
      </c>
      <c r="AW86" s="2" t="str">
        <v/>
      </c>
      <c r="AX86" s="2" t="str">
        <v/>
      </c>
      <c r="AY86" s="2" t="str">
        <v/>
      </c>
      <c r="AZ86" s="2" t="str">
        <v/>
      </c>
      <c r="BA86" s="2" t="str">
        <v/>
      </c>
      <c r="BB86" s="2" t="str">
        <v/>
      </c>
      <c r="BC86" s="2" t="str">
        <v/>
      </c>
      <c r="BD86" s="2" t="str">
        <v/>
      </c>
      <c r="BE86" s="2" t="str">
        <v/>
      </c>
      <c r="BF86" s="2" t="str">
        <v/>
      </c>
      <c r="BG86" s="2" t="str">
        <v/>
      </c>
      <c r="BH86" s="2" t="str">
        <v/>
      </c>
      <c r="BI86" s="2" t="str">
        <v/>
      </c>
      <c r="BJ86" s="2" t="str">
        <v/>
      </c>
      <c r="BK86" s="2" t="str">
        <v/>
      </c>
      <c r="BL86" s="2" t="str">
        <v/>
      </c>
      <c r="BM86" s="2" t="str">
        <v/>
      </c>
      <c r="BN86" s="2" t="str">
        <v/>
      </c>
      <c r="BO86" s="2" t="str">
        <v/>
      </c>
      <c r="BP86" s="4" t="str">
        <v/>
      </c>
      <c r="BQ86" s="4" t="str">
        <v/>
      </c>
      <c r="BR86" s="4" t="str">
        <v/>
      </c>
      <c r="BS86" s="4" t="str">
        <v/>
      </c>
      <c r="BT86" s="4" t="str">
        <v/>
      </c>
      <c r="BU86" s="4" t="str">
        <v/>
      </c>
      <c r="BV86" s="4" t="str">
        <v/>
      </c>
      <c r="BW86" s="4" t="str">
        <v/>
      </c>
      <c r="BX86" s="4" t="str">
        <v/>
      </c>
      <c r="BY86" s="4" t="str">
        <v/>
      </c>
      <c r="BZ86" s="4" t="str">
        <v/>
      </c>
      <c r="CA86" s="4" t="str">
        <v/>
      </c>
      <c r="CB86" s="4" t="str">
        <v/>
      </c>
      <c r="CC86" s="4" t="str">
        <v/>
      </c>
      <c r="CD86" s="4" t="str">
        <v/>
      </c>
      <c r="CE86" s="4" t="str">
        <v/>
      </c>
      <c r="CF86" s="4">
        <v>1</v>
      </c>
      <c r="CG86" s="4">
        <v>0.501414576356429</v>
      </c>
      <c r="CH86" s="4">
        <v>0.676347427657395</v>
      </c>
      <c r="CI86" s="4">
        <v>0.72829112921184</v>
      </c>
      <c r="CJ86" s="4">
        <v>0.66288271233433</v>
      </c>
      <c r="CK86" s="4">
        <v>0.407286122525333</v>
      </c>
      <c r="CL86" s="4">
        <v>0.572743072078359</v>
      </c>
      <c r="CM86" s="4">
        <v>-0.0121121805075917</v>
      </c>
      <c r="CN86" s="4">
        <v>0.522399541108333</v>
      </c>
      <c r="CO86" s="4">
        <v>0.360664583551513</v>
      </c>
      <c r="CP86" s="4">
        <v>0.416627702019072</v>
      </c>
      <c r="CQ86" s="4">
        <v>0.141634363217121</v>
      </c>
      <c r="CR86" s="4">
        <v>0.471992412028933</v>
      </c>
      <c r="CS86" s="4">
        <v>0.473132401274934</v>
      </c>
      <c r="CT86" s="4">
        <v>0.640665431064056</v>
      </c>
      <c r="CU86" s="4">
        <v>0.438687298598735</v>
      </c>
      <c r="CV86" s="4">
        <v>0.554628741432322</v>
      </c>
      <c r="CW86" s="4">
        <v>0.468620912131535</v>
      </c>
      <c r="CX86" s="4">
        <v>0.315186253654821</v>
      </c>
      <c r="CY86" s="4">
        <v>0.21675960329217</v>
      </c>
      <c r="CZ86" s="4">
        <v>0.467570179642404</v>
      </c>
      <c r="DA86" s="4">
        <v>0.279025105338371</v>
      </c>
      <c r="DB86" s="4">
        <v>0.483019584475587</v>
      </c>
      <c r="DC86" s="4">
        <v>0.363722641633695</v>
      </c>
      <c r="DD86" s="4">
        <v>0.080212132887634</v>
      </c>
      <c r="DE86" s="4">
        <v>0.361587175186109</v>
      </c>
      <c r="DF86" s="4">
        <v>0.3179073961424</v>
      </c>
      <c r="DG86" s="4">
        <v>0.22656048066411</v>
      </c>
      <c r="DH86" s="4">
        <v>0.499282917206139</v>
      </c>
      <c r="DI86" s="4">
        <v>0.544537235066892</v>
      </c>
      <c r="DJ86" s="4">
        <v>0.565900629392069</v>
      </c>
      <c r="DK86" s="4">
        <v>0.496733163758029</v>
      </c>
      <c r="DL86" s="4">
        <v>0.534895807477124</v>
      </c>
      <c r="DM86" s="4">
        <v>0.598671550967845</v>
      </c>
      <c r="DN86" s="4">
        <v>0.550245938281865</v>
      </c>
      <c r="DO86" s="4">
        <v>0.507756008537185</v>
      </c>
      <c r="DP86" s="4">
        <v>0.594371523540748</v>
      </c>
      <c r="DQ86" s="4">
        <v>0.5815736664949</v>
      </c>
      <c r="DR86" s="4">
        <v>0.655745345028057</v>
      </c>
      <c r="DS86" s="4">
        <v>0.40051759314952</v>
      </c>
      <c r="DT86" s="4">
        <v>0.659979505279446</v>
      </c>
      <c r="DU86" s="4">
        <v>0.616421750859321</v>
      </c>
      <c r="DV86" s="4">
        <v>0.52744737911572</v>
      </c>
      <c r="DW86" s="4">
        <v>0.246414675460501</v>
      </c>
      <c r="DX86" s="4">
        <v>0.551291804683306</v>
      </c>
      <c r="DY86" s="4">
        <v>0.608222271210337</v>
      </c>
    </row>
    <row r="87" ht="14" spans="1:129">
      <c r="A87" s="31" t="s">
        <v>85</v>
      </c>
      <c r="B87" s="2" t="str">
        <v/>
      </c>
      <c r="C87" s="2" t="str">
        <v/>
      </c>
      <c r="D87" s="2" t="str">
        <v/>
      </c>
      <c r="E87" s="2" t="str">
        <v/>
      </c>
      <c r="F87" s="2" t="str">
        <v/>
      </c>
      <c r="G87" s="2" t="str">
        <v/>
      </c>
      <c r="H87" s="2" t="str">
        <v/>
      </c>
      <c r="I87" s="2" t="str">
        <v/>
      </c>
      <c r="J87" s="2" t="str">
        <v/>
      </c>
      <c r="K87" s="2" t="str">
        <v/>
      </c>
      <c r="L87" s="2" t="str">
        <v/>
      </c>
      <c r="M87" s="2" t="str">
        <v/>
      </c>
      <c r="N87" s="2" t="str">
        <v/>
      </c>
      <c r="O87" s="2" t="str">
        <v/>
      </c>
      <c r="P87" s="2" t="str">
        <v/>
      </c>
      <c r="Q87" s="2" t="str">
        <v/>
      </c>
      <c r="R87" s="2" t="str">
        <v/>
      </c>
      <c r="S87" s="2" t="str">
        <v/>
      </c>
      <c r="T87" s="2" t="str">
        <v/>
      </c>
      <c r="U87" s="2" t="str">
        <v/>
      </c>
      <c r="V87" s="2" t="str">
        <v/>
      </c>
      <c r="W87" s="2" t="str">
        <v/>
      </c>
      <c r="X87" s="2" t="str">
        <v/>
      </c>
      <c r="Y87" s="2" t="str">
        <v/>
      </c>
      <c r="Z87" s="2" t="str">
        <v/>
      </c>
      <c r="AA87" s="2" t="str">
        <v/>
      </c>
      <c r="AB87" s="2" t="str">
        <v/>
      </c>
      <c r="AC87" s="2" t="str">
        <v/>
      </c>
      <c r="AD87" s="2" t="str">
        <v/>
      </c>
      <c r="AE87" s="2" t="str">
        <v/>
      </c>
      <c r="AF87" s="2" t="str">
        <v/>
      </c>
      <c r="AG87" s="2" t="str">
        <v/>
      </c>
      <c r="AH87" s="2" t="str">
        <v/>
      </c>
      <c r="AI87" s="2" t="str">
        <v/>
      </c>
      <c r="AJ87" s="2" t="str">
        <v/>
      </c>
      <c r="AK87" s="2" t="str">
        <v/>
      </c>
      <c r="AL87" s="2" t="str">
        <v/>
      </c>
      <c r="AM87" s="2" t="str">
        <v/>
      </c>
      <c r="AN87" s="2" t="str">
        <v/>
      </c>
      <c r="AO87" s="2" t="str">
        <v/>
      </c>
      <c r="AP87" s="2" t="str">
        <v/>
      </c>
      <c r="AQ87" s="2" t="str">
        <v/>
      </c>
      <c r="AR87" s="2" t="str">
        <v/>
      </c>
      <c r="AS87" s="2" t="str">
        <v/>
      </c>
      <c r="AT87" s="2" t="str">
        <v/>
      </c>
      <c r="AU87" s="2" t="str">
        <v/>
      </c>
      <c r="AV87" s="2" t="str">
        <v/>
      </c>
      <c r="AW87" s="2" t="str">
        <v/>
      </c>
      <c r="AX87" s="2" t="str">
        <v/>
      </c>
      <c r="AY87" s="2" t="str">
        <v/>
      </c>
      <c r="AZ87" s="2" t="str">
        <v/>
      </c>
      <c r="BA87" s="2" t="str">
        <v/>
      </c>
      <c r="BB87" s="2" t="str">
        <v/>
      </c>
      <c r="BC87" s="2" t="str">
        <v/>
      </c>
      <c r="BD87" s="2" t="str">
        <v/>
      </c>
      <c r="BE87" s="2" t="str">
        <v/>
      </c>
      <c r="BF87" s="2" t="str">
        <v/>
      </c>
      <c r="BG87" s="2" t="str">
        <v/>
      </c>
      <c r="BH87" s="2" t="str">
        <v/>
      </c>
      <c r="BI87" s="2" t="str">
        <v/>
      </c>
      <c r="BJ87" s="2" t="str">
        <v/>
      </c>
      <c r="BK87" s="2" t="str">
        <v/>
      </c>
      <c r="BL87" s="2" t="str">
        <v/>
      </c>
      <c r="BM87" s="2" t="str">
        <v/>
      </c>
      <c r="BN87" s="2" t="str">
        <v/>
      </c>
      <c r="BO87" s="2" t="str">
        <v/>
      </c>
      <c r="BP87" s="4" t="str">
        <v/>
      </c>
      <c r="BQ87" s="4" t="str">
        <v/>
      </c>
      <c r="BR87" s="4" t="str">
        <v/>
      </c>
      <c r="BS87" s="4" t="str">
        <v/>
      </c>
      <c r="BT87" s="4" t="str">
        <v/>
      </c>
      <c r="BU87" s="4" t="str">
        <v/>
      </c>
      <c r="BV87" s="4" t="str">
        <v/>
      </c>
      <c r="BW87" s="4" t="str">
        <v/>
      </c>
      <c r="BX87" s="4" t="str">
        <v/>
      </c>
      <c r="BY87" s="4" t="str">
        <v/>
      </c>
      <c r="BZ87" s="4" t="str">
        <v/>
      </c>
      <c r="CA87" s="4" t="str">
        <v/>
      </c>
      <c r="CB87" s="4" t="str">
        <v/>
      </c>
      <c r="CC87" s="4" t="str">
        <v/>
      </c>
      <c r="CD87" s="4" t="str">
        <v/>
      </c>
      <c r="CE87" s="4" t="str">
        <v/>
      </c>
      <c r="CF87" s="4" t="str">
        <v/>
      </c>
      <c r="CG87" s="4">
        <v>1</v>
      </c>
      <c r="CH87" s="4">
        <v>0.368278785734745</v>
      </c>
      <c r="CI87" s="4">
        <v>0.656091714481533</v>
      </c>
      <c r="CJ87" s="4">
        <v>0.4229183628461</v>
      </c>
      <c r="CK87" s="4">
        <v>0.10612708220347</v>
      </c>
      <c r="CL87" s="4">
        <v>0.5819580100403</v>
      </c>
      <c r="CM87" s="4">
        <v>0.118725026201176</v>
      </c>
      <c r="CN87" s="4">
        <v>0.270323692532764</v>
      </c>
      <c r="CO87" s="4">
        <v>0.319718631239198</v>
      </c>
      <c r="CP87" s="4">
        <v>0.150978291647995</v>
      </c>
      <c r="CQ87" s="4">
        <v>0.00696237434982463</v>
      </c>
      <c r="CR87" s="4">
        <v>0.190034010971036</v>
      </c>
      <c r="CS87" s="4">
        <v>0.0809926883977893</v>
      </c>
      <c r="CT87" s="4">
        <v>0.548341532641097</v>
      </c>
      <c r="CU87" s="4">
        <v>0.443218659542597</v>
      </c>
      <c r="CV87" s="4">
        <v>0.378170385678408</v>
      </c>
      <c r="CW87" s="4">
        <v>0.491126469804526</v>
      </c>
      <c r="CX87" s="4">
        <v>0.341129025149661</v>
      </c>
      <c r="CY87" s="4">
        <v>0.387616568315606</v>
      </c>
      <c r="CZ87" s="4">
        <v>0.357806685872573</v>
      </c>
      <c r="DA87" s="4">
        <v>0.162581845335117</v>
      </c>
      <c r="DB87" s="4">
        <v>0.341586204226548</v>
      </c>
      <c r="DC87" s="4">
        <v>0.277528407503331</v>
      </c>
      <c r="DD87" s="4">
        <v>0.183681852534209</v>
      </c>
      <c r="DE87" s="4">
        <v>0.496395420267853</v>
      </c>
      <c r="DF87" s="4">
        <v>0.280210798298314</v>
      </c>
      <c r="DG87" s="4">
        <v>0.258308001100317</v>
      </c>
      <c r="DH87" s="4">
        <v>0.447839773276987</v>
      </c>
      <c r="DI87" s="4">
        <v>0.47125379640953</v>
      </c>
      <c r="DJ87" s="4">
        <v>0.490029190075868</v>
      </c>
      <c r="DK87" s="4">
        <v>0.405277931880519</v>
      </c>
      <c r="DL87" s="4">
        <v>0.460420850005533</v>
      </c>
      <c r="DM87" s="4">
        <v>0.469701300180095</v>
      </c>
      <c r="DN87" s="4">
        <v>0.40320417444023</v>
      </c>
      <c r="DO87" s="4">
        <v>0.326040528351916</v>
      </c>
      <c r="DP87" s="4">
        <v>0.46525449908158</v>
      </c>
      <c r="DQ87" s="4">
        <v>0.453901807920833</v>
      </c>
      <c r="DR87" s="4">
        <v>0.529827887624107</v>
      </c>
      <c r="DS87" s="4">
        <v>0.425632512200978</v>
      </c>
      <c r="DT87" s="4">
        <v>0.402798951505871</v>
      </c>
      <c r="DU87" s="4">
        <v>0.496168467999496</v>
      </c>
      <c r="DV87" s="4">
        <v>0.441980147086937</v>
      </c>
      <c r="DW87" s="4">
        <v>0.129743226382566</v>
      </c>
      <c r="DX87" s="4">
        <v>0.367802669815508</v>
      </c>
      <c r="DY87" s="4">
        <v>0.569882926671696</v>
      </c>
    </row>
    <row r="88" ht="14" spans="1:129">
      <c r="A88" s="31" t="s">
        <v>86</v>
      </c>
      <c r="B88" s="2" t="str">
        <v/>
      </c>
      <c r="C88" s="2" t="str">
        <v/>
      </c>
      <c r="D88" s="2" t="str">
        <v/>
      </c>
      <c r="E88" s="2" t="str">
        <v/>
      </c>
      <c r="F88" s="2" t="str">
        <v/>
      </c>
      <c r="G88" s="2" t="str">
        <v/>
      </c>
      <c r="H88" s="2" t="str">
        <v/>
      </c>
      <c r="I88" s="2" t="str">
        <v/>
      </c>
      <c r="J88" s="2" t="str">
        <v/>
      </c>
      <c r="K88" s="2" t="str">
        <v/>
      </c>
      <c r="L88" s="2" t="str">
        <v/>
      </c>
      <c r="M88" s="2" t="str">
        <v/>
      </c>
      <c r="N88" s="2" t="str">
        <v/>
      </c>
      <c r="O88" s="2" t="str">
        <v/>
      </c>
      <c r="P88" s="2" t="str">
        <v/>
      </c>
      <c r="Q88" s="2" t="str">
        <v/>
      </c>
      <c r="R88" s="2" t="str">
        <v/>
      </c>
      <c r="S88" s="2" t="str">
        <v/>
      </c>
      <c r="T88" s="2" t="str">
        <v/>
      </c>
      <c r="U88" s="2" t="str">
        <v/>
      </c>
      <c r="V88" s="2" t="str">
        <v/>
      </c>
      <c r="W88" s="2" t="str">
        <v/>
      </c>
      <c r="X88" s="2" t="str">
        <v/>
      </c>
      <c r="Y88" s="2" t="str">
        <v/>
      </c>
      <c r="Z88" s="2" t="str">
        <v/>
      </c>
      <c r="AA88" s="2" t="str">
        <v/>
      </c>
      <c r="AB88" s="2" t="str">
        <v/>
      </c>
      <c r="AC88" s="2" t="str">
        <v/>
      </c>
      <c r="AD88" s="2" t="str">
        <v/>
      </c>
      <c r="AE88" s="2" t="str">
        <v/>
      </c>
      <c r="AF88" s="2" t="str">
        <v/>
      </c>
      <c r="AG88" s="2" t="str">
        <v/>
      </c>
      <c r="AH88" s="2" t="str">
        <v/>
      </c>
      <c r="AI88" s="2" t="str">
        <v/>
      </c>
      <c r="AJ88" s="2" t="str">
        <v/>
      </c>
      <c r="AK88" s="2" t="str">
        <v/>
      </c>
      <c r="AL88" s="2" t="str">
        <v/>
      </c>
      <c r="AM88" s="2" t="str">
        <v/>
      </c>
      <c r="AN88" s="2" t="str">
        <v/>
      </c>
      <c r="AO88" s="2" t="str">
        <v/>
      </c>
      <c r="AP88" s="2" t="str">
        <v/>
      </c>
      <c r="AQ88" s="2" t="str">
        <v/>
      </c>
      <c r="AR88" s="2" t="str">
        <v/>
      </c>
      <c r="AS88" s="2" t="str">
        <v/>
      </c>
      <c r="AT88" s="2" t="str">
        <v/>
      </c>
      <c r="AU88" s="2" t="str">
        <v/>
      </c>
      <c r="AV88" s="2" t="str">
        <v/>
      </c>
      <c r="AW88" s="2" t="str">
        <v/>
      </c>
      <c r="AX88" s="2" t="str">
        <v/>
      </c>
      <c r="AY88" s="2" t="str">
        <v/>
      </c>
      <c r="AZ88" s="2" t="str">
        <v/>
      </c>
      <c r="BA88" s="2" t="str">
        <v/>
      </c>
      <c r="BB88" s="2" t="str">
        <v/>
      </c>
      <c r="BC88" s="2" t="str">
        <v/>
      </c>
      <c r="BD88" s="2" t="str">
        <v/>
      </c>
      <c r="BE88" s="2" t="str">
        <v/>
      </c>
      <c r="BF88" s="2" t="str">
        <v/>
      </c>
      <c r="BG88" s="2" t="str">
        <v/>
      </c>
      <c r="BH88" s="2" t="str">
        <v/>
      </c>
      <c r="BI88" s="2" t="str">
        <v/>
      </c>
      <c r="BJ88" s="2" t="str">
        <v/>
      </c>
      <c r="BK88" s="2" t="str">
        <v/>
      </c>
      <c r="BL88" s="2" t="str">
        <v/>
      </c>
      <c r="BM88" s="2" t="str">
        <v/>
      </c>
      <c r="BN88" s="2" t="str">
        <v/>
      </c>
      <c r="BO88" s="2" t="str">
        <v/>
      </c>
      <c r="BP88" s="4" t="str">
        <v/>
      </c>
      <c r="BQ88" s="4" t="str">
        <v/>
      </c>
      <c r="BR88" s="4" t="str">
        <v/>
      </c>
      <c r="BS88" s="4" t="str">
        <v/>
      </c>
      <c r="BT88" s="4" t="str">
        <v/>
      </c>
      <c r="BU88" s="4" t="str">
        <v/>
      </c>
      <c r="BV88" s="4" t="str">
        <v/>
      </c>
      <c r="BW88" s="4" t="str">
        <v/>
      </c>
      <c r="BX88" s="4" t="str">
        <v/>
      </c>
      <c r="BY88" s="4" t="str">
        <v/>
      </c>
      <c r="BZ88" s="4" t="str">
        <v/>
      </c>
      <c r="CA88" s="4" t="str">
        <v/>
      </c>
      <c r="CB88" s="4" t="str">
        <v/>
      </c>
      <c r="CC88" s="4" t="str">
        <v/>
      </c>
      <c r="CD88" s="4" t="str">
        <v/>
      </c>
      <c r="CE88" s="4" t="str">
        <v/>
      </c>
      <c r="CF88" s="4" t="str">
        <v/>
      </c>
      <c r="CG88" s="4" t="str">
        <v/>
      </c>
      <c r="CH88" s="4">
        <v>1</v>
      </c>
      <c r="CI88" s="4">
        <v>0.611003113715094</v>
      </c>
      <c r="CJ88" s="4">
        <v>0.611563558949198</v>
      </c>
      <c r="CK88" s="4">
        <v>0.342040198632046</v>
      </c>
      <c r="CL88" s="4">
        <v>0.385097996767307</v>
      </c>
      <c r="CM88" s="4">
        <v>0.230128403857259</v>
      </c>
      <c r="CN88" s="4">
        <v>0.527248563841972</v>
      </c>
      <c r="CO88" s="4">
        <v>0.386328395827543</v>
      </c>
      <c r="CP88" s="4">
        <v>0.489595527262317</v>
      </c>
      <c r="CQ88" s="4">
        <v>0.197264724405869</v>
      </c>
      <c r="CR88" s="4">
        <v>0.635472558969797</v>
      </c>
      <c r="CS88" s="4">
        <v>0.38067224752633</v>
      </c>
      <c r="CT88" s="4">
        <v>0.429675514881827</v>
      </c>
      <c r="CU88" s="4">
        <v>0.334251254541279</v>
      </c>
      <c r="CV88" s="4">
        <v>0.428848313181519</v>
      </c>
      <c r="CW88" s="4">
        <v>0.418487472095549</v>
      </c>
      <c r="CX88" s="4">
        <v>0.260684996521705</v>
      </c>
      <c r="CY88" s="4">
        <v>0.218895962684922</v>
      </c>
      <c r="CZ88" s="4">
        <v>0.279662602476615</v>
      </c>
      <c r="DA88" s="4">
        <v>0.201417179648707</v>
      </c>
      <c r="DB88" s="4">
        <v>0.270514287774317</v>
      </c>
      <c r="DC88" s="4">
        <v>0.168253405251762</v>
      </c>
      <c r="DD88" s="4">
        <v>0.0113274597043413</v>
      </c>
      <c r="DE88" s="4">
        <v>0.285333652766971</v>
      </c>
      <c r="DF88" s="4">
        <v>0.26891149840623</v>
      </c>
      <c r="DG88" s="4">
        <v>0.0732567915039301</v>
      </c>
      <c r="DH88" s="4">
        <v>0.379950095853222</v>
      </c>
      <c r="DI88" s="4">
        <v>0.304206804594408</v>
      </c>
      <c r="DJ88" s="4">
        <v>0.317613459838757</v>
      </c>
      <c r="DK88" s="4">
        <v>0.206404638841608</v>
      </c>
      <c r="DL88" s="4">
        <v>0.306334431395121</v>
      </c>
      <c r="DM88" s="4">
        <v>0.334174567831447</v>
      </c>
      <c r="DN88" s="4">
        <v>0.376925608954286</v>
      </c>
      <c r="DO88" s="4">
        <v>0.188983975371987</v>
      </c>
      <c r="DP88" s="4">
        <v>0.27939135033678</v>
      </c>
      <c r="DQ88" s="4">
        <v>0.288522262099793</v>
      </c>
      <c r="DR88" s="4">
        <v>0.363596386215241</v>
      </c>
      <c r="DS88" s="4">
        <v>0.0619968485015064</v>
      </c>
      <c r="DT88" s="4">
        <v>0.364439030421821</v>
      </c>
      <c r="DU88" s="4">
        <v>0.285607223435832</v>
      </c>
      <c r="DV88" s="4">
        <v>0.304361137460097</v>
      </c>
      <c r="DW88" s="4">
        <v>0.212267239250109</v>
      </c>
      <c r="DX88" s="4">
        <v>0.494157348287833</v>
      </c>
      <c r="DY88" s="4">
        <v>0.320930121987413</v>
      </c>
    </row>
    <row r="89" ht="14" spans="1:129">
      <c r="A89" s="31" t="s">
        <v>87</v>
      </c>
      <c r="B89" s="2" t="str">
        <v/>
      </c>
      <c r="C89" s="2" t="str">
        <v/>
      </c>
      <c r="D89" s="2" t="str">
        <v/>
      </c>
      <c r="E89" s="2" t="str">
        <v/>
      </c>
      <c r="F89" s="2" t="str">
        <v/>
      </c>
      <c r="G89" s="2" t="str">
        <v/>
      </c>
      <c r="H89" s="2" t="str">
        <v/>
      </c>
      <c r="I89" s="2" t="str">
        <v/>
      </c>
      <c r="J89" s="2" t="str">
        <v/>
      </c>
      <c r="K89" s="2" t="str">
        <v/>
      </c>
      <c r="L89" s="2" t="str">
        <v/>
      </c>
      <c r="M89" s="2" t="str">
        <v/>
      </c>
      <c r="N89" s="2" t="str">
        <v/>
      </c>
      <c r="O89" s="2" t="str">
        <v/>
      </c>
      <c r="P89" s="2" t="str">
        <v/>
      </c>
      <c r="Q89" s="2" t="str">
        <v/>
      </c>
      <c r="R89" s="2" t="str">
        <v/>
      </c>
      <c r="S89" s="2" t="str">
        <v/>
      </c>
      <c r="T89" s="2" t="str">
        <v/>
      </c>
      <c r="U89" s="2" t="str">
        <v/>
      </c>
      <c r="V89" s="2" t="str">
        <v/>
      </c>
      <c r="W89" s="2" t="str">
        <v/>
      </c>
      <c r="X89" s="2" t="str">
        <v/>
      </c>
      <c r="Y89" s="2" t="str">
        <v/>
      </c>
      <c r="Z89" s="2" t="str">
        <v/>
      </c>
      <c r="AA89" s="2" t="str">
        <v/>
      </c>
      <c r="AB89" s="2" t="str">
        <v/>
      </c>
      <c r="AC89" s="2" t="str">
        <v/>
      </c>
      <c r="AD89" s="2" t="str">
        <v/>
      </c>
      <c r="AE89" s="2" t="str">
        <v/>
      </c>
      <c r="AF89" s="2" t="str">
        <v/>
      </c>
      <c r="AG89" s="2" t="str">
        <v/>
      </c>
      <c r="AH89" s="2" t="str">
        <v/>
      </c>
      <c r="AI89" s="2" t="str">
        <v/>
      </c>
      <c r="AJ89" s="2" t="str">
        <v/>
      </c>
      <c r="AK89" s="2" t="str">
        <v/>
      </c>
      <c r="AL89" s="2" t="str">
        <v/>
      </c>
      <c r="AM89" s="2" t="str">
        <v/>
      </c>
      <c r="AN89" s="2" t="str">
        <v/>
      </c>
      <c r="AO89" s="2" t="str">
        <v/>
      </c>
      <c r="AP89" s="2" t="str">
        <v/>
      </c>
      <c r="AQ89" s="2" t="str">
        <v/>
      </c>
      <c r="AR89" s="2" t="str">
        <v/>
      </c>
      <c r="AS89" s="2" t="str">
        <v/>
      </c>
      <c r="AT89" s="2" t="str">
        <v/>
      </c>
      <c r="AU89" s="2" t="str">
        <v/>
      </c>
      <c r="AV89" s="2" t="str">
        <v/>
      </c>
      <c r="AW89" s="2" t="str">
        <v/>
      </c>
      <c r="AX89" s="2" t="str">
        <v/>
      </c>
      <c r="AY89" s="2" t="str">
        <v/>
      </c>
      <c r="AZ89" s="2" t="str">
        <v/>
      </c>
      <c r="BA89" s="2" t="str">
        <v/>
      </c>
      <c r="BB89" s="2" t="str">
        <v/>
      </c>
      <c r="BC89" s="2" t="str">
        <v/>
      </c>
      <c r="BD89" s="2" t="str">
        <v/>
      </c>
      <c r="BE89" s="2" t="str">
        <v/>
      </c>
      <c r="BF89" s="2" t="str">
        <v/>
      </c>
      <c r="BG89" s="2" t="str">
        <v/>
      </c>
      <c r="BH89" s="2" t="str">
        <v/>
      </c>
      <c r="BI89" s="2" t="str">
        <v/>
      </c>
      <c r="BJ89" s="2" t="str">
        <v/>
      </c>
      <c r="BK89" s="2" t="str">
        <v/>
      </c>
      <c r="BL89" s="2" t="str">
        <v/>
      </c>
      <c r="BM89" s="2" t="str">
        <v/>
      </c>
      <c r="BN89" s="2" t="str">
        <v/>
      </c>
      <c r="BO89" s="2" t="str">
        <v/>
      </c>
      <c r="BP89" s="4" t="str">
        <v/>
      </c>
      <c r="BQ89" s="4" t="str">
        <v/>
      </c>
      <c r="BR89" s="4" t="str">
        <v/>
      </c>
      <c r="BS89" s="4" t="str">
        <v/>
      </c>
      <c r="BT89" s="4" t="str">
        <v/>
      </c>
      <c r="BU89" s="4" t="str">
        <v/>
      </c>
      <c r="BV89" s="4" t="str">
        <v/>
      </c>
      <c r="BW89" s="4" t="str">
        <v/>
      </c>
      <c r="BX89" s="4" t="str">
        <v/>
      </c>
      <c r="BY89" s="4" t="str">
        <v/>
      </c>
      <c r="BZ89" s="4" t="str">
        <v/>
      </c>
      <c r="CA89" s="4" t="str">
        <v/>
      </c>
      <c r="CB89" s="4" t="str">
        <v/>
      </c>
      <c r="CC89" s="4" t="str">
        <v/>
      </c>
      <c r="CD89" s="4" t="str">
        <v/>
      </c>
      <c r="CE89" s="4" t="str">
        <v/>
      </c>
      <c r="CF89" s="4" t="str">
        <v/>
      </c>
      <c r="CG89" s="4" t="str">
        <v/>
      </c>
      <c r="CH89" s="4" t="str">
        <v/>
      </c>
      <c r="CI89" s="4">
        <v>1</v>
      </c>
      <c r="CJ89" s="4">
        <v>0.526857573591849</v>
      </c>
      <c r="CK89" s="4">
        <v>0.480810858889376</v>
      </c>
      <c r="CL89" s="4">
        <v>0.72810922995391</v>
      </c>
      <c r="CM89" s="4">
        <v>-0.00101440749288944</v>
      </c>
      <c r="CN89" s="4">
        <v>0.517737192396964</v>
      </c>
      <c r="CO89" s="4">
        <v>0.36585334135276</v>
      </c>
      <c r="CP89" s="4">
        <v>0.28114502752107</v>
      </c>
      <c r="CQ89" s="4">
        <v>0.112254541890378</v>
      </c>
      <c r="CR89" s="4">
        <v>0.33597165952471</v>
      </c>
      <c r="CS89" s="4">
        <v>0.343227131949784</v>
      </c>
      <c r="CT89" s="4">
        <v>0.668525415549415</v>
      </c>
      <c r="CU89" s="4">
        <v>0.443838621915935</v>
      </c>
      <c r="CV89" s="4">
        <v>0.527156836375154</v>
      </c>
      <c r="CW89" s="4">
        <v>0.630867990340118</v>
      </c>
      <c r="CX89" s="4">
        <v>0.451969258057433</v>
      </c>
      <c r="CY89" s="4">
        <v>0.41516681407614</v>
      </c>
      <c r="CZ89" s="4">
        <v>0.611505870818556</v>
      </c>
      <c r="DA89" s="4">
        <v>0.32086353610388</v>
      </c>
      <c r="DB89" s="4">
        <v>0.47756213179022</v>
      </c>
      <c r="DC89" s="4">
        <v>0.486605719646331</v>
      </c>
      <c r="DD89" s="4">
        <v>0.220338042834144</v>
      </c>
      <c r="DE89" s="4">
        <v>0.598349928520429</v>
      </c>
      <c r="DF89" s="4">
        <v>0.489758286077384</v>
      </c>
      <c r="DG89" s="4">
        <v>0.393274114856779</v>
      </c>
      <c r="DH89" s="4">
        <v>0.698264021130753</v>
      </c>
      <c r="DI89" s="4">
        <v>0.690965541332248</v>
      </c>
      <c r="DJ89" s="4">
        <v>0.675657864646149</v>
      </c>
      <c r="DK89" s="4">
        <v>0.633502290356626</v>
      </c>
      <c r="DL89" s="4">
        <v>0.716190167328551</v>
      </c>
      <c r="DM89" s="4">
        <v>0.712349045743875</v>
      </c>
      <c r="DN89" s="4">
        <v>0.692106465205408</v>
      </c>
      <c r="DO89" s="4">
        <v>0.627843237630666</v>
      </c>
      <c r="DP89" s="4">
        <v>0.746372933147492</v>
      </c>
      <c r="DQ89" s="4">
        <v>0.688080265644446</v>
      </c>
      <c r="DR89" s="4">
        <v>0.801410279902816</v>
      </c>
      <c r="DS89" s="4">
        <v>0.51622982874033</v>
      </c>
      <c r="DT89" s="4">
        <v>0.669647942755435</v>
      </c>
      <c r="DU89" s="4">
        <v>0.761667006022231</v>
      </c>
      <c r="DV89" s="4">
        <v>0.717166013504009</v>
      </c>
      <c r="DW89" s="4">
        <v>0.448129821622711</v>
      </c>
      <c r="DX89" s="4">
        <v>0.509708634709918</v>
      </c>
      <c r="DY89" s="4">
        <v>0.741231318056991</v>
      </c>
    </row>
    <row r="90" ht="14" spans="1:129">
      <c r="A90" s="31" t="s">
        <v>88</v>
      </c>
      <c r="B90" s="2" t="str">
        <v/>
      </c>
      <c r="C90" s="2" t="str">
        <v/>
      </c>
      <c r="D90" s="2" t="str">
        <v/>
      </c>
      <c r="E90" s="2" t="str">
        <v/>
      </c>
      <c r="F90" s="2" t="str">
        <v/>
      </c>
      <c r="G90" s="2" t="str">
        <v/>
      </c>
      <c r="H90" s="2" t="str">
        <v/>
      </c>
      <c r="I90" s="2" t="str">
        <v/>
      </c>
      <c r="J90" s="2" t="str">
        <v/>
      </c>
      <c r="K90" s="2" t="str">
        <v/>
      </c>
      <c r="L90" s="2" t="str">
        <v/>
      </c>
      <c r="M90" s="2" t="str">
        <v/>
      </c>
      <c r="N90" s="2" t="str">
        <v/>
      </c>
      <c r="O90" s="2" t="str">
        <v/>
      </c>
      <c r="P90" s="2" t="str">
        <v/>
      </c>
      <c r="Q90" s="2" t="str">
        <v/>
      </c>
      <c r="R90" s="2" t="str">
        <v/>
      </c>
      <c r="S90" s="2" t="str">
        <v/>
      </c>
      <c r="T90" s="2" t="str">
        <v/>
      </c>
      <c r="U90" s="2" t="str">
        <v/>
      </c>
      <c r="V90" s="2" t="str">
        <v/>
      </c>
      <c r="W90" s="2" t="str">
        <v/>
      </c>
      <c r="X90" s="2" t="str">
        <v/>
      </c>
      <c r="Y90" s="2" t="str">
        <v/>
      </c>
      <c r="Z90" s="2" t="str">
        <v/>
      </c>
      <c r="AA90" s="2" t="str">
        <v/>
      </c>
      <c r="AB90" s="2" t="str">
        <v/>
      </c>
      <c r="AC90" s="2" t="str">
        <v/>
      </c>
      <c r="AD90" s="2" t="str">
        <v/>
      </c>
      <c r="AE90" s="2" t="str">
        <v/>
      </c>
      <c r="AF90" s="2" t="str">
        <v/>
      </c>
      <c r="AG90" s="2" t="str">
        <v/>
      </c>
      <c r="AH90" s="2" t="str">
        <v/>
      </c>
      <c r="AI90" s="2" t="str">
        <v/>
      </c>
      <c r="AJ90" s="2" t="str">
        <v/>
      </c>
      <c r="AK90" s="2" t="str">
        <v/>
      </c>
      <c r="AL90" s="2" t="str">
        <v/>
      </c>
      <c r="AM90" s="2" t="str">
        <v/>
      </c>
      <c r="AN90" s="2" t="str">
        <v/>
      </c>
      <c r="AO90" s="2" t="str">
        <v/>
      </c>
      <c r="AP90" s="2" t="str">
        <v/>
      </c>
      <c r="AQ90" s="2" t="str">
        <v/>
      </c>
      <c r="AR90" s="2" t="str">
        <v/>
      </c>
      <c r="AS90" s="2" t="str">
        <v/>
      </c>
      <c r="AT90" s="2" t="str">
        <v/>
      </c>
      <c r="AU90" s="2" t="str">
        <v/>
      </c>
      <c r="AV90" s="2" t="str">
        <v/>
      </c>
      <c r="AW90" s="2" t="str">
        <v/>
      </c>
      <c r="AX90" s="2" t="str">
        <v/>
      </c>
      <c r="AY90" s="2" t="str">
        <v/>
      </c>
      <c r="AZ90" s="2" t="str">
        <v/>
      </c>
      <c r="BA90" s="2" t="str">
        <v/>
      </c>
      <c r="BB90" s="2" t="str">
        <v/>
      </c>
      <c r="BC90" s="2" t="str">
        <v/>
      </c>
      <c r="BD90" s="2" t="str">
        <v/>
      </c>
      <c r="BE90" s="2" t="str">
        <v/>
      </c>
      <c r="BF90" s="2" t="str">
        <v/>
      </c>
      <c r="BG90" s="2" t="str">
        <v/>
      </c>
      <c r="BH90" s="2" t="str">
        <v/>
      </c>
      <c r="BI90" s="2" t="str">
        <v/>
      </c>
      <c r="BJ90" s="2" t="str">
        <v/>
      </c>
      <c r="BK90" s="2" t="str">
        <v/>
      </c>
      <c r="BL90" s="2" t="str">
        <v/>
      </c>
      <c r="BM90" s="2" t="str">
        <v/>
      </c>
      <c r="BN90" s="2" t="str">
        <v/>
      </c>
      <c r="BO90" s="2" t="str">
        <v/>
      </c>
      <c r="BP90" s="4" t="str">
        <v/>
      </c>
      <c r="BQ90" s="4" t="str">
        <v/>
      </c>
      <c r="BR90" s="4" t="str">
        <v/>
      </c>
      <c r="BS90" s="4" t="str">
        <v/>
      </c>
      <c r="BT90" s="4" t="str">
        <v/>
      </c>
      <c r="BU90" s="4" t="str">
        <v/>
      </c>
      <c r="BV90" s="4" t="str">
        <v/>
      </c>
      <c r="BW90" s="4" t="str">
        <v/>
      </c>
      <c r="BX90" s="4" t="str">
        <v/>
      </c>
      <c r="BY90" s="4" t="str">
        <v/>
      </c>
      <c r="BZ90" s="4" t="str">
        <v/>
      </c>
      <c r="CA90" s="4" t="str">
        <v/>
      </c>
      <c r="CB90" s="4" t="str">
        <v/>
      </c>
      <c r="CC90" s="4" t="str">
        <v/>
      </c>
      <c r="CD90" s="4" t="str">
        <v/>
      </c>
      <c r="CE90" s="4" t="str">
        <v/>
      </c>
      <c r="CF90" s="4" t="str">
        <v/>
      </c>
      <c r="CG90" s="4" t="str">
        <v/>
      </c>
      <c r="CH90" s="4" t="str">
        <v/>
      </c>
      <c r="CI90" s="4" t="str">
        <v/>
      </c>
      <c r="CJ90" s="4">
        <v>1</v>
      </c>
      <c r="CK90" s="4">
        <v>0.260124289435419</v>
      </c>
      <c r="CL90" s="4">
        <v>0.303747692697396</v>
      </c>
      <c r="CM90" s="4">
        <v>0.120135477736414</v>
      </c>
      <c r="CN90" s="4">
        <v>0.561169311493661</v>
      </c>
      <c r="CO90" s="4">
        <v>0.322293852934497</v>
      </c>
      <c r="CP90" s="4">
        <v>0.577145957167424</v>
      </c>
      <c r="CQ90" s="4">
        <v>0.464762620945064</v>
      </c>
      <c r="CR90" s="4">
        <v>0.445579773723071</v>
      </c>
      <c r="CS90" s="4">
        <v>0.3949698358661</v>
      </c>
      <c r="CT90" s="4">
        <v>0.34066934249781</v>
      </c>
      <c r="CU90" s="4">
        <v>0.318657435115038</v>
      </c>
      <c r="CV90" s="4">
        <v>0.405050292677741</v>
      </c>
      <c r="CW90" s="4">
        <v>0.421814389560253</v>
      </c>
      <c r="CX90" s="4">
        <v>0.44609677362549</v>
      </c>
      <c r="CY90" s="4">
        <v>0.0931217366891275</v>
      </c>
      <c r="CZ90" s="4">
        <v>0.316968294746155</v>
      </c>
      <c r="DA90" s="4">
        <v>0.297676301159948</v>
      </c>
      <c r="DB90" s="4">
        <v>0.328533257179216</v>
      </c>
      <c r="DC90" s="4">
        <v>0.149768349967067</v>
      </c>
      <c r="DD90" s="4">
        <v>0.0091666403636246</v>
      </c>
      <c r="DE90" s="4">
        <v>0.440047686494547</v>
      </c>
      <c r="DF90" s="4">
        <v>0.354587302418957</v>
      </c>
      <c r="DG90" s="4">
        <v>0.191848686385908</v>
      </c>
      <c r="DH90" s="4">
        <v>0.297046432494488</v>
      </c>
      <c r="DI90" s="4">
        <v>0.238442967325347</v>
      </c>
      <c r="DJ90" s="4">
        <v>0.328697726770356</v>
      </c>
      <c r="DK90" s="4">
        <v>0.193974831638458</v>
      </c>
      <c r="DL90" s="4">
        <v>0.261189513385708</v>
      </c>
      <c r="DM90" s="4">
        <v>0.295783326432382</v>
      </c>
      <c r="DN90" s="4">
        <v>0.289991452683456</v>
      </c>
      <c r="DO90" s="4">
        <v>0.167668739192356</v>
      </c>
      <c r="DP90" s="4">
        <v>0.26889108996015</v>
      </c>
      <c r="DQ90" s="4">
        <v>0.225036539343415</v>
      </c>
      <c r="DR90" s="4">
        <v>0.294260362893079</v>
      </c>
      <c r="DS90" s="4">
        <v>0.238697893373522</v>
      </c>
      <c r="DT90" s="4">
        <v>0.270398600068101</v>
      </c>
      <c r="DU90" s="4">
        <v>0.296424595642612</v>
      </c>
      <c r="DV90" s="4">
        <v>0.272183490822821</v>
      </c>
      <c r="DW90" s="4">
        <v>0.073883528875239</v>
      </c>
      <c r="DX90" s="4">
        <v>0.357209265570836</v>
      </c>
      <c r="DY90" s="4">
        <v>0.360542721929498</v>
      </c>
    </row>
    <row r="91" ht="14" spans="1:129">
      <c r="A91" s="31" t="s">
        <v>89</v>
      </c>
      <c r="B91" s="2" t="str">
        <v/>
      </c>
      <c r="C91" s="2" t="str">
        <v/>
      </c>
      <c r="D91" s="2" t="str">
        <v/>
      </c>
      <c r="E91" s="2" t="str">
        <v/>
      </c>
      <c r="F91" s="2" t="str">
        <v/>
      </c>
      <c r="G91" s="2" t="str">
        <v/>
      </c>
      <c r="H91" s="2" t="str">
        <v/>
      </c>
      <c r="I91" s="2" t="str">
        <v/>
      </c>
      <c r="J91" s="2" t="str">
        <v/>
      </c>
      <c r="K91" s="2" t="str">
        <v/>
      </c>
      <c r="L91" s="2" t="str">
        <v/>
      </c>
      <c r="M91" s="2" t="str">
        <v/>
      </c>
      <c r="N91" s="2" t="str">
        <v/>
      </c>
      <c r="O91" s="2" t="str">
        <v/>
      </c>
      <c r="P91" s="2" t="str">
        <v/>
      </c>
      <c r="Q91" s="2" t="str">
        <v/>
      </c>
      <c r="R91" s="2" t="str">
        <v/>
      </c>
      <c r="S91" s="2" t="str">
        <v/>
      </c>
      <c r="T91" s="2" t="str">
        <v/>
      </c>
      <c r="U91" s="2" t="str">
        <v/>
      </c>
      <c r="V91" s="2" t="str">
        <v/>
      </c>
      <c r="W91" s="2" t="str">
        <v/>
      </c>
      <c r="X91" s="2" t="str">
        <v/>
      </c>
      <c r="Y91" s="2" t="str">
        <v/>
      </c>
      <c r="Z91" s="2" t="str">
        <v/>
      </c>
      <c r="AA91" s="2" t="str">
        <v/>
      </c>
      <c r="AB91" s="2" t="str">
        <v/>
      </c>
      <c r="AC91" s="2" t="str">
        <v/>
      </c>
      <c r="AD91" s="2" t="str">
        <v/>
      </c>
      <c r="AE91" s="2" t="str">
        <v/>
      </c>
      <c r="AF91" s="2" t="str">
        <v/>
      </c>
      <c r="AG91" s="2" t="str">
        <v/>
      </c>
      <c r="AH91" s="2" t="str">
        <v/>
      </c>
      <c r="AI91" s="2" t="str">
        <v/>
      </c>
      <c r="AJ91" s="2" t="str">
        <v/>
      </c>
      <c r="AK91" s="2" t="str">
        <v/>
      </c>
      <c r="AL91" s="2" t="str">
        <v/>
      </c>
      <c r="AM91" s="2" t="str">
        <v/>
      </c>
      <c r="AN91" s="2" t="str">
        <v/>
      </c>
      <c r="AO91" s="2" t="str">
        <v/>
      </c>
      <c r="AP91" s="2" t="str">
        <v/>
      </c>
      <c r="AQ91" s="2" t="str">
        <v/>
      </c>
      <c r="AR91" s="2" t="str">
        <v/>
      </c>
      <c r="AS91" s="2" t="str">
        <v/>
      </c>
      <c r="AT91" s="2" t="str">
        <v/>
      </c>
      <c r="AU91" s="2" t="str">
        <v/>
      </c>
      <c r="AV91" s="2" t="str">
        <v/>
      </c>
      <c r="AW91" s="2" t="str">
        <v/>
      </c>
      <c r="AX91" s="2" t="str">
        <v/>
      </c>
      <c r="AY91" s="2" t="str">
        <v/>
      </c>
      <c r="AZ91" s="2" t="str">
        <v/>
      </c>
      <c r="BA91" s="2" t="str">
        <v/>
      </c>
      <c r="BB91" s="2" t="str">
        <v/>
      </c>
      <c r="BC91" s="2" t="str">
        <v/>
      </c>
      <c r="BD91" s="2" t="str">
        <v/>
      </c>
      <c r="BE91" s="2" t="str">
        <v/>
      </c>
      <c r="BF91" s="2" t="str">
        <v/>
      </c>
      <c r="BG91" s="2" t="str">
        <v/>
      </c>
      <c r="BH91" s="2" t="str">
        <v/>
      </c>
      <c r="BI91" s="2" t="str">
        <v/>
      </c>
      <c r="BJ91" s="2" t="str">
        <v/>
      </c>
      <c r="BK91" s="2" t="str">
        <v/>
      </c>
      <c r="BL91" s="2" t="str">
        <v/>
      </c>
      <c r="BM91" s="2" t="str">
        <v/>
      </c>
      <c r="BN91" s="2" t="str">
        <v/>
      </c>
      <c r="BO91" s="2" t="str">
        <v/>
      </c>
      <c r="BP91" s="4" t="str">
        <v/>
      </c>
      <c r="BQ91" s="4" t="str">
        <v/>
      </c>
      <c r="BR91" s="4" t="str">
        <v/>
      </c>
      <c r="BS91" s="4" t="str">
        <v/>
      </c>
      <c r="BT91" s="4" t="str">
        <v/>
      </c>
      <c r="BU91" s="4" t="str">
        <v/>
      </c>
      <c r="BV91" s="4" t="str">
        <v/>
      </c>
      <c r="BW91" s="4" t="str">
        <v/>
      </c>
      <c r="BX91" s="4" t="str">
        <v/>
      </c>
      <c r="BY91" s="4" t="str">
        <v/>
      </c>
      <c r="BZ91" s="4" t="str">
        <v/>
      </c>
      <c r="CA91" s="4" t="str">
        <v/>
      </c>
      <c r="CB91" s="4" t="str">
        <v/>
      </c>
      <c r="CC91" s="4" t="str">
        <v/>
      </c>
      <c r="CD91" s="4" t="str">
        <v/>
      </c>
      <c r="CE91" s="4" t="str">
        <v/>
      </c>
      <c r="CF91" s="4" t="str">
        <v/>
      </c>
      <c r="CG91" s="4" t="str">
        <v/>
      </c>
      <c r="CH91" s="4" t="str">
        <v/>
      </c>
      <c r="CI91" s="4" t="str">
        <v/>
      </c>
      <c r="CJ91" s="4" t="str">
        <v/>
      </c>
      <c r="CK91" s="4">
        <v>1</v>
      </c>
      <c r="CL91" s="4">
        <v>0.244975048620832</v>
      </c>
      <c r="CM91" s="4">
        <v>0.0610700297174396</v>
      </c>
      <c r="CN91" s="4">
        <v>0.584490052824299</v>
      </c>
      <c r="CO91" s="4">
        <v>0.12521967675234</v>
      </c>
      <c r="CP91" s="4">
        <v>0.11196538394815</v>
      </c>
      <c r="CQ91" s="4">
        <v>0.152925563929356</v>
      </c>
      <c r="CR91" s="4">
        <v>0.391410202688141</v>
      </c>
      <c r="CS91" s="4">
        <v>0.297691099873725</v>
      </c>
      <c r="CT91" s="4">
        <v>0.236208230259255</v>
      </c>
      <c r="CU91" s="4">
        <v>0.318577545931288</v>
      </c>
      <c r="CV91" s="4">
        <v>0.318725738020742</v>
      </c>
      <c r="CW91" s="4">
        <v>0.283435302635295</v>
      </c>
      <c r="CX91" s="4">
        <v>0.189819246691511</v>
      </c>
      <c r="CY91" s="4">
        <v>0.170259993505491</v>
      </c>
      <c r="CZ91" s="4">
        <v>0.161440208794558</v>
      </c>
      <c r="DA91" s="4">
        <v>0.25317722775323</v>
      </c>
      <c r="DB91" s="4">
        <v>0.400905891702323</v>
      </c>
      <c r="DC91" s="4">
        <v>0.386349671465691</v>
      </c>
      <c r="DD91" s="4">
        <v>0.0746370311103665</v>
      </c>
      <c r="DE91" s="4">
        <v>0.315028858902648</v>
      </c>
      <c r="DF91" s="4">
        <v>0.430608819774948</v>
      </c>
      <c r="DG91" s="4">
        <v>0.151200678270397</v>
      </c>
      <c r="DH91" s="4">
        <v>0.530329991213187</v>
      </c>
      <c r="DI91" s="4">
        <v>0.44474604320504</v>
      </c>
      <c r="DJ91" s="4">
        <v>0.409554824872853</v>
      </c>
      <c r="DK91" s="4">
        <v>0.372582658386806</v>
      </c>
      <c r="DL91" s="4">
        <v>0.386429119010679</v>
      </c>
      <c r="DM91" s="4">
        <v>0.46545944316083</v>
      </c>
      <c r="DN91" s="4">
        <v>0.431259377851675</v>
      </c>
      <c r="DO91" s="4">
        <v>0.288045389479155</v>
      </c>
      <c r="DP91" s="4">
        <v>0.401034076631639</v>
      </c>
      <c r="DQ91" s="4">
        <v>0.347308087369029</v>
      </c>
      <c r="DR91" s="4">
        <v>0.463100737394216</v>
      </c>
      <c r="DS91" s="4">
        <v>0.235159785454455</v>
      </c>
      <c r="DT91" s="4">
        <v>0.36004014783791</v>
      </c>
      <c r="DU91" s="4">
        <v>0.460572168529584</v>
      </c>
      <c r="DV91" s="4">
        <v>0.331828565690486</v>
      </c>
      <c r="DW91" s="4">
        <v>0.33309091495884</v>
      </c>
      <c r="DX91" s="4">
        <v>0.275861867327279</v>
      </c>
      <c r="DY91" s="4">
        <v>0.482938770084409</v>
      </c>
    </row>
    <row r="92" ht="14" spans="1:129">
      <c r="A92" s="31" t="s">
        <v>90</v>
      </c>
      <c r="B92" s="2" t="str">
        <v/>
      </c>
      <c r="C92" s="2" t="str">
        <v/>
      </c>
      <c r="D92" s="2" t="str">
        <v/>
      </c>
      <c r="E92" s="2" t="str">
        <v/>
      </c>
      <c r="F92" s="2" t="str">
        <v/>
      </c>
      <c r="G92" s="2" t="str">
        <v/>
      </c>
      <c r="H92" s="2" t="str">
        <v/>
      </c>
      <c r="I92" s="2" t="str">
        <v/>
      </c>
      <c r="J92" s="2" t="str">
        <v/>
      </c>
      <c r="K92" s="2" t="str">
        <v/>
      </c>
      <c r="L92" s="2" t="str">
        <v/>
      </c>
      <c r="M92" s="2" t="str">
        <v/>
      </c>
      <c r="N92" s="2" t="str">
        <v/>
      </c>
      <c r="O92" s="2" t="str">
        <v/>
      </c>
      <c r="P92" s="2" t="str">
        <v/>
      </c>
      <c r="Q92" s="2" t="str">
        <v/>
      </c>
      <c r="R92" s="2" t="str">
        <v/>
      </c>
      <c r="S92" s="2" t="str">
        <v/>
      </c>
      <c r="T92" s="2" t="str">
        <v/>
      </c>
      <c r="U92" s="2" t="str">
        <v/>
      </c>
      <c r="V92" s="2" t="str">
        <v/>
      </c>
      <c r="W92" s="2" t="str">
        <v/>
      </c>
      <c r="X92" s="2" t="str">
        <v/>
      </c>
      <c r="Y92" s="2" t="str">
        <v/>
      </c>
      <c r="Z92" s="2" t="str">
        <v/>
      </c>
      <c r="AA92" s="2" t="str">
        <v/>
      </c>
      <c r="AB92" s="2" t="str">
        <v/>
      </c>
      <c r="AC92" s="2" t="str">
        <v/>
      </c>
      <c r="AD92" s="2" t="str">
        <v/>
      </c>
      <c r="AE92" s="2" t="str">
        <v/>
      </c>
      <c r="AF92" s="2" t="str">
        <v/>
      </c>
      <c r="AG92" s="2" t="str">
        <v/>
      </c>
      <c r="AH92" s="2" t="str">
        <v/>
      </c>
      <c r="AI92" s="2" t="str">
        <v/>
      </c>
      <c r="AJ92" s="2" t="str">
        <v/>
      </c>
      <c r="AK92" s="2" t="str">
        <v/>
      </c>
      <c r="AL92" s="2" t="str">
        <v/>
      </c>
      <c r="AM92" s="2" t="str">
        <v/>
      </c>
      <c r="AN92" s="2" t="str">
        <v/>
      </c>
      <c r="AO92" s="2" t="str">
        <v/>
      </c>
      <c r="AP92" s="2" t="str">
        <v/>
      </c>
      <c r="AQ92" s="2" t="str">
        <v/>
      </c>
      <c r="AR92" s="2" t="str">
        <v/>
      </c>
      <c r="AS92" s="2" t="str">
        <v/>
      </c>
      <c r="AT92" s="2" t="str">
        <v/>
      </c>
      <c r="AU92" s="2" t="str">
        <v/>
      </c>
      <c r="AV92" s="2" t="str">
        <v/>
      </c>
      <c r="AW92" s="2" t="str">
        <v/>
      </c>
      <c r="AX92" s="2" t="str">
        <v/>
      </c>
      <c r="AY92" s="2" t="str">
        <v/>
      </c>
      <c r="AZ92" s="2" t="str">
        <v/>
      </c>
      <c r="BA92" s="2" t="str">
        <v/>
      </c>
      <c r="BB92" s="2" t="str">
        <v/>
      </c>
      <c r="BC92" s="2" t="str">
        <v/>
      </c>
      <c r="BD92" s="2" t="str">
        <v/>
      </c>
      <c r="BE92" s="2" t="str">
        <v/>
      </c>
      <c r="BF92" s="2" t="str">
        <v/>
      </c>
      <c r="BG92" s="2" t="str">
        <v/>
      </c>
      <c r="BH92" s="2" t="str">
        <v/>
      </c>
      <c r="BI92" s="2" t="str">
        <v/>
      </c>
      <c r="BJ92" s="2" t="str">
        <v/>
      </c>
      <c r="BK92" s="2" t="str">
        <v/>
      </c>
      <c r="BL92" s="2" t="str">
        <v/>
      </c>
      <c r="BM92" s="2" t="str">
        <v/>
      </c>
      <c r="BN92" s="2" t="str">
        <v/>
      </c>
      <c r="BO92" s="2" t="str">
        <v/>
      </c>
      <c r="BP92" s="4" t="str">
        <v/>
      </c>
      <c r="BQ92" s="4" t="str">
        <v/>
      </c>
      <c r="BR92" s="4" t="str">
        <v/>
      </c>
      <c r="BS92" s="4" t="str">
        <v/>
      </c>
      <c r="BT92" s="4" t="str">
        <v/>
      </c>
      <c r="BU92" s="4" t="str">
        <v/>
      </c>
      <c r="BV92" s="4" t="str">
        <v/>
      </c>
      <c r="BW92" s="4" t="str">
        <v/>
      </c>
      <c r="BX92" s="4" t="str">
        <v/>
      </c>
      <c r="BY92" s="4" t="str">
        <v/>
      </c>
      <c r="BZ92" s="4" t="str">
        <v/>
      </c>
      <c r="CA92" s="4" t="str">
        <v/>
      </c>
      <c r="CB92" s="4" t="str">
        <v/>
      </c>
      <c r="CC92" s="4" t="str">
        <v/>
      </c>
      <c r="CD92" s="4" t="str">
        <v/>
      </c>
      <c r="CE92" s="4" t="str">
        <v/>
      </c>
      <c r="CF92" s="4" t="str">
        <v/>
      </c>
      <c r="CG92" s="4" t="str">
        <v/>
      </c>
      <c r="CH92" s="4" t="str">
        <v/>
      </c>
      <c r="CI92" s="4" t="str">
        <v/>
      </c>
      <c r="CJ92" s="4" t="str">
        <v/>
      </c>
      <c r="CK92" s="4" t="str">
        <v/>
      </c>
      <c r="CL92" s="4">
        <v>1</v>
      </c>
      <c r="CM92" s="4">
        <v>-0.0563952397139758</v>
      </c>
      <c r="CN92" s="4">
        <v>0.345524104108969</v>
      </c>
      <c r="CO92" s="4">
        <v>0.370113328953999</v>
      </c>
      <c r="CP92" s="4">
        <v>0.1326437147683</v>
      </c>
      <c r="CQ92" s="4">
        <v>-0.154089365368258</v>
      </c>
      <c r="CR92" s="4">
        <v>0.244321913513999</v>
      </c>
      <c r="CS92" s="4">
        <v>0.203769797119948</v>
      </c>
      <c r="CT92" s="4">
        <v>0.856081901909723</v>
      </c>
      <c r="CU92" s="4">
        <v>0.443065681311912</v>
      </c>
      <c r="CV92" s="4">
        <v>0.242516471987447</v>
      </c>
      <c r="CW92" s="4">
        <v>0.317177644093456</v>
      </c>
      <c r="CX92" s="4">
        <v>0.38254657049109</v>
      </c>
      <c r="CY92" s="4">
        <v>0.344057230994621</v>
      </c>
      <c r="CZ92" s="4">
        <v>0.534934036659364</v>
      </c>
      <c r="DA92" s="4">
        <v>0.157067865161137</v>
      </c>
      <c r="DB92" s="4">
        <v>0.37283450137052</v>
      </c>
      <c r="DC92" s="4">
        <v>0.35928606351274</v>
      </c>
      <c r="DD92" s="4">
        <v>0.339135927171217</v>
      </c>
      <c r="DE92" s="4">
        <v>0.212683813333769</v>
      </c>
      <c r="DF92" s="4">
        <v>0.288399131792736</v>
      </c>
      <c r="DG92" s="4">
        <v>0.0850525744765381</v>
      </c>
      <c r="DH92" s="4">
        <v>0.497954387221047</v>
      </c>
      <c r="DI92" s="4">
        <v>0.660034549074035</v>
      </c>
      <c r="DJ92" s="4">
        <v>0.675103652631772</v>
      </c>
      <c r="DK92" s="4">
        <v>0.741605224077194</v>
      </c>
      <c r="DL92" s="4">
        <v>0.678846302674786</v>
      </c>
      <c r="DM92" s="4">
        <v>0.661679264014244</v>
      </c>
      <c r="DN92" s="4">
        <v>0.644977927844237</v>
      </c>
      <c r="DO92" s="4">
        <v>0.678936267450914</v>
      </c>
      <c r="DP92" s="4">
        <v>0.777052703280757</v>
      </c>
      <c r="DQ92" s="4">
        <v>0.735302187586075</v>
      </c>
      <c r="DR92" s="4">
        <v>0.709555024310421</v>
      </c>
      <c r="DS92" s="4">
        <v>0.498607607565211</v>
      </c>
      <c r="DT92" s="4">
        <v>0.669335623256965</v>
      </c>
      <c r="DU92" s="4">
        <v>0.714463691670341</v>
      </c>
      <c r="DV92" s="4">
        <v>0.732754543400363</v>
      </c>
      <c r="DW92" s="4">
        <v>0.367879971013298</v>
      </c>
      <c r="DX92" s="4">
        <v>0.281647086969189</v>
      </c>
      <c r="DY92" s="4">
        <v>0.604593025969155</v>
      </c>
    </row>
    <row r="93" ht="14" spans="1:129">
      <c r="A93" s="31" t="s">
        <v>91</v>
      </c>
      <c r="B93" s="2" t="str">
        <v/>
      </c>
      <c r="C93" s="2" t="str">
        <v/>
      </c>
      <c r="D93" s="2" t="str">
        <v/>
      </c>
      <c r="E93" s="2" t="str">
        <v/>
      </c>
      <c r="F93" s="2" t="str">
        <v/>
      </c>
      <c r="G93" s="2" t="str">
        <v/>
      </c>
      <c r="H93" s="2" t="str">
        <v/>
      </c>
      <c r="I93" s="2" t="str">
        <v/>
      </c>
      <c r="J93" s="2" t="str">
        <v/>
      </c>
      <c r="K93" s="2" t="str">
        <v/>
      </c>
      <c r="L93" s="2" t="str">
        <v/>
      </c>
      <c r="M93" s="2" t="str">
        <v/>
      </c>
      <c r="N93" s="2" t="str">
        <v/>
      </c>
      <c r="O93" s="2" t="str">
        <v/>
      </c>
      <c r="P93" s="2" t="str">
        <v/>
      </c>
      <c r="Q93" s="2" t="str">
        <v/>
      </c>
      <c r="R93" s="2" t="str">
        <v/>
      </c>
      <c r="S93" s="2" t="str">
        <v/>
      </c>
      <c r="T93" s="2" t="str">
        <v/>
      </c>
      <c r="U93" s="2" t="str">
        <v/>
      </c>
      <c r="V93" s="2" t="str">
        <v/>
      </c>
      <c r="W93" s="2" t="str">
        <v/>
      </c>
      <c r="X93" s="2" t="str">
        <v/>
      </c>
      <c r="Y93" s="2" t="str">
        <v/>
      </c>
      <c r="Z93" s="2" t="str">
        <v/>
      </c>
      <c r="AA93" s="2" t="str">
        <v/>
      </c>
      <c r="AB93" s="2" t="str">
        <v/>
      </c>
      <c r="AC93" s="2" t="str">
        <v/>
      </c>
      <c r="AD93" s="2" t="str">
        <v/>
      </c>
      <c r="AE93" s="2" t="str">
        <v/>
      </c>
      <c r="AF93" s="2" t="str">
        <v/>
      </c>
      <c r="AG93" s="2" t="str">
        <v/>
      </c>
      <c r="AH93" s="2" t="str">
        <v/>
      </c>
      <c r="AI93" s="2" t="str">
        <v/>
      </c>
      <c r="AJ93" s="2" t="str">
        <v/>
      </c>
      <c r="AK93" s="2" t="str">
        <v/>
      </c>
      <c r="AL93" s="2" t="str">
        <v/>
      </c>
      <c r="AM93" s="2" t="str">
        <v/>
      </c>
      <c r="AN93" s="2" t="str">
        <v/>
      </c>
      <c r="AO93" s="2" t="str">
        <v/>
      </c>
      <c r="AP93" s="2" t="str">
        <v/>
      </c>
      <c r="AQ93" s="2" t="str">
        <v/>
      </c>
      <c r="AR93" s="2" t="str">
        <v/>
      </c>
      <c r="AS93" s="2" t="str">
        <v/>
      </c>
      <c r="AT93" s="2" t="str">
        <v/>
      </c>
      <c r="AU93" s="2" t="str">
        <v/>
      </c>
      <c r="AV93" s="2" t="str">
        <v/>
      </c>
      <c r="AW93" s="2" t="str">
        <v/>
      </c>
      <c r="AX93" s="2" t="str">
        <v/>
      </c>
      <c r="AY93" s="2" t="str">
        <v/>
      </c>
      <c r="AZ93" s="2" t="str">
        <v/>
      </c>
      <c r="BA93" s="2" t="str">
        <v/>
      </c>
      <c r="BB93" s="2" t="str">
        <v/>
      </c>
      <c r="BC93" s="2" t="str">
        <v/>
      </c>
      <c r="BD93" s="2" t="str">
        <v/>
      </c>
      <c r="BE93" s="2" t="str">
        <v/>
      </c>
      <c r="BF93" s="2" t="str">
        <v/>
      </c>
      <c r="BG93" s="2" t="str">
        <v/>
      </c>
      <c r="BH93" s="2" t="str">
        <v/>
      </c>
      <c r="BI93" s="2" t="str">
        <v/>
      </c>
      <c r="BJ93" s="2" t="str">
        <v/>
      </c>
      <c r="BK93" s="2" t="str">
        <v/>
      </c>
      <c r="BL93" s="2" t="str">
        <v/>
      </c>
      <c r="BM93" s="2" t="str">
        <v/>
      </c>
      <c r="BN93" s="2" t="str">
        <v/>
      </c>
      <c r="BO93" s="2" t="str">
        <v/>
      </c>
      <c r="BP93" s="4" t="str">
        <v/>
      </c>
      <c r="BQ93" s="4" t="str">
        <v/>
      </c>
      <c r="BR93" s="4" t="str">
        <v/>
      </c>
      <c r="BS93" s="4" t="str">
        <v/>
      </c>
      <c r="BT93" s="4" t="str">
        <v/>
      </c>
      <c r="BU93" s="4" t="str">
        <v/>
      </c>
      <c r="BV93" s="4" t="str">
        <v/>
      </c>
      <c r="BW93" s="4" t="str">
        <v/>
      </c>
      <c r="BX93" s="4" t="str">
        <v/>
      </c>
      <c r="BY93" s="4" t="str">
        <v/>
      </c>
      <c r="BZ93" s="4" t="str">
        <v/>
      </c>
      <c r="CA93" s="4" t="str">
        <v/>
      </c>
      <c r="CB93" s="4" t="str">
        <v/>
      </c>
      <c r="CC93" s="4" t="str">
        <v/>
      </c>
      <c r="CD93" s="4" t="str">
        <v/>
      </c>
      <c r="CE93" s="4" t="str">
        <v/>
      </c>
      <c r="CF93" s="4" t="str">
        <v/>
      </c>
      <c r="CG93" s="4" t="str">
        <v/>
      </c>
      <c r="CH93" s="4" t="str">
        <v/>
      </c>
      <c r="CI93" s="4" t="str">
        <v/>
      </c>
      <c r="CJ93" s="4" t="str">
        <v/>
      </c>
      <c r="CK93" s="4" t="str">
        <v/>
      </c>
      <c r="CL93" s="4" t="str">
        <v/>
      </c>
      <c r="CM93" s="4">
        <v>1</v>
      </c>
      <c r="CN93" s="4">
        <v>0.199342471394446</v>
      </c>
      <c r="CO93" s="4">
        <v>0.362919012006613</v>
      </c>
      <c r="CP93" s="4">
        <v>0.232487518680298</v>
      </c>
      <c r="CQ93" s="4">
        <v>0.309373881708604</v>
      </c>
      <c r="CR93" s="4">
        <v>0.386745244746659</v>
      </c>
      <c r="CS93" s="4">
        <v>0.00736419217749151</v>
      </c>
      <c r="CT93" s="4">
        <v>-0.13171997761963</v>
      </c>
      <c r="CU93" s="4">
        <v>0.0225891427709118</v>
      </c>
      <c r="CV93" s="4">
        <v>0.250976437375843</v>
      </c>
      <c r="CW93" s="4">
        <v>0.0621465582970111</v>
      </c>
      <c r="CX93" s="4">
        <v>0.000128056927203873</v>
      </c>
      <c r="CY93" s="4">
        <v>0.0811345072241806</v>
      </c>
      <c r="CZ93" s="4">
        <v>-0.106742167249461</v>
      </c>
      <c r="DA93" s="4">
        <v>-0.014837325502716</v>
      </c>
      <c r="DB93" s="4">
        <v>0.15833406406885</v>
      </c>
      <c r="DC93" s="4">
        <v>0.0335910593902365</v>
      </c>
      <c r="DD93" s="4">
        <v>0.0806986394793371</v>
      </c>
      <c r="DE93" s="4">
        <v>0.0371753608086137</v>
      </c>
      <c r="DF93" s="4">
        <v>0.281283674821322</v>
      </c>
      <c r="DG93" s="4">
        <v>0.0385529461411001</v>
      </c>
      <c r="DH93" s="4">
        <v>0.0489897803808162</v>
      </c>
      <c r="DI93" s="4">
        <v>-0.00895521300686663</v>
      </c>
      <c r="DJ93" s="4">
        <v>0.0125325402277003</v>
      </c>
      <c r="DK93" s="4">
        <v>-0.0711967269693343</v>
      </c>
      <c r="DL93" s="4">
        <v>-0.111154868710682</v>
      </c>
      <c r="DM93" s="4">
        <v>-0.0996737133095874</v>
      </c>
      <c r="DN93" s="4">
        <v>-0.115658263277285</v>
      </c>
      <c r="DO93" s="4">
        <v>-0.165872482117317</v>
      </c>
      <c r="DP93" s="4">
        <v>-0.0913245615316097</v>
      </c>
      <c r="DQ93" s="4">
        <v>-0.224598147339973</v>
      </c>
      <c r="DR93" s="4">
        <v>-0.0882947427764108</v>
      </c>
      <c r="DS93" s="4">
        <v>-0.0360137939374284</v>
      </c>
      <c r="DT93" s="4">
        <v>-0.12580758865519</v>
      </c>
      <c r="DU93" s="4">
        <v>-0.160184740513038</v>
      </c>
      <c r="DV93" s="4">
        <v>-0.118273559805214</v>
      </c>
      <c r="DW93" s="4">
        <v>-0.00910192031966611</v>
      </c>
      <c r="DX93" s="4">
        <v>-0.209937696537779</v>
      </c>
      <c r="DY93" s="4">
        <v>-0.132698354379297</v>
      </c>
    </row>
    <row r="94" ht="14" spans="1:129">
      <c r="A94" s="31" t="s">
        <v>92</v>
      </c>
      <c r="B94" s="2" t="str">
        <v/>
      </c>
      <c r="C94" s="2" t="str">
        <v/>
      </c>
      <c r="D94" s="2" t="str">
        <v/>
      </c>
      <c r="E94" s="2" t="str">
        <v/>
      </c>
      <c r="F94" s="2" t="str">
        <v/>
      </c>
      <c r="G94" s="2" t="str">
        <v/>
      </c>
      <c r="H94" s="2" t="str">
        <v/>
      </c>
      <c r="I94" s="2" t="str">
        <v/>
      </c>
      <c r="J94" s="2" t="str">
        <v/>
      </c>
      <c r="K94" s="2" t="str">
        <v/>
      </c>
      <c r="L94" s="2" t="str">
        <v/>
      </c>
      <c r="M94" s="2" t="str">
        <v/>
      </c>
      <c r="N94" s="2" t="str">
        <v/>
      </c>
      <c r="O94" s="2" t="str">
        <v/>
      </c>
      <c r="P94" s="2" t="str">
        <v/>
      </c>
      <c r="Q94" s="2" t="str">
        <v/>
      </c>
      <c r="R94" s="2" t="str">
        <v/>
      </c>
      <c r="S94" s="2" t="str">
        <v/>
      </c>
      <c r="T94" s="2" t="str">
        <v/>
      </c>
      <c r="U94" s="2" t="str">
        <v/>
      </c>
      <c r="V94" s="2" t="str">
        <v/>
      </c>
      <c r="W94" s="2" t="str">
        <v/>
      </c>
      <c r="X94" s="2" t="str">
        <v/>
      </c>
      <c r="Y94" s="2" t="str">
        <v/>
      </c>
      <c r="Z94" s="2" t="str">
        <v/>
      </c>
      <c r="AA94" s="2" t="str">
        <v/>
      </c>
      <c r="AB94" s="2" t="str">
        <v/>
      </c>
      <c r="AC94" s="2" t="str">
        <v/>
      </c>
      <c r="AD94" s="2" t="str">
        <v/>
      </c>
      <c r="AE94" s="2" t="str">
        <v/>
      </c>
      <c r="AF94" s="2" t="str">
        <v/>
      </c>
      <c r="AG94" s="2" t="str">
        <v/>
      </c>
      <c r="AH94" s="2" t="str">
        <v/>
      </c>
      <c r="AI94" s="2" t="str">
        <v/>
      </c>
      <c r="AJ94" s="2" t="str">
        <v/>
      </c>
      <c r="AK94" s="2" t="str">
        <v/>
      </c>
      <c r="AL94" s="2" t="str">
        <v/>
      </c>
      <c r="AM94" s="2" t="str">
        <v/>
      </c>
      <c r="AN94" s="2" t="str">
        <v/>
      </c>
      <c r="AO94" s="2" t="str">
        <v/>
      </c>
      <c r="AP94" s="2" t="str">
        <v/>
      </c>
      <c r="AQ94" s="2" t="str">
        <v/>
      </c>
      <c r="AR94" s="2" t="str">
        <v/>
      </c>
      <c r="AS94" s="2" t="str">
        <v/>
      </c>
      <c r="AT94" s="2" t="str">
        <v/>
      </c>
      <c r="AU94" s="2" t="str">
        <v/>
      </c>
      <c r="AV94" s="2" t="str">
        <v/>
      </c>
      <c r="AW94" s="2" t="str">
        <v/>
      </c>
      <c r="AX94" s="2" t="str">
        <v/>
      </c>
      <c r="AY94" s="2" t="str">
        <v/>
      </c>
      <c r="AZ94" s="2" t="str">
        <v/>
      </c>
      <c r="BA94" s="2" t="str">
        <v/>
      </c>
      <c r="BB94" s="2" t="str">
        <v/>
      </c>
      <c r="BC94" s="2" t="str">
        <v/>
      </c>
      <c r="BD94" s="2" t="str">
        <v/>
      </c>
      <c r="BE94" s="2" t="str">
        <v/>
      </c>
      <c r="BF94" s="2" t="str">
        <v/>
      </c>
      <c r="BG94" s="2" t="str">
        <v/>
      </c>
      <c r="BH94" s="2" t="str">
        <v/>
      </c>
      <c r="BI94" s="2" t="str">
        <v/>
      </c>
      <c r="BJ94" s="2" t="str">
        <v/>
      </c>
      <c r="BK94" s="2" t="str">
        <v/>
      </c>
      <c r="BL94" s="2" t="str">
        <v/>
      </c>
      <c r="BM94" s="2" t="str">
        <v/>
      </c>
      <c r="BN94" s="2" t="str">
        <v/>
      </c>
      <c r="BO94" s="2" t="str">
        <v/>
      </c>
      <c r="BP94" s="4" t="str">
        <v/>
      </c>
      <c r="BQ94" s="4" t="str">
        <v/>
      </c>
      <c r="BR94" s="4" t="str">
        <v/>
      </c>
      <c r="BS94" s="4" t="str">
        <v/>
      </c>
      <c r="BT94" s="4" t="str">
        <v/>
      </c>
      <c r="BU94" s="4" t="str">
        <v/>
      </c>
      <c r="BV94" s="4" t="str">
        <v/>
      </c>
      <c r="BW94" s="4" t="str">
        <v/>
      </c>
      <c r="BX94" s="4" t="str">
        <v/>
      </c>
      <c r="BY94" s="4" t="str">
        <v/>
      </c>
      <c r="BZ94" s="4" t="str">
        <v/>
      </c>
      <c r="CA94" s="4" t="str">
        <v/>
      </c>
      <c r="CB94" s="4" t="str">
        <v/>
      </c>
      <c r="CC94" s="4" t="str">
        <v/>
      </c>
      <c r="CD94" s="4" t="str">
        <v/>
      </c>
      <c r="CE94" s="4" t="str">
        <v/>
      </c>
      <c r="CF94" s="4" t="str">
        <v/>
      </c>
      <c r="CG94" s="4" t="str">
        <v/>
      </c>
      <c r="CH94" s="4" t="str">
        <v/>
      </c>
      <c r="CI94" s="4" t="str">
        <v/>
      </c>
      <c r="CJ94" s="4" t="str">
        <v/>
      </c>
      <c r="CK94" s="4" t="str">
        <v/>
      </c>
      <c r="CL94" s="4" t="str">
        <v/>
      </c>
      <c r="CM94" s="4" t="str">
        <v/>
      </c>
      <c r="CN94" s="4">
        <v>1</v>
      </c>
      <c r="CO94" s="4">
        <v>0.328208005078881</v>
      </c>
      <c r="CP94" s="4">
        <v>0.473765164180444</v>
      </c>
      <c r="CQ94" s="4">
        <v>0.416118209098901</v>
      </c>
      <c r="CR94" s="4">
        <v>0.528926148261318</v>
      </c>
      <c r="CS94" s="4">
        <v>0.241990210956646</v>
      </c>
      <c r="CT94" s="4">
        <v>0.327994198466922</v>
      </c>
      <c r="CU94" s="4">
        <v>0.365627217191126</v>
      </c>
      <c r="CV94" s="4">
        <v>0.3869917785934</v>
      </c>
      <c r="CW94" s="4">
        <v>0.32793275158882</v>
      </c>
      <c r="CX94" s="4">
        <v>0.22159950877181</v>
      </c>
      <c r="CY94" s="4">
        <v>0.136009933301761</v>
      </c>
      <c r="CZ94" s="4">
        <v>0.299185720353739</v>
      </c>
      <c r="DA94" s="4">
        <v>0.371199658587329</v>
      </c>
      <c r="DB94" s="4">
        <v>0.438885999755356</v>
      </c>
      <c r="DC94" s="4">
        <v>0.382799606970643</v>
      </c>
      <c r="DD94" s="4">
        <v>0.0954743194034701</v>
      </c>
      <c r="DE94" s="4">
        <v>0.476277784763488</v>
      </c>
      <c r="DF94" s="4">
        <v>0.480547956303026</v>
      </c>
      <c r="DG94" s="4">
        <v>0.119057679986032</v>
      </c>
      <c r="DH94" s="4">
        <v>0.509131215994712</v>
      </c>
      <c r="DI94" s="4">
        <v>0.370852216238401</v>
      </c>
      <c r="DJ94" s="4">
        <v>0.340055018359464</v>
      </c>
      <c r="DK94" s="4">
        <v>0.296022812775666</v>
      </c>
      <c r="DL94" s="4">
        <v>0.302470375717263</v>
      </c>
      <c r="DM94" s="4">
        <v>0.360555674216673</v>
      </c>
      <c r="DN94" s="4">
        <v>0.388020912781953</v>
      </c>
      <c r="DO94" s="4">
        <v>0.215387765867888</v>
      </c>
      <c r="DP94" s="4">
        <v>0.370579405115991</v>
      </c>
      <c r="DQ94" s="4">
        <v>0.295448404099258</v>
      </c>
      <c r="DR94" s="4">
        <v>0.363649216131175</v>
      </c>
      <c r="DS94" s="4">
        <v>0.178239042411221</v>
      </c>
      <c r="DT94" s="4">
        <v>0.332831903552993</v>
      </c>
      <c r="DU94" s="4">
        <v>0.380969575947286</v>
      </c>
      <c r="DV94" s="4">
        <v>0.294132310192361</v>
      </c>
      <c r="DW94" s="4">
        <v>0.204985682991579</v>
      </c>
      <c r="DX94" s="4">
        <v>0.226507454844912</v>
      </c>
      <c r="DY94" s="4">
        <v>0.380968331473914</v>
      </c>
    </row>
    <row r="95" ht="14" spans="1:129">
      <c r="A95" s="31" t="s">
        <v>93</v>
      </c>
      <c r="B95" s="2" t="str">
        <v/>
      </c>
      <c r="C95" s="2" t="str">
        <v/>
      </c>
      <c r="D95" s="2" t="str">
        <v/>
      </c>
      <c r="E95" s="2" t="str">
        <v/>
      </c>
      <c r="F95" s="2" t="str">
        <v/>
      </c>
      <c r="G95" s="2" t="str">
        <v/>
      </c>
      <c r="H95" s="2" t="str">
        <v/>
      </c>
      <c r="I95" s="2" t="str">
        <v/>
      </c>
      <c r="J95" s="2" t="str">
        <v/>
      </c>
      <c r="K95" s="2" t="str">
        <v/>
      </c>
      <c r="L95" s="2" t="str">
        <v/>
      </c>
      <c r="M95" s="2" t="str">
        <v/>
      </c>
      <c r="N95" s="2" t="str">
        <v/>
      </c>
      <c r="O95" s="2" t="str">
        <v/>
      </c>
      <c r="P95" s="2" t="str">
        <v/>
      </c>
      <c r="Q95" s="2" t="str">
        <v/>
      </c>
      <c r="R95" s="2" t="str">
        <v/>
      </c>
      <c r="S95" s="2" t="str">
        <v/>
      </c>
      <c r="T95" s="2" t="str">
        <v/>
      </c>
      <c r="U95" s="2" t="str">
        <v/>
      </c>
      <c r="V95" s="2" t="str">
        <v/>
      </c>
      <c r="W95" s="2" t="str">
        <v/>
      </c>
      <c r="X95" s="2" t="str">
        <v/>
      </c>
      <c r="Y95" s="2" t="str">
        <v/>
      </c>
      <c r="Z95" s="2" t="str">
        <v/>
      </c>
      <c r="AA95" s="2" t="str">
        <v/>
      </c>
      <c r="AB95" s="2" t="str">
        <v/>
      </c>
      <c r="AC95" s="2" t="str">
        <v/>
      </c>
      <c r="AD95" s="2" t="str">
        <v/>
      </c>
      <c r="AE95" s="2" t="str">
        <v/>
      </c>
      <c r="AF95" s="2" t="str">
        <v/>
      </c>
      <c r="AG95" s="2" t="str">
        <v/>
      </c>
      <c r="AH95" s="2" t="str">
        <v/>
      </c>
      <c r="AI95" s="2" t="str">
        <v/>
      </c>
      <c r="AJ95" s="2" t="str">
        <v/>
      </c>
      <c r="AK95" s="2" t="str">
        <v/>
      </c>
      <c r="AL95" s="2" t="str">
        <v/>
      </c>
      <c r="AM95" s="2" t="str">
        <v/>
      </c>
      <c r="AN95" s="2" t="str">
        <v/>
      </c>
      <c r="AO95" s="2" t="str">
        <v/>
      </c>
      <c r="AP95" s="2" t="str">
        <v/>
      </c>
      <c r="AQ95" s="2" t="str">
        <v/>
      </c>
      <c r="AR95" s="2" t="str">
        <v/>
      </c>
      <c r="AS95" s="2" t="str">
        <v/>
      </c>
      <c r="AT95" s="2" t="str">
        <v/>
      </c>
      <c r="AU95" s="2" t="str">
        <v/>
      </c>
      <c r="AV95" s="2" t="str">
        <v/>
      </c>
      <c r="AW95" s="2" t="str">
        <v/>
      </c>
      <c r="AX95" s="2" t="str">
        <v/>
      </c>
      <c r="AY95" s="2" t="str">
        <v/>
      </c>
      <c r="AZ95" s="2" t="str">
        <v/>
      </c>
      <c r="BA95" s="2" t="str">
        <v/>
      </c>
      <c r="BB95" s="2" t="str">
        <v/>
      </c>
      <c r="BC95" s="2" t="str">
        <v/>
      </c>
      <c r="BD95" s="2" t="str">
        <v/>
      </c>
      <c r="BE95" s="2" t="str">
        <v/>
      </c>
      <c r="BF95" s="2" t="str">
        <v/>
      </c>
      <c r="BG95" s="2" t="str">
        <v/>
      </c>
      <c r="BH95" s="2" t="str">
        <v/>
      </c>
      <c r="BI95" s="2" t="str">
        <v/>
      </c>
      <c r="BJ95" s="2" t="str">
        <v/>
      </c>
      <c r="BK95" s="2" t="str">
        <v/>
      </c>
      <c r="BL95" s="2" t="str">
        <v/>
      </c>
      <c r="BM95" s="2" t="str">
        <v/>
      </c>
      <c r="BN95" s="2" t="str">
        <v/>
      </c>
      <c r="BO95" s="2" t="str">
        <v/>
      </c>
      <c r="BP95" s="4" t="str">
        <v/>
      </c>
      <c r="BQ95" s="4" t="str">
        <v/>
      </c>
      <c r="BR95" s="4" t="str">
        <v/>
      </c>
      <c r="BS95" s="4" t="str">
        <v/>
      </c>
      <c r="BT95" s="4" t="str">
        <v/>
      </c>
      <c r="BU95" s="4" t="str">
        <v/>
      </c>
      <c r="BV95" s="4" t="str">
        <v/>
      </c>
      <c r="BW95" s="4" t="str">
        <v/>
      </c>
      <c r="BX95" s="4" t="str">
        <v/>
      </c>
      <c r="BY95" s="4" t="str">
        <v/>
      </c>
      <c r="BZ95" s="4" t="str">
        <v/>
      </c>
      <c r="CA95" s="4" t="str">
        <v/>
      </c>
      <c r="CB95" s="4" t="str">
        <v/>
      </c>
      <c r="CC95" s="4" t="str">
        <v/>
      </c>
      <c r="CD95" s="4" t="str">
        <v/>
      </c>
      <c r="CE95" s="4" t="str">
        <v/>
      </c>
      <c r="CF95" s="4" t="str">
        <v/>
      </c>
      <c r="CG95" s="4" t="str">
        <v/>
      </c>
      <c r="CH95" s="4" t="str">
        <v/>
      </c>
      <c r="CI95" s="4" t="str">
        <v/>
      </c>
      <c r="CJ95" s="4" t="str">
        <v/>
      </c>
      <c r="CK95" s="4" t="str">
        <v/>
      </c>
      <c r="CL95" s="4" t="str">
        <v/>
      </c>
      <c r="CM95" s="4" t="str">
        <v/>
      </c>
      <c r="CN95" s="4" t="str">
        <v/>
      </c>
      <c r="CO95" s="4">
        <v>1</v>
      </c>
      <c r="CP95" s="4">
        <v>0.544107607029327</v>
      </c>
      <c r="CQ95" s="4">
        <v>0.402077633509792</v>
      </c>
      <c r="CR95" s="4">
        <v>0.464670938214554</v>
      </c>
      <c r="CS95" s="4">
        <v>0.00768045841580845</v>
      </c>
      <c r="CT95" s="4">
        <v>0.255078549034317</v>
      </c>
      <c r="CU95" s="4">
        <v>0.1325308541541</v>
      </c>
      <c r="CV95" s="4">
        <v>0.282934131739609</v>
      </c>
      <c r="CW95" s="4">
        <v>0.211760303838843</v>
      </c>
      <c r="CX95" s="4">
        <v>0.268706129353903</v>
      </c>
      <c r="CY95" s="4">
        <v>0.121161250592056</v>
      </c>
      <c r="CZ95" s="4">
        <v>0.276508331635373</v>
      </c>
      <c r="DA95" s="4">
        <v>0.0433354958273173</v>
      </c>
      <c r="DB95" s="4">
        <v>0.172275611897153</v>
      </c>
      <c r="DC95" s="4">
        <v>-0.0245502605168295</v>
      </c>
      <c r="DD95" s="4">
        <v>-0.0411192694753136</v>
      </c>
      <c r="DE95" s="4">
        <v>0.109200645757094</v>
      </c>
      <c r="DF95" s="4">
        <v>0.107989833451941</v>
      </c>
      <c r="DG95" s="4">
        <v>0.16252755774212</v>
      </c>
      <c r="DH95" s="4">
        <v>0.249602724268636</v>
      </c>
      <c r="DI95" s="4">
        <v>0.214261437623743</v>
      </c>
      <c r="DJ95" s="4">
        <v>0.238078110178761</v>
      </c>
      <c r="DK95" s="4">
        <v>0.164624678842399</v>
      </c>
      <c r="DL95" s="4">
        <v>0.189462283663316</v>
      </c>
      <c r="DM95" s="4">
        <v>0.162926561702477</v>
      </c>
      <c r="DN95" s="4">
        <v>0.165773398367981</v>
      </c>
      <c r="DO95" s="4">
        <v>0.0664948984290953</v>
      </c>
      <c r="DP95" s="4">
        <v>0.154385223330246</v>
      </c>
      <c r="DQ95" s="4">
        <v>0.203528512599781</v>
      </c>
      <c r="DR95" s="4">
        <v>0.170341940996375</v>
      </c>
      <c r="DS95" s="4">
        <v>0.150239357945522</v>
      </c>
      <c r="DT95" s="4">
        <v>0.150867868302559</v>
      </c>
      <c r="DU95" s="4">
        <v>0.170613695249678</v>
      </c>
      <c r="DV95" s="4">
        <v>0.214811786542009</v>
      </c>
      <c r="DW95" s="4">
        <v>0.308291845283878</v>
      </c>
      <c r="DX95" s="4">
        <v>0.100380692300604</v>
      </c>
      <c r="DY95" s="4">
        <v>0.0577467471925947</v>
      </c>
    </row>
    <row r="96" ht="14" spans="1:129">
      <c r="A96" s="31" t="s">
        <v>94</v>
      </c>
      <c r="B96" s="2" t="str">
        <v/>
      </c>
      <c r="C96" s="2" t="str">
        <v/>
      </c>
      <c r="D96" s="2" t="str">
        <v/>
      </c>
      <c r="E96" s="2" t="str">
        <v/>
      </c>
      <c r="F96" s="2" t="str">
        <v/>
      </c>
      <c r="G96" s="2" t="str">
        <v/>
      </c>
      <c r="H96" s="2" t="str">
        <v/>
      </c>
      <c r="I96" s="2" t="str">
        <v/>
      </c>
      <c r="J96" s="2" t="str">
        <v/>
      </c>
      <c r="K96" s="2" t="str">
        <v/>
      </c>
      <c r="L96" s="2" t="str">
        <v/>
      </c>
      <c r="M96" s="2" t="str">
        <v/>
      </c>
      <c r="N96" s="2" t="str">
        <v/>
      </c>
      <c r="O96" s="2" t="str">
        <v/>
      </c>
      <c r="P96" s="2" t="str">
        <v/>
      </c>
      <c r="Q96" s="2" t="str">
        <v/>
      </c>
      <c r="R96" s="2" t="str">
        <v/>
      </c>
      <c r="S96" s="2" t="str">
        <v/>
      </c>
      <c r="T96" s="2" t="str">
        <v/>
      </c>
      <c r="U96" s="2" t="str">
        <v/>
      </c>
      <c r="V96" s="2" t="str">
        <v/>
      </c>
      <c r="W96" s="2" t="str">
        <v/>
      </c>
      <c r="X96" s="2" t="str">
        <v/>
      </c>
      <c r="Y96" s="2" t="str">
        <v/>
      </c>
      <c r="Z96" s="2" t="str">
        <v/>
      </c>
      <c r="AA96" s="2" t="str">
        <v/>
      </c>
      <c r="AB96" s="2" t="str">
        <v/>
      </c>
      <c r="AC96" s="2" t="str">
        <v/>
      </c>
      <c r="AD96" s="2" t="str">
        <v/>
      </c>
      <c r="AE96" s="2" t="str">
        <v/>
      </c>
      <c r="AF96" s="2" t="str">
        <v/>
      </c>
      <c r="AG96" s="2" t="str">
        <v/>
      </c>
      <c r="AH96" s="2" t="str">
        <v/>
      </c>
      <c r="AI96" s="2" t="str">
        <v/>
      </c>
      <c r="AJ96" s="2" t="str">
        <v/>
      </c>
      <c r="AK96" s="2" t="str">
        <v/>
      </c>
      <c r="AL96" s="2" t="str">
        <v/>
      </c>
      <c r="AM96" s="2" t="str">
        <v/>
      </c>
      <c r="AN96" s="2" t="str">
        <v/>
      </c>
      <c r="AO96" s="2" t="str">
        <v/>
      </c>
      <c r="AP96" s="2" t="str">
        <v/>
      </c>
      <c r="AQ96" s="2" t="str">
        <v/>
      </c>
      <c r="AR96" s="2" t="str">
        <v/>
      </c>
      <c r="AS96" s="2" t="str">
        <v/>
      </c>
      <c r="AT96" s="2" t="str">
        <v/>
      </c>
      <c r="AU96" s="2" t="str">
        <v/>
      </c>
      <c r="AV96" s="2" t="str">
        <v/>
      </c>
      <c r="AW96" s="2" t="str">
        <v/>
      </c>
      <c r="AX96" s="2" t="str">
        <v/>
      </c>
      <c r="AY96" s="2" t="str">
        <v/>
      </c>
      <c r="AZ96" s="2" t="str">
        <v/>
      </c>
      <c r="BA96" s="2" t="str">
        <v/>
      </c>
      <c r="BB96" s="2" t="str">
        <v/>
      </c>
      <c r="BC96" s="2" t="str">
        <v/>
      </c>
      <c r="BD96" s="2" t="str">
        <v/>
      </c>
      <c r="BE96" s="2" t="str">
        <v/>
      </c>
      <c r="BF96" s="2" t="str">
        <v/>
      </c>
      <c r="BG96" s="2" t="str">
        <v/>
      </c>
      <c r="BH96" s="2" t="str">
        <v/>
      </c>
      <c r="BI96" s="2" t="str">
        <v/>
      </c>
      <c r="BJ96" s="2" t="str">
        <v/>
      </c>
      <c r="BK96" s="2" t="str">
        <v/>
      </c>
      <c r="BL96" s="2" t="str">
        <v/>
      </c>
      <c r="BM96" s="2" t="str">
        <v/>
      </c>
      <c r="BN96" s="2" t="str">
        <v/>
      </c>
      <c r="BO96" s="2" t="str">
        <v/>
      </c>
      <c r="BP96" s="4" t="str">
        <v/>
      </c>
      <c r="BQ96" s="4" t="str">
        <v/>
      </c>
      <c r="BR96" s="4" t="str">
        <v/>
      </c>
      <c r="BS96" s="4" t="str">
        <v/>
      </c>
      <c r="BT96" s="4" t="str">
        <v/>
      </c>
      <c r="BU96" s="4" t="str">
        <v/>
      </c>
      <c r="BV96" s="4" t="str">
        <v/>
      </c>
      <c r="BW96" s="4" t="str">
        <v/>
      </c>
      <c r="BX96" s="4" t="str">
        <v/>
      </c>
      <c r="BY96" s="4" t="str">
        <v/>
      </c>
      <c r="BZ96" s="4" t="str">
        <v/>
      </c>
      <c r="CA96" s="4" t="str">
        <v/>
      </c>
      <c r="CB96" s="4" t="str">
        <v/>
      </c>
      <c r="CC96" s="4" t="str">
        <v/>
      </c>
      <c r="CD96" s="4" t="str">
        <v/>
      </c>
      <c r="CE96" s="4" t="str">
        <v/>
      </c>
      <c r="CF96" s="4" t="str">
        <v/>
      </c>
      <c r="CG96" s="4" t="str">
        <v/>
      </c>
      <c r="CH96" s="4" t="str">
        <v/>
      </c>
      <c r="CI96" s="4" t="str">
        <v/>
      </c>
      <c r="CJ96" s="4" t="str">
        <v/>
      </c>
      <c r="CK96" s="4" t="str">
        <v/>
      </c>
      <c r="CL96" s="4" t="str">
        <v/>
      </c>
      <c r="CM96" s="4" t="str">
        <v/>
      </c>
      <c r="CN96" s="4" t="str">
        <v/>
      </c>
      <c r="CO96" s="4" t="str">
        <v/>
      </c>
      <c r="CP96" s="4">
        <v>1</v>
      </c>
      <c r="CQ96" s="4">
        <v>0.615297176005488</v>
      </c>
      <c r="CR96" s="4">
        <v>0.338427342510566</v>
      </c>
      <c r="CS96" s="4">
        <v>0.228907612117349</v>
      </c>
      <c r="CT96" s="4">
        <v>0.241562176209478</v>
      </c>
      <c r="CU96" s="4">
        <v>0.0125936070827806</v>
      </c>
      <c r="CV96" s="4">
        <v>0.198565190084883</v>
      </c>
      <c r="CW96" s="4">
        <v>0.196908918722609</v>
      </c>
      <c r="CX96" s="4">
        <v>0.100497735363431</v>
      </c>
      <c r="CY96" s="4">
        <v>-0.0393068219227552</v>
      </c>
      <c r="CZ96" s="4">
        <v>0.21503566046168</v>
      </c>
      <c r="DA96" s="4">
        <v>0.0318918027867973</v>
      </c>
      <c r="DB96" s="4">
        <v>0.119136782208327</v>
      </c>
      <c r="DC96" s="4">
        <v>0.0610153081389424</v>
      </c>
      <c r="DD96" s="4">
        <v>-0.0771762251575759</v>
      </c>
      <c r="DE96" s="4">
        <v>0.0852335466513244</v>
      </c>
      <c r="DF96" s="4">
        <v>0.0616712384023739</v>
      </c>
      <c r="DG96" s="4">
        <v>0.213268245064418</v>
      </c>
      <c r="DH96" s="4">
        <v>0.127372403049337</v>
      </c>
      <c r="DI96" s="4">
        <v>0.0655492105571007</v>
      </c>
      <c r="DJ96" s="4">
        <v>0.125969336530821</v>
      </c>
      <c r="DK96" s="4">
        <v>0.0199381513033825</v>
      </c>
      <c r="DL96" s="4">
        <v>0.155873094078433</v>
      </c>
      <c r="DM96" s="4">
        <v>0.115426333722163</v>
      </c>
      <c r="DN96" s="4">
        <v>0.106710258702151</v>
      </c>
      <c r="DO96" s="4">
        <v>0.0828688755401891</v>
      </c>
      <c r="DP96" s="4">
        <v>0.0747534090887793</v>
      </c>
      <c r="DQ96" s="4">
        <v>0.178560215849485</v>
      </c>
      <c r="DR96" s="4">
        <v>0.0830090852701617</v>
      </c>
      <c r="DS96" s="4">
        <v>-0.0569087177302592</v>
      </c>
      <c r="DT96" s="4">
        <v>0.203695089616172</v>
      </c>
      <c r="DU96" s="4">
        <v>0.06363082567281</v>
      </c>
      <c r="DV96" s="4">
        <v>0.248772430404226</v>
      </c>
      <c r="DW96" s="4">
        <v>0.130475784458825</v>
      </c>
      <c r="DX96" s="4">
        <v>0.0850542490913557</v>
      </c>
      <c r="DY96" s="4">
        <v>0.0620928095613626</v>
      </c>
    </row>
    <row r="97" ht="14" spans="1:129">
      <c r="A97" s="31" t="s">
        <v>95</v>
      </c>
      <c r="B97" s="2" t="str">
        <v/>
      </c>
      <c r="C97" s="2" t="str">
        <v/>
      </c>
      <c r="D97" s="2" t="str">
        <v/>
      </c>
      <c r="E97" s="2" t="str">
        <v/>
      </c>
      <c r="F97" s="2" t="str">
        <v/>
      </c>
      <c r="G97" s="2" t="str">
        <v/>
      </c>
      <c r="H97" s="2" t="str">
        <v/>
      </c>
      <c r="I97" s="2" t="str">
        <v/>
      </c>
      <c r="J97" s="2" t="str">
        <v/>
      </c>
      <c r="K97" s="2" t="str">
        <v/>
      </c>
      <c r="L97" s="2" t="str">
        <v/>
      </c>
      <c r="M97" s="2" t="str">
        <v/>
      </c>
      <c r="N97" s="2" t="str">
        <v/>
      </c>
      <c r="O97" s="2" t="str">
        <v/>
      </c>
      <c r="P97" s="2" t="str">
        <v/>
      </c>
      <c r="Q97" s="2" t="str">
        <v/>
      </c>
      <c r="R97" s="2" t="str">
        <v/>
      </c>
      <c r="S97" s="2" t="str">
        <v/>
      </c>
      <c r="T97" s="2" t="str">
        <v/>
      </c>
      <c r="U97" s="2" t="str">
        <v/>
      </c>
      <c r="V97" s="2" t="str">
        <v/>
      </c>
      <c r="W97" s="2" t="str">
        <v/>
      </c>
      <c r="X97" s="2" t="str">
        <v/>
      </c>
      <c r="Y97" s="2" t="str">
        <v/>
      </c>
      <c r="Z97" s="2" t="str">
        <v/>
      </c>
      <c r="AA97" s="2" t="str">
        <v/>
      </c>
      <c r="AB97" s="2" t="str">
        <v/>
      </c>
      <c r="AC97" s="2" t="str">
        <v/>
      </c>
      <c r="AD97" s="2" t="str">
        <v/>
      </c>
      <c r="AE97" s="2" t="str">
        <v/>
      </c>
      <c r="AF97" s="2" t="str">
        <v/>
      </c>
      <c r="AG97" s="2" t="str">
        <v/>
      </c>
      <c r="AH97" s="2" t="str">
        <v/>
      </c>
      <c r="AI97" s="2" t="str">
        <v/>
      </c>
      <c r="AJ97" s="2" t="str">
        <v/>
      </c>
      <c r="AK97" s="2" t="str">
        <v/>
      </c>
      <c r="AL97" s="2" t="str">
        <v/>
      </c>
      <c r="AM97" s="2" t="str">
        <v/>
      </c>
      <c r="AN97" s="2" t="str">
        <v/>
      </c>
      <c r="AO97" s="2" t="str">
        <v/>
      </c>
      <c r="AP97" s="2" t="str">
        <v/>
      </c>
      <c r="AQ97" s="2" t="str">
        <v/>
      </c>
      <c r="AR97" s="2" t="str">
        <v/>
      </c>
      <c r="AS97" s="2" t="str">
        <v/>
      </c>
      <c r="AT97" s="2" t="str">
        <v/>
      </c>
      <c r="AU97" s="2" t="str">
        <v/>
      </c>
      <c r="AV97" s="2" t="str">
        <v/>
      </c>
      <c r="AW97" s="2" t="str">
        <v/>
      </c>
      <c r="AX97" s="2" t="str">
        <v/>
      </c>
      <c r="AY97" s="2" t="str">
        <v/>
      </c>
      <c r="AZ97" s="2" t="str">
        <v/>
      </c>
      <c r="BA97" s="2" t="str">
        <v/>
      </c>
      <c r="BB97" s="2" t="str">
        <v/>
      </c>
      <c r="BC97" s="2" t="str">
        <v/>
      </c>
      <c r="BD97" s="2" t="str">
        <v/>
      </c>
      <c r="BE97" s="2" t="str">
        <v/>
      </c>
      <c r="BF97" s="2" t="str">
        <v/>
      </c>
      <c r="BG97" s="2" t="str">
        <v/>
      </c>
      <c r="BH97" s="2" t="str">
        <v/>
      </c>
      <c r="BI97" s="2" t="str">
        <v/>
      </c>
      <c r="BJ97" s="2" t="str">
        <v/>
      </c>
      <c r="BK97" s="2" t="str">
        <v/>
      </c>
      <c r="BL97" s="2" t="str">
        <v/>
      </c>
      <c r="BM97" s="2" t="str">
        <v/>
      </c>
      <c r="BN97" s="2" t="str">
        <v/>
      </c>
      <c r="BO97" s="2" t="str">
        <v/>
      </c>
      <c r="BP97" s="4" t="str">
        <v/>
      </c>
      <c r="BQ97" s="4" t="str">
        <v/>
      </c>
      <c r="BR97" s="4" t="str">
        <v/>
      </c>
      <c r="BS97" s="4" t="str">
        <v/>
      </c>
      <c r="BT97" s="4" t="str">
        <v/>
      </c>
      <c r="BU97" s="4" t="str">
        <v/>
      </c>
      <c r="BV97" s="4" t="str">
        <v/>
      </c>
      <c r="BW97" s="4" t="str">
        <v/>
      </c>
      <c r="BX97" s="4" t="str">
        <v/>
      </c>
      <c r="BY97" s="4" t="str">
        <v/>
      </c>
      <c r="BZ97" s="4" t="str">
        <v/>
      </c>
      <c r="CA97" s="4" t="str">
        <v/>
      </c>
      <c r="CB97" s="4" t="str">
        <v/>
      </c>
      <c r="CC97" s="4" t="str">
        <v/>
      </c>
      <c r="CD97" s="4" t="str">
        <v/>
      </c>
      <c r="CE97" s="4" t="str">
        <v/>
      </c>
      <c r="CF97" s="4" t="str">
        <v/>
      </c>
      <c r="CG97" s="4" t="str">
        <v/>
      </c>
      <c r="CH97" s="4" t="str">
        <v/>
      </c>
      <c r="CI97" s="4" t="str">
        <v/>
      </c>
      <c r="CJ97" s="4" t="str">
        <v/>
      </c>
      <c r="CK97" s="4" t="str">
        <v/>
      </c>
      <c r="CL97" s="4" t="str">
        <v/>
      </c>
      <c r="CM97" s="4" t="str">
        <v/>
      </c>
      <c r="CN97" s="4" t="str">
        <v/>
      </c>
      <c r="CO97" s="4" t="str">
        <v/>
      </c>
      <c r="CP97" s="4" t="str">
        <v/>
      </c>
      <c r="CQ97" s="4">
        <v>1</v>
      </c>
      <c r="CR97" s="4">
        <v>0.320306285301022</v>
      </c>
      <c r="CS97" s="4">
        <v>0.033955889813073</v>
      </c>
      <c r="CT97" s="4">
        <v>-0.123980028151897</v>
      </c>
      <c r="CU97" s="4">
        <v>-0.00194256978065049</v>
      </c>
      <c r="CV97" s="4">
        <v>0.137125056786994</v>
      </c>
      <c r="CW97" s="4">
        <v>0.0612683912178005</v>
      </c>
      <c r="CX97" s="4">
        <v>0.197424410115963</v>
      </c>
      <c r="CY97" s="4">
        <v>-0.0949219159655641</v>
      </c>
      <c r="CZ97" s="4">
        <v>0.129258781005135</v>
      </c>
      <c r="DA97" s="4">
        <v>0.0570631071172664</v>
      </c>
      <c r="DB97" s="4">
        <v>0.0131268635114888</v>
      </c>
      <c r="DC97" s="4">
        <v>0.0226858122678127</v>
      </c>
      <c r="DD97" s="4">
        <v>-0.0637374728082076</v>
      </c>
      <c r="DE97" s="4">
        <v>0.239354838416725</v>
      </c>
      <c r="DF97" s="4">
        <v>0.148557278912778</v>
      </c>
      <c r="DG97" s="4">
        <v>0.258103035922201</v>
      </c>
      <c r="DH97" s="4">
        <v>0.144775796043662</v>
      </c>
      <c r="DI97" s="4">
        <v>-0.0192354279083131</v>
      </c>
      <c r="DJ97" s="4">
        <v>0.00642793146232806</v>
      </c>
      <c r="DK97" s="4">
        <v>-0.170599871120447</v>
      </c>
      <c r="DL97" s="4">
        <v>-0.124280093956381</v>
      </c>
      <c r="DM97" s="4">
        <v>-0.0877918989883379</v>
      </c>
      <c r="DN97" s="4">
        <v>-0.0226477459970429</v>
      </c>
      <c r="DO97" s="4">
        <v>-0.0988425200363917</v>
      </c>
      <c r="DP97" s="4">
        <v>-0.122196199729776</v>
      </c>
      <c r="DQ97" s="4">
        <v>-0.071074722793258</v>
      </c>
      <c r="DR97" s="4">
        <v>-0.125954676047516</v>
      </c>
      <c r="DS97" s="4">
        <v>-0.104941160148164</v>
      </c>
      <c r="DT97" s="4">
        <v>-0.0593607041154607</v>
      </c>
      <c r="DU97" s="4">
        <v>-0.11211900473072</v>
      </c>
      <c r="DV97" s="4">
        <v>-0.0645221261840542</v>
      </c>
      <c r="DW97" s="4">
        <v>0.115182913416565</v>
      </c>
      <c r="DX97" s="4">
        <v>-0.0257472743499053</v>
      </c>
      <c r="DY97" s="4">
        <v>-0.120610321412377</v>
      </c>
    </row>
    <row r="98" ht="14" spans="1:129">
      <c r="A98" s="31" t="s">
        <v>96</v>
      </c>
      <c r="B98" s="2" t="str">
        <v/>
      </c>
      <c r="C98" s="2" t="str">
        <v/>
      </c>
      <c r="D98" s="2" t="str">
        <v/>
      </c>
      <c r="E98" s="2" t="str">
        <v/>
      </c>
      <c r="F98" s="2" t="str">
        <v/>
      </c>
      <c r="G98" s="2" t="str">
        <v/>
      </c>
      <c r="H98" s="2" t="str">
        <v/>
      </c>
      <c r="I98" s="2" t="str">
        <v/>
      </c>
      <c r="J98" s="2" t="str">
        <v/>
      </c>
      <c r="K98" s="2" t="str">
        <v/>
      </c>
      <c r="L98" s="2" t="str">
        <v/>
      </c>
      <c r="M98" s="2" t="str">
        <v/>
      </c>
      <c r="N98" s="2" t="str">
        <v/>
      </c>
      <c r="O98" s="2" t="str">
        <v/>
      </c>
      <c r="P98" s="2" t="str">
        <v/>
      </c>
      <c r="Q98" s="2" t="str">
        <v/>
      </c>
      <c r="R98" s="2" t="str">
        <v/>
      </c>
      <c r="S98" s="2" t="str">
        <v/>
      </c>
      <c r="T98" s="2" t="str">
        <v/>
      </c>
      <c r="U98" s="2" t="str">
        <v/>
      </c>
      <c r="V98" s="2" t="str">
        <v/>
      </c>
      <c r="W98" s="2" t="str">
        <v/>
      </c>
      <c r="X98" s="2" t="str">
        <v/>
      </c>
      <c r="Y98" s="2" t="str">
        <v/>
      </c>
      <c r="Z98" s="2" t="str">
        <v/>
      </c>
      <c r="AA98" s="2" t="str">
        <v/>
      </c>
      <c r="AB98" s="2" t="str">
        <v/>
      </c>
      <c r="AC98" s="2" t="str">
        <v/>
      </c>
      <c r="AD98" s="2" t="str">
        <v/>
      </c>
      <c r="AE98" s="2" t="str">
        <v/>
      </c>
      <c r="AF98" s="2" t="str">
        <v/>
      </c>
      <c r="AG98" s="2" t="str">
        <v/>
      </c>
      <c r="AH98" s="2" t="str">
        <v/>
      </c>
      <c r="AI98" s="2" t="str">
        <v/>
      </c>
      <c r="AJ98" s="2" t="str">
        <v/>
      </c>
      <c r="AK98" s="2" t="str">
        <v/>
      </c>
      <c r="AL98" s="2" t="str">
        <v/>
      </c>
      <c r="AM98" s="2" t="str">
        <v/>
      </c>
      <c r="AN98" s="2" t="str">
        <v/>
      </c>
      <c r="AO98" s="2" t="str">
        <v/>
      </c>
      <c r="AP98" s="2" t="str">
        <v/>
      </c>
      <c r="AQ98" s="2" t="str">
        <v/>
      </c>
      <c r="AR98" s="2" t="str">
        <v/>
      </c>
      <c r="AS98" s="2" t="str">
        <v/>
      </c>
      <c r="AT98" s="2" t="str">
        <v/>
      </c>
      <c r="AU98" s="2" t="str">
        <v/>
      </c>
      <c r="AV98" s="2" t="str">
        <v/>
      </c>
      <c r="AW98" s="2" t="str">
        <v/>
      </c>
      <c r="AX98" s="2" t="str">
        <v/>
      </c>
      <c r="AY98" s="2" t="str">
        <v/>
      </c>
      <c r="AZ98" s="2" t="str">
        <v/>
      </c>
      <c r="BA98" s="2" t="str">
        <v/>
      </c>
      <c r="BB98" s="2" t="str">
        <v/>
      </c>
      <c r="BC98" s="2" t="str">
        <v/>
      </c>
      <c r="BD98" s="2" t="str">
        <v/>
      </c>
      <c r="BE98" s="2" t="str">
        <v/>
      </c>
      <c r="BF98" s="2" t="str">
        <v/>
      </c>
      <c r="BG98" s="2" t="str">
        <v/>
      </c>
      <c r="BH98" s="2" t="str">
        <v/>
      </c>
      <c r="BI98" s="2" t="str">
        <v/>
      </c>
      <c r="BJ98" s="2" t="str">
        <v/>
      </c>
      <c r="BK98" s="2" t="str">
        <v/>
      </c>
      <c r="BL98" s="2" t="str">
        <v/>
      </c>
      <c r="BM98" s="2" t="str">
        <v/>
      </c>
      <c r="BN98" s="2" t="str">
        <v/>
      </c>
      <c r="BO98" s="2" t="str">
        <v/>
      </c>
      <c r="BP98" s="4" t="str">
        <v/>
      </c>
      <c r="BQ98" s="4" t="str">
        <v/>
      </c>
      <c r="BR98" s="4" t="str">
        <v/>
      </c>
      <c r="BS98" s="4" t="str">
        <v/>
      </c>
      <c r="BT98" s="4" t="str">
        <v/>
      </c>
      <c r="BU98" s="4" t="str">
        <v/>
      </c>
      <c r="BV98" s="4" t="str">
        <v/>
      </c>
      <c r="BW98" s="4" t="str">
        <v/>
      </c>
      <c r="BX98" s="4" t="str">
        <v/>
      </c>
      <c r="BY98" s="4" t="str">
        <v/>
      </c>
      <c r="BZ98" s="4" t="str">
        <v/>
      </c>
      <c r="CA98" s="4" t="str">
        <v/>
      </c>
      <c r="CB98" s="4" t="str">
        <v/>
      </c>
      <c r="CC98" s="4" t="str">
        <v/>
      </c>
      <c r="CD98" s="4" t="str">
        <v/>
      </c>
      <c r="CE98" s="4" t="str">
        <v/>
      </c>
      <c r="CF98" s="4" t="str">
        <v/>
      </c>
      <c r="CG98" s="4" t="str">
        <v/>
      </c>
      <c r="CH98" s="4" t="str">
        <v/>
      </c>
      <c r="CI98" s="4" t="str">
        <v/>
      </c>
      <c r="CJ98" s="4" t="str">
        <v/>
      </c>
      <c r="CK98" s="4" t="str">
        <v/>
      </c>
      <c r="CL98" s="4" t="str">
        <v/>
      </c>
      <c r="CM98" s="4" t="str">
        <v/>
      </c>
      <c r="CN98" s="4" t="str">
        <v/>
      </c>
      <c r="CO98" s="4" t="str">
        <v/>
      </c>
      <c r="CP98" s="4" t="str">
        <v/>
      </c>
      <c r="CQ98" s="4" t="str">
        <v/>
      </c>
      <c r="CR98" s="4">
        <v>1</v>
      </c>
      <c r="CS98" s="4">
        <v>0.377228626653116</v>
      </c>
      <c r="CT98" s="4">
        <v>0.267258376311498</v>
      </c>
      <c r="CU98" s="4">
        <v>0.399756549502893</v>
      </c>
      <c r="CV98" s="4">
        <v>0.24223012504568</v>
      </c>
      <c r="CW98" s="4">
        <v>0.205895079397266</v>
      </c>
      <c r="CX98" s="4">
        <v>0.0808968232462722</v>
      </c>
      <c r="CY98" s="4">
        <v>-0.0354605968907606</v>
      </c>
      <c r="CZ98" s="4">
        <v>0.195267007741368</v>
      </c>
      <c r="DA98" s="4">
        <v>0.249354273061067</v>
      </c>
      <c r="DB98" s="4">
        <v>0.386914655174143</v>
      </c>
      <c r="DC98" s="4">
        <v>0.0930072354918312</v>
      </c>
      <c r="DD98" s="4">
        <v>-0.0167657121246995</v>
      </c>
      <c r="DE98" s="4">
        <v>0.156077780631105</v>
      </c>
      <c r="DF98" s="4">
        <v>0.187594249664691</v>
      </c>
      <c r="DG98" s="4">
        <v>0.1135514035529</v>
      </c>
      <c r="DH98" s="4">
        <v>0.396292195094585</v>
      </c>
      <c r="DI98" s="4">
        <v>0.255338451631514</v>
      </c>
      <c r="DJ98" s="4">
        <v>0.344188597012824</v>
      </c>
      <c r="DK98" s="4">
        <v>0.186239598621835</v>
      </c>
      <c r="DL98" s="4">
        <v>0.255811699787951</v>
      </c>
      <c r="DM98" s="4">
        <v>0.289736852230066</v>
      </c>
      <c r="DN98" s="4">
        <v>0.321656758570632</v>
      </c>
      <c r="DO98" s="4">
        <v>0.0681416057014214</v>
      </c>
      <c r="DP98" s="4">
        <v>0.201284012246859</v>
      </c>
      <c r="DQ98" s="4">
        <v>0.225971687082985</v>
      </c>
      <c r="DR98" s="4">
        <v>0.247790332828428</v>
      </c>
      <c r="DS98" s="4">
        <v>0.0408278031528022</v>
      </c>
      <c r="DT98" s="4">
        <v>0.266557917819797</v>
      </c>
      <c r="DU98" s="4">
        <v>0.20349869099484</v>
      </c>
      <c r="DV98" s="4">
        <v>0.199449799705705</v>
      </c>
      <c r="DW98" s="4">
        <v>0.24000556498376</v>
      </c>
      <c r="DX98" s="4">
        <v>0.151951342894461</v>
      </c>
      <c r="DY98" s="4">
        <v>0.181716731695108</v>
      </c>
    </row>
    <row r="99" ht="14" spans="1:129">
      <c r="A99" s="31" t="s">
        <v>97</v>
      </c>
      <c r="B99" s="2" t="str">
        <v/>
      </c>
      <c r="C99" s="2" t="str">
        <v/>
      </c>
      <c r="D99" s="2" t="str">
        <v/>
      </c>
      <c r="E99" s="2" t="str">
        <v/>
      </c>
      <c r="F99" s="2" t="str">
        <v/>
      </c>
      <c r="G99" s="2" t="str">
        <v/>
      </c>
      <c r="H99" s="2" t="str">
        <v/>
      </c>
      <c r="I99" s="2" t="str">
        <v/>
      </c>
      <c r="J99" s="2" t="str">
        <v/>
      </c>
      <c r="K99" s="2" t="str">
        <v/>
      </c>
      <c r="L99" s="2" t="str">
        <v/>
      </c>
      <c r="M99" s="2" t="str">
        <v/>
      </c>
      <c r="N99" s="2" t="str">
        <v/>
      </c>
      <c r="O99" s="2" t="str">
        <v/>
      </c>
      <c r="P99" s="2" t="str">
        <v/>
      </c>
      <c r="Q99" s="2" t="str">
        <v/>
      </c>
      <c r="R99" s="2" t="str">
        <v/>
      </c>
      <c r="S99" s="2" t="str">
        <v/>
      </c>
      <c r="T99" s="2" t="str">
        <v/>
      </c>
      <c r="U99" s="2" t="str">
        <v/>
      </c>
      <c r="V99" s="2" t="str">
        <v/>
      </c>
      <c r="W99" s="2" t="str">
        <v/>
      </c>
      <c r="X99" s="2" t="str">
        <v/>
      </c>
      <c r="Y99" s="2" t="str">
        <v/>
      </c>
      <c r="Z99" s="2" t="str">
        <v/>
      </c>
      <c r="AA99" s="2" t="str">
        <v/>
      </c>
      <c r="AB99" s="2" t="str">
        <v/>
      </c>
      <c r="AC99" s="2" t="str">
        <v/>
      </c>
      <c r="AD99" s="2" t="str">
        <v/>
      </c>
      <c r="AE99" s="2" t="str">
        <v/>
      </c>
      <c r="AF99" s="2" t="str">
        <v/>
      </c>
      <c r="AG99" s="2" t="str">
        <v/>
      </c>
      <c r="AH99" s="2" t="str">
        <v/>
      </c>
      <c r="AI99" s="2" t="str">
        <v/>
      </c>
      <c r="AJ99" s="2" t="str">
        <v/>
      </c>
      <c r="AK99" s="2" t="str">
        <v/>
      </c>
      <c r="AL99" s="2" t="str">
        <v/>
      </c>
      <c r="AM99" s="2" t="str">
        <v/>
      </c>
      <c r="AN99" s="2" t="str">
        <v/>
      </c>
      <c r="AO99" s="2" t="str">
        <v/>
      </c>
      <c r="AP99" s="2" t="str">
        <v/>
      </c>
      <c r="AQ99" s="2" t="str">
        <v/>
      </c>
      <c r="AR99" s="2" t="str">
        <v/>
      </c>
      <c r="AS99" s="2" t="str">
        <v/>
      </c>
      <c r="AT99" s="2" t="str">
        <v/>
      </c>
      <c r="AU99" s="2" t="str">
        <v/>
      </c>
      <c r="AV99" s="2" t="str">
        <v/>
      </c>
      <c r="AW99" s="2" t="str">
        <v/>
      </c>
      <c r="AX99" s="2" t="str">
        <v/>
      </c>
      <c r="AY99" s="2" t="str">
        <v/>
      </c>
      <c r="AZ99" s="2" t="str">
        <v/>
      </c>
      <c r="BA99" s="2" t="str">
        <v/>
      </c>
      <c r="BB99" s="2" t="str">
        <v/>
      </c>
      <c r="BC99" s="2" t="str">
        <v/>
      </c>
      <c r="BD99" s="2" t="str">
        <v/>
      </c>
      <c r="BE99" s="2" t="str">
        <v/>
      </c>
      <c r="BF99" s="2" t="str">
        <v/>
      </c>
      <c r="BG99" s="2" t="str">
        <v/>
      </c>
      <c r="BH99" s="2" t="str">
        <v/>
      </c>
      <c r="BI99" s="2" t="str">
        <v/>
      </c>
      <c r="BJ99" s="2" t="str">
        <v/>
      </c>
      <c r="BK99" s="2" t="str">
        <v/>
      </c>
      <c r="BL99" s="2" t="str">
        <v/>
      </c>
      <c r="BM99" s="2" t="str">
        <v/>
      </c>
      <c r="BN99" s="2" t="str">
        <v/>
      </c>
      <c r="BO99" s="2" t="str">
        <v/>
      </c>
      <c r="BP99" s="4" t="str">
        <v/>
      </c>
      <c r="BQ99" s="4" t="str">
        <v/>
      </c>
      <c r="BR99" s="4" t="str">
        <v/>
      </c>
      <c r="BS99" s="4" t="str">
        <v/>
      </c>
      <c r="BT99" s="4" t="str">
        <v/>
      </c>
      <c r="BU99" s="4" t="str">
        <v/>
      </c>
      <c r="BV99" s="4" t="str">
        <v/>
      </c>
      <c r="BW99" s="4" t="str">
        <v/>
      </c>
      <c r="BX99" s="4" t="str">
        <v/>
      </c>
      <c r="BY99" s="4" t="str">
        <v/>
      </c>
      <c r="BZ99" s="4" t="str">
        <v/>
      </c>
      <c r="CA99" s="4" t="str">
        <v/>
      </c>
      <c r="CB99" s="4" t="str">
        <v/>
      </c>
      <c r="CC99" s="4" t="str">
        <v/>
      </c>
      <c r="CD99" s="4" t="str">
        <v/>
      </c>
      <c r="CE99" s="4" t="str">
        <v/>
      </c>
      <c r="CF99" s="4" t="str">
        <v/>
      </c>
      <c r="CG99" s="4" t="str">
        <v/>
      </c>
      <c r="CH99" s="4" t="str">
        <v/>
      </c>
      <c r="CI99" s="4" t="str">
        <v/>
      </c>
      <c r="CJ99" s="4" t="str">
        <v/>
      </c>
      <c r="CK99" s="4" t="str">
        <v/>
      </c>
      <c r="CL99" s="4" t="str">
        <v/>
      </c>
      <c r="CM99" s="4" t="str">
        <v/>
      </c>
      <c r="CN99" s="4" t="str">
        <v/>
      </c>
      <c r="CO99" s="4" t="str">
        <v/>
      </c>
      <c r="CP99" s="4" t="str">
        <v/>
      </c>
      <c r="CQ99" s="4" t="str">
        <v/>
      </c>
      <c r="CR99" s="4" t="str">
        <v/>
      </c>
      <c r="CS99" s="4">
        <v>1</v>
      </c>
      <c r="CT99" s="4">
        <v>0.339494420254843</v>
      </c>
      <c r="CU99" s="4">
        <v>0.196952028978828</v>
      </c>
      <c r="CV99" s="4">
        <v>0.285425657040111</v>
      </c>
      <c r="CW99" s="4">
        <v>0.305251603325145</v>
      </c>
      <c r="CX99" s="4">
        <v>0.0639541009099296</v>
      </c>
      <c r="CY99" s="4">
        <v>-0.0414498679853322</v>
      </c>
      <c r="CZ99" s="4">
        <v>0.204680619365849</v>
      </c>
      <c r="DA99" s="4">
        <v>0.0963798841311853</v>
      </c>
      <c r="DB99" s="4">
        <v>0.320617949026826</v>
      </c>
      <c r="DC99" s="4">
        <v>0.200862405420258</v>
      </c>
      <c r="DD99" s="4">
        <v>-0.119548439114722</v>
      </c>
      <c r="DE99" s="4">
        <v>0.0691185077020799</v>
      </c>
      <c r="DF99" s="4">
        <v>0.12193655846214</v>
      </c>
      <c r="DG99" s="4">
        <v>0.00618573886570803</v>
      </c>
      <c r="DH99" s="4">
        <v>0.281244409898273</v>
      </c>
      <c r="DI99" s="4">
        <v>0.234872681972162</v>
      </c>
      <c r="DJ99" s="4">
        <v>0.304552529675361</v>
      </c>
      <c r="DK99" s="4">
        <v>0.182993686754671</v>
      </c>
      <c r="DL99" s="4">
        <v>0.29081109602294</v>
      </c>
      <c r="DM99" s="4">
        <v>0.295863467328159</v>
      </c>
      <c r="DN99" s="4">
        <v>0.235021446154322</v>
      </c>
      <c r="DO99" s="4">
        <v>0.304977848259577</v>
      </c>
      <c r="DP99" s="4">
        <v>0.213209669218256</v>
      </c>
      <c r="DQ99" s="4">
        <v>0.271673463849676</v>
      </c>
      <c r="DR99" s="4">
        <v>0.256867804763072</v>
      </c>
      <c r="DS99" s="4">
        <v>0.16118082411759</v>
      </c>
      <c r="DT99" s="4">
        <v>0.238051122198351</v>
      </c>
      <c r="DU99" s="4">
        <v>0.19715362180753</v>
      </c>
      <c r="DV99" s="4">
        <v>0.253084495252355</v>
      </c>
      <c r="DW99" s="4">
        <v>0.194200697601435</v>
      </c>
      <c r="DX99" s="4">
        <v>0.235158138804624</v>
      </c>
      <c r="DY99" s="4">
        <v>0.345970472992652</v>
      </c>
    </row>
    <row r="100" ht="14" spans="1:129">
      <c r="A100" s="31" t="s">
        <v>98</v>
      </c>
      <c r="B100" s="2" t="str">
        <v/>
      </c>
      <c r="C100" s="2" t="str">
        <v/>
      </c>
      <c r="D100" s="2" t="str">
        <v/>
      </c>
      <c r="E100" s="2" t="str">
        <v/>
      </c>
      <c r="F100" s="2" t="str">
        <v/>
      </c>
      <c r="G100" s="2" t="str">
        <v/>
      </c>
      <c r="H100" s="2" t="str">
        <v/>
      </c>
      <c r="I100" s="2" t="str">
        <v/>
      </c>
      <c r="J100" s="2" t="str">
        <v/>
      </c>
      <c r="K100" s="2" t="str">
        <v/>
      </c>
      <c r="L100" s="2" t="str">
        <v/>
      </c>
      <c r="M100" s="2" t="str">
        <v/>
      </c>
      <c r="N100" s="2" t="str">
        <v/>
      </c>
      <c r="O100" s="2" t="str">
        <v/>
      </c>
      <c r="P100" s="2" t="str">
        <v/>
      </c>
      <c r="Q100" s="2" t="str">
        <v/>
      </c>
      <c r="R100" s="2" t="str">
        <v/>
      </c>
      <c r="S100" s="2" t="str">
        <v/>
      </c>
      <c r="T100" s="2" t="str">
        <v/>
      </c>
      <c r="U100" s="2" t="str">
        <v/>
      </c>
      <c r="V100" s="2" t="str">
        <v/>
      </c>
      <c r="W100" s="2" t="str">
        <v/>
      </c>
      <c r="X100" s="2" t="str">
        <v/>
      </c>
      <c r="Y100" s="2" t="str">
        <v/>
      </c>
      <c r="Z100" s="2" t="str">
        <v/>
      </c>
      <c r="AA100" s="2" t="str">
        <v/>
      </c>
      <c r="AB100" s="2" t="str">
        <v/>
      </c>
      <c r="AC100" s="2" t="str">
        <v/>
      </c>
      <c r="AD100" s="2" t="str">
        <v/>
      </c>
      <c r="AE100" s="2" t="str">
        <v/>
      </c>
      <c r="AF100" s="2" t="str">
        <v/>
      </c>
      <c r="AG100" s="2" t="str">
        <v/>
      </c>
      <c r="AH100" s="2" t="str">
        <v/>
      </c>
      <c r="AI100" s="2" t="str">
        <v/>
      </c>
      <c r="AJ100" s="2" t="str">
        <v/>
      </c>
      <c r="AK100" s="2" t="str">
        <v/>
      </c>
      <c r="AL100" s="2" t="str">
        <v/>
      </c>
      <c r="AM100" s="2" t="str">
        <v/>
      </c>
      <c r="AN100" s="2" t="str">
        <v/>
      </c>
      <c r="AO100" s="2" t="str">
        <v/>
      </c>
      <c r="AP100" s="2" t="str">
        <v/>
      </c>
      <c r="AQ100" s="2" t="str">
        <v/>
      </c>
      <c r="AR100" s="2" t="str">
        <v/>
      </c>
      <c r="AS100" s="2" t="str">
        <v/>
      </c>
      <c r="AT100" s="2" t="str">
        <v/>
      </c>
      <c r="AU100" s="2" t="str">
        <v/>
      </c>
      <c r="AV100" s="2" t="str">
        <v/>
      </c>
      <c r="AW100" s="2" t="str">
        <v/>
      </c>
      <c r="AX100" s="2" t="str">
        <v/>
      </c>
      <c r="AY100" s="2" t="str">
        <v/>
      </c>
      <c r="AZ100" s="2" t="str">
        <v/>
      </c>
      <c r="BA100" s="2" t="str">
        <v/>
      </c>
      <c r="BB100" s="2" t="str">
        <v/>
      </c>
      <c r="BC100" s="2" t="str">
        <v/>
      </c>
      <c r="BD100" s="2" t="str">
        <v/>
      </c>
      <c r="BE100" s="2" t="str">
        <v/>
      </c>
      <c r="BF100" s="2" t="str">
        <v/>
      </c>
      <c r="BG100" s="2" t="str">
        <v/>
      </c>
      <c r="BH100" s="2" t="str">
        <v/>
      </c>
      <c r="BI100" s="2" t="str">
        <v/>
      </c>
      <c r="BJ100" s="2" t="str">
        <v/>
      </c>
      <c r="BK100" s="2" t="str">
        <v/>
      </c>
      <c r="BL100" s="2" t="str">
        <v/>
      </c>
      <c r="BM100" s="2" t="str">
        <v/>
      </c>
      <c r="BN100" s="2" t="str">
        <v/>
      </c>
      <c r="BO100" s="2" t="str">
        <v/>
      </c>
      <c r="BP100" s="4" t="str">
        <v/>
      </c>
      <c r="BQ100" s="4" t="str">
        <v/>
      </c>
      <c r="BR100" s="4" t="str">
        <v/>
      </c>
      <c r="BS100" s="4" t="str">
        <v/>
      </c>
      <c r="BT100" s="4" t="str">
        <v/>
      </c>
      <c r="BU100" s="4" t="str">
        <v/>
      </c>
      <c r="BV100" s="4" t="str">
        <v/>
      </c>
      <c r="BW100" s="4" t="str">
        <v/>
      </c>
      <c r="BX100" s="4" t="str">
        <v/>
      </c>
      <c r="BY100" s="4" t="str">
        <v/>
      </c>
      <c r="BZ100" s="4" t="str">
        <v/>
      </c>
      <c r="CA100" s="4" t="str">
        <v/>
      </c>
      <c r="CB100" s="4" t="str">
        <v/>
      </c>
      <c r="CC100" s="4" t="str">
        <v/>
      </c>
      <c r="CD100" s="4" t="str">
        <v/>
      </c>
      <c r="CE100" s="4" t="str">
        <v/>
      </c>
      <c r="CF100" s="4" t="str">
        <v/>
      </c>
      <c r="CG100" s="4" t="str">
        <v/>
      </c>
      <c r="CH100" s="4" t="str">
        <v/>
      </c>
      <c r="CI100" s="4" t="str">
        <v/>
      </c>
      <c r="CJ100" s="4" t="str">
        <v/>
      </c>
      <c r="CK100" s="4" t="str">
        <v/>
      </c>
      <c r="CL100" s="4" t="str">
        <v/>
      </c>
      <c r="CM100" s="4" t="str">
        <v/>
      </c>
      <c r="CN100" s="4" t="str">
        <v/>
      </c>
      <c r="CO100" s="4" t="str">
        <v/>
      </c>
      <c r="CP100" s="4" t="str">
        <v/>
      </c>
      <c r="CQ100" s="4" t="str">
        <v/>
      </c>
      <c r="CR100" s="4" t="str">
        <v/>
      </c>
      <c r="CS100" s="4" t="str">
        <v/>
      </c>
      <c r="CT100" s="4">
        <v>1</v>
      </c>
      <c r="CU100" s="4">
        <v>0.417093350132265</v>
      </c>
      <c r="CV100" s="4">
        <v>0.179296474812042</v>
      </c>
      <c r="CW100" s="4">
        <v>0.319032467902025</v>
      </c>
      <c r="CX100" s="4">
        <v>0.274769180687428</v>
      </c>
      <c r="CY100" s="4">
        <v>0.324783560638209</v>
      </c>
      <c r="CZ100" s="4">
        <v>0.422994176459171</v>
      </c>
      <c r="DA100" s="4">
        <v>0.138456987819178</v>
      </c>
      <c r="DB100" s="4">
        <v>0.369165644712313</v>
      </c>
      <c r="DC100" s="4">
        <v>0.336496524759457</v>
      </c>
      <c r="DD100" s="4">
        <v>0.33197901607422</v>
      </c>
      <c r="DE100" s="4">
        <v>0.155311474624584</v>
      </c>
      <c r="DF100" s="4">
        <v>0.226576793306865</v>
      </c>
      <c r="DG100" s="4">
        <v>0.0950568911369438</v>
      </c>
      <c r="DH100" s="4">
        <v>0.49366042961968</v>
      </c>
      <c r="DI100" s="4">
        <v>0.644007501265694</v>
      </c>
      <c r="DJ100" s="4">
        <v>0.706072389166487</v>
      </c>
      <c r="DK100" s="4">
        <v>0.702014639872174</v>
      </c>
      <c r="DL100" s="4">
        <v>0.722960218029622</v>
      </c>
      <c r="DM100" s="4">
        <v>0.700531004469104</v>
      </c>
      <c r="DN100" s="4">
        <v>0.649377447823798</v>
      </c>
      <c r="DO100" s="4">
        <v>0.765416955661071</v>
      </c>
      <c r="DP100" s="4">
        <v>0.72225080611039</v>
      </c>
      <c r="DQ100" s="4">
        <v>0.77787531566217</v>
      </c>
      <c r="DR100" s="4">
        <v>0.716119332085593</v>
      </c>
      <c r="DS100" s="4">
        <v>0.421840084870389</v>
      </c>
      <c r="DT100" s="4">
        <v>0.736114668719243</v>
      </c>
      <c r="DU100" s="4">
        <v>0.72357647224334</v>
      </c>
      <c r="DV100" s="4">
        <v>0.762451060333399</v>
      </c>
      <c r="DW100" s="4">
        <v>0.419163417324396</v>
      </c>
      <c r="DX100" s="4">
        <v>0.28882186623647</v>
      </c>
      <c r="DY100" s="4">
        <v>0.675145435230095</v>
      </c>
    </row>
    <row r="101" ht="14" spans="1:129">
      <c r="A101" s="31" t="s">
        <v>99</v>
      </c>
      <c r="B101" s="2" t="str">
        <v/>
      </c>
      <c r="C101" s="2" t="str">
        <v/>
      </c>
      <c r="D101" s="2" t="str">
        <v/>
      </c>
      <c r="E101" s="2" t="str">
        <v/>
      </c>
      <c r="F101" s="2" t="str">
        <v/>
      </c>
      <c r="G101" s="2" t="str">
        <v/>
      </c>
      <c r="H101" s="2" t="str">
        <v/>
      </c>
      <c r="I101" s="2" t="str">
        <v/>
      </c>
      <c r="J101" s="2" t="str">
        <v/>
      </c>
      <c r="K101" s="2" t="str">
        <v/>
      </c>
      <c r="L101" s="2" t="str">
        <v/>
      </c>
      <c r="M101" s="2" t="str">
        <v/>
      </c>
      <c r="N101" s="2" t="str">
        <v/>
      </c>
      <c r="O101" s="2" t="str">
        <v/>
      </c>
      <c r="P101" s="2" t="str">
        <v/>
      </c>
      <c r="Q101" s="2" t="str">
        <v/>
      </c>
      <c r="R101" s="2" t="str">
        <v/>
      </c>
      <c r="S101" s="2" t="str">
        <v/>
      </c>
      <c r="T101" s="2" t="str">
        <v/>
      </c>
      <c r="U101" s="2" t="str">
        <v/>
      </c>
      <c r="V101" s="2" t="str">
        <v/>
      </c>
      <c r="W101" s="2" t="str">
        <v/>
      </c>
      <c r="X101" s="2" t="str">
        <v/>
      </c>
      <c r="Y101" s="2" t="str">
        <v/>
      </c>
      <c r="Z101" s="2" t="str">
        <v/>
      </c>
      <c r="AA101" s="2" t="str">
        <v/>
      </c>
      <c r="AB101" s="2" t="str">
        <v/>
      </c>
      <c r="AC101" s="2" t="str">
        <v/>
      </c>
      <c r="AD101" s="2" t="str">
        <v/>
      </c>
      <c r="AE101" s="2" t="str">
        <v/>
      </c>
      <c r="AF101" s="2" t="str">
        <v/>
      </c>
      <c r="AG101" s="2" t="str">
        <v/>
      </c>
      <c r="AH101" s="2" t="str">
        <v/>
      </c>
      <c r="AI101" s="2" t="str">
        <v/>
      </c>
      <c r="AJ101" s="2" t="str">
        <v/>
      </c>
      <c r="AK101" s="2" t="str">
        <v/>
      </c>
      <c r="AL101" s="2" t="str">
        <v/>
      </c>
      <c r="AM101" s="2" t="str">
        <v/>
      </c>
      <c r="AN101" s="2" t="str">
        <v/>
      </c>
      <c r="AO101" s="2" t="str">
        <v/>
      </c>
      <c r="AP101" s="2" t="str">
        <v/>
      </c>
      <c r="AQ101" s="2" t="str">
        <v/>
      </c>
      <c r="AR101" s="2" t="str">
        <v/>
      </c>
      <c r="AS101" s="2" t="str">
        <v/>
      </c>
      <c r="AT101" s="2" t="str">
        <v/>
      </c>
      <c r="AU101" s="2" t="str">
        <v/>
      </c>
      <c r="AV101" s="2" t="str">
        <v/>
      </c>
      <c r="AW101" s="2" t="str">
        <v/>
      </c>
      <c r="AX101" s="2" t="str">
        <v/>
      </c>
      <c r="AY101" s="2" t="str">
        <v/>
      </c>
      <c r="AZ101" s="2" t="str">
        <v/>
      </c>
      <c r="BA101" s="2" t="str">
        <v/>
      </c>
      <c r="BB101" s="2" t="str">
        <v/>
      </c>
      <c r="BC101" s="2" t="str">
        <v/>
      </c>
      <c r="BD101" s="2" t="str">
        <v/>
      </c>
      <c r="BE101" s="2" t="str">
        <v/>
      </c>
      <c r="BF101" s="2" t="str">
        <v/>
      </c>
      <c r="BG101" s="2" t="str">
        <v/>
      </c>
      <c r="BH101" s="2" t="str">
        <v/>
      </c>
      <c r="BI101" s="2" t="str">
        <v/>
      </c>
      <c r="BJ101" s="2" t="str">
        <v/>
      </c>
      <c r="BK101" s="2" t="str">
        <v/>
      </c>
      <c r="BL101" s="2" t="str">
        <v/>
      </c>
      <c r="BM101" s="2" t="str">
        <v/>
      </c>
      <c r="BN101" s="2" t="str">
        <v/>
      </c>
      <c r="BO101" s="2" t="str">
        <v/>
      </c>
      <c r="BP101" s="4" t="str">
        <v/>
      </c>
      <c r="BQ101" s="4" t="str">
        <v/>
      </c>
      <c r="BR101" s="4" t="str">
        <v/>
      </c>
      <c r="BS101" s="4" t="str">
        <v/>
      </c>
      <c r="BT101" s="4" t="str">
        <v/>
      </c>
      <c r="BU101" s="4" t="str">
        <v/>
      </c>
      <c r="BV101" s="4" t="str">
        <v/>
      </c>
      <c r="BW101" s="4" t="str">
        <v/>
      </c>
      <c r="BX101" s="4" t="str">
        <v/>
      </c>
      <c r="BY101" s="4" t="str">
        <v/>
      </c>
      <c r="BZ101" s="4" t="str">
        <v/>
      </c>
      <c r="CA101" s="4" t="str">
        <v/>
      </c>
      <c r="CB101" s="4" t="str">
        <v/>
      </c>
      <c r="CC101" s="4" t="str">
        <v/>
      </c>
      <c r="CD101" s="4" t="str">
        <v/>
      </c>
      <c r="CE101" s="4" t="str">
        <v/>
      </c>
      <c r="CF101" s="4" t="str">
        <v/>
      </c>
      <c r="CG101" s="4" t="str">
        <v/>
      </c>
      <c r="CH101" s="4" t="str">
        <v/>
      </c>
      <c r="CI101" s="4" t="str">
        <v/>
      </c>
      <c r="CJ101" s="4" t="str">
        <v/>
      </c>
      <c r="CK101" s="4" t="str">
        <v/>
      </c>
      <c r="CL101" s="4" t="str">
        <v/>
      </c>
      <c r="CM101" s="4" t="str">
        <v/>
      </c>
      <c r="CN101" s="4" t="str">
        <v/>
      </c>
      <c r="CO101" s="4" t="str">
        <v/>
      </c>
      <c r="CP101" s="4" t="str">
        <v/>
      </c>
      <c r="CQ101" s="4" t="str">
        <v/>
      </c>
      <c r="CR101" s="4" t="str">
        <v/>
      </c>
      <c r="CS101" s="4" t="str">
        <v/>
      </c>
      <c r="CT101" s="4" t="str">
        <v/>
      </c>
      <c r="CU101" s="4">
        <v>1</v>
      </c>
      <c r="CV101" s="4">
        <v>0.15886216684051</v>
      </c>
      <c r="CW101" s="4">
        <v>0.179696859539054</v>
      </c>
      <c r="CX101" s="4">
        <v>0.360306666097764</v>
      </c>
      <c r="CY101" s="4">
        <v>0.16897306175407</v>
      </c>
      <c r="CZ101" s="4">
        <v>0.316698955702014</v>
      </c>
      <c r="DA101" s="4">
        <v>0.182113185343575</v>
      </c>
      <c r="DB101" s="4">
        <v>0.335433901378452</v>
      </c>
      <c r="DC101" s="4">
        <v>0.348062455077627</v>
      </c>
      <c r="DD101" s="4">
        <v>0.19793569895265</v>
      </c>
      <c r="DE101" s="4">
        <v>0.250368490751725</v>
      </c>
      <c r="DF101" s="4">
        <v>0.327511224694152</v>
      </c>
      <c r="DG101" s="4">
        <v>0.06053393266649</v>
      </c>
      <c r="DH101" s="4">
        <v>0.361669084247696</v>
      </c>
      <c r="DI101" s="4">
        <v>0.406794990753028</v>
      </c>
      <c r="DJ101" s="4">
        <v>0.422592732749332</v>
      </c>
      <c r="DK101" s="4">
        <v>0.32881731664276</v>
      </c>
      <c r="DL101" s="4">
        <v>0.286657082227128</v>
      </c>
      <c r="DM101" s="4">
        <v>0.353361852531116</v>
      </c>
      <c r="DN101" s="4">
        <v>0.35696334596158</v>
      </c>
      <c r="DO101" s="4">
        <v>0.260966087661818</v>
      </c>
      <c r="DP101" s="4">
        <v>0.420751245501582</v>
      </c>
      <c r="DQ101" s="4">
        <v>0.397459026266025</v>
      </c>
      <c r="DR101" s="4">
        <v>0.361521279377525</v>
      </c>
      <c r="DS101" s="4">
        <v>0.275611436650775</v>
      </c>
      <c r="DT101" s="4">
        <v>0.34070706314624</v>
      </c>
      <c r="DU101" s="4">
        <v>0.322168010788049</v>
      </c>
      <c r="DV101" s="4">
        <v>0.304108271522055</v>
      </c>
      <c r="DW101" s="4">
        <v>-0.0533006825063793</v>
      </c>
      <c r="DX101" s="4">
        <v>0.237812268377814</v>
      </c>
      <c r="DY101" s="4">
        <v>0.364373529111387</v>
      </c>
    </row>
    <row r="102" ht="14" spans="1:129">
      <c r="A102" s="31" t="s">
        <v>100</v>
      </c>
      <c r="B102" s="2" t="str">
        <v/>
      </c>
      <c r="C102" s="2" t="str">
        <v/>
      </c>
      <c r="D102" s="2" t="str">
        <v/>
      </c>
      <c r="E102" s="2" t="str">
        <v/>
      </c>
      <c r="F102" s="2" t="str">
        <v/>
      </c>
      <c r="G102" s="2" t="str">
        <v/>
      </c>
      <c r="H102" s="2" t="str">
        <v/>
      </c>
      <c r="I102" s="2" t="str">
        <v/>
      </c>
      <c r="J102" s="2" t="str">
        <v/>
      </c>
      <c r="K102" s="2" t="str">
        <v/>
      </c>
      <c r="L102" s="2" t="str">
        <v/>
      </c>
      <c r="M102" s="2" t="str">
        <v/>
      </c>
      <c r="N102" s="2" t="str">
        <v/>
      </c>
      <c r="O102" s="2" t="str">
        <v/>
      </c>
      <c r="P102" s="2" t="str">
        <v/>
      </c>
      <c r="Q102" s="2" t="str">
        <v/>
      </c>
      <c r="R102" s="2" t="str">
        <v/>
      </c>
      <c r="S102" s="2" t="str">
        <v/>
      </c>
      <c r="T102" s="2" t="str">
        <v/>
      </c>
      <c r="U102" s="2" t="str">
        <v/>
      </c>
      <c r="V102" s="2" t="str">
        <v/>
      </c>
      <c r="W102" s="2" t="str">
        <v/>
      </c>
      <c r="X102" s="2" t="str">
        <v/>
      </c>
      <c r="Y102" s="2" t="str">
        <v/>
      </c>
      <c r="Z102" s="2" t="str">
        <v/>
      </c>
      <c r="AA102" s="2" t="str">
        <v/>
      </c>
      <c r="AB102" s="2" t="str">
        <v/>
      </c>
      <c r="AC102" s="2" t="str">
        <v/>
      </c>
      <c r="AD102" s="2" t="str">
        <v/>
      </c>
      <c r="AE102" s="2" t="str">
        <v/>
      </c>
      <c r="AF102" s="2" t="str">
        <v/>
      </c>
      <c r="AG102" s="2" t="str">
        <v/>
      </c>
      <c r="AH102" s="2" t="str">
        <v/>
      </c>
      <c r="AI102" s="2" t="str">
        <v/>
      </c>
      <c r="AJ102" s="2" t="str">
        <v/>
      </c>
      <c r="AK102" s="2" t="str">
        <v/>
      </c>
      <c r="AL102" s="2" t="str">
        <v/>
      </c>
      <c r="AM102" s="2" t="str">
        <v/>
      </c>
      <c r="AN102" s="2" t="str">
        <v/>
      </c>
      <c r="AO102" s="2" t="str">
        <v/>
      </c>
      <c r="AP102" s="2" t="str">
        <v/>
      </c>
      <c r="AQ102" s="2" t="str">
        <v/>
      </c>
      <c r="AR102" s="2" t="str">
        <v/>
      </c>
      <c r="AS102" s="2" t="str">
        <v/>
      </c>
      <c r="AT102" s="2" t="str">
        <v/>
      </c>
      <c r="AU102" s="2" t="str">
        <v/>
      </c>
      <c r="AV102" s="2" t="str">
        <v/>
      </c>
      <c r="AW102" s="2" t="str">
        <v/>
      </c>
      <c r="AX102" s="2" t="str">
        <v/>
      </c>
      <c r="AY102" s="2" t="str">
        <v/>
      </c>
      <c r="AZ102" s="2" t="str">
        <v/>
      </c>
      <c r="BA102" s="2" t="str">
        <v/>
      </c>
      <c r="BB102" s="2" t="str">
        <v/>
      </c>
      <c r="BC102" s="2" t="str">
        <v/>
      </c>
      <c r="BD102" s="2" t="str">
        <v/>
      </c>
      <c r="BE102" s="2" t="str">
        <v/>
      </c>
      <c r="BF102" s="2" t="str">
        <v/>
      </c>
      <c r="BG102" s="2" t="str">
        <v/>
      </c>
      <c r="BH102" s="2" t="str">
        <v/>
      </c>
      <c r="BI102" s="2" t="str">
        <v/>
      </c>
      <c r="BJ102" s="2" t="str">
        <v/>
      </c>
      <c r="BK102" s="2" t="str">
        <v/>
      </c>
      <c r="BL102" s="2" t="str">
        <v/>
      </c>
      <c r="BM102" s="2" t="str">
        <v/>
      </c>
      <c r="BN102" s="2" t="str">
        <v/>
      </c>
      <c r="BO102" s="2" t="str">
        <v/>
      </c>
      <c r="BP102" s="4" t="str">
        <v/>
      </c>
      <c r="BQ102" s="4" t="str">
        <v/>
      </c>
      <c r="BR102" s="4" t="str">
        <v/>
      </c>
      <c r="BS102" s="4" t="str">
        <v/>
      </c>
      <c r="BT102" s="4" t="str">
        <v/>
      </c>
      <c r="BU102" s="4" t="str">
        <v/>
      </c>
      <c r="BV102" s="4" t="str">
        <v/>
      </c>
      <c r="BW102" s="4" t="str">
        <v/>
      </c>
      <c r="BX102" s="4" t="str">
        <v/>
      </c>
      <c r="BY102" s="4" t="str">
        <v/>
      </c>
      <c r="BZ102" s="4" t="str">
        <v/>
      </c>
      <c r="CA102" s="4" t="str">
        <v/>
      </c>
      <c r="CB102" s="4" t="str">
        <v/>
      </c>
      <c r="CC102" s="4" t="str">
        <v/>
      </c>
      <c r="CD102" s="4" t="str">
        <v/>
      </c>
      <c r="CE102" s="4" t="str">
        <v/>
      </c>
      <c r="CF102" s="4" t="str">
        <v/>
      </c>
      <c r="CG102" s="4" t="str">
        <v/>
      </c>
      <c r="CH102" s="4" t="str">
        <v/>
      </c>
      <c r="CI102" s="4" t="str">
        <v/>
      </c>
      <c r="CJ102" s="4" t="str">
        <v/>
      </c>
      <c r="CK102" s="4" t="str">
        <v/>
      </c>
      <c r="CL102" s="4" t="str">
        <v/>
      </c>
      <c r="CM102" s="4" t="str">
        <v/>
      </c>
      <c r="CN102" s="4" t="str">
        <v/>
      </c>
      <c r="CO102" s="4" t="str">
        <v/>
      </c>
      <c r="CP102" s="4" t="str">
        <v/>
      </c>
      <c r="CQ102" s="4" t="str">
        <v/>
      </c>
      <c r="CR102" s="4" t="str">
        <v/>
      </c>
      <c r="CS102" s="4" t="str">
        <v/>
      </c>
      <c r="CT102" s="4" t="str">
        <v/>
      </c>
      <c r="CU102" s="4" t="str">
        <v/>
      </c>
      <c r="CV102" s="4">
        <v>1</v>
      </c>
      <c r="CW102" s="4">
        <v>0.676061255092262</v>
      </c>
      <c r="CX102" s="4">
        <v>0.310543899904501</v>
      </c>
      <c r="CY102" s="4">
        <v>0.146009410098829</v>
      </c>
      <c r="CZ102" s="4">
        <v>0.217368643359188</v>
      </c>
      <c r="DA102" s="4">
        <v>0.425994332231305</v>
      </c>
      <c r="DB102" s="4">
        <v>0.310758216467641</v>
      </c>
      <c r="DC102" s="4">
        <v>0.444434479369629</v>
      </c>
      <c r="DD102" s="4">
        <v>0.020510140147604</v>
      </c>
      <c r="DE102" s="4">
        <v>0.476518168515577</v>
      </c>
      <c r="DF102" s="4">
        <v>0.450192534432611</v>
      </c>
      <c r="DG102" s="4">
        <v>0.215535919157418</v>
      </c>
      <c r="DH102" s="4">
        <v>0.401308219050363</v>
      </c>
      <c r="DI102" s="4">
        <v>0.300216624763746</v>
      </c>
      <c r="DJ102" s="4">
        <v>0.297131921106735</v>
      </c>
      <c r="DK102" s="4">
        <v>0.179744678064659</v>
      </c>
      <c r="DL102" s="4">
        <v>0.204799127577212</v>
      </c>
      <c r="DM102" s="4">
        <v>0.240533190438599</v>
      </c>
      <c r="DN102" s="4">
        <v>0.278358944266717</v>
      </c>
      <c r="DO102" s="4">
        <v>0.134493930736952</v>
      </c>
      <c r="DP102" s="4">
        <v>0.280583179737839</v>
      </c>
      <c r="DQ102" s="4">
        <v>0.116740551903025</v>
      </c>
      <c r="DR102" s="4">
        <v>0.331699277531219</v>
      </c>
      <c r="DS102" s="4">
        <v>0.313242666747907</v>
      </c>
      <c r="DT102" s="4">
        <v>0.270460139337197</v>
      </c>
      <c r="DU102" s="4">
        <v>0.294559682290924</v>
      </c>
      <c r="DV102" s="4">
        <v>0.148093663639309</v>
      </c>
      <c r="DW102" s="4">
        <v>0.172932087228897</v>
      </c>
      <c r="DX102" s="4">
        <v>0.247938752006227</v>
      </c>
      <c r="DY102" s="4">
        <v>0.399645494417818</v>
      </c>
    </row>
    <row r="103" ht="14" spans="1:129">
      <c r="A103" s="31" t="s">
        <v>101</v>
      </c>
      <c r="B103" s="2" t="str">
        <v/>
      </c>
      <c r="C103" s="2" t="str">
        <v/>
      </c>
      <c r="D103" s="2" t="str">
        <v/>
      </c>
      <c r="E103" s="2" t="str">
        <v/>
      </c>
      <c r="F103" s="2" t="str">
        <v/>
      </c>
      <c r="G103" s="2" t="str">
        <v/>
      </c>
      <c r="H103" s="2" t="str">
        <v/>
      </c>
      <c r="I103" s="2" t="str">
        <v/>
      </c>
      <c r="J103" s="2" t="str">
        <v/>
      </c>
      <c r="K103" s="2" t="str">
        <v/>
      </c>
      <c r="L103" s="2" t="str">
        <v/>
      </c>
      <c r="M103" s="2" t="str">
        <v/>
      </c>
      <c r="N103" s="2" t="str">
        <v/>
      </c>
      <c r="O103" s="2" t="str">
        <v/>
      </c>
      <c r="P103" s="2" t="str">
        <v/>
      </c>
      <c r="Q103" s="2" t="str">
        <v/>
      </c>
      <c r="R103" s="2" t="str">
        <v/>
      </c>
      <c r="S103" s="2" t="str">
        <v/>
      </c>
      <c r="T103" s="2" t="str">
        <v/>
      </c>
      <c r="U103" s="2" t="str">
        <v/>
      </c>
      <c r="V103" s="2" t="str">
        <v/>
      </c>
      <c r="W103" s="2" t="str">
        <v/>
      </c>
      <c r="X103" s="2" t="str">
        <v/>
      </c>
      <c r="Y103" s="2" t="str">
        <v/>
      </c>
      <c r="Z103" s="2" t="str">
        <v/>
      </c>
      <c r="AA103" s="2" t="str">
        <v/>
      </c>
      <c r="AB103" s="2" t="str">
        <v/>
      </c>
      <c r="AC103" s="2" t="str">
        <v/>
      </c>
      <c r="AD103" s="2" t="str">
        <v/>
      </c>
      <c r="AE103" s="2" t="str">
        <v/>
      </c>
      <c r="AF103" s="2" t="str">
        <v/>
      </c>
      <c r="AG103" s="2" t="str">
        <v/>
      </c>
      <c r="AH103" s="2" t="str">
        <v/>
      </c>
      <c r="AI103" s="2" t="str">
        <v/>
      </c>
      <c r="AJ103" s="2" t="str">
        <v/>
      </c>
      <c r="AK103" s="2" t="str">
        <v/>
      </c>
      <c r="AL103" s="2" t="str">
        <v/>
      </c>
      <c r="AM103" s="2" t="str">
        <v/>
      </c>
      <c r="AN103" s="2" t="str">
        <v/>
      </c>
      <c r="AO103" s="2" t="str">
        <v/>
      </c>
      <c r="AP103" s="2" t="str">
        <v/>
      </c>
      <c r="AQ103" s="2" t="str">
        <v/>
      </c>
      <c r="AR103" s="2" t="str">
        <v/>
      </c>
      <c r="AS103" s="2" t="str">
        <v/>
      </c>
      <c r="AT103" s="2" t="str">
        <v/>
      </c>
      <c r="AU103" s="2" t="str">
        <v/>
      </c>
      <c r="AV103" s="2" t="str">
        <v/>
      </c>
      <c r="AW103" s="2" t="str">
        <v/>
      </c>
      <c r="AX103" s="2" t="str">
        <v/>
      </c>
      <c r="AY103" s="2" t="str">
        <v/>
      </c>
      <c r="AZ103" s="2" t="str">
        <v/>
      </c>
      <c r="BA103" s="2" t="str">
        <v/>
      </c>
      <c r="BB103" s="2" t="str">
        <v/>
      </c>
      <c r="BC103" s="2" t="str">
        <v/>
      </c>
      <c r="BD103" s="2" t="str">
        <v/>
      </c>
      <c r="BE103" s="2" t="str">
        <v/>
      </c>
      <c r="BF103" s="2" t="str">
        <v/>
      </c>
      <c r="BG103" s="2" t="str">
        <v/>
      </c>
      <c r="BH103" s="2" t="str">
        <v/>
      </c>
      <c r="BI103" s="2" t="str">
        <v/>
      </c>
      <c r="BJ103" s="2" t="str">
        <v/>
      </c>
      <c r="BK103" s="2" t="str">
        <v/>
      </c>
      <c r="BL103" s="2" t="str">
        <v/>
      </c>
      <c r="BM103" s="2" t="str">
        <v/>
      </c>
      <c r="BN103" s="2" t="str">
        <v/>
      </c>
      <c r="BO103" s="2" t="str">
        <v/>
      </c>
      <c r="BP103" s="4" t="str">
        <v/>
      </c>
      <c r="BQ103" s="4" t="str">
        <v/>
      </c>
      <c r="BR103" s="4" t="str">
        <v/>
      </c>
      <c r="BS103" s="4" t="str">
        <v/>
      </c>
      <c r="BT103" s="4" t="str">
        <v/>
      </c>
      <c r="BU103" s="4" t="str">
        <v/>
      </c>
      <c r="BV103" s="4" t="str">
        <v/>
      </c>
      <c r="BW103" s="4" t="str">
        <v/>
      </c>
      <c r="BX103" s="4" t="str">
        <v/>
      </c>
      <c r="BY103" s="4" t="str">
        <v/>
      </c>
      <c r="BZ103" s="4" t="str">
        <v/>
      </c>
      <c r="CA103" s="4" t="str">
        <v/>
      </c>
      <c r="CB103" s="4" t="str">
        <v/>
      </c>
      <c r="CC103" s="4" t="str">
        <v/>
      </c>
      <c r="CD103" s="4" t="str">
        <v/>
      </c>
      <c r="CE103" s="4" t="str">
        <v/>
      </c>
      <c r="CF103" s="4" t="str">
        <v/>
      </c>
      <c r="CG103" s="4" t="str">
        <v/>
      </c>
      <c r="CH103" s="4" t="str">
        <v/>
      </c>
      <c r="CI103" s="4" t="str">
        <v/>
      </c>
      <c r="CJ103" s="4" t="str">
        <v/>
      </c>
      <c r="CK103" s="4" t="str">
        <v/>
      </c>
      <c r="CL103" s="4" t="str">
        <v/>
      </c>
      <c r="CM103" s="4" t="str">
        <v/>
      </c>
      <c r="CN103" s="4" t="str">
        <v/>
      </c>
      <c r="CO103" s="4" t="str">
        <v/>
      </c>
      <c r="CP103" s="4" t="str">
        <v/>
      </c>
      <c r="CQ103" s="4" t="str">
        <v/>
      </c>
      <c r="CR103" s="4" t="str">
        <v/>
      </c>
      <c r="CS103" s="4" t="str">
        <v/>
      </c>
      <c r="CT103" s="4" t="str">
        <v/>
      </c>
      <c r="CU103" s="4" t="str">
        <v/>
      </c>
      <c r="CV103" s="4" t="str">
        <v/>
      </c>
      <c r="CW103" s="4">
        <v>1</v>
      </c>
      <c r="CX103" s="4">
        <v>0.419001868473931</v>
      </c>
      <c r="CY103" s="4">
        <v>0.145667024472998</v>
      </c>
      <c r="CZ103" s="4">
        <v>0.225439203849569</v>
      </c>
      <c r="DA103" s="4">
        <v>0.342348094516767</v>
      </c>
      <c r="DB103" s="4">
        <v>0.324062374258712</v>
      </c>
      <c r="DC103" s="4">
        <v>0.355249661033861</v>
      </c>
      <c r="DD103" s="4">
        <v>0.0853876042651202</v>
      </c>
      <c r="DE103" s="4">
        <v>0.497195748130436</v>
      </c>
      <c r="DF103" s="4">
        <v>0.44367528222608</v>
      </c>
      <c r="DG103" s="4">
        <v>0.2404586380533</v>
      </c>
      <c r="DH103" s="4">
        <v>0.52607419650471</v>
      </c>
      <c r="DI103" s="4">
        <v>0.267282867575598</v>
      </c>
      <c r="DJ103" s="4">
        <v>0.29955146790615</v>
      </c>
      <c r="DK103" s="4">
        <v>0.214433765279396</v>
      </c>
      <c r="DL103" s="4">
        <v>0.333135580491405</v>
      </c>
      <c r="DM103" s="4">
        <v>0.324079183177466</v>
      </c>
      <c r="DN103" s="4">
        <v>0.36743287579911</v>
      </c>
      <c r="DO103" s="4">
        <v>0.219699960414606</v>
      </c>
      <c r="DP103" s="4">
        <v>0.318892631912385</v>
      </c>
      <c r="DQ103" s="4">
        <v>0.213985676066689</v>
      </c>
      <c r="DR103" s="4">
        <v>0.445868551972219</v>
      </c>
      <c r="DS103" s="4">
        <v>0.260818969877471</v>
      </c>
      <c r="DT103" s="4">
        <v>0.307319179836455</v>
      </c>
      <c r="DU103" s="4">
        <v>0.419183383214092</v>
      </c>
      <c r="DV103" s="4">
        <v>0.287222508870703</v>
      </c>
      <c r="DW103" s="4">
        <v>0.26206649632662</v>
      </c>
      <c r="DX103" s="4">
        <v>0.292765281435645</v>
      </c>
      <c r="DY103" s="4">
        <v>0.539373654167241</v>
      </c>
    </row>
    <row r="104" ht="14" spans="1:129">
      <c r="A104" s="31" t="s">
        <v>102</v>
      </c>
      <c r="B104" s="2" t="str">
        <v/>
      </c>
      <c r="C104" s="2" t="str">
        <v/>
      </c>
      <c r="D104" s="2" t="str">
        <v/>
      </c>
      <c r="E104" s="2" t="str">
        <v/>
      </c>
      <c r="F104" s="2" t="str">
        <v/>
      </c>
      <c r="G104" s="2" t="str">
        <v/>
      </c>
      <c r="H104" s="2" t="str">
        <v/>
      </c>
      <c r="I104" s="2" t="str">
        <v/>
      </c>
      <c r="J104" s="2" t="str">
        <v/>
      </c>
      <c r="K104" s="2" t="str">
        <v/>
      </c>
      <c r="L104" s="2" t="str">
        <v/>
      </c>
      <c r="M104" s="2" t="str">
        <v/>
      </c>
      <c r="N104" s="2" t="str">
        <v/>
      </c>
      <c r="O104" s="2" t="str">
        <v/>
      </c>
      <c r="P104" s="2" t="str">
        <v/>
      </c>
      <c r="Q104" s="2" t="str">
        <v/>
      </c>
      <c r="R104" s="2" t="str">
        <v/>
      </c>
      <c r="S104" s="2" t="str">
        <v/>
      </c>
      <c r="T104" s="2" t="str">
        <v/>
      </c>
      <c r="U104" s="2" t="str">
        <v/>
      </c>
      <c r="V104" s="2" t="str">
        <v/>
      </c>
      <c r="W104" s="2" t="str">
        <v/>
      </c>
      <c r="X104" s="2" t="str">
        <v/>
      </c>
      <c r="Y104" s="2" t="str">
        <v/>
      </c>
      <c r="Z104" s="2" t="str">
        <v/>
      </c>
      <c r="AA104" s="2" t="str">
        <v/>
      </c>
      <c r="AB104" s="2" t="str">
        <v/>
      </c>
      <c r="AC104" s="2" t="str">
        <v/>
      </c>
      <c r="AD104" s="2" t="str">
        <v/>
      </c>
      <c r="AE104" s="2" t="str">
        <v/>
      </c>
      <c r="AF104" s="2" t="str">
        <v/>
      </c>
      <c r="AG104" s="2" t="str">
        <v/>
      </c>
      <c r="AH104" s="2" t="str">
        <v/>
      </c>
      <c r="AI104" s="2" t="str">
        <v/>
      </c>
      <c r="AJ104" s="2" t="str">
        <v/>
      </c>
      <c r="AK104" s="2" t="str">
        <v/>
      </c>
      <c r="AL104" s="2" t="str">
        <v/>
      </c>
      <c r="AM104" s="2" t="str">
        <v/>
      </c>
      <c r="AN104" s="2" t="str">
        <v/>
      </c>
      <c r="AO104" s="2" t="str">
        <v/>
      </c>
      <c r="AP104" s="2" t="str">
        <v/>
      </c>
      <c r="AQ104" s="2" t="str">
        <v/>
      </c>
      <c r="AR104" s="2" t="str">
        <v/>
      </c>
      <c r="AS104" s="2" t="str">
        <v/>
      </c>
      <c r="AT104" s="2" t="str">
        <v/>
      </c>
      <c r="AU104" s="2" t="str">
        <v/>
      </c>
      <c r="AV104" s="2" t="str">
        <v/>
      </c>
      <c r="AW104" s="2" t="str">
        <v/>
      </c>
      <c r="AX104" s="2" t="str">
        <v/>
      </c>
      <c r="AY104" s="2" t="str">
        <v/>
      </c>
      <c r="AZ104" s="2" t="str">
        <v/>
      </c>
      <c r="BA104" s="2" t="str">
        <v/>
      </c>
      <c r="BB104" s="2" t="str">
        <v/>
      </c>
      <c r="BC104" s="2" t="str">
        <v/>
      </c>
      <c r="BD104" s="2" t="str">
        <v/>
      </c>
      <c r="BE104" s="2" t="str">
        <v/>
      </c>
      <c r="BF104" s="2" t="str">
        <v/>
      </c>
      <c r="BG104" s="2" t="str">
        <v/>
      </c>
      <c r="BH104" s="2" t="str">
        <v/>
      </c>
      <c r="BI104" s="2" t="str">
        <v/>
      </c>
      <c r="BJ104" s="2" t="str">
        <v/>
      </c>
      <c r="BK104" s="2" t="str">
        <v/>
      </c>
      <c r="BL104" s="2" t="str">
        <v/>
      </c>
      <c r="BM104" s="2" t="str">
        <v/>
      </c>
      <c r="BN104" s="2" t="str">
        <v/>
      </c>
      <c r="BO104" s="2" t="str">
        <v/>
      </c>
      <c r="BP104" s="4" t="str">
        <v/>
      </c>
      <c r="BQ104" s="4" t="str">
        <v/>
      </c>
      <c r="BR104" s="4" t="str">
        <v/>
      </c>
      <c r="BS104" s="4" t="str">
        <v/>
      </c>
      <c r="BT104" s="4" t="str">
        <v/>
      </c>
      <c r="BU104" s="4" t="str">
        <v/>
      </c>
      <c r="BV104" s="4" t="str">
        <v/>
      </c>
      <c r="BW104" s="4" t="str">
        <v/>
      </c>
      <c r="BX104" s="4" t="str">
        <v/>
      </c>
      <c r="BY104" s="4" t="str">
        <v/>
      </c>
      <c r="BZ104" s="4" t="str">
        <v/>
      </c>
      <c r="CA104" s="4" t="str">
        <v/>
      </c>
      <c r="CB104" s="4" t="str">
        <v/>
      </c>
      <c r="CC104" s="4" t="str">
        <v/>
      </c>
      <c r="CD104" s="4" t="str">
        <v/>
      </c>
      <c r="CE104" s="4" t="str">
        <v/>
      </c>
      <c r="CF104" s="4" t="str">
        <v/>
      </c>
      <c r="CG104" s="4" t="str">
        <v/>
      </c>
      <c r="CH104" s="4" t="str">
        <v/>
      </c>
      <c r="CI104" s="4" t="str">
        <v/>
      </c>
      <c r="CJ104" s="4" t="str">
        <v/>
      </c>
      <c r="CK104" s="4" t="str">
        <v/>
      </c>
      <c r="CL104" s="4" t="str">
        <v/>
      </c>
      <c r="CM104" s="4" t="str">
        <v/>
      </c>
      <c r="CN104" s="4" t="str">
        <v/>
      </c>
      <c r="CO104" s="4" t="str">
        <v/>
      </c>
      <c r="CP104" s="4" t="str">
        <v/>
      </c>
      <c r="CQ104" s="4" t="str">
        <v/>
      </c>
      <c r="CR104" s="4" t="str">
        <v/>
      </c>
      <c r="CS104" s="4" t="str">
        <v/>
      </c>
      <c r="CT104" s="4" t="str">
        <v/>
      </c>
      <c r="CU104" s="4" t="str">
        <v/>
      </c>
      <c r="CV104" s="4" t="str">
        <v/>
      </c>
      <c r="CW104" s="4" t="str">
        <v/>
      </c>
      <c r="CX104" s="4">
        <v>1</v>
      </c>
      <c r="CY104" s="4">
        <v>0.234754510623949</v>
      </c>
      <c r="CZ104" s="4">
        <v>0.205426641607703</v>
      </c>
      <c r="DA104" s="4">
        <v>0.22742335529053</v>
      </c>
      <c r="DB104" s="4">
        <v>0.248168103167145</v>
      </c>
      <c r="DC104" s="4">
        <v>0.251132598780059</v>
      </c>
      <c r="DD104" s="4">
        <v>0.10434667262032</v>
      </c>
      <c r="DE104" s="4">
        <v>0.41256698561315</v>
      </c>
      <c r="DF104" s="4">
        <v>0.364753996070664</v>
      </c>
      <c r="DG104" s="4">
        <v>0.152806802751398</v>
      </c>
      <c r="DH104" s="4">
        <v>0.322622371294461</v>
      </c>
      <c r="DI104" s="4">
        <v>0.402343562118785</v>
      </c>
      <c r="DJ104" s="4">
        <v>0.377377894325869</v>
      </c>
      <c r="DK104" s="4">
        <v>0.319335247119138</v>
      </c>
      <c r="DL104" s="4">
        <v>0.271016258851293</v>
      </c>
      <c r="DM104" s="4">
        <v>0.298320691009199</v>
      </c>
      <c r="DN104" s="4">
        <v>0.376076545515991</v>
      </c>
      <c r="DO104" s="4">
        <v>0.244384914612037</v>
      </c>
      <c r="DP104" s="4">
        <v>0.371582295992712</v>
      </c>
      <c r="DQ104" s="4">
        <v>0.245130996894204</v>
      </c>
      <c r="DR104" s="4">
        <v>0.36312730169048</v>
      </c>
      <c r="DS104" s="4">
        <v>0.432438586965412</v>
      </c>
      <c r="DT104" s="4">
        <v>0.282214036050206</v>
      </c>
      <c r="DU104" s="4">
        <v>0.347447602188104</v>
      </c>
      <c r="DV104" s="4">
        <v>0.285327901473089</v>
      </c>
      <c r="DW104" s="4">
        <v>0.0819940212008466</v>
      </c>
      <c r="DX104" s="4">
        <v>0.144857710349945</v>
      </c>
      <c r="DY104" s="4">
        <v>0.302631428458143</v>
      </c>
    </row>
    <row r="105" ht="14" spans="1:129">
      <c r="A105" s="31" t="s">
        <v>103</v>
      </c>
      <c r="B105" s="2" t="str">
        <v/>
      </c>
      <c r="C105" s="2" t="str">
        <v/>
      </c>
      <c r="D105" s="2" t="str">
        <v/>
      </c>
      <c r="E105" s="2" t="str">
        <v/>
      </c>
      <c r="F105" s="2" t="str">
        <v/>
      </c>
      <c r="G105" s="2" t="str">
        <v/>
      </c>
      <c r="H105" s="2" t="str">
        <v/>
      </c>
      <c r="I105" s="2" t="str">
        <v/>
      </c>
      <c r="J105" s="2" t="str">
        <v/>
      </c>
      <c r="K105" s="2" t="str">
        <v/>
      </c>
      <c r="L105" s="2" t="str">
        <v/>
      </c>
      <c r="M105" s="2" t="str">
        <v/>
      </c>
      <c r="N105" s="2" t="str">
        <v/>
      </c>
      <c r="O105" s="2" t="str">
        <v/>
      </c>
      <c r="P105" s="2" t="str">
        <v/>
      </c>
      <c r="Q105" s="2" t="str">
        <v/>
      </c>
      <c r="R105" s="2" t="str">
        <v/>
      </c>
      <c r="S105" s="2" t="str">
        <v/>
      </c>
      <c r="T105" s="2" t="str">
        <v/>
      </c>
      <c r="U105" s="2" t="str">
        <v/>
      </c>
      <c r="V105" s="2" t="str">
        <v/>
      </c>
      <c r="W105" s="2" t="str">
        <v/>
      </c>
      <c r="X105" s="2" t="str">
        <v/>
      </c>
      <c r="Y105" s="2" t="str">
        <v/>
      </c>
      <c r="Z105" s="2" t="str">
        <v/>
      </c>
      <c r="AA105" s="2" t="str">
        <v/>
      </c>
      <c r="AB105" s="2" t="str">
        <v/>
      </c>
      <c r="AC105" s="2" t="str">
        <v/>
      </c>
      <c r="AD105" s="2" t="str">
        <v/>
      </c>
      <c r="AE105" s="2" t="str">
        <v/>
      </c>
      <c r="AF105" s="2" t="str">
        <v/>
      </c>
      <c r="AG105" s="2" t="str">
        <v/>
      </c>
      <c r="AH105" s="2" t="str">
        <v/>
      </c>
      <c r="AI105" s="2" t="str">
        <v/>
      </c>
      <c r="AJ105" s="2" t="str">
        <v/>
      </c>
      <c r="AK105" s="2" t="str">
        <v/>
      </c>
      <c r="AL105" s="2" t="str">
        <v/>
      </c>
      <c r="AM105" s="2" t="str">
        <v/>
      </c>
      <c r="AN105" s="2" t="str">
        <v/>
      </c>
      <c r="AO105" s="2" t="str">
        <v/>
      </c>
      <c r="AP105" s="2" t="str">
        <v/>
      </c>
      <c r="AQ105" s="2" t="str">
        <v/>
      </c>
      <c r="AR105" s="2" t="str">
        <v/>
      </c>
      <c r="AS105" s="2" t="str">
        <v/>
      </c>
      <c r="AT105" s="2" t="str">
        <v/>
      </c>
      <c r="AU105" s="2" t="str">
        <v/>
      </c>
      <c r="AV105" s="2" t="str">
        <v/>
      </c>
      <c r="AW105" s="2" t="str">
        <v/>
      </c>
      <c r="AX105" s="2" t="str">
        <v/>
      </c>
      <c r="AY105" s="2" t="str">
        <v/>
      </c>
      <c r="AZ105" s="2" t="str">
        <v/>
      </c>
      <c r="BA105" s="2" t="str">
        <v/>
      </c>
      <c r="BB105" s="2" t="str">
        <v/>
      </c>
      <c r="BC105" s="2" t="str">
        <v/>
      </c>
      <c r="BD105" s="2" t="str">
        <v/>
      </c>
      <c r="BE105" s="2" t="str">
        <v/>
      </c>
      <c r="BF105" s="2" t="str">
        <v/>
      </c>
      <c r="BG105" s="2" t="str">
        <v/>
      </c>
      <c r="BH105" s="2" t="str">
        <v/>
      </c>
      <c r="BI105" s="2" t="str">
        <v/>
      </c>
      <c r="BJ105" s="2" t="str">
        <v/>
      </c>
      <c r="BK105" s="2" t="str">
        <v/>
      </c>
      <c r="BL105" s="2" t="str">
        <v/>
      </c>
      <c r="BM105" s="2" t="str">
        <v/>
      </c>
      <c r="BN105" s="2" t="str">
        <v/>
      </c>
      <c r="BO105" s="2" t="str">
        <v/>
      </c>
      <c r="BP105" s="4" t="str">
        <v/>
      </c>
      <c r="BQ105" s="4" t="str">
        <v/>
      </c>
      <c r="BR105" s="4" t="str">
        <v/>
      </c>
      <c r="BS105" s="4" t="str">
        <v/>
      </c>
      <c r="BT105" s="4" t="str">
        <v/>
      </c>
      <c r="BU105" s="4" t="str">
        <v/>
      </c>
      <c r="BV105" s="4" t="str">
        <v/>
      </c>
      <c r="BW105" s="4" t="str">
        <v/>
      </c>
      <c r="BX105" s="4" t="str">
        <v/>
      </c>
      <c r="BY105" s="4" t="str">
        <v/>
      </c>
      <c r="BZ105" s="4" t="str">
        <v/>
      </c>
      <c r="CA105" s="4" t="str">
        <v/>
      </c>
      <c r="CB105" s="4" t="str">
        <v/>
      </c>
      <c r="CC105" s="4" t="str">
        <v/>
      </c>
      <c r="CD105" s="4" t="str">
        <v/>
      </c>
      <c r="CE105" s="4" t="str">
        <v/>
      </c>
      <c r="CF105" s="4" t="str">
        <v/>
      </c>
      <c r="CG105" s="4" t="str">
        <v/>
      </c>
      <c r="CH105" s="4" t="str">
        <v/>
      </c>
      <c r="CI105" s="4" t="str">
        <v/>
      </c>
      <c r="CJ105" s="4" t="str">
        <v/>
      </c>
      <c r="CK105" s="4" t="str">
        <v/>
      </c>
      <c r="CL105" s="4" t="str">
        <v/>
      </c>
      <c r="CM105" s="4" t="str">
        <v/>
      </c>
      <c r="CN105" s="4" t="str">
        <v/>
      </c>
      <c r="CO105" s="4" t="str">
        <v/>
      </c>
      <c r="CP105" s="4" t="str">
        <v/>
      </c>
      <c r="CQ105" s="4" t="str">
        <v/>
      </c>
      <c r="CR105" s="4" t="str">
        <v/>
      </c>
      <c r="CS105" s="4" t="str">
        <v/>
      </c>
      <c r="CT105" s="4" t="str">
        <v/>
      </c>
      <c r="CU105" s="4" t="str">
        <v/>
      </c>
      <c r="CV105" s="4" t="str">
        <v/>
      </c>
      <c r="CW105" s="4" t="str">
        <v/>
      </c>
      <c r="CX105" s="4" t="str">
        <v/>
      </c>
      <c r="CY105" s="4">
        <v>1</v>
      </c>
      <c r="CZ105" s="4">
        <v>0.204583941126404</v>
      </c>
      <c r="DA105" s="4">
        <v>0.202248704925188</v>
      </c>
      <c r="DB105" s="4">
        <v>0.291642968276152</v>
      </c>
      <c r="DC105" s="4">
        <v>0.0987797193424068</v>
      </c>
      <c r="DD105" s="4">
        <v>0.107586900556455</v>
      </c>
      <c r="DE105" s="4">
        <v>0.14758950359139</v>
      </c>
      <c r="DF105" s="4">
        <v>0.430579385680785</v>
      </c>
      <c r="DG105" s="4">
        <v>0.107433407763522</v>
      </c>
      <c r="DH105" s="4">
        <v>0.295952314907324</v>
      </c>
      <c r="DI105" s="4">
        <v>0.417641157561357</v>
      </c>
      <c r="DJ105" s="4">
        <v>0.251908513330075</v>
      </c>
      <c r="DK105" s="4">
        <v>0.31630209532993</v>
      </c>
      <c r="DL105" s="4">
        <v>0.319523375100223</v>
      </c>
      <c r="DM105" s="4">
        <v>0.319021124075745</v>
      </c>
      <c r="DN105" s="4">
        <v>0.346934731563194</v>
      </c>
      <c r="DO105" s="4">
        <v>0.372479649647502</v>
      </c>
      <c r="DP105" s="4">
        <v>0.37808990862015</v>
      </c>
      <c r="DQ105" s="4">
        <v>0.293073215522026</v>
      </c>
      <c r="DR105" s="4">
        <v>0.400491756521879</v>
      </c>
      <c r="DS105" s="4">
        <v>0.416006394052363</v>
      </c>
      <c r="DT105" s="4">
        <v>0.321591914951843</v>
      </c>
      <c r="DU105" s="4">
        <v>0.419856072520983</v>
      </c>
      <c r="DV105" s="4">
        <v>0.364320307991966</v>
      </c>
      <c r="DW105" s="4">
        <v>0.192215751810312</v>
      </c>
      <c r="DX105" s="4">
        <v>0.243566537752742</v>
      </c>
      <c r="DY105" s="4">
        <v>0.388232929822371</v>
      </c>
    </row>
    <row r="106" ht="14" spans="1:129">
      <c r="A106" s="31" t="s">
        <v>104</v>
      </c>
      <c r="B106" s="2" t="str">
        <v/>
      </c>
      <c r="C106" s="2" t="str">
        <v/>
      </c>
      <c r="D106" s="2" t="str">
        <v/>
      </c>
      <c r="E106" s="2" t="str">
        <v/>
      </c>
      <c r="F106" s="2" t="str">
        <v/>
      </c>
      <c r="G106" s="2" t="str">
        <v/>
      </c>
      <c r="H106" s="2" t="str">
        <v/>
      </c>
      <c r="I106" s="2" t="str">
        <v/>
      </c>
      <c r="J106" s="2" t="str">
        <v/>
      </c>
      <c r="K106" s="2" t="str">
        <v/>
      </c>
      <c r="L106" s="2" t="str">
        <v/>
      </c>
      <c r="M106" s="2" t="str">
        <v/>
      </c>
      <c r="N106" s="2" t="str">
        <v/>
      </c>
      <c r="O106" s="2" t="str">
        <v/>
      </c>
      <c r="P106" s="2" t="str">
        <v/>
      </c>
      <c r="Q106" s="2" t="str">
        <v/>
      </c>
      <c r="R106" s="2" t="str">
        <v/>
      </c>
      <c r="S106" s="2" t="str">
        <v/>
      </c>
      <c r="T106" s="2" t="str">
        <v/>
      </c>
      <c r="U106" s="2" t="str">
        <v/>
      </c>
      <c r="V106" s="2" t="str">
        <v/>
      </c>
      <c r="W106" s="2" t="str">
        <v/>
      </c>
      <c r="X106" s="2" t="str">
        <v/>
      </c>
      <c r="Y106" s="2" t="str">
        <v/>
      </c>
      <c r="Z106" s="2" t="str">
        <v/>
      </c>
      <c r="AA106" s="2" t="str">
        <v/>
      </c>
      <c r="AB106" s="2" t="str">
        <v/>
      </c>
      <c r="AC106" s="2" t="str">
        <v/>
      </c>
      <c r="AD106" s="2" t="str">
        <v/>
      </c>
      <c r="AE106" s="2" t="str">
        <v/>
      </c>
      <c r="AF106" s="2" t="str">
        <v/>
      </c>
      <c r="AG106" s="2" t="str">
        <v/>
      </c>
      <c r="AH106" s="2" t="str">
        <v/>
      </c>
      <c r="AI106" s="2" t="str">
        <v/>
      </c>
      <c r="AJ106" s="2" t="str">
        <v/>
      </c>
      <c r="AK106" s="2" t="str">
        <v/>
      </c>
      <c r="AL106" s="2" t="str">
        <v/>
      </c>
      <c r="AM106" s="2" t="str">
        <v/>
      </c>
      <c r="AN106" s="2" t="str">
        <v/>
      </c>
      <c r="AO106" s="2" t="str">
        <v/>
      </c>
      <c r="AP106" s="2" t="str">
        <v/>
      </c>
      <c r="AQ106" s="2" t="str">
        <v/>
      </c>
      <c r="AR106" s="2" t="str">
        <v/>
      </c>
      <c r="AS106" s="2" t="str">
        <v/>
      </c>
      <c r="AT106" s="2" t="str">
        <v/>
      </c>
      <c r="AU106" s="2" t="str">
        <v/>
      </c>
      <c r="AV106" s="2" t="str">
        <v/>
      </c>
      <c r="AW106" s="2" t="str">
        <v/>
      </c>
      <c r="AX106" s="2" t="str">
        <v/>
      </c>
      <c r="AY106" s="2" t="str">
        <v/>
      </c>
      <c r="AZ106" s="2" t="str">
        <v/>
      </c>
      <c r="BA106" s="2" t="str">
        <v/>
      </c>
      <c r="BB106" s="2" t="str">
        <v/>
      </c>
      <c r="BC106" s="2" t="str">
        <v/>
      </c>
      <c r="BD106" s="2" t="str">
        <v/>
      </c>
      <c r="BE106" s="2" t="str">
        <v/>
      </c>
      <c r="BF106" s="2" t="str">
        <v/>
      </c>
      <c r="BG106" s="2" t="str">
        <v/>
      </c>
      <c r="BH106" s="2" t="str">
        <v/>
      </c>
      <c r="BI106" s="2" t="str">
        <v/>
      </c>
      <c r="BJ106" s="2" t="str">
        <v/>
      </c>
      <c r="BK106" s="2" t="str">
        <v/>
      </c>
      <c r="BL106" s="2" t="str">
        <v/>
      </c>
      <c r="BM106" s="2" t="str">
        <v/>
      </c>
      <c r="BN106" s="2" t="str">
        <v/>
      </c>
      <c r="BO106" s="2" t="str">
        <v/>
      </c>
      <c r="BP106" s="4" t="str">
        <v/>
      </c>
      <c r="BQ106" s="4" t="str">
        <v/>
      </c>
      <c r="BR106" s="4" t="str">
        <v/>
      </c>
      <c r="BS106" s="4" t="str">
        <v/>
      </c>
      <c r="BT106" s="4" t="str">
        <v/>
      </c>
      <c r="BU106" s="4" t="str">
        <v/>
      </c>
      <c r="BV106" s="4" t="str">
        <v/>
      </c>
      <c r="BW106" s="4" t="str">
        <v/>
      </c>
      <c r="BX106" s="4" t="str">
        <v/>
      </c>
      <c r="BY106" s="4" t="str">
        <v/>
      </c>
      <c r="BZ106" s="4" t="str">
        <v/>
      </c>
      <c r="CA106" s="4" t="str">
        <v/>
      </c>
      <c r="CB106" s="4" t="str">
        <v/>
      </c>
      <c r="CC106" s="4" t="str">
        <v/>
      </c>
      <c r="CD106" s="4" t="str">
        <v/>
      </c>
      <c r="CE106" s="4" t="str">
        <v/>
      </c>
      <c r="CF106" s="4" t="str">
        <v/>
      </c>
      <c r="CG106" s="4" t="str">
        <v/>
      </c>
      <c r="CH106" s="4" t="str">
        <v/>
      </c>
      <c r="CI106" s="4" t="str">
        <v/>
      </c>
      <c r="CJ106" s="4" t="str">
        <v/>
      </c>
      <c r="CK106" s="4" t="str">
        <v/>
      </c>
      <c r="CL106" s="4" t="str">
        <v/>
      </c>
      <c r="CM106" s="4" t="str">
        <v/>
      </c>
      <c r="CN106" s="4" t="str">
        <v/>
      </c>
      <c r="CO106" s="4" t="str">
        <v/>
      </c>
      <c r="CP106" s="4" t="str">
        <v/>
      </c>
      <c r="CQ106" s="4" t="str">
        <v/>
      </c>
      <c r="CR106" s="4" t="str">
        <v/>
      </c>
      <c r="CS106" s="4" t="str">
        <v/>
      </c>
      <c r="CT106" s="4" t="str">
        <v/>
      </c>
      <c r="CU106" s="4" t="str">
        <v/>
      </c>
      <c r="CV106" s="4" t="str">
        <v/>
      </c>
      <c r="CW106" s="4" t="str">
        <v/>
      </c>
      <c r="CX106" s="4" t="str">
        <v/>
      </c>
      <c r="CY106" s="4" t="str">
        <v/>
      </c>
      <c r="CZ106" s="4">
        <v>1</v>
      </c>
      <c r="DA106" s="4">
        <v>0.284438639120241</v>
      </c>
      <c r="DB106" s="4">
        <v>0.367165191955014</v>
      </c>
      <c r="DC106" s="4">
        <v>0.146010153292733</v>
      </c>
      <c r="DD106" s="4">
        <v>0.184410872138927</v>
      </c>
      <c r="DE106" s="4">
        <v>0.270496621686775</v>
      </c>
      <c r="DF106" s="4">
        <v>0.233911272614954</v>
      </c>
      <c r="DG106" s="4">
        <v>0.362198175302601</v>
      </c>
      <c r="DH106" s="4">
        <v>0.310567814361939</v>
      </c>
      <c r="DI106" s="4">
        <v>0.461571438928242</v>
      </c>
      <c r="DJ106" s="4">
        <v>0.398242131755292</v>
      </c>
      <c r="DK106" s="4">
        <v>0.492144361631737</v>
      </c>
      <c r="DL106" s="4">
        <v>0.458850555672262</v>
      </c>
      <c r="DM106" s="4">
        <v>0.442022585767718</v>
      </c>
      <c r="DN106" s="4">
        <v>0.428794788614764</v>
      </c>
      <c r="DO106" s="4">
        <v>0.460251283968573</v>
      </c>
      <c r="DP106" s="4">
        <v>0.547828405274517</v>
      </c>
      <c r="DQ106" s="4">
        <v>0.498189944384854</v>
      </c>
      <c r="DR106" s="4">
        <v>0.494718389235859</v>
      </c>
      <c r="DS106" s="4">
        <v>0.358899800590821</v>
      </c>
      <c r="DT106" s="4">
        <v>0.400801378183208</v>
      </c>
      <c r="DU106" s="4">
        <v>0.408396560946516</v>
      </c>
      <c r="DV106" s="4">
        <v>0.564325832356121</v>
      </c>
      <c r="DW106" s="4">
        <v>0.324590084966886</v>
      </c>
      <c r="DX106" s="4">
        <v>0.406349574845719</v>
      </c>
      <c r="DY106" s="4">
        <v>0.314324564211109</v>
      </c>
    </row>
    <row r="107" ht="14" spans="1:129">
      <c r="A107" s="31" t="s">
        <v>105</v>
      </c>
      <c r="B107" s="2" t="str">
        <v/>
      </c>
      <c r="C107" s="2" t="str">
        <v/>
      </c>
      <c r="D107" s="2" t="str">
        <v/>
      </c>
      <c r="E107" s="2" t="str">
        <v/>
      </c>
      <c r="F107" s="2" t="str">
        <v/>
      </c>
      <c r="G107" s="2" t="str">
        <v/>
      </c>
      <c r="H107" s="2" t="str">
        <v/>
      </c>
      <c r="I107" s="2" t="str">
        <v/>
      </c>
      <c r="J107" s="2" t="str">
        <v/>
      </c>
      <c r="K107" s="2" t="str">
        <v/>
      </c>
      <c r="L107" s="2" t="str">
        <v/>
      </c>
      <c r="M107" s="2" t="str">
        <v/>
      </c>
      <c r="N107" s="2" t="str">
        <v/>
      </c>
      <c r="O107" s="2" t="str">
        <v/>
      </c>
      <c r="P107" s="2" t="str">
        <v/>
      </c>
      <c r="Q107" s="2" t="str">
        <v/>
      </c>
      <c r="R107" s="2" t="str">
        <v/>
      </c>
      <c r="S107" s="2" t="str">
        <v/>
      </c>
      <c r="T107" s="2" t="str">
        <v/>
      </c>
      <c r="U107" s="2" t="str">
        <v/>
      </c>
      <c r="V107" s="2" t="str">
        <v/>
      </c>
      <c r="W107" s="2" t="str">
        <v/>
      </c>
      <c r="X107" s="2" t="str">
        <v/>
      </c>
      <c r="Y107" s="2" t="str">
        <v/>
      </c>
      <c r="Z107" s="2" t="str">
        <v/>
      </c>
      <c r="AA107" s="2" t="str">
        <v/>
      </c>
      <c r="AB107" s="2" t="str">
        <v/>
      </c>
      <c r="AC107" s="2" t="str">
        <v/>
      </c>
      <c r="AD107" s="2" t="str">
        <v/>
      </c>
      <c r="AE107" s="2" t="str">
        <v/>
      </c>
      <c r="AF107" s="2" t="str">
        <v/>
      </c>
      <c r="AG107" s="2" t="str">
        <v/>
      </c>
      <c r="AH107" s="2" t="str">
        <v/>
      </c>
      <c r="AI107" s="2" t="str">
        <v/>
      </c>
      <c r="AJ107" s="2" t="str">
        <v/>
      </c>
      <c r="AK107" s="2" t="str">
        <v/>
      </c>
      <c r="AL107" s="2" t="str">
        <v/>
      </c>
      <c r="AM107" s="2" t="str">
        <v/>
      </c>
      <c r="AN107" s="2" t="str">
        <v/>
      </c>
      <c r="AO107" s="2" t="str">
        <v/>
      </c>
      <c r="AP107" s="2" t="str">
        <v/>
      </c>
      <c r="AQ107" s="2" t="str">
        <v/>
      </c>
      <c r="AR107" s="2" t="str">
        <v/>
      </c>
      <c r="AS107" s="2" t="str">
        <v/>
      </c>
      <c r="AT107" s="2" t="str">
        <v/>
      </c>
      <c r="AU107" s="2" t="str">
        <v/>
      </c>
      <c r="AV107" s="2" t="str">
        <v/>
      </c>
      <c r="AW107" s="2" t="str">
        <v/>
      </c>
      <c r="AX107" s="2" t="str">
        <v/>
      </c>
      <c r="AY107" s="2" t="str">
        <v/>
      </c>
      <c r="AZ107" s="2" t="str">
        <v/>
      </c>
      <c r="BA107" s="2" t="str">
        <v/>
      </c>
      <c r="BB107" s="2" t="str">
        <v/>
      </c>
      <c r="BC107" s="2" t="str">
        <v/>
      </c>
      <c r="BD107" s="2" t="str">
        <v/>
      </c>
      <c r="BE107" s="2" t="str">
        <v/>
      </c>
      <c r="BF107" s="2" t="str">
        <v/>
      </c>
      <c r="BG107" s="2" t="str">
        <v/>
      </c>
      <c r="BH107" s="2" t="str">
        <v/>
      </c>
      <c r="BI107" s="2" t="str">
        <v/>
      </c>
      <c r="BJ107" s="2" t="str">
        <v/>
      </c>
      <c r="BK107" s="2" t="str">
        <v/>
      </c>
      <c r="BL107" s="2" t="str">
        <v/>
      </c>
      <c r="BM107" s="2" t="str">
        <v/>
      </c>
      <c r="BN107" s="2" t="str">
        <v/>
      </c>
      <c r="BO107" s="2" t="str">
        <v/>
      </c>
      <c r="BP107" s="4" t="str">
        <v/>
      </c>
      <c r="BQ107" s="4" t="str">
        <v/>
      </c>
      <c r="BR107" s="4" t="str">
        <v/>
      </c>
      <c r="BS107" s="4" t="str">
        <v/>
      </c>
      <c r="BT107" s="4" t="str">
        <v/>
      </c>
      <c r="BU107" s="4" t="str">
        <v/>
      </c>
      <c r="BV107" s="4" t="str">
        <v/>
      </c>
      <c r="BW107" s="4" t="str">
        <v/>
      </c>
      <c r="BX107" s="4" t="str">
        <v/>
      </c>
      <c r="BY107" s="4" t="str">
        <v/>
      </c>
      <c r="BZ107" s="4" t="str">
        <v/>
      </c>
      <c r="CA107" s="4" t="str">
        <v/>
      </c>
      <c r="CB107" s="4" t="str">
        <v/>
      </c>
      <c r="CC107" s="4" t="str">
        <v/>
      </c>
      <c r="CD107" s="4" t="str">
        <v/>
      </c>
      <c r="CE107" s="4" t="str">
        <v/>
      </c>
      <c r="CF107" s="4" t="str">
        <v/>
      </c>
      <c r="CG107" s="4" t="str">
        <v/>
      </c>
      <c r="CH107" s="4" t="str">
        <v/>
      </c>
      <c r="CI107" s="4" t="str">
        <v/>
      </c>
      <c r="CJ107" s="4" t="str">
        <v/>
      </c>
      <c r="CK107" s="4" t="str">
        <v/>
      </c>
      <c r="CL107" s="4" t="str">
        <v/>
      </c>
      <c r="CM107" s="4" t="str">
        <v/>
      </c>
      <c r="CN107" s="4" t="str">
        <v/>
      </c>
      <c r="CO107" s="4" t="str">
        <v/>
      </c>
      <c r="CP107" s="4" t="str">
        <v/>
      </c>
      <c r="CQ107" s="4" t="str">
        <v/>
      </c>
      <c r="CR107" s="4" t="str">
        <v/>
      </c>
      <c r="CS107" s="4" t="str">
        <v/>
      </c>
      <c r="CT107" s="4" t="str">
        <v/>
      </c>
      <c r="CU107" s="4" t="str">
        <v/>
      </c>
      <c r="CV107" s="4" t="str">
        <v/>
      </c>
      <c r="CW107" s="4" t="str">
        <v/>
      </c>
      <c r="CX107" s="4" t="str">
        <v/>
      </c>
      <c r="CY107" s="4" t="str">
        <v/>
      </c>
      <c r="CZ107" s="4" t="str">
        <v/>
      </c>
      <c r="DA107" s="4">
        <v>1</v>
      </c>
      <c r="DB107" s="4">
        <v>0.416285170616829</v>
      </c>
      <c r="DC107" s="4">
        <v>0.352628972517422</v>
      </c>
      <c r="DD107" s="4">
        <v>0.0449647147076032</v>
      </c>
      <c r="DE107" s="4">
        <v>0.468066120875452</v>
      </c>
      <c r="DF107" s="4">
        <v>0.468962568264428</v>
      </c>
      <c r="DG107" s="4">
        <v>0.328806313466998</v>
      </c>
      <c r="DH107" s="4">
        <v>0.380321898333796</v>
      </c>
      <c r="DI107" s="4">
        <v>0.359593334184463</v>
      </c>
      <c r="DJ107" s="4">
        <v>0.318229666327975</v>
      </c>
      <c r="DK107" s="4">
        <v>0.348261555874793</v>
      </c>
      <c r="DL107" s="4">
        <v>0.322052394572229</v>
      </c>
      <c r="DM107" s="4">
        <v>0.409141958457102</v>
      </c>
      <c r="DN107" s="4">
        <v>0.33518275058663</v>
      </c>
      <c r="DO107" s="4">
        <v>0.215257374273757</v>
      </c>
      <c r="DP107" s="4">
        <v>0.358806082803177</v>
      </c>
      <c r="DQ107" s="4">
        <v>0.258260326722396</v>
      </c>
      <c r="DR107" s="4">
        <v>0.371766797031981</v>
      </c>
      <c r="DS107" s="4">
        <v>0.487660798224272</v>
      </c>
      <c r="DT107" s="4">
        <v>0.296817830003828</v>
      </c>
      <c r="DU107" s="4">
        <v>0.340954079845882</v>
      </c>
      <c r="DV107" s="4">
        <v>0.24846157225039</v>
      </c>
      <c r="DW107" s="4">
        <v>0.072031200244909</v>
      </c>
      <c r="DX107" s="4">
        <v>0.0333929342695777</v>
      </c>
      <c r="DY107" s="4">
        <v>0.336126992105117</v>
      </c>
    </row>
    <row r="108" ht="14" spans="1:129">
      <c r="A108" s="31" t="s">
        <v>106</v>
      </c>
      <c r="B108" s="2" t="str">
        <v/>
      </c>
      <c r="C108" s="2" t="str">
        <v/>
      </c>
      <c r="D108" s="2" t="str">
        <v/>
      </c>
      <c r="E108" s="2" t="str">
        <v/>
      </c>
      <c r="F108" s="2" t="str">
        <v/>
      </c>
      <c r="G108" s="2" t="str">
        <v/>
      </c>
      <c r="H108" s="2" t="str">
        <v/>
      </c>
      <c r="I108" s="2" t="str">
        <v/>
      </c>
      <c r="J108" s="2" t="str">
        <v/>
      </c>
      <c r="K108" s="2" t="str">
        <v/>
      </c>
      <c r="L108" s="2" t="str">
        <v/>
      </c>
      <c r="M108" s="2" t="str">
        <v/>
      </c>
      <c r="N108" s="2" t="str">
        <v/>
      </c>
      <c r="O108" s="2" t="str">
        <v/>
      </c>
      <c r="P108" s="2" t="str">
        <v/>
      </c>
      <c r="Q108" s="2" t="str">
        <v/>
      </c>
      <c r="R108" s="2" t="str">
        <v/>
      </c>
      <c r="S108" s="2" t="str">
        <v/>
      </c>
      <c r="T108" s="2" t="str">
        <v/>
      </c>
      <c r="U108" s="2" t="str">
        <v/>
      </c>
      <c r="V108" s="2" t="str">
        <v/>
      </c>
      <c r="W108" s="2" t="str">
        <v/>
      </c>
      <c r="X108" s="2" t="str">
        <v/>
      </c>
      <c r="Y108" s="2" t="str">
        <v/>
      </c>
      <c r="Z108" s="2" t="str">
        <v/>
      </c>
      <c r="AA108" s="2" t="str">
        <v/>
      </c>
      <c r="AB108" s="2" t="str">
        <v/>
      </c>
      <c r="AC108" s="2" t="str">
        <v/>
      </c>
      <c r="AD108" s="2" t="str">
        <v/>
      </c>
      <c r="AE108" s="2" t="str">
        <v/>
      </c>
      <c r="AF108" s="2" t="str">
        <v/>
      </c>
      <c r="AG108" s="2" t="str">
        <v/>
      </c>
      <c r="AH108" s="2" t="str">
        <v/>
      </c>
      <c r="AI108" s="2" t="str">
        <v/>
      </c>
      <c r="AJ108" s="2" t="str">
        <v/>
      </c>
      <c r="AK108" s="2" t="str">
        <v/>
      </c>
      <c r="AL108" s="2" t="str">
        <v/>
      </c>
      <c r="AM108" s="2" t="str">
        <v/>
      </c>
      <c r="AN108" s="2" t="str">
        <v/>
      </c>
      <c r="AO108" s="2" t="str">
        <v/>
      </c>
      <c r="AP108" s="2" t="str">
        <v/>
      </c>
      <c r="AQ108" s="2" t="str">
        <v/>
      </c>
      <c r="AR108" s="2" t="str">
        <v/>
      </c>
      <c r="AS108" s="2" t="str">
        <v/>
      </c>
      <c r="AT108" s="2" t="str">
        <v/>
      </c>
      <c r="AU108" s="2" t="str">
        <v/>
      </c>
      <c r="AV108" s="2" t="str">
        <v/>
      </c>
      <c r="AW108" s="2" t="str">
        <v/>
      </c>
      <c r="AX108" s="2" t="str">
        <v/>
      </c>
      <c r="AY108" s="2" t="str">
        <v/>
      </c>
      <c r="AZ108" s="2" t="str">
        <v/>
      </c>
      <c r="BA108" s="2" t="str">
        <v/>
      </c>
      <c r="BB108" s="2" t="str">
        <v/>
      </c>
      <c r="BC108" s="2" t="str">
        <v/>
      </c>
      <c r="BD108" s="2" t="str">
        <v/>
      </c>
      <c r="BE108" s="2" t="str">
        <v/>
      </c>
      <c r="BF108" s="2" t="str">
        <v/>
      </c>
      <c r="BG108" s="2" t="str">
        <v/>
      </c>
      <c r="BH108" s="2" t="str">
        <v/>
      </c>
      <c r="BI108" s="2" t="str">
        <v/>
      </c>
      <c r="BJ108" s="2" t="str">
        <v/>
      </c>
      <c r="BK108" s="2" t="str">
        <v/>
      </c>
      <c r="BL108" s="2" t="str">
        <v/>
      </c>
      <c r="BM108" s="2" t="str">
        <v/>
      </c>
      <c r="BN108" s="2" t="str">
        <v/>
      </c>
      <c r="BO108" s="2" t="str">
        <v/>
      </c>
      <c r="BP108" s="4" t="str">
        <v/>
      </c>
      <c r="BQ108" s="4" t="str">
        <v/>
      </c>
      <c r="BR108" s="4" t="str">
        <v/>
      </c>
      <c r="BS108" s="4" t="str">
        <v/>
      </c>
      <c r="BT108" s="4" t="str">
        <v/>
      </c>
      <c r="BU108" s="4" t="str">
        <v/>
      </c>
      <c r="BV108" s="4" t="str">
        <v/>
      </c>
      <c r="BW108" s="4" t="str">
        <v/>
      </c>
      <c r="BX108" s="4" t="str">
        <v/>
      </c>
      <c r="BY108" s="4" t="str">
        <v/>
      </c>
      <c r="BZ108" s="4" t="str">
        <v/>
      </c>
      <c r="CA108" s="4" t="str">
        <v/>
      </c>
      <c r="CB108" s="4" t="str">
        <v/>
      </c>
      <c r="CC108" s="4" t="str">
        <v/>
      </c>
      <c r="CD108" s="4" t="str">
        <v/>
      </c>
      <c r="CE108" s="4" t="str">
        <v/>
      </c>
      <c r="CF108" s="4" t="str">
        <v/>
      </c>
      <c r="CG108" s="4" t="str">
        <v/>
      </c>
      <c r="CH108" s="4" t="str">
        <v/>
      </c>
      <c r="CI108" s="4" t="str">
        <v/>
      </c>
      <c r="CJ108" s="4" t="str">
        <v/>
      </c>
      <c r="CK108" s="4" t="str">
        <v/>
      </c>
      <c r="CL108" s="4" t="str">
        <v/>
      </c>
      <c r="CM108" s="4" t="str">
        <v/>
      </c>
      <c r="CN108" s="4" t="str">
        <v/>
      </c>
      <c r="CO108" s="4" t="str">
        <v/>
      </c>
      <c r="CP108" s="4" t="str">
        <v/>
      </c>
      <c r="CQ108" s="4" t="str">
        <v/>
      </c>
      <c r="CR108" s="4" t="str">
        <v/>
      </c>
      <c r="CS108" s="4" t="str">
        <v/>
      </c>
      <c r="CT108" s="4" t="str">
        <v/>
      </c>
      <c r="CU108" s="4" t="str">
        <v/>
      </c>
      <c r="CV108" s="4" t="str">
        <v/>
      </c>
      <c r="CW108" s="4" t="str">
        <v/>
      </c>
      <c r="CX108" s="4" t="str">
        <v/>
      </c>
      <c r="CY108" s="4" t="str">
        <v/>
      </c>
      <c r="CZ108" s="4" t="str">
        <v/>
      </c>
      <c r="DA108" s="4" t="str">
        <v/>
      </c>
      <c r="DB108" s="4">
        <v>1</v>
      </c>
      <c r="DC108" s="4">
        <v>0.389440234195224</v>
      </c>
      <c r="DD108" s="4">
        <v>0.0975870744499302</v>
      </c>
      <c r="DE108" s="4">
        <v>0.354967587943137</v>
      </c>
      <c r="DF108" s="4">
        <v>0.459260076857857</v>
      </c>
      <c r="DG108" s="4">
        <v>0.268039273025243</v>
      </c>
      <c r="DH108" s="4">
        <v>0.518203584934123</v>
      </c>
      <c r="DI108" s="4">
        <v>0.484325572498146</v>
      </c>
      <c r="DJ108" s="4">
        <v>0.472468833332844</v>
      </c>
      <c r="DK108" s="4">
        <v>0.531091861246713</v>
      </c>
      <c r="DL108" s="4">
        <v>0.548366444885123</v>
      </c>
      <c r="DM108" s="4">
        <v>0.579814130398742</v>
      </c>
      <c r="DN108" s="4">
        <v>0.516588322773043</v>
      </c>
      <c r="DO108" s="4">
        <v>0.399769193867937</v>
      </c>
      <c r="DP108" s="4">
        <v>0.546894969164095</v>
      </c>
      <c r="DQ108" s="4">
        <v>0.419325092717494</v>
      </c>
      <c r="DR108" s="4">
        <v>0.589416490547872</v>
      </c>
      <c r="DS108" s="4">
        <v>0.430496310352591</v>
      </c>
      <c r="DT108" s="4">
        <v>0.422920981136142</v>
      </c>
      <c r="DU108" s="4">
        <v>0.534423933502531</v>
      </c>
      <c r="DV108" s="4">
        <v>0.457491998977975</v>
      </c>
      <c r="DW108" s="4">
        <v>0.0985823506713416</v>
      </c>
      <c r="DX108" s="4">
        <v>0.118293176180611</v>
      </c>
      <c r="DY108" s="4">
        <v>0.521430677407446</v>
      </c>
    </row>
    <row r="109" ht="14" spans="1:129">
      <c r="A109" s="31" t="s">
        <v>107</v>
      </c>
      <c r="B109" s="2" t="str">
        <v/>
      </c>
      <c r="C109" s="2" t="str">
        <v/>
      </c>
      <c r="D109" s="2" t="str">
        <v/>
      </c>
      <c r="E109" s="2" t="str">
        <v/>
      </c>
      <c r="F109" s="2" t="str">
        <v/>
      </c>
      <c r="G109" s="2" t="str">
        <v/>
      </c>
      <c r="H109" s="2" t="str">
        <v/>
      </c>
      <c r="I109" s="2" t="str">
        <v/>
      </c>
      <c r="J109" s="2" t="str">
        <v/>
      </c>
      <c r="K109" s="2" t="str">
        <v/>
      </c>
      <c r="L109" s="2" t="str">
        <v/>
      </c>
      <c r="M109" s="2" t="str">
        <v/>
      </c>
      <c r="N109" s="2" t="str">
        <v/>
      </c>
      <c r="O109" s="2" t="str">
        <v/>
      </c>
      <c r="P109" s="2" t="str">
        <v/>
      </c>
      <c r="Q109" s="2" t="str">
        <v/>
      </c>
      <c r="R109" s="2" t="str">
        <v/>
      </c>
      <c r="S109" s="2" t="str">
        <v/>
      </c>
      <c r="T109" s="2" t="str">
        <v/>
      </c>
      <c r="U109" s="2" t="str">
        <v/>
      </c>
      <c r="V109" s="2" t="str">
        <v/>
      </c>
      <c r="W109" s="2" t="str">
        <v/>
      </c>
      <c r="X109" s="2" t="str">
        <v/>
      </c>
      <c r="Y109" s="2" t="str">
        <v/>
      </c>
      <c r="Z109" s="2" t="str">
        <v/>
      </c>
      <c r="AA109" s="2" t="str">
        <v/>
      </c>
      <c r="AB109" s="2" t="str">
        <v/>
      </c>
      <c r="AC109" s="2" t="str">
        <v/>
      </c>
      <c r="AD109" s="2" t="str">
        <v/>
      </c>
      <c r="AE109" s="2" t="str">
        <v/>
      </c>
      <c r="AF109" s="2" t="str">
        <v/>
      </c>
      <c r="AG109" s="2" t="str">
        <v/>
      </c>
      <c r="AH109" s="2" t="str">
        <v/>
      </c>
      <c r="AI109" s="2" t="str">
        <v/>
      </c>
      <c r="AJ109" s="2" t="str">
        <v/>
      </c>
      <c r="AK109" s="2" t="str">
        <v/>
      </c>
      <c r="AL109" s="2" t="str">
        <v/>
      </c>
      <c r="AM109" s="2" t="str">
        <v/>
      </c>
      <c r="AN109" s="2" t="str">
        <v/>
      </c>
      <c r="AO109" s="2" t="str">
        <v/>
      </c>
      <c r="AP109" s="2" t="str">
        <v/>
      </c>
      <c r="AQ109" s="2" t="str">
        <v/>
      </c>
      <c r="AR109" s="2" t="str">
        <v/>
      </c>
      <c r="AS109" s="2" t="str">
        <v/>
      </c>
      <c r="AT109" s="2" t="str">
        <v/>
      </c>
      <c r="AU109" s="2" t="str">
        <v/>
      </c>
      <c r="AV109" s="2" t="str">
        <v/>
      </c>
      <c r="AW109" s="2" t="str">
        <v/>
      </c>
      <c r="AX109" s="2" t="str">
        <v/>
      </c>
      <c r="AY109" s="2" t="str">
        <v/>
      </c>
      <c r="AZ109" s="2" t="str">
        <v/>
      </c>
      <c r="BA109" s="2" t="str">
        <v/>
      </c>
      <c r="BB109" s="2" t="str">
        <v/>
      </c>
      <c r="BC109" s="2" t="str">
        <v/>
      </c>
      <c r="BD109" s="2" t="str">
        <v/>
      </c>
      <c r="BE109" s="2" t="str">
        <v/>
      </c>
      <c r="BF109" s="2" t="str">
        <v/>
      </c>
      <c r="BG109" s="2" t="str">
        <v/>
      </c>
      <c r="BH109" s="2" t="str">
        <v/>
      </c>
      <c r="BI109" s="2" t="str">
        <v/>
      </c>
      <c r="BJ109" s="2" t="str">
        <v/>
      </c>
      <c r="BK109" s="2" t="str">
        <v/>
      </c>
      <c r="BL109" s="2" t="str">
        <v/>
      </c>
      <c r="BM109" s="2" t="str">
        <v/>
      </c>
      <c r="BN109" s="2" t="str">
        <v/>
      </c>
      <c r="BO109" s="2" t="str">
        <v/>
      </c>
      <c r="BP109" s="4" t="str">
        <v/>
      </c>
      <c r="BQ109" s="4" t="str">
        <v/>
      </c>
      <c r="BR109" s="4" t="str">
        <v/>
      </c>
      <c r="BS109" s="4" t="str">
        <v/>
      </c>
      <c r="BT109" s="4" t="str">
        <v/>
      </c>
      <c r="BU109" s="4" t="str">
        <v/>
      </c>
      <c r="BV109" s="4" t="str">
        <v/>
      </c>
      <c r="BW109" s="4" t="str">
        <v/>
      </c>
      <c r="BX109" s="4" t="str">
        <v/>
      </c>
      <c r="BY109" s="4" t="str">
        <v/>
      </c>
      <c r="BZ109" s="4" t="str">
        <v/>
      </c>
      <c r="CA109" s="4" t="str">
        <v/>
      </c>
      <c r="CB109" s="4" t="str">
        <v/>
      </c>
      <c r="CC109" s="4" t="str">
        <v/>
      </c>
      <c r="CD109" s="4" t="str">
        <v/>
      </c>
      <c r="CE109" s="4" t="str">
        <v/>
      </c>
      <c r="CF109" s="4" t="str">
        <v/>
      </c>
      <c r="CG109" s="4" t="str">
        <v/>
      </c>
      <c r="CH109" s="4" t="str">
        <v/>
      </c>
      <c r="CI109" s="4" t="str">
        <v/>
      </c>
      <c r="CJ109" s="4" t="str">
        <v/>
      </c>
      <c r="CK109" s="4" t="str">
        <v/>
      </c>
      <c r="CL109" s="4" t="str">
        <v/>
      </c>
      <c r="CM109" s="4" t="str">
        <v/>
      </c>
      <c r="CN109" s="4" t="str">
        <v/>
      </c>
      <c r="CO109" s="4" t="str">
        <v/>
      </c>
      <c r="CP109" s="4" t="str">
        <v/>
      </c>
      <c r="CQ109" s="4" t="str">
        <v/>
      </c>
      <c r="CR109" s="4" t="str">
        <v/>
      </c>
      <c r="CS109" s="4" t="str">
        <v/>
      </c>
      <c r="CT109" s="4" t="str">
        <v/>
      </c>
      <c r="CU109" s="4" t="str">
        <v/>
      </c>
      <c r="CV109" s="4" t="str">
        <v/>
      </c>
      <c r="CW109" s="4" t="str">
        <v/>
      </c>
      <c r="CX109" s="4" t="str">
        <v/>
      </c>
      <c r="CY109" s="4" t="str">
        <v/>
      </c>
      <c r="CZ109" s="4" t="str">
        <v/>
      </c>
      <c r="DA109" s="4" t="str">
        <v/>
      </c>
      <c r="DB109" s="4" t="str">
        <v/>
      </c>
      <c r="DC109" s="4">
        <v>1</v>
      </c>
      <c r="DD109" s="4">
        <v>0.127654688280572</v>
      </c>
      <c r="DE109" s="4">
        <v>0.577878474544183</v>
      </c>
      <c r="DF109" s="4">
        <v>0.447102995974677</v>
      </c>
      <c r="DG109" s="4">
        <v>0.227849548092746</v>
      </c>
      <c r="DH109" s="4">
        <v>0.473181211313591</v>
      </c>
      <c r="DI109" s="4">
        <v>0.429545496795144</v>
      </c>
      <c r="DJ109" s="4">
        <v>0.492525189446564</v>
      </c>
      <c r="DK109" s="4">
        <v>0.452228730047729</v>
      </c>
      <c r="DL109" s="4">
        <v>0.414696635896216</v>
      </c>
      <c r="DM109" s="4">
        <v>0.501429409208703</v>
      </c>
      <c r="DN109" s="4">
        <v>0.449587754155189</v>
      </c>
      <c r="DO109" s="4">
        <v>0.415262923979237</v>
      </c>
      <c r="DP109" s="4">
        <v>0.509444980533824</v>
      </c>
      <c r="DQ109" s="4">
        <v>0.408917752876347</v>
      </c>
      <c r="DR109" s="4">
        <v>0.493024063928661</v>
      </c>
      <c r="DS109" s="4">
        <v>0.291345761351861</v>
      </c>
      <c r="DT109" s="4">
        <v>0.388015216514428</v>
      </c>
      <c r="DU109" s="4">
        <v>0.47857842740841</v>
      </c>
      <c r="DV109" s="4">
        <v>0.350163145284938</v>
      </c>
      <c r="DW109" s="4">
        <v>0.0830121125722782</v>
      </c>
      <c r="DX109" s="4">
        <v>0.218240463087998</v>
      </c>
      <c r="DY109" s="4">
        <v>0.503339775134015</v>
      </c>
    </row>
    <row r="110" ht="14" spans="1:129">
      <c r="A110" s="31" t="s">
        <v>108</v>
      </c>
      <c r="B110" s="2" t="str">
        <v/>
      </c>
      <c r="C110" s="2" t="str">
        <v/>
      </c>
      <c r="D110" s="2" t="str">
        <v/>
      </c>
      <c r="E110" s="2" t="str">
        <v/>
      </c>
      <c r="F110" s="2" t="str">
        <v/>
      </c>
      <c r="G110" s="2" t="str">
        <v/>
      </c>
      <c r="H110" s="2" t="str">
        <v/>
      </c>
      <c r="I110" s="2" t="str">
        <v/>
      </c>
      <c r="J110" s="2" t="str">
        <v/>
      </c>
      <c r="K110" s="2" t="str">
        <v/>
      </c>
      <c r="L110" s="2" t="str">
        <v/>
      </c>
      <c r="M110" s="2" t="str">
        <v/>
      </c>
      <c r="N110" s="2" t="str">
        <v/>
      </c>
      <c r="O110" s="2" t="str">
        <v/>
      </c>
      <c r="P110" s="2" t="str">
        <v/>
      </c>
      <c r="Q110" s="2" t="str">
        <v/>
      </c>
      <c r="R110" s="2" t="str">
        <v/>
      </c>
      <c r="S110" s="2" t="str">
        <v/>
      </c>
      <c r="T110" s="2" t="str">
        <v/>
      </c>
      <c r="U110" s="2" t="str">
        <v/>
      </c>
      <c r="V110" s="2" t="str">
        <v/>
      </c>
      <c r="W110" s="2" t="str">
        <v/>
      </c>
      <c r="X110" s="2" t="str">
        <v/>
      </c>
      <c r="Y110" s="2" t="str">
        <v/>
      </c>
      <c r="Z110" s="2" t="str">
        <v/>
      </c>
      <c r="AA110" s="2" t="str">
        <v/>
      </c>
      <c r="AB110" s="2" t="str">
        <v/>
      </c>
      <c r="AC110" s="2" t="str">
        <v/>
      </c>
      <c r="AD110" s="2" t="str">
        <v/>
      </c>
      <c r="AE110" s="2" t="str">
        <v/>
      </c>
      <c r="AF110" s="2" t="str">
        <v/>
      </c>
      <c r="AG110" s="2" t="str">
        <v/>
      </c>
      <c r="AH110" s="2" t="str">
        <v/>
      </c>
      <c r="AI110" s="2" t="str">
        <v/>
      </c>
      <c r="AJ110" s="2" t="str">
        <v/>
      </c>
      <c r="AK110" s="2" t="str">
        <v/>
      </c>
      <c r="AL110" s="2" t="str">
        <v/>
      </c>
      <c r="AM110" s="2" t="str">
        <v/>
      </c>
      <c r="AN110" s="2" t="str">
        <v/>
      </c>
      <c r="AO110" s="2" t="str">
        <v/>
      </c>
      <c r="AP110" s="2" t="str">
        <v/>
      </c>
      <c r="AQ110" s="2" t="str">
        <v/>
      </c>
      <c r="AR110" s="2" t="str">
        <v/>
      </c>
      <c r="AS110" s="2" t="str">
        <v/>
      </c>
      <c r="AT110" s="2" t="str">
        <v/>
      </c>
      <c r="AU110" s="2" t="str">
        <v/>
      </c>
      <c r="AV110" s="2" t="str">
        <v/>
      </c>
      <c r="AW110" s="2" t="str">
        <v/>
      </c>
      <c r="AX110" s="2" t="str">
        <v/>
      </c>
      <c r="AY110" s="2" t="str">
        <v/>
      </c>
      <c r="AZ110" s="2" t="str">
        <v/>
      </c>
      <c r="BA110" s="2" t="str">
        <v/>
      </c>
      <c r="BB110" s="2" t="str">
        <v/>
      </c>
      <c r="BC110" s="2" t="str">
        <v/>
      </c>
      <c r="BD110" s="2" t="str">
        <v/>
      </c>
      <c r="BE110" s="2" t="str">
        <v/>
      </c>
      <c r="BF110" s="2" t="str">
        <v/>
      </c>
      <c r="BG110" s="2" t="str">
        <v/>
      </c>
      <c r="BH110" s="2" t="str">
        <v/>
      </c>
      <c r="BI110" s="2" t="str">
        <v/>
      </c>
      <c r="BJ110" s="2" t="str">
        <v/>
      </c>
      <c r="BK110" s="2" t="str">
        <v/>
      </c>
      <c r="BL110" s="2" t="str">
        <v/>
      </c>
      <c r="BM110" s="2" t="str">
        <v/>
      </c>
      <c r="BN110" s="2" t="str">
        <v/>
      </c>
      <c r="BO110" s="2" t="str">
        <v/>
      </c>
      <c r="BP110" s="4" t="str">
        <v/>
      </c>
      <c r="BQ110" s="4" t="str">
        <v/>
      </c>
      <c r="BR110" s="4" t="str">
        <v/>
      </c>
      <c r="BS110" s="4" t="str">
        <v/>
      </c>
      <c r="BT110" s="4" t="str">
        <v/>
      </c>
      <c r="BU110" s="4" t="str">
        <v/>
      </c>
      <c r="BV110" s="4" t="str">
        <v/>
      </c>
      <c r="BW110" s="4" t="str">
        <v/>
      </c>
      <c r="BX110" s="4" t="str">
        <v/>
      </c>
      <c r="BY110" s="4" t="str">
        <v/>
      </c>
      <c r="BZ110" s="4" t="str">
        <v/>
      </c>
      <c r="CA110" s="4" t="str">
        <v/>
      </c>
      <c r="CB110" s="4" t="str">
        <v/>
      </c>
      <c r="CC110" s="4" t="str">
        <v/>
      </c>
      <c r="CD110" s="4" t="str">
        <v/>
      </c>
      <c r="CE110" s="4" t="str">
        <v/>
      </c>
      <c r="CF110" s="4" t="str">
        <v/>
      </c>
      <c r="CG110" s="4" t="str">
        <v/>
      </c>
      <c r="CH110" s="4" t="str">
        <v/>
      </c>
      <c r="CI110" s="4" t="str">
        <v/>
      </c>
      <c r="CJ110" s="4" t="str">
        <v/>
      </c>
      <c r="CK110" s="4" t="str">
        <v/>
      </c>
      <c r="CL110" s="4" t="str">
        <v/>
      </c>
      <c r="CM110" s="4" t="str">
        <v/>
      </c>
      <c r="CN110" s="4" t="str">
        <v/>
      </c>
      <c r="CO110" s="4" t="str">
        <v/>
      </c>
      <c r="CP110" s="4" t="str">
        <v/>
      </c>
      <c r="CQ110" s="4" t="str">
        <v/>
      </c>
      <c r="CR110" s="4" t="str">
        <v/>
      </c>
      <c r="CS110" s="4" t="str">
        <v/>
      </c>
      <c r="CT110" s="4" t="str">
        <v/>
      </c>
      <c r="CU110" s="4" t="str">
        <v/>
      </c>
      <c r="CV110" s="4" t="str">
        <v/>
      </c>
      <c r="CW110" s="4" t="str">
        <v/>
      </c>
      <c r="CX110" s="4" t="str">
        <v/>
      </c>
      <c r="CY110" s="4" t="str">
        <v/>
      </c>
      <c r="CZ110" s="4" t="str">
        <v/>
      </c>
      <c r="DA110" s="4" t="str">
        <v/>
      </c>
      <c r="DB110" s="4" t="str">
        <v/>
      </c>
      <c r="DC110" s="4" t="str">
        <v/>
      </c>
      <c r="DD110" s="4">
        <v>1</v>
      </c>
      <c r="DE110" s="4">
        <v>-0.0234917495192688</v>
      </c>
      <c r="DF110" s="4">
        <v>0.0991054318403174</v>
      </c>
      <c r="DG110" s="4">
        <v>0.0525919097842414</v>
      </c>
      <c r="DH110" s="4">
        <v>0.214016240612748</v>
      </c>
      <c r="DI110" s="4">
        <v>0.275378415852253</v>
      </c>
      <c r="DJ110" s="4">
        <v>0.22607781027993</v>
      </c>
      <c r="DK110" s="4">
        <v>0.280656496313778</v>
      </c>
      <c r="DL110" s="4">
        <v>0.301242740894945</v>
      </c>
      <c r="DM110" s="4">
        <v>0.250841284466028</v>
      </c>
      <c r="DN110" s="4">
        <v>0.312995604402015</v>
      </c>
      <c r="DO110" s="4">
        <v>0.382397853475756</v>
      </c>
      <c r="DP110" s="4">
        <v>0.37005069048352</v>
      </c>
      <c r="DQ110" s="4">
        <v>0.325842587401617</v>
      </c>
      <c r="DR110" s="4">
        <v>0.2396917826481</v>
      </c>
      <c r="DS110" s="4">
        <v>0.134608881940476</v>
      </c>
      <c r="DT110" s="4">
        <v>0.260716428450777</v>
      </c>
      <c r="DU110" s="4">
        <v>0.274550095220899</v>
      </c>
      <c r="DV110" s="4">
        <v>0.324065256059937</v>
      </c>
      <c r="DW110" s="4">
        <v>0.0656004555567694</v>
      </c>
      <c r="DX110" s="4">
        <v>-0.188294067946128</v>
      </c>
      <c r="DY110" s="4">
        <v>0.283691041221071</v>
      </c>
    </row>
    <row r="111" ht="14" spans="1:129">
      <c r="A111" s="31" t="s">
        <v>109</v>
      </c>
      <c r="B111" s="2" t="str">
        <v/>
      </c>
      <c r="C111" s="2" t="str">
        <v/>
      </c>
      <c r="D111" s="2" t="str">
        <v/>
      </c>
      <c r="E111" s="2" t="str">
        <v/>
      </c>
      <c r="F111" s="2" t="str">
        <v/>
      </c>
      <c r="G111" s="2" t="str">
        <v/>
      </c>
      <c r="H111" s="2" t="str">
        <v/>
      </c>
      <c r="I111" s="2" t="str">
        <v/>
      </c>
      <c r="J111" s="2" t="str">
        <v/>
      </c>
      <c r="K111" s="2" t="str">
        <v/>
      </c>
      <c r="L111" s="2" t="str">
        <v/>
      </c>
      <c r="M111" s="2" t="str">
        <v/>
      </c>
      <c r="N111" s="2" t="str">
        <v/>
      </c>
      <c r="O111" s="2" t="str">
        <v/>
      </c>
      <c r="P111" s="2" t="str">
        <v/>
      </c>
      <c r="Q111" s="2" t="str">
        <v/>
      </c>
      <c r="R111" s="2" t="str">
        <v/>
      </c>
      <c r="S111" s="2" t="str">
        <v/>
      </c>
      <c r="T111" s="2" t="str">
        <v/>
      </c>
      <c r="U111" s="2" t="str">
        <v/>
      </c>
      <c r="V111" s="2" t="str">
        <v/>
      </c>
      <c r="W111" s="2" t="str">
        <v/>
      </c>
      <c r="X111" s="2" t="str">
        <v/>
      </c>
      <c r="Y111" s="2" t="str">
        <v/>
      </c>
      <c r="Z111" s="2" t="str">
        <v/>
      </c>
      <c r="AA111" s="2" t="str">
        <v/>
      </c>
      <c r="AB111" s="2" t="str">
        <v/>
      </c>
      <c r="AC111" s="2" t="str">
        <v/>
      </c>
      <c r="AD111" s="2" t="str">
        <v/>
      </c>
      <c r="AE111" s="2" t="str">
        <v/>
      </c>
      <c r="AF111" s="2" t="str">
        <v/>
      </c>
      <c r="AG111" s="2" t="str">
        <v/>
      </c>
      <c r="AH111" s="2" t="str">
        <v/>
      </c>
      <c r="AI111" s="2" t="str">
        <v/>
      </c>
      <c r="AJ111" s="2" t="str">
        <v/>
      </c>
      <c r="AK111" s="2" t="str">
        <v/>
      </c>
      <c r="AL111" s="2" t="str">
        <v/>
      </c>
      <c r="AM111" s="2" t="str">
        <v/>
      </c>
      <c r="AN111" s="2" t="str">
        <v/>
      </c>
      <c r="AO111" s="2" t="str">
        <v/>
      </c>
      <c r="AP111" s="2" t="str">
        <v/>
      </c>
      <c r="AQ111" s="2" t="str">
        <v/>
      </c>
      <c r="AR111" s="2" t="str">
        <v/>
      </c>
      <c r="AS111" s="2" t="str">
        <v/>
      </c>
      <c r="AT111" s="2" t="str">
        <v/>
      </c>
      <c r="AU111" s="2" t="str">
        <v/>
      </c>
      <c r="AV111" s="2" t="str">
        <v/>
      </c>
      <c r="AW111" s="2" t="str">
        <v/>
      </c>
      <c r="AX111" s="2" t="str">
        <v/>
      </c>
      <c r="AY111" s="2" t="str">
        <v/>
      </c>
      <c r="AZ111" s="2" t="str">
        <v/>
      </c>
      <c r="BA111" s="2" t="str">
        <v/>
      </c>
      <c r="BB111" s="2" t="str">
        <v/>
      </c>
      <c r="BC111" s="2" t="str">
        <v/>
      </c>
      <c r="BD111" s="2" t="str">
        <v/>
      </c>
      <c r="BE111" s="2" t="str">
        <v/>
      </c>
      <c r="BF111" s="2" t="str">
        <v/>
      </c>
      <c r="BG111" s="2" t="str">
        <v/>
      </c>
      <c r="BH111" s="2" t="str">
        <v/>
      </c>
      <c r="BI111" s="2" t="str">
        <v/>
      </c>
      <c r="BJ111" s="2" t="str">
        <v/>
      </c>
      <c r="BK111" s="2" t="str">
        <v/>
      </c>
      <c r="BL111" s="2" t="str">
        <v/>
      </c>
      <c r="BM111" s="2" t="str">
        <v/>
      </c>
      <c r="BN111" s="2" t="str">
        <v/>
      </c>
      <c r="BO111" s="2" t="str">
        <v/>
      </c>
      <c r="BP111" s="4" t="str">
        <v/>
      </c>
      <c r="BQ111" s="4" t="str">
        <v/>
      </c>
      <c r="BR111" s="4" t="str">
        <v/>
      </c>
      <c r="BS111" s="4" t="str">
        <v/>
      </c>
      <c r="BT111" s="4" t="str">
        <v/>
      </c>
      <c r="BU111" s="4" t="str">
        <v/>
      </c>
      <c r="BV111" s="4" t="str">
        <v/>
      </c>
      <c r="BW111" s="4" t="str">
        <v/>
      </c>
      <c r="BX111" s="4" t="str">
        <v/>
      </c>
      <c r="BY111" s="4" t="str">
        <v/>
      </c>
      <c r="BZ111" s="4" t="str">
        <v/>
      </c>
      <c r="CA111" s="4" t="str">
        <v/>
      </c>
      <c r="CB111" s="4" t="str">
        <v/>
      </c>
      <c r="CC111" s="4" t="str">
        <v/>
      </c>
      <c r="CD111" s="4" t="str">
        <v/>
      </c>
      <c r="CE111" s="4" t="str">
        <v/>
      </c>
      <c r="CF111" s="4" t="str">
        <v/>
      </c>
      <c r="CG111" s="4" t="str">
        <v/>
      </c>
      <c r="CH111" s="4" t="str">
        <v/>
      </c>
      <c r="CI111" s="4" t="str">
        <v/>
      </c>
      <c r="CJ111" s="4" t="str">
        <v/>
      </c>
      <c r="CK111" s="4" t="str">
        <v/>
      </c>
      <c r="CL111" s="4" t="str">
        <v/>
      </c>
      <c r="CM111" s="4" t="str">
        <v/>
      </c>
      <c r="CN111" s="4" t="str">
        <v/>
      </c>
      <c r="CO111" s="4" t="str">
        <v/>
      </c>
      <c r="CP111" s="4" t="str">
        <v/>
      </c>
      <c r="CQ111" s="4" t="str">
        <v/>
      </c>
      <c r="CR111" s="4" t="str">
        <v/>
      </c>
      <c r="CS111" s="4" t="str">
        <v/>
      </c>
      <c r="CT111" s="4" t="str">
        <v/>
      </c>
      <c r="CU111" s="4" t="str">
        <v/>
      </c>
      <c r="CV111" s="4" t="str">
        <v/>
      </c>
      <c r="CW111" s="4" t="str">
        <v/>
      </c>
      <c r="CX111" s="4" t="str">
        <v/>
      </c>
      <c r="CY111" s="4" t="str">
        <v/>
      </c>
      <c r="CZ111" s="4" t="str">
        <v/>
      </c>
      <c r="DA111" s="4" t="str">
        <v/>
      </c>
      <c r="DB111" s="4" t="str">
        <v/>
      </c>
      <c r="DC111" s="4" t="str">
        <v/>
      </c>
      <c r="DD111" s="4" t="str">
        <v/>
      </c>
      <c r="DE111" s="4">
        <v>1</v>
      </c>
      <c r="DF111" s="4">
        <v>0.464788652931628</v>
      </c>
      <c r="DG111" s="4">
        <v>0.382102176150944</v>
      </c>
      <c r="DH111" s="4">
        <v>0.524732073791596</v>
      </c>
      <c r="DI111" s="4">
        <v>0.332425777355379</v>
      </c>
      <c r="DJ111" s="4">
        <v>0.360022035583109</v>
      </c>
      <c r="DK111" s="4">
        <v>0.255550520773398</v>
      </c>
      <c r="DL111" s="4">
        <v>0.267432193260473</v>
      </c>
      <c r="DM111" s="4">
        <v>0.350941498820463</v>
      </c>
      <c r="DN111" s="4">
        <v>0.352006296224657</v>
      </c>
      <c r="DO111" s="4">
        <v>0.155164196399965</v>
      </c>
      <c r="DP111" s="4">
        <v>0.298938230007122</v>
      </c>
      <c r="DQ111" s="4">
        <v>0.206049317919351</v>
      </c>
      <c r="DR111" s="4">
        <v>0.391770408631144</v>
      </c>
      <c r="DS111" s="4">
        <v>0.271398880058112</v>
      </c>
      <c r="DT111" s="4">
        <v>0.167063116380431</v>
      </c>
      <c r="DU111" s="4">
        <v>0.367228352894071</v>
      </c>
      <c r="DV111" s="4">
        <v>0.233869065772703</v>
      </c>
      <c r="DW111" s="4">
        <v>0.101858399532885</v>
      </c>
      <c r="DX111" s="4">
        <v>0.33682356645333</v>
      </c>
      <c r="DY111" s="4">
        <v>0.449692453020725</v>
      </c>
    </row>
    <row r="112" ht="14" spans="1:129">
      <c r="A112" s="31" t="s">
        <v>110</v>
      </c>
      <c r="B112" s="2" t="str">
        <v/>
      </c>
      <c r="C112" s="2" t="str">
        <v/>
      </c>
      <c r="D112" s="2" t="str">
        <v/>
      </c>
      <c r="E112" s="2" t="str">
        <v/>
      </c>
      <c r="F112" s="2" t="str">
        <v/>
      </c>
      <c r="G112" s="2" t="str">
        <v/>
      </c>
      <c r="H112" s="2" t="str">
        <v/>
      </c>
      <c r="I112" s="2" t="str">
        <v/>
      </c>
      <c r="J112" s="2" t="str">
        <v/>
      </c>
      <c r="K112" s="2" t="str">
        <v/>
      </c>
      <c r="L112" s="2" t="str">
        <v/>
      </c>
      <c r="M112" s="2" t="str">
        <v/>
      </c>
      <c r="N112" s="2" t="str">
        <v/>
      </c>
      <c r="O112" s="2" t="str">
        <v/>
      </c>
      <c r="P112" s="2" t="str">
        <v/>
      </c>
      <c r="Q112" s="2" t="str">
        <v/>
      </c>
      <c r="R112" s="2" t="str">
        <v/>
      </c>
      <c r="S112" s="2" t="str">
        <v/>
      </c>
      <c r="T112" s="2" t="str">
        <v/>
      </c>
      <c r="U112" s="2" t="str">
        <v/>
      </c>
      <c r="V112" s="2" t="str">
        <v/>
      </c>
      <c r="W112" s="2" t="str">
        <v/>
      </c>
      <c r="X112" s="2" t="str">
        <v/>
      </c>
      <c r="Y112" s="2" t="str">
        <v/>
      </c>
      <c r="Z112" s="2" t="str">
        <v/>
      </c>
      <c r="AA112" s="2" t="str">
        <v/>
      </c>
      <c r="AB112" s="2" t="str">
        <v/>
      </c>
      <c r="AC112" s="2" t="str">
        <v/>
      </c>
      <c r="AD112" s="2" t="str">
        <v/>
      </c>
      <c r="AE112" s="2" t="str">
        <v/>
      </c>
      <c r="AF112" s="2" t="str">
        <v/>
      </c>
      <c r="AG112" s="2" t="str">
        <v/>
      </c>
      <c r="AH112" s="2" t="str">
        <v/>
      </c>
      <c r="AI112" s="2" t="str">
        <v/>
      </c>
      <c r="AJ112" s="2" t="str">
        <v/>
      </c>
      <c r="AK112" s="2" t="str">
        <v/>
      </c>
      <c r="AL112" s="2" t="str">
        <v/>
      </c>
      <c r="AM112" s="2" t="str">
        <v/>
      </c>
      <c r="AN112" s="2" t="str">
        <v/>
      </c>
      <c r="AO112" s="2" t="str">
        <v/>
      </c>
      <c r="AP112" s="2" t="str">
        <v/>
      </c>
      <c r="AQ112" s="2" t="str">
        <v/>
      </c>
      <c r="AR112" s="2" t="str">
        <v/>
      </c>
      <c r="AS112" s="2" t="str">
        <v/>
      </c>
      <c r="AT112" s="2" t="str">
        <v/>
      </c>
      <c r="AU112" s="2" t="str">
        <v/>
      </c>
      <c r="AV112" s="2" t="str">
        <v/>
      </c>
      <c r="AW112" s="2" t="str">
        <v/>
      </c>
      <c r="AX112" s="2" t="str">
        <v/>
      </c>
      <c r="AY112" s="2" t="str">
        <v/>
      </c>
      <c r="AZ112" s="2" t="str">
        <v/>
      </c>
      <c r="BA112" s="2" t="str">
        <v/>
      </c>
      <c r="BB112" s="2" t="str">
        <v/>
      </c>
      <c r="BC112" s="2" t="str">
        <v/>
      </c>
      <c r="BD112" s="2" t="str">
        <v/>
      </c>
      <c r="BE112" s="2" t="str">
        <v/>
      </c>
      <c r="BF112" s="2" t="str">
        <v/>
      </c>
      <c r="BG112" s="2" t="str">
        <v/>
      </c>
      <c r="BH112" s="2" t="str">
        <v/>
      </c>
      <c r="BI112" s="2" t="str">
        <v/>
      </c>
      <c r="BJ112" s="2" t="str">
        <v/>
      </c>
      <c r="BK112" s="2" t="str">
        <v/>
      </c>
      <c r="BL112" s="2" t="str">
        <v/>
      </c>
      <c r="BM112" s="2" t="str">
        <v/>
      </c>
      <c r="BN112" s="2" t="str">
        <v/>
      </c>
      <c r="BO112" s="2" t="str">
        <v/>
      </c>
      <c r="BP112" s="4" t="str">
        <v/>
      </c>
      <c r="BQ112" s="4" t="str">
        <v/>
      </c>
      <c r="BR112" s="4" t="str">
        <v/>
      </c>
      <c r="BS112" s="4" t="str">
        <v/>
      </c>
      <c r="BT112" s="4" t="str">
        <v/>
      </c>
      <c r="BU112" s="4" t="str">
        <v/>
      </c>
      <c r="BV112" s="4" t="str">
        <v/>
      </c>
      <c r="BW112" s="4" t="str">
        <v/>
      </c>
      <c r="BX112" s="4" t="str">
        <v/>
      </c>
      <c r="BY112" s="4" t="str">
        <v/>
      </c>
      <c r="BZ112" s="4" t="str">
        <v/>
      </c>
      <c r="CA112" s="4" t="str">
        <v/>
      </c>
      <c r="CB112" s="4" t="str">
        <v/>
      </c>
      <c r="CC112" s="4" t="str">
        <v/>
      </c>
      <c r="CD112" s="4" t="str">
        <v/>
      </c>
      <c r="CE112" s="4" t="str">
        <v/>
      </c>
      <c r="CF112" s="4" t="str">
        <v/>
      </c>
      <c r="CG112" s="4" t="str">
        <v/>
      </c>
      <c r="CH112" s="4" t="str">
        <v/>
      </c>
      <c r="CI112" s="4" t="str">
        <v/>
      </c>
      <c r="CJ112" s="4" t="str">
        <v/>
      </c>
      <c r="CK112" s="4" t="str">
        <v/>
      </c>
      <c r="CL112" s="4" t="str">
        <v/>
      </c>
      <c r="CM112" s="4" t="str">
        <v/>
      </c>
      <c r="CN112" s="4" t="str">
        <v/>
      </c>
      <c r="CO112" s="4" t="str">
        <v/>
      </c>
      <c r="CP112" s="4" t="str">
        <v/>
      </c>
      <c r="CQ112" s="4" t="str">
        <v/>
      </c>
      <c r="CR112" s="4" t="str">
        <v/>
      </c>
      <c r="CS112" s="4" t="str">
        <v/>
      </c>
      <c r="CT112" s="4" t="str">
        <v/>
      </c>
      <c r="CU112" s="4" t="str">
        <v/>
      </c>
      <c r="CV112" s="4" t="str">
        <v/>
      </c>
      <c r="CW112" s="4" t="str">
        <v/>
      </c>
      <c r="CX112" s="4" t="str">
        <v/>
      </c>
      <c r="CY112" s="4" t="str">
        <v/>
      </c>
      <c r="CZ112" s="4" t="str">
        <v/>
      </c>
      <c r="DA112" s="4" t="str">
        <v/>
      </c>
      <c r="DB112" s="4" t="str">
        <v/>
      </c>
      <c r="DC112" s="4" t="str">
        <v/>
      </c>
      <c r="DD112" s="4" t="str">
        <v/>
      </c>
      <c r="DE112" s="4" t="str">
        <v/>
      </c>
      <c r="DF112" s="4">
        <v>1</v>
      </c>
      <c r="DG112" s="4">
        <v>0.147444213871979</v>
      </c>
      <c r="DH112" s="4">
        <v>0.549775629908435</v>
      </c>
      <c r="DI112" s="4">
        <v>0.32793857354573</v>
      </c>
      <c r="DJ112" s="4">
        <v>0.320168674168219</v>
      </c>
      <c r="DK112" s="4">
        <v>0.306094244770872</v>
      </c>
      <c r="DL112" s="4">
        <v>0.252652515938416</v>
      </c>
      <c r="DM112" s="4">
        <v>0.291352435325563</v>
      </c>
      <c r="DN112" s="4">
        <v>0.314986587886305</v>
      </c>
      <c r="DO112" s="4">
        <v>0.240711054105134</v>
      </c>
      <c r="DP112" s="4">
        <v>0.377596107111331</v>
      </c>
      <c r="DQ112" s="4">
        <v>0.148151871048317</v>
      </c>
      <c r="DR112" s="4">
        <v>0.389769642649892</v>
      </c>
      <c r="DS112" s="4">
        <v>0.374743269968719</v>
      </c>
      <c r="DT112" s="4">
        <v>0.247769910686255</v>
      </c>
      <c r="DU112" s="4">
        <v>0.407247118914189</v>
      </c>
      <c r="DV112" s="4">
        <v>0.22493948439736</v>
      </c>
      <c r="DW112" s="4">
        <v>0.178237211944792</v>
      </c>
      <c r="DX112" s="4">
        <v>0.187195002021868</v>
      </c>
      <c r="DY112" s="4">
        <v>0.388607142194131</v>
      </c>
    </row>
    <row r="113" ht="14" spans="1:129">
      <c r="A113" s="31" t="s">
        <v>111</v>
      </c>
      <c r="B113" s="2" t="str">
        <v/>
      </c>
      <c r="C113" s="2" t="str">
        <v/>
      </c>
      <c r="D113" s="2" t="str">
        <v/>
      </c>
      <c r="E113" s="2" t="str">
        <v/>
      </c>
      <c r="F113" s="2" t="str">
        <v/>
      </c>
      <c r="G113" s="2" t="str">
        <v/>
      </c>
      <c r="H113" s="2" t="str">
        <v/>
      </c>
      <c r="I113" s="2" t="str">
        <v/>
      </c>
      <c r="J113" s="2" t="str">
        <v/>
      </c>
      <c r="K113" s="2" t="str">
        <v/>
      </c>
      <c r="L113" s="2" t="str">
        <v/>
      </c>
      <c r="M113" s="2" t="str">
        <v/>
      </c>
      <c r="N113" s="2" t="str">
        <v/>
      </c>
      <c r="O113" s="2" t="str">
        <v/>
      </c>
      <c r="P113" s="2" t="str">
        <v/>
      </c>
      <c r="Q113" s="2" t="str">
        <v/>
      </c>
      <c r="R113" s="2" t="str">
        <v/>
      </c>
      <c r="S113" s="2" t="str">
        <v/>
      </c>
      <c r="T113" s="2" t="str">
        <v/>
      </c>
      <c r="U113" s="2" t="str">
        <v/>
      </c>
      <c r="V113" s="2" t="str">
        <v/>
      </c>
      <c r="W113" s="2" t="str">
        <v/>
      </c>
      <c r="X113" s="2" t="str">
        <v/>
      </c>
      <c r="Y113" s="2" t="str">
        <v/>
      </c>
      <c r="Z113" s="2" t="str">
        <v/>
      </c>
      <c r="AA113" s="2" t="str">
        <v/>
      </c>
      <c r="AB113" s="2" t="str">
        <v/>
      </c>
      <c r="AC113" s="2" t="str">
        <v/>
      </c>
      <c r="AD113" s="2" t="str">
        <v/>
      </c>
      <c r="AE113" s="2" t="str">
        <v/>
      </c>
      <c r="AF113" s="2" t="str">
        <v/>
      </c>
      <c r="AG113" s="2" t="str">
        <v/>
      </c>
      <c r="AH113" s="2" t="str">
        <v/>
      </c>
      <c r="AI113" s="2" t="str">
        <v/>
      </c>
      <c r="AJ113" s="2" t="str">
        <v/>
      </c>
      <c r="AK113" s="2" t="str">
        <v/>
      </c>
      <c r="AL113" s="2" t="str">
        <v/>
      </c>
      <c r="AM113" s="2" t="str">
        <v/>
      </c>
      <c r="AN113" s="2" t="str">
        <v/>
      </c>
      <c r="AO113" s="2" t="str">
        <v/>
      </c>
      <c r="AP113" s="2" t="str">
        <v/>
      </c>
      <c r="AQ113" s="2" t="str">
        <v/>
      </c>
      <c r="AR113" s="2" t="str">
        <v/>
      </c>
      <c r="AS113" s="2" t="str">
        <v/>
      </c>
      <c r="AT113" s="2" t="str">
        <v/>
      </c>
      <c r="AU113" s="2" t="str">
        <v/>
      </c>
      <c r="AV113" s="2" t="str">
        <v/>
      </c>
      <c r="AW113" s="2" t="str">
        <v/>
      </c>
      <c r="AX113" s="2" t="str">
        <v/>
      </c>
      <c r="AY113" s="2" t="str">
        <v/>
      </c>
      <c r="AZ113" s="2" t="str">
        <v/>
      </c>
      <c r="BA113" s="2" t="str">
        <v/>
      </c>
      <c r="BB113" s="2" t="str">
        <v/>
      </c>
      <c r="BC113" s="2" t="str">
        <v/>
      </c>
      <c r="BD113" s="2" t="str">
        <v/>
      </c>
      <c r="BE113" s="2" t="str">
        <v/>
      </c>
      <c r="BF113" s="2" t="str">
        <v/>
      </c>
      <c r="BG113" s="2" t="str">
        <v/>
      </c>
      <c r="BH113" s="2" t="str">
        <v/>
      </c>
      <c r="BI113" s="2" t="str">
        <v/>
      </c>
      <c r="BJ113" s="2" t="str">
        <v/>
      </c>
      <c r="BK113" s="2" t="str">
        <v/>
      </c>
      <c r="BL113" s="2" t="str">
        <v/>
      </c>
      <c r="BM113" s="2" t="str">
        <v/>
      </c>
      <c r="BN113" s="2" t="str">
        <v/>
      </c>
      <c r="BO113" s="2" t="str">
        <v/>
      </c>
      <c r="BP113" s="4" t="str">
        <v/>
      </c>
      <c r="BQ113" s="4" t="str">
        <v/>
      </c>
      <c r="BR113" s="4" t="str">
        <v/>
      </c>
      <c r="BS113" s="4" t="str">
        <v/>
      </c>
      <c r="BT113" s="4" t="str">
        <v/>
      </c>
      <c r="BU113" s="4" t="str">
        <v/>
      </c>
      <c r="BV113" s="4" t="str">
        <v/>
      </c>
      <c r="BW113" s="4" t="str">
        <v/>
      </c>
      <c r="BX113" s="4" t="str">
        <v/>
      </c>
      <c r="BY113" s="4" t="str">
        <v/>
      </c>
      <c r="BZ113" s="4" t="str">
        <v/>
      </c>
      <c r="CA113" s="4" t="str">
        <v/>
      </c>
      <c r="CB113" s="4" t="str">
        <v/>
      </c>
      <c r="CC113" s="4" t="str">
        <v/>
      </c>
      <c r="CD113" s="4" t="str">
        <v/>
      </c>
      <c r="CE113" s="4" t="str">
        <v/>
      </c>
      <c r="CF113" s="4" t="str">
        <v/>
      </c>
      <c r="CG113" s="4" t="str">
        <v/>
      </c>
      <c r="CH113" s="4" t="str">
        <v/>
      </c>
      <c r="CI113" s="4" t="str">
        <v/>
      </c>
      <c r="CJ113" s="4" t="str">
        <v/>
      </c>
      <c r="CK113" s="4" t="str">
        <v/>
      </c>
      <c r="CL113" s="4" t="str">
        <v/>
      </c>
      <c r="CM113" s="4" t="str">
        <v/>
      </c>
      <c r="CN113" s="4" t="str">
        <v/>
      </c>
      <c r="CO113" s="4" t="str">
        <v/>
      </c>
      <c r="CP113" s="4" t="str">
        <v/>
      </c>
      <c r="CQ113" s="4" t="str">
        <v/>
      </c>
      <c r="CR113" s="4" t="str">
        <v/>
      </c>
      <c r="CS113" s="4" t="str">
        <v/>
      </c>
      <c r="CT113" s="4" t="str">
        <v/>
      </c>
      <c r="CU113" s="4" t="str">
        <v/>
      </c>
      <c r="CV113" s="4" t="str">
        <v/>
      </c>
      <c r="CW113" s="4" t="str">
        <v/>
      </c>
      <c r="CX113" s="4" t="str">
        <v/>
      </c>
      <c r="CY113" s="4" t="str">
        <v/>
      </c>
      <c r="CZ113" s="4" t="str">
        <v/>
      </c>
      <c r="DA113" s="4" t="str">
        <v/>
      </c>
      <c r="DB113" s="4" t="str">
        <v/>
      </c>
      <c r="DC113" s="4" t="str">
        <v/>
      </c>
      <c r="DD113" s="4" t="str">
        <v/>
      </c>
      <c r="DE113" s="4" t="str">
        <v/>
      </c>
      <c r="DF113" s="4" t="str">
        <v/>
      </c>
      <c r="DG113" s="4">
        <v>1</v>
      </c>
      <c r="DH113" s="4">
        <v>0.404486671935093</v>
      </c>
      <c r="DI113" s="4">
        <v>0.368670833092103</v>
      </c>
      <c r="DJ113" s="4">
        <v>0.290609797400395</v>
      </c>
      <c r="DK113" s="4">
        <v>0.250242240716908</v>
      </c>
      <c r="DL113" s="4">
        <v>0.355683183628931</v>
      </c>
      <c r="DM113" s="4">
        <v>0.390967679820301</v>
      </c>
      <c r="DN113" s="4">
        <v>0.383053749729547</v>
      </c>
      <c r="DO113" s="4">
        <v>0.29438803354028</v>
      </c>
      <c r="DP113" s="4">
        <v>0.390357168130247</v>
      </c>
      <c r="DQ113" s="4">
        <v>0.33995920240325</v>
      </c>
      <c r="DR113" s="4">
        <v>0.432405644153156</v>
      </c>
      <c r="DS113" s="4">
        <v>0.423039156623628</v>
      </c>
      <c r="DT113" s="4">
        <v>0.394224591946395</v>
      </c>
      <c r="DU113" s="4">
        <v>0.330849620454995</v>
      </c>
      <c r="DV113" s="4">
        <v>0.461373472253399</v>
      </c>
      <c r="DW113" s="4">
        <v>0.194255303307604</v>
      </c>
      <c r="DX113" s="4">
        <v>0.0706116432416247</v>
      </c>
      <c r="DY113" s="4">
        <v>0.437832836544612</v>
      </c>
    </row>
    <row r="114" ht="14" spans="1:129">
      <c r="A114" s="31" t="s">
        <v>112</v>
      </c>
      <c r="B114" s="2" t="str">
        <v/>
      </c>
      <c r="C114" s="2" t="str">
        <v/>
      </c>
      <c r="D114" s="2" t="str">
        <v/>
      </c>
      <c r="E114" s="2" t="str">
        <v/>
      </c>
      <c r="F114" s="2" t="str">
        <v/>
      </c>
      <c r="G114" s="2" t="str">
        <v/>
      </c>
      <c r="H114" s="2" t="str">
        <v/>
      </c>
      <c r="I114" s="2" t="str">
        <v/>
      </c>
      <c r="J114" s="2" t="str">
        <v/>
      </c>
      <c r="K114" s="2" t="str">
        <v/>
      </c>
      <c r="L114" s="2" t="str">
        <v/>
      </c>
      <c r="M114" s="2" t="str">
        <v/>
      </c>
      <c r="N114" s="2" t="str">
        <v/>
      </c>
      <c r="O114" s="2" t="str">
        <v/>
      </c>
      <c r="P114" s="2" t="str">
        <v/>
      </c>
      <c r="Q114" s="2" t="str">
        <v/>
      </c>
      <c r="R114" s="2" t="str">
        <v/>
      </c>
      <c r="S114" s="2" t="str">
        <v/>
      </c>
      <c r="T114" s="2" t="str">
        <v/>
      </c>
      <c r="U114" s="2" t="str">
        <v/>
      </c>
      <c r="V114" s="2" t="str">
        <v/>
      </c>
      <c r="W114" s="2" t="str">
        <v/>
      </c>
      <c r="X114" s="2" t="str">
        <v/>
      </c>
      <c r="Y114" s="2" t="str">
        <v/>
      </c>
      <c r="Z114" s="2" t="str">
        <v/>
      </c>
      <c r="AA114" s="2" t="str">
        <v/>
      </c>
      <c r="AB114" s="2" t="str">
        <v/>
      </c>
      <c r="AC114" s="2" t="str">
        <v/>
      </c>
      <c r="AD114" s="2" t="str">
        <v/>
      </c>
      <c r="AE114" s="2" t="str">
        <v/>
      </c>
      <c r="AF114" s="2" t="str">
        <v/>
      </c>
      <c r="AG114" s="2" t="str">
        <v/>
      </c>
      <c r="AH114" s="2" t="str">
        <v/>
      </c>
      <c r="AI114" s="2" t="str">
        <v/>
      </c>
      <c r="AJ114" s="2" t="str">
        <v/>
      </c>
      <c r="AK114" s="2" t="str">
        <v/>
      </c>
      <c r="AL114" s="2" t="str">
        <v/>
      </c>
      <c r="AM114" s="2" t="str">
        <v/>
      </c>
      <c r="AN114" s="2" t="str">
        <v/>
      </c>
      <c r="AO114" s="2" t="str">
        <v/>
      </c>
      <c r="AP114" s="2" t="str">
        <v/>
      </c>
      <c r="AQ114" s="2" t="str">
        <v/>
      </c>
      <c r="AR114" s="2" t="str">
        <v/>
      </c>
      <c r="AS114" s="2" t="str">
        <v/>
      </c>
      <c r="AT114" s="2" t="str">
        <v/>
      </c>
      <c r="AU114" s="2" t="str">
        <v/>
      </c>
      <c r="AV114" s="2" t="str">
        <v/>
      </c>
      <c r="AW114" s="2" t="str">
        <v/>
      </c>
      <c r="AX114" s="2" t="str">
        <v/>
      </c>
      <c r="AY114" s="2" t="str">
        <v/>
      </c>
      <c r="AZ114" s="2" t="str">
        <v/>
      </c>
      <c r="BA114" s="2" t="str">
        <v/>
      </c>
      <c r="BB114" s="2" t="str">
        <v/>
      </c>
      <c r="BC114" s="2" t="str">
        <v/>
      </c>
      <c r="BD114" s="2" t="str">
        <v/>
      </c>
      <c r="BE114" s="2" t="str">
        <v/>
      </c>
      <c r="BF114" s="2" t="str">
        <v/>
      </c>
      <c r="BG114" s="2" t="str">
        <v/>
      </c>
      <c r="BH114" s="2" t="str">
        <v/>
      </c>
      <c r="BI114" s="2" t="str">
        <v/>
      </c>
      <c r="BJ114" s="2" t="str">
        <v/>
      </c>
      <c r="BK114" s="2" t="str">
        <v/>
      </c>
      <c r="BL114" s="2" t="str">
        <v/>
      </c>
      <c r="BM114" s="2" t="str">
        <v/>
      </c>
      <c r="BN114" s="2" t="str">
        <v/>
      </c>
      <c r="BO114" s="2" t="str">
        <v/>
      </c>
      <c r="BP114" s="4" t="str">
        <v/>
      </c>
      <c r="BQ114" s="4" t="str">
        <v/>
      </c>
      <c r="BR114" s="4" t="str">
        <v/>
      </c>
      <c r="BS114" s="4" t="str">
        <v/>
      </c>
      <c r="BT114" s="4" t="str">
        <v/>
      </c>
      <c r="BU114" s="4" t="str">
        <v/>
      </c>
      <c r="BV114" s="4" t="str">
        <v/>
      </c>
      <c r="BW114" s="4" t="str">
        <v/>
      </c>
      <c r="BX114" s="4" t="str">
        <v/>
      </c>
      <c r="BY114" s="4" t="str">
        <v/>
      </c>
      <c r="BZ114" s="4" t="str">
        <v/>
      </c>
      <c r="CA114" s="4" t="str">
        <v/>
      </c>
      <c r="CB114" s="4" t="str">
        <v/>
      </c>
      <c r="CC114" s="4" t="str">
        <v/>
      </c>
      <c r="CD114" s="4" t="str">
        <v/>
      </c>
      <c r="CE114" s="4" t="str">
        <v/>
      </c>
      <c r="CF114" s="4" t="str">
        <v/>
      </c>
      <c r="CG114" s="4" t="str">
        <v/>
      </c>
      <c r="CH114" s="4" t="str">
        <v/>
      </c>
      <c r="CI114" s="4" t="str">
        <v/>
      </c>
      <c r="CJ114" s="4" t="str">
        <v/>
      </c>
      <c r="CK114" s="4" t="str">
        <v/>
      </c>
      <c r="CL114" s="4" t="str">
        <v/>
      </c>
      <c r="CM114" s="4" t="str">
        <v/>
      </c>
      <c r="CN114" s="4" t="str">
        <v/>
      </c>
      <c r="CO114" s="4" t="str">
        <v/>
      </c>
      <c r="CP114" s="4" t="str">
        <v/>
      </c>
      <c r="CQ114" s="4" t="str">
        <v/>
      </c>
      <c r="CR114" s="4" t="str">
        <v/>
      </c>
      <c r="CS114" s="4" t="str">
        <v/>
      </c>
      <c r="CT114" s="4" t="str">
        <v/>
      </c>
      <c r="CU114" s="4" t="str">
        <v/>
      </c>
      <c r="CV114" s="4" t="str">
        <v/>
      </c>
      <c r="CW114" s="4" t="str">
        <v/>
      </c>
      <c r="CX114" s="4" t="str">
        <v/>
      </c>
      <c r="CY114" s="4" t="str">
        <v/>
      </c>
      <c r="CZ114" s="4" t="str">
        <v/>
      </c>
      <c r="DA114" s="4" t="str">
        <v/>
      </c>
      <c r="DB114" s="4" t="str">
        <v/>
      </c>
      <c r="DC114" s="4" t="str">
        <v/>
      </c>
      <c r="DD114" s="4" t="str">
        <v/>
      </c>
      <c r="DE114" s="4" t="str">
        <v/>
      </c>
      <c r="DF114" s="4" t="str">
        <v/>
      </c>
      <c r="DG114" s="4" t="str">
        <v/>
      </c>
      <c r="DH114" s="4">
        <v>1</v>
      </c>
      <c r="DI114" s="4">
        <v>0.589054459627393</v>
      </c>
      <c r="DJ114" s="4">
        <v>0.530765612096466</v>
      </c>
      <c r="DK114" s="4">
        <v>0.497577209531563</v>
      </c>
      <c r="DL114" s="4">
        <v>0.545596264970159</v>
      </c>
      <c r="DM114" s="4">
        <v>0.558248686552351</v>
      </c>
      <c r="DN114" s="4">
        <v>0.613121593848366</v>
      </c>
      <c r="DO114" s="4">
        <v>0.48369177718415</v>
      </c>
      <c r="DP114" s="4">
        <v>0.561304704949197</v>
      </c>
      <c r="DQ114" s="4">
        <v>0.495924836430855</v>
      </c>
      <c r="DR114" s="4">
        <v>0.640513339120976</v>
      </c>
      <c r="DS114" s="4">
        <v>0.346002620379756</v>
      </c>
      <c r="DT114" s="4">
        <v>0.490218806076871</v>
      </c>
      <c r="DU114" s="4">
        <v>0.671715786226028</v>
      </c>
      <c r="DV114" s="4">
        <v>0.543941868696783</v>
      </c>
      <c r="DW114" s="4">
        <v>0.342498936885461</v>
      </c>
      <c r="DX114" s="4">
        <v>0.298352319297953</v>
      </c>
      <c r="DY114" s="4">
        <v>0.692267571076277</v>
      </c>
    </row>
    <row r="115" ht="14" spans="1:129">
      <c r="A115" s="31" t="s">
        <v>113</v>
      </c>
      <c r="B115" s="2" t="str">
        <v/>
      </c>
      <c r="C115" s="2" t="str">
        <v/>
      </c>
      <c r="D115" s="2" t="str">
        <v/>
      </c>
      <c r="E115" s="2" t="str">
        <v/>
      </c>
      <c r="F115" s="2" t="str">
        <v/>
      </c>
      <c r="G115" s="2" t="str">
        <v/>
      </c>
      <c r="H115" s="2" t="str">
        <v/>
      </c>
      <c r="I115" s="2" t="str">
        <v/>
      </c>
      <c r="J115" s="2" t="str">
        <v/>
      </c>
      <c r="K115" s="2" t="str">
        <v/>
      </c>
      <c r="L115" s="2" t="str">
        <v/>
      </c>
      <c r="M115" s="2" t="str">
        <v/>
      </c>
      <c r="N115" s="2" t="str">
        <v/>
      </c>
      <c r="O115" s="2" t="str">
        <v/>
      </c>
      <c r="P115" s="2" t="str">
        <v/>
      </c>
      <c r="Q115" s="2" t="str">
        <v/>
      </c>
      <c r="R115" s="2" t="str">
        <v/>
      </c>
      <c r="S115" s="2" t="str">
        <v/>
      </c>
      <c r="T115" s="2" t="str">
        <v/>
      </c>
      <c r="U115" s="2" t="str">
        <v/>
      </c>
      <c r="V115" s="2" t="str">
        <v/>
      </c>
      <c r="W115" s="2" t="str">
        <v/>
      </c>
      <c r="X115" s="2" t="str">
        <v/>
      </c>
      <c r="Y115" s="2" t="str">
        <v/>
      </c>
      <c r="Z115" s="2" t="str">
        <v/>
      </c>
      <c r="AA115" s="2" t="str">
        <v/>
      </c>
      <c r="AB115" s="2" t="str">
        <v/>
      </c>
      <c r="AC115" s="2" t="str">
        <v/>
      </c>
      <c r="AD115" s="2" t="str">
        <v/>
      </c>
      <c r="AE115" s="2" t="str">
        <v/>
      </c>
      <c r="AF115" s="2" t="str">
        <v/>
      </c>
      <c r="AG115" s="2" t="str">
        <v/>
      </c>
      <c r="AH115" s="2" t="str">
        <v/>
      </c>
      <c r="AI115" s="2" t="str">
        <v/>
      </c>
      <c r="AJ115" s="2" t="str">
        <v/>
      </c>
      <c r="AK115" s="2" t="str">
        <v/>
      </c>
      <c r="AL115" s="2" t="str">
        <v/>
      </c>
      <c r="AM115" s="2" t="str">
        <v/>
      </c>
      <c r="AN115" s="2" t="str">
        <v/>
      </c>
      <c r="AO115" s="2" t="str">
        <v/>
      </c>
      <c r="AP115" s="2" t="str">
        <v/>
      </c>
      <c r="AQ115" s="2" t="str">
        <v/>
      </c>
      <c r="AR115" s="2" t="str">
        <v/>
      </c>
      <c r="AS115" s="2" t="str">
        <v/>
      </c>
      <c r="AT115" s="2" t="str">
        <v/>
      </c>
      <c r="AU115" s="2" t="str">
        <v/>
      </c>
      <c r="AV115" s="2" t="str">
        <v/>
      </c>
      <c r="AW115" s="2" t="str">
        <v/>
      </c>
      <c r="AX115" s="2" t="str">
        <v/>
      </c>
      <c r="AY115" s="2" t="str">
        <v/>
      </c>
      <c r="AZ115" s="2" t="str">
        <v/>
      </c>
      <c r="BA115" s="2" t="str">
        <v/>
      </c>
      <c r="BB115" s="2" t="str">
        <v/>
      </c>
      <c r="BC115" s="2" t="str">
        <v/>
      </c>
      <c r="BD115" s="2" t="str">
        <v/>
      </c>
      <c r="BE115" s="2" t="str">
        <v/>
      </c>
      <c r="BF115" s="2" t="str">
        <v/>
      </c>
      <c r="BG115" s="2" t="str">
        <v/>
      </c>
      <c r="BH115" s="2" t="str">
        <v/>
      </c>
      <c r="BI115" s="2" t="str">
        <v/>
      </c>
      <c r="BJ115" s="2" t="str">
        <v/>
      </c>
      <c r="BK115" s="2" t="str">
        <v/>
      </c>
      <c r="BL115" s="2" t="str">
        <v/>
      </c>
      <c r="BM115" s="2" t="str">
        <v/>
      </c>
      <c r="BN115" s="2" t="str">
        <v/>
      </c>
      <c r="BO115" s="2" t="str">
        <v/>
      </c>
      <c r="BP115" s="4" t="str">
        <v/>
      </c>
      <c r="BQ115" s="4" t="str">
        <v/>
      </c>
      <c r="BR115" s="4" t="str">
        <v/>
      </c>
      <c r="BS115" s="4" t="str">
        <v/>
      </c>
      <c r="BT115" s="4" t="str">
        <v/>
      </c>
      <c r="BU115" s="4" t="str">
        <v/>
      </c>
      <c r="BV115" s="4" t="str">
        <v/>
      </c>
      <c r="BW115" s="4" t="str">
        <v/>
      </c>
      <c r="BX115" s="4" t="str">
        <v/>
      </c>
      <c r="BY115" s="4" t="str">
        <v/>
      </c>
      <c r="BZ115" s="4" t="str">
        <v/>
      </c>
      <c r="CA115" s="4" t="str">
        <v/>
      </c>
      <c r="CB115" s="4" t="str">
        <v/>
      </c>
      <c r="CC115" s="4" t="str">
        <v/>
      </c>
      <c r="CD115" s="4" t="str">
        <v/>
      </c>
      <c r="CE115" s="4" t="str">
        <v/>
      </c>
      <c r="CF115" s="4" t="str">
        <v/>
      </c>
      <c r="CG115" s="4" t="str">
        <v/>
      </c>
      <c r="CH115" s="4" t="str">
        <v/>
      </c>
      <c r="CI115" s="4" t="str">
        <v/>
      </c>
      <c r="CJ115" s="4" t="str">
        <v/>
      </c>
      <c r="CK115" s="4" t="str">
        <v/>
      </c>
      <c r="CL115" s="4" t="str">
        <v/>
      </c>
      <c r="CM115" s="2" t="str">
        <v/>
      </c>
      <c r="CN115" s="4" t="str">
        <v/>
      </c>
      <c r="CO115" s="4" t="str">
        <v/>
      </c>
      <c r="CP115" s="4" t="str">
        <v/>
      </c>
      <c r="CQ115" s="4" t="str">
        <v/>
      </c>
      <c r="CR115" s="4" t="str">
        <v/>
      </c>
      <c r="CS115" s="4" t="str">
        <v/>
      </c>
      <c r="CT115" s="4" t="str">
        <v/>
      </c>
      <c r="CU115" s="4" t="str">
        <v/>
      </c>
      <c r="CV115" s="4" t="str">
        <v/>
      </c>
      <c r="CW115" s="4" t="str">
        <v/>
      </c>
      <c r="CX115" s="4" t="str">
        <v/>
      </c>
      <c r="CY115" s="4" t="str">
        <v/>
      </c>
      <c r="CZ115" s="4" t="str">
        <v/>
      </c>
      <c r="DA115" s="4" t="str">
        <v/>
      </c>
      <c r="DB115" s="4" t="str">
        <v/>
      </c>
      <c r="DC115" s="4" t="str">
        <v/>
      </c>
      <c r="DD115" s="4" t="str">
        <v/>
      </c>
      <c r="DE115" s="4" t="str">
        <v/>
      </c>
      <c r="DF115" s="4" t="str">
        <v/>
      </c>
      <c r="DG115" s="4" t="str">
        <v/>
      </c>
      <c r="DH115" s="4" t="str">
        <v/>
      </c>
      <c r="DI115" s="4">
        <v>1</v>
      </c>
      <c r="DJ115" s="4">
        <v>0.888076136637388</v>
      </c>
      <c r="DK115" s="4">
        <v>0.87264876853796</v>
      </c>
      <c r="DL115" s="4">
        <v>0.819540969902144</v>
      </c>
      <c r="DM115" s="4">
        <v>0.890092897652293</v>
      </c>
      <c r="DN115" s="4">
        <v>0.842554410354565</v>
      </c>
      <c r="DO115" s="4">
        <v>0.812030211279406</v>
      </c>
      <c r="DP115" s="4">
        <v>0.867628565909627</v>
      </c>
      <c r="DQ115" s="4">
        <v>0.835853362624233</v>
      </c>
      <c r="DR115" s="4">
        <v>0.841735624085435</v>
      </c>
      <c r="DS115" s="4">
        <v>0.650163317938548</v>
      </c>
      <c r="DT115" s="4">
        <v>0.792286916411491</v>
      </c>
      <c r="DU115" s="4">
        <v>0.762169851324635</v>
      </c>
      <c r="DV115" s="4">
        <v>0.765346844327878</v>
      </c>
      <c r="DW115" s="4">
        <v>0.217308073177246</v>
      </c>
      <c r="DX115" s="4">
        <v>0.214415287582033</v>
      </c>
      <c r="DY115" s="4">
        <v>0.715238430931709</v>
      </c>
    </row>
    <row r="116" ht="14" spans="1:129">
      <c r="A116" s="31" t="s">
        <v>114</v>
      </c>
      <c r="B116" s="2" t="str">
        <v/>
      </c>
      <c r="C116" s="2" t="str">
        <v/>
      </c>
      <c r="D116" s="2" t="str">
        <v/>
      </c>
      <c r="E116" s="2" t="str">
        <v/>
      </c>
      <c r="F116" s="2" t="str">
        <v/>
      </c>
      <c r="G116" s="2" t="str">
        <v/>
      </c>
      <c r="H116" s="2" t="str">
        <v/>
      </c>
      <c r="I116" s="2" t="str">
        <v/>
      </c>
      <c r="J116" s="2" t="str">
        <v/>
      </c>
      <c r="K116" s="2" t="str">
        <v/>
      </c>
      <c r="L116" s="2" t="str">
        <v/>
      </c>
      <c r="M116" s="2" t="str">
        <v/>
      </c>
      <c r="N116" s="2" t="str">
        <v/>
      </c>
      <c r="O116" s="2" t="str">
        <v/>
      </c>
      <c r="P116" s="2" t="str">
        <v/>
      </c>
      <c r="Q116" s="2" t="str">
        <v/>
      </c>
      <c r="R116" s="2" t="str">
        <v/>
      </c>
      <c r="S116" s="2" t="str">
        <v/>
      </c>
      <c r="T116" s="2" t="str">
        <v/>
      </c>
      <c r="U116" s="2" t="str">
        <v/>
      </c>
      <c r="V116" s="2" t="str">
        <v/>
      </c>
      <c r="W116" s="2" t="str">
        <v/>
      </c>
      <c r="X116" s="2" t="str">
        <v/>
      </c>
      <c r="Y116" s="2" t="str">
        <v/>
      </c>
      <c r="Z116" s="2" t="str">
        <v/>
      </c>
      <c r="AA116" s="2" t="str">
        <v/>
      </c>
      <c r="AB116" s="2" t="str">
        <v/>
      </c>
      <c r="AC116" s="2" t="str">
        <v/>
      </c>
      <c r="AD116" s="2" t="str">
        <v/>
      </c>
      <c r="AE116" s="2" t="str">
        <v/>
      </c>
      <c r="AF116" s="2" t="str">
        <v/>
      </c>
      <c r="AG116" s="2" t="str">
        <v/>
      </c>
      <c r="AH116" s="2" t="str">
        <v/>
      </c>
      <c r="AI116" s="2" t="str">
        <v/>
      </c>
      <c r="AJ116" s="2" t="str">
        <v/>
      </c>
      <c r="AK116" s="2" t="str">
        <v/>
      </c>
      <c r="AL116" s="2" t="str">
        <v/>
      </c>
      <c r="AM116" s="2" t="str">
        <v/>
      </c>
      <c r="AN116" s="2" t="str">
        <v/>
      </c>
      <c r="AO116" s="2" t="str">
        <v/>
      </c>
      <c r="AP116" s="2" t="str">
        <v/>
      </c>
      <c r="AQ116" s="2" t="str">
        <v/>
      </c>
      <c r="AR116" s="2" t="str">
        <v/>
      </c>
      <c r="AS116" s="2" t="str">
        <v/>
      </c>
      <c r="AT116" s="2" t="str">
        <v/>
      </c>
      <c r="AU116" s="2" t="str">
        <v/>
      </c>
      <c r="AV116" s="2" t="str">
        <v/>
      </c>
      <c r="AW116" s="2" t="str">
        <v/>
      </c>
      <c r="AX116" s="2" t="str">
        <v/>
      </c>
      <c r="AY116" s="2" t="str">
        <v/>
      </c>
      <c r="AZ116" s="2" t="str">
        <v/>
      </c>
      <c r="BA116" s="2" t="str">
        <v/>
      </c>
      <c r="BB116" s="2" t="str">
        <v/>
      </c>
      <c r="BC116" s="2" t="str">
        <v/>
      </c>
      <c r="BD116" s="2" t="str">
        <v/>
      </c>
      <c r="BE116" s="2" t="str">
        <v/>
      </c>
      <c r="BF116" s="2" t="str">
        <v/>
      </c>
      <c r="BG116" s="2" t="str">
        <v/>
      </c>
      <c r="BH116" s="2" t="str">
        <v/>
      </c>
      <c r="BI116" s="2" t="str">
        <v/>
      </c>
      <c r="BJ116" s="2" t="str">
        <v/>
      </c>
      <c r="BK116" s="2" t="str">
        <v/>
      </c>
      <c r="BL116" s="2" t="str">
        <v/>
      </c>
      <c r="BM116" s="2" t="str">
        <v/>
      </c>
      <c r="BN116" s="2" t="str">
        <v/>
      </c>
      <c r="BO116" s="2" t="str">
        <v/>
      </c>
      <c r="BP116" s="4" t="str">
        <v/>
      </c>
      <c r="BQ116" s="4" t="str">
        <v/>
      </c>
      <c r="BR116" s="4" t="str">
        <v/>
      </c>
      <c r="BS116" s="4" t="str">
        <v/>
      </c>
      <c r="BT116" s="4" t="str">
        <v/>
      </c>
      <c r="BU116" s="4" t="str">
        <v/>
      </c>
      <c r="BV116" s="4" t="str">
        <v/>
      </c>
      <c r="BW116" s="4" t="str">
        <v/>
      </c>
      <c r="BX116" s="4" t="str">
        <v/>
      </c>
      <c r="BY116" s="4" t="str">
        <v/>
      </c>
      <c r="BZ116" s="4" t="str">
        <v/>
      </c>
      <c r="CA116" s="4" t="str">
        <v/>
      </c>
      <c r="CB116" s="4" t="str">
        <v/>
      </c>
      <c r="CC116" s="4" t="str">
        <v/>
      </c>
      <c r="CD116" s="4" t="str">
        <v/>
      </c>
      <c r="CE116" s="4" t="str">
        <v/>
      </c>
      <c r="CF116" s="4" t="str">
        <v/>
      </c>
      <c r="CG116" s="4" t="str">
        <v/>
      </c>
      <c r="CH116" s="4" t="str">
        <v/>
      </c>
      <c r="CI116" s="4" t="str">
        <v/>
      </c>
      <c r="CJ116" s="4" t="str">
        <v/>
      </c>
      <c r="CK116" s="4" t="str">
        <v/>
      </c>
      <c r="CL116" s="4" t="str">
        <v/>
      </c>
      <c r="CM116" s="2" t="str">
        <v/>
      </c>
      <c r="CN116" s="4" t="str">
        <v/>
      </c>
      <c r="CO116" s="4" t="str">
        <v/>
      </c>
      <c r="CP116" s="4" t="str">
        <v/>
      </c>
      <c r="CQ116" s="4" t="str">
        <v/>
      </c>
      <c r="CR116" s="4" t="str">
        <v/>
      </c>
      <c r="CS116" s="4" t="str">
        <v/>
      </c>
      <c r="CT116" s="4" t="str">
        <v/>
      </c>
      <c r="CU116" s="4" t="str">
        <v/>
      </c>
      <c r="CV116" s="4" t="str">
        <v/>
      </c>
      <c r="CW116" s="4" t="str">
        <v/>
      </c>
      <c r="CX116" s="4" t="str">
        <v/>
      </c>
      <c r="CY116" s="4" t="str">
        <v/>
      </c>
      <c r="CZ116" s="4" t="str">
        <v/>
      </c>
      <c r="DA116" s="4" t="str">
        <v/>
      </c>
      <c r="DB116" s="4" t="str">
        <v/>
      </c>
      <c r="DC116" s="4" t="str">
        <v/>
      </c>
      <c r="DD116" s="4" t="str">
        <v/>
      </c>
      <c r="DE116" s="4" t="str">
        <v/>
      </c>
      <c r="DF116" s="4" t="str">
        <v/>
      </c>
      <c r="DG116" s="4" t="str">
        <v/>
      </c>
      <c r="DH116" s="4" t="str">
        <v/>
      </c>
      <c r="DI116" s="4" t="str">
        <v/>
      </c>
      <c r="DJ116" s="4">
        <v>1</v>
      </c>
      <c r="DK116" s="4">
        <v>0.883863569821396</v>
      </c>
      <c r="DL116" s="4">
        <v>0.80968792416045</v>
      </c>
      <c r="DM116" s="4">
        <v>0.890312640408121</v>
      </c>
      <c r="DN116" s="4">
        <v>0.815714102149707</v>
      </c>
      <c r="DO116" s="4">
        <v>0.789630756262093</v>
      </c>
      <c r="DP116" s="4">
        <v>0.838157590490389</v>
      </c>
      <c r="DQ116" s="4">
        <v>0.814108303776157</v>
      </c>
      <c r="DR116" s="4">
        <v>0.819908945699769</v>
      </c>
      <c r="DS116" s="4">
        <v>0.649555555170157</v>
      </c>
      <c r="DT116" s="4">
        <v>0.772790320595359</v>
      </c>
      <c r="DU116" s="4">
        <v>0.776899004828352</v>
      </c>
      <c r="DV116" s="4">
        <v>0.756556033122935</v>
      </c>
      <c r="DW116" s="4">
        <v>0.205062975976526</v>
      </c>
      <c r="DX116" s="4">
        <v>0.2300498777127</v>
      </c>
      <c r="DY116" s="4">
        <v>0.686586722442698</v>
      </c>
    </row>
    <row r="117" ht="14" spans="1:129">
      <c r="A117" s="31" t="s">
        <v>115</v>
      </c>
      <c r="B117" s="2" t="str">
        <v/>
      </c>
      <c r="C117" s="2" t="str">
        <v/>
      </c>
      <c r="D117" s="2" t="str">
        <v/>
      </c>
      <c r="E117" s="2" t="str">
        <v/>
      </c>
      <c r="F117" s="2" t="str">
        <v/>
      </c>
      <c r="G117" s="2" t="str">
        <v/>
      </c>
      <c r="H117" s="2" t="str">
        <v/>
      </c>
      <c r="I117" s="2" t="str">
        <v/>
      </c>
      <c r="J117" s="2" t="str">
        <v/>
      </c>
      <c r="K117" s="2" t="str">
        <v/>
      </c>
      <c r="L117" s="2" t="str">
        <v/>
      </c>
      <c r="M117" s="2" t="str">
        <v/>
      </c>
      <c r="N117" s="2" t="str">
        <v/>
      </c>
      <c r="O117" s="2" t="str">
        <v/>
      </c>
      <c r="P117" s="2" t="str">
        <v/>
      </c>
      <c r="Q117" s="2" t="str">
        <v/>
      </c>
      <c r="R117" s="2" t="str">
        <v/>
      </c>
      <c r="S117" s="2" t="str">
        <v/>
      </c>
      <c r="T117" s="2" t="str">
        <v/>
      </c>
      <c r="U117" s="2" t="str">
        <v/>
      </c>
      <c r="V117" s="2" t="str">
        <v/>
      </c>
      <c r="W117" s="2" t="str">
        <v/>
      </c>
      <c r="X117" s="2" t="str">
        <v/>
      </c>
      <c r="Y117" s="2" t="str">
        <v/>
      </c>
      <c r="Z117" s="2" t="str">
        <v/>
      </c>
      <c r="AA117" s="2" t="str">
        <v/>
      </c>
      <c r="AB117" s="2" t="str">
        <v/>
      </c>
      <c r="AC117" s="2" t="str">
        <v/>
      </c>
      <c r="AD117" s="2" t="str">
        <v/>
      </c>
      <c r="AE117" s="2" t="str">
        <v/>
      </c>
      <c r="AF117" s="2" t="str">
        <v/>
      </c>
      <c r="AG117" s="2" t="str">
        <v/>
      </c>
      <c r="AH117" s="2" t="str">
        <v/>
      </c>
      <c r="AI117" s="2" t="str">
        <v/>
      </c>
      <c r="AJ117" s="2" t="str">
        <v/>
      </c>
      <c r="AK117" s="2" t="str">
        <v/>
      </c>
      <c r="AL117" s="2" t="str">
        <v/>
      </c>
      <c r="AM117" s="2" t="str">
        <v/>
      </c>
      <c r="AN117" s="2" t="str">
        <v/>
      </c>
      <c r="AO117" s="2" t="str">
        <v/>
      </c>
      <c r="AP117" s="2" t="str">
        <v/>
      </c>
      <c r="AQ117" s="2" t="str">
        <v/>
      </c>
      <c r="AR117" s="2" t="str">
        <v/>
      </c>
      <c r="AS117" s="2" t="str">
        <v/>
      </c>
      <c r="AT117" s="2" t="str">
        <v/>
      </c>
      <c r="AU117" s="2" t="str">
        <v/>
      </c>
      <c r="AV117" s="2" t="str">
        <v/>
      </c>
      <c r="AW117" s="2" t="str">
        <v/>
      </c>
      <c r="AX117" s="2" t="str">
        <v/>
      </c>
      <c r="AY117" s="2" t="str">
        <v/>
      </c>
      <c r="AZ117" s="2" t="str">
        <v/>
      </c>
      <c r="BA117" s="2" t="str">
        <v/>
      </c>
      <c r="BB117" s="2" t="str">
        <v/>
      </c>
      <c r="BC117" s="2" t="str">
        <v/>
      </c>
      <c r="BD117" s="2" t="str">
        <v/>
      </c>
      <c r="BE117" s="2" t="str">
        <v/>
      </c>
      <c r="BF117" s="2" t="str">
        <v/>
      </c>
      <c r="BG117" s="2" t="str">
        <v/>
      </c>
      <c r="BH117" s="2" t="str">
        <v/>
      </c>
      <c r="BI117" s="2" t="str">
        <v/>
      </c>
      <c r="BJ117" s="2" t="str">
        <v/>
      </c>
      <c r="BK117" s="2" t="str">
        <v/>
      </c>
      <c r="BL117" s="2" t="str">
        <v/>
      </c>
      <c r="BM117" s="2" t="str">
        <v/>
      </c>
      <c r="BN117" s="2" t="str">
        <v/>
      </c>
      <c r="BO117" s="2" t="str">
        <v/>
      </c>
      <c r="BP117" s="2" t="str">
        <v/>
      </c>
      <c r="BQ117" s="2" t="str">
        <v/>
      </c>
      <c r="BR117" s="2" t="str">
        <v/>
      </c>
      <c r="BS117" s="2" t="str">
        <v/>
      </c>
      <c r="BT117" s="2" t="str">
        <v/>
      </c>
      <c r="BU117" s="2" t="str">
        <v/>
      </c>
      <c r="BV117" s="2" t="str">
        <v/>
      </c>
      <c r="BW117" s="2" t="str">
        <v/>
      </c>
      <c r="BX117" s="2" t="str">
        <v/>
      </c>
      <c r="BY117" s="2" t="str">
        <v/>
      </c>
      <c r="BZ117" s="2" t="str">
        <v/>
      </c>
      <c r="CA117" s="2" t="str">
        <v/>
      </c>
      <c r="CB117" s="2" t="str">
        <v/>
      </c>
      <c r="CC117" s="2" t="str">
        <v/>
      </c>
      <c r="CD117" s="2" t="str">
        <v/>
      </c>
      <c r="CE117" s="2" t="str">
        <v/>
      </c>
      <c r="CF117" s="2" t="str">
        <v/>
      </c>
      <c r="CG117" s="2" t="str">
        <v/>
      </c>
      <c r="CH117" s="2" t="str">
        <v/>
      </c>
      <c r="CI117" s="2" t="str">
        <v/>
      </c>
      <c r="CJ117" s="2" t="str">
        <v/>
      </c>
      <c r="CK117" s="2" t="str">
        <v/>
      </c>
      <c r="CL117" s="2" t="str">
        <v/>
      </c>
      <c r="CM117" s="2" t="str">
        <v/>
      </c>
      <c r="CN117" s="4" t="str">
        <v/>
      </c>
      <c r="CO117" s="4" t="str">
        <v/>
      </c>
      <c r="CP117" s="4" t="str">
        <v/>
      </c>
      <c r="CQ117" s="4" t="str">
        <v/>
      </c>
      <c r="CR117" s="4" t="str">
        <v/>
      </c>
      <c r="CS117" s="4" t="str">
        <v/>
      </c>
      <c r="CT117" s="4" t="str">
        <v/>
      </c>
      <c r="CU117" s="4" t="str">
        <v/>
      </c>
      <c r="CV117" s="4" t="str">
        <v/>
      </c>
      <c r="CW117" s="4" t="str">
        <v/>
      </c>
      <c r="CX117" s="4" t="str">
        <v/>
      </c>
      <c r="CY117" s="4" t="str">
        <v/>
      </c>
      <c r="CZ117" s="4" t="str">
        <v/>
      </c>
      <c r="DA117" s="4" t="str">
        <v/>
      </c>
      <c r="DB117" s="4" t="str">
        <v/>
      </c>
      <c r="DC117" s="4" t="str">
        <v/>
      </c>
      <c r="DD117" s="4" t="str">
        <v/>
      </c>
      <c r="DE117" s="4" t="str">
        <v/>
      </c>
      <c r="DF117" s="4" t="str">
        <v/>
      </c>
      <c r="DG117" s="4" t="str">
        <v/>
      </c>
      <c r="DH117" s="4" t="str">
        <v/>
      </c>
      <c r="DI117" s="4" t="str">
        <v/>
      </c>
      <c r="DJ117" s="4" t="str">
        <v/>
      </c>
      <c r="DK117" s="4">
        <v>1</v>
      </c>
      <c r="DL117" s="4">
        <v>0.841568253006425</v>
      </c>
      <c r="DM117" s="4">
        <v>0.914062886751624</v>
      </c>
      <c r="DN117" s="4">
        <v>0.793521301945517</v>
      </c>
      <c r="DO117" s="4">
        <v>0.846581993584033</v>
      </c>
      <c r="DP117" s="4">
        <v>0.897989846007538</v>
      </c>
      <c r="DQ117" s="4">
        <v>0.853143720493924</v>
      </c>
      <c r="DR117" s="4">
        <v>0.879909449935656</v>
      </c>
      <c r="DS117" s="4">
        <v>0.678349960844628</v>
      </c>
      <c r="DT117" s="4">
        <v>0.795730622714125</v>
      </c>
      <c r="DU117" s="4">
        <v>0.834913419163645</v>
      </c>
      <c r="DV117" s="4">
        <v>0.809225438639396</v>
      </c>
      <c r="DW117" s="4">
        <v>0.244415101725856</v>
      </c>
      <c r="DX117" s="4">
        <v>0.214035996721136</v>
      </c>
      <c r="DY117" s="4">
        <v>0.633233869477848</v>
      </c>
    </row>
    <row r="118" ht="14" spans="1:129">
      <c r="A118" s="31" t="s">
        <v>116</v>
      </c>
      <c r="B118" s="2" t="str">
        <v/>
      </c>
      <c r="C118" s="2" t="str">
        <v/>
      </c>
      <c r="D118" s="2" t="str">
        <v/>
      </c>
      <c r="E118" s="2" t="str">
        <v/>
      </c>
      <c r="F118" s="2" t="str">
        <v/>
      </c>
      <c r="G118" s="2" t="str">
        <v/>
      </c>
      <c r="H118" s="2" t="str">
        <v/>
      </c>
      <c r="I118" s="2" t="str">
        <v/>
      </c>
      <c r="J118" s="2" t="str">
        <v/>
      </c>
      <c r="K118" s="2" t="str">
        <v/>
      </c>
      <c r="L118" s="2" t="str">
        <v/>
      </c>
      <c r="M118" s="2" t="str">
        <v/>
      </c>
      <c r="N118" s="2" t="str">
        <v/>
      </c>
      <c r="O118" s="2" t="str">
        <v/>
      </c>
      <c r="P118" s="2" t="str">
        <v/>
      </c>
      <c r="Q118" s="2" t="str">
        <v/>
      </c>
      <c r="R118" s="2" t="str">
        <v/>
      </c>
      <c r="S118" s="2" t="str">
        <v/>
      </c>
      <c r="T118" s="2" t="str">
        <v/>
      </c>
      <c r="U118" s="2" t="str">
        <v/>
      </c>
      <c r="V118" s="2" t="str">
        <v/>
      </c>
      <c r="W118" s="2" t="str">
        <v/>
      </c>
      <c r="X118" s="2" t="str">
        <v/>
      </c>
      <c r="Y118" s="2" t="str">
        <v/>
      </c>
      <c r="Z118" s="2" t="str">
        <v/>
      </c>
      <c r="AA118" s="2" t="str">
        <v/>
      </c>
      <c r="AB118" s="2" t="str">
        <v/>
      </c>
      <c r="AC118" s="2" t="str">
        <v/>
      </c>
      <c r="AD118" s="2" t="str">
        <v/>
      </c>
      <c r="AE118" s="2" t="str">
        <v/>
      </c>
      <c r="AF118" s="2" t="str">
        <v/>
      </c>
      <c r="AG118" s="2" t="str">
        <v/>
      </c>
      <c r="AH118" s="2" t="str">
        <v/>
      </c>
      <c r="AI118" s="2" t="str">
        <v/>
      </c>
      <c r="AJ118" s="2" t="str">
        <v/>
      </c>
      <c r="AK118" s="2" t="str">
        <v/>
      </c>
      <c r="AL118" s="2" t="str">
        <v/>
      </c>
      <c r="AM118" s="2" t="str">
        <v/>
      </c>
      <c r="AN118" s="2" t="str">
        <v/>
      </c>
      <c r="AO118" s="2" t="str">
        <v/>
      </c>
      <c r="AP118" s="2" t="str">
        <v/>
      </c>
      <c r="AQ118" s="2" t="str">
        <v/>
      </c>
      <c r="AR118" s="2" t="str">
        <v/>
      </c>
      <c r="AS118" s="2" t="str">
        <v/>
      </c>
      <c r="AT118" s="2" t="str">
        <v/>
      </c>
      <c r="AU118" s="2" t="str">
        <v/>
      </c>
      <c r="AV118" s="2" t="str">
        <v/>
      </c>
      <c r="AW118" s="2" t="str">
        <v/>
      </c>
      <c r="AX118" s="2" t="str">
        <v/>
      </c>
      <c r="AY118" s="2" t="str">
        <v/>
      </c>
      <c r="AZ118" s="2" t="str">
        <v/>
      </c>
      <c r="BA118" s="2" t="str">
        <v/>
      </c>
      <c r="BB118" s="2" t="str">
        <v/>
      </c>
      <c r="BC118" s="2" t="str">
        <v/>
      </c>
      <c r="BD118" s="2" t="str">
        <v/>
      </c>
      <c r="BE118" s="2" t="str">
        <v/>
      </c>
      <c r="BF118" s="2" t="str">
        <v/>
      </c>
      <c r="BG118" s="2" t="str">
        <v/>
      </c>
      <c r="BH118" s="2" t="str">
        <v/>
      </c>
      <c r="BI118" s="2" t="str">
        <v/>
      </c>
      <c r="BJ118" s="2" t="str">
        <v/>
      </c>
      <c r="BK118" s="2" t="str">
        <v/>
      </c>
      <c r="BL118" s="2" t="str">
        <v/>
      </c>
      <c r="BM118" s="2" t="str">
        <v/>
      </c>
      <c r="BN118" s="2" t="str">
        <v/>
      </c>
      <c r="BO118" s="2" t="str">
        <v/>
      </c>
      <c r="BP118" s="2" t="str">
        <v/>
      </c>
      <c r="BQ118" s="2" t="str">
        <v/>
      </c>
      <c r="BR118" s="2" t="str">
        <v/>
      </c>
      <c r="BS118" s="2" t="str">
        <v/>
      </c>
      <c r="BT118" s="2" t="str">
        <v/>
      </c>
      <c r="BU118" s="2" t="str">
        <v/>
      </c>
      <c r="BV118" s="2" t="str">
        <v/>
      </c>
      <c r="BW118" s="2" t="str">
        <v/>
      </c>
      <c r="BX118" s="2" t="str">
        <v/>
      </c>
      <c r="BY118" s="2" t="str">
        <v/>
      </c>
      <c r="BZ118" s="2" t="str">
        <v/>
      </c>
      <c r="CA118" s="2" t="str">
        <v/>
      </c>
      <c r="CB118" s="2" t="str">
        <v/>
      </c>
      <c r="CC118" s="2" t="str">
        <v/>
      </c>
      <c r="CD118" s="2" t="str">
        <v/>
      </c>
      <c r="CE118" s="2" t="str">
        <v/>
      </c>
      <c r="CF118" s="2" t="str">
        <v/>
      </c>
      <c r="CG118" s="2" t="str">
        <v/>
      </c>
      <c r="CH118" s="2" t="str">
        <v/>
      </c>
      <c r="CI118" s="2" t="str">
        <v/>
      </c>
      <c r="CJ118" s="2" t="str">
        <v/>
      </c>
      <c r="CK118" s="2" t="str">
        <v/>
      </c>
      <c r="CL118" s="2" t="str">
        <v/>
      </c>
      <c r="CM118" s="2" t="str">
        <v/>
      </c>
      <c r="CN118" s="4" t="str">
        <v/>
      </c>
      <c r="CO118" s="4" t="str">
        <v/>
      </c>
      <c r="CP118" s="4" t="str">
        <v/>
      </c>
      <c r="CQ118" s="4" t="str">
        <v/>
      </c>
      <c r="CR118" s="4" t="str">
        <v/>
      </c>
      <c r="CS118" s="4" t="str">
        <v/>
      </c>
      <c r="CT118" s="4" t="str">
        <v/>
      </c>
      <c r="CU118" s="4" t="str">
        <v/>
      </c>
      <c r="CV118" s="4" t="str">
        <v/>
      </c>
      <c r="CW118" s="4" t="str">
        <v/>
      </c>
      <c r="CX118" s="4" t="str">
        <v/>
      </c>
      <c r="CY118" s="4" t="str">
        <v/>
      </c>
      <c r="CZ118" s="4" t="str">
        <v/>
      </c>
      <c r="DA118" s="4" t="str">
        <v/>
      </c>
      <c r="DB118" s="4" t="str">
        <v/>
      </c>
      <c r="DC118" s="4" t="str">
        <v/>
      </c>
      <c r="DD118" s="4" t="str">
        <v/>
      </c>
      <c r="DE118" s="4" t="str">
        <v/>
      </c>
      <c r="DF118" s="4" t="str">
        <v/>
      </c>
      <c r="DG118" s="4" t="str">
        <v/>
      </c>
      <c r="DH118" s="4" t="str">
        <v/>
      </c>
      <c r="DI118" s="4" t="str">
        <v/>
      </c>
      <c r="DJ118" s="4" t="str">
        <v/>
      </c>
      <c r="DK118" s="4" t="str">
        <v/>
      </c>
      <c r="DL118" s="4">
        <v>1</v>
      </c>
      <c r="DM118" s="4">
        <v>0.925741827764408</v>
      </c>
      <c r="DN118" s="4">
        <v>0.808749472635897</v>
      </c>
      <c r="DO118" s="4">
        <v>0.82165872538042</v>
      </c>
      <c r="DP118" s="4">
        <v>0.86676489209543</v>
      </c>
      <c r="DQ118" s="4">
        <v>0.880033280370147</v>
      </c>
      <c r="DR118" s="4">
        <v>0.880399130923008</v>
      </c>
      <c r="DS118" s="4">
        <v>0.567637956120609</v>
      </c>
      <c r="DT118" s="4">
        <v>0.837766195674029</v>
      </c>
      <c r="DU118" s="4">
        <v>0.826539737139315</v>
      </c>
      <c r="DV118" s="4">
        <v>0.8363002204948</v>
      </c>
      <c r="DW118" s="4">
        <v>0.311219301829191</v>
      </c>
      <c r="DX118" s="4">
        <v>0.199452237114529</v>
      </c>
      <c r="DY118" s="4">
        <v>0.724440106118984</v>
      </c>
    </row>
    <row r="119" ht="14" spans="1:129">
      <c r="A119" s="31" t="s">
        <v>117</v>
      </c>
      <c r="B119" s="2" t="str">
        <v/>
      </c>
      <c r="C119" s="2" t="str">
        <v/>
      </c>
      <c r="D119" s="2" t="str">
        <v/>
      </c>
      <c r="E119" s="2" t="str">
        <v/>
      </c>
      <c r="F119" s="2" t="str">
        <v/>
      </c>
      <c r="G119" s="2" t="str">
        <v/>
      </c>
      <c r="H119" s="2" t="str">
        <v/>
      </c>
      <c r="I119" s="2" t="str">
        <v/>
      </c>
      <c r="J119" s="2" t="str">
        <v/>
      </c>
      <c r="K119" s="2" t="str">
        <v/>
      </c>
      <c r="L119" s="2" t="str">
        <v/>
      </c>
      <c r="M119" s="2" t="str">
        <v/>
      </c>
      <c r="N119" s="2" t="str">
        <v/>
      </c>
      <c r="O119" s="2" t="str">
        <v/>
      </c>
      <c r="P119" s="2" t="str">
        <v/>
      </c>
      <c r="Q119" s="2" t="str">
        <v/>
      </c>
      <c r="R119" s="2" t="str">
        <v/>
      </c>
      <c r="S119" s="2" t="str">
        <v/>
      </c>
      <c r="T119" s="2" t="str">
        <v/>
      </c>
      <c r="U119" s="2" t="str">
        <v/>
      </c>
      <c r="V119" s="2" t="str">
        <v/>
      </c>
      <c r="W119" s="2" t="str">
        <v/>
      </c>
      <c r="X119" s="2" t="str">
        <v/>
      </c>
      <c r="Y119" s="2" t="str">
        <v/>
      </c>
      <c r="Z119" s="2" t="str">
        <v/>
      </c>
      <c r="AA119" s="2" t="str">
        <v/>
      </c>
      <c r="AB119" s="2" t="str">
        <v/>
      </c>
      <c r="AC119" s="2" t="str">
        <v/>
      </c>
      <c r="AD119" s="2" t="str">
        <v/>
      </c>
      <c r="AE119" s="2" t="str">
        <v/>
      </c>
      <c r="AF119" s="2" t="str">
        <v/>
      </c>
      <c r="AG119" s="2" t="str">
        <v/>
      </c>
      <c r="AH119" s="2" t="str">
        <v/>
      </c>
      <c r="AI119" s="2" t="str">
        <v/>
      </c>
      <c r="AJ119" s="2" t="str">
        <v/>
      </c>
      <c r="AK119" s="2" t="str">
        <v/>
      </c>
      <c r="AL119" s="2" t="str">
        <v/>
      </c>
      <c r="AM119" s="2" t="str">
        <v/>
      </c>
      <c r="AN119" s="2" t="str">
        <v/>
      </c>
      <c r="AO119" s="2" t="str">
        <v/>
      </c>
      <c r="AP119" s="2" t="str">
        <v/>
      </c>
      <c r="AQ119" s="2" t="str">
        <v/>
      </c>
      <c r="AR119" s="2" t="str">
        <v/>
      </c>
      <c r="AS119" s="2" t="str">
        <v/>
      </c>
      <c r="AT119" s="2" t="str">
        <v/>
      </c>
      <c r="AU119" s="2" t="str">
        <v/>
      </c>
      <c r="AV119" s="2" t="str">
        <v/>
      </c>
      <c r="AW119" s="2" t="str">
        <v/>
      </c>
      <c r="AX119" s="2" t="str">
        <v/>
      </c>
      <c r="AY119" s="2" t="str">
        <v/>
      </c>
      <c r="AZ119" s="2" t="str">
        <v/>
      </c>
      <c r="BA119" s="2" t="str">
        <v/>
      </c>
      <c r="BB119" s="2" t="str">
        <v/>
      </c>
      <c r="BC119" s="2" t="str">
        <v/>
      </c>
      <c r="BD119" s="2" t="str">
        <v/>
      </c>
      <c r="BE119" s="2" t="str">
        <v/>
      </c>
      <c r="BF119" s="2" t="str">
        <v/>
      </c>
      <c r="BG119" s="2" t="str">
        <v/>
      </c>
      <c r="BH119" s="2" t="str">
        <v/>
      </c>
      <c r="BI119" s="2" t="str">
        <v/>
      </c>
      <c r="BJ119" s="2" t="str">
        <v/>
      </c>
      <c r="BK119" s="2" t="str">
        <v/>
      </c>
      <c r="BL119" s="2" t="str">
        <v/>
      </c>
      <c r="BM119" s="2" t="str">
        <v/>
      </c>
      <c r="BN119" s="2" t="str">
        <v/>
      </c>
      <c r="BO119" s="2" t="str">
        <v/>
      </c>
      <c r="BP119" s="2" t="str">
        <v/>
      </c>
      <c r="BQ119" s="2" t="str">
        <v/>
      </c>
      <c r="BR119" s="2" t="str">
        <v/>
      </c>
      <c r="BS119" s="2" t="str">
        <v/>
      </c>
      <c r="BT119" s="2" t="str">
        <v/>
      </c>
      <c r="BU119" s="2" t="str">
        <v/>
      </c>
      <c r="BV119" s="2" t="str">
        <v/>
      </c>
      <c r="BW119" s="2" t="str">
        <v/>
      </c>
      <c r="BX119" s="2" t="str">
        <v/>
      </c>
      <c r="BY119" s="2" t="str">
        <v/>
      </c>
      <c r="BZ119" s="2" t="str">
        <v/>
      </c>
      <c r="CA119" s="2" t="str">
        <v/>
      </c>
      <c r="CB119" s="2" t="str">
        <v/>
      </c>
      <c r="CC119" s="2" t="str">
        <v/>
      </c>
      <c r="CD119" s="2" t="str">
        <v/>
      </c>
      <c r="CE119" s="2" t="str">
        <v/>
      </c>
      <c r="CF119" s="2" t="str">
        <v/>
      </c>
      <c r="CG119" s="2" t="str">
        <v/>
      </c>
      <c r="CH119" s="2" t="str">
        <v/>
      </c>
      <c r="CI119" s="2" t="str">
        <v/>
      </c>
      <c r="CJ119" s="2" t="str">
        <v/>
      </c>
      <c r="CK119" s="2" t="str">
        <v/>
      </c>
      <c r="CL119" s="2" t="str">
        <v/>
      </c>
      <c r="CM119" s="2" t="str">
        <v/>
      </c>
      <c r="CN119" s="2" t="str">
        <v/>
      </c>
      <c r="CO119" s="2" t="str">
        <v/>
      </c>
      <c r="CP119" s="2" t="str">
        <v/>
      </c>
      <c r="CQ119" s="2" t="str">
        <v/>
      </c>
      <c r="CR119" s="2" t="str">
        <v/>
      </c>
      <c r="CS119" s="2" t="str">
        <v/>
      </c>
      <c r="CT119" s="2" t="str">
        <v/>
      </c>
      <c r="CU119" s="2" t="str">
        <v/>
      </c>
      <c r="CV119" s="2" t="str">
        <v/>
      </c>
      <c r="CW119" s="2" t="str">
        <v/>
      </c>
      <c r="CX119" s="2" t="str">
        <v/>
      </c>
      <c r="CY119" s="2" t="str">
        <v/>
      </c>
      <c r="CZ119" s="2" t="str">
        <v/>
      </c>
      <c r="DA119" s="2" t="str">
        <v/>
      </c>
      <c r="DB119" s="2" t="str">
        <v/>
      </c>
      <c r="DC119" s="2" t="str">
        <v/>
      </c>
      <c r="DD119" s="2" t="str">
        <v/>
      </c>
      <c r="DE119" s="2" t="str">
        <v/>
      </c>
      <c r="DF119" s="2" t="str">
        <v/>
      </c>
      <c r="DG119" s="2" t="str">
        <v/>
      </c>
      <c r="DH119" s="2" t="str">
        <v/>
      </c>
      <c r="DI119" s="4" t="str">
        <v/>
      </c>
      <c r="DJ119" s="4" t="str">
        <v/>
      </c>
      <c r="DK119" s="4" t="str">
        <v/>
      </c>
      <c r="DL119" s="4" t="str">
        <v/>
      </c>
      <c r="DM119" s="4">
        <v>1</v>
      </c>
      <c r="DN119" s="4">
        <v>0.861010755433969</v>
      </c>
      <c r="DO119" s="4">
        <v>0.840528645054731</v>
      </c>
      <c r="DP119" s="4">
        <v>0.888798802733945</v>
      </c>
      <c r="DQ119" s="4">
        <v>0.903606377729499</v>
      </c>
      <c r="DR119" s="4">
        <v>0.924949659817115</v>
      </c>
      <c r="DS119" s="4">
        <v>0.653871314943928</v>
      </c>
      <c r="DT119" s="4">
        <v>0.859137375365818</v>
      </c>
      <c r="DU119" s="4">
        <v>0.865155592855483</v>
      </c>
      <c r="DV119" s="4">
        <v>0.831625625033384</v>
      </c>
      <c r="DW119" s="4">
        <v>0.236606756482605</v>
      </c>
      <c r="DX119" s="4">
        <v>0.292001172955912</v>
      </c>
      <c r="DY119" s="4">
        <v>0.756589776284714</v>
      </c>
    </row>
    <row r="120" ht="14" spans="1:129">
      <c r="A120" s="31" t="s">
        <v>118</v>
      </c>
      <c r="B120" s="2" t="str">
        <v/>
      </c>
      <c r="C120" s="2" t="str">
        <v/>
      </c>
      <c r="D120" s="2" t="str">
        <v/>
      </c>
      <c r="E120" s="2" t="str">
        <v/>
      </c>
      <c r="F120" s="2" t="str">
        <v/>
      </c>
      <c r="G120" s="2" t="str">
        <v/>
      </c>
      <c r="H120" s="2" t="str">
        <v/>
      </c>
      <c r="I120" s="2" t="str">
        <v/>
      </c>
      <c r="J120" s="2" t="str">
        <v/>
      </c>
      <c r="K120" s="2" t="str">
        <v/>
      </c>
      <c r="L120" s="2" t="str">
        <v/>
      </c>
      <c r="M120" s="2" t="str">
        <v/>
      </c>
      <c r="N120" s="2" t="str">
        <v/>
      </c>
      <c r="O120" s="2" t="str">
        <v/>
      </c>
      <c r="P120" s="2" t="str">
        <v/>
      </c>
      <c r="Q120" s="2" t="str">
        <v/>
      </c>
      <c r="R120" s="2" t="str">
        <v/>
      </c>
      <c r="S120" s="2" t="str">
        <v/>
      </c>
      <c r="T120" s="2" t="str">
        <v/>
      </c>
      <c r="U120" s="2" t="str">
        <v/>
      </c>
      <c r="V120" s="2" t="str">
        <v/>
      </c>
      <c r="W120" s="2" t="str">
        <v/>
      </c>
      <c r="X120" s="2" t="str">
        <v/>
      </c>
      <c r="Y120" s="2" t="str">
        <v/>
      </c>
      <c r="Z120" s="2" t="str">
        <v/>
      </c>
      <c r="AA120" s="2" t="str">
        <v/>
      </c>
      <c r="AB120" s="2" t="str">
        <v/>
      </c>
      <c r="AC120" s="2" t="str">
        <v/>
      </c>
      <c r="AD120" s="2" t="str">
        <v/>
      </c>
      <c r="AE120" s="2" t="str">
        <v/>
      </c>
      <c r="AF120" s="2" t="str">
        <v/>
      </c>
      <c r="AG120" s="2" t="str">
        <v/>
      </c>
      <c r="AH120" s="2" t="str">
        <v/>
      </c>
      <c r="AI120" s="2" t="str">
        <v/>
      </c>
      <c r="AJ120" s="2" t="str">
        <v/>
      </c>
      <c r="AK120" s="2" t="str">
        <v/>
      </c>
      <c r="AL120" s="2" t="str">
        <v/>
      </c>
      <c r="AM120" s="2" t="str">
        <v/>
      </c>
      <c r="AN120" s="2" t="str">
        <v/>
      </c>
      <c r="AO120" s="2" t="str">
        <v/>
      </c>
      <c r="AP120" s="2" t="str">
        <v/>
      </c>
      <c r="AQ120" s="2" t="str">
        <v/>
      </c>
      <c r="AR120" s="2" t="str">
        <v/>
      </c>
      <c r="AS120" s="2" t="str">
        <v/>
      </c>
      <c r="AT120" s="2" t="str">
        <v/>
      </c>
      <c r="AU120" s="2" t="str">
        <v/>
      </c>
      <c r="AV120" s="2" t="str">
        <v/>
      </c>
      <c r="AW120" s="2" t="str">
        <v/>
      </c>
      <c r="AX120" s="2" t="str">
        <v/>
      </c>
      <c r="AY120" s="2" t="str">
        <v/>
      </c>
      <c r="AZ120" s="2" t="str">
        <v/>
      </c>
      <c r="BA120" s="2" t="str">
        <v/>
      </c>
      <c r="BB120" s="2" t="str">
        <v/>
      </c>
      <c r="BC120" s="2" t="str">
        <v/>
      </c>
      <c r="BD120" s="2" t="str">
        <v/>
      </c>
      <c r="BE120" s="2" t="str">
        <v/>
      </c>
      <c r="BF120" s="2" t="str">
        <v/>
      </c>
      <c r="BG120" s="2" t="str">
        <v/>
      </c>
      <c r="BH120" s="2" t="str">
        <v/>
      </c>
      <c r="BI120" s="2" t="str">
        <v/>
      </c>
      <c r="BJ120" s="2" t="str">
        <v/>
      </c>
      <c r="BK120" s="2" t="str">
        <v/>
      </c>
      <c r="BL120" s="2" t="str">
        <v/>
      </c>
      <c r="BM120" s="2" t="str">
        <v/>
      </c>
      <c r="BN120" s="2" t="str">
        <v/>
      </c>
      <c r="BO120" s="2" t="str">
        <v/>
      </c>
      <c r="BP120" s="2" t="str">
        <v/>
      </c>
      <c r="BQ120" s="2" t="str">
        <v/>
      </c>
      <c r="BR120" s="2" t="str">
        <v/>
      </c>
      <c r="BS120" s="2" t="str">
        <v/>
      </c>
      <c r="BT120" s="2" t="str">
        <v/>
      </c>
      <c r="BU120" s="2" t="str">
        <v/>
      </c>
      <c r="BV120" s="2" t="str">
        <v/>
      </c>
      <c r="BW120" s="2" t="str">
        <v/>
      </c>
      <c r="BX120" s="2" t="str">
        <v/>
      </c>
      <c r="BY120" s="2" t="str">
        <v/>
      </c>
      <c r="BZ120" s="2" t="str">
        <v/>
      </c>
      <c r="CA120" s="2" t="str">
        <v/>
      </c>
      <c r="CB120" s="2" t="str">
        <v/>
      </c>
      <c r="CC120" s="2" t="str">
        <v/>
      </c>
      <c r="CD120" s="2" t="str">
        <v/>
      </c>
      <c r="CE120" s="2" t="str">
        <v/>
      </c>
      <c r="CF120" s="2" t="str">
        <v/>
      </c>
      <c r="CG120" s="2" t="str">
        <v/>
      </c>
      <c r="CH120" s="2" t="str">
        <v/>
      </c>
      <c r="CI120" s="2" t="str">
        <v/>
      </c>
      <c r="CJ120" s="2" t="str">
        <v/>
      </c>
      <c r="CK120" s="2" t="str">
        <v/>
      </c>
      <c r="CL120" s="2" t="str">
        <v/>
      </c>
      <c r="CM120" s="2" t="str">
        <v/>
      </c>
      <c r="CN120" s="2" t="str">
        <v/>
      </c>
      <c r="CO120" s="2" t="str">
        <v/>
      </c>
      <c r="CP120" s="2" t="str">
        <v/>
      </c>
      <c r="CQ120" s="2" t="str">
        <v/>
      </c>
      <c r="CR120" s="2" t="str">
        <v/>
      </c>
      <c r="CS120" s="2" t="str">
        <v/>
      </c>
      <c r="CT120" s="2" t="str">
        <v/>
      </c>
      <c r="CU120" s="2" t="str">
        <v/>
      </c>
      <c r="CV120" s="2" t="str">
        <v/>
      </c>
      <c r="CW120" s="2" t="str">
        <v/>
      </c>
      <c r="CX120" s="2" t="str">
        <v/>
      </c>
      <c r="CY120" s="2" t="str">
        <v/>
      </c>
      <c r="CZ120" s="2" t="str">
        <v/>
      </c>
      <c r="DA120" s="2" t="str">
        <v/>
      </c>
      <c r="DB120" s="2" t="str">
        <v/>
      </c>
      <c r="DC120" s="2" t="str">
        <v/>
      </c>
      <c r="DD120" s="2" t="str">
        <v/>
      </c>
      <c r="DE120" s="2" t="str">
        <v/>
      </c>
      <c r="DF120" s="2" t="str">
        <v/>
      </c>
      <c r="DG120" s="2" t="str">
        <v/>
      </c>
      <c r="DH120" s="2" t="str">
        <v/>
      </c>
      <c r="DI120" s="4" t="str">
        <v/>
      </c>
      <c r="DJ120" s="4" t="str">
        <v/>
      </c>
      <c r="DK120" s="4" t="str">
        <v/>
      </c>
      <c r="DL120" s="4" t="str">
        <v/>
      </c>
      <c r="DM120" s="4" t="str">
        <v/>
      </c>
      <c r="DN120" s="4">
        <v>1</v>
      </c>
      <c r="DO120" s="4">
        <v>0.782454985877686</v>
      </c>
      <c r="DP120" s="4">
        <v>0.824831124110954</v>
      </c>
      <c r="DQ120" s="4">
        <v>0.818153271627125</v>
      </c>
      <c r="DR120" s="4">
        <v>0.830885383590288</v>
      </c>
      <c r="DS120" s="4">
        <v>0.576997773964022</v>
      </c>
      <c r="DT120" s="4">
        <v>0.820740358048573</v>
      </c>
      <c r="DU120" s="4">
        <v>0.820186385273218</v>
      </c>
      <c r="DV120" s="4">
        <v>0.810873633477313</v>
      </c>
      <c r="DW120" s="4">
        <v>0.18201035229902</v>
      </c>
      <c r="DX120" s="4">
        <v>0.266688203818571</v>
      </c>
      <c r="DY120" s="4">
        <v>0.717835143300646</v>
      </c>
    </row>
    <row r="121" ht="14" spans="1:129">
      <c r="A121" s="31" t="s">
        <v>119</v>
      </c>
      <c r="B121" s="2" t="str">
        <v/>
      </c>
      <c r="C121" s="2" t="str">
        <v/>
      </c>
      <c r="D121" s="2" t="str">
        <v/>
      </c>
      <c r="E121" s="2" t="str">
        <v/>
      </c>
      <c r="F121" s="2" t="str">
        <v/>
      </c>
      <c r="G121" s="2" t="str">
        <v/>
      </c>
      <c r="H121" s="2" t="str">
        <v/>
      </c>
      <c r="I121" s="2" t="str">
        <v/>
      </c>
      <c r="J121" s="2" t="str">
        <v/>
      </c>
      <c r="K121" s="2" t="str">
        <v/>
      </c>
      <c r="L121" s="2" t="str">
        <v/>
      </c>
      <c r="M121" s="2" t="str">
        <v/>
      </c>
      <c r="N121" s="2" t="str">
        <v/>
      </c>
      <c r="O121" s="2" t="str">
        <v/>
      </c>
      <c r="P121" s="2" t="str">
        <v/>
      </c>
      <c r="Q121" s="2" t="str">
        <v/>
      </c>
      <c r="R121" s="2" t="str">
        <v/>
      </c>
      <c r="S121" s="2" t="str">
        <v/>
      </c>
      <c r="T121" s="2" t="str">
        <v/>
      </c>
      <c r="U121" s="2" t="str">
        <v/>
      </c>
      <c r="V121" s="2" t="str">
        <v/>
      </c>
      <c r="W121" s="2" t="str">
        <v/>
      </c>
      <c r="X121" s="2" t="str">
        <v/>
      </c>
      <c r="Y121" s="2" t="str">
        <v/>
      </c>
      <c r="Z121" s="2" t="str">
        <v/>
      </c>
      <c r="AA121" s="2" t="str">
        <v/>
      </c>
      <c r="AB121" s="2" t="str">
        <v/>
      </c>
      <c r="AC121" s="2" t="str">
        <v/>
      </c>
      <c r="AD121" s="2" t="str">
        <v/>
      </c>
      <c r="AE121" s="2" t="str">
        <v/>
      </c>
      <c r="AF121" s="2" t="str">
        <v/>
      </c>
      <c r="AG121" s="2" t="str">
        <v/>
      </c>
      <c r="AH121" s="2" t="str">
        <v/>
      </c>
      <c r="AI121" s="2" t="str">
        <v/>
      </c>
      <c r="AJ121" s="2" t="str">
        <v/>
      </c>
      <c r="AK121" s="2" t="str">
        <v/>
      </c>
      <c r="AL121" s="2" t="str">
        <v/>
      </c>
      <c r="AM121" s="2" t="str">
        <v/>
      </c>
      <c r="AN121" s="2" t="str">
        <v/>
      </c>
      <c r="AO121" s="2" t="str">
        <v/>
      </c>
      <c r="AP121" s="2" t="str">
        <v/>
      </c>
      <c r="AQ121" s="2" t="str">
        <v/>
      </c>
      <c r="AR121" s="2" t="str">
        <v/>
      </c>
      <c r="AS121" s="2" t="str">
        <v/>
      </c>
      <c r="AT121" s="2" t="str">
        <v/>
      </c>
      <c r="AU121" s="2" t="str">
        <v/>
      </c>
      <c r="AV121" s="2" t="str">
        <v/>
      </c>
      <c r="AW121" s="2" t="str">
        <v/>
      </c>
      <c r="AX121" s="2" t="str">
        <v/>
      </c>
      <c r="AY121" s="2" t="str">
        <v/>
      </c>
      <c r="AZ121" s="2" t="str">
        <v/>
      </c>
      <c r="BA121" s="2" t="str">
        <v/>
      </c>
      <c r="BB121" s="2" t="str">
        <v/>
      </c>
      <c r="BC121" s="2" t="str">
        <v/>
      </c>
      <c r="BD121" s="2" t="str">
        <v/>
      </c>
      <c r="BE121" s="2" t="str">
        <v/>
      </c>
      <c r="BF121" s="2" t="str">
        <v/>
      </c>
      <c r="BG121" s="2" t="str">
        <v/>
      </c>
      <c r="BH121" s="2" t="str">
        <v/>
      </c>
      <c r="BI121" s="2" t="str">
        <v/>
      </c>
      <c r="BJ121" s="2" t="str">
        <v/>
      </c>
      <c r="BK121" s="2" t="str">
        <v/>
      </c>
      <c r="BL121" s="2" t="str">
        <v/>
      </c>
      <c r="BM121" s="2" t="str">
        <v/>
      </c>
      <c r="BN121" s="2" t="str">
        <v/>
      </c>
      <c r="BO121" s="2" t="str">
        <v/>
      </c>
      <c r="BP121" s="2" t="str">
        <v/>
      </c>
      <c r="BQ121" s="2" t="str">
        <v/>
      </c>
      <c r="BR121" s="2" t="str">
        <v/>
      </c>
      <c r="BS121" s="2" t="str">
        <v/>
      </c>
      <c r="BT121" s="2" t="str">
        <v/>
      </c>
      <c r="BU121" s="2" t="str">
        <v/>
      </c>
      <c r="BV121" s="2" t="str">
        <v/>
      </c>
      <c r="BW121" s="2" t="str">
        <v/>
      </c>
      <c r="BX121" s="2" t="str">
        <v/>
      </c>
      <c r="BY121" s="2" t="str">
        <v/>
      </c>
      <c r="BZ121" s="2" t="str">
        <v/>
      </c>
      <c r="CA121" s="2" t="str">
        <v/>
      </c>
      <c r="CB121" s="2" t="str">
        <v/>
      </c>
      <c r="CC121" s="2" t="str">
        <v/>
      </c>
      <c r="CD121" s="2" t="str">
        <v/>
      </c>
      <c r="CE121" s="2" t="str">
        <v/>
      </c>
      <c r="CF121" s="2" t="str">
        <v/>
      </c>
      <c r="CG121" s="2" t="str">
        <v/>
      </c>
      <c r="CH121" s="2" t="str">
        <v/>
      </c>
      <c r="CI121" s="2" t="str">
        <v/>
      </c>
      <c r="CJ121" s="2" t="str">
        <v/>
      </c>
      <c r="CK121" s="2" t="str">
        <v/>
      </c>
      <c r="CL121" s="2" t="str">
        <v/>
      </c>
      <c r="CM121" s="2" t="str">
        <v/>
      </c>
      <c r="CN121" s="2" t="str">
        <v/>
      </c>
      <c r="CO121" s="2" t="str">
        <v/>
      </c>
      <c r="CP121" s="2" t="str">
        <v/>
      </c>
      <c r="CQ121" s="2" t="str">
        <v/>
      </c>
      <c r="CR121" s="2" t="str">
        <v/>
      </c>
      <c r="CS121" s="2" t="str">
        <v/>
      </c>
      <c r="CT121" s="2" t="str">
        <v/>
      </c>
      <c r="CU121" s="2" t="str">
        <v/>
      </c>
      <c r="CV121" s="2" t="str">
        <v/>
      </c>
      <c r="CW121" s="2" t="str">
        <v/>
      </c>
      <c r="CX121" s="2" t="str">
        <v/>
      </c>
      <c r="CY121" s="2" t="str">
        <v/>
      </c>
      <c r="CZ121" s="2" t="str">
        <v/>
      </c>
      <c r="DA121" s="2" t="str">
        <v/>
      </c>
      <c r="DB121" s="2" t="str">
        <v/>
      </c>
      <c r="DC121" s="2" t="str">
        <v/>
      </c>
      <c r="DD121" s="2" t="str">
        <v/>
      </c>
      <c r="DE121" s="2" t="str">
        <v/>
      </c>
      <c r="DF121" s="2" t="str">
        <v/>
      </c>
      <c r="DG121" s="2" t="str">
        <v/>
      </c>
      <c r="DH121" s="2" t="str">
        <v/>
      </c>
      <c r="DI121" s="4" t="str">
        <v/>
      </c>
      <c r="DJ121" s="4" t="str">
        <v/>
      </c>
      <c r="DK121" s="4" t="str">
        <v/>
      </c>
      <c r="DL121" s="4" t="str">
        <v/>
      </c>
      <c r="DM121" s="4" t="str">
        <v/>
      </c>
      <c r="DN121" s="4" t="str">
        <v/>
      </c>
      <c r="DO121" s="4">
        <v>1</v>
      </c>
      <c r="DP121" s="4">
        <v>0.861994443600747</v>
      </c>
      <c r="DQ121" s="4">
        <v>0.861208691361867</v>
      </c>
      <c r="DR121" s="4">
        <v>0.812982395386589</v>
      </c>
      <c r="DS121" s="4">
        <v>0.571834028630284</v>
      </c>
      <c r="DT121" s="4">
        <v>0.818779893186177</v>
      </c>
      <c r="DU121" s="4">
        <v>0.789786820060874</v>
      </c>
      <c r="DV121" s="4">
        <v>0.870062383573362</v>
      </c>
      <c r="DW121" s="4">
        <v>0.314787837381861</v>
      </c>
      <c r="DX121" s="4">
        <v>0.156378615266882</v>
      </c>
      <c r="DY121" s="4">
        <v>0.660005083268499</v>
      </c>
    </row>
    <row r="122" ht="14" spans="1:129">
      <c r="A122" s="31" t="s">
        <v>120</v>
      </c>
      <c r="B122" s="2" t="str">
        <v/>
      </c>
      <c r="C122" s="2" t="str">
        <v/>
      </c>
      <c r="D122" s="2" t="str">
        <v/>
      </c>
      <c r="E122" s="2" t="str">
        <v/>
      </c>
      <c r="F122" s="2" t="str">
        <v/>
      </c>
      <c r="G122" s="2" t="str">
        <v/>
      </c>
      <c r="H122" s="2" t="str">
        <v/>
      </c>
      <c r="I122" s="2" t="str">
        <v/>
      </c>
      <c r="J122" s="2" t="str">
        <v/>
      </c>
      <c r="K122" s="2" t="str">
        <v/>
      </c>
      <c r="L122" s="2" t="str">
        <v/>
      </c>
      <c r="M122" s="2" t="str">
        <v/>
      </c>
      <c r="N122" s="2" t="str">
        <v/>
      </c>
      <c r="O122" s="2" t="str">
        <v/>
      </c>
      <c r="P122" s="2" t="str">
        <v/>
      </c>
      <c r="Q122" s="2" t="str">
        <v/>
      </c>
      <c r="R122" s="2" t="str">
        <v/>
      </c>
      <c r="S122" s="2" t="str">
        <v/>
      </c>
      <c r="T122" s="2" t="str">
        <v/>
      </c>
      <c r="U122" s="2" t="str">
        <v/>
      </c>
      <c r="V122" s="2" t="str">
        <v/>
      </c>
      <c r="W122" s="2" t="str">
        <v/>
      </c>
      <c r="X122" s="2" t="str">
        <v/>
      </c>
      <c r="Y122" s="2" t="str">
        <v/>
      </c>
      <c r="Z122" s="2" t="str">
        <v/>
      </c>
      <c r="AA122" s="2" t="str">
        <v/>
      </c>
      <c r="AB122" s="2" t="str">
        <v/>
      </c>
      <c r="AC122" s="2" t="str">
        <v/>
      </c>
      <c r="AD122" s="2" t="str">
        <v/>
      </c>
      <c r="AE122" s="2" t="str">
        <v/>
      </c>
      <c r="AF122" s="2" t="str">
        <v/>
      </c>
      <c r="AG122" s="2" t="str">
        <v/>
      </c>
      <c r="AH122" s="2" t="str">
        <v/>
      </c>
      <c r="AI122" s="2" t="str">
        <v/>
      </c>
      <c r="AJ122" s="2" t="str">
        <v/>
      </c>
      <c r="AK122" s="2" t="str">
        <v/>
      </c>
      <c r="AL122" s="2" t="str">
        <v/>
      </c>
      <c r="AM122" s="2" t="str">
        <v/>
      </c>
      <c r="AN122" s="2" t="str">
        <v/>
      </c>
      <c r="AO122" s="2" t="str">
        <v/>
      </c>
      <c r="AP122" s="2" t="str">
        <v/>
      </c>
      <c r="AQ122" s="2" t="str">
        <v/>
      </c>
      <c r="AR122" s="2" t="str">
        <v/>
      </c>
      <c r="AS122" s="2" t="str">
        <v/>
      </c>
      <c r="AT122" s="2" t="str">
        <v/>
      </c>
      <c r="AU122" s="2" t="str">
        <v/>
      </c>
      <c r="AV122" s="2" t="str">
        <v/>
      </c>
      <c r="AW122" s="2" t="str">
        <v/>
      </c>
      <c r="AX122" s="2" t="str">
        <v/>
      </c>
      <c r="AY122" s="2" t="str">
        <v/>
      </c>
      <c r="AZ122" s="2" t="str">
        <v/>
      </c>
      <c r="BA122" s="2" t="str">
        <v/>
      </c>
      <c r="BB122" s="2" t="str">
        <v/>
      </c>
      <c r="BC122" s="2" t="str">
        <v/>
      </c>
      <c r="BD122" s="2" t="str">
        <v/>
      </c>
      <c r="BE122" s="2" t="str">
        <v/>
      </c>
      <c r="BF122" s="2" t="str">
        <v/>
      </c>
      <c r="BG122" s="2" t="str">
        <v/>
      </c>
      <c r="BH122" s="2" t="str">
        <v/>
      </c>
      <c r="BI122" s="2" t="str">
        <v/>
      </c>
      <c r="BJ122" s="2" t="str">
        <v/>
      </c>
      <c r="BK122" s="2" t="str">
        <v/>
      </c>
      <c r="BL122" s="2" t="str">
        <v/>
      </c>
      <c r="BM122" s="2" t="str">
        <v/>
      </c>
      <c r="BN122" s="2" t="str">
        <v/>
      </c>
      <c r="BO122" s="2" t="str">
        <v/>
      </c>
      <c r="BP122" s="2" t="str">
        <v/>
      </c>
      <c r="BQ122" s="2" t="str">
        <v/>
      </c>
      <c r="BR122" s="2" t="str">
        <v/>
      </c>
      <c r="BS122" s="2" t="str">
        <v/>
      </c>
      <c r="BT122" s="2" t="str">
        <v/>
      </c>
      <c r="BU122" s="2" t="str">
        <v/>
      </c>
      <c r="BV122" s="2" t="str">
        <v/>
      </c>
      <c r="BW122" s="2" t="str">
        <v/>
      </c>
      <c r="BX122" s="2" t="str">
        <v/>
      </c>
      <c r="BY122" s="2" t="str">
        <v/>
      </c>
      <c r="BZ122" s="2" t="str">
        <v/>
      </c>
      <c r="CA122" s="2" t="str">
        <v/>
      </c>
      <c r="CB122" s="2" t="str">
        <v/>
      </c>
      <c r="CC122" s="2" t="str">
        <v/>
      </c>
      <c r="CD122" s="2" t="str">
        <v/>
      </c>
      <c r="CE122" s="2" t="str">
        <v/>
      </c>
      <c r="CF122" s="2" t="str">
        <v/>
      </c>
      <c r="CG122" s="2" t="str">
        <v/>
      </c>
      <c r="CH122" s="2" t="str">
        <v/>
      </c>
      <c r="CI122" s="2" t="str">
        <v/>
      </c>
      <c r="CJ122" s="2" t="str">
        <v/>
      </c>
      <c r="CK122" s="2" t="str">
        <v/>
      </c>
      <c r="CL122" s="2" t="str">
        <v/>
      </c>
      <c r="CM122" s="2" t="str">
        <v/>
      </c>
      <c r="CN122" s="2" t="str">
        <v/>
      </c>
      <c r="CO122" s="2" t="str">
        <v/>
      </c>
      <c r="CP122" s="2" t="str">
        <v/>
      </c>
      <c r="CQ122" s="2" t="str">
        <v/>
      </c>
      <c r="CR122" s="2" t="str">
        <v/>
      </c>
      <c r="CS122" s="2" t="str">
        <v/>
      </c>
      <c r="CT122" s="2" t="str">
        <v/>
      </c>
      <c r="CU122" s="2" t="str">
        <v/>
      </c>
      <c r="CV122" s="2" t="str">
        <v/>
      </c>
      <c r="CW122" s="2" t="str">
        <v/>
      </c>
      <c r="CX122" s="2" t="str">
        <v/>
      </c>
      <c r="CY122" s="2" t="str">
        <v/>
      </c>
      <c r="CZ122" s="2" t="str">
        <v/>
      </c>
      <c r="DA122" s="2" t="str">
        <v/>
      </c>
      <c r="DB122" s="2" t="str">
        <v/>
      </c>
      <c r="DC122" s="2" t="str">
        <v/>
      </c>
      <c r="DD122" s="2" t="str">
        <v/>
      </c>
      <c r="DE122" s="2" t="str">
        <v/>
      </c>
      <c r="DF122" s="2" t="str">
        <v/>
      </c>
      <c r="DG122" s="2" t="str">
        <v/>
      </c>
      <c r="DH122" s="2" t="str">
        <v/>
      </c>
      <c r="DI122" s="4" t="str">
        <v/>
      </c>
      <c r="DJ122" s="4" t="str">
        <v/>
      </c>
      <c r="DK122" s="4" t="str">
        <v/>
      </c>
      <c r="DL122" s="4" t="str">
        <v/>
      </c>
      <c r="DM122" s="4" t="str">
        <v/>
      </c>
      <c r="DN122" s="4" t="str">
        <v/>
      </c>
      <c r="DO122" s="4" t="str">
        <v/>
      </c>
      <c r="DP122" s="4">
        <v>1</v>
      </c>
      <c r="DQ122" s="4">
        <v>0.8705499619914</v>
      </c>
      <c r="DR122" s="4">
        <v>0.898321220845752</v>
      </c>
      <c r="DS122" s="4">
        <v>0.70702461348648</v>
      </c>
      <c r="DT122" s="4">
        <v>0.860140901597935</v>
      </c>
      <c r="DU122" s="4">
        <v>0.849985966377021</v>
      </c>
      <c r="DV122" s="4">
        <v>0.880092305986037</v>
      </c>
      <c r="DW122" s="4">
        <v>0.303353868026364</v>
      </c>
      <c r="DX122" s="4">
        <v>0.201887506122155</v>
      </c>
      <c r="DY122" s="4">
        <v>0.729128830079146</v>
      </c>
    </row>
    <row r="123" ht="14" spans="1:129">
      <c r="A123" s="31" t="s">
        <v>121</v>
      </c>
      <c r="B123" s="2" t="str">
        <v/>
      </c>
      <c r="C123" s="2" t="str">
        <v/>
      </c>
      <c r="D123" s="2" t="str">
        <v/>
      </c>
      <c r="E123" s="2" t="str">
        <v/>
      </c>
      <c r="F123" s="2" t="str">
        <v/>
      </c>
      <c r="G123" s="2" t="str">
        <v/>
      </c>
      <c r="H123" s="2" t="str">
        <v/>
      </c>
      <c r="I123" s="2" t="str">
        <v/>
      </c>
      <c r="J123" s="2" t="str">
        <v/>
      </c>
      <c r="K123" s="2" t="str">
        <v/>
      </c>
      <c r="L123" s="2" t="str">
        <v/>
      </c>
      <c r="M123" s="2" t="str">
        <v/>
      </c>
      <c r="N123" s="2" t="str">
        <v/>
      </c>
      <c r="O123" s="2" t="str">
        <v/>
      </c>
      <c r="P123" s="2" t="str">
        <v/>
      </c>
      <c r="Q123" s="2" t="str">
        <v/>
      </c>
      <c r="R123" s="2" t="str">
        <v/>
      </c>
      <c r="S123" s="2" t="str">
        <v/>
      </c>
      <c r="T123" s="2" t="str">
        <v/>
      </c>
      <c r="U123" s="2" t="str">
        <v/>
      </c>
      <c r="V123" s="2" t="str">
        <v/>
      </c>
      <c r="W123" s="2" t="str">
        <v/>
      </c>
      <c r="X123" s="2" t="str">
        <v/>
      </c>
      <c r="Y123" s="2" t="str">
        <v/>
      </c>
      <c r="Z123" s="2" t="str">
        <v/>
      </c>
      <c r="AA123" s="2" t="str">
        <v/>
      </c>
      <c r="AB123" s="2" t="str">
        <v/>
      </c>
      <c r="AC123" s="2" t="str">
        <v/>
      </c>
      <c r="AD123" s="2" t="str">
        <v/>
      </c>
      <c r="AE123" s="2" t="str">
        <v/>
      </c>
      <c r="AF123" s="2" t="str">
        <v/>
      </c>
      <c r="AG123" s="2" t="str">
        <v/>
      </c>
      <c r="AH123" s="2" t="str">
        <v/>
      </c>
      <c r="AI123" s="2" t="str">
        <v/>
      </c>
      <c r="AJ123" s="2" t="str">
        <v/>
      </c>
      <c r="AK123" s="2" t="str">
        <v/>
      </c>
      <c r="AL123" s="2" t="str">
        <v/>
      </c>
      <c r="AM123" s="2" t="str">
        <v/>
      </c>
      <c r="AN123" s="2" t="str">
        <v/>
      </c>
      <c r="AO123" s="2" t="str">
        <v/>
      </c>
      <c r="AP123" s="2" t="str">
        <v/>
      </c>
      <c r="AQ123" s="2" t="str">
        <v/>
      </c>
      <c r="AR123" s="2" t="str">
        <v/>
      </c>
      <c r="AS123" s="2" t="str">
        <v/>
      </c>
      <c r="AT123" s="2" t="str">
        <v/>
      </c>
      <c r="AU123" s="2" t="str">
        <v/>
      </c>
      <c r="AV123" s="2" t="str">
        <v/>
      </c>
      <c r="AW123" s="2" t="str">
        <v/>
      </c>
      <c r="AX123" s="2" t="str">
        <v/>
      </c>
      <c r="AY123" s="2" t="str">
        <v/>
      </c>
      <c r="AZ123" s="2" t="str">
        <v/>
      </c>
      <c r="BA123" s="2" t="str">
        <v/>
      </c>
      <c r="BB123" s="2" t="str">
        <v/>
      </c>
      <c r="BC123" s="2" t="str">
        <v/>
      </c>
      <c r="BD123" s="2" t="str">
        <v/>
      </c>
      <c r="BE123" s="2" t="str">
        <v/>
      </c>
      <c r="BF123" s="2" t="str">
        <v/>
      </c>
      <c r="BG123" s="2" t="str">
        <v/>
      </c>
      <c r="BH123" s="2" t="str">
        <v/>
      </c>
      <c r="BI123" s="2" t="str">
        <v/>
      </c>
      <c r="BJ123" s="2" t="str">
        <v/>
      </c>
      <c r="BK123" s="2" t="str">
        <v/>
      </c>
      <c r="BL123" s="2" t="str">
        <v/>
      </c>
      <c r="BM123" s="2" t="str">
        <v/>
      </c>
      <c r="BN123" s="2" t="str">
        <v/>
      </c>
      <c r="BO123" s="2" t="str">
        <v/>
      </c>
      <c r="BP123" s="2" t="str">
        <v/>
      </c>
      <c r="BQ123" s="2" t="str">
        <v/>
      </c>
      <c r="BR123" s="2" t="str">
        <v/>
      </c>
      <c r="BS123" s="2" t="str">
        <v/>
      </c>
      <c r="BT123" s="2" t="str">
        <v/>
      </c>
      <c r="BU123" s="2" t="str">
        <v/>
      </c>
      <c r="BV123" s="2" t="str">
        <v/>
      </c>
      <c r="BW123" s="2" t="str">
        <v/>
      </c>
      <c r="BX123" s="2" t="str">
        <v/>
      </c>
      <c r="BY123" s="2" t="str">
        <v/>
      </c>
      <c r="BZ123" s="2" t="str">
        <v/>
      </c>
      <c r="CA123" s="2" t="str">
        <v/>
      </c>
      <c r="CB123" s="2" t="str">
        <v/>
      </c>
      <c r="CC123" s="2" t="str">
        <v/>
      </c>
      <c r="CD123" s="2" t="str">
        <v/>
      </c>
      <c r="CE123" s="2" t="str">
        <v/>
      </c>
      <c r="CF123" s="2" t="str">
        <v/>
      </c>
      <c r="CG123" s="2" t="str">
        <v/>
      </c>
      <c r="CH123" s="2" t="str">
        <v/>
      </c>
      <c r="CI123" s="2" t="str">
        <v/>
      </c>
      <c r="CJ123" s="2" t="str">
        <v/>
      </c>
      <c r="CK123" s="2" t="str">
        <v/>
      </c>
      <c r="CL123" s="2" t="str">
        <v/>
      </c>
      <c r="CM123" s="2" t="str">
        <v/>
      </c>
      <c r="CN123" s="2" t="str">
        <v/>
      </c>
      <c r="CO123" s="2" t="str">
        <v/>
      </c>
      <c r="CP123" s="2" t="str">
        <v/>
      </c>
      <c r="CQ123" s="2" t="str">
        <v/>
      </c>
      <c r="CR123" s="2" t="str">
        <v/>
      </c>
      <c r="CS123" s="2" t="str">
        <v/>
      </c>
      <c r="CT123" s="2" t="str">
        <v/>
      </c>
      <c r="CU123" s="2" t="str">
        <v/>
      </c>
      <c r="CV123" s="2" t="str">
        <v/>
      </c>
      <c r="CW123" s="2" t="str">
        <v/>
      </c>
      <c r="CX123" s="2" t="str">
        <v/>
      </c>
      <c r="CY123" s="2" t="str">
        <v/>
      </c>
      <c r="CZ123" s="2" t="str">
        <v/>
      </c>
      <c r="DA123" s="2" t="str">
        <v/>
      </c>
      <c r="DB123" s="2" t="str">
        <v/>
      </c>
      <c r="DC123" s="2" t="str">
        <v/>
      </c>
      <c r="DD123" s="2" t="str">
        <v/>
      </c>
      <c r="DE123" s="2" t="str">
        <v/>
      </c>
      <c r="DF123" s="2" t="str">
        <v/>
      </c>
      <c r="DG123" s="2" t="str">
        <v/>
      </c>
      <c r="DH123" s="2" t="str">
        <v/>
      </c>
      <c r="DI123" s="4" t="str">
        <v/>
      </c>
      <c r="DJ123" s="4" t="str">
        <v/>
      </c>
      <c r="DK123" s="4" t="str">
        <v/>
      </c>
      <c r="DL123" s="4" t="str">
        <v/>
      </c>
      <c r="DM123" s="4" t="str">
        <v/>
      </c>
      <c r="DN123" s="4" t="str">
        <v/>
      </c>
      <c r="DO123" s="4" t="str">
        <v/>
      </c>
      <c r="DP123" s="4" t="str">
        <v/>
      </c>
      <c r="DQ123" s="4">
        <v>1</v>
      </c>
      <c r="DR123" s="4">
        <v>0.836707876315185</v>
      </c>
      <c r="DS123" s="4">
        <v>0.563504368117015</v>
      </c>
      <c r="DT123" s="4">
        <v>0.880570232205836</v>
      </c>
      <c r="DU123" s="4">
        <v>0.822210158588946</v>
      </c>
      <c r="DV123" s="4">
        <v>0.863532483326559</v>
      </c>
      <c r="DW123" s="4">
        <v>0.31160636113708</v>
      </c>
      <c r="DX123" s="4">
        <v>0.234172288765141</v>
      </c>
      <c r="DY123" s="4">
        <v>0.672467309027776</v>
      </c>
    </row>
    <row r="124" ht="14" spans="1:129">
      <c r="A124" s="31" t="s">
        <v>122</v>
      </c>
      <c r="B124" s="2" t="str">
        <v/>
      </c>
      <c r="C124" s="2" t="str">
        <v/>
      </c>
      <c r="D124" s="2" t="str">
        <v/>
      </c>
      <c r="E124" s="2" t="str">
        <v/>
      </c>
      <c r="F124" s="2" t="str">
        <v/>
      </c>
      <c r="G124" s="2" t="str">
        <v/>
      </c>
      <c r="H124" s="2" t="str">
        <v/>
      </c>
      <c r="I124" s="2" t="str">
        <v/>
      </c>
      <c r="J124" s="2" t="str">
        <v/>
      </c>
      <c r="K124" s="2" t="str">
        <v/>
      </c>
      <c r="L124" s="2" t="str">
        <v/>
      </c>
      <c r="M124" s="2" t="str">
        <v/>
      </c>
      <c r="N124" s="2" t="str">
        <v/>
      </c>
      <c r="O124" s="2" t="str">
        <v/>
      </c>
      <c r="P124" s="2" t="str">
        <v/>
      </c>
      <c r="Q124" s="2" t="str">
        <v/>
      </c>
      <c r="R124" s="2" t="str">
        <v/>
      </c>
      <c r="S124" s="2" t="str">
        <v/>
      </c>
      <c r="T124" s="2" t="str">
        <v/>
      </c>
      <c r="U124" s="2" t="str">
        <v/>
      </c>
      <c r="V124" s="2" t="str">
        <v/>
      </c>
      <c r="W124" s="2" t="str">
        <v/>
      </c>
      <c r="X124" s="2" t="str">
        <v/>
      </c>
      <c r="Y124" s="2" t="str">
        <v/>
      </c>
      <c r="Z124" s="2" t="str">
        <v/>
      </c>
      <c r="AA124" s="2" t="str">
        <v/>
      </c>
      <c r="AB124" s="2" t="str">
        <v/>
      </c>
      <c r="AC124" s="2" t="str">
        <v/>
      </c>
      <c r="AD124" s="2" t="str">
        <v/>
      </c>
      <c r="AE124" s="2" t="str">
        <v/>
      </c>
      <c r="AF124" s="2" t="str">
        <v/>
      </c>
      <c r="AG124" s="2" t="str">
        <v/>
      </c>
      <c r="AH124" s="2" t="str">
        <v/>
      </c>
      <c r="AI124" s="2" t="str">
        <v/>
      </c>
      <c r="AJ124" s="2" t="str">
        <v/>
      </c>
      <c r="AK124" s="2" t="str">
        <v/>
      </c>
      <c r="AL124" s="2" t="str">
        <v/>
      </c>
      <c r="AM124" s="2" t="str">
        <v/>
      </c>
      <c r="AN124" s="2" t="str">
        <v/>
      </c>
      <c r="AO124" s="2" t="str">
        <v/>
      </c>
      <c r="AP124" s="2" t="str">
        <v/>
      </c>
      <c r="AQ124" s="2" t="str">
        <v/>
      </c>
      <c r="AR124" s="2" t="str">
        <v/>
      </c>
      <c r="AS124" s="2" t="str">
        <v/>
      </c>
      <c r="AT124" s="2" t="str">
        <v/>
      </c>
      <c r="AU124" s="2" t="str">
        <v/>
      </c>
      <c r="AV124" s="2" t="str">
        <v/>
      </c>
      <c r="AW124" s="2" t="str">
        <v/>
      </c>
      <c r="AX124" s="2" t="str">
        <v/>
      </c>
      <c r="AY124" s="2" t="str">
        <v/>
      </c>
      <c r="AZ124" s="2" t="str">
        <v/>
      </c>
      <c r="BA124" s="2" t="str">
        <v/>
      </c>
      <c r="BB124" s="2" t="str">
        <v/>
      </c>
      <c r="BC124" s="2" t="str">
        <v/>
      </c>
      <c r="BD124" s="2" t="str">
        <v/>
      </c>
      <c r="BE124" s="2" t="str">
        <v/>
      </c>
      <c r="BF124" s="2" t="str">
        <v/>
      </c>
      <c r="BG124" s="2" t="str">
        <v/>
      </c>
      <c r="BH124" s="2" t="str">
        <v/>
      </c>
      <c r="BI124" s="2" t="str">
        <v/>
      </c>
      <c r="BJ124" s="2" t="str">
        <v/>
      </c>
      <c r="BK124" s="2" t="str">
        <v/>
      </c>
      <c r="BL124" s="2" t="str">
        <v/>
      </c>
      <c r="BM124" s="2" t="str">
        <v/>
      </c>
      <c r="BN124" s="2" t="str">
        <v/>
      </c>
      <c r="BO124" s="2" t="str">
        <v/>
      </c>
      <c r="BP124" s="2" t="str">
        <v/>
      </c>
      <c r="BQ124" s="2" t="str">
        <v/>
      </c>
      <c r="BR124" s="2" t="str">
        <v/>
      </c>
      <c r="BS124" s="2" t="str">
        <v/>
      </c>
      <c r="BT124" s="2" t="str">
        <v/>
      </c>
      <c r="BU124" s="2" t="str">
        <v/>
      </c>
      <c r="BV124" s="2" t="str">
        <v/>
      </c>
      <c r="BW124" s="2" t="str">
        <v/>
      </c>
      <c r="BX124" s="2" t="str">
        <v/>
      </c>
      <c r="BY124" s="2" t="str">
        <v/>
      </c>
      <c r="BZ124" s="2" t="str">
        <v/>
      </c>
      <c r="CA124" s="2" t="str">
        <v/>
      </c>
      <c r="CB124" s="2" t="str">
        <v/>
      </c>
      <c r="CC124" s="2" t="str">
        <v/>
      </c>
      <c r="CD124" s="2" t="str">
        <v/>
      </c>
      <c r="CE124" s="2" t="str">
        <v/>
      </c>
      <c r="CF124" s="2" t="str">
        <v/>
      </c>
      <c r="CG124" s="2" t="str">
        <v/>
      </c>
      <c r="CH124" s="2" t="str">
        <v/>
      </c>
      <c r="CI124" s="2" t="str">
        <v/>
      </c>
      <c r="CJ124" s="2" t="str">
        <v/>
      </c>
      <c r="CK124" s="2" t="str">
        <v/>
      </c>
      <c r="CL124" s="2" t="str">
        <v/>
      </c>
      <c r="CM124" s="2" t="str">
        <v/>
      </c>
      <c r="CN124" s="2" t="str">
        <v/>
      </c>
      <c r="CO124" s="2" t="str">
        <v/>
      </c>
      <c r="CP124" s="2" t="str">
        <v/>
      </c>
      <c r="CQ124" s="2" t="str">
        <v/>
      </c>
      <c r="CR124" s="2" t="str">
        <v/>
      </c>
      <c r="CS124" s="2" t="str">
        <v/>
      </c>
      <c r="CT124" s="2" t="str">
        <v/>
      </c>
      <c r="CU124" s="2" t="str">
        <v/>
      </c>
      <c r="CV124" s="2" t="str">
        <v/>
      </c>
      <c r="CW124" s="2" t="str">
        <v/>
      </c>
      <c r="CX124" s="2" t="str">
        <v/>
      </c>
      <c r="CY124" s="2" t="str">
        <v/>
      </c>
      <c r="CZ124" s="2" t="str">
        <v/>
      </c>
      <c r="DA124" s="2" t="str">
        <v/>
      </c>
      <c r="DB124" s="2" t="str">
        <v/>
      </c>
      <c r="DC124" s="2" t="str">
        <v/>
      </c>
      <c r="DD124" s="2" t="str">
        <v/>
      </c>
      <c r="DE124" s="2" t="str">
        <v/>
      </c>
      <c r="DF124" s="2" t="str">
        <v/>
      </c>
      <c r="DG124" s="2" t="str">
        <v/>
      </c>
      <c r="DH124" s="2" t="str">
        <v/>
      </c>
      <c r="DI124" s="4" t="str">
        <v/>
      </c>
      <c r="DJ124" s="4" t="str">
        <v/>
      </c>
      <c r="DK124" s="4" t="str">
        <v/>
      </c>
      <c r="DL124" s="4" t="str">
        <v/>
      </c>
      <c r="DM124" s="4" t="str">
        <v/>
      </c>
      <c r="DN124" s="4" t="str">
        <v/>
      </c>
      <c r="DO124" s="4" t="str">
        <v/>
      </c>
      <c r="DP124" s="4" t="str">
        <v/>
      </c>
      <c r="DQ124" s="4" t="str">
        <v/>
      </c>
      <c r="DR124" s="4">
        <v>1</v>
      </c>
      <c r="DS124" s="4">
        <v>0.715653745490201</v>
      </c>
      <c r="DT124" s="4">
        <v>0.867272627029315</v>
      </c>
      <c r="DU124" s="4">
        <v>0.915155034782159</v>
      </c>
      <c r="DV124" s="4">
        <v>0.825308472037945</v>
      </c>
      <c r="DW124" s="4">
        <v>0.31116211024746</v>
      </c>
      <c r="DX124" s="4">
        <v>0.361195632635318</v>
      </c>
      <c r="DY124" s="4">
        <v>0.803163098748185</v>
      </c>
    </row>
    <row r="125" ht="14" spans="1:129">
      <c r="A125" s="31" t="s">
        <v>123</v>
      </c>
      <c r="B125" s="2" t="str">
        <v/>
      </c>
      <c r="C125" s="2" t="str">
        <v/>
      </c>
      <c r="D125" s="2" t="str">
        <v/>
      </c>
      <c r="E125" s="2" t="str">
        <v/>
      </c>
      <c r="F125" s="2" t="str">
        <v/>
      </c>
      <c r="G125" s="2" t="str">
        <v/>
      </c>
      <c r="H125" s="2" t="str">
        <v/>
      </c>
      <c r="I125" s="2" t="str">
        <v/>
      </c>
      <c r="J125" s="2" t="str">
        <v/>
      </c>
      <c r="K125" s="2" t="str">
        <v/>
      </c>
      <c r="L125" s="2" t="str">
        <v/>
      </c>
      <c r="M125" s="2" t="str">
        <v/>
      </c>
      <c r="N125" s="2" t="str">
        <v/>
      </c>
      <c r="O125" s="2" t="str">
        <v/>
      </c>
      <c r="P125" s="2" t="str">
        <v/>
      </c>
      <c r="Q125" s="2" t="str">
        <v/>
      </c>
      <c r="R125" s="2" t="str">
        <v/>
      </c>
      <c r="S125" s="2" t="str">
        <v/>
      </c>
      <c r="T125" s="2" t="str">
        <v/>
      </c>
      <c r="U125" s="2" t="str">
        <v/>
      </c>
      <c r="V125" s="2" t="str">
        <v/>
      </c>
      <c r="W125" s="2" t="str">
        <v/>
      </c>
      <c r="X125" s="2" t="str">
        <v/>
      </c>
      <c r="Y125" s="2" t="str">
        <v/>
      </c>
      <c r="Z125" s="2" t="str">
        <v/>
      </c>
      <c r="AA125" s="2" t="str">
        <v/>
      </c>
      <c r="AB125" s="2" t="str">
        <v/>
      </c>
      <c r="AC125" s="2" t="str">
        <v/>
      </c>
      <c r="AD125" s="2" t="str">
        <v/>
      </c>
      <c r="AE125" s="2" t="str">
        <v/>
      </c>
      <c r="AF125" s="2" t="str">
        <v/>
      </c>
      <c r="AG125" s="2" t="str">
        <v/>
      </c>
      <c r="AH125" s="2" t="str">
        <v/>
      </c>
      <c r="AI125" s="2" t="str">
        <v/>
      </c>
      <c r="AJ125" s="2" t="str">
        <v/>
      </c>
      <c r="AK125" s="2" t="str">
        <v/>
      </c>
      <c r="AL125" s="2" t="str">
        <v/>
      </c>
      <c r="AM125" s="2" t="str">
        <v/>
      </c>
      <c r="AN125" s="2" t="str">
        <v/>
      </c>
      <c r="AO125" s="2" t="str">
        <v/>
      </c>
      <c r="AP125" s="2" t="str">
        <v/>
      </c>
      <c r="AQ125" s="2" t="str">
        <v/>
      </c>
      <c r="AR125" s="2" t="str">
        <v/>
      </c>
      <c r="AS125" s="2" t="str">
        <v/>
      </c>
      <c r="AT125" s="2" t="str">
        <v/>
      </c>
      <c r="AU125" s="2" t="str">
        <v/>
      </c>
      <c r="AV125" s="2" t="str">
        <v/>
      </c>
      <c r="AW125" s="2" t="str">
        <v/>
      </c>
      <c r="AX125" s="2" t="str">
        <v/>
      </c>
      <c r="AY125" s="2" t="str">
        <v/>
      </c>
      <c r="AZ125" s="2" t="str">
        <v/>
      </c>
      <c r="BA125" s="2" t="str">
        <v/>
      </c>
      <c r="BB125" s="2" t="str">
        <v/>
      </c>
      <c r="BC125" s="2" t="str">
        <v/>
      </c>
      <c r="BD125" s="2" t="str">
        <v/>
      </c>
      <c r="BE125" s="2" t="str">
        <v/>
      </c>
      <c r="BF125" s="2" t="str">
        <v/>
      </c>
      <c r="BG125" s="2" t="str">
        <v/>
      </c>
      <c r="BH125" s="2" t="str">
        <v/>
      </c>
      <c r="BI125" s="2" t="str">
        <v/>
      </c>
      <c r="BJ125" s="2" t="str">
        <v/>
      </c>
      <c r="BK125" s="2" t="str">
        <v/>
      </c>
      <c r="BL125" s="2" t="str">
        <v/>
      </c>
      <c r="BM125" s="2" t="str">
        <v/>
      </c>
      <c r="BN125" s="2" t="str">
        <v/>
      </c>
      <c r="BO125" s="2" t="str">
        <v/>
      </c>
      <c r="BP125" s="2" t="str">
        <v/>
      </c>
      <c r="BQ125" s="2" t="str">
        <v/>
      </c>
      <c r="BR125" s="2" t="str">
        <v/>
      </c>
      <c r="BS125" s="2" t="str">
        <v/>
      </c>
      <c r="BT125" s="2" t="str">
        <v/>
      </c>
      <c r="BU125" s="2" t="str">
        <v/>
      </c>
      <c r="BV125" s="2" t="str">
        <v/>
      </c>
      <c r="BW125" s="2" t="str">
        <v/>
      </c>
      <c r="BX125" s="2" t="str">
        <v/>
      </c>
      <c r="BY125" s="2" t="str">
        <v/>
      </c>
      <c r="BZ125" s="2" t="str">
        <v/>
      </c>
      <c r="CA125" s="2" t="str">
        <v/>
      </c>
      <c r="CB125" s="2" t="str">
        <v/>
      </c>
      <c r="CC125" s="2" t="str">
        <v/>
      </c>
      <c r="CD125" s="2" t="str">
        <v/>
      </c>
      <c r="CE125" s="2" t="str">
        <v/>
      </c>
      <c r="CF125" s="2" t="str">
        <v/>
      </c>
      <c r="CG125" s="2" t="str">
        <v/>
      </c>
      <c r="CH125" s="2" t="str">
        <v/>
      </c>
      <c r="CI125" s="2" t="str">
        <v/>
      </c>
      <c r="CJ125" s="2" t="str">
        <v/>
      </c>
      <c r="CK125" s="2" t="str">
        <v/>
      </c>
      <c r="CL125" s="2" t="str">
        <v/>
      </c>
      <c r="CM125" s="2" t="str">
        <v/>
      </c>
      <c r="CN125" s="2" t="str">
        <v/>
      </c>
      <c r="CO125" s="2" t="str">
        <v/>
      </c>
      <c r="CP125" s="2" t="str">
        <v/>
      </c>
      <c r="CQ125" s="2" t="str">
        <v/>
      </c>
      <c r="CR125" s="2" t="str">
        <v/>
      </c>
      <c r="CS125" s="2" t="str">
        <v/>
      </c>
      <c r="CT125" s="2" t="str">
        <v/>
      </c>
      <c r="CU125" s="2" t="str">
        <v/>
      </c>
      <c r="CV125" s="2" t="str">
        <v/>
      </c>
      <c r="CW125" s="2" t="str">
        <v/>
      </c>
      <c r="CX125" s="2" t="str">
        <v/>
      </c>
      <c r="CY125" s="2" t="str">
        <v/>
      </c>
      <c r="CZ125" s="2" t="str">
        <v/>
      </c>
      <c r="DA125" s="2" t="str">
        <v/>
      </c>
      <c r="DB125" s="2" t="str">
        <v/>
      </c>
      <c r="DC125" s="2" t="str">
        <v/>
      </c>
      <c r="DD125" s="2" t="str">
        <v/>
      </c>
      <c r="DE125" s="2" t="str">
        <v/>
      </c>
      <c r="DF125" s="2" t="str">
        <v/>
      </c>
      <c r="DG125" s="2" t="str">
        <v/>
      </c>
      <c r="DH125" s="2" t="str">
        <v/>
      </c>
      <c r="DI125" s="4" t="str">
        <v/>
      </c>
      <c r="DJ125" s="4" t="str">
        <v/>
      </c>
      <c r="DK125" s="4" t="str">
        <v/>
      </c>
      <c r="DL125" s="4" t="str">
        <v/>
      </c>
      <c r="DM125" s="4" t="str">
        <v/>
      </c>
      <c r="DN125" s="4" t="str">
        <v/>
      </c>
      <c r="DO125" s="4" t="str">
        <v/>
      </c>
      <c r="DP125" s="4" t="str">
        <v/>
      </c>
      <c r="DQ125" s="4" t="str">
        <v/>
      </c>
      <c r="DR125" s="4" t="str">
        <v/>
      </c>
      <c r="DS125" s="4">
        <v>1</v>
      </c>
      <c r="DT125" s="4">
        <v>0.617431048307512</v>
      </c>
      <c r="DU125" s="4">
        <v>0.638444534565969</v>
      </c>
      <c r="DV125" s="4">
        <v>0.570452629270941</v>
      </c>
      <c r="DW125" s="4">
        <v>0.192815930929765</v>
      </c>
      <c r="DX125" s="4">
        <v>0.12804706190698</v>
      </c>
      <c r="DY125" s="4">
        <v>0.574384703962355</v>
      </c>
    </row>
    <row r="126" ht="14" spans="1:129">
      <c r="A126" s="31" t="s">
        <v>124</v>
      </c>
      <c r="B126" s="2" t="str">
        <v/>
      </c>
      <c r="C126" s="2" t="str">
        <v/>
      </c>
      <c r="D126" s="2" t="str">
        <v/>
      </c>
      <c r="E126" s="2" t="str">
        <v/>
      </c>
      <c r="F126" s="2" t="str">
        <v/>
      </c>
      <c r="G126" s="2" t="str">
        <v/>
      </c>
      <c r="H126" s="2" t="str">
        <v/>
      </c>
      <c r="I126" s="2" t="str">
        <v/>
      </c>
      <c r="J126" s="2" t="str">
        <v/>
      </c>
      <c r="K126" s="2" t="str">
        <v/>
      </c>
      <c r="L126" s="2" t="str">
        <v/>
      </c>
      <c r="M126" s="2" t="str">
        <v/>
      </c>
      <c r="N126" s="2" t="str">
        <v/>
      </c>
      <c r="O126" s="2" t="str">
        <v/>
      </c>
      <c r="P126" s="2" t="str">
        <v/>
      </c>
      <c r="Q126" s="2" t="str">
        <v/>
      </c>
      <c r="R126" s="2" t="str">
        <v/>
      </c>
      <c r="S126" s="2" t="str">
        <v/>
      </c>
      <c r="T126" s="2" t="str">
        <v/>
      </c>
      <c r="U126" s="2" t="str">
        <v/>
      </c>
      <c r="V126" s="2" t="str">
        <v/>
      </c>
      <c r="W126" s="2" t="str">
        <v/>
      </c>
      <c r="X126" s="2" t="str">
        <v/>
      </c>
      <c r="Y126" s="2" t="str">
        <v/>
      </c>
      <c r="Z126" s="2" t="str">
        <v/>
      </c>
      <c r="AA126" s="2" t="str">
        <v/>
      </c>
      <c r="AB126" s="2" t="str">
        <v/>
      </c>
      <c r="AC126" s="2" t="str">
        <v/>
      </c>
      <c r="AD126" s="2" t="str">
        <v/>
      </c>
      <c r="AE126" s="2" t="str">
        <v/>
      </c>
      <c r="AF126" s="2" t="str">
        <v/>
      </c>
      <c r="AG126" s="2" t="str">
        <v/>
      </c>
      <c r="AH126" s="2" t="str">
        <v/>
      </c>
      <c r="AI126" s="2" t="str">
        <v/>
      </c>
      <c r="AJ126" s="2" t="str">
        <v/>
      </c>
      <c r="AK126" s="2" t="str">
        <v/>
      </c>
      <c r="AL126" s="2" t="str">
        <v/>
      </c>
      <c r="AM126" s="2" t="str">
        <v/>
      </c>
      <c r="AN126" s="2" t="str">
        <v/>
      </c>
      <c r="AO126" s="2" t="str">
        <v/>
      </c>
      <c r="AP126" s="2" t="str">
        <v/>
      </c>
      <c r="AQ126" s="2" t="str">
        <v/>
      </c>
      <c r="AR126" s="2" t="str">
        <v/>
      </c>
      <c r="AS126" s="2" t="str">
        <v/>
      </c>
      <c r="AT126" s="2" t="str">
        <v/>
      </c>
      <c r="AU126" s="2" t="str">
        <v/>
      </c>
      <c r="AV126" s="2" t="str">
        <v/>
      </c>
      <c r="AW126" s="2" t="str">
        <v/>
      </c>
      <c r="AX126" s="2" t="str">
        <v/>
      </c>
      <c r="AY126" s="2" t="str">
        <v/>
      </c>
      <c r="AZ126" s="2" t="str">
        <v/>
      </c>
      <c r="BA126" s="2" t="str">
        <v/>
      </c>
      <c r="BB126" s="2" t="str">
        <v/>
      </c>
      <c r="BC126" s="2" t="str">
        <v/>
      </c>
      <c r="BD126" s="2" t="str">
        <v/>
      </c>
      <c r="BE126" s="2" t="str">
        <v/>
      </c>
      <c r="BF126" s="2" t="str">
        <v/>
      </c>
      <c r="BG126" s="2" t="str">
        <v/>
      </c>
      <c r="BH126" s="2" t="str">
        <v/>
      </c>
      <c r="BI126" s="2" t="str">
        <v/>
      </c>
      <c r="BJ126" s="2" t="str">
        <v/>
      </c>
      <c r="BK126" s="2" t="str">
        <v/>
      </c>
      <c r="BL126" s="2" t="str">
        <v/>
      </c>
      <c r="BM126" s="2" t="str">
        <v/>
      </c>
      <c r="BN126" s="2" t="str">
        <v/>
      </c>
      <c r="BO126" s="2" t="str">
        <v/>
      </c>
      <c r="BP126" s="2" t="str">
        <v/>
      </c>
      <c r="BQ126" s="2" t="str">
        <v/>
      </c>
      <c r="BR126" s="2" t="str">
        <v/>
      </c>
      <c r="BS126" s="2" t="str">
        <v/>
      </c>
      <c r="BT126" s="2" t="str">
        <v/>
      </c>
      <c r="BU126" s="2" t="str">
        <v/>
      </c>
      <c r="BV126" s="2" t="str">
        <v/>
      </c>
      <c r="BW126" s="2" t="str">
        <v/>
      </c>
      <c r="BX126" s="2" t="str">
        <v/>
      </c>
      <c r="BY126" s="2" t="str">
        <v/>
      </c>
      <c r="BZ126" s="2" t="str">
        <v/>
      </c>
      <c r="CA126" s="2" t="str">
        <v/>
      </c>
      <c r="CB126" s="2" t="str">
        <v/>
      </c>
      <c r="CC126" s="2" t="str">
        <v/>
      </c>
      <c r="CD126" s="2" t="str">
        <v/>
      </c>
      <c r="CE126" s="2" t="str">
        <v/>
      </c>
      <c r="CF126" s="2" t="str">
        <v/>
      </c>
      <c r="CG126" s="2" t="str">
        <v/>
      </c>
      <c r="CH126" s="2" t="str">
        <v/>
      </c>
      <c r="CI126" s="2" t="str">
        <v/>
      </c>
      <c r="CJ126" s="2" t="str">
        <v/>
      </c>
      <c r="CK126" s="2" t="str">
        <v/>
      </c>
      <c r="CL126" s="2" t="str">
        <v/>
      </c>
      <c r="CM126" s="2" t="str">
        <v/>
      </c>
      <c r="CN126" s="2" t="str">
        <v/>
      </c>
      <c r="CO126" s="2" t="str">
        <v/>
      </c>
      <c r="CP126" s="2" t="str">
        <v/>
      </c>
      <c r="CQ126" s="2" t="str">
        <v/>
      </c>
      <c r="CR126" s="2" t="str">
        <v/>
      </c>
      <c r="CS126" s="2" t="str">
        <v/>
      </c>
      <c r="CT126" s="2" t="str">
        <v/>
      </c>
      <c r="CU126" s="2" t="str">
        <v/>
      </c>
      <c r="CV126" s="2" t="str">
        <v/>
      </c>
      <c r="CW126" s="2" t="str">
        <v/>
      </c>
      <c r="CX126" s="2" t="str">
        <v/>
      </c>
      <c r="CY126" s="2" t="str">
        <v/>
      </c>
      <c r="CZ126" s="2" t="str">
        <v/>
      </c>
      <c r="DA126" s="2" t="str">
        <v/>
      </c>
      <c r="DB126" s="2" t="str">
        <v/>
      </c>
      <c r="DC126" s="2" t="str">
        <v/>
      </c>
      <c r="DD126" s="2" t="str">
        <v/>
      </c>
      <c r="DE126" s="2" t="str">
        <v/>
      </c>
      <c r="DF126" s="2" t="str">
        <v/>
      </c>
      <c r="DG126" s="2" t="str">
        <v/>
      </c>
      <c r="DH126" s="2" t="str">
        <v/>
      </c>
      <c r="DI126" s="4" t="str">
        <v/>
      </c>
      <c r="DJ126" s="4" t="str">
        <v/>
      </c>
      <c r="DK126" s="4" t="str">
        <v/>
      </c>
      <c r="DL126" s="4" t="str">
        <v/>
      </c>
      <c r="DM126" s="4" t="str">
        <v/>
      </c>
      <c r="DN126" s="4" t="str">
        <v/>
      </c>
      <c r="DO126" s="4" t="str">
        <v/>
      </c>
      <c r="DP126" s="4" t="str">
        <v/>
      </c>
      <c r="DQ126" s="4" t="str">
        <v/>
      </c>
      <c r="DR126" s="4" t="str">
        <v/>
      </c>
      <c r="DS126" s="4" t="str">
        <v/>
      </c>
      <c r="DT126" s="4">
        <v>1</v>
      </c>
      <c r="DU126" s="4">
        <v>0.8235999740556</v>
      </c>
      <c r="DV126" s="4">
        <v>0.824805280945149</v>
      </c>
      <c r="DW126" s="4">
        <v>0.273905035874008</v>
      </c>
      <c r="DX126" s="4">
        <v>0.265793154862748</v>
      </c>
      <c r="DY126" s="4">
        <v>0.697359484776335</v>
      </c>
    </row>
    <row r="127" ht="14" spans="1:129">
      <c r="A127" s="31" t="s">
        <v>125</v>
      </c>
      <c r="B127" s="2" t="str">
        <v/>
      </c>
      <c r="C127" s="2" t="str">
        <v/>
      </c>
      <c r="D127" s="2" t="str">
        <v/>
      </c>
      <c r="E127" s="2" t="str">
        <v/>
      </c>
      <c r="F127" s="2" t="str">
        <v/>
      </c>
      <c r="G127" s="2" t="str">
        <v/>
      </c>
      <c r="H127" s="2" t="str">
        <v/>
      </c>
      <c r="I127" s="2" t="str">
        <v/>
      </c>
      <c r="J127" s="2" t="str">
        <v/>
      </c>
      <c r="K127" s="2" t="str">
        <v/>
      </c>
      <c r="L127" s="2" t="str">
        <v/>
      </c>
      <c r="M127" s="2" t="str">
        <v/>
      </c>
      <c r="N127" s="2" t="str">
        <v/>
      </c>
      <c r="O127" s="2" t="str">
        <v/>
      </c>
      <c r="P127" s="2" t="str">
        <v/>
      </c>
      <c r="Q127" s="2" t="str">
        <v/>
      </c>
      <c r="R127" s="2" t="str">
        <v/>
      </c>
      <c r="S127" s="2" t="str">
        <v/>
      </c>
      <c r="T127" s="2" t="str">
        <v/>
      </c>
      <c r="U127" s="2" t="str">
        <v/>
      </c>
      <c r="V127" s="2" t="str">
        <v/>
      </c>
      <c r="W127" s="2" t="str">
        <v/>
      </c>
      <c r="X127" s="2" t="str">
        <v/>
      </c>
      <c r="Y127" s="2" t="str">
        <v/>
      </c>
      <c r="Z127" s="2" t="str">
        <v/>
      </c>
      <c r="AA127" s="2" t="str">
        <v/>
      </c>
      <c r="AB127" s="2" t="str">
        <v/>
      </c>
      <c r="AC127" s="2" t="str">
        <v/>
      </c>
      <c r="AD127" s="2" t="str">
        <v/>
      </c>
      <c r="AE127" s="2" t="str">
        <v/>
      </c>
      <c r="AF127" s="2" t="str">
        <v/>
      </c>
      <c r="AG127" s="2" t="str">
        <v/>
      </c>
      <c r="AH127" s="2" t="str">
        <v/>
      </c>
      <c r="AI127" s="2" t="str">
        <v/>
      </c>
      <c r="AJ127" s="2" t="str">
        <v/>
      </c>
      <c r="AK127" s="2" t="str">
        <v/>
      </c>
      <c r="AL127" s="2" t="str">
        <v/>
      </c>
      <c r="AM127" s="2" t="str">
        <v/>
      </c>
      <c r="AN127" s="2" t="str">
        <v/>
      </c>
      <c r="AO127" s="2" t="str">
        <v/>
      </c>
      <c r="AP127" s="2" t="str">
        <v/>
      </c>
      <c r="AQ127" s="2" t="str">
        <v/>
      </c>
      <c r="AR127" s="2" t="str">
        <v/>
      </c>
      <c r="AS127" s="2" t="str">
        <v/>
      </c>
      <c r="AT127" s="2" t="str">
        <v/>
      </c>
      <c r="AU127" s="2" t="str">
        <v/>
      </c>
      <c r="AV127" s="2" t="str">
        <v/>
      </c>
      <c r="AW127" s="2" t="str">
        <v/>
      </c>
      <c r="AX127" s="2" t="str">
        <v/>
      </c>
      <c r="AY127" s="2" t="str">
        <v/>
      </c>
      <c r="AZ127" s="2" t="str">
        <v/>
      </c>
      <c r="BA127" s="2" t="str">
        <v/>
      </c>
      <c r="BB127" s="2" t="str">
        <v/>
      </c>
      <c r="BC127" s="2" t="str">
        <v/>
      </c>
      <c r="BD127" s="2" t="str">
        <v/>
      </c>
      <c r="BE127" s="2" t="str">
        <v/>
      </c>
      <c r="BF127" s="2" t="str">
        <v/>
      </c>
      <c r="BG127" s="2" t="str">
        <v/>
      </c>
      <c r="BH127" s="2" t="str">
        <v/>
      </c>
      <c r="BI127" s="2" t="str">
        <v/>
      </c>
      <c r="BJ127" s="2" t="str">
        <v/>
      </c>
      <c r="BK127" s="2" t="str">
        <v/>
      </c>
      <c r="BL127" s="2" t="str">
        <v/>
      </c>
      <c r="BM127" s="2" t="str">
        <v/>
      </c>
      <c r="BN127" s="2" t="str">
        <v/>
      </c>
      <c r="BO127" s="2" t="str">
        <v/>
      </c>
      <c r="BP127" s="2" t="str">
        <v/>
      </c>
      <c r="BQ127" s="2" t="str">
        <v/>
      </c>
      <c r="BR127" s="2" t="str">
        <v/>
      </c>
      <c r="BS127" s="2" t="str">
        <v/>
      </c>
      <c r="BT127" s="2" t="str">
        <v/>
      </c>
      <c r="BU127" s="2" t="str">
        <v/>
      </c>
      <c r="BV127" s="2" t="str">
        <v/>
      </c>
      <c r="BW127" s="2" t="str">
        <v/>
      </c>
      <c r="BX127" s="2" t="str">
        <v/>
      </c>
      <c r="BY127" s="2" t="str">
        <v/>
      </c>
      <c r="BZ127" s="2" t="str">
        <v/>
      </c>
      <c r="CA127" s="2" t="str">
        <v/>
      </c>
      <c r="CB127" s="2" t="str">
        <v/>
      </c>
      <c r="CC127" s="2" t="str">
        <v/>
      </c>
      <c r="CD127" s="2" t="str">
        <v/>
      </c>
      <c r="CE127" s="2" t="str">
        <v/>
      </c>
      <c r="CF127" s="2" t="str">
        <v/>
      </c>
      <c r="CG127" s="2" t="str">
        <v/>
      </c>
      <c r="CH127" s="2" t="str">
        <v/>
      </c>
      <c r="CI127" s="2" t="str">
        <v/>
      </c>
      <c r="CJ127" s="2" t="str">
        <v/>
      </c>
      <c r="CK127" s="2" t="str">
        <v/>
      </c>
      <c r="CL127" s="2" t="str">
        <v/>
      </c>
      <c r="CM127" s="2" t="str">
        <v/>
      </c>
      <c r="CN127" s="2" t="str">
        <v/>
      </c>
      <c r="CO127" s="2" t="str">
        <v/>
      </c>
      <c r="CP127" s="2" t="str">
        <v/>
      </c>
      <c r="CQ127" s="2" t="str">
        <v/>
      </c>
      <c r="CR127" s="2" t="str">
        <v/>
      </c>
      <c r="CS127" s="2" t="str">
        <v/>
      </c>
      <c r="CT127" s="2" t="str">
        <v/>
      </c>
      <c r="CU127" s="2" t="str">
        <v/>
      </c>
      <c r="CV127" s="2" t="str">
        <v/>
      </c>
      <c r="CW127" s="2" t="str">
        <v/>
      </c>
      <c r="CX127" s="2" t="str">
        <v/>
      </c>
      <c r="CY127" s="2" t="str">
        <v/>
      </c>
      <c r="CZ127" s="2" t="str">
        <v/>
      </c>
      <c r="DA127" s="2" t="str">
        <v/>
      </c>
      <c r="DB127" s="2" t="str">
        <v/>
      </c>
      <c r="DC127" s="2" t="str">
        <v/>
      </c>
      <c r="DD127" s="2" t="str">
        <v/>
      </c>
      <c r="DE127" s="2" t="str">
        <v/>
      </c>
      <c r="DF127" s="2" t="str">
        <v/>
      </c>
      <c r="DG127" s="2" t="str">
        <v/>
      </c>
      <c r="DH127" s="2" t="str">
        <v/>
      </c>
      <c r="DI127" s="4" t="str">
        <v/>
      </c>
      <c r="DJ127" s="4" t="str">
        <v/>
      </c>
      <c r="DK127" s="4" t="str">
        <v/>
      </c>
      <c r="DL127" s="4" t="str">
        <v/>
      </c>
      <c r="DM127" s="4" t="str">
        <v/>
      </c>
      <c r="DN127" s="4" t="str">
        <v/>
      </c>
      <c r="DO127" s="4" t="str">
        <v/>
      </c>
      <c r="DP127" s="4" t="str">
        <v/>
      </c>
      <c r="DQ127" s="4" t="str">
        <v/>
      </c>
      <c r="DR127" s="4" t="str">
        <v/>
      </c>
      <c r="DS127" s="4" t="str">
        <v/>
      </c>
      <c r="DT127" s="4" t="str">
        <v/>
      </c>
      <c r="DU127" s="4">
        <v>1</v>
      </c>
      <c r="DV127" s="4">
        <v>0.807947770077682</v>
      </c>
      <c r="DW127" s="4">
        <v>0.326600234923493</v>
      </c>
      <c r="DX127" s="4">
        <v>0.315432686034496</v>
      </c>
      <c r="DY127" s="4">
        <v>0.79030961104376</v>
      </c>
    </row>
    <row r="128" ht="14" spans="1:129">
      <c r="A128" s="31" t="s">
        <v>127</v>
      </c>
      <c r="B128" s="2" t="str">
        <v/>
      </c>
      <c r="C128" s="2" t="str">
        <v/>
      </c>
      <c r="D128" s="2" t="str">
        <v/>
      </c>
      <c r="E128" s="2" t="str">
        <v/>
      </c>
      <c r="F128" s="2" t="str">
        <v/>
      </c>
      <c r="G128" s="2" t="str">
        <v/>
      </c>
      <c r="H128" s="2" t="str">
        <v/>
      </c>
      <c r="I128" s="2" t="str">
        <v/>
      </c>
      <c r="J128" s="2" t="str">
        <v/>
      </c>
      <c r="K128" s="2" t="str">
        <v/>
      </c>
      <c r="L128" s="2" t="str">
        <v/>
      </c>
      <c r="M128" s="2" t="str">
        <v/>
      </c>
      <c r="N128" s="2" t="str">
        <v/>
      </c>
      <c r="O128" s="2" t="str">
        <v/>
      </c>
      <c r="P128" s="2" t="str">
        <v/>
      </c>
      <c r="Q128" s="2" t="str">
        <v/>
      </c>
      <c r="R128" s="2" t="str">
        <v/>
      </c>
      <c r="S128" s="2" t="str">
        <v/>
      </c>
      <c r="T128" s="2" t="str">
        <v/>
      </c>
      <c r="U128" s="2" t="str">
        <v/>
      </c>
      <c r="V128" s="2" t="str">
        <v/>
      </c>
      <c r="W128" s="2" t="str">
        <v/>
      </c>
      <c r="X128" s="2" t="str">
        <v/>
      </c>
      <c r="Y128" s="2" t="str">
        <v/>
      </c>
      <c r="Z128" s="2" t="str">
        <v/>
      </c>
      <c r="AA128" s="2" t="str">
        <v/>
      </c>
      <c r="AB128" s="2" t="str">
        <v/>
      </c>
      <c r="AC128" s="2" t="str">
        <v/>
      </c>
      <c r="AD128" s="2" t="str">
        <v/>
      </c>
      <c r="AE128" s="2" t="str">
        <v/>
      </c>
      <c r="AF128" s="2" t="str">
        <v/>
      </c>
      <c r="AG128" s="2" t="str">
        <v/>
      </c>
      <c r="AH128" s="2" t="str">
        <v/>
      </c>
      <c r="AI128" s="2" t="str">
        <v/>
      </c>
      <c r="AJ128" s="2" t="str">
        <v/>
      </c>
      <c r="AK128" s="2" t="str">
        <v/>
      </c>
      <c r="AL128" s="2" t="str">
        <v/>
      </c>
      <c r="AM128" s="2" t="str">
        <v/>
      </c>
      <c r="AN128" s="2" t="str">
        <v/>
      </c>
      <c r="AO128" s="2" t="str">
        <v/>
      </c>
      <c r="AP128" s="2" t="str">
        <v/>
      </c>
      <c r="AQ128" s="2" t="str">
        <v/>
      </c>
      <c r="AR128" s="2" t="str">
        <v/>
      </c>
      <c r="AS128" s="2" t="str">
        <v/>
      </c>
      <c r="AT128" s="2" t="str">
        <v/>
      </c>
      <c r="AU128" s="2" t="str">
        <v/>
      </c>
      <c r="AV128" s="2" t="str">
        <v/>
      </c>
      <c r="AW128" s="2" t="str">
        <v/>
      </c>
      <c r="AX128" s="2" t="str">
        <v/>
      </c>
      <c r="AY128" s="2" t="str">
        <v/>
      </c>
      <c r="AZ128" s="2" t="str">
        <v/>
      </c>
      <c r="BA128" s="2" t="str">
        <v/>
      </c>
      <c r="BB128" s="2" t="str">
        <v/>
      </c>
      <c r="BC128" s="2" t="str">
        <v/>
      </c>
      <c r="BD128" s="2" t="str">
        <v/>
      </c>
      <c r="BE128" s="2" t="str">
        <v/>
      </c>
      <c r="BF128" s="2" t="str">
        <v/>
      </c>
      <c r="BG128" s="2" t="str">
        <v/>
      </c>
      <c r="BH128" s="2" t="str">
        <v/>
      </c>
      <c r="BI128" s="2" t="str">
        <v/>
      </c>
      <c r="BJ128" s="2" t="str">
        <v/>
      </c>
      <c r="BK128" s="2" t="str">
        <v/>
      </c>
      <c r="BL128" s="2" t="str">
        <v/>
      </c>
      <c r="BM128" s="2" t="str">
        <v/>
      </c>
      <c r="BN128" s="2" t="str">
        <v/>
      </c>
      <c r="BO128" s="2" t="str">
        <v/>
      </c>
      <c r="BP128" s="2" t="str">
        <v/>
      </c>
      <c r="BQ128" s="2" t="str">
        <v/>
      </c>
      <c r="BR128" s="2" t="str">
        <v/>
      </c>
      <c r="BS128" s="2" t="str">
        <v/>
      </c>
      <c r="BT128" s="2" t="str">
        <v/>
      </c>
      <c r="BU128" s="2" t="str">
        <v/>
      </c>
      <c r="BV128" s="2" t="str">
        <v/>
      </c>
      <c r="BW128" s="2" t="str">
        <v/>
      </c>
      <c r="BX128" s="2" t="str">
        <v/>
      </c>
      <c r="BY128" s="2" t="str">
        <v/>
      </c>
      <c r="BZ128" s="2" t="str">
        <v/>
      </c>
      <c r="CA128" s="2" t="str">
        <v/>
      </c>
      <c r="CB128" s="2" t="str">
        <v/>
      </c>
      <c r="CC128" s="2" t="str">
        <v/>
      </c>
      <c r="CD128" s="2" t="str">
        <v/>
      </c>
      <c r="CE128" s="2" t="str">
        <v/>
      </c>
      <c r="CF128" s="2" t="str">
        <v/>
      </c>
      <c r="CG128" s="2" t="str">
        <v/>
      </c>
      <c r="CH128" s="2" t="str">
        <v/>
      </c>
      <c r="CI128" s="2" t="str">
        <v/>
      </c>
      <c r="CJ128" s="2" t="str">
        <v/>
      </c>
      <c r="CK128" s="2" t="str">
        <v/>
      </c>
      <c r="CL128" s="2" t="str">
        <v/>
      </c>
      <c r="CM128" s="2" t="str">
        <v/>
      </c>
      <c r="CN128" s="2" t="str">
        <v/>
      </c>
      <c r="CO128" s="2" t="str">
        <v/>
      </c>
      <c r="CP128" s="2" t="str">
        <v/>
      </c>
      <c r="CQ128" s="2" t="str">
        <v/>
      </c>
      <c r="CR128" s="2" t="str">
        <v/>
      </c>
      <c r="CS128" s="2" t="str">
        <v/>
      </c>
      <c r="CT128" s="2" t="str">
        <v/>
      </c>
      <c r="CU128" s="2" t="str">
        <v/>
      </c>
      <c r="CV128" s="2" t="str">
        <v/>
      </c>
      <c r="CW128" s="2" t="str">
        <v/>
      </c>
      <c r="CX128" s="2" t="str">
        <v/>
      </c>
      <c r="CY128" s="2" t="str">
        <v/>
      </c>
      <c r="CZ128" s="2" t="str">
        <v/>
      </c>
      <c r="DA128" s="2" t="str">
        <v/>
      </c>
      <c r="DB128" s="2" t="str">
        <v/>
      </c>
      <c r="DC128" s="2" t="str">
        <v/>
      </c>
      <c r="DD128" s="2" t="str">
        <v/>
      </c>
      <c r="DE128" s="2" t="str">
        <v/>
      </c>
      <c r="DF128" s="2" t="str">
        <v/>
      </c>
      <c r="DG128" s="2" t="str">
        <v/>
      </c>
      <c r="DH128" s="2" t="str">
        <v/>
      </c>
      <c r="DI128" s="4" t="str">
        <v/>
      </c>
      <c r="DJ128" s="4" t="str">
        <v/>
      </c>
      <c r="DK128" s="4" t="str">
        <v/>
      </c>
      <c r="DL128" s="4" t="str">
        <v/>
      </c>
      <c r="DM128" s="4" t="str">
        <v/>
      </c>
      <c r="DN128" s="4" t="str">
        <v/>
      </c>
      <c r="DO128" s="4" t="str">
        <v/>
      </c>
      <c r="DP128" s="4" t="str">
        <v/>
      </c>
      <c r="DQ128" s="4" t="str">
        <v/>
      </c>
      <c r="DR128" s="4" t="str">
        <v/>
      </c>
      <c r="DS128" s="4" t="str">
        <v/>
      </c>
      <c r="DT128" s="4" t="str">
        <v/>
      </c>
      <c r="DU128" s="4" t="str">
        <v/>
      </c>
      <c r="DV128" s="4">
        <v>1</v>
      </c>
      <c r="DW128" s="4">
        <v>0.400129743897473</v>
      </c>
      <c r="DX128" s="4">
        <v>0.183230785379923</v>
      </c>
      <c r="DY128" s="4">
        <v>0.693638748832661</v>
      </c>
    </row>
    <row r="129" ht="14" spans="1:129">
      <c r="A129" s="31" t="s">
        <v>128</v>
      </c>
      <c r="B129" s="2" t="str">
        <v/>
      </c>
      <c r="C129" s="2" t="str">
        <v/>
      </c>
      <c r="D129" s="2" t="str">
        <v/>
      </c>
      <c r="E129" s="2" t="str">
        <v/>
      </c>
      <c r="F129" s="2" t="str">
        <v/>
      </c>
      <c r="G129" s="2" t="str">
        <v/>
      </c>
      <c r="H129" s="2" t="str">
        <v/>
      </c>
      <c r="I129" s="2" t="str">
        <v/>
      </c>
      <c r="J129" s="2" t="str">
        <v/>
      </c>
      <c r="K129" s="2" t="str">
        <v/>
      </c>
      <c r="L129" s="2" t="str">
        <v/>
      </c>
      <c r="M129" s="2" t="str">
        <v/>
      </c>
      <c r="N129" s="2" t="str">
        <v/>
      </c>
      <c r="O129" s="2" t="str">
        <v/>
      </c>
      <c r="P129" s="2" t="str">
        <v/>
      </c>
      <c r="Q129" s="2" t="str">
        <v/>
      </c>
      <c r="R129" s="2" t="str">
        <v/>
      </c>
      <c r="S129" s="2" t="str">
        <v/>
      </c>
      <c r="T129" s="2" t="str">
        <v/>
      </c>
      <c r="U129" s="2" t="str">
        <v/>
      </c>
      <c r="V129" s="2" t="str">
        <v/>
      </c>
      <c r="W129" s="2" t="str">
        <v/>
      </c>
      <c r="X129" s="2" t="str">
        <v/>
      </c>
      <c r="Y129" s="2" t="str">
        <v/>
      </c>
      <c r="Z129" s="2" t="str">
        <v/>
      </c>
      <c r="AA129" s="2" t="str">
        <v/>
      </c>
      <c r="AB129" s="2" t="str">
        <v/>
      </c>
      <c r="AC129" s="2" t="str">
        <v/>
      </c>
      <c r="AD129" s="2" t="str">
        <v/>
      </c>
      <c r="AE129" s="2" t="str">
        <v/>
      </c>
      <c r="AF129" s="2" t="str">
        <v/>
      </c>
      <c r="AG129" s="2" t="str">
        <v/>
      </c>
      <c r="AH129" s="2" t="str">
        <v/>
      </c>
      <c r="AI129" s="2" t="str">
        <v/>
      </c>
      <c r="AJ129" s="2" t="str">
        <v/>
      </c>
      <c r="AK129" s="2" t="str">
        <v/>
      </c>
      <c r="AL129" s="2" t="str">
        <v/>
      </c>
      <c r="AM129" s="2" t="str">
        <v/>
      </c>
      <c r="AN129" s="2" t="str">
        <v/>
      </c>
      <c r="AO129" s="2" t="str">
        <v/>
      </c>
      <c r="AP129" s="2" t="str">
        <v/>
      </c>
      <c r="AQ129" s="2" t="str">
        <v/>
      </c>
      <c r="AR129" s="2" t="str">
        <v/>
      </c>
      <c r="AS129" s="2" t="str">
        <v/>
      </c>
      <c r="AT129" s="2" t="str">
        <v/>
      </c>
      <c r="AU129" s="2" t="str">
        <v/>
      </c>
      <c r="AV129" s="2" t="str">
        <v/>
      </c>
      <c r="AW129" s="2" t="str">
        <v/>
      </c>
      <c r="AX129" s="2" t="str">
        <v/>
      </c>
      <c r="AY129" s="2" t="str">
        <v/>
      </c>
      <c r="AZ129" s="2" t="str">
        <v/>
      </c>
      <c r="BA129" s="2" t="str">
        <v/>
      </c>
      <c r="BB129" s="2" t="str">
        <v/>
      </c>
      <c r="BC129" s="2" t="str">
        <v/>
      </c>
      <c r="BD129" s="2" t="str">
        <v/>
      </c>
      <c r="BE129" s="2" t="str">
        <v/>
      </c>
      <c r="BF129" s="2" t="str">
        <v/>
      </c>
      <c r="BG129" s="2" t="str">
        <v/>
      </c>
      <c r="BH129" s="2" t="str">
        <v/>
      </c>
      <c r="BI129" s="2" t="str">
        <v/>
      </c>
      <c r="BJ129" s="2" t="str">
        <v/>
      </c>
      <c r="BK129" s="2" t="str">
        <v/>
      </c>
      <c r="BL129" s="2" t="str">
        <v/>
      </c>
      <c r="BM129" s="2" t="str">
        <v/>
      </c>
      <c r="BN129" s="2" t="str">
        <v/>
      </c>
      <c r="BO129" s="2" t="str">
        <v/>
      </c>
      <c r="BP129" s="2" t="str">
        <v/>
      </c>
      <c r="BQ129" s="2" t="str">
        <v/>
      </c>
      <c r="BR129" s="2" t="str">
        <v/>
      </c>
      <c r="BS129" s="2" t="str">
        <v/>
      </c>
      <c r="BT129" s="2" t="str">
        <v/>
      </c>
      <c r="BU129" s="2" t="str">
        <v/>
      </c>
      <c r="BV129" s="2" t="str">
        <v/>
      </c>
      <c r="BW129" s="2" t="str">
        <v/>
      </c>
      <c r="BX129" s="2" t="str">
        <v/>
      </c>
      <c r="BY129" s="2" t="str">
        <v/>
      </c>
      <c r="BZ129" s="2" t="str">
        <v/>
      </c>
      <c r="CA129" s="2" t="str">
        <v/>
      </c>
      <c r="CB129" s="2" t="str">
        <v/>
      </c>
      <c r="CC129" s="2" t="str">
        <v/>
      </c>
      <c r="CD129" s="2" t="str">
        <v/>
      </c>
      <c r="CE129" s="2" t="str">
        <v/>
      </c>
      <c r="CF129" s="2" t="str">
        <v/>
      </c>
      <c r="CG129" s="2" t="str">
        <v/>
      </c>
      <c r="CH129" s="2" t="str">
        <v/>
      </c>
      <c r="CI129" s="2" t="str">
        <v/>
      </c>
      <c r="CJ129" s="2" t="str">
        <v/>
      </c>
      <c r="CK129" s="2" t="str">
        <v/>
      </c>
      <c r="CL129" s="2" t="str">
        <v/>
      </c>
      <c r="CM129" s="2" t="str">
        <v/>
      </c>
      <c r="CN129" s="2" t="str">
        <v/>
      </c>
      <c r="CO129" s="2" t="str">
        <v/>
      </c>
      <c r="CP129" s="2" t="str">
        <v/>
      </c>
      <c r="CQ129" s="2" t="str">
        <v/>
      </c>
      <c r="CR129" s="2" t="str">
        <v/>
      </c>
      <c r="CS129" s="2" t="str">
        <v/>
      </c>
      <c r="CT129" s="2" t="str">
        <v/>
      </c>
      <c r="CU129" s="2" t="str">
        <v/>
      </c>
      <c r="CV129" s="2" t="str">
        <v/>
      </c>
      <c r="CW129" s="2" t="str">
        <v/>
      </c>
      <c r="CX129" s="2" t="str">
        <v/>
      </c>
      <c r="CY129" s="2" t="str">
        <v/>
      </c>
      <c r="CZ129" s="2" t="str">
        <v/>
      </c>
      <c r="DA129" s="2" t="str">
        <v/>
      </c>
      <c r="DB129" s="2" t="str">
        <v/>
      </c>
      <c r="DC129" s="2" t="str">
        <v/>
      </c>
      <c r="DD129" s="2" t="str">
        <v/>
      </c>
      <c r="DE129" s="2" t="str">
        <v/>
      </c>
      <c r="DF129" s="2" t="str">
        <v/>
      </c>
      <c r="DG129" s="2" t="str">
        <v/>
      </c>
      <c r="DH129" s="2" t="str">
        <v/>
      </c>
      <c r="DI129" s="4" t="str">
        <v/>
      </c>
      <c r="DJ129" s="4" t="str">
        <v/>
      </c>
      <c r="DK129" s="4" t="str">
        <v/>
      </c>
      <c r="DL129" s="4" t="str">
        <v/>
      </c>
      <c r="DM129" s="4" t="str">
        <v/>
      </c>
      <c r="DN129" s="4" t="str">
        <v/>
      </c>
      <c r="DO129" s="4" t="str">
        <v/>
      </c>
      <c r="DP129" s="4" t="str">
        <v/>
      </c>
      <c r="DQ129" s="4" t="str">
        <v/>
      </c>
      <c r="DR129" s="4" t="str">
        <v/>
      </c>
      <c r="DS129" s="4" t="str">
        <v/>
      </c>
      <c r="DT129" s="4" t="str">
        <v/>
      </c>
      <c r="DU129" s="4" t="str">
        <v/>
      </c>
      <c r="DV129" s="4" t="str">
        <v/>
      </c>
      <c r="DW129" s="4">
        <v>1</v>
      </c>
      <c r="DX129" s="4">
        <v>0.167136339843524</v>
      </c>
      <c r="DY129" s="4">
        <v>0.271143882253344</v>
      </c>
    </row>
    <row r="130" ht="14" spans="1:129">
      <c r="A130" s="31" t="s">
        <v>129</v>
      </c>
      <c r="B130" s="2" t="str">
        <v/>
      </c>
      <c r="C130" s="2" t="str">
        <v/>
      </c>
      <c r="D130" s="2" t="str">
        <v/>
      </c>
      <c r="E130" s="2" t="str">
        <v/>
      </c>
      <c r="F130" s="2" t="str">
        <v/>
      </c>
      <c r="G130" s="2" t="str">
        <v/>
      </c>
      <c r="H130" s="2" t="str">
        <v/>
      </c>
      <c r="I130" s="2" t="str">
        <v/>
      </c>
      <c r="J130" s="2" t="str">
        <v/>
      </c>
      <c r="K130" s="2" t="str">
        <v/>
      </c>
      <c r="L130" s="2" t="str">
        <v/>
      </c>
      <c r="M130" s="2" t="str">
        <v/>
      </c>
      <c r="N130" s="2" t="str">
        <v/>
      </c>
      <c r="O130" s="2" t="str">
        <v/>
      </c>
      <c r="P130" s="2" t="str">
        <v/>
      </c>
      <c r="Q130" s="2" t="str">
        <v/>
      </c>
      <c r="R130" s="2" t="str">
        <v/>
      </c>
      <c r="S130" s="2" t="str">
        <v/>
      </c>
      <c r="T130" s="2" t="str">
        <v/>
      </c>
      <c r="U130" s="2" t="str">
        <v/>
      </c>
      <c r="V130" s="2" t="str">
        <v/>
      </c>
      <c r="W130" s="2" t="str">
        <v/>
      </c>
      <c r="X130" s="2" t="str">
        <v/>
      </c>
      <c r="Y130" s="2" t="str">
        <v/>
      </c>
      <c r="Z130" s="2" t="str">
        <v/>
      </c>
      <c r="AA130" s="2" t="str">
        <v/>
      </c>
      <c r="AB130" s="2" t="str">
        <v/>
      </c>
      <c r="AC130" s="2" t="str">
        <v/>
      </c>
      <c r="AD130" s="2" t="str">
        <v/>
      </c>
      <c r="AE130" s="2" t="str">
        <v/>
      </c>
      <c r="AF130" s="2" t="str">
        <v/>
      </c>
      <c r="AG130" s="2" t="str">
        <v/>
      </c>
      <c r="AH130" s="2" t="str">
        <v/>
      </c>
      <c r="AI130" s="2" t="str">
        <v/>
      </c>
      <c r="AJ130" s="2" t="str">
        <v/>
      </c>
      <c r="AK130" s="2" t="str">
        <v/>
      </c>
      <c r="AL130" s="2" t="str">
        <v/>
      </c>
      <c r="AM130" s="2" t="str">
        <v/>
      </c>
      <c r="AN130" s="2" t="str">
        <v/>
      </c>
      <c r="AO130" s="2" t="str">
        <v/>
      </c>
      <c r="AP130" s="2" t="str">
        <v/>
      </c>
      <c r="AQ130" s="2" t="str">
        <v/>
      </c>
      <c r="AR130" s="2" t="str">
        <v/>
      </c>
      <c r="AS130" s="2" t="str">
        <v/>
      </c>
      <c r="AT130" s="2" t="str">
        <v/>
      </c>
      <c r="AU130" s="2" t="str">
        <v/>
      </c>
      <c r="AV130" s="2" t="str">
        <v/>
      </c>
      <c r="AW130" s="2" t="str">
        <v/>
      </c>
      <c r="AX130" s="2" t="str">
        <v/>
      </c>
      <c r="AY130" s="2" t="str">
        <v/>
      </c>
      <c r="AZ130" s="2" t="str">
        <v/>
      </c>
      <c r="BA130" s="2" t="str">
        <v/>
      </c>
      <c r="BB130" s="2" t="str">
        <v/>
      </c>
      <c r="BC130" s="2" t="str">
        <v/>
      </c>
      <c r="BD130" s="2" t="str">
        <v/>
      </c>
      <c r="BE130" s="2" t="str">
        <v/>
      </c>
      <c r="BF130" s="2" t="str">
        <v/>
      </c>
      <c r="BG130" s="2" t="str">
        <v/>
      </c>
      <c r="BH130" s="2" t="str">
        <v/>
      </c>
      <c r="BI130" s="2" t="str">
        <v/>
      </c>
      <c r="BJ130" s="2" t="str">
        <v/>
      </c>
      <c r="BK130" s="2" t="str">
        <v/>
      </c>
      <c r="BL130" s="2" t="str">
        <v/>
      </c>
      <c r="BM130" s="2" t="str">
        <v/>
      </c>
      <c r="BN130" s="2" t="str">
        <v/>
      </c>
      <c r="BO130" s="2" t="str">
        <v/>
      </c>
      <c r="BP130" s="2" t="str">
        <v/>
      </c>
      <c r="BQ130" s="2" t="str">
        <v/>
      </c>
      <c r="BR130" s="2" t="str">
        <v/>
      </c>
      <c r="BS130" s="2" t="str">
        <v/>
      </c>
      <c r="BT130" s="2" t="str">
        <v/>
      </c>
      <c r="BU130" s="2" t="str">
        <v/>
      </c>
      <c r="BV130" s="2" t="str">
        <v/>
      </c>
      <c r="BW130" s="2" t="str">
        <v/>
      </c>
      <c r="BX130" s="2" t="str">
        <v/>
      </c>
      <c r="BY130" s="2" t="str">
        <v/>
      </c>
      <c r="BZ130" s="2" t="str">
        <v/>
      </c>
      <c r="CA130" s="2" t="str">
        <v/>
      </c>
      <c r="CB130" s="2" t="str">
        <v/>
      </c>
      <c r="CC130" s="2" t="str">
        <v/>
      </c>
      <c r="CD130" s="2" t="str">
        <v/>
      </c>
      <c r="CE130" s="2" t="str">
        <v/>
      </c>
      <c r="CF130" s="2" t="str">
        <v/>
      </c>
      <c r="CG130" s="2" t="str">
        <v/>
      </c>
      <c r="CH130" s="2" t="str">
        <v/>
      </c>
      <c r="CI130" s="2" t="str">
        <v/>
      </c>
      <c r="CJ130" s="2" t="str">
        <v/>
      </c>
      <c r="CK130" s="2" t="str">
        <v/>
      </c>
      <c r="CL130" s="2" t="str">
        <v/>
      </c>
      <c r="CM130" s="2" t="str">
        <v/>
      </c>
      <c r="CN130" s="2" t="str">
        <v/>
      </c>
      <c r="CO130" s="2" t="str">
        <v/>
      </c>
      <c r="CP130" s="2" t="str">
        <v/>
      </c>
      <c r="CQ130" s="2" t="str">
        <v/>
      </c>
      <c r="CR130" s="2" t="str">
        <v/>
      </c>
      <c r="CS130" s="2" t="str">
        <v/>
      </c>
      <c r="CT130" s="2" t="str">
        <v/>
      </c>
      <c r="CU130" s="2" t="str">
        <v/>
      </c>
      <c r="CV130" s="2" t="str">
        <v/>
      </c>
      <c r="CW130" s="2" t="str">
        <v/>
      </c>
      <c r="CX130" s="2" t="str">
        <v/>
      </c>
      <c r="CY130" s="2" t="str">
        <v/>
      </c>
      <c r="CZ130" s="2" t="str">
        <v/>
      </c>
      <c r="DA130" s="2" t="str">
        <v/>
      </c>
      <c r="DB130" s="2" t="str">
        <v/>
      </c>
      <c r="DC130" s="2" t="str">
        <v/>
      </c>
      <c r="DD130" s="2" t="str">
        <v/>
      </c>
      <c r="DE130" s="2" t="str">
        <v/>
      </c>
      <c r="DF130" s="2" t="str">
        <v/>
      </c>
      <c r="DG130" s="2" t="str">
        <v/>
      </c>
      <c r="DH130" s="2" t="str">
        <v/>
      </c>
      <c r="DI130" s="4" t="str">
        <v/>
      </c>
      <c r="DJ130" s="4" t="str">
        <v/>
      </c>
      <c r="DK130" s="4" t="str">
        <v/>
      </c>
      <c r="DL130" s="4" t="str">
        <v/>
      </c>
      <c r="DM130" s="4" t="str">
        <v/>
      </c>
      <c r="DN130" s="4" t="str">
        <v/>
      </c>
      <c r="DO130" s="4" t="str">
        <v/>
      </c>
      <c r="DP130" s="4" t="str">
        <v/>
      </c>
      <c r="DQ130" s="4" t="str">
        <v/>
      </c>
      <c r="DR130" s="4" t="str">
        <v/>
      </c>
      <c r="DS130" s="4" t="str">
        <v/>
      </c>
      <c r="DT130" s="4" t="str">
        <v/>
      </c>
      <c r="DU130" s="4" t="str">
        <v/>
      </c>
      <c r="DV130" s="4" t="str">
        <v/>
      </c>
      <c r="DW130" s="4" t="str">
        <v/>
      </c>
      <c r="DX130" s="4">
        <v>1</v>
      </c>
      <c r="DY130" s="4">
        <v>0.306396513730238</v>
      </c>
    </row>
    <row r="131" ht="14" spans="1:129">
      <c r="A131" s="31" t="s">
        <v>130</v>
      </c>
      <c r="B131" s="2" t="str">
        <v/>
      </c>
      <c r="C131" s="2" t="str">
        <v/>
      </c>
      <c r="D131" s="2" t="str">
        <v/>
      </c>
      <c r="E131" s="2" t="str">
        <v/>
      </c>
      <c r="F131" s="2" t="str">
        <v/>
      </c>
      <c r="G131" s="2" t="str">
        <v/>
      </c>
      <c r="H131" s="2" t="str">
        <v/>
      </c>
      <c r="I131" s="2" t="str">
        <v/>
      </c>
      <c r="J131" s="2" t="str">
        <v/>
      </c>
      <c r="K131" s="2" t="str">
        <v/>
      </c>
      <c r="L131" s="2" t="str">
        <v/>
      </c>
      <c r="M131" s="2" t="str">
        <v/>
      </c>
      <c r="N131" s="2" t="str">
        <v/>
      </c>
      <c r="O131" s="2" t="str">
        <v/>
      </c>
      <c r="P131" s="2" t="str">
        <v/>
      </c>
      <c r="Q131" s="2" t="str">
        <v/>
      </c>
      <c r="R131" s="2" t="str">
        <v/>
      </c>
      <c r="S131" s="2" t="str">
        <v/>
      </c>
      <c r="T131" s="2" t="str">
        <v/>
      </c>
      <c r="U131" s="2" t="str">
        <v/>
      </c>
      <c r="V131" s="2" t="str">
        <v/>
      </c>
      <c r="W131" s="2" t="str">
        <v/>
      </c>
      <c r="X131" s="2" t="str">
        <v/>
      </c>
      <c r="Y131" s="2" t="str">
        <v/>
      </c>
      <c r="Z131" s="2" t="str">
        <v/>
      </c>
      <c r="AA131" s="2" t="str">
        <v/>
      </c>
      <c r="AB131" s="2" t="str">
        <v/>
      </c>
      <c r="AC131" s="2" t="str">
        <v/>
      </c>
      <c r="AD131" s="2" t="str">
        <v/>
      </c>
      <c r="AE131" s="2" t="str">
        <v/>
      </c>
      <c r="AF131" s="2" t="str">
        <v/>
      </c>
      <c r="AG131" s="2" t="str">
        <v/>
      </c>
      <c r="AH131" s="2" t="str">
        <v/>
      </c>
      <c r="AI131" s="2" t="str">
        <v/>
      </c>
      <c r="AJ131" s="2" t="str">
        <v/>
      </c>
      <c r="AK131" s="2" t="str">
        <v/>
      </c>
      <c r="AL131" s="2" t="str">
        <v/>
      </c>
      <c r="AM131" s="2" t="str">
        <v/>
      </c>
      <c r="AN131" s="2" t="str">
        <v/>
      </c>
      <c r="AO131" s="2" t="str">
        <v/>
      </c>
      <c r="AP131" s="2" t="str">
        <v/>
      </c>
      <c r="AQ131" s="2" t="str">
        <v/>
      </c>
      <c r="AR131" s="2" t="str">
        <v/>
      </c>
      <c r="AS131" s="2" t="str">
        <v/>
      </c>
      <c r="AT131" s="2" t="str">
        <v/>
      </c>
      <c r="AU131" s="2" t="str">
        <v/>
      </c>
      <c r="AV131" s="2" t="str">
        <v/>
      </c>
      <c r="AW131" s="2" t="str">
        <v/>
      </c>
      <c r="AX131" s="2" t="str">
        <v/>
      </c>
      <c r="AY131" s="2" t="str">
        <v/>
      </c>
      <c r="AZ131" s="2" t="str">
        <v/>
      </c>
      <c r="BA131" s="2" t="str">
        <v/>
      </c>
      <c r="BB131" s="2" t="str">
        <v/>
      </c>
      <c r="BC131" s="2" t="str">
        <v/>
      </c>
      <c r="BD131" s="2" t="str">
        <v/>
      </c>
      <c r="BE131" s="2" t="str">
        <v/>
      </c>
      <c r="BF131" s="2" t="str">
        <v/>
      </c>
      <c r="BG131" s="2" t="str">
        <v/>
      </c>
      <c r="BH131" s="2" t="str">
        <v/>
      </c>
      <c r="BI131" s="2" t="str">
        <v/>
      </c>
      <c r="BJ131" s="2" t="str">
        <v/>
      </c>
      <c r="BK131" s="2" t="str">
        <v/>
      </c>
      <c r="BL131" s="2" t="str">
        <v/>
      </c>
      <c r="BM131" s="2" t="str">
        <v/>
      </c>
      <c r="BN131" s="2" t="str">
        <v/>
      </c>
      <c r="BO131" s="2" t="str">
        <v/>
      </c>
      <c r="BP131" s="2" t="str">
        <v/>
      </c>
      <c r="BQ131" s="2" t="str">
        <v/>
      </c>
      <c r="BR131" s="2" t="str">
        <v/>
      </c>
      <c r="BS131" s="2" t="str">
        <v/>
      </c>
      <c r="BT131" s="2" t="str">
        <v/>
      </c>
      <c r="BU131" s="2" t="str">
        <v/>
      </c>
      <c r="BV131" s="2" t="str">
        <v/>
      </c>
      <c r="BW131" s="2" t="str">
        <v/>
      </c>
      <c r="BX131" s="2" t="str">
        <v/>
      </c>
      <c r="BY131" s="2" t="str">
        <v/>
      </c>
      <c r="BZ131" s="2" t="str">
        <v/>
      </c>
      <c r="CA131" s="2" t="str">
        <v/>
      </c>
      <c r="CB131" s="2" t="str">
        <v/>
      </c>
      <c r="CC131" s="2" t="str">
        <v/>
      </c>
      <c r="CD131" s="2" t="str">
        <v/>
      </c>
      <c r="CE131" s="2" t="str">
        <v/>
      </c>
      <c r="CF131" s="2" t="str">
        <v/>
      </c>
      <c r="CG131" s="2" t="str">
        <v/>
      </c>
      <c r="CH131" s="2" t="str">
        <v/>
      </c>
      <c r="CI131" s="2" t="str">
        <v/>
      </c>
      <c r="CJ131" s="2" t="str">
        <v/>
      </c>
      <c r="CK131" s="2" t="str">
        <v/>
      </c>
      <c r="CL131" s="2" t="str">
        <v/>
      </c>
      <c r="CM131" s="2" t="str">
        <v/>
      </c>
      <c r="CN131" s="2" t="str">
        <v/>
      </c>
      <c r="CO131" s="2" t="str">
        <v/>
      </c>
      <c r="CP131" s="2" t="str">
        <v/>
      </c>
      <c r="CQ131" s="2" t="str">
        <v/>
      </c>
      <c r="CR131" s="2" t="str">
        <v/>
      </c>
      <c r="CS131" s="2" t="str">
        <v/>
      </c>
      <c r="CT131" s="2" t="str">
        <v/>
      </c>
      <c r="CU131" s="2" t="str">
        <v/>
      </c>
      <c r="CV131" s="2" t="str">
        <v/>
      </c>
      <c r="CW131" s="2" t="str">
        <v/>
      </c>
      <c r="CX131" s="2" t="str">
        <v/>
      </c>
      <c r="CY131" s="2" t="str">
        <v/>
      </c>
      <c r="CZ131" s="2" t="str">
        <v/>
      </c>
      <c r="DA131" s="2" t="str">
        <v/>
      </c>
      <c r="DB131" s="2" t="str">
        <v/>
      </c>
      <c r="DC131" s="2" t="str">
        <v/>
      </c>
      <c r="DD131" s="2" t="str">
        <v/>
      </c>
      <c r="DE131" s="2" t="str">
        <v/>
      </c>
      <c r="DF131" s="2" t="str">
        <v/>
      </c>
      <c r="DG131" s="2" t="str">
        <v/>
      </c>
      <c r="DH131" s="2" t="str">
        <v/>
      </c>
      <c r="DI131" s="4" t="str">
        <v/>
      </c>
      <c r="DJ131" s="4" t="str">
        <v/>
      </c>
      <c r="DK131" s="4" t="str">
        <v/>
      </c>
      <c r="DL131" s="4" t="str">
        <v/>
      </c>
      <c r="DM131" s="4" t="str">
        <v/>
      </c>
      <c r="DN131" s="4" t="str">
        <v/>
      </c>
      <c r="DO131" s="4" t="str">
        <v/>
      </c>
      <c r="DP131" s="4" t="str">
        <v/>
      </c>
      <c r="DQ131" s="4" t="str">
        <v/>
      </c>
      <c r="DR131" s="4" t="str">
        <v/>
      </c>
      <c r="DS131" s="4" t="str">
        <v/>
      </c>
      <c r="DT131" s="4" t="str">
        <v/>
      </c>
      <c r="DU131" s="4" t="str">
        <v/>
      </c>
      <c r="DV131" s="4" t="str">
        <v/>
      </c>
      <c r="DW131" s="4" t="str">
        <v/>
      </c>
      <c r="DX131" s="4" t="str">
        <v/>
      </c>
      <c r="DY131" s="4">
        <v>1</v>
      </c>
    </row>
  </sheetData>
  <conditionalFormatting sqref="B4:DY132">
    <cfRule type="containsBlanks" dxfId="1" priority="1">
      <formula>LEN(TRIM(B4))=0</formula>
    </cfRule>
    <cfRule type="cellIs" dxfId="2" priority="2" operator="greaterThan">
      <formula>0.6</formula>
    </cfRule>
  </conditionalFormatting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V95"/>
  <sheetViews>
    <sheetView zoomScale="50" zoomScaleNormal="50" workbookViewId="0">
      <selection activeCell="A50" sqref="A50:A89"/>
    </sheetView>
  </sheetViews>
  <sheetFormatPr defaultColWidth="11" defaultRowHeight="13.2"/>
  <sheetData>
    <row r="1" ht="25.2" spans="1:1">
      <c r="A1" s="26" t="s">
        <v>139</v>
      </c>
    </row>
    <row r="2" ht="14" spans="2:41">
      <c r="B2" s="22" t="s">
        <v>2</v>
      </c>
      <c r="C2" s="22" t="s">
        <v>6</v>
      </c>
      <c r="D2" s="22" t="s">
        <v>4</v>
      </c>
      <c r="E2" s="22" t="s">
        <v>5</v>
      </c>
      <c r="F2" s="22" t="s">
        <v>7</v>
      </c>
      <c r="G2" s="22" t="s">
        <v>9</v>
      </c>
      <c r="H2" s="22" t="s">
        <v>10</v>
      </c>
      <c r="I2" s="22" t="s">
        <v>11</v>
      </c>
      <c r="J2" s="22" t="s">
        <v>16</v>
      </c>
      <c r="K2" s="22" t="s">
        <v>17</v>
      </c>
      <c r="L2" s="22" t="s">
        <v>19</v>
      </c>
      <c r="M2" s="22" t="s">
        <v>28</v>
      </c>
      <c r="N2" s="22" t="s">
        <v>30</v>
      </c>
      <c r="O2" s="22" t="s">
        <v>32</v>
      </c>
      <c r="P2" s="22" t="s">
        <v>34</v>
      </c>
      <c r="Q2" s="22" t="s">
        <v>37</v>
      </c>
      <c r="R2" s="22" t="s">
        <v>39</v>
      </c>
      <c r="S2" s="22" t="s">
        <v>40</v>
      </c>
      <c r="T2" s="22" t="s">
        <v>41</v>
      </c>
      <c r="U2" s="22" t="s">
        <v>44</v>
      </c>
      <c r="V2" s="22" t="s">
        <v>49</v>
      </c>
      <c r="W2" s="22" t="s">
        <v>53</v>
      </c>
      <c r="X2" s="22" t="s">
        <v>57</v>
      </c>
      <c r="Y2" s="22" t="s">
        <v>61</v>
      </c>
      <c r="Z2" s="22" t="s">
        <v>63</v>
      </c>
      <c r="AA2" s="22" t="s">
        <v>66</v>
      </c>
      <c r="AB2" s="22" t="s">
        <v>74</v>
      </c>
      <c r="AC2" s="22" t="s">
        <v>75</v>
      </c>
      <c r="AD2" s="22" t="s">
        <v>78</v>
      </c>
      <c r="AE2" s="22" t="s">
        <v>81</v>
      </c>
      <c r="AF2" s="22" t="s">
        <v>82</v>
      </c>
      <c r="AG2" s="22" t="s">
        <v>89</v>
      </c>
      <c r="AH2" s="22" t="s">
        <v>97</v>
      </c>
      <c r="AI2" s="22" t="s">
        <v>101</v>
      </c>
      <c r="AJ2" s="22" t="s">
        <v>107</v>
      </c>
      <c r="AK2" s="22" t="s">
        <v>110</v>
      </c>
      <c r="AL2" s="22" t="s">
        <v>114</v>
      </c>
      <c r="AM2" s="22" t="s">
        <v>127</v>
      </c>
      <c r="AN2" s="22" t="s">
        <v>128</v>
      </c>
      <c r="AO2" s="22" t="s">
        <v>130</v>
      </c>
    </row>
    <row r="3" ht="14" spans="1:41">
      <c r="A3" s="22" t="s">
        <v>2</v>
      </c>
      <c r="B3" s="3">
        <f t="array" ref="B3:AO42">CorrMatrix(Data!B132:AO189)</f>
        <v>1</v>
      </c>
      <c r="C3" s="4">
        <v>0.406497278034445</v>
      </c>
      <c r="D3" s="4">
        <v>0.459588450850187</v>
      </c>
      <c r="E3" s="4">
        <v>0.156878676012137</v>
      </c>
      <c r="F3" s="4">
        <v>0.496648290223558</v>
      </c>
      <c r="G3" s="4">
        <v>0.495519734854095</v>
      </c>
      <c r="H3" s="4">
        <v>0.382771446869239</v>
      </c>
      <c r="I3" s="4">
        <v>0.235297149470904</v>
      </c>
      <c r="J3" s="4">
        <v>0.479022820533527</v>
      </c>
      <c r="K3" s="4">
        <v>0.355584318729005</v>
      </c>
      <c r="L3" s="4">
        <v>0.126441373319881</v>
      </c>
      <c r="M3" s="4">
        <v>0.0139794301958729</v>
      </c>
      <c r="N3" s="4">
        <v>0.534875283236113</v>
      </c>
      <c r="O3" s="4">
        <v>0.52202919424797</v>
      </c>
      <c r="P3" s="4">
        <v>0.321581789172266</v>
      </c>
      <c r="Q3" s="4">
        <v>0.43673259766743</v>
      </c>
      <c r="R3" s="4">
        <v>0.245557062973419</v>
      </c>
      <c r="S3" s="4">
        <v>0.371273782823626</v>
      </c>
      <c r="T3" s="4">
        <v>0.390860583439818</v>
      </c>
      <c r="U3" s="4">
        <v>0.340250914678467</v>
      </c>
      <c r="V3" s="4">
        <v>0.288117515099107</v>
      </c>
      <c r="W3" s="4">
        <v>0.200830138692338</v>
      </c>
      <c r="X3" s="4">
        <v>0.224733584130575</v>
      </c>
      <c r="Y3" s="4">
        <v>0.125899158962905</v>
      </c>
      <c r="Z3" s="4">
        <v>0.518672082142794</v>
      </c>
      <c r="AA3" s="4">
        <v>0.355245044933565</v>
      </c>
      <c r="AB3" s="4">
        <v>0.158853250936724</v>
      </c>
      <c r="AC3" s="4">
        <v>0.231795255524714</v>
      </c>
      <c r="AD3" s="4">
        <v>0.429392481652407</v>
      </c>
      <c r="AE3" s="4">
        <v>0.528037945258422</v>
      </c>
      <c r="AF3" s="4">
        <v>0.408899170502373</v>
      </c>
      <c r="AG3" s="4">
        <v>0.395464932090235</v>
      </c>
      <c r="AH3" s="4">
        <v>0.358571780598973</v>
      </c>
      <c r="AI3" s="4">
        <v>0.393809344687048</v>
      </c>
      <c r="AJ3" s="4">
        <v>0.0862597840330782</v>
      </c>
      <c r="AK3" s="4">
        <v>0.306390578420173</v>
      </c>
      <c r="AL3" s="4">
        <v>0.42234586704142</v>
      </c>
      <c r="AM3" s="4">
        <v>0.352346965391262</v>
      </c>
      <c r="AN3" s="4">
        <v>0.300876108986621</v>
      </c>
      <c r="AO3" s="4">
        <v>0.267308231576373</v>
      </c>
    </row>
    <row r="4" ht="14" spans="1:41">
      <c r="A4" s="22" t="s">
        <v>6</v>
      </c>
      <c r="B4" s="4">
        <v>0.406497278034445</v>
      </c>
      <c r="C4" s="3">
        <v>1</v>
      </c>
      <c r="D4" s="4">
        <v>0.348351507636524</v>
      </c>
      <c r="E4" s="4">
        <v>0.089651605094035</v>
      </c>
      <c r="F4" s="4">
        <v>0.586919813325378</v>
      </c>
      <c r="G4" s="4">
        <v>0.412990159122881</v>
      </c>
      <c r="H4" s="4">
        <v>0.318817045324899</v>
      </c>
      <c r="I4" s="4">
        <v>0.152045050287944</v>
      </c>
      <c r="J4" s="4">
        <v>0.312442032862444</v>
      </c>
      <c r="K4" s="4">
        <v>0.463226205878865</v>
      </c>
      <c r="L4" s="4">
        <v>0.134548119410927</v>
      </c>
      <c r="M4" s="4">
        <v>0.178680260603161</v>
      </c>
      <c r="N4" s="4">
        <v>0.194079175191299</v>
      </c>
      <c r="O4" s="4">
        <v>0.18267949104079</v>
      </c>
      <c r="P4" s="4">
        <v>0.121137022369986</v>
      </c>
      <c r="Q4" s="4">
        <v>0.28157429019782</v>
      </c>
      <c r="R4" s="4">
        <v>0.0513015161896328</v>
      </c>
      <c r="S4" s="4">
        <v>0.0699662265408349</v>
      </c>
      <c r="T4" s="4">
        <v>0.110223064051781</v>
      </c>
      <c r="U4" s="4">
        <v>0.347836534536465</v>
      </c>
      <c r="V4" s="4">
        <v>0.180318882357823</v>
      </c>
      <c r="W4" s="4">
        <v>0.0974706104567849</v>
      </c>
      <c r="X4" s="4">
        <v>-0.00376193287663116</v>
      </c>
      <c r="Y4" s="4">
        <v>0.0185876017725827</v>
      </c>
      <c r="Z4" s="4">
        <v>0.310534833042205</v>
      </c>
      <c r="AA4" s="4">
        <v>0.231650473093899</v>
      </c>
      <c r="AB4" s="4">
        <v>0.18293042607078</v>
      </c>
      <c r="AC4" s="4">
        <v>-0.0541215945452393</v>
      </c>
      <c r="AD4" s="4">
        <v>0.485236304131698</v>
      </c>
      <c r="AE4" s="4">
        <v>0.250861861745021</v>
      </c>
      <c r="AF4" s="4">
        <v>0.446293649378975</v>
      </c>
      <c r="AG4" s="4">
        <v>0.0489822618168178</v>
      </c>
      <c r="AH4" s="4">
        <v>0.163745292621973</v>
      </c>
      <c r="AI4" s="4">
        <v>0.229607653576327</v>
      </c>
      <c r="AJ4" s="4">
        <v>0.0609494091030493</v>
      </c>
      <c r="AK4" s="4">
        <v>0.172961014555694</v>
      </c>
      <c r="AL4" s="4">
        <v>0.316599855012781</v>
      </c>
      <c r="AM4" s="4">
        <v>0.222564153703842</v>
      </c>
      <c r="AN4" s="4">
        <v>0.138908006149273</v>
      </c>
      <c r="AO4" s="4">
        <v>0.023035106284564</v>
      </c>
    </row>
    <row r="5" ht="14" spans="1:41">
      <c r="A5" s="22" t="s">
        <v>4</v>
      </c>
      <c r="B5" s="4">
        <v>0.459588450850187</v>
      </c>
      <c r="C5" s="4">
        <v>0.348351507636524</v>
      </c>
      <c r="D5" s="3">
        <v>1</v>
      </c>
      <c r="E5" s="4">
        <v>0.132932539698295</v>
      </c>
      <c r="F5" s="4">
        <v>0.398171449785751</v>
      </c>
      <c r="G5" s="4">
        <v>0.166077971389235</v>
      </c>
      <c r="H5" s="4">
        <v>0.425145303500172</v>
      </c>
      <c r="I5" s="4">
        <v>0.087056906977724</v>
      </c>
      <c r="J5" s="4">
        <v>0.137335093316195</v>
      </c>
      <c r="K5" s="4">
        <v>0.300199316859607</v>
      </c>
      <c r="L5" s="4">
        <v>0.141183710131641</v>
      </c>
      <c r="M5" s="4">
        <v>0.142986619694389</v>
      </c>
      <c r="N5" s="4">
        <v>0.29829703076795</v>
      </c>
      <c r="O5" s="4">
        <v>0.0704530641563245</v>
      </c>
      <c r="P5" s="4">
        <v>0.169198143109189</v>
      </c>
      <c r="Q5" s="4">
        <v>0.254278114465897</v>
      </c>
      <c r="R5" s="4">
        <v>0.00531597265151</v>
      </c>
      <c r="S5" s="4">
        <v>0.318521366222582</v>
      </c>
      <c r="T5" s="4">
        <v>0.14432794794704</v>
      </c>
      <c r="U5" s="4">
        <v>0.246710133097984</v>
      </c>
      <c r="V5" s="4">
        <v>0.112816999028225</v>
      </c>
      <c r="W5" s="4">
        <v>0.024228477533495</v>
      </c>
      <c r="X5" s="4">
        <v>-0.0188798394432803</v>
      </c>
      <c r="Y5" s="4">
        <v>0.10844750618908</v>
      </c>
      <c r="Z5" s="4">
        <v>-0.0491629627992184</v>
      </c>
      <c r="AA5" s="4">
        <v>0.196439598334859</v>
      </c>
      <c r="AB5" s="4">
        <v>-0.0353369448128246</v>
      </c>
      <c r="AC5" s="4">
        <v>-0.139956608271426</v>
      </c>
      <c r="AD5" s="4">
        <v>0.0590789149682286</v>
      </c>
      <c r="AE5" s="4">
        <v>0.0920487957675032</v>
      </c>
      <c r="AF5" s="4">
        <v>0.0602060324019778</v>
      </c>
      <c r="AG5" s="4">
        <v>0.014648157245175</v>
      </c>
      <c r="AH5" s="4">
        <v>0.19489559712638</v>
      </c>
      <c r="AI5" s="4">
        <v>-0.0868895378386478</v>
      </c>
      <c r="AJ5" s="4">
        <v>0.00457296992815038</v>
      </c>
      <c r="AK5" s="4">
        <v>0.074187488433544</v>
      </c>
      <c r="AL5" s="4">
        <v>0.184011092445062</v>
      </c>
      <c r="AM5" s="4">
        <v>0.158652084146274</v>
      </c>
      <c r="AN5" s="4">
        <v>-0.0808084887460891</v>
      </c>
      <c r="AO5" s="4">
        <v>0.00718501202708481</v>
      </c>
    </row>
    <row r="6" ht="14" spans="1:41">
      <c r="A6" s="22" t="s">
        <v>5</v>
      </c>
      <c r="B6" s="4">
        <v>0.156878676012137</v>
      </c>
      <c r="C6" s="4">
        <v>0.089651605094035</v>
      </c>
      <c r="D6" s="4">
        <v>0.132932539698295</v>
      </c>
      <c r="E6" s="3">
        <v>1</v>
      </c>
      <c r="F6" s="4">
        <v>0.274887411301637</v>
      </c>
      <c r="G6" s="4">
        <v>0.114636379950292</v>
      </c>
      <c r="H6" s="4">
        <v>0.374343935057428</v>
      </c>
      <c r="I6" s="4">
        <v>0.0848351136914761</v>
      </c>
      <c r="J6" s="4">
        <v>0.341299227662104</v>
      </c>
      <c r="K6" s="4">
        <v>0.442270620032686</v>
      </c>
      <c r="L6" s="4">
        <v>0.121628223993385</v>
      </c>
      <c r="M6" s="4">
        <v>0.344522181168595</v>
      </c>
      <c r="N6" s="4">
        <v>0.328567582064384</v>
      </c>
      <c r="O6" s="4">
        <v>0.274527864149136</v>
      </c>
      <c r="P6" s="4">
        <v>0.202078989800972</v>
      </c>
      <c r="Q6" s="4">
        <v>-0.0854411203308584</v>
      </c>
      <c r="R6" s="4">
        <v>0.263426016757024</v>
      </c>
      <c r="S6" s="4">
        <v>0.171923885790059</v>
      </c>
      <c r="T6" s="4">
        <v>0.258914266883258</v>
      </c>
      <c r="U6" s="4">
        <v>0.336471320804347</v>
      </c>
      <c r="V6" s="4">
        <v>0.139720422761682</v>
      </c>
      <c r="W6" s="4">
        <v>0.123365422192224</v>
      </c>
      <c r="X6" s="4">
        <v>0.281556836704438</v>
      </c>
      <c r="Y6" s="4">
        <v>0.273940209191377</v>
      </c>
      <c r="Z6" s="4">
        <v>0.0141702829961511</v>
      </c>
      <c r="AA6" s="4">
        <v>0.295177742990371</v>
      </c>
      <c r="AB6" s="4">
        <v>0.300609393283147</v>
      </c>
      <c r="AC6" s="4">
        <v>0.207527201854266</v>
      </c>
      <c r="AD6" s="4">
        <v>-0.119837755618685</v>
      </c>
      <c r="AE6" s="4">
        <v>0.0262728923046345</v>
      </c>
      <c r="AF6" s="4">
        <v>0.00827383217069708</v>
      </c>
      <c r="AG6" s="4">
        <v>0.057737132153812</v>
      </c>
      <c r="AH6" s="4">
        <v>0.158104261970765</v>
      </c>
      <c r="AI6" s="4">
        <v>0.255454725498695</v>
      </c>
      <c r="AJ6" s="4">
        <v>0.305531629847671</v>
      </c>
      <c r="AK6" s="4">
        <v>0.178657314514985</v>
      </c>
      <c r="AL6" s="4">
        <v>0.364381924124168</v>
      </c>
      <c r="AM6" s="4">
        <v>0.192399357112577</v>
      </c>
      <c r="AN6" s="4">
        <v>0.145863374739653</v>
      </c>
      <c r="AO6" s="4">
        <v>0.0903316795575613</v>
      </c>
    </row>
    <row r="7" ht="14" spans="1:41">
      <c r="A7" s="22" t="s">
        <v>7</v>
      </c>
      <c r="B7" s="4">
        <v>0.496648290223558</v>
      </c>
      <c r="C7" s="4">
        <v>0.586919813325378</v>
      </c>
      <c r="D7" s="4">
        <v>0.398171449785751</v>
      </c>
      <c r="E7" s="4">
        <v>0.274887411301637</v>
      </c>
      <c r="F7" s="3">
        <v>1</v>
      </c>
      <c r="G7" s="4">
        <v>0.457778561756723</v>
      </c>
      <c r="H7" s="4">
        <v>0.375077992933712</v>
      </c>
      <c r="I7" s="4">
        <v>0.134047660796349</v>
      </c>
      <c r="J7" s="4">
        <v>0.46142781602952</v>
      </c>
      <c r="K7" s="4">
        <v>0.480271927971328</v>
      </c>
      <c r="L7" s="4">
        <v>0.193682580526971</v>
      </c>
      <c r="M7" s="4">
        <v>0.222926859086322</v>
      </c>
      <c r="N7" s="4">
        <v>0.333623296216814</v>
      </c>
      <c r="O7" s="4">
        <v>0.324823378833869</v>
      </c>
      <c r="P7" s="4">
        <v>0.151515727212459</v>
      </c>
      <c r="Q7" s="4">
        <v>0.286217764435784</v>
      </c>
      <c r="R7" s="4">
        <v>0.145515805365818</v>
      </c>
      <c r="S7" s="4">
        <v>0.210136577670528</v>
      </c>
      <c r="T7" s="4">
        <v>0.321305848811798</v>
      </c>
      <c r="U7" s="4">
        <v>0.465707933436017</v>
      </c>
      <c r="V7" s="4">
        <v>0.105166527578269</v>
      </c>
      <c r="W7" s="4">
        <v>0.0417942851992363</v>
      </c>
      <c r="X7" s="4">
        <v>0.0851303811355442</v>
      </c>
      <c r="Y7" s="4">
        <v>0.0536388602398554</v>
      </c>
      <c r="Z7" s="4">
        <v>0.168622234919116</v>
      </c>
      <c r="AA7" s="4">
        <v>0.311162688352375</v>
      </c>
      <c r="AB7" s="4">
        <v>0.199832751160258</v>
      </c>
      <c r="AC7" s="4">
        <v>-0.0989935786918228</v>
      </c>
      <c r="AD7" s="4">
        <v>0.317133222627256</v>
      </c>
      <c r="AE7" s="4">
        <v>0.155414185768144</v>
      </c>
      <c r="AF7" s="4">
        <v>0.310221924526356</v>
      </c>
      <c r="AG7" s="4">
        <v>0.192731133494292</v>
      </c>
      <c r="AH7" s="4">
        <v>0.299242840570096</v>
      </c>
      <c r="AI7" s="4">
        <v>0.308865964300273</v>
      </c>
      <c r="AJ7" s="4">
        <v>0.2901935981696</v>
      </c>
      <c r="AK7" s="4">
        <v>0.249186680080981</v>
      </c>
      <c r="AL7" s="4">
        <v>0.339230101030256</v>
      </c>
      <c r="AM7" s="4">
        <v>0.244824638846568</v>
      </c>
      <c r="AN7" s="4">
        <v>0.12990446479674</v>
      </c>
      <c r="AO7" s="4">
        <v>0.0291997165432548</v>
      </c>
    </row>
    <row r="8" ht="14" spans="1:41">
      <c r="A8" s="22" t="s">
        <v>9</v>
      </c>
      <c r="B8" s="4">
        <v>0.495519734854095</v>
      </c>
      <c r="C8" s="4">
        <v>0.412990159122881</v>
      </c>
      <c r="D8" s="4">
        <v>0.166077971389235</v>
      </c>
      <c r="E8" s="4">
        <v>0.114636379950292</v>
      </c>
      <c r="F8" s="4">
        <v>0.457778561756723</v>
      </c>
      <c r="G8" s="3">
        <v>1</v>
      </c>
      <c r="H8" s="4">
        <v>0.470006960945817</v>
      </c>
      <c r="I8" s="4">
        <v>0.454261319141175</v>
      </c>
      <c r="J8" s="4">
        <v>0.37886177649438</v>
      </c>
      <c r="K8" s="4">
        <v>0.302612732663887</v>
      </c>
      <c r="L8" s="4">
        <v>0.220450343142493</v>
      </c>
      <c r="M8" s="4">
        <v>0.234766701155121</v>
      </c>
      <c r="N8" s="4">
        <v>0.517737748752411</v>
      </c>
      <c r="O8" s="4">
        <v>0.379872450755908</v>
      </c>
      <c r="P8" s="4">
        <v>0.0892394049717345</v>
      </c>
      <c r="Q8" s="4">
        <v>0.291362958575202</v>
      </c>
      <c r="R8" s="4">
        <v>0.340054025606079</v>
      </c>
      <c r="S8" s="4">
        <v>0.00687356886285055</v>
      </c>
      <c r="T8" s="4">
        <v>0.268476828999818</v>
      </c>
      <c r="U8" s="4">
        <v>0.415845701070496</v>
      </c>
      <c r="V8" s="4">
        <v>0.470707654348618</v>
      </c>
      <c r="W8" s="4">
        <v>0.464367330605131</v>
      </c>
      <c r="X8" s="4">
        <v>0.0505461489435501</v>
      </c>
      <c r="Y8" s="4">
        <v>0.153317702450781</v>
      </c>
      <c r="Z8" s="4">
        <v>0.369982431831571</v>
      </c>
      <c r="AA8" s="4">
        <v>0.22181400015859</v>
      </c>
      <c r="AB8" s="4">
        <v>0.269853446023033</v>
      </c>
      <c r="AC8" s="4">
        <v>0.0767335037711592</v>
      </c>
      <c r="AD8" s="4">
        <v>0.26926898395847</v>
      </c>
      <c r="AE8" s="4">
        <v>0.309056142146084</v>
      </c>
      <c r="AF8" s="4">
        <v>0.378656608039893</v>
      </c>
      <c r="AG8" s="4">
        <v>0.241965885343205</v>
      </c>
      <c r="AH8" s="4">
        <v>0.299844175531415</v>
      </c>
      <c r="AI8" s="4">
        <v>0.365494474191939</v>
      </c>
      <c r="AJ8" s="4">
        <v>0.140744281324714</v>
      </c>
      <c r="AK8" s="4">
        <v>0.126323496811218</v>
      </c>
      <c r="AL8" s="4">
        <v>0.233723365078789</v>
      </c>
      <c r="AM8" s="4">
        <v>0.24613442509162</v>
      </c>
      <c r="AN8" s="4">
        <v>0.289374891605278</v>
      </c>
      <c r="AO8" s="4">
        <v>0.230140004799302</v>
      </c>
    </row>
    <row r="9" ht="14" spans="1:41">
      <c r="A9" s="22" t="s">
        <v>10</v>
      </c>
      <c r="B9" s="4">
        <v>0.382771446869239</v>
      </c>
      <c r="C9" s="4">
        <v>0.318817045324899</v>
      </c>
      <c r="D9" s="4">
        <v>0.425145303500172</v>
      </c>
      <c r="E9" s="4">
        <v>0.374343935057428</v>
      </c>
      <c r="F9" s="4">
        <v>0.375077992933712</v>
      </c>
      <c r="G9" s="4">
        <v>0.470006960945817</v>
      </c>
      <c r="H9" s="3">
        <v>1</v>
      </c>
      <c r="I9" s="4">
        <v>0.337830646279411</v>
      </c>
      <c r="J9" s="4">
        <v>0.231890897072234</v>
      </c>
      <c r="K9" s="4">
        <v>0.274430878706717</v>
      </c>
      <c r="L9" s="4">
        <v>0.16460820497834</v>
      </c>
      <c r="M9" s="4">
        <v>0.302593297356409</v>
      </c>
      <c r="N9" s="4">
        <v>0.476473383223574</v>
      </c>
      <c r="O9" s="4">
        <v>0.313464357227236</v>
      </c>
      <c r="P9" s="4">
        <v>0.402457109918431</v>
      </c>
      <c r="Q9" s="4">
        <v>0.197413952847301</v>
      </c>
      <c r="R9" s="4">
        <v>0.22584115048819</v>
      </c>
      <c r="S9" s="4">
        <v>0.182060194736999</v>
      </c>
      <c r="T9" s="4">
        <v>0.338685503474232</v>
      </c>
      <c r="U9" s="4">
        <v>0.303534803041862</v>
      </c>
      <c r="V9" s="4">
        <v>0.272187426983576</v>
      </c>
      <c r="W9" s="4">
        <v>0.316667097311049</v>
      </c>
      <c r="X9" s="4">
        <v>0.184181700802564</v>
      </c>
      <c r="Y9" s="4">
        <v>0.270978325056968</v>
      </c>
      <c r="Z9" s="4">
        <v>0.0088045627280972</v>
      </c>
      <c r="AA9" s="4">
        <v>0.31315728263658</v>
      </c>
      <c r="AB9" s="4">
        <v>0.202817314693211</v>
      </c>
      <c r="AC9" s="4">
        <v>0.0215825927717935</v>
      </c>
      <c r="AD9" s="4">
        <v>0.0200213766445975</v>
      </c>
      <c r="AE9" s="4">
        <v>0.152483231899921</v>
      </c>
      <c r="AF9" s="4">
        <v>0.115593052342254</v>
      </c>
      <c r="AG9" s="4">
        <v>0.153843098022818</v>
      </c>
      <c r="AH9" s="4">
        <v>0.107262245931359</v>
      </c>
      <c r="AI9" s="4">
        <v>0.0847003499795051</v>
      </c>
      <c r="AJ9" s="4">
        <v>0.271832931842023</v>
      </c>
      <c r="AK9" s="4">
        <v>0.1046357832568</v>
      </c>
      <c r="AL9" s="4">
        <v>0.302777170182835</v>
      </c>
      <c r="AM9" s="4">
        <v>0.0717229648278766</v>
      </c>
      <c r="AN9" s="4">
        <v>0.198858875542347</v>
      </c>
      <c r="AO9" s="4">
        <v>0.186647848850506</v>
      </c>
    </row>
    <row r="10" ht="14" spans="1:41">
      <c r="A10" s="22" t="s">
        <v>11</v>
      </c>
      <c r="B10" s="4">
        <v>0.235297149470904</v>
      </c>
      <c r="C10" s="4">
        <v>0.152045050287944</v>
      </c>
      <c r="D10" s="4">
        <v>0.087056906977724</v>
      </c>
      <c r="E10" s="4">
        <v>0.0848351136914761</v>
      </c>
      <c r="F10" s="4">
        <v>0.134047660796349</v>
      </c>
      <c r="G10" s="4">
        <v>0.454261319141175</v>
      </c>
      <c r="H10" s="4">
        <v>0.337830646279411</v>
      </c>
      <c r="I10" s="3">
        <v>1</v>
      </c>
      <c r="J10" s="4">
        <v>0.289909162801661</v>
      </c>
      <c r="K10" s="4">
        <v>0.0625271350895632</v>
      </c>
      <c r="L10" s="4">
        <v>0.0414223401780245</v>
      </c>
      <c r="M10" s="4">
        <v>0.361949205793696</v>
      </c>
      <c r="N10" s="4">
        <v>0.434970893045972</v>
      </c>
      <c r="O10" s="4">
        <v>0.37443773625955</v>
      </c>
      <c r="P10" s="4">
        <v>0.260949606191943</v>
      </c>
      <c r="Q10" s="4">
        <v>0.0733346742857482</v>
      </c>
      <c r="R10" s="4">
        <v>0.359353675057918</v>
      </c>
      <c r="S10" s="4">
        <v>-0.103409536786606</v>
      </c>
      <c r="T10" s="4">
        <v>0.193713536309226</v>
      </c>
      <c r="U10" s="4">
        <v>0.554026779815842</v>
      </c>
      <c r="V10" s="4">
        <v>0.385595911726797</v>
      </c>
      <c r="W10" s="4">
        <v>0.409999279368977</v>
      </c>
      <c r="X10" s="4">
        <v>0.329721049990109</v>
      </c>
      <c r="Y10" s="4">
        <v>0.189120248044089</v>
      </c>
      <c r="Z10" s="4">
        <v>0.166098174843662</v>
      </c>
      <c r="AA10" s="4">
        <v>0.339340970227079</v>
      </c>
      <c r="AB10" s="4">
        <v>0.254602024038484</v>
      </c>
      <c r="AC10" s="4">
        <v>0.125811114292344</v>
      </c>
      <c r="AD10" s="4">
        <v>0.0984774034522609</v>
      </c>
      <c r="AE10" s="4">
        <v>0.305529154719748</v>
      </c>
      <c r="AF10" s="4">
        <v>0.370178072293418</v>
      </c>
      <c r="AG10" s="4">
        <v>0.304876999230563</v>
      </c>
      <c r="AH10" s="4">
        <v>0.210771534062367</v>
      </c>
      <c r="AI10" s="4">
        <v>0.300151143537085</v>
      </c>
      <c r="AJ10" s="4">
        <v>0.135373239896701</v>
      </c>
      <c r="AK10" s="4">
        <v>0.113637680611871</v>
      </c>
      <c r="AL10" s="4">
        <v>0.223774217742387</v>
      </c>
      <c r="AM10" s="4">
        <v>0.0970030922098519</v>
      </c>
      <c r="AN10" s="4">
        <v>0.485226345253533</v>
      </c>
      <c r="AO10" s="4">
        <v>0.144202107142044</v>
      </c>
    </row>
    <row r="11" ht="14" spans="1:41">
      <c r="A11" s="22" t="s">
        <v>16</v>
      </c>
      <c r="B11" s="4">
        <v>0.479022820533527</v>
      </c>
      <c r="C11" s="4">
        <v>0.312442032862444</v>
      </c>
      <c r="D11" s="4">
        <v>0.137335093316195</v>
      </c>
      <c r="E11" s="4">
        <v>0.341299227662104</v>
      </c>
      <c r="F11" s="4">
        <v>0.46142781602952</v>
      </c>
      <c r="G11" s="4">
        <v>0.37886177649438</v>
      </c>
      <c r="H11" s="4">
        <v>0.231890897072234</v>
      </c>
      <c r="I11" s="4">
        <v>0.289909162801661</v>
      </c>
      <c r="J11" s="3">
        <v>1</v>
      </c>
      <c r="K11" s="4">
        <v>0.556943982128441</v>
      </c>
      <c r="L11" s="4">
        <v>0.157426083138473</v>
      </c>
      <c r="M11" s="4">
        <v>0.0786600140012729</v>
      </c>
      <c r="N11" s="4">
        <v>0.340942072556459</v>
      </c>
      <c r="O11" s="4">
        <v>0.402019674245689</v>
      </c>
      <c r="P11" s="4">
        <v>0.2512523836213</v>
      </c>
      <c r="Q11" s="4">
        <v>0.132337271775502</v>
      </c>
      <c r="R11" s="4">
        <v>0.186259338980228</v>
      </c>
      <c r="S11" s="4">
        <v>0.136765616739679</v>
      </c>
      <c r="T11" s="4">
        <v>0.270618917272923</v>
      </c>
      <c r="U11" s="4">
        <v>0.399388812147916</v>
      </c>
      <c r="V11" s="4">
        <v>0.240473011412529</v>
      </c>
      <c r="W11" s="4">
        <v>0.193711049135815</v>
      </c>
      <c r="X11" s="4">
        <v>0.264695165919749</v>
      </c>
      <c r="Y11" s="4">
        <v>0.0358122786405248</v>
      </c>
      <c r="Z11" s="4">
        <v>0.312308047563578</v>
      </c>
      <c r="AA11" s="4">
        <v>0.251161368018084</v>
      </c>
      <c r="AB11" s="4">
        <v>0.361195510129077</v>
      </c>
      <c r="AC11" s="4">
        <v>0.176363287327501</v>
      </c>
      <c r="AD11" s="4">
        <v>0.201958216436334</v>
      </c>
      <c r="AE11" s="4">
        <v>0.261513745109733</v>
      </c>
      <c r="AF11" s="4">
        <v>0.233467477333576</v>
      </c>
      <c r="AG11" s="4">
        <v>0.515977352125516</v>
      </c>
      <c r="AH11" s="4">
        <v>0.250112675157615</v>
      </c>
      <c r="AI11" s="4">
        <v>0.43492911030046</v>
      </c>
      <c r="AJ11" s="4">
        <v>0.324605845899935</v>
      </c>
      <c r="AK11" s="4">
        <v>0.393317497767357</v>
      </c>
      <c r="AL11" s="4">
        <v>0.391274288898825</v>
      </c>
      <c r="AM11" s="4">
        <v>0.236355369261957</v>
      </c>
      <c r="AN11" s="4">
        <v>0.375491583557922</v>
      </c>
      <c r="AO11" s="4">
        <v>0.140476482536131</v>
      </c>
    </row>
    <row r="12" ht="14" spans="1:41">
      <c r="A12" s="22" t="s">
        <v>17</v>
      </c>
      <c r="B12" s="4">
        <v>0.355584318729005</v>
      </c>
      <c r="C12" s="4">
        <v>0.463226205878865</v>
      </c>
      <c r="D12" s="4">
        <v>0.300199316859607</v>
      </c>
      <c r="E12" s="4">
        <v>0.442270620032686</v>
      </c>
      <c r="F12" s="4">
        <v>0.480271927971328</v>
      </c>
      <c r="G12" s="4">
        <v>0.302612732663887</v>
      </c>
      <c r="H12" s="4">
        <v>0.274430878706717</v>
      </c>
      <c r="I12" s="4">
        <v>0.0625271350895632</v>
      </c>
      <c r="J12" s="4">
        <v>0.556943982128441</v>
      </c>
      <c r="K12" s="3">
        <v>1</v>
      </c>
      <c r="L12" s="4">
        <v>0.136640472249409</v>
      </c>
      <c r="M12" s="4">
        <v>0.11084244715495</v>
      </c>
      <c r="N12" s="4">
        <v>0.227007949175986</v>
      </c>
      <c r="O12" s="4">
        <v>0.223915296918249</v>
      </c>
      <c r="P12" s="4">
        <v>0.283719521298317</v>
      </c>
      <c r="Q12" s="4">
        <v>0.335890574110209</v>
      </c>
      <c r="R12" s="4">
        <v>0.0825564874680545</v>
      </c>
      <c r="S12" s="4">
        <v>0.0620515744157773</v>
      </c>
      <c r="T12" s="4">
        <v>0.147577966484008</v>
      </c>
      <c r="U12" s="4">
        <v>0.427600332599719</v>
      </c>
      <c r="V12" s="4">
        <v>0.0968903952934067</v>
      </c>
      <c r="W12" s="4">
        <v>-0.029952358525165</v>
      </c>
      <c r="X12" s="4">
        <v>0.205818609454633</v>
      </c>
      <c r="Y12" s="4">
        <v>-0.0354032857265172</v>
      </c>
      <c r="Z12" s="4">
        <v>0.175937586705225</v>
      </c>
      <c r="AA12" s="4">
        <v>0.287938652406268</v>
      </c>
      <c r="AB12" s="4">
        <v>0.245331639537019</v>
      </c>
      <c r="AC12" s="4">
        <v>0.106481818149341</v>
      </c>
      <c r="AD12" s="4">
        <v>0.198303087639005</v>
      </c>
      <c r="AE12" s="4">
        <v>0.0848568321890676</v>
      </c>
      <c r="AF12" s="4">
        <v>0.255650374585245</v>
      </c>
      <c r="AG12" s="4">
        <v>0.336144135841323</v>
      </c>
      <c r="AH12" s="4">
        <v>0.374894297962222</v>
      </c>
      <c r="AI12" s="4">
        <v>0.309077075710228</v>
      </c>
      <c r="AJ12" s="4">
        <v>0.404168526699124</v>
      </c>
      <c r="AK12" s="4">
        <v>0.409304467481361</v>
      </c>
      <c r="AL12" s="4">
        <v>0.392717448874199</v>
      </c>
      <c r="AM12" s="4">
        <v>0.135307101696036</v>
      </c>
      <c r="AN12" s="4">
        <v>0.125496665313435</v>
      </c>
      <c r="AO12" s="4">
        <v>0.281727337307227</v>
      </c>
    </row>
    <row r="13" ht="14" spans="1:41">
      <c r="A13" s="22" t="s">
        <v>19</v>
      </c>
      <c r="B13" s="4">
        <v>0.126441373319881</v>
      </c>
      <c r="C13" s="4">
        <v>0.134548119410927</v>
      </c>
      <c r="D13" s="4">
        <v>0.141183710131641</v>
      </c>
      <c r="E13" s="4">
        <v>0.121628223993385</v>
      </c>
      <c r="F13" s="4">
        <v>0.193682580526971</v>
      </c>
      <c r="G13" s="4">
        <v>0.220450343142493</v>
      </c>
      <c r="H13" s="4">
        <v>0.16460820497834</v>
      </c>
      <c r="I13" s="4">
        <v>0.0414223401780245</v>
      </c>
      <c r="J13" s="4">
        <v>0.157426083138473</v>
      </c>
      <c r="K13" s="4">
        <v>0.136640472249409</v>
      </c>
      <c r="L13" s="3">
        <v>1</v>
      </c>
      <c r="M13" s="4">
        <v>0.138827060087346</v>
      </c>
      <c r="N13" s="4">
        <v>0.0813790484816675</v>
      </c>
      <c r="O13" s="4">
        <v>0.0786895941431192</v>
      </c>
      <c r="P13" s="4">
        <v>0.227743273815612</v>
      </c>
      <c r="Q13" s="4">
        <v>0.0895693899808117</v>
      </c>
      <c r="R13" s="4">
        <v>0.362136736224562</v>
      </c>
      <c r="S13" s="4">
        <v>-0.127691243484569</v>
      </c>
      <c r="T13" s="4">
        <v>0.0441066918293752</v>
      </c>
      <c r="U13" s="4">
        <v>0.277199919004143</v>
      </c>
      <c r="V13" s="4">
        <v>0.271947722666295</v>
      </c>
      <c r="W13" s="4">
        <v>0.155823338602731</v>
      </c>
      <c r="X13" s="4">
        <v>-0.0506109658408789</v>
      </c>
      <c r="Y13" s="4">
        <v>0.211064464526419</v>
      </c>
      <c r="Z13" s="4">
        <v>-0.251172586791176</v>
      </c>
      <c r="AA13" s="4">
        <v>0.110618829459745</v>
      </c>
      <c r="AB13" s="4">
        <v>0.419957648938808</v>
      </c>
      <c r="AC13" s="4">
        <v>-0.0877161765719195</v>
      </c>
      <c r="AD13" s="4">
        <v>0.0749725885510931</v>
      </c>
      <c r="AE13" s="4">
        <v>0.193632625705682</v>
      </c>
      <c r="AF13" s="4">
        <v>0.0372734774789909</v>
      </c>
      <c r="AG13" s="4">
        <v>0.0694220287821365</v>
      </c>
      <c r="AH13" s="4">
        <v>0.150846532651757</v>
      </c>
      <c r="AI13" s="4">
        <v>0.0793438764140969</v>
      </c>
      <c r="AJ13" s="4">
        <v>-0.0602751033386141</v>
      </c>
      <c r="AK13" s="4">
        <v>-0.0397355800992267</v>
      </c>
      <c r="AL13" s="4">
        <v>-0.0636854535662255</v>
      </c>
      <c r="AM13" s="4">
        <v>0.0522964094390156</v>
      </c>
      <c r="AN13" s="4">
        <v>0.150570408197069</v>
      </c>
      <c r="AO13" s="4">
        <v>-0.224661135081124</v>
      </c>
    </row>
    <row r="14" ht="14" spans="1:41">
      <c r="A14" s="22" t="s">
        <v>28</v>
      </c>
      <c r="B14" s="4">
        <v>0.0139794301958729</v>
      </c>
      <c r="C14" s="4">
        <v>0.178680260603161</v>
      </c>
      <c r="D14" s="4">
        <v>0.142986619694389</v>
      </c>
      <c r="E14" s="4">
        <v>0.344522181168595</v>
      </c>
      <c r="F14" s="4">
        <v>0.222926859086322</v>
      </c>
      <c r="G14" s="4">
        <v>0.234766701155121</v>
      </c>
      <c r="H14" s="4">
        <v>0.302593297356409</v>
      </c>
      <c r="I14" s="4">
        <v>0.361949205793696</v>
      </c>
      <c r="J14" s="4">
        <v>0.0786600140012729</v>
      </c>
      <c r="K14" s="4">
        <v>0.11084244715495</v>
      </c>
      <c r="L14" s="4">
        <v>0.138827060087346</v>
      </c>
      <c r="M14" s="3">
        <v>1</v>
      </c>
      <c r="N14" s="4">
        <v>0.321463738320222</v>
      </c>
      <c r="O14" s="4">
        <v>0.0674933952283278</v>
      </c>
      <c r="P14" s="4">
        <v>0.146270953965366</v>
      </c>
      <c r="Q14" s="4">
        <v>-0.163496203172796</v>
      </c>
      <c r="R14" s="4">
        <v>0.191995925592963</v>
      </c>
      <c r="S14" s="4">
        <v>-0.0787787311655681</v>
      </c>
      <c r="T14" s="4">
        <v>0.128745152873675</v>
      </c>
      <c r="U14" s="4">
        <v>0.242230341730378</v>
      </c>
      <c r="V14" s="4">
        <v>0.123759455276186</v>
      </c>
      <c r="W14" s="4">
        <v>0.155645411797628</v>
      </c>
      <c r="X14" s="4">
        <v>0.0106483775527987</v>
      </c>
      <c r="Y14" s="4">
        <v>0.116746020106977</v>
      </c>
      <c r="Z14" s="4">
        <v>-0.016906067688752</v>
      </c>
      <c r="AA14" s="4">
        <v>0.173831252428039</v>
      </c>
      <c r="AB14" s="4">
        <v>0.0435823050489304</v>
      </c>
      <c r="AC14" s="4">
        <v>-0.097154818578405</v>
      </c>
      <c r="AD14" s="4">
        <v>0.0854342477823298</v>
      </c>
      <c r="AE14" s="4">
        <v>-0.022441857022618</v>
      </c>
      <c r="AF14" s="4">
        <v>0.165047068515083</v>
      </c>
      <c r="AG14" s="4">
        <v>-0.0618445232798032</v>
      </c>
      <c r="AH14" s="4">
        <v>0.0738430356063092</v>
      </c>
      <c r="AI14" s="4">
        <v>0.040302426848628</v>
      </c>
      <c r="AJ14" s="4">
        <v>-0.0194302692882931</v>
      </c>
      <c r="AK14" s="4">
        <v>0.0232117857653506</v>
      </c>
      <c r="AL14" s="4">
        <v>0.0823550893994666</v>
      </c>
      <c r="AM14" s="4">
        <v>0.0650416321566677</v>
      </c>
      <c r="AN14" s="4">
        <v>0.0824119158815561</v>
      </c>
      <c r="AO14" s="4">
        <v>0.00575939336534286</v>
      </c>
    </row>
    <row r="15" ht="14" spans="1:41">
      <c r="A15" s="22" t="s">
        <v>30</v>
      </c>
      <c r="B15" s="4">
        <v>0.534875283236113</v>
      </c>
      <c r="C15" s="4">
        <v>0.194079175191299</v>
      </c>
      <c r="D15" s="4">
        <v>0.29829703076795</v>
      </c>
      <c r="E15" s="4">
        <v>0.328567582064384</v>
      </c>
      <c r="F15" s="4">
        <v>0.333623296216814</v>
      </c>
      <c r="G15" s="4">
        <v>0.517737748752411</v>
      </c>
      <c r="H15" s="4">
        <v>0.476473383223574</v>
      </c>
      <c r="I15" s="4">
        <v>0.434970893045972</v>
      </c>
      <c r="J15" s="4">
        <v>0.340942072556459</v>
      </c>
      <c r="K15" s="4">
        <v>0.227007949175986</v>
      </c>
      <c r="L15" s="4">
        <v>0.0813790484816675</v>
      </c>
      <c r="M15" s="4">
        <v>0.321463738320222</v>
      </c>
      <c r="N15" s="3">
        <v>1</v>
      </c>
      <c r="O15" s="4">
        <v>0.489467894369096</v>
      </c>
      <c r="P15" s="4">
        <v>0.465871334456017</v>
      </c>
      <c r="Q15" s="4">
        <v>0.23998467062241</v>
      </c>
      <c r="R15" s="4">
        <v>0.574552245326856</v>
      </c>
      <c r="S15" s="4">
        <v>0.399563080370847</v>
      </c>
      <c r="T15" s="4">
        <v>0.488586085098123</v>
      </c>
      <c r="U15" s="4">
        <v>0.435344368446351</v>
      </c>
      <c r="V15" s="4">
        <v>0.309332062362572</v>
      </c>
      <c r="W15" s="4">
        <v>0.588263782759939</v>
      </c>
      <c r="X15" s="4">
        <v>0.446796668685268</v>
      </c>
      <c r="Y15" s="4">
        <v>0.306701063443992</v>
      </c>
      <c r="Z15" s="4">
        <v>0.382268486311062</v>
      </c>
      <c r="AA15" s="4">
        <v>0.395116158018315</v>
      </c>
      <c r="AB15" s="4">
        <v>0.150317351365679</v>
      </c>
      <c r="AC15" s="4">
        <v>0.126822552969613</v>
      </c>
      <c r="AD15" s="4">
        <v>0.188400237282619</v>
      </c>
      <c r="AE15" s="4">
        <v>0.31533034626614</v>
      </c>
      <c r="AF15" s="4">
        <v>0.233893783426109</v>
      </c>
      <c r="AG15" s="4">
        <v>0.26931775659306</v>
      </c>
      <c r="AH15" s="4">
        <v>0.208284319265354</v>
      </c>
      <c r="AI15" s="4">
        <v>0.400170993543576</v>
      </c>
      <c r="AJ15" s="4">
        <v>0.239998585634648</v>
      </c>
      <c r="AK15" s="4">
        <v>0.202578530494421</v>
      </c>
      <c r="AL15" s="4">
        <v>0.353244921663908</v>
      </c>
      <c r="AM15" s="4">
        <v>0.410981078661617</v>
      </c>
      <c r="AN15" s="4">
        <v>0.425642851296742</v>
      </c>
      <c r="AO15" s="4">
        <v>0.178319495324594</v>
      </c>
    </row>
    <row r="16" ht="14" spans="1:41">
      <c r="A16" s="22" t="s">
        <v>32</v>
      </c>
      <c r="B16" s="4">
        <v>0.52202919424797</v>
      </c>
      <c r="C16" s="4">
        <v>0.18267949104079</v>
      </c>
      <c r="D16" s="4">
        <v>0.0704530641563245</v>
      </c>
      <c r="E16" s="4">
        <v>0.274527864149136</v>
      </c>
      <c r="F16" s="4">
        <v>0.324823378833869</v>
      </c>
      <c r="G16" s="4">
        <v>0.379872450755908</v>
      </c>
      <c r="H16" s="4">
        <v>0.313464357227236</v>
      </c>
      <c r="I16" s="4">
        <v>0.37443773625955</v>
      </c>
      <c r="J16" s="4">
        <v>0.402019674245689</v>
      </c>
      <c r="K16" s="4">
        <v>0.223915296918249</v>
      </c>
      <c r="L16" s="4">
        <v>0.0786895941431192</v>
      </c>
      <c r="M16" s="4">
        <v>0.0674933952283278</v>
      </c>
      <c r="N16" s="4">
        <v>0.489467894369096</v>
      </c>
      <c r="O16" s="3">
        <v>1</v>
      </c>
      <c r="P16" s="4">
        <v>0.454523393778941</v>
      </c>
      <c r="Q16" s="4">
        <v>0.229814120544142</v>
      </c>
      <c r="R16" s="4">
        <v>0.36474279522667</v>
      </c>
      <c r="S16" s="4">
        <v>0.229310614924474</v>
      </c>
      <c r="T16" s="4">
        <v>0.475599911078913</v>
      </c>
      <c r="U16" s="4">
        <v>0.347486843835588</v>
      </c>
      <c r="V16" s="4">
        <v>0.32972903334946</v>
      </c>
      <c r="W16" s="4">
        <v>0.373417367968426</v>
      </c>
      <c r="X16" s="4">
        <v>0.432126926626049</v>
      </c>
      <c r="Y16" s="4">
        <v>0.108171935281319</v>
      </c>
      <c r="Z16" s="4">
        <v>0.331839174885205</v>
      </c>
      <c r="AA16" s="4">
        <v>0.45574177970844</v>
      </c>
      <c r="AB16" s="4">
        <v>0.238446412605473</v>
      </c>
      <c r="AC16" s="4">
        <v>0.257345876064493</v>
      </c>
      <c r="AD16" s="4">
        <v>0.231873007575533</v>
      </c>
      <c r="AE16" s="4">
        <v>0.484024843236864</v>
      </c>
      <c r="AF16" s="4">
        <v>0.181952840834666</v>
      </c>
      <c r="AG16" s="4">
        <v>0.32709683476578</v>
      </c>
      <c r="AH16" s="4">
        <v>0.197904971681711</v>
      </c>
      <c r="AI16" s="4">
        <v>0.46505397069438</v>
      </c>
      <c r="AJ16" s="4">
        <v>0.319064726465107</v>
      </c>
      <c r="AK16" s="4">
        <v>0.366009467198526</v>
      </c>
      <c r="AL16" s="4">
        <v>0.263414487468207</v>
      </c>
      <c r="AM16" s="4">
        <v>0.13944683872824</v>
      </c>
      <c r="AN16" s="4">
        <v>0.473423924346073</v>
      </c>
      <c r="AO16" s="4">
        <v>0.120040412256344</v>
      </c>
    </row>
    <row r="17" ht="14" spans="1:41">
      <c r="A17" s="22" t="s">
        <v>34</v>
      </c>
      <c r="B17" s="4">
        <v>0.321581789172266</v>
      </c>
      <c r="C17" s="4">
        <v>0.121137022369986</v>
      </c>
      <c r="D17" s="4">
        <v>0.169198143109189</v>
      </c>
      <c r="E17" s="4">
        <v>0.202078989800972</v>
      </c>
      <c r="F17" s="4">
        <v>0.151515727212459</v>
      </c>
      <c r="G17" s="4">
        <v>0.0892394049717345</v>
      </c>
      <c r="H17" s="4">
        <v>0.402457109918431</v>
      </c>
      <c r="I17" s="4">
        <v>0.260949606191943</v>
      </c>
      <c r="J17" s="4">
        <v>0.2512523836213</v>
      </c>
      <c r="K17" s="4">
        <v>0.283719521298317</v>
      </c>
      <c r="L17" s="4">
        <v>0.227743273815612</v>
      </c>
      <c r="M17" s="4">
        <v>0.146270953965366</v>
      </c>
      <c r="N17" s="4">
        <v>0.465871334456017</v>
      </c>
      <c r="O17" s="4">
        <v>0.454523393778941</v>
      </c>
      <c r="P17" s="3">
        <v>1</v>
      </c>
      <c r="Q17" s="4">
        <v>0.254627011211099</v>
      </c>
      <c r="R17" s="4">
        <v>0.409401766160794</v>
      </c>
      <c r="S17" s="4">
        <v>0.313396306025907</v>
      </c>
      <c r="T17" s="4">
        <v>0.461729900990993</v>
      </c>
      <c r="U17" s="4">
        <v>0.31238992638379</v>
      </c>
      <c r="V17" s="4">
        <v>0.225695839580661</v>
      </c>
      <c r="W17" s="4">
        <v>0.437165223455657</v>
      </c>
      <c r="X17" s="4">
        <v>0.393000674791564</v>
      </c>
      <c r="Y17" s="4">
        <v>0.221053493518097</v>
      </c>
      <c r="Z17" s="4">
        <v>0.041759648149481</v>
      </c>
      <c r="AA17" s="4">
        <v>0.438797068613923</v>
      </c>
      <c r="AB17" s="4">
        <v>0.190688593191365</v>
      </c>
      <c r="AC17" s="4">
        <v>0.161362553043549</v>
      </c>
      <c r="AD17" s="4">
        <v>0.0629555560303701</v>
      </c>
      <c r="AE17" s="4">
        <v>0.282128463169734</v>
      </c>
      <c r="AF17" s="4">
        <v>0.101404476125936</v>
      </c>
      <c r="AG17" s="4">
        <v>0.183150872773789</v>
      </c>
      <c r="AH17" s="4">
        <v>-0.0598457884092026</v>
      </c>
      <c r="AI17" s="4">
        <v>0.191658807193205</v>
      </c>
      <c r="AJ17" s="4">
        <v>0.239165212359127</v>
      </c>
      <c r="AK17" s="4">
        <v>0.377789992353823</v>
      </c>
      <c r="AL17" s="4">
        <v>0.172642965491237</v>
      </c>
      <c r="AM17" s="4">
        <v>0.0914850393543612</v>
      </c>
      <c r="AN17" s="4">
        <v>0.30484330293459</v>
      </c>
      <c r="AO17" s="4">
        <v>0.197669614724641</v>
      </c>
    </row>
    <row r="18" ht="14" spans="1:41">
      <c r="A18" s="22" t="s">
        <v>37</v>
      </c>
      <c r="B18" s="4">
        <v>0.43673259766743</v>
      </c>
      <c r="C18" s="4">
        <v>0.28157429019782</v>
      </c>
      <c r="D18" s="4">
        <v>0.254278114465897</v>
      </c>
      <c r="E18" s="4">
        <v>-0.0854411203308584</v>
      </c>
      <c r="F18" s="4">
        <v>0.286217764435784</v>
      </c>
      <c r="G18" s="4">
        <v>0.291362958575202</v>
      </c>
      <c r="H18" s="4">
        <v>0.197413952847301</v>
      </c>
      <c r="I18" s="4">
        <v>0.0733346742857482</v>
      </c>
      <c r="J18" s="4">
        <v>0.132337271775502</v>
      </c>
      <c r="K18" s="4">
        <v>0.335890574110209</v>
      </c>
      <c r="L18" s="4">
        <v>0.0895693899808117</v>
      </c>
      <c r="M18" s="4">
        <v>-0.163496203172796</v>
      </c>
      <c r="N18" s="4">
        <v>0.23998467062241</v>
      </c>
      <c r="O18" s="4">
        <v>0.229814120544142</v>
      </c>
      <c r="P18" s="4">
        <v>0.254627011211099</v>
      </c>
      <c r="Q18" s="3">
        <v>1</v>
      </c>
      <c r="R18" s="4">
        <v>0.0943737699329617</v>
      </c>
      <c r="S18" s="4">
        <v>0.20987022757247</v>
      </c>
      <c r="T18" s="4">
        <v>0.153432951488664</v>
      </c>
      <c r="U18" s="4">
        <v>0.147727518839788</v>
      </c>
      <c r="V18" s="4">
        <v>0.0110097699301763</v>
      </c>
      <c r="W18" s="4">
        <v>0.0701153940532496</v>
      </c>
      <c r="X18" s="4">
        <v>-0.110747717776699</v>
      </c>
      <c r="Y18" s="4">
        <v>-0.19381287202256</v>
      </c>
      <c r="Z18" s="4">
        <v>0.0719924303981506</v>
      </c>
      <c r="AA18" s="4">
        <v>0.0963449623885085</v>
      </c>
      <c r="AB18" s="4">
        <v>-0.101453085800511</v>
      </c>
      <c r="AC18" s="4">
        <v>-0.129482639155985</v>
      </c>
      <c r="AD18" s="4">
        <v>0.199610504678202</v>
      </c>
      <c r="AE18" s="4">
        <v>0.0979809987779708</v>
      </c>
      <c r="AF18" s="4">
        <v>0.188841847084676</v>
      </c>
      <c r="AG18" s="4">
        <v>0.211972108500622</v>
      </c>
      <c r="AH18" s="4">
        <v>0.314341317075895</v>
      </c>
      <c r="AI18" s="4">
        <v>0.118593675980151</v>
      </c>
      <c r="AJ18" s="4">
        <v>0.0433631145076164</v>
      </c>
      <c r="AK18" s="4">
        <v>0.153381107416191</v>
      </c>
      <c r="AL18" s="4">
        <v>0.00570278244947668</v>
      </c>
      <c r="AM18" s="4">
        <v>0.0227622772983585</v>
      </c>
      <c r="AN18" s="4">
        <v>0.15711550484177</v>
      </c>
      <c r="AO18" s="4">
        <v>0.0155273869489003</v>
      </c>
    </row>
    <row r="19" ht="14" spans="1:41">
      <c r="A19" s="22" t="s">
        <v>39</v>
      </c>
      <c r="B19" s="4">
        <v>0.245557062973419</v>
      </c>
      <c r="C19" s="4">
        <v>0.0513015161896328</v>
      </c>
      <c r="D19" s="4">
        <v>0.00531597265151</v>
      </c>
      <c r="E19" s="4">
        <v>0.263426016757024</v>
      </c>
      <c r="F19" s="4">
        <v>0.145515805365818</v>
      </c>
      <c r="G19" s="4">
        <v>0.340054025606079</v>
      </c>
      <c r="H19" s="4">
        <v>0.22584115048819</v>
      </c>
      <c r="I19" s="4">
        <v>0.359353675057918</v>
      </c>
      <c r="J19" s="4">
        <v>0.186259338980228</v>
      </c>
      <c r="K19" s="4">
        <v>0.0825564874680545</v>
      </c>
      <c r="L19" s="4">
        <v>0.362136736224562</v>
      </c>
      <c r="M19" s="4">
        <v>0.191995925592963</v>
      </c>
      <c r="N19" s="4">
        <v>0.574552245326856</v>
      </c>
      <c r="O19" s="4">
        <v>0.36474279522667</v>
      </c>
      <c r="P19" s="4">
        <v>0.409401766160794</v>
      </c>
      <c r="Q19" s="4">
        <v>0.0943737699329617</v>
      </c>
      <c r="R19" s="3">
        <v>1</v>
      </c>
      <c r="S19" s="4">
        <v>0.265287434043312</v>
      </c>
      <c r="T19" s="4">
        <v>0.420100251104697</v>
      </c>
      <c r="U19" s="4">
        <v>0.376899333950109</v>
      </c>
      <c r="V19" s="4">
        <v>0.345671432236083</v>
      </c>
      <c r="W19" s="4">
        <v>0.405287815942103</v>
      </c>
      <c r="X19" s="4">
        <v>0.31112310353766</v>
      </c>
      <c r="Y19" s="4">
        <v>0.189086939781176</v>
      </c>
      <c r="Z19" s="4">
        <v>0.048699803181843</v>
      </c>
      <c r="AA19" s="4">
        <v>0.375930240263857</v>
      </c>
      <c r="AB19" s="4">
        <v>0.336645009354598</v>
      </c>
      <c r="AC19" s="4">
        <v>0.153572146277267</v>
      </c>
      <c r="AD19" s="4">
        <v>-0.0148435059523526</v>
      </c>
      <c r="AE19" s="4">
        <v>0.316418282930744</v>
      </c>
      <c r="AF19" s="4">
        <v>0.133243070869061</v>
      </c>
      <c r="AG19" s="4">
        <v>0.267443757105299</v>
      </c>
      <c r="AH19" s="4">
        <v>-0.00416125983687666</v>
      </c>
      <c r="AI19" s="4">
        <v>0.461646319211181</v>
      </c>
      <c r="AJ19" s="4">
        <v>0.123153757488158</v>
      </c>
      <c r="AK19" s="4">
        <v>0.128431588893227</v>
      </c>
      <c r="AL19" s="4">
        <v>0.140765698750141</v>
      </c>
      <c r="AM19" s="4">
        <v>0.264232158485178</v>
      </c>
      <c r="AN19" s="4">
        <v>0.492969865009036</v>
      </c>
      <c r="AO19" s="4">
        <v>0.086962649648568</v>
      </c>
    </row>
    <row r="20" ht="14" spans="1:41">
      <c r="A20" s="22" t="s">
        <v>40</v>
      </c>
      <c r="B20" s="4">
        <v>0.371273782823626</v>
      </c>
      <c r="C20" s="4">
        <v>0.0699662265408349</v>
      </c>
      <c r="D20" s="4">
        <v>0.318521366222582</v>
      </c>
      <c r="E20" s="4">
        <v>0.171923885790059</v>
      </c>
      <c r="F20" s="4">
        <v>0.210136577670528</v>
      </c>
      <c r="G20" s="4">
        <v>0.00687356886285055</v>
      </c>
      <c r="H20" s="4">
        <v>0.182060194736999</v>
      </c>
      <c r="I20" s="4">
        <v>-0.103409536786606</v>
      </c>
      <c r="J20" s="4">
        <v>0.136765616739679</v>
      </c>
      <c r="K20" s="4">
        <v>0.0620515744157773</v>
      </c>
      <c r="L20" s="4">
        <v>-0.127691243484569</v>
      </c>
      <c r="M20" s="4">
        <v>-0.0787787311655681</v>
      </c>
      <c r="N20" s="4">
        <v>0.399563080370847</v>
      </c>
      <c r="O20" s="4">
        <v>0.229310614924474</v>
      </c>
      <c r="P20" s="4">
        <v>0.313396306025907</v>
      </c>
      <c r="Q20" s="4">
        <v>0.20987022757247</v>
      </c>
      <c r="R20" s="4">
        <v>0.265287434043312</v>
      </c>
      <c r="S20" s="3">
        <v>1</v>
      </c>
      <c r="T20" s="4">
        <v>0.441918736479118</v>
      </c>
      <c r="U20" s="4">
        <v>-0.0980769336437808</v>
      </c>
      <c r="V20" s="4">
        <v>0.103374980224699</v>
      </c>
      <c r="W20" s="4">
        <v>0.182143446973835</v>
      </c>
      <c r="X20" s="4">
        <v>0.211206656242938</v>
      </c>
      <c r="Y20" s="4">
        <v>0.141350256550411</v>
      </c>
      <c r="Z20" s="4">
        <v>0.139078005166025</v>
      </c>
      <c r="AA20" s="4">
        <v>0.265684443545987</v>
      </c>
      <c r="AB20" s="4">
        <v>-0.128871096964945</v>
      </c>
      <c r="AC20" s="4">
        <v>0.0788695539883284</v>
      </c>
      <c r="AD20" s="4">
        <v>-0.00631641351566778</v>
      </c>
      <c r="AE20" s="4">
        <v>0.144665496577916</v>
      </c>
      <c r="AF20" s="4">
        <v>-0.0196119857137988</v>
      </c>
      <c r="AG20" s="4">
        <v>0.154668504024472</v>
      </c>
      <c r="AH20" s="4">
        <v>0.0836643162738781</v>
      </c>
      <c r="AI20" s="4">
        <v>0.117221154646957</v>
      </c>
      <c r="AJ20" s="4">
        <v>0.215367622301744</v>
      </c>
      <c r="AK20" s="4">
        <v>0.166236321104193</v>
      </c>
      <c r="AL20" s="4">
        <v>0.412279476879822</v>
      </c>
      <c r="AM20" s="4">
        <v>0.185855068286488</v>
      </c>
      <c r="AN20" s="4">
        <v>0.134432384650424</v>
      </c>
      <c r="AO20" s="4">
        <v>0.200096559732558</v>
      </c>
    </row>
    <row r="21" ht="14" spans="1:41">
      <c r="A21" s="22" t="s">
        <v>41</v>
      </c>
      <c r="B21" s="4">
        <v>0.390860583439818</v>
      </c>
      <c r="C21" s="4">
        <v>0.110223064051781</v>
      </c>
      <c r="D21" s="4">
        <v>0.14432794794704</v>
      </c>
      <c r="E21" s="4">
        <v>0.258914266883258</v>
      </c>
      <c r="F21" s="4">
        <v>0.321305848811798</v>
      </c>
      <c r="G21" s="4">
        <v>0.268476828999818</v>
      </c>
      <c r="H21" s="4">
        <v>0.338685503474232</v>
      </c>
      <c r="I21" s="4">
        <v>0.193713536309226</v>
      </c>
      <c r="J21" s="4">
        <v>0.270618917272923</v>
      </c>
      <c r="K21" s="4">
        <v>0.147577966484008</v>
      </c>
      <c r="L21" s="4">
        <v>0.0441066918293752</v>
      </c>
      <c r="M21" s="4">
        <v>0.128745152873675</v>
      </c>
      <c r="N21" s="4">
        <v>0.488586085098123</v>
      </c>
      <c r="O21" s="4">
        <v>0.475599911078913</v>
      </c>
      <c r="P21" s="4">
        <v>0.461729900990993</v>
      </c>
      <c r="Q21" s="4">
        <v>0.153432951488664</v>
      </c>
      <c r="R21" s="4">
        <v>0.420100251104697</v>
      </c>
      <c r="S21" s="4">
        <v>0.441918736479118</v>
      </c>
      <c r="T21" s="3">
        <v>1</v>
      </c>
      <c r="U21" s="4">
        <v>0.24811265355976</v>
      </c>
      <c r="V21" s="4">
        <v>0.349251930889701</v>
      </c>
      <c r="W21" s="4">
        <v>0.416919516351558</v>
      </c>
      <c r="X21" s="4">
        <v>0.364080380284696</v>
      </c>
      <c r="Y21" s="4">
        <v>0.284646289967199</v>
      </c>
      <c r="Z21" s="4">
        <v>0.320512762484093</v>
      </c>
      <c r="AA21" s="4">
        <v>0.476361879787443</v>
      </c>
      <c r="AB21" s="4">
        <v>0.0479614091714825</v>
      </c>
      <c r="AC21" s="4">
        <v>0.30363033061253</v>
      </c>
      <c r="AD21" s="4">
        <v>0.276011981312227</v>
      </c>
      <c r="AE21" s="4">
        <v>0.267978684135241</v>
      </c>
      <c r="AF21" s="4">
        <v>0.258851093601932</v>
      </c>
      <c r="AG21" s="4">
        <v>0.376046564728019</v>
      </c>
      <c r="AH21" s="4">
        <v>0.273028141180368</v>
      </c>
      <c r="AI21" s="4">
        <v>0.333150120244255</v>
      </c>
      <c r="AJ21" s="4">
        <v>0.393542917778356</v>
      </c>
      <c r="AK21" s="4">
        <v>0.152591459652067</v>
      </c>
      <c r="AL21" s="4">
        <v>0.426959270807081</v>
      </c>
      <c r="AM21" s="4">
        <v>0.339691538106272</v>
      </c>
      <c r="AN21" s="4">
        <v>0.392456525324478</v>
      </c>
      <c r="AO21" s="4">
        <v>0.417866603476741</v>
      </c>
    </row>
    <row r="22" ht="14" spans="1:41">
      <c r="A22" s="22" t="s">
        <v>44</v>
      </c>
      <c r="B22" s="4">
        <v>0.340250914678467</v>
      </c>
      <c r="C22" s="4">
        <v>0.347836534536465</v>
      </c>
      <c r="D22" s="4">
        <v>0.246710133097984</v>
      </c>
      <c r="E22" s="4">
        <v>0.336471320804347</v>
      </c>
      <c r="F22" s="4">
        <v>0.465707933436017</v>
      </c>
      <c r="G22" s="4">
        <v>0.415845701070496</v>
      </c>
      <c r="H22" s="4">
        <v>0.303534803041862</v>
      </c>
      <c r="I22" s="4">
        <v>0.554026779815842</v>
      </c>
      <c r="J22" s="4">
        <v>0.399388812147916</v>
      </c>
      <c r="K22" s="4">
        <v>0.427600332599719</v>
      </c>
      <c r="L22" s="4">
        <v>0.277199919004143</v>
      </c>
      <c r="M22" s="4">
        <v>0.242230341730378</v>
      </c>
      <c r="N22" s="4">
        <v>0.435344368446351</v>
      </c>
      <c r="O22" s="4">
        <v>0.347486843835588</v>
      </c>
      <c r="P22" s="4">
        <v>0.31238992638379</v>
      </c>
      <c r="Q22" s="4">
        <v>0.147727518839788</v>
      </c>
      <c r="R22" s="4">
        <v>0.376899333950109</v>
      </c>
      <c r="S22" s="4">
        <v>-0.0980769336437808</v>
      </c>
      <c r="T22" s="4">
        <v>0.24811265355976</v>
      </c>
      <c r="U22" s="3">
        <v>1</v>
      </c>
      <c r="V22" s="4">
        <v>0.316210728196778</v>
      </c>
      <c r="W22" s="4">
        <v>0.258409744310378</v>
      </c>
      <c r="X22" s="4">
        <v>0.305331236850543</v>
      </c>
      <c r="Y22" s="4">
        <v>0.110548678776715</v>
      </c>
      <c r="Z22" s="4">
        <v>0.0713887686112251</v>
      </c>
      <c r="AA22" s="4">
        <v>0.44166593158178</v>
      </c>
      <c r="AB22" s="4">
        <v>0.337639998157073</v>
      </c>
      <c r="AC22" s="4">
        <v>0.0842742627924378</v>
      </c>
      <c r="AD22" s="4">
        <v>0.217489625481744</v>
      </c>
      <c r="AE22" s="4">
        <v>0.218918437283332</v>
      </c>
      <c r="AF22" s="4">
        <v>0.275109988796424</v>
      </c>
      <c r="AG22" s="4">
        <v>0.238428951153422</v>
      </c>
      <c r="AH22" s="4">
        <v>0.158975569423023</v>
      </c>
      <c r="AI22" s="4">
        <v>0.349653630571262</v>
      </c>
      <c r="AJ22" s="4">
        <v>0.307156838417781</v>
      </c>
      <c r="AK22" s="4">
        <v>0.330302620423214</v>
      </c>
      <c r="AL22" s="4">
        <v>0.270441923597188</v>
      </c>
      <c r="AM22" s="4">
        <v>0.149491175484592</v>
      </c>
      <c r="AN22" s="4">
        <v>0.428214793891257</v>
      </c>
      <c r="AO22" s="4">
        <v>0.0402419231946581</v>
      </c>
    </row>
    <row r="23" ht="14" spans="1:41">
      <c r="A23" s="22" t="s">
        <v>49</v>
      </c>
      <c r="B23" s="4">
        <v>0.288117515099107</v>
      </c>
      <c r="C23" s="4">
        <v>0.180318882357823</v>
      </c>
      <c r="D23" s="4">
        <v>0.112816999028225</v>
      </c>
      <c r="E23" s="4">
        <v>0.139720422761682</v>
      </c>
      <c r="F23" s="4">
        <v>0.105166527578269</v>
      </c>
      <c r="G23" s="4">
        <v>0.470707654348618</v>
      </c>
      <c r="H23" s="4">
        <v>0.272187426983576</v>
      </c>
      <c r="I23" s="4">
        <v>0.385595911726797</v>
      </c>
      <c r="J23" s="4">
        <v>0.240473011412529</v>
      </c>
      <c r="K23" s="4">
        <v>0.0968903952934067</v>
      </c>
      <c r="L23" s="4">
        <v>0.271947722666295</v>
      </c>
      <c r="M23" s="4">
        <v>0.123759455276186</v>
      </c>
      <c r="N23" s="4">
        <v>0.309332062362572</v>
      </c>
      <c r="O23" s="4">
        <v>0.32972903334946</v>
      </c>
      <c r="P23" s="4">
        <v>0.225695839580661</v>
      </c>
      <c r="Q23" s="4">
        <v>0.0110097699301763</v>
      </c>
      <c r="R23" s="4">
        <v>0.345671432236083</v>
      </c>
      <c r="S23" s="4">
        <v>0.103374980224699</v>
      </c>
      <c r="T23" s="4">
        <v>0.349251930889701</v>
      </c>
      <c r="U23" s="4">
        <v>0.316210728196778</v>
      </c>
      <c r="V23" s="3">
        <v>1</v>
      </c>
      <c r="W23" s="4">
        <v>0.384727092011727</v>
      </c>
      <c r="X23" s="4">
        <v>0.274732402620333</v>
      </c>
      <c r="Y23" s="4">
        <v>0.342255979292511</v>
      </c>
      <c r="Z23" s="4">
        <v>0.155924469577092</v>
      </c>
      <c r="AA23" s="4">
        <v>0.290982053056885</v>
      </c>
      <c r="AB23" s="4">
        <v>0.129456474866674</v>
      </c>
      <c r="AC23" s="4">
        <v>0.199312134747051</v>
      </c>
      <c r="AD23" s="4">
        <v>0.268853615970783</v>
      </c>
      <c r="AE23" s="4">
        <v>0.447508186538461</v>
      </c>
      <c r="AF23" s="4">
        <v>0.127745209982032</v>
      </c>
      <c r="AG23" s="4">
        <v>0.255315636857908</v>
      </c>
      <c r="AH23" s="4">
        <v>0.111946088066772</v>
      </c>
      <c r="AI23" s="4">
        <v>0.368500978498872</v>
      </c>
      <c r="AJ23" s="4">
        <v>0.189603675763118</v>
      </c>
      <c r="AK23" s="4">
        <v>0.218271469424195</v>
      </c>
      <c r="AL23" s="4">
        <v>0.380030526111715</v>
      </c>
      <c r="AM23" s="4">
        <v>0.133449303678271</v>
      </c>
      <c r="AN23" s="4">
        <v>0.34046726644358</v>
      </c>
      <c r="AO23" s="4">
        <v>0.312697808336376</v>
      </c>
    </row>
    <row r="24" ht="14" spans="1:41">
      <c r="A24" s="22" t="s">
        <v>53</v>
      </c>
      <c r="B24" s="4">
        <v>0.200830138692338</v>
      </c>
      <c r="C24" s="4">
        <v>0.0974706104567849</v>
      </c>
      <c r="D24" s="4">
        <v>0.024228477533495</v>
      </c>
      <c r="E24" s="4">
        <v>0.123365422192224</v>
      </c>
      <c r="F24" s="4">
        <v>0.0417942851992363</v>
      </c>
      <c r="G24" s="4">
        <v>0.464367330605131</v>
      </c>
      <c r="H24" s="4">
        <v>0.316667097311049</v>
      </c>
      <c r="I24" s="4">
        <v>0.409999279368977</v>
      </c>
      <c r="J24" s="4">
        <v>0.193711049135815</v>
      </c>
      <c r="K24" s="4">
        <v>-0.029952358525165</v>
      </c>
      <c r="L24" s="4">
        <v>0.155823338602731</v>
      </c>
      <c r="M24" s="4">
        <v>0.155645411797628</v>
      </c>
      <c r="N24" s="4">
        <v>0.588263782759939</v>
      </c>
      <c r="O24" s="4">
        <v>0.373417367968426</v>
      </c>
      <c r="P24" s="4">
        <v>0.437165223455657</v>
      </c>
      <c r="Q24" s="4">
        <v>0.0701153940532496</v>
      </c>
      <c r="R24" s="4">
        <v>0.405287815942103</v>
      </c>
      <c r="S24" s="4">
        <v>0.182143446973835</v>
      </c>
      <c r="T24" s="4">
        <v>0.416919516351558</v>
      </c>
      <c r="U24" s="4">
        <v>0.258409744310378</v>
      </c>
      <c r="V24" s="4">
        <v>0.384727092011727</v>
      </c>
      <c r="W24" s="3">
        <v>1</v>
      </c>
      <c r="X24" s="4">
        <v>0.339138109040448</v>
      </c>
      <c r="Y24" s="4">
        <v>0.560161530115706</v>
      </c>
      <c r="Z24" s="4">
        <v>0.302667311540288</v>
      </c>
      <c r="AA24" s="4">
        <v>0.354396672558711</v>
      </c>
      <c r="AB24" s="4">
        <v>0.33640966520953</v>
      </c>
      <c r="AC24" s="4">
        <v>0.266168351123741</v>
      </c>
      <c r="AD24" s="4">
        <v>0.0897988843814312</v>
      </c>
      <c r="AE24" s="4">
        <v>0.256706702489545</v>
      </c>
      <c r="AF24" s="4">
        <v>0.147034809246433</v>
      </c>
      <c r="AG24" s="4">
        <v>0.0511339242497156</v>
      </c>
      <c r="AH24" s="4">
        <v>0.10371346950535</v>
      </c>
      <c r="AI24" s="4">
        <v>0.327551735818776</v>
      </c>
      <c r="AJ24" s="4">
        <v>0.111066200530731</v>
      </c>
      <c r="AK24" s="4">
        <v>0.161717944747452</v>
      </c>
      <c r="AL24" s="4">
        <v>0.163089370780396</v>
      </c>
      <c r="AM24" s="4">
        <v>0.337951838587782</v>
      </c>
      <c r="AN24" s="4">
        <v>0.441677321222805</v>
      </c>
      <c r="AO24" s="4">
        <v>0.235439589595977</v>
      </c>
    </row>
    <row r="25" ht="14" spans="1:41">
      <c r="A25" s="22" t="s">
        <v>57</v>
      </c>
      <c r="B25" s="4">
        <v>0.224733584130575</v>
      </c>
      <c r="C25" s="4">
        <v>-0.00376193287663116</v>
      </c>
      <c r="D25" s="4">
        <v>-0.0188798394432803</v>
      </c>
      <c r="E25" s="4">
        <v>0.281556836704438</v>
      </c>
      <c r="F25" s="4">
        <v>0.0851303811355442</v>
      </c>
      <c r="G25" s="4">
        <v>0.0505461489435501</v>
      </c>
      <c r="H25" s="4">
        <v>0.184181700802564</v>
      </c>
      <c r="I25" s="4">
        <v>0.329721049990109</v>
      </c>
      <c r="J25" s="4">
        <v>0.264695165919749</v>
      </c>
      <c r="K25" s="4">
        <v>0.205818609454633</v>
      </c>
      <c r="L25" s="4">
        <v>-0.0506109658408789</v>
      </c>
      <c r="M25" s="4">
        <v>0.0106483775527987</v>
      </c>
      <c r="N25" s="4">
        <v>0.446796668685268</v>
      </c>
      <c r="O25" s="4">
        <v>0.432126926626049</v>
      </c>
      <c r="P25" s="4">
        <v>0.393000674791564</v>
      </c>
      <c r="Q25" s="4">
        <v>-0.110747717776699</v>
      </c>
      <c r="R25" s="4">
        <v>0.31112310353766</v>
      </c>
      <c r="S25" s="4">
        <v>0.211206656242938</v>
      </c>
      <c r="T25" s="4">
        <v>0.364080380284696</v>
      </c>
      <c r="U25" s="4">
        <v>0.305331236850543</v>
      </c>
      <c r="V25" s="4">
        <v>0.274732402620333</v>
      </c>
      <c r="W25" s="4">
        <v>0.339138109040448</v>
      </c>
      <c r="X25" s="3">
        <v>1</v>
      </c>
      <c r="Y25" s="4">
        <v>0.246671945867344</v>
      </c>
      <c r="Z25" s="4">
        <v>0.229060973903776</v>
      </c>
      <c r="AA25" s="4">
        <v>0.364776939026043</v>
      </c>
      <c r="AB25" s="4">
        <v>0.184312652039615</v>
      </c>
      <c r="AC25" s="4">
        <v>0.404015148042995</v>
      </c>
      <c r="AD25" s="4">
        <v>0.0679916025780748</v>
      </c>
      <c r="AE25" s="4">
        <v>0.385807907309345</v>
      </c>
      <c r="AF25" s="4">
        <v>0.155720925000982</v>
      </c>
      <c r="AG25" s="4">
        <v>0.354037255827194</v>
      </c>
      <c r="AH25" s="4">
        <v>0.23087508590109</v>
      </c>
      <c r="AI25" s="4">
        <v>0.379046308067</v>
      </c>
      <c r="AJ25" s="4">
        <v>0.346760247542506</v>
      </c>
      <c r="AK25" s="4">
        <v>0.339642616353011</v>
      </c>
      <c r="AL25" s="4">
        <v>0.319294747441679</v>
      </c>
      <c r="AM25" s="4">
        <v>0.27643846347411</v>
      </c>
      <c r="AN25" s="4">
        <v>0.442255127604641</v>
      </c>
      <c r="AO25" s="4">
        <v>0.260012494095845</v>
      </c>
    </row>
    <row r="26" ht="14" spans="1:41">
      <c r="A26" s="22" t="s">
        <v>61</v>
      </c>
      <c r="B26" s="4">
        <v>0.125899158962905</v>
      </c>
      <c r="C26" s="4">
        <v>0.0185876017725827</v>
      </c>
      <c r="D26" s="4">
        <v>0.10844750618908</v>
      </c>
      <c r="E26" s="4">
        <v>0.273940209191377</v>
      </c>
      <c r="F26" s="4">
        <v>0.0536388602398554</v>
      </c>
      <c r="G26" s="4">
        <v>0.153317702450781</v>
      </c>
      <c r="H26" s="4">
        <v>0.270978325056968</v>
      </c>
      <c r="I26" s="4">
        <v>0.189120248044089</v>
      </c>
      <c r="J26" s="4">
        <v>0.0358122786405248</v>
      </c>
      <c r="K26" s="4">
        <v>-0.0354032857265172</v>
      </c>
      <c r="L26" s="4">
        <v>0.211064464526419</v>
      </c>
      <c r="M26" s="4">
        <v>0.116746020106977</v>
      </c>
      <c r="N26" s="4">
        <v>0.306701063443992</v>
      </c>
      <c r="O26" s="4">
        <v>0.108171935281319</v>
      </c>
      <c r="P26" s="4">
        <v>0.221053493518097</v>
      </c>
      <c r="Q26" s="4">
        <v>-0.19381287202256</v>
      </c>
      <c r="R26" s="4">
        <v>0.189086939781176</v>
      </c>
      <c r="S26" s="4">
        <v>0.141350256550411</v>
      </c>
      <c r="T26" s="4">
        <v>0.284646289967199</v>
      </c>
      <c r="U26" s="4">
        <v>0.110548678776715</v>
      </c>
      <c r="V26" s="4">
        <v>0.342255979292511</v>
      </c>
      <c r="W26" s="4">
        <v>0.560161530115706</v>
      </c>
      <c r="X26" s="4">
        <v>0.246671945867344</v>
      </c>
      <c r="Y26" s="3">
        <v>1</v>
      </c>
      <c r="Z26" s="4">
        <v>0.208482553227204</v>
      </c>
      <c r="AA26" s="4">
        <v>0.294810621598086</v>
      </c>
      <c r="AB26" s="4">
        <v>0.243814406478995</v>
      </c>
      <c r="AC26" s="4">
        <v>0.373007805213007</v>
      </c>
      <c r="AD26" s="4">
        <v>0.0682960102400163</v>
      </c>
      <c r="AE26" s="4">
        <v>0.2095401708683</v>
      </c>
      <c r="AF26" s="4">
        <v>-0.01503449575856</v>
      </c>
      <c r="AG26" s="4">
        <v>0.0267397363621377</v>
      </c>
      <c r="AH26" s="4">
        <v>0.230641965122319</v>
      </c>
      <c r="AI26" s="4">
        <v>0.229079406031003</v>
      </c>
      <c r="AJ26" s="4">
        <v>0.187712020451979</v>
      </c>
      <c r="AK26" s="4">
        <v>0.105167745173718</v>
      </c>
      <c r="AL26" s="4">
        <v>0.409455321003941</v>
      </c>
      <c r="AM26" s="4">
        <v>0.329996005439818</v>
      </c>
      <c r="AN26" s="4">
        <v>0.100608935380626</v>
      </c>
      <c r="AO26" s="4">
        <v>0.294003769588096</v>
      </c>
    </row>
    <row r="27" ht="14" spans="1:41">
      <c r="A27" s="22" t="s">
        <v>63</v>
      </c>
      <c r="B27" s="4">
        <v>0.518672082142794</v>
      </c>
      <c r="C27" s="4">
        <v>0.310534833042205</v>
      </c>
      <c r="D27" s="4">
        <v>-0.0491629627992184</v>
      </c>
      <c r="E27" s="4">
        <v>0.0141702829961511</v>
      </c>
      <c r="F27" s="4">
        <v>0.168622234919116</v>
      </c>
      <c r="G27" s="4">
        <v>0.369982431831571</v>
      </c>
      <c r="H27" s="4">
        <v>0.0088045627280972</v>
      </c>
      <c r="I27" s="4">
        <v>0.166098174843662</v>
      </c>
      <c r="J27" s="4">
        <v>0.312308047563578</v>
      </c>
      <c r="K27" s="4">
        <v>0.175937586705225</v>
      </c>
      <c r="L27" s="4">
        <v>-0.251172586791176</v>
      </c>
      <c r="M27" s="4">
        <v>-0.016906067688752</v>
      </c>
      <c r="N27" s="4">
        <v>0.382268486311062</v>
      </c>
      <c r="O27" s="4">
        <v>0.331839174885205</v>
      </c>
      <c r="P27" s="4">
        <v>0.041759648149481</v>
      </c>
      <c r="Q27" s="4">
        <v>0.0719924303981506</v>
      </c>
      <c r="R27" s="4">
        <v>0.048699803181843</v>
      </c>
      <c r="S27" s="4">
        <v>0.139078005166025</v>
      </c>
      <c r="T27" s="4">
        <v>0.320512762484093</v>
      </c>
      <c r="U27" s="4">
        <v>0.0713887686112251</v>
      </c>
      <c r="V27" s="4">
        <v>0.155924469577092</v>
      </c>
      <c r="W27" s="4">
        <v>0.302667311540288</v>
      </c>
      <c r="X27" s="4">
        <v>0.229060973903776</v>
      </c>
      <c r="Y27" s="4">
        <v>0.208482553227204</v>
      </c>
      <c r="Z27" s="3">
        <v>1</v>
      </c>
      <c r="AA27" s="4">
        <v>0.198461584479989</v>
      </c>
      <c r="AB27" s="4">
        <v>0.0248055021879256</v>
      </c>
      <c r="AC27" s="4">
        <v>0.37297029788186</v>
      </c>
      <c r="AD27" s="4">
        <v>0.463205126063176</v>
      </c>
      <c r="AE27" s="4">
        <v>0.223766866352809</v>
      </c>
      <c r="AF27" s="4">
        <v>0.518569285888431</v>
      </c>
      <c r="AG27" s="4">
        <v>0.151448151242902</v>
      </c>
      <c r="AH27" s="4">
        <v>0.256114413820361</v>
      </c>
      <c r="AI27" s="4">
        <v>0.374971447054168</v>
      </c>
      <c r="AJ27" s="4">
        <v>0.0614324534705988</v>
      </c>
      <c r="AK27" s="4">
        <v>0.16682364179875</v>
      </c>
      <c r="AL27" s="4">
        <v>0.428963405681947</v>
      </c>
      <c r="AM27" s="4">
        <v>0.348058824550866</v>
      </c>
      <c r="AN27" s="4">
        <v>0.193052358105838</v>
      </c>
      <c r="AO27" s="4">
        <v>0.353822056542319</v>
      </c>
    </row>
    <row r="28" ht="14" spans="1:41">
      <c r="A28" s="22" t="s">
        <v>66</v>
      </c>
      <c r="B28" s="4">
        <v>0.355245044933565</v>
      </c>
      <c r="C28" s="4">
        <v>0.231650473093899</v>
      </c>
      <c r="D28" s="4">
        <v>0.196439598334859</v>
      </c>
      <c r="E28" s="4">
        <v>0.295177742990371</v>
      </c>
      <c r="F28" s="4">
        <v>0.311162688352375</v>
      </c>
      <c r="G28" s="4">
        <v>0.22181400015859</v>
      </c>
      <c r="H28" s="4">
        <v>0.31315728263658</v>
      </c>
      <c r="I28" s="4">
        <v>0.339340970227079</v>
      </c>
      <c r="J28" s="4">
        <v>0.251161368018084</v>
      </c>
      <c r="K28" s="4">
        <v>0.287938652406268</v>
      </c>
      <c r="L28" s="4">
        <v>0.110618829459745</v>
      </c>
      <c r="M28" s="4">
        <v>0.173831252428039</v>
      </c>
      <c r="N28" s="4">
        <v>0.395116158018315</v>
      </c>
      <c r="O28" s="4">
        <v>0.45574177970844</v>
      </c>
      <c r="P28" s="4">
        <v>0.438797068613923</v>
      </c>
      <c r="Q28" s="4">
        <v>0.0963449623885085</v>
      </c>
      <c r="R28" s="4">
        <v>0.375930240263857</v>
      </c>
      <c r="S28" s="4">
        <v>0.265684443545987</v>
      </c>
      <c r="T28" s="4">
        <v>0.476361879787443</v>
      </c>
      <c r="U28" s="4">
        <v>0.44166593158178</v>
      </c>
      <c r="V28" s="4">
        <v>0.290982053056885</v>
      </c>
      <c r="W28" s="4">
        <v>0.354396672558711</v>
      </c>
      <c r="X28" s="4">
        <v>0.364776939026043</v>
      </c>
      <c r="Y28" s="4">
        <v>0.294810621598086</v>
      </c>
      <c r="Z28" s="4">
        <v>0.198461584479989</v>
      </c>
      <c r="AA28" s="3">
        <v>1</v>
      </c>
      <c r="AB28" s="4">
        <v>0.321287355041808</v>
      </c>
      <c r="AC28" s="4">
        <v>0.355117391555515</v>
      </c>
      <c r="AD28" s="4">
        <v>0.238580341432004</v>
      </c>
      <c r="AE28" s="4">
        <v>0.213641516273623</v>
      </c>
      <c r="AF28" s="4">
        <v>0.11897806234879</v>
      </c>
      <c r="AG28" s="4">
        <v>0.232767415318386</v>
      </c>
      <c r="AH28" s="4">
        <v>0.17074316927614</v>
      </c>
      <c r="AI28" s="4">
        <v>0.405209343174213</v>
      </c>
      <c r="AJ28" s="4">
        <v>0.246242656862973</v>
      </c>
      <c r="AK28" s="4">
        <v>0.289207322896657</v>
      </c>
      <c r="AL28" s="4">
        <v>0.330847941965295</v>
      </c>
      <c r="AM28" s="4">
        <v>0.194461297988702</v>
      </c>
      <c r="AN28" s="4">
        <v>0.265444123350276</v>
      </c>
      <c r="AO28" s="4">
        <v>0.245743822616841</v>
      </c>
    </row>
    <row r="29" ht="14" spans="1:41">
      <c r="A29" s="22" t="s">
        <v>74</v>
      </c>
      <c r="B29" s="4">
        <v>0.158853250936724</v>
      </c>
      <c r="C29" s="4">
        <v>0.18293042607078</v>
      </c>
      <c r="D29" s="4">
        <v>-0.0353369448128246</v>
      </c>
      <c r="E29" s="4">
        <v>0.300609393283147</v>
      </c>
      <c r="F29" s="4">
        <v>0.199832751160258</v>
      </c>
      <c r="G29" s="4">
        <v>0.269853446023033</v>
      </c>
      <c r="H29" s="4">
        <v>0.202817314693211</v>
      </c>
      <c r="I29" s="4">
        <v>0.254602024038484</v>
      </c>
      <c r="J29" s="4">
        <v>0.361195510129077</v>
      </c>
      <c r="K29" s="4">
        <v>0.245331639537019</v>
      </c>
      <c r="L29" s="4">
        <v>0.419957648938808</v>
      </c>
      <c r="M29" s="4">
        <v>0.0435823050489304</v>
      </c>
      <c r="N29" s="4">
        <v>0.150317351365679</v>
      </c>
      <c r="O29" s="4">
        <v>0.238446412605473</v>
      </c>
      <c r="P29" s="4">
        <v>0.190688593191365</v>
      </c>
      <c r="Q29" s="4">
        <v>-0.101453085800511</v>
      </c>
      <c r="R29" s="4">
        <v>0.336645009354598</v>
      </c>
      <c r="S29" s="4">
        <v>-0.128871096964945</v>
      </c>
      <c r="T29" s="4">
        <v>0.0479614091714825</v>
      </c>
      <c r="U29" s="4">
        <v>0.337639998157073</v>
      </c>
      <c r="V29" s="4">
        <v>0.129456474866674</v>
      </c>
      <c r="W29" s="4">
        <v>0.33640966520953</v>
      </c>
      <c r="X29" s="4">
        <v>0.184312652039615</v>
      </c>
      <c r="Y29" s="4">
        <v>0.243814406478995</v>
      </c>
      <c r="Z29" s="4">
        <v>0.0248055021879256</v>
      </c>
      <c r="AA29" s="4">
        <v>0.321287355041808</v>
      </c>
      <c r="AB29" s="3">
        <v>1</v>
      </c>
      <c r="AC29" s="4">
        <v>0.170141572627071</v>
      </c>
      <c r="AD29" s="4">
        <v>0.0177421657775885</v>
      </c>
      <c r="AE29" s="4">
        <v>0.217971862584295</v>
      </c>
      <c r="AF29" s="4">
        <v>0.199857345651236</v>
      </c>
      <c r="AG29" s="4">
        <v>0.232422162318213</v>
      </c>
      <c r="AH29" s="4">
        <v>0.125616788431299</v>
      </c>
      <c r="AI29" s="4">
        <v>0.263387187653766</v>
      </c>
      <c r="AJ29" s="4">
        <v>-0.0648658423405085</v>
      </c>
      <c r="AK29" s="4">
        <v>0.205055544298368</v>
      </c>
      <c r="AL29" s="4">
        <v>0.049864662148159</v>
      </c>
      <c r="AM29" s="4">
        <v>0.135873166320817</v>
      </c>
      <c r="AN29" s="4">
        <v>0.235090789301827</v>
      </c>
      <c r="AO29" s="4">
        <v>-0.0165581484473311</v>
      </c>
    </row>
    <row r="30" ht="14" spans="1:41">
      <c r="A30" s="22" t="s">
        <v>75</v>
      </c>
      <c r="B30" s="4">
        <v>0.231795255524714</v>
      </c>
      <c r="C30" s="4">
        <v>-0.0541215945452393</v>
      </c>
      <c r="D30" s="4">
        <v>-0.139956608271426</v>
      </c>
      <c r="E30" s="4">
        <v>0.207527201854266</v>
      </c>
      <c r="F30" s="4">
        <v>-0.0989935786918228</v>
      </c>
      <c r="G30" s="4">
        <v>0.0767335037711592</v>
      </c>
      <c r="H30" s="4">
        <v>0.0215825927717935</v>
      </c>
      <c r="I30" s="4">
        <v>0.125811114292344</v>
      </c>
      <c r="J30" s="4">
        <v>0.176363287327501</v>
      </c>
      <c r="K30" s="4">
        <v>0.106481818149341</v>
      </c>
      <c r="L30" s="4">
        <v>-0.0877161765719195</v>
      </c>
      <c r="M30" s="4">
        <v>-0.097154818578405</v>
      </c>
      <c r="N30" s="4">
        <v>0.126822552969613</v>
      </c>
      <c r="O30" s="4">
        <v>0.257345876064493</v>
      </c>
      <c r="P30" s="4">
        <v>0.161362553043549</v>
      </c>
      <c r="Q30" s="4">
        <v>-0.129482639155985</v>
      </c>
      <c r="R30" s="4">
        <v>0.153572146277267</v>
      </c>
      <c r="S30" s="4">
        <v>0.0788695539883284</v>
      </c>
      <c r="T30" s="4">
        <v>0.30363033061253</v>
      </c>
      <c r="U30" s="4">
        <v>0.0842742627924378</v>
      </c>
      <c r="V30" s="4">
        <v>0.199312134747051</v>
      </c>
      <c r="W30" s="4">
        <v>0.266168351123741</v>
      </c>
      <c r="X30" s="4">
        <v>0.404015148042995</v>
      </c>
      <c r="Y30" s="4">
        <v>0.373007805213007</v>
      </c>
      <c r="Z30" s="4">
        <v>0.37297029788186</v>
      </c>
      <c r="AA30" s="4">
        <v>0.355117391555515</v>
      </c>
      <c r="AB30" s="4">
        <v>0.170141572627071</v>
      </c>
      <c r="AC30" s="3">
        <v>1</v>
      </c>
      <c r="AD30" s="4">
        <v>0.220394503654591</v>
      </c>
      <c r="AE30" s="4">
        <v>0.40527146340986</v>
      </c>
      <c r="AF30" s="4">
        <v>0.0247384603680923</v>
      </c>
      <c r="AG30" s="4">
        <v>0.311902410509454</v>
      </c>
      <c r="AH30" s="4">
        <v>0.154498521402105</v>
      </c>
      <c r="AI30" s="4">
        <v>0.435619066999435</v>
      </c>
      <c r="AJ30" s="4">
        <v>0.256166442240129</v>
      </c>
      <c r="AK30" s="4">
        <v>0.25964082830508</v>
      </c>
      <c r="AL30" s="4">
        <v>0.356700601946747</v>
      </c>
      <c r="AM30" s="4">
        <v>0.342791056301043</v>
      </c>
      <c r="AN30" s="4">
        <v>0.045370993483867</v>
      </c>
      <c r="AO30" s="4">
        <v>0.52761951692468</v>
      </c>
    </row>
    <row r="31" ht="14" spans="1:41">
      <c r="A31" s="22" t="s">
        <v>78</v>
      </c>
      <c r="B31" s="4">
        <v>0.429392481652407</v>
      </c>
      <c r="C31" s="4">
        <v>0.485236304131698</v>
      </c>
      <c r="D31" s="4">
        <v>0.0590789149682286</v>
      </c>
      <c r="E31" s="4">
        <v>-0.119837755618685</v>
      </c>
      <c r="F31" s="4">
        <v>0.317133222627256</v>
      </c>
      <c r="G31" s="4">
        <v>0.26926898395847</v>
      </c>
      <c r="H31" s="4">
        <v>0.0200213766445975</v>
      </c>
      <c r="I31" s="4">
        <v>0.0984774034522609</v>
      </c>
      <c r="J31" s="4">
        <v>0.201958216436334</v>
      </c>
      <c r="K31" s="4">
        <v>0.198303087639005</v>
      </c>
      <c r="L31" s="4">
        <v>0.0749725885510931</v>
      </c>
      <c r="M31" s="4">
        <v>0.0854342477823298</v>
      </c>
      <c r="N31" s="4">
        <v>0.188400237282619</v>
      </c>
      <c r="O31" s="4">
        <v>0.231873007575533</v>
      </c>
      <c r="P31" s="4">
        <v>0.0629555560303701</v>
      </c>
      <c r="Q31" s="4">
        <v>0.199610504678202</v>
      </c>
      <c r="R31" s="4">
        <v>-0.0148435059523526</v>
      </c>
      <c r="S31" s="4">
        <v>-0.00631641351566778</v>
      </c>
      <c r="T31" s="4">
        <v>0.276011981312227</v>
      </c>
      <c r="U31" s="4">
        <v>0.217489625481744</v>
      </c>
      <c r="V31" s="4">
        <v>0.268853615970783</v>
      </c>
      <c r="W31" s="4">
        <v>0.0897988843814312</v>
      </c>
      <c r="X31" s="4">
        <v>0.0679916025780748</v>
      </c>
      <c r="Y31" s="4">
        <v>0.0682960102400163</v>
      </c>
      <c r="Z31" s="4">
        <v>0.463205126063176</v>
      </c>
      <c r="AA31" s="4">
        <v>0.238580341432004</v>
      </c>
      <c r="AB31" s="4">
        <v>0.0177421657775885</v>
      </c>
      <c r="AC31" s="4">
        <v>0.220394503654591</v>
      </c>
      <c r="AD31" s="3">
        <v>1</v>
      </c>
      <c r="AE31" s="4">
        <v>0.455325187362002</v>
      </c>
      <c r="AF31" s="4">
        <v>0.442940017581716</v>
      </c>
      <c r="AG31" s="4">
        <v>0.373695622610998</v>
      </c>
      <c r="AH31" s="4">
        <v>0.228755434922482</v>
      </c>
      <c r="AI31" s="4">
        <v>0.327819471584547</v>
      </c>
      <c r="AJ31" s="4">
        <v>0.21579366923868</v>
      </c>
      <c r="AK31" s="4">
        <v>0.403309889877564</v>
      </c>
      <c r="AL31" s="4">
        <v>0.238501970074357</v>
      </c>
      <c r="AM31" s="4">
        <v>0.21078092751693</v>
      </c>
      <c r="AN31" s="4">
        <v>0.142445671944209</v>
      </c>
      <c r="AO31" s="4">
        <v>0.20300103894684</v>
      </c>
    </row>
    <row r="32" ht="14" spans="1:41">
      <c r="A32" s="22" t="s">
        <v>81</v>
      </c>
      <c r="B32" s="4">
        <v>0.528037945258422</v>
      </c>
      <c r="C32" s="4">
        <v>0.250861861745021</v>
      </c>
      <c r="D32" s="4">
        <v>0.0920487957675032</v>
      </c>
      <c r="E32" s="4">
        <v>0.0262728923046345</v>
      </c>
      <c r="F32" s="4">
        <v>0.155414185768144</v>
      </c>
      <c r="G32" s="4">
        <v>0.309056142146084</v>
      </c>
      <c r="H32" s="4">
        <v>0.152483231899921</v>
      </c>
      <c r="I32" s="4">
        <v>0.305529154719748</v>
      </c>
      <c r="J32" s="4">
        <v>0.261513745109733</v>
      </c>
      <c r="K32" s="4">
        <v>0.0848568321890676</v>
      </c>
      <c r="L32" s="4">
        <v>0.193632625705682</v>
      </c>
      <c r="M32" s="4">
        <v>-0.022441857022618</v>
      </c>
      <c r="N32" s="4">
        <v>0.31533034626614</v>
      </c>
      <c r="O32" s="4">
        <v>0.484024843236864</v>
      </c>
      <c r="P32" s="4">
        <v>0.282128463169734</v>
      </c>
      <c r="Q32" s="4">
        <v>0.0979809987779708</v>
      </c>
      <c r="R32" s="4">
        <v>0.316418282930744</v>
      </c>
      <c r="S32" s="4">
        <v>0.144665496577916</v>
      </c>
      <c r="T32" s="4">
        <v>0.267978684135241</v>
      </c>
      <c r="U32" s="4">
        <v>0.218918437283332</v>
      </c>
      <c r="V32" s="4">
        <v>0.447508186538461</v>
      </c>
      <c r="W32" s="4">
        <v>0.256706702489545</v>
      </c>
      <c r="X32" s="4">
        <v>0.385807907309345</v>
      </c>
      <c r="Y32" s="4">
        <v>0.2095401708683</v>
      </c>
      <c r="Z32" s="4">
        <v>0.223766866352809</v>
      </c>
      <c r="AA32" s="4">
        <v>0.213641516273623</v>
      </c>
      <c r="AB32" s="4">
        <v>0.217971862584295</v>
      </c>
      <c r="AC32" s="4">
        <v>0.40527146340986</v>
      </c>
      <c r="AD32" s="4">
        <v>0.455325187362002</v>
      </c>
      <c r="AE32" s="3">
        <v>1</v>
      </c>
      <c r="AF32" s="4">
        <v>0.213166027313074</v>
      </c>
      <c r="AG32" s="4">
        <v>0.401401112165564</v>
      </c>
      <c r="AH32" s="4">
        <v>0.135382496399548</v>
      </c>
      <c r="AI32" s="4">
        <v>0.493041957501198</v>
      </c>
      <c r="AJ32" s="4">
        <v>0.0783532938981431</v>
      </c>
      <c r="AK32" s="4">
        <v>0.303137645532599</v>
      </c>
      <c r="AL32" s="4">
        <v>0.257066036550873</v>
      </c>
      <c r="AM32" s="4">
        <v>0.30451097114381</v>
      </c>
      <c r="AN32" s="4">
        <v>0.356552142813189</v>
      </c>
      <c r="AO32" s="4">
        <v>0.261882200903807</v>
      </c>
    </row>
    <row r="33" ht="14" spans="1:41">
      <c r="A33" s="22" t="s">
        <v>82</v>
      </c>
      <c r="B33" s="4">
        <v>0.408899170502373</v>
      </c>
      <c r="C33" s="4">
        <v>0.446293649378975</v>
      </c>
      <c r="D33" s="4">
        <v>0.0602060324019778</v>
      </c>
      <c r="E33" s="4">
        <v>0.00827383217069708</v>
      </c>
      <c r="F33" s="4">
        <v>0.310221924526356</v>
      </c>
      <c r="G33" s="4">
        <v>0.378656608039893</v>
      </c>
      <c r="H33" s="4">
        <v>0.115593052342254</v>
      </c>
      <c r="I33" s="4">
        <v>0.370178072293418</v>
      </c>
      <c r="J33" s="4">
        <v>0.233467477333576</v>
      </c>
      <c r="K33" s="4">
        <v>0.255650374585245</v>
      </c>
      <c r="L33" s="4">
        <v>0.0372734774789909</v>
      </c>
      <c r="M33" s="4">
        <v>0.165047068515083</v>
      </c>
      <c r="N33" s="4">
        <v>0.233893783426109</v>
      </c>
      <c r="O33" s="4">
        <v>0.181952840834666</v>
      </c>
      <c r="P33" s="4">
        <v>0.101404476125936</v>
      </c>
      <c r="Q33" s="4">
        <v>0.188841847084676</v>
      </c>
      <c r="R33" s="4">
        <v>0.133243070869061</v>
      </c>
      <c r="S33" s="4">
        <v>-0.0196119857137988</v>
      </c>
      <c r="T33" s="4">
        <v>0.258851093601932</v>
      </c>
      <c r="U33" s="4">
        <v>0.275109988796424</v>
      </c>
      <c r="V33" s="4">
        <v>0.127745209982032</v>
      </c>
      <c r="W33" s="4">
        <v>0.147034809246433</v>
      </c>
      <c r="X33" s="4">
        <v>0.155720925000982</v>
      </c>
      <c r="Y33" s="4">
        <v>-0.01503449575856</v>
      </c>
      <c r="Z33" s="4">
        <v>0.518569285888431</v>
      </c>
      <c r="AA33" s="4">
        <v>0.11897806234879</v>
      </c>
      <c r="AB33" s="4">
        <v>0.199857345651236</v>
      </c>
      <c r="AC33" s="4">
        <v>0.0247384603680923</v>
      </c>
      <c r="AD33" s="4">
        <v>0.442940017581716</v>
      </c>
      <c r="AE33" s="4">
        <v>0.213166027313074</v>
      </c>
      <c r="AF33" s="3">
        <v>1</v>
      </c>
      <c r="AG33" s="4">
        <v>0.122072794366937</v>
      </c>
      <c r="AH33" s="4">
        <v>0.332588252949083</v>
      </c>
      <c r="AI33" s="4">
        <v>0.286853209559671</v>
      </c>
      <c r="AJ33" s="4">
        <v>0.0230214191938099</v>
      </c>
      <c r="AK33" s="4">
        <v>0.11524319056021</v>
      </c>
      <c r="AL33" s="4">
        <v>0.193605908683609</v>
      </c>
      <c r="AM33" s="4">
        <v>0.0932227484352276</v>
      </c>
      <c r="AN33" s="4">
        <v>0.408574252077072</v>
      </c>
      <c r="AO33" s="4">
        <v>0.204087427181025</v>
      </c>
    </row>
    <row r="34" ht="14" spans="1:41">
      <c r="A34" s="22" t="s">
        <v>89</v>
      </c>
      <c r="B34" s="4">
        <v>0.395464932090235</v>
      </c>
      <c r="C34" s="4">
        <v>0.0489822618168178</v>
      </c>
      <c r="D34" s="4">
        <v>0.014648157245175</v>
      </c>
      <c r="E34" s="4">
        <v>0.057737132153812</v>
      </c>
      <c r="F34" s="4">
        <v>0.192731133494292</v>
      </c>
      <c r="G34" s="4">
        <v>0.241965885343205</v>
      </c>
      <c r="H34" s="4">
        <v>0.153843098022818</v>
      </c>
      <c r="I34" s="4">
        <v>0.304876999230563</v>
      </c>
      <c r="J34" s="4">
        <v>0.515977352125516</v>
      </c>
      <c r="K34" s="4">
        <v>0.336144135841323</v>
      </c>
      <c r="L34" s="4">
        <v>0.0694220287821365</v>
      </c>
      <c r="M34" s="4">
        <v>-0.0618445232798032</v>
      </c>
      <c r="N34" s="4">
        <v>0.26931775659306</v>
      </c>
      <c r="O34" s="4">
        <v>0.32709683476578</v>
      </c>
      <c r="P34" s="4">
        <v>0.183150872773789</v>
      </c>
      <c r="Q34" s="4">
        <v>0.211972108500622</v>
      </c>
      <c r="R34" s="4">
        <v>0.267443757105299</v>
      </c>
      <c r="S34" s="4">
        <v>0.154668504024472</v>
      </c>
      <c r="T34" s="4">
        <v>0.376046564728019</v>
      </c>
      <c r="U34" s="4">
        <v>0.238428951153422</v>
      </c>
      <c r="V34" s="4">
        <v>0.255315636857908</v>
      </c>
      <c r="W34" s="4">
        <v>0.0511339242497156</v>
      </c>
      <c r="X34" s="4">
        <v>0.354037255827194</v>
      </c>
      <c r="Y34" s="4">
        <v>0.0267397363621377</v>
      </c>
      <c r="Z34" s="4">
        <v>0.151448151242902</v>
      </c>
      <c r="AA34" s="4">
        <v>0.232767415318386</v>
      </c>
      <c r="AB34" s="4">
        <v>0.232422162318213</v>
      </c>
      <c r="AC34" s="4">
        <v>0.311902410509454</v>
      </c>
      <c r="AD34" s="4">
        <v>0.373695622610998</v>
      </c>
      <c r="AE34" s="4">
        <v>0.401401112165564</v>
      </c>
      <c r="AF34" s="4">
        <v>0.122072794366937</v>
      </c>
      <c r="AG34" s="3">
        <v>1</v>
      </c>
      <c r="AH34" s="4">
        <v>0.297691099873725</v>
      </c>
      <c r="AI34" s="4">
        <v>0.283435302635295</v>
      </c>
      <c r="AJ34" s="4">
        <v>0.386349671465691</v>
      </c>
      <c r="AK34" s="4">
        <v>0.430608819774948</v>
      </c>
      <c r="AL34" s="4">
        <v>0.409554824872853</v>
      </c>
      <c r="AM34" s="4">
        <v>0.33309091495884</v>
      </c>
      <c r="AN34" s="4">
        <v>0.275861867327279</v>
      </c>
      <c r="AO34" s="4">
        <v>0.316957857458463</v>
      </c>
    </row>
    <row r="35" ht="14" spans="1:41">
      <c r="A35" s="22" t="s">
        <v>97</v>
      </c>
      <c r="B35" s="4">
        <v>0.358571780598973</v>
      </c>
      <c r="C35" s="4">
        <v>0.163745292621973</v>
      </c>
      <c r="D35" s="4">
        <v>0.19489559712638</v>
      </c>
      <c r="E35" s="4">
        <v>0.158104261970765</v>
      </c>
      <c r="F35" s="4">
        <v>0.299242840570096</v>
      </c>
      <c r="G35" s="4">
        <v>0.299844175531415</v>
      </c>
      <c r="H35" s="4">
        <v>0.107262245931359</v>
      </c>
      <c r="I35" s="4">
        <v>0.210771534062367</v>
      </c>
      <c r="J35" s="4">
        <v>0.250112675157615</v>
      </c>
      <c r="K35" s="4">
        <v>0.374894297962222</v>
      </c>
      <c r="L35" s="4">
        <v>0.150846532651757</v>
      </c>
      <c r="M35" s="4">
        <v>0.0738430356063092</v>
      </c>
      <c r="N35" s="4">
        <v>0.208284319265354</v>
      </c>
      <c r="O35" s="4">
        <v>0.197904971681711</v>
      </c>
      <c r="P35" s="4">
        <v>-0.0598457884092026</v>
      </c>
      <c r="Q35" s="4">
        <v>0.314341317075895</v>
      </c>
      <c r="R35" s="4">
        <v>-0.00416125983687666</v>
      </c>
      <c r="S35" s="4">
        <v>0.0836643162738781</v>
      </c>
      <c r="T35" s="4">
        <v>0.273028141180368</v>
      </c>
      <c r="U35" s="4">
        <v>0.158975569423023</v>
      </c>
      <c r="V35" s="4">
        <v>0.111946088066772</v>
      </c>
      <c r="W35" s="4">
        <v>0.10371346950535</v>
      </c>
      <c r="X35" s="4">
        <v>0.23087508590109</v>
      </c>
      <c r="Y35" s="4">
        <v>0.230641965122319</v>
      </c>
      <c r="Z35" s="4">
        <v>0.256114413820361</v>
      </c>
      <c r="AA35" s="4">
        <v>0.17074316927614</v>
      </c>
      <c r="AB35" s="4">
        <v>0.125616788431299</v>
      </c>
      <c r="AC35" s="4">
        <v>0.154498521402105</v>
      </c>
      <c r="AD35" s="4">
        <v>0.228755434922482</v>
      </c>
      <c r="AE35" s="4">
        <v>0.135382496399548</v>
      </c>
      <c r="AF35" s="4">
        <v>0.332588252949083</v>
      </c>
      <c r="AG35" s="4">
        <v>0.297691099873725</v>
      </c>
      <c r="AH35" s="3">
        <v>1</v>
      </c>
      <c r="AI35" s="4">
        <v>0.305251603325145</v>
      </c>
      <c r="AJ35" s="4">
        <v>0.200862405420258</v>
      </c>
      <c r="AK35" s="4">
        <v>0.12193655846214</v>
      </c>
      <c r="AL35" s="4">
        <v>0.304552529675361</v>
      </c>
      <c r="AM35" s="4">
        <v>0.194200697601435</v>
      </c>
      <c r="AN35" s="4">
        <v>0.235158138804624</v>
      </c>
      <c r="AO35" s="4">
        <v>0.34708250789986</v>
      </c>
    </row>
    <row r="36" ht="14" spans="1:41">
      <c r="A36" s="22" t="s">
        <v>101</v>
      </c>
      <c r="B36" s="4">
        <v>0.393809344687048</v>
      </c>
      <c r="C36" s="4">
        <v>0.229607653576327</v>
      </c>
      <c r="D36" s="4">
        <v>-0.0868895378386478</v>
      </c>
      <c r="E36" s="4">
        <v>0.255454725498695</v>
      </c>
      <c r="F36" s="4">
        <v>0.308865964300273</v>
      </c>
      <c r="G36" s="4">
        <v>0.365494474191939</v>
      </c>
      <c r="H36" s="4">
        <v>0.0847003499795051</v>
      </c>
      <c r="I36" s="4">
        <v>0.300151143537085</v>
      </c>
      <c r="J36" s="4">
        <v>0.43492911030046</v>
      </c>
      <c r="K36" s="4">
        <v>0.309077075710228</v>
      </c>
      <c r="L36" s="4">
        <v>0.0793438764140969</v>
      </c>
      <c r="M36" s="4">
        <v>0.040302426848628</v>
      </c>
      <c r="N36" s="4">
        <v>0.400170993543576</v>
      </c>
      <c r="O36" s="4">
        <v>0.46505397069438</v>
      </c>
      <c r="P36" s="4">
        <v>0.191658807193205</v>
      </c>
      <c r="Q36" s="4">
        <v>0.118593675980151</v>
      </c>
      <c r="R36" s="4">
        <v>0.461646319211181</v>
      </c>
      <c r="S36" s="4">
        <v>0.117221154646957</v>
      </c>
      <c r="T36" s="4">
        <v>0.333150120244255</v>
      </c>
      <c r="U36" s="4">
        <v>0.349653630571262</v>
      </c>
      <c r="V36" s="4">
        <v>0.368500978498872</v>
      </c>
      <c r="W36" s="4">
        <v>0.327551735818776</v>
      </c>
      <c r="X36" s="4">
        <v>0.379046308067</v>
      </c>
      <c r="Y36" s="4">
        <v>0.229079406031003</v>
      </c>
      <c r="Z36" s="4">
        <v>0.374971447054168</v>
      </c>
      <c r="AA36" s="4">
        <v>0.405209343174213</v>
      </c>
      <c r="AB36" s="4">
        <v>0.263387187653766</v>
      </c>
      <c r="AC36" s="4">
        <v>0.435619066999435</v>
      </c>
      <c r="AD36" s="4">
        <v>0.327819471584547</v>
      </c>
      <c r="AE36" s="4">
        <v>0.493041957501198</v>
      </c>
      <c r="AF36" s="4">
        <v>0.286853209559671</v>
      </c>
      <c r="AG36" s="4">
        <v>0.283435302635295</v>
      </c>
      <c r="AH36" s="4">
        <v>0.305251603325145</v>
      </c>
      <c r="AI36" s="3">
        <v>1</v>
      </c>
      <c r="AJ36" s="4">
        <v>0.355249661033861</v>
      </c>
      <c r="AK36" s="4">
        <v>0.44367528222608</v>
      </c>
      <c r="AL36" s="4">
        <v>0.29955146790615</v>
      </c>
      <c r="AM36" s="4">
        <v>0.26206649632662</v>
      </c>
      <c r="AN36" s="4">
        <v>0.292765281435645</v>
      </c>
      <c r="AO36" s="4">
        <v>0.421140277546937</v>
      </c>
    </row>
    <row r="37" ht="14" spans="1:41">
      <c r="A37" s="22" t="s">
        <v>107</v>
      </c>
      <c r="B37" s="4">
        <v>0.0862597840330782</v>
      </c>
      <c r="C37" s="4">
        <v>0.0609494091030493</v>
      </c>
      <c r="D37" s="4">
        <v>0.00457296992815038</v>
      </c>
      <c r="E37" s="4">
        <v>0.305531629847671</v>
      </c>
      <c r="F37" s="4">
        <v>0.2901935981696</v>
      </c>
      <c r="G37" s="4">
        <v>0.140744281324714</v>
      </c>
      <c r="H37" s="4">
        <v>0.271832931842023</v>
      </c>
      <c r="I37" s="4">
        <v>0.135373239896701</v>
      </c>
      <c r="J37" s="4">
        <v>0.324605845899935</v>
      </c>
      <c r="K37" s="4">
        <v>0.404168526699124</v>
      </c>
      <c r="L37" s="4">
        <v>-0.0602751033386141</v>
      </c>
      <c r="M37" s="4">
        <v>-0.0194302692882931</v>
      </c>
      <c r="N37" s="4">
        <v>0.239998585634648</v>
      </c>
      <c r="O37" s="4">
        <v>0.319064726465107</v>
      </c>
      <c r="P37" s="4">
        <v>0.239165212359127</v>
      </c>
      <c r="Q37" s="4">
        <v>0.0433631145076164</v>
      </c>
      <c r="R37" s="4">
        <v>0.123153757488158</v>
      </c>
      <c r="S37" s="4">
        <v>0.215367622301744</v>
      </c>
      <c r="T37" s="4">
        <v>0.393542917778356</v>
      </c>
      <c r="U37" s="4">
        <v>0.307156838417781</v>
      </c>
      <c r="V37" s="4">
        <v>0.189603675763118</v>
      </c>
      <c r="W37" s="4">
        <v>0.111066200530731</v>
      </c>
      <c r="X37" s="4">
        <v>0.346760247542506</v>
      </c>
      <c r="Y37" s="4">
        <v>0.187712020451979</v>
      </c>
      <c r="Z37" s="4">
        <v>0.0614324534705988</v>
      </c>
      <c r="AA37" s="4">
        <v>0.246242656862973</v>
      </c>
      <c r="AB37" s="4">
        <v>-0.0648658423405085</v>
      </c>
      <c r="AC37" s="4">
        <v>0.256166442240129</v>
      </c>
      <c r="AD37" s="4">
        <v>0.21579366923868</v>
      </c>
      <c r="AE37" s="4">
        <v>0.0783532938981431</v>
      </c>
      <c r="AF37" s="4">
        <v>0.0230214191938099</v>
      </c>
      <c r="AG37" s="4">
        <v>0.386349671465691</v>
      </c>
      <c r="AH37" s="4">
        <v>0.200862405420258</v>
      </c>
      <c r="AI37" s="4">
        <v>0.355249661033861</v>
      </c>
      <c r="AJ37" s="3">
        <v>1</v>
      </c>
      <c r="AK37" s="4">
        <v>0.447102995974677</v>
      </c>
      <c r="AL37" s="4">
        <v>0.492525189446564</v>
      </c>
      <c r="AM37" s="4">
        <v>0.0830121125722782</v>
      </c>
      <c r="AN37" s="4">
        <v>0.218240463087998</v>
      </c>
      <c r="AO37" s="4">
        <v>0.415004061478496</v>
      </c>
    </row>
    <row r="38" ht="14" spans="1:41">
      <c r="A38" s="22" t="s">
        <v>110</v>
      </c>
      <c r="B38" s="4">
        <v>0.306390578420173</v>
      </c>
      <c r="C38" s="4">
        <v>0.172961014555694</v>
      </c>
      <c r="D38" s="4">
        <v>0.074187488433544</v>
      </c>
      <c r="E38" s="4">
        <v>0.178657314514985</v>
      </c>
      <c r="F38" s="4">
        <v>0.249186680080981</v>
      </c>
      <c r="G38" s="4">
        <v>0.126323496811218</v>
      </c>
      <c r="H38" s="4">
        <v>0.1046357832568</v>
      </c>
      <c r="I38" s="4">
        <v>0.113637680611871</v>
      </c>
      <c r="J38" s="4">
        <v>0.393317497767357</v>
      </c>
      <c r="K38" s="4">
        <v>0.409304467481361</v>
      </c>
      <c r="L38" s="4">
        <v>-0.0397355800992267</v>
      </c>
      <c r="M38" s="4">
        <v>0.0232117857653506</v>
      </c>
      <c r="N38" s="4">
        <v>0.202578530494421</v>
      </c>
      <c r="O38" s="4">
        <v>0.366009467198526</v>
      </c>
      <c r="P38" s="4">
        <v>0.377789992353823</v>
      </c>
      <c r="Q38" s="4">
        <v>0.153381107416191</v>
      </c>
      <c r="R38" s="4">
        <v>0.128431588893227</v>
      </c>
      <c r="S38" s="4">
        <v>0.166236321104193</v>
      </c>
      <c r="T38" s="4">
        <v>0.152591459652067</v>
      </c>
      <c r="U38" s="4">
        <v>0.330302620423214</v>
      </c>
      <c r="V38" s="4">
        <v>0.218271469424195</v>
      </c>
      <c r="W38" s="4">
        <v>0.161717944747452</v>
      </c>
      <c r="X38" s="4">
        <v>0.339642616353011</v>
      </c>
      <c r="Y38" s="4">
        <v>0.105167745173718</v>
      </c>
      <c r="Z38" s="4">
        <v>0.16682364179875</v>
      </c>
      <c r="AA38" s="4">
        <v>0.289207322896657</v>
      </c>
      <c r="AB38" s="4">
        <v>0.205055544298368</v>
      </c>
      <c r="AC38" s="4">
        <v>0.25964082830508</v>
      </c>
      <c r="AD38" s="4">
        <v>0.403309889877564</v>
      </c>
      <c r="AE38" s="4">
        <v>0.303137645532599</v>
      </c>
      <c r="AF38" s="4">
        <v>0.11524319056021</v>
      </c>
      <c r="AG38" s="4">
        <v>0.430608819774948</v>
      </c>
      <c r="AH38" s="4">
        <v>0.12193655846214</v>
      </c>
      <c r="AI38" s="4">
        <v>0.44367528222608</v>
      </c>
      <c r="AJ38" s="4">
        <v>0.447102995974677</v>
      </c>
      <c r="AK38" s="3">
        <v>1</v>
      </c>
      <c r="AL38" s="4">
        <v>0.320168674168219</v>
      </c>
      <c r="AM38" s="4">
        <v>0.178237211944792</v>
      </c>
      <c r="AN38" s="4">
        <v>0.187195002021868</v>
      </c>
      <c r="AO38" s="4">
        <v>0.391917492094958</v>
      </c>
    </row>
    <row r="39" ht="14" spans="1:41">
      <c r="A39" s="22" t="s">
        <v>114</v>
      </c>
      <c r="B39" s="4">
        <v>0.42234586704142</v>
      </c>
      <c r="C39" s="4">
        <v>0.316599855012781</v>
      </c>
      <c r="D39" s="4">
        <v>0.184011092445062</v>
      </c>
      <c r="E39" s="4">
        <v>0.364381924124168</v>
      </c>
      <c r="F39" s="4">
        <v>0.339230101030256</v>
      </c>
      <c r="G39" s="4">
        <v>0.233723365078789</v>
      </c>
      <c r="H39" s="4">
        <v>0.302777170182835</v>
      </c>
      <c r="I39" s="4">
        <v>0.223774217742387</v>
      </c>
      <c r="J39" s="4">
        <v>0.391274288898825</v>
      </c>
      <c r="K39" s="4">
        <v>0.392717448874199</v>
      </c>
      <c r="L39" s="4">
        <v>-0.0636854535662255</v>
      </c>
      <c r="M39" s="4">
        <v>0.0823550893994666</v>
      </c>
      <c r="N39" s="4">
        <v>0.353244921663908</v>
      </c>
      <c r="O39" s="4">
        <v>0.263414487468207</v>
      </c>
      <c r="P39" s="4">
        <v>0.172642965491237</v>
      </c>
      <c r="Q39" s="4">
        <v>0.00570278244947668</v>
      </c>
      <c r="R39" s="4">
        <v>0.140765698750141</v>
      </c>
      <c r="S39" s="4">
        <v>0.412279476879822</v>
      </c>
      <c r="T39" s="4">
        <v>0.426959270807081</v>
      </c>
      <c r="U39" s="4">
        <v>0.270441923597188</v>
      </c>
      <c r="V39" s="4">
        <v>0.380030526111715</v>
      </c>
      <c r="W39" s="4">
        <v>0.163089370780396</v>
      </c>
      <c r="X39" s="4">
        <v>0.319294747441679</v>
      </c>
      <c r="Y39" s="4">
        <v>0.409455321003941</v>
      </c>
      <c r="Z39" s="4">
        <v>0.428963405681947</v>
      </c>
      <c r="AA39" s="4">
        <v>0.330847941965295</v>
      </c>
      <c r="AB39" s="4">
        <v>0.049864662148159</v>
      </c>
      <c r="AC39" s="4">
        <v>0.356700601946747</v>
      </c>
      <c r="AD39" s="4">
        <v>0.238501970074357</v>
      </c>
      <c r="AE39" s="4">
        <v>0.257066036550873</v>
      </c>
      <c r="AF39" s="4">
        <v>0.193605908683609</v>
      </c>
      <c r="AG39" s="4">
        <v>0.409554824872853</v>
      </c>
      <c r="AH39" s="4">
        <v>0.304552529675361</v>
      </c>
      <c r="AI39" s="4">
        <v>0.29955146790615</v>
      </c>
      <c r="AJ39" s="4">
        <v>0.492525189446564</v>
      </c>
      <c r="AK39" s="4">
        <v>0.320168674168219</v>
      </c>
      <c r="AL39" s="3">
        <v>1</v>
      </c>
      <c r="AM39" s="4">
        <v>0.205062975976526</v>
      </c>
      <c r="AN39" s="4">
        <v>0.2300498777127</v>
      </c>
      <c r="AO39" s="4">
        <v>0.561797140482787</v>
      </c>
    </row>
    <row r="40" ht="14" spans="1:41">
      <c r="A40" s="22" t="s">
        <v>127</v>
      </c>
      <c r="B40" s="4">
        <v>0.352346965391262</v>
      </c>
      <c r="C40" s="4">
        <v>0.222564153703842</v>
      </c>
      <c r="D40" s="4">
        <v>0.158652084146274</v>
      </c>
      <c r="E40" s="4">
        <v>0.192399357112577</v>
      </c>
      <c r="F40" s="4">
        <v>0.244824638846568</v>
      </c>
      <c r="G40" s="4">
        <v>0.24613442509162</v>
      </c>
      <c r="H40" s="4">
        <v>0.0717229648278766</v>
      </c>
      <c r="I40" s="4">
        <v>0.0970030922098519</v>
      </c>
      <c r="J40" s="4">
        <v>0.236355369261957</v>
      </c>
      <c r="K40" s="4">
        <v>0.135307101696036</v>
      </c>
      <c r="L40" s="4">
        <v>0.0522964094390156</v>
      </c>
      <c r="M40" s="4">
        <v>0.0650416321566677</v>
      </c>
      <c r="N40" s="4">
        <v>0.410981078661617</v>
      </c>
      <c r="O40" s="4">
        <v>0.13944683872824</v>
      </c>
      <c r="P40" s="4">
        <v>0.0914850393543612</v>
      </c>
      <c r="Q40" s="4">
        <v>0.0227622772983585</v>
      </c>
      <c r="R40" s="4">
        <v>0.264232158485178</v>
      </c>
      <c r="S40" s="4">
        <v>0.185855068286488</v>
      </c>
      <c r="T40" s="4">
        <v>0.339691538106272</v>
      </c>
      <c r="U40" s="4">
        <v>0.149491175484592</v>
      </c>
      <c r="V40" s="4">
        <v>0.133449303678271</v>
      </c>
      <c r="W40" s="4">
        <v>0.337951838587782</v>
      </c>
      <c r="X40" s="4">
        <v>0.27643846347411</v>
      </c>
      <c r="Y40" s="4">
        <v>0.329996005439818</v>
      </c>
      <c r="Z40" s="4">
        <v>0.348058824550866</v>
      </c>
      <c r="AA40" s="4">
        <v>0.194461297988702</v>
      </c>
      <c r="AB40" s="4">
        <v>0.135873166320817</v>
      </c>
      <c r="AC40" s="4">
        <v>0.342791056301043</v>
      </c>
      <c r="AD40" s="4">
        <v>0.21078092751693</v>
      </c>
      <c r="AE40" s="4">
        <v>0.30451097114381</v>
      </c>
      <c r="AF40" s="4">
        <v>0.0932227484352276</v>
      </c>
      <c r="AG40" s="4">
        <v>0.33309091495884</v>
      </c>
      <c r="AH40" s="4">
        <v>0.194200697601435</v>
      </c>
      <c r="AI40" s="4">
        <v>0.26206649632662</v>
      </c>
      <c r="AJ40" s="4">
        <v>0.0830121125722782</v>
      </c>
      <c r="AK40" s="4">
        <v>0.178237211944792</v>
      </c>
      <c r="AL40" s="4">
        <v>0.205062975976526</v>
      </c>
      <c r="AM40" s="3">
        <v>1</v>
      </c>
      <c r="AN40" s="4">
        <v>0.167136339843524</v>
      </c>
      <c r="AO40" s="4">
        <v>0.115021714962117</v>
      </c>
    </row>
    <row r="41" ht="14" spans="1:41">
      <c r="A41" s="22" t="s">
        <v>128</v>
      </c>
      <c r="B41" s="4">
        <v>0.300876108986621</v>
      </c>
      <c r="C41" s="4">
        <v>0.138908006149273</v>
      </c>
      <c r="D41" s="4">
        <v>-0.0808084887460891</v>
      </c>
      <c r="E41" s="4">
        <v>0.145863374739653</v>
      </c>
      <c r="F41" s="4">
        <v>0.12990446479674</v>
      </c>
      <c r="G41" s="4">
        <v>0.289374891605278</v>
      </c>
      <c r="H41" s="4">
        <v>0.198858875542347</v>
      </c>
      <c r="I41" s="4">
        <v>0.485226345253533</v>
      </c>
      <c r="J41" s="4">
        <v>0.375491583557922</v>
      </c>
      <c r="K41" s="4">
        <v>0.125496665313435</v>
      </c>
      <c r="L41" s="4">
        <v>0.150570408197069</v>
      </c>
      <c r="M41" s="4">
        <v>0.0824119158815561</v>
      </c>
      <c r="N41" s="4">
        <v>0.425642851296742</v>
      </c>
      <c r="O41" s="4">
        <v>0.473423924346073</v>
      </c>
      <c r="P41" s="4">
        <v>0.30484330293459</v>
      </c>
      <c r="Q41" s="4">
        <v>0.15711550484177</v>
      </c>
      <c r="R41" s="4">
        <v>0.492969865009036</v>
      </c>
      <c r="S41" s="4">
        <v>0.134432384650424</v>
      </c>
      <c r="T41" s="4">
        <v>0.392456525324478</v>
      </c>
      <c r="U41" s="4">
        <v>0.428214793891257</v>
      </c>
      <c r="V41" s="4">
        <v>0.34046726644358</v>
      </c>
      <c r="W41" s="4">
        <v>0.441677321222805</v>
      </c>
      <c r="X41" s="4">
        <v>0.442255127604641</v>
      </c>
      <c r="Y41" s="4">
        <v>0.100608935380626</v>
      </c>
      <c r="Z41" s="4">
        <v>0.193052358105838</v>
      </c>
      <c r="AA41" s="4">
        <v>0.265444123350276</v>
      </c>
      <c r="AB41" s="4">
        <v>0.235090789301827</v>
      </c>
      <c r="AC41" s="4">
        <v>0.045370993483867</v>
      </c>
      <c r="AD41" s="4">
        <v>0.142445671944209</v>
      </c>
      <c r="AE41" s="4">
        <v>0.356552142813189</v>
      </c>
      <c r="AF41" s="4">
        <v>0.408574252077072</v>
      </c>
      <c r="AG41" s="4">
        <v>0.275861867327279</v>
      </c>
      <c r="AH41" s="4">
        <v>0.235158138804624</v>
      </c>
      <c r="AI41" s="4">
        <v>0.292765281435645</v>
      </c>
      <c r="AJ41" s="4">
        <v>0.218240463087998</v>
      </c>
      <c r="AK41" s="4">
        <v>0.187195002021868</v>
      </c>
      <c r="AL41" s="4">
        <v>0.2300498777127</v>
      </c>
      <c r="AM41" s="4">
        <v>0.167136339843524</v>
      </c>
      <c r="AN41" s="3">
        <v>1</v>
      </c>
      <c r="AO41" s="4">
        <v>0.133252832172481</v>
      </c>
    </row>
    <row r="42" ht="14" spans="1:41">
      <c r="A42" s="22" t="s">
        <v>130</v>
      </c>
      <c r="B42" s="4">
        <v>0.267308231576373</v>
      </c>
      <c r="C42" s="4">
        <v>0.023035106284564</v>
      </c>
      <c r="D42" s="4">
        <v>0.00718501202708481</v>
      </c>
      <c r="E42" s="4">
        <v>0.0903316795575613</v>
      </c>
      <c r="F42" s="4">
        <v>0.0291997165432548</v>
      </c>
      <c r="G42" s="4">
        <v>0.230140004799302</v>
      </c>
      <c r="H42" s="4">
        <v>0.186647848850506</v>
      </c>
      <c r="I42" s="4">
        <v>0.144202107142044</v>
      </c>
      <c r="J42" s="4">
        <v>0.140476482536131</v>
      </c>
      <c r="K42" s="4">
        <v>0.281727337307227</v>
      </c>
      <c r="L42" s="4">
        <v>-0.224661135081124</v>
      </c>
      <c r="M42" s="4">
        <v>0.00575939336534286</v>
      </c>
      <c r="N42" s="4">
        <v>0.178319495324594</v>
      </c>
      <c r="O42" s="4">
        <v>0.120040412256344</v>
      </c>
      <c r="P42" s="4">
        <v>0.197669614724641</v>
      </c>
      <c r="Q42" s="4">
        <v>0.0155273869489003</v>
      </c>
      <c r="R42" s="4">
        <v>0.086962649648568</v>
      </c>
      <c r="S42" s="4">
        <v>0.200096559732558</v>
      </c>
      <c r="T42" s="4">
        <v>0.417866603476741</v>
      </c>
      <c r="U42" s="4">
        <v>0.0402419231946581</v>
      </c>
      <c r="V42" s="4">
        <v>0.312697808336376</v>
      </c>
      <c r="W42" s="4">
        <v>0.235439589595977</v>
      </c>
      <c r="X42" s="4">
        <v>0.260012494095845</v>
      </c>
      <c r="Y42" s="4">
        <v>0.294003769588096</v>
      </c>
      <c r="Z42" s="4">
        <v>0.353822056542319</v>
      </c>
      <c r="AA42" s="4">
        <v>0.245743822616841</v>
      </c>
      <c r="AB42" s="4">
        <v>-0.0165581484473311</v>
      </c>
      <c r="AC42" s="4">
        <v>0.52761951692468</v>
      </c>
      <c r="AD42" s="4">
        <v>0.20300103894684</v>
      </c>
      <c r="AE42" s="4">
        <v>0.261882200903807</v>
      </c>
      <c r="AF42" s="4">
        <v>0.204087427181025</v>
      </c>
      <c r="AG42" s="4">
        <v>0.316957857458463</v>
      </c>
      <c r="AH42" s="4">
        <v>0.34708250789986</v>
      </c>
      <c r="AI42" s="4">
        <v>0.421140277546937</v>
      </c>
      <c r="AJ42" s="4">
        <v>0.415004061478496</v>
      </c>
      <c r="AK42" s="4">
        <v>0.391917492094958</v>
      </c>
      <c r="AL42" s="4">
        <v>0.561797140482787</v>
      </c>
      <c r="AM42" s="4">
        <v>0.115021714962117</v>
      </c>
      <c r="AN42" s="4">
        <v>0.133252832172481</v>
      </c>
      <c r="AO42" s="3">
        <v>1</v>
      </c>
    </row>
    <row r="44" spans="2:2">
      <c r="B44" s="4"/>
    </row>
    <row r="48" s="26" customFormat="1" ht="32.4" spans="1:1">
      <c r="A48" s="30" t="s">
        <v>138</v>
      </c>
    </row>
    <row r="49" s="29" customFormat="1" ht="14" spans="2:42">
      <c r="B49" s="22" t="s">
        <v>2</v>
      </c>
      <c r="C49" s="22" t="s">
        <v>6</v>
      </c>
      <c r="D49" s="22" t="s">
        <v>4</v>
      </c>
      <c r="E49" s="22" t="s">
        <v>5</v>
      </c>
      <c r="F49" s="22" t="s">
        <v>7</v>
      </c>
      <c r="G49" s="22" t="s">
        <v>9</v>
      </c>
      <c r="H49" s="22" t="s">
        <v>10</v>
      </c>
      <c r="I49" s="22" t="s">
        <v>11</v>
      </c>
      <c r="J49" s="22" t="s">
        <v>16</v>
      </c>
      <c r="K49" s="22" t="s">
        <v>17</v>
      </c>
      <c r="L49" s="22" t="s">
        <v>19</v>
      </c>
      <c r="M49" s="22" t="s">
        <v>28</v>
      </c>
      <c r="N49" s="22" t="s">
        <v>30</v>
      </c>
      <c r="O49" s="22" t="s">
        <v>32</v>
      </c>
      <c r="P49" s="22" t="s">
        <v>34</v>
      </c>
      <c r="Q49" s="22" t="s">
        <v>37</v>
      </c>
      <c r="R49" s="22" t="s">
        <v>39</v>
      </c>
      <c r="S49" s="22" t="s">
        <v>40</v>
      </c>
      <c r="T49" s="22" t="s">
        <v>41</v>
      </c>
      <c r="U49" s="22" t="s">
        <v>44</v>
      </c>
      <c r="V49" s="22" t="s">
        <v>49</v>
      </c>
      <c r="W49" s="22" t="s">
        <v>53</v>
      </c>
      <c r="X49" s="22" t="s">
        <v>57</v>
      </c>
      <c r="Y49" s="22" t="s">
        <v>61</v>
      </c>
      <c r="Z49" s="22" t="s">
        <v>63</v>
      </c>
      <c r="AA49" s="22" t="s">
        <v>66</v>
      </c>
      <c r="AB49" s="22" t="s">
        <v>74</v>
      </c>
      <c r="AC49" s="22" t="s">
        <v>75</v>
      </c>
      <c r="AD49" s="22" t="s">
        <v>78</v>
      </c>
      <c r="AE49" s="22" t="s">
        <v>81</v>
      </c>
      <c r="AF49" s="22" t="s">
        <v>82</v>
      </c>
      <c r="AG49" s="22" t="s">
        <v>89</v>
      </c>
      <c r="AH49" s="22" t="s">
        <v>97</v>
      </c>
      <c r="AI49" s="22" t="s">
        <v>101</v>
      </c>
      <c r="AJ49" s="22" t="s">
        <v>107</v>
      </c>
      <c r="AK49" s="22" t="s">
        <v>110</v>
      </c>
      <c r="AL49" s="22" t="s">
        <v>114</v>
      </c>
      <c r="AM49" s="22" t="s">
        <v>127</v>
      </c>
      <c r="AN49" s="22" t="s">
        <v>128</v>
      </c>
      <c r="AO49" s="22" t="s">
        <v>130</v>
      </c>
      <c r="AP49" s="27"/>
    </row>
    <row r="50" ht="14" spans="1:48">
      <c r="A50" s="22" t="s">
        <v>2</v>
      </c>
      <c r="B50" s="15">
        <f t="array" ref="B50:AO89">CorrMatrixTriangular(Data!B132:AO189)</f>
        <v>1</v>
      </c>
      <c r="C50" s="15">
        <v>0.406497278034445</v>
      </c>
      <c r="D50" s="15">
        <v>0.459588450850187</v>
      </c>
      <c r="E50" s="15">
        <v>0.156878676012137</v>
      </c>
      <c r="F50" s="15">
        <v>0.496648290223558</v>
      </c>
      <c r="G50" s="15">
        <v>0.495519734854095</v>
      </c>
      <c r="H50" s="15">
        <v>0.382771446869239</v>
      </c>
      <c r="I50" s="15">
        <v>0.235297149470904</v>
      </c>
      <c r="J50" s="15">
        <v>0.479022820533527</v>
      </c>
      <c r="K50" s="15">
        <v>0.355584318729005</v>
      </c>
      <c r="L50" s="15">
        <v>0.126441373319881</v>
      </c>
      <c r="M50" s="15">
        <v>0.0139794301958729</v>
      </c>
      <c r="N50" s="15">
        <v>0.534875283236113</v>
      </c>
      <c r="O50" s="15">
        <v>0.52202919424797</v>
      </c>
      <c r="P50" s="15">
        <v>0.321581789172266</v>
      </c>
      <c r="Q50" s="15">
        <v>0.43673259766743</v>
      </c>
      <c r="R50" s="15">
        <v>0.245557062973419</v>
      </c>
      <c r="S50" s="15">
        <v>0.371273782823626</v>
      </c>
      <c r="T50" s="15">
        <v>0.390860583439818</v>
      </c>
      <c r="U50" s="15">
        <v>0.340250914678467</v>
      </c>
      <c r="V50" s="15">
        <v>0.288117515099107</v>
      </c>
      <c r="W50" s="15">
        <v>0.200830138692338</v>
      </c>
      <c r="X50" s="15">
        <v>0.224733584130575</v>
      </c>
      <c r="Y50" s="15">
        <v>0.125899158962905</v>
      </c>
      <c r="Z50" s="15">
        <v>0.518672082142794</v>
      </c>
      <c r="AA50" s="15">
        <v>0.355245044933565</v>
      </c>
      <c r="AB50" s="15">
        <v>0.158853250936724</v>
      </c>
      <c r="AC50" s="15">
        <v>0.231795255524714</v>
      </c>
      <c r="AD50" s="15">
        <v>0.429392481652407</v>
      </c>
      <c r="AE50" s="15">
        <v>0.528037945258422</v>
      </c>
      <c r="AF50" s="15">
        <v>0.408899170502373</v>
      </c>
      <c r="AG50" s="15">
        <v>0.395464932090235</v>
      </c>
      <c r="AH50" s="15">
        <v>0.358571780598973</v>
      </c>
      <c r="AI50" s="15">
        <v>0.393809344687048</v>
      </c>
      <c r="AJ50" s="15">
        <v>0.0862597840330782</v>
      </c>
      <c r="AK50" s="15">
        <v>0.306390578420173</v>
      </c>
      <c r="AL50" s="15">
        <v>0.42234586704142</v>
      </c>
      <c r="AM50" s="15">
        <v>0.352346965391262</v>
      </c>
      <c r="AN50" s="15">
        <v>0.300876108986621</v>
      </c>
      <c r="AO50" s="15">
        <v>0.267308231576373</v>
      </c>
      <c r="AP50" s="15"/>
      <c r="AQ50" s="15"/>
      <c r="AR50" s="15"/>
      <c r="AS50" s="15"/>
      <c r="AT50" s="15"/>
      <c r="AU50" s="15"/>
      <c r="AV50" s="15"/>
    </row>
    <row r="51" ht="14" spans="1:48">
      <c r="A51" s="22" t="s">
        <v>6</v>
      </c>
      <c r="B51" s="15" t="str">
        <v/>
      </c>
      <c r="C51" s="15">
        <v>1</v>
      </c>
      <c r="D51" s="15">
        <v>0.348351507636524</v>
      </c>
      <c r="E51" s="15">
        <v>0.089651605094035</v>
      </c>
      <c r="F51" s="15">
        <v>0.586919813325378</v>
      </c>
      <c r="G51" s="15">
        <v>0.412990159122881</v>
      </c>
      <c r="H51" s="15">
        <v>0.318817045324899</v>
      </c>
      <c r="I51" s="15">
        <v>0.152045050287944</v>
      </c>
      <c r="J51" s="15">
        <v>0.312442032862444</v>
      </c>
      <c r="K51" s="15">
        <v>0.463226205878865</v>
      </c>
      <c r="L51" s="15">
        <v>0.134548119410927</v>
      </c>
      <c r="M51" s="15">
        <v>0.178680260603161</v>
      </c>
      <c r="N51" s="15">
        <v>0.194079175191299</v>
      </c>
      <c r="O51" s="15">
        <v>0.18267949104079</v>
      </c>
      <c r="P51" s="15">
        <v>0.121137022369986</v>
      </c>
      <c r="Q51" s="15">
        <v>0.28157429019782</v>
      </c>
      <c r="R51" s="15">
        <v>0.0513015161896328</v>
      </c>
      <c r="S51" s="15">
        <v>0.0699662265408349</v>
      </c>
      <c r="T51" s="15">
        <v>0.110223064051781</v>
      </c>
      <c r="U51" s="15">
        <v>0.347836534536465</v>
      </c>
      <c r="V51" s="15">
        <v>0.180318882357823</v>
      </c>
      <c r="W51" s="15">
        <v>0.0974706104567849</v>
      </c>
      <c r="X51" s="15">
        <v>-0.00376193287663116</v>
      </c>
      <c r="Y51" s="15">
        <v>0.0185876017725827</v>
      </c>
      <c r="Z51" s="15">
        <v>0.310534833042205</v>
      </c>
      <c r="AA51" s="15">
        <v>0.231650473093899</v>
      </c>
      <c r="AB51" s="15">
        <v>0.18293042607078</v>
      </c>
      <c r="AC51" s="15">
        <v>-0.0541215945452393</v>
      </c>
      <c r="AD51" s="15">
        <v>0.485236304131698</v>
      </c>
      <c r="AE51" s="15">
        <v>0.250861861745021</v>
      </c>
      <c r="AF51" s="15">
        <v>0.446293649378975</v>
      </c>
      <c r="AG51" s="15">
        <v>0.0489822618168178</v>
      </c>
      <c r="AH51" s="15">
        <v>0.163745292621973</v>
      </c>
      <c r="AI51" s="15">
        <v>0.229607653576327</v>
      </c>
      <c r="AJ51" s="15">
        <v>0.0609494091030493</v>
      </c>
      <c r="AK51" s="15">
        <v>0.172961014555694</v>
      </c>
      <c r="AL51" s="15">
        <v>0.316599855012781</v>
      </c>
      <c r="AM51" s="15">
        <v>0.222564153703842</v>
      </c>
      <c r="AN51" s="15">
        <v>0.138908006149273</v>
      </c>
      <c r="AO51" s="15">
        <v>0.023035106284564</v>
      </c>
      <c r="AP51" s="15"/>
      <c r="AQ51" s="15"/>
      <c r="AR51" s="15"/>
      <c r="AS51" s="15"/>
      <c r="AT51" s="15"/>
      <c r="AU51" s="15"/>
      <c r="AV51" s="15"/>
    </row>
    <row r="52" ht="14" spans="1:48">
      <c r="A52" s="22" t="s">
        <v>4</v>
      </c>
      <c r="B52" s="15" t="str">
        <v/>
      </c>
      <c r="C52" s="15" t="str">
        <v/>
      </c>
      <c r="D52" s="15">
        <v>1</v>
      </c>
      <c r="E52" s="15">
        <v>0.132932539698295</v>
      </c>
      <c r="F52" s="15">
        <v>0.398171449785751</v>
      </c>
      <c r="G52" s="15">
        <v>0.166077971389235</v>
      </c>
      <c r="H52" s="15">
        <v>0.425145303500172</v>
      </c>
      <c r="I52" s="15">
        <v>0.087056906977724</v>
      </c>
      <c r="J52" s="15">
        <v>0.137335093316195</v>
      </c>
      <c r="K52" s="15">
        <v>0.300199316859607</v>
      </c>
      <c r="L52" s="15">
        <v>0.141183710131641</v>
      </c>
      <c r="M52" s="15">
        <v>0.142986619694389</v>
      </c>
      <c r="N52" s="15">
        <v>0.29829703076795</v>
      </c>
      <c r="O52" s="15">
        <v>0.0704530641563245</v>
      </c>
      <c r="P52" s="15">
        <v>0.169198143109189</v>
      </c>
      <c r="Q52" s="15">
        <v>0.254278114465897</v>
      </c>
      <c r="R52" s="15">
        <v>0.00531597265151</v>
      </c>
      <c r="S52" s="15">
        <v>0.318521366222582</v>
      </c>
      <c r="T52" s="15">
        <v>0.14432794794704</v>
      </c>
      <c r="U52" s="15">
        <v>0.246710133097984</v>
      </c>
      <c r="V52" s="15">
        <v>0.112816999028225</v>
      </c>
      <c r="W52" s="15">
        <v>0.024228477533495</v>
      </c>
      <c r="X52" s="15">
        <v>-0.0188798394432803</v>
      </c>
      <c r="Y52" s="15">
        <v>0.10844750618908</v>
      </c>
      <c r="Z52" s="15">
        <v>-0.0491629627992184</v>
      </c>
      <c r="AA52" s="15">
        <v>0.196439598334859</v>
      </c>
      <c r="AB52" s="15">
        <v>-0.0353369448128246</v>
      </c>
      <c r="AC52" s="15">
        <v>-0.139956608271426</v>
      </c>
      <c r="AD52" s="15">
        <v>0.0590789149682286</v>
      </c>
      <c r="AE52" s="15">
        <v>0.0920487957675032</v>
      </c>
      <c r="AF52" s="15">
        <v>0.0602060324019778</v>
      </c>
      <c r="AG52" s="15">
        <v>0.014648157245175</v>
      </c>
      <c r="AH52" s="15">
        <v>0.19489559712638</v>
      </c>
      <c r="AI52" s="15">
        <v>-0.0868895378386478</v>
      </c>
      <c r="AJ52" s="15">
        <v>0.00457296992815038</v>
      </c>
      <c r="AK52" s="15">
        <v>0.074187488433544</v>
      </c>
      <c r="AL52" s="15">
        <v>0.184011092445062</v>
      </c>
      <c r="AM52" s="15">
        <v>0.158652084146274</v>
      </c>
      <c r="AN52" s="15">
        <v>-0.0808084887460891</v>
      </c>
      <c r="AO52" s="15">
        <v>0.00718501202708481</v>
      </c>
      <c r="AP52" s="15"/>
      <c r="AQ52" s="15"/>
      <c r="AR52" s="15"/>
      <c r="AS52" s="15"/>
      <c r="AT52" s="15"/>
      <c r="AU52" s="15"/>
      <c r="AV52" s="15"/>
    </row>
    <row r="53" ht="14" spans="1:48">
      <c r="A53" s="22" t="s">
        <v>5</v>
      </c>
      <c r="B53" s="15" t="str">
        <v/>
      </c>
      <c r="C53" s="15" t="str">
        <v/>
      </c>
      <c r="D53" s="15" t="str">
        <v/>
      </c>
      <c r="E53" s="15">
        <v>1</v>
      </c>
      <c r="F53" s="15">
        <v>0.274887411301637</v>
      </c>
      <c r="G53" s="15">
        <v>0.114636379950292</v>
      </c>
      <c r="H53" s="15">
        <v>0.374343935057428</v>
      </c>
      <c r="I53" s="15">
        <v>0.0848351136914761</v>
      </c>
      <c r="J53" s="15">
        <v>0.341299227662104</v>
      </c>
      <c r="K53" s="15">
        <v>0.442270620032686</v>
      </c>
      <c r="L53" s="15">
        <v>0.121628223993385</v>
      </c>
      <c r="M53" s="15">
        <v>0.344522181168595</v>
      </c>
      <c r="N53" s="15">
        <v>0.328567582064384</v>
      </c>
      <c r="O53" s="15">
        <v>0.274527864149136</v>
      </c>
      <c r="P53" s="15">
        <v>0.202078989800972</v>
      </c>
      <c r="Q53" s="15">
        <v>-0.0854411203308584</v>
      </c>
      <c r="R53" s="15">
        <v>0.263426016757024</v>
      </c>
      <c r="S53" s="15">
        <v>0.171923885790059</v>
      </c>
      <c r="T53" s="15">
        <v>0.258914266883258</v>
      </c>
      <c r="U53" s="15">
        <v>0.336471320804347</v>
      </c>
      <c r="V53" s="15">
        <v>0.139720422761682</v>
      </c>
      <c r="W53" s="15">
        <v>0.123365422192224</v>
      </c>
      <c r="X53" s="15">
        <v>0.281556836704438</v>
      </c>
      <c r="Y53" s="15">
        <v>0.273940209191377</v>
      </c>
      <c r="Z53" s="15">
        <v>0.0141702829961511</v>
      </c>
      <c r="AA53" s="15">
        <v>0.295177742990371</v>
      </c>
      <c r="AB53" s="15">
        <v>0.300609393283147</v>
      </c>
      <c r="AC53" s="15">
        <v>0.207527201854266</v>
      </c>
      <c r="AD53" s="15">
        <v>-0.119837755618685</v>
      </c>
      <c r="AE53" s="15">
        <v>0.0262728923046345</v>
      </c>
      <c r="AF53" s="15">
        <v>0.00827383217069708</v>
      </c>
      <c r="AG53" s="15">
        <v>0.057737132153812</v>
      </c>
      <c r="AH53" s="15">
        <v>0.158104261970765</v>
      </c>
      <c r="AI53" s="15">
        <v>0.255454725498695</v>
      </c>
      <c r="AJ53" s="15">
        <v>0.305531629847671</v>
      </c>
      <c r="AK53" s="15">
        <v>0.178657314514985</v>
      </c>
      <c r="AL53" s="15">
        <v>0.364381924124168</v>
      </c>
      <c r="AM53" s="15">
        <v>0.192399357112577</v>
      </c>
      <c r="AN53" s="15">
        <v>0.145863374739653</v>
      </c>
      <c r="AO53" s="15">
        <v>0.0903316795575613</v>
      </c>
      <c r="AP53" s="15"/>
      <c r="AQ53" s="15"/>
      <c r="AR53" s="15"/>
      <c r="AS53" s="15"/>
      <c r="AT53" s="15"/>
      <c r="AU53" s="15"/>
      <c r="AV53" s="15"/>
    </row>
    <row r="54" ht="14" spans="1:48">
      <c r="A54" s="22" t="s">
        <v>7</v>
      </c>
      <c r="B54" s="15" t="str">
        <v/>
      </c>
      <c r="C54" s="15" t="str">
        <v/>
      </c>
      <c r="D54" s="15" t="str">
        <v/>
      </c>
      <c r="E54" s="15" t="str">
        <v/>
      </c>
      <c r="F54" s="15">
        <v>1</v>
      </c>
      <c r="G54" s="15">
        <v>0.457778561756723</v>
      </c>
      <c r="H54" s="15">
        <v>0.375077992933712</v>
      </c>
      <c r="I54" s="15">
        <v>0.134047660796349</v>
      </c>
      <c r="J54" s="15">
        <v>0.46142781602952</v>
      </c>
      <c r="K54" s="15">
        <v>0.480271927971328</v>
      </c>
      <c r="L54" s="15">
        <v>0.193682580526971</v>
      </c>
      <c r="M54" s="15">
        <v>0.222926859086322</v>
      </c>
      <c r="N54" s="15">
        <v>0.333623296216814</v>
      </c>
      <c r="O54" s="15">
        <v>0.324823378833869</v>
      </c>
      <c r="P54" s="15">
        <v>0.151515727212459</v>
      </c>
      <c r="Q54" s="15">
        <v>0.286217764435784</v>
      </c>
      <c r="R54" s="15">
        <v>0.145515805365818</v>
      </c>
      <c r="S54" s="15">
        <v>0.210136577670528</v>
      </c>
      <c r="T54" s="15">
        <v>0.321305848811798</v>
      </c>
      <c r="U54" s="15">
        <v>0.465707933436017</v>
      </c>
      <c r="V54" s="15">
        <v>0.105166527578269</v>
      </c>
      <c r="W54" s="15">
        <v>0.0417942851992363</v>
      </c>
      <c r="X54" s="15">
        <v>0.0851303811355442</v>
      </c>
      <c r="Y54" s="15">
        <v>0.0536388602398554</v>
      </c>
      <c r="Z54" s="15">
        <v>0.168622234919116</v>
      </c>
      <c r="AA54" s="15">
        <v>0.311162688352375</v>
      </c>
      <c r="AB54" s="15">
        <v>0.199832751160258</v>
      </c>
      <c r="AC54" s="15">
        <v>-0.0989935786918228</v>
      </c>
      <c r="AD54" s="15">
        <v>0.317133222627256</v>
      </c>
      <c r="AE54" s="15">
        <v>0.155414185768144</v>
      </c>
      <c r="AF54" s="15">
        <v>0.310221924526356</v>
      </c>
      <c r="AG54" s="15">
        <v>0.192731133494292</v>
      </c>
      <c r="AH54" s="15">
        <v>0.299242840570096</v>
      </c>
      <c r="AI54" s="15">
        <v>0.308865964300273</v>
      </c>
      <c r="AJ54" s="15">
        <v>0.2901935981696</v>
      </c>
      <c r="AK54" s="15">
        <v>0.249186680080981</v>
      </c>
      <c r="AL54" s="15">
        <v>0.339230101030256</v>
      </c>
      <c r="AM54" s="15">
        <v>0.244824638846568</v>
      </c>
      <c r="AN54" s="15">
        <v>0.12990446479674</v>
      </c>
      <c r="AO54" s="15">
        <v>0.0291997165432548</v>
      </c>
      <c r="AP54" s="15"/>
      <c r="AQ54" s="15"/>
      <c r="AR54" s="15"/>
      <c r="AS54" s="15"/>
      <c r="AT54" s="15"/>
      <c r="AU54" s="15"/>
      <c r="AV54" s="15"/>
    </row>
    <row r="55" ht="14" spans="1:48">
      <c r="A55" s="22" t="s">
        <v>9</v>
      </c>
      <c r="B55" s="15" t="str">
        <v/>
      </c>
      <c r="C55" s="15" t="str">
        <v/>
      </c>
      <c r="D55" s="15" t="str">
        <v/>
      </c>
      <c r="E55" s="15" t="str">
        <v/>
      </c>
      <c r="F55" s="15" t="str">
        <v/>
      </c>
      <c r="G55" s="15">
        <v>1</v>
      </c>
      <c r="H55" s="15">
        <v>0.470006960945817</v>
      </c>
      <c r="I55" s="15">
        <v>0.454261319141175</v>
      </c>
      <c r="J55" s="15">
        <v>0.37886177649438</v>
      </c>
      <c r="K55" s="15">
        <v>0.302612732663887</v>
      </c>
      <c r="L55" s="15">
        <v>0.220450343142493</v>
      </c>
      <c r="M55" s="15">
        <v>0.234766701155121</v>
      </c>
      <c r="N55" s="15">
        <v>0.517737748752411</v>
      </c>
      <c r="O55" s="15">
        <v>0.379872450755908</v>
      </c>
      <c r="P55" s="15">
        <v>0.0892394049717345</v>
      </c>
      <c r="Q55" s="15">
        <v>0.291362958575202</v>
      </c>
      <c r="R55" s="15">
        <v>0.340054025606079</v>
      </c>
      <c r="S55" s="15">
        <v>0.00687356886285055</v>
      </c>
      <c r="T55" s="15">
        <v>0.268476828999818</v>
      </c>
      <c r="U55" s="15">
        <v>0.415845701070496</v>
      </c>
      <c r="V55" s="15">
        <v>0.470707654348618</v>
      </c>
      <c r="W55" s="15">
        <v>0.464367330605131</v>
      </c>
      <c r="X55" s="15">
        <v>0.0505461489435501</v>
      </c>
      <c r="Y55" s="15">
        <v>0.153317702450781</v>
      </c>
      <c r="Z55" s="15">
        <v>0.369982431831571</v>
      </c>
      <c r="AA55" s="15">
        <v>0.22181400015859</v>
      </c>
      <c r="AB55" s="15">
        <v>0.269853446023033</v>
      </c>
      <c r="AC55" s="15">
        <v>0.0767335037711592</v>
      </c>
      <c r="AD55" s="15">
        <v>0.26926898395847</v>
      </c>
      <c r="AE55" s="15">
        <v>0.309056142146084</v>
      </c>
      <c r="AF55" s="15">
        <v>0.378656608039893</v>
      </c>
      <c r="AG55" s="15">
        <v>0.241965885343205</v>
      </c>
      <c r="AH55" s="15">
        <v>0.299844175531415</v>
      </c>
      <c r="AI55" s="15">
        <v>0.365494474191939</v>
      </c>
      <c r="AJ55" s="15">
        <v>0.140744281324714</v>
      </c>
      <c r="AK55" s="15">
        <v>0.126323496811218</v>
      </c>
      <c r="AL55" s="15">
        <v>0.233723365078789</v>
      </c>
      <c r="AM55" s="15">
        <v>0.24613442509162</v>
      </c>
      <c r="AN55" s="15">
        <v>0.289374891605278</v>
      </c>
      <c r="AO55" s="15">
        <v>0.230140004799302</v>
      </c>
      <c r="AP55" s="15"/>
      <c r="AQ55" s="15"/>
      <c r="AR55" s="15"/>
      <c r="AS55" s="15"/>
      <c r="AT55" s="15"/>
      <c r="AU55" s="15"/>
      <c r="AV55" s="15"/>
    </row>
    <row r="56" ht="14" spans="1:48">
      <c r="A56" s="22" t="s">
        <v>10</v>
      </c>
      <c r="B56" s="15" t="str">
        <v/>
      </c>
      <c r="C56" s="15" t="str">
        <v/>
      </c>
      <c r="D56" s="15" t="str">
        <v/>
      </c>
      <c r="E56" s="15" t="str">
        <v/>
      </c>
      <c r="F56" s="15" t="str">
        <v/>
      </c>
      <c r="G56" s="15" t="str">
        <v/>
      </c>
      <c r="H56" s="15">
        <v>1</v>
      </c>
      <c r="I56" s="15">
        <v>0.337830646279411</v>
      </c>
      <c r="J56" s="15">
        <v>0.231890897072234</v>
      </c>
      <c r="K56" s="15">
        <v>0.274430878706717</v>
      </c>
      <c r="L56" s="15">
        <v>0.16460820497834</v>
      </c>
      <c r="M56" s="15">
        <v>0.302593297356409</v>
      </c>
      <c r="N56" s="15">
        <v>0.476473383223574</v>
      </c>
      <c r="O56" s="15">
        <v>0.313464357227236</v>
      </c>
      <c r="P56" s="15">
        <v>0.402457109918431</v>
      </c>
      <c r="Q56" s="15">
        <v>0.197413952847301</v>
      </c>
      <c r="R56" s="15">
        <v>0.22584115048819</v>
      </c>
      <c r="S56" s="15">
        <v>0.182060194736999</v>
      </c>
      <c r="T56" s="15">
        <v>0.338685503474232</v>
      </c>
      <c r="U56" s="15">
        <v>0.303534803041862</v>
      </c>
      <c r="V56" s="15">
        <v>0.272187426983576</v>
      </c>
      <c r="W56" s="15">
        <v>0.316667097311049</v>
      </c>
      <c r="X56" s="15">
        <v>0.184181700802564</v>
      </c>
      <c r="Y56" s="15">
        <v>0.270978325056968</v>
      </c>
      <c r="Z56" s="15">
        <v>0.0088045627280972</v>
      </c>
      <c r="AA56" s="15">
        <v>0.31315728263658</v>
      </c>
      <c r="AB56" s="15">
        <v>0.202817314693211</v>
      </c>
      <c r="AC56" s="15">
        <v>0.0215825927717935</v>
      </c>
      <c r="AD56" s="15">
        <v>0.0200213766445975</v>
      </c>
      <c r="AE56" s="15">
        <v>0.152483231899921</v>
      </c>
      <c r="AF56" s="15">
        <v>0.115593052342254</v>
      </c>
      <c r="AG56" s="15">
        <v>0.153843098022818</v>
      </c>
      <c r="AH56" s="15">
        <v>0.107262245931359</v>
      </c>
      <c r="AI56" s="15">
        <v>0.0847003499795051</v>
      </c>
      <c r="AJ56" s="15">
        <v>0.271832931842023</v>
      </c>
      <c r="AK56" s="15">
        <v>0.1046357832568</v>
      </c>
      <c r="AL56" s="15">
        <v>0.302777170182835</v>
      </c>
      <c r="AM56" s="15">
        <v>0.0717229648278766</v>
      </c>
      <c r="AN56" s="15">
        <v>0.198858875542347</v>
      </c>
      <c r="AO56" s="15">
        <v>0.186647848850506</v>
      </c>
      <c r="AP56" s="15"/>
      <c r="AQ56" s="15"/>
      <c r="AR56" s="15"/>
      <c r="AS56" s="15"/>
      <c r="AT56" s="15"/>
      <c r="AU56" s="15"/>
      <c r="AV56" s="15"/>
    </row>
    <row r="57" ht="14" spans="1:48">
      <c r="A57" s="22" t="s">
        <v>11</v>
      </c>
      <c r="B57" s="15" t="str">
        <v/>
      </c>
      <c r="C57" s="15" t="str">
        <v/>
      </c>
      <c r="D57" s="15" t="str">
        <v/>
      </c>
      <c r="E57" s="15" t="str">
        <v/>
      </c>
      <c r="F57" s="15" t="str">
        <v/>
      </c>
      <c r="G57" s="15" t="str">
        <v/>
      </c>
      <c r="H57" s="15" t="str">
        <v/>
      </c>
      <c r="I57" s="15">
        <v>1</v>
      </c>
      <c r="J57" s="15">
        <v>0.289909162801661</v>
      </c>
      <c r="K57" s="15">
        <v>0.0625271350895632</v>
      </c>
      <c r="L57" s="15">
        <v>0.0414223401780245</v>
      </c>
      <c r="M57" s="15">
        <v>0.361949205793696</v>
      </c>
      <c r="N57" s="15">
        <v>0.434970893045972</v>
      </c>
      <c r="O57" s="15">
        <v>0.37443773625955</v>
      </c>
      <c r="P57" s="15">
        <v>0.260949606191943</v>
      </c>
      <c r="Q57" s="15">
        <v>0.0733346742857482</v>
      </c>
      <c r="R57" s="15">
        <v>0.359353675057918</v>
      </c>
      <c r="S57" s="15">
        <v>-0.103409536786606</v>
      </c>
      <c r="T57" s="15">
        <v>0.193713536309226</v>
      </c>
      <c r="U57" s="15">
        <v>0.554026779815842</v>
      </c>
      <c r="V57" s="15">
        <v>0.385595911726797</v>
      </c>
      <c r="W57" s="15">
        <v>0.409999279368977</v>
      </c>
      <c r="X57" s="15">
        <v>0.329721049990109</v>
      </c>
      <c r="Y57" s="15">
        <v>0.189120248044089</v>
      </c>
      <c r="Z57" s="15">
        <v>0.166098174843662</v>
      </c>
      <c r="AA57" s="15">
        <v>0.339340970227079</v>
      </c>
      <c r="AB57" s="15">
        <v>0.254602024038484</v>
      </c>
      <c r="AC57" s="15">
        <v>0.125811114292344</v>
      </c>
      <c r="AD57" s="15">
        <v>0.0984774034522609</v>
      </c>
      <c r="AE57" s="15">
        <v>0.305529154719748</v>
      </c>
      <c r="AF57" s="15">
        <v>0.370178072293418</v>
      </c>
      <c r="AG57" s="15">
        <v>0.304876999230563</v>
      </c>
      <c r="AH57" s="15">
        <v>0.210771534062367</v>
      </c>
      <c r="AI57" s="15">
        <v>0.300151143537085</v>
      </c>
      <c r="AJ57" s="15">
        <v>0.135373239896701</v>
      </c>
      <c r="AK57" s="15">
        <v>0.113637680611871</v>
      </c>
      <c r="AL57" s="15">
        <v>0.223774217742387</v>
      </c>
      <c r="AM57" s="15">
        <v>0.0970030922098519</v>
      </c>
      <c r="AN57" s="15">
        <v>0.485226345253533</v>
      </c>
      <c r="AO57" s="15">
        <v>0.144202107142044</v>
      </c>
      <c r="AP57" s="15"/>
      <c r="AQ57" s="15"/>
      <c r="AR57" s="15"/>
      <c r="AS57" s="15"/>
      <c r="AT57" s="15"/>
      <c r="AU57" s="15"/>
      <c r="AV57" s="15"/>
    </row>
    <row r="58" ht="14" spans="1:48">
      <c r="A58" s="22" t="s">
        <v>16</v>
      </c>
      <c r="B58" s="15" t="str">
        <v/>
      </c>
      <c r="C58" s="15" t="str">
        <v/>
      </c>
      <c r="D58" s="15" t="str">
        <v/>
      </c>
      <c r="E58" s="15" t="str">
        <v/>
      </c>
      <c r="F58" s="15" t="str">
        <v/>
      </c>
      <c r="G58" s="15" t="str">
        <v/>
      </c>
      <c r="H58" s="15" t="str">
        <v/>
      </c>
      <c r="I58" s="15" t="str">
        <v/>
      </c>
      <c r="J58" s="15">
        <v>1</v>
      </c>
      <c r="K58" s="15">
        <v>0.556943982128441</v>
      </c>
      <c r="L58" s="15">
        <v>0.157426083138473</v>
      </c>
      <c r="M58" s="15">
        <v>0.0786600140012729</v>
      </c>
      <c r="N58" s="15">
        <v>0.340942072556459</v>
      </c>
      <c r="O58" s="15">
        <v>0.402019674245689</v>
      </c>
      <c r="P58" s="15">
        <v>0.2512523836213</v>
      </c>
      <c r="Q58" s="15">
        <v>0.132337271775502</v>
      </c>
      <c r="R58" s="15">
        <v>0.186259338980228</v>
      </c>
      <c r="S58" s="15">
        <v>0.136765616739679</v>
      </c>
      <c r="T58" s="15">
        <v>0.270618917272923</v>
      </c>
      <c r="U58" s="15">
        <v>0.399388812147916</v>
      </c>
      <c r="V58" s="15">
        <v>0.240473011412529</v>
      </c>
      <c r="W58" s="15">
        <v>0.193711049135815</v>
      </c>
      <c r="X58" s="15">
        <v>0.264695165919749</v>
      </c>
      <c r="Y58" s="15">
        <v>0.0358122786405248</v>
      </c>
      <c r="Z58" s="15">
        <v>0.312308047563578</v>
      </c>
      <c r="AA58" s="15">
        <v>0.251161368018084</v>
      </c>
      <c r="AB58" s="15">
        <v>0.361195510129077</v>
      </c>
      <c r="AC58" s="15">
        <v>0.176363287327501</v>
      </c>
      <c r="AD58" s="15">
        <v>0.201958216436334</v>
      </c>
      <c r="AE58" s="15">
        <v>0.261513745109733</v>
      </c>
      <c r="AF58" s="15">
        <v>0.233467477333576</v>
      </c>
      <c r="AG58" s="15">
        <v>0.515977352125516</v>
      </c>
      <c r="AH58" s="15">
        <v>0.250112675157615</v>
      </c>
      <c r="AI58" s="15">
        <v>0.43492911030046</v>
      </c>
      <c r="AJ58" s="15">
        <v>0.324605845899935</v>
      </c>
      <c r="AK58" s="15">
        <v>0.393317497767357</v>
      </c>
      <c r="AL58" s="15">
        <v>0.391274288898825</v>
      </c>
      <c r="AM58" s="15">
        <v>0.236355369261957</v>
      </c>
      <c r="AN58" s="15">
        <v>0.375491583557922</v>
      </c>
      <c r="AO58" s="15">
        <v>0.140476482536131</v>
      </c>
      <c r="AP58" s="15"/>
      <c r="AQ58" s="15"/>
      <c r="AR58" s="15"/>
      <c r="AS58" s="15"/>
      <c r="AT58" s="15"/>
      <c r="AU58" s="15"/>
      <c r="AV58" s="15"/>
    </row>
    <row r="59" ht="14" spans="1:48">
      <c r="A59" s="22" t="s">
        <v>17</v>
      </c>
      <c r="B59" s="15" t="str">
        <v/>
      </c>
      <c r="C59" s="15" t="str">
        <v/>
      </c>
      <c r="D59" s="15" t="str">
        <v/>
      </c>
      <c r="E59" s="15" t="str">
        <v/>
      </c>
      <c r="F59" s="15" t="str">
        <v/>
      </c>
      <c r="G59" s="15" t="str">
        <v/>
      </c>
      <c r="H59" s="15" t="str">
        <v/>
      </c>
      <c r="I59" s="15" t="str">
        <v/>
      </c>
      <c r="J59" s="15" t="str">
        <v/>
      </c>
      <c r="K59" s="15">
        <v>1</v>
      </c>
      <c r="L59" s="15">
        <v>0.136640472249409</v>
      </c>
      <c r="M59" s="15">
        <v>0.11084244715495</v>
      </c>
      <c r="N59" s="15">
        <v>0.227007949175986</v>
      </c>
      <c r="O59" s="15">
        <v>0.223915296918249</v>
      </c>
      <c r="P59" s="15">
        <v>0.283719521298317</v>
      </c>
      <c r="Q59" s="15">
        <v>0.335890574110209</v>
      </c>
      <c r="R59" s="15">
        <v>0.0825564874680545</v>
      </c>
      <c r="S59" s="15">
        <v>0.0620515744157773</v>
      </c>
      <c r="T59" s="15">
        <v>0.147577966484008</v>
      </c>
      <c r="U59" s="15">
        <v>0.427600332599719</v>
      </c>
      <c r="V59" s="15">
        <v>0.0968903952934067</v>
      </c>
      <c r="W59" s="15">
        <v>-0.029952358525165</v>
      </c>
      <c r="X59" s="15">
        <v>0.205818609454633</v>
      </c>
      <c r="Y59" s="15">
        <v>-0.0354032857265172</v>
      </c>
      <c r="Z59" s="15">
        <v>0.175937586705225</v>
      </c>
      <c r="AA59" s="15">
        <v>0.287938652406268</v>
      </c>
      <c r="AB59" s="15">
        <v>0.245331639537019</v>
      </c>
      <c r="AC59" s="15">
        <v>0.106481818149341</v>
      </c>
      <c r="AD59" s="15">
        <v>0.198303087639005</v>
      </c>
      <c r="AE59" s="15">
        <v>0.0848568321890676</v>
      </c>
      <c r="AF59" s="15">
        <v>0.255650374585245</v>
      </c>
      <c r="AG59" s="15">
        <v>0.336144135841323</v>
      </c>
      <c r="AH59" s="15">
        <v>0.374894297962222</v>
      </c>
      <c r="AI59" s="15">
        <v>0.309077075710228</v>
      </c>
      <c r="AJ59" s="15">
        <v>0.404168526699124</v>
      </c>
      <c r="AK59" s="15">
        <v>0.409304467481361</v>
      </c>
      <c r="AL59" s="15">
        <v>0.392717448874199</v>
      </c>
      <c r="AM59" s="15">
        <v>0.135307101696036</v>
      </c>
      <c r="AN59" s="15">
        <v>0.125496665313435</v>
      </c>
      <c r="AO59" s="15">
        <v>0.281727337307227</v>
      </c>
      <c r="AP59" s="15"/>
      <c r="AQ59" s="15"/>
      <c r="AR59" s="15"/>
      <c r="AS59" s="15"/>
      <c r="AT59" s="15"/>
      <c r="AU59" s="15"/>
      <c r="AV59" s="15"/>
    </row>
    <row r="60" ht="14" spans="1:48">
      <c r="A60" s="22" t="s">
        <v>19</v>
      </c>
      <c r="B60" s="15" t="str">
        <v/>
      </c>
      <c r="C60" s="15" t="str">
        <v/>
      </c>
      <c r="D60" s="15" t="str">
        <v/>
      </c>
      <c r="E60" s="15" t="str">
        <v/>
      </c>
      <c r="F60" s="15" t="str">
        <v/>
      </c>
      <c r="G60" s="15" t="str">
        <v/>
      </c>
      <c r="H60" s="15" t="str">
        <v/>
      </c>
      <c r="I60" s="15" t="str">
        <v/>
      </c>
      <c r="J60" s="15" t="str">
        <v/>
      </c>
      <c r="K60" s="15" t="str">
        <v/>
      </c>
      <c r="L60" s="15">
        <v>1</v>
      </c>
      <c r="M60" s="15">
        <v>0.138827060087346</v>
      </c>
      <c r="N60" s="15">
        <v>0.0813790484816675</v>
      </c>
      <c r="O60" s="15">
        <v>0.0786895941431192</v>
      </c>
      <c r="P60" s="15">
        <v>0.227743273815612</v>
      </c>
      <c r="Q60" s="15">
        <v>0.0895693899808117</v>
      </c>
      <c r="R60" s="15">
        <v>0.362136736224562</v>
      </c>
      <c r="S60" s="15">
        <v>-0.127691243484569</v>
      </c>
      <c r="T60" s="15">
        <v>0.0441066918293752</v>
      </c>
      <c r="U60" s="15">
        <v>0.277199919004143</v>
      </c>
      <c r="V60" s="15">
        <v>0.271947722666295</v>
      </c>
      <c r="W60" s="15">
        <v>0.155823338602731</v>
      </c>
      <c r="X60" s="15">
        <v>-0.0506109658408789</v>
      </c>
      <c r="Y60" s="15">
        <v>0.211064464526419</v>
      </c>
      <c r="Z60" s="15">
        <v>-0.251172586791176</v>
      </c>
      <c r="AA60" s="15">
        <v>0.110618829459745</v>
      </c>
      <c r="AB60" s="15">
        <v>0.419957648938808</v>
      </c>
      <c r="AC60" s="15">
        <v>-0.0877161765719195</v>
      </c>
      <c r="AD60" s="15">
        <v>0.0749725885510931</v>
      </c>
      <c r="AE60" s="15">
        <v>0.193632625705682</v>
      </c>
      <c r="AF60" s="15">
        <v>0.0372734774789909</v>
      </c>
      <c r="AG60" s="15">
        <v>0.0694220287821365</v>
      </c>
      <c r="AH60" s="15">
        <v>0.150846532651757</v>
      </c>
      <c r="AI60" s="15">
        <v>0.0793438764140969</v>
      </c>
      <c r="AJ60" s="15">
        <v>-0.0602751033386141</v>
      </c>
      <c r="AK60" s="15">
        <v>-0.0397355800992267</v>
      </c>
      <c r="AL60" s="15">
        <v>-0.0636854535662255</v>
      </c>
      <c r="AM60" s="15">
        <v>0.0522964094390156</v>
      </c>
      <c r="AN60" s="15">
        <v>0.150570408197069</v>
      </c>
      <c r="AO60" s="15">
        <v>-0.224661135081124</v>
      </c>
      <c r="AP60" s="15"/>
      <c r="AQ60" s="15"/>
      <c r="AR60" s="15"/>
      <c r="AS60" s="15"/>
      <c r="AT60" s="15"/>
      <c r="AU60" s="15"/>
      <c r="AV60" s="15"/>
    </row>
    <row r="61" ht="14" spans="1:48">
      <c r="A61" s="22" t="s">
        <v>28</v>
      </c>
      <c r="B61" s="15" t="str">
        <v/>
      </c>
      <c r="C61" s="15" t="str">
        <v/>
      </c>
      <c r="D61" s="15" t="str">
        <v/>
      </c>
      <c r="E61" s="15" t="str">
        <v/>
      </c>
      <c r="F61" s="15" t="str">
        <v/>
      </c>
      <c r="G61" s="15" t="str">
        <v/>
      </c>
      <c r="H61" s="15" t="str">
        <v/>
      </c>
      <c r="I61" s="15" t="str">
        <v/>
      </c>
      <c r="J61" s="15" t="str">
        <v/>
      </c>
      <c r="K61" s="15" t="str">
        <v/>
      </c>
      <c r="L61" s="15" t="str">
        <v/>
      </c>
      <c r="M61" s="15">
        <v>1</v>
      </c>
      <c r="N61" s="15">
        <v>0.321463738320222</v>
      </c>
      <c r="O61" s="15">
        <v>0.0674933952283278</v>
      </c>
      <c r="P61" s="15">
        <v>0.146270953965366</v>
      </c>
      <c r="Q61" s="15">
        <v>-0.163496203172796</v>
      </c>
      <c r="R61" s="15">
        <v>0.191995925592963</v>
      </c>
      <c r="S61" s="15">
        <v>-0.0787787311655681</v>
      </c>
      <c r="T61" s="15">
        <v>0.128745152873675</v>
      </c>
      <c r="U61" s="15">
        <v>0.242230341730378</v>
      </c>
      <c r="V61" s="15">
        <v>0.123759455276186</v>
      </c>
      <c r="W61" s="15">
        <v>0.155645411797628</v>
      </c>
      <c r="X61" s="15">
        <v>0.0106483775527987</v>
      </c>
      <c r="Y61" s="15">
        <v>0.116746020106977</v>
      </c>
      <c r="Z61" s="15">
        <v>-0.016906067688752</v>
      </c>
      <c r="AA61" s="15">
        <v>0.173831252428039</v>
      </c>
      <c r="AB61" s="15">
        <v>0.0435823050489304</v>
      </c>
      <c r="AC61" s="15">
        <v>-0.097154818578405</v>
      </c>
      <c r="AD61" s="15">
        <v>0.0854342477823298</v>
      </c>
      <c r="AE61" s="15">
        <v>-0.022441857022618</v>
      </c>
      <c r="AF61" s="15">
        <v>0.165047068515083</v>
      </c>
      <c r="AG61" s="15">
        <v>-0.0618445232798032</v>
      </c>
      <c r="AH61" s="15">
        <v>0.0738430356063092</v>
      </c>
      <c r="AI61" s="15">
        <v>0.040302426848628</v>
      </c>
      <c r="AJ61" s="15">
        <v>-0.0194302692882931</v>
      </c>
      <c r="AK61" s="15">
        <v>0.0232117857653506</v>
      </c>
      <c r="AL61" s="15">
        <v>0.0823550893994666</v>
      </c>
      <c r="AM61" s="15">
        <v>0.0650416321566677</v>
      </c>
      <c r="AN61" s="15">
        <v>0.0824119158815561</v>
      </c>
      <c r="AO61" s="15">
        <v>0.00575939336534286</v>
      </c>
      <c r="AP61" s="15"/>
      <c r="AQ61" s="15"/>
      <c r="AR61" s="15"/>
      <c r="AS61" s="15"/>
      <c r="AT61" s="15"/>
      <c r="AU61" s="15"/>
      <c r="AV61" s="15"/>
    </row>
    <row r="62" ht="14" spans="1:48">
      <c r="A62" s="22" t="s">
        <v>30</v>
      </c>
      <c r="B62" s="15" t="str">
        <v/>
      </c>
      <c r="C62" s="15" t="str">
        <v/>
      </c>
      <c r="D62" s="15" t="str">
        <v/>
      </c>
      <c r="E62" s="15" t="str">
        <v/>
      </c>
      <c r="F62" s="15" t="str">
        <v/>
      </c>
      <c r="G62" s="15" t="str">
        <v/>
      </c>
      <c r="H62" s="15" t="str">
        <v/>
      </c>
      <c r="I62" s="15" t="str">
        <v/>
      </c>
      <c r="J62" s="15" t="str">
        <v/>
      </c>
      <c r="K62" s="15" t="str">
        <v/>
      </c>
      <c r="L62" s="15" t="str">
        <v/>
      </c>
      <c r="M62" s="15" t="str">
        <v/>
      </c>
      <c r="N62" s="15">
        <v>1</v>
      </c>
      <c r="O62" s="15">
        <v>0.489467894369096</v>
      </c>
      <c r="P62" s="15">
        <v>0.465871334456017</v>
      </c>
      <c r="Q62" s="15">
        <v>0.23998467062241</v>
      </c>
      <c r="R62" s="15">
        <v>0.574552245326856</v>
      </c>
      <c r="S62" s="15">
        <v>0.399563080370847</v>
      </c>
      <c r="T62" s="15">
        <v>0.488586085098123</v>
      </c>
      <c r="U62" s="15">
        <v>0.435344368446351</v>
      </c>
      <c r="V62" s="15">
        <v>0.309332062362572</v>
      </c>
      <c r="W62" s="15">
        <v>0.588263782759939</v>
      </c>
      <c r="X62" s="15">
        <v>0.446796668685268</v>
      </c>
      <c r="Y62" s="15">
        <v>0.306701063443992</v>
      </c>
      <c r="Z62" s="15">
        <v>0.382268486311062</v>
      </c>
      <c r="AA62" s="15">
        <v>0.395116158018315</v>
      </c>
      <c r="AB62" s="15">
        <v>0.150317351365679</v>
      </c>
      <c r="AC62" s="15">
        <v>0.126822552969613</v>
      </c>
      <c r="AD62" s="15">
        <v>0.188400237282619</v>
      </c>
      <c r="AE62" s="15">
        <v>0.31533034626614</v>
      </c>
      <c r="AF62" s="15">
        <v>0.233893783426109</v>
      </c>
      <c r="AG62" s="15">
        <v>0.26931775659306</v>
      </c>
      <c r="AH62" s="15">
        <v>0.208284319265354</v>
      </c>
      <c r="AI62" s="15">
        <v>0.400170993543576</v>
      </c>
      <c r="AJ62" s="15">
        <v>0.239998585634648</v>
      </c>
      <c r="AK62" s="15">
        <v>0.202578530494421</v>
      </c>
      <c r="AL62" s="15">
        <v>0.353244921663908</v>
      </c>
      <c r="AM62" s="15">
        <v>0.410981078661617</v>
      </c>
      <c r="AN62" s="15">
        <v>0.425642851296742</v>
      </c>
      <c r="AO62" s="15">
        <v>0.178319495324594</v>
      </c>
      <c r="AP62" s="15"/>
      <c r="AQ62" s="15"/>
      <c r="AR62" s="15"/>
      <c r="AS62" s="15"/>
      <c r="AT62" s="15"/>
      <c r="AU62" s="15"/>
      <c r="AV62" s="15"/>
    </row>
    <row r="63" ht="14" spans="1:48">
      <c r="A63" s="22" t="s">
        <v>32</v>
      </c>
      <c r="B63" s="15" t="str">
        <v/>
      </c>
      <c r="C63" s="15" t="str">
        <v/>
      </c>
      <c r="D63" s="15" t="str">
        <v/>
      </c>
      <c r="E63" s="15" t="str">
        <v/>
      </c>
      <c r="F63" s="15" t="str">
        <v/>
      </c>
      <c r="G63" s="15" t="str">
        <v/>
      </c>
      <c r="H63" s="15" t="str">
        <v/>
      </c>
      <c r="I63" s="15" t="str">
        <v/>
      </c>
      <c r="J63" s="15" t="str">
        <v/>
      </c>
      <c r="K63" s="15" t="str">
        <v/>
      </c>
      <c r="L63" s="15" t="str">
        <v/>
      </c>
      <c r="M63" s="15" t="str">
        <v/>
      </c>
      <c r="N63" s="15" t="str">
        <v/>
      </c>
      <c r="O63" s="15">
        <v>1</v>
      </c>
      <c r="P63" s="15">
        <v>0.454523393778941</v>
      </c>
      <c r="Q63" s="15">
        <v>0.229814120544142</v>
      </c>
      <c r="R63" s="15">
        <v>0.36474279522667</v>
      </c>
      <c r="S63" s="15">
        <v>0.229310614924474</v>
      </c>
      <c r="T63" s="15">
        <v>0.475599911078913</v>
      </c>
      <c r="U63" s="15">
        <v>0.347486843835588</v>
      </c>
      <c r="V63" s="15">
        <v>0.32972903334946</v>
      </c>
      <c r="W63" s="15">
        <v>0.373417367968426</v>
      </c>
      <c r="X63" s="15">
        <v>0.432126926626049</v>
      </c>
      <c r="Y63" s="15">
        <v>0.108171935281319</v>
      </c>
      <c r="Z63" s="15">
        <v>0.331839174885205</v>
      </c>
      <c r="AA63" s="15">
        <v>0.45574177970844</v>
      </c>
      <c r="AB63" s="15">
        <v>0.238446412605473</v>
      </c>
      <c r="AC63" s="15">
        <v>0.257345876064493</v>
      </c>
      <c r="AD63" s="15">
        <v>0.231873007575533</v>
      </c>
      <c r="AE63" s="15">
        <v>0.484024843236864</v>
      </c>
      <c r="AF63" s="15">
        <v>0.181952840834666</v>
      </c>
      <c r="AG63" s="15">
        <v>0.32709683476578</v>
      </c>
      <c r="AH63" s="15">
        <v>0.197904971681711</v>
      </c>
      <c r="AI63" s="15">
        <v>0.46505397069438</v>
      </c>
      <c r="AJ63" s="15">
        <v>0.319064726465107</v>
      </c>
      <c r="AK63" s="15">
        <v>0.366009467198526</v>
      </c>
      <c r="AL63" s="15">
        <v>0.263414487468207</v>
      </c>
      <c r="AM63" s="15">
        <v>0.13944683872824</v>
      </c>
      <c r="AN63" s="15">
        <v>0.473423924346073</v>
      </c>
      <c r="AO63" s="15">
        <v>0.120040412256344</v>
      </c>
      <c r="AP63" s="15"/>
      <c r="AQ63" s="15"/>
      <c r="AR63" s="15"/>
      <c r="AS63" s="15"/>
      <c r="AT63" s="15"/>
      <c r="AU63" s="15"/>
      <c r="AV63" s="15"/>
    </row>
    <row r="64" ht="14" spans="1:48">
      <c r="A64" s="22" t="s">
        <v>34</v>
      </c>
      <c r="B64" s="15" t="str">
        <v/>
      </c>
      <c r="C64" s="15" t="str">
        <v/>
      </c>
      <c r="D64" s="15" t="str">
        <v/>
      </c>
      <c r="E64" s="15" t="str">
        <v/>
      </c>
      <c r="F64" s="15" t="str">
        <v/>
      </c>
      <c r="G64" s="15" t="str">
        <v/>
      </c>
      <c r="H64" s="15" t="str">
        <v/>
      </c>
      <c r="I64" s="15" t="str">
        <v/>
      </c>
      <c r="J64" s="15" t="str">
        <v/>
      </c>
      <c r="K64" s="15" t="str">
        <v/>
      </c>
      <c r="L64" s="15" t="str">
        <v/>
      </c>
      <c r="M64" s="15" t="str">
        <v/>
      </c>
      <c r="N64" s="15" t="str">
        <v/>
      </c>
      <c r="O64" s="15" t="str">
        <v/>
      </c>
      <c r="P64" s="15">
        <v>1</v>
      </c>
      <c r="Q64" s="15">
        <v>0.254627011211099</v>
      </c>
      <c r="R64" s="15">
        <v>0.409401766160794</v>
      </c>
      <c r="S64" s="15">
        <v>0.313396306025907</v>
      </c>
      <c r="T64" s="15">
        <v>0.461729900990993</v>
      </c>
      <c r="U64" s="15">
        <v>0.31238992638379</v>
      </c>
      <c r="V64" s="15">
        <v>0.225695839580661</v>
      </c>
      <c r="W64" s="15">
        <v>0.437165223455657</v>
      </c>
      <c r="X64" s="15">
        <v>0.393000674791564</v>
      </c>
      <c r="Y64" s="15">
        <v>0.221053493518097</v>
      </c>
      <c r="Z64" s="15">
        <v>0.041759648149481</v>
      </c>
      <c r="AA64" s="15">
        <v>0.438797068613923</v>
      </c>
      <c r="AB64" s="15">
        <v>0.190688593191365</v>
      </c>
      <c r="AC64" s="15">
        <v>0.161362553043549</v>
      </c>
      <c r="AD64" s="15">
        <v>0.0629555560303701</v>
      </c>
      <c r="AE64" s="15">
        <v>0.282128463169734</v>
      </c>
      <c r="AF64" s="15">
        <v>0.101404476125936</v>
      </c>
      <c r="AG64" s="15">
        <v>0.183150872773789</v>
      </c>
      <c r="AH64" s="15">
        <v>-0.0598457884092026</v>
      </c>
      <c r="AI64" s="15">
        <v>0.191658807193205</v>
      </c>
      <c r="AJ64" s="15">
        <v>0.239165212359127</v>
      </c>
      <c r="AK64" s="15">
        <v>0.377789992353823</v>
      </c>
      <c r="AL64" s="15">
        <v>0.172642965491237</v>
      </c>
      <c r="AM64" s="15">
        <v>0.0914850393543612</v>
      </c>
      <c r="AN64" s="15">
        <v>0.30484330293459</v>
      </c>
      <c r="AO64" s="15">
        <v>0.197669614724641</v>
      </c>
      <c r="AP64" s="15"/>
      <c r="AQ64" s="15"/>
      <c r="AR64" s="15"/>
      <c r="AS64" s="15"/>
      <c r="AT64" s="15"/>
      <c r="AU64" s="15"/>
      <c r="AV64" s="15"/>
    </row>
    <row r="65" ht="14" spans="1:48">
      <c r="A65" s="22" t="s">
        <v>37</v>
      </c>
      <c r="B65" s="15" t="str">
        <v/>
      </c>
      <c r="C65" s="15" t="str">
        <v/>
      </c>
      <c r="D65" s="15" t="str">
        <v/>
      </c>
      <c r="E65" s="15" t="str">
        <v/>
      </c>
      <c r="F65" s="15" t="str">
        <v/>
      </c>
      <c r="G65" s="15" t="str">
        <v/>
      </c>
      <c r="H65" s="15" t="str">
        <v/>
      </c>
      <c r="I65" s="15" t="str">
        <v/>
      </c>
      <c r="J65" s="15" t="str">
        <v/>
      </c>
      <c r="K65" s="15" t="str">
        <v/>
      </c>
      <c r="L65" s="15" t="str">
        <v/>
      </c>
      <c r="M65" s="15" t="str">
        <v/>
      </c>
      <c r="N65" s="15" t="str">
        <v/>
      </c>
      <c r="O65" s="15" t="str">
        <v/>
      </c>
      <c r="P65" s="15" t="str">
        <v/>
      </c>
      <c r="Q65" s="15">
        <v>1</v>
      </c>
      <c r="R65" s="15">
        <v>0.0943737699329617</v>
      </c>
      <c r="S65" s="15">
        <v>0.20987022757247</v>
      </c>
      <c r="T65" s="15">
        <v>0.153432951488664</v>
      </c>
      <c r="U65" s="15">
        <v>0.147727518839788</v>
      </c>
      <c r="V65" s="15">
        <v>0.0110097699301763</v>
      </c>
      <c r="W65" s="15">
        <v>0.0701153940532496</v>
      </c>
      <c r="X65" s="15">
        <v>-0.110747717776699</v>
      </c>
      <c r="Y65" s="15">
        <v>-0.19381287202256</v>
      </c>
      <c r="Z65" s="15">
        <v>0.0719924303981506</v>
      </c>
      <c r="AA65" s="15">
        <v>0.0963449623885085</v>
      </c>
      <c r="AB65" s="15">
        <v>-0.101453085800511</v>
      </c>
      <c r="AC65" s="15">
        <v>-0.129482639155985</v>
      </c>
      <c r="AD65" s="15">
        <v>0.199610504678202</v>
      </c>
      <c r="AE65" s="15">
        <v>0.0979809987779708</v>
      </c>
      <c r="AF65" s="15">
        <v>0.188841847084676</v>
      </c>
      <c r="AG65" s="15">
        <v>0.211972108500622</v>
      </c>
      <c r="AH65" s="15">
        <v>0.314341317075895</v>
      </c>
      <c r="AI65" s="15">
        <v>0.118593675980151</v>
      </c>
      <c r="AJ65" s="15">
        <v>0.0433631145076164</v>
      </c>
      <c r="AK65" s="15">
        <v>0.153381107416191</v>
      </c>
      <c r="AL65" s="15">
        <v>0.00570278244947668</v>
      </c>
      <c r="AM65" s="15">
        <v>0.0227622772983585</v>
      </c>
      <c r="AN65" s="15">
        <v>0.15711550484177</v>
      </c>
      <c r="AO65" s="15">
        <v>0.0155273869489003</v>
      </c>
      <c r="AP65" s="15"/>
      <c r="AQ65" s="15"/>
      <c r="AR65" s="15"/>
      <c r="AS65" s="15"/>
      <c r="AT65" s="15"/>
      <c r="AU65" s="15"/>
      <c r="AV65" s="15"/>
    </row>
    <row r="66" ht="14" spans="1:48">
      <c r="A66" s="22" t="s">
        <v>39</v>
      </c>
      <c r="B66" s="15" t="str">
        <v/>
      </c>
      <c r="C66" s="15" t="str">
        <v/>
      </c>
      <c r="D66" s="15" t="str">
        <v/>
      </c>
      <c r="E66" s="15" t="str">
        <v/>
      </c>
      <c r="F66" s="15" t="str">
        <v/>
      </c>
      <c r="G66" s="15" t="str">
        <v/>
      </c>
      <c r="H66" s="15" t="str">
        <v/>
      </c>
      <c r="I66" s="15" t="str">
        <v/>
      </c>
      <c r="J66" s="15" t="str">
        <v/>
      </c>
      <c r="K66" s="15" t="str">
        <v/>
      </c>
      <c r="L66" s="15" t="str">
        <v/>
      </c>
      <c r="M66" s="15" t="str">
        <v/>
      </c>
      <c r="N66" s="15" t="str">
        <v/>
      </c>
      <c r="O66" s="15" t="str">
        <v/>
      </c>
      <c r="P66" s="15" t="str">
        <v/>
      </c>
      <c r="Q66" s="15" t="str">
        <v/>
      </c>
      <c r="R66" s="15">
        <v>1</v>
      </c>
      <c r="S66" s="15">
        <v>0.265287434043312</v>
      </c>
      <c r="T66" s="15">
        <v>0.420100251104697</v>
      </c>
      <c r="U66" s="15">
        <v>0.376899333950109</v>
      </c>
      <c r="V66" s="15">
        <v>0.345671432236083</v>
      </c>
      <c r="W66" s="15">
        <v>0.405287815942103</v>
      </c>
      <c r="X66" s="15">
        <v>0.31112310353766</v>
      </c>
      <c r="Y66" s="15">
        <v>0.189086939781176</v>
      </c>
      <c r="Z66" s="15">
        <v>0.048699803181843</v>
      </c>
      <c r="AA66" s="15">
        <v>0.375930240263857</v>
      </c>
      <c r="AB66" s="15">
        <v>0.336645009354598</v>
      </c>
      <c r="AC66" s="15">
        <v>0.153572146277267</v>
      </c>
      <c r="AD66" s="15">
        <v>-0.0148435059523526</v>
      </c>
      <c r="AE66" s="15">
        <v>0.316418282930744</v>
      </c>
      <c r="AF66" s="15">
        <v>0.133243070869061</v>
      </c>
      <c r="AG66" s="15">
        <v>0.267443757105299</v>
      </c>
      <c r="AH66" s="15">
        <v>-0.00416125983687666</v>
      </c>
      <c r="AI66" s="15">
        <v>0.461646319211181</v>
      </c>
      <c r="AJ66" s="15">
        <v>0.123153757488158</v>
      </c>
      <c r="AK66" s="15">
        <v>0.128431588893227</v>
      </c>
      <c r="AL66" s="15">
        <v>0.140765698750141</v>
      </c>
      <c r="AM66" s="15">
        <v>0.264232158485178</v>
      </c>
      <c r="AN66" s="15">
        <v>0.492969865009036</v>
      </c>
      <c r="AO66" s="15">
        <v>0.086962649648568</v>
      </c>
      <c r="AP66" s="15"/>
      <c r="AQ66" s="15"/>
      <c r="AR66" s="15"/>
      <c r="AS66" s="15"/>
      <c r="AT66" s="15"/>
      <c r="AU66" s="15"/>
      <c r="AV66" s="15"/>
    </row>
    <row r="67" ht="14" spans="1:48">
      <c r="A67" s="22" t="s">
        <v>40</v>
      </c>
      <c r="B67" s="15" t="str">
        <v/>
      </c>
      <c r="C67" s="15" t="str">
        <v/>
      </c>
      <c r="D67" s="15" t="str">
        <v/>
      </c>
      <c r="E67" s="15" t="str">
        <v/>
      </c>
      <c r="F67" s="15" t="str">
        <v/>
      </c>
      <c r="G67" s="15" t="str">
        <v/>
      </c>
      <c r="H67" s="15" t="str">
        <v/>
      </c>
      <c r="I67" s="15" t="str">
        <v/>
      </c>
      <c r="J67" s="15" t="str">
        <v/>
      </c>
      <c r="K67" s="15" t="str">
        <v/>
      </c>
      <c r="L67" s="15" t="str">
        <v/>
      </c>
      <c r="M67" s="15" t="str">
        <v/>
      </c>
      <c r="N67" s="15" t="str">
        <v/>
      </c>
      <c r="O67" s="15" t="str">
        <v/>
      </c>
      <c r="P67" s="15" t="str">
        <v/>
      </c>
      <c r="Q67" s="15" t="str">
        <v/>
      </c>
      <c r="R67" s="15" t="str">
        <v/>
      </c>
      <c r="S67" s="15">
        <v>1</v>
      </c>
      <c r="T67" s="15">
        <v>0.441918736479118</v>
      </c>
      <c r="U67" s="15">
        <v>-0.0980769336437808</v>
      </c>
      <c r="V67" s="15">
        <v>0.103374980224699</v>
      </c>
      <c r="W67" s="15">
        <v>0.182143446973835</v>
      </c>
      <c r="X67" s="15">
        <v>0.211206656242938</v>
      </c>
      <c r="Y67" s="15">
        <v>0.141350256550411</v>
      </c>
      <c r="Z67" s="15">
        <v>0.139078005166025</v>
      </c>
      <c r="AA67" s="15">
        <v>0.265684443545987</v>
      </c>
      <c r="AB67" s="15">
        <v>-0.128871096964945</v>
      </c>
      <c r="AC67" s="15">
        <v>0.0788695539883284</v>
      </c>
      <c r="AD67" s="15">
        <v>-0.00631641351566778</v>
      </c>
      <c r="AE67" s="15">
        <v>0.144665496577916</v>
      </c>
      <c r="AF67" s="15">
        <v>-0.0196119857137988</v>
      </c>
      <c r="AG67" s="15">
        <v>0.154668504024472</v>
      </c>
      <c r="AH67" s="15">
        <v>0.0836643162738781</v>
      </c>
      <c r="AI67" s="15">
        <v>0.117221154646957</v>
      </c>
      <c r="AJ67" s="15">
        <v>0.215367622301744</v>
      </c>
      <c r="AK67" s="15">
        <v>0.166236321104193</v>
      </c>
      <c r="AL67" s="15">
        <v>0.412279476879822</v>
      </c>
      <c r="AM67" s="15">
        <v>0.185855068286488</v>
      </c>
      <c r="AN67" s="15">
        <v>0.134432384650424</v>
      </c>
      <c r="AO67" s="15">
        <v>0.200096559732558</v>
      </c>
      <c r="AP67" s="15"/>
      <c r="AQ67" s="15"/>
      <c r="AR67" s="15"/>
      <c r="AS67" s="15"/>
      <c r="AT67" s="15"/>
      <c r="AU67" s="15"/>
      <c r="AV67" s="15"/>
    </row>
    <row r="68" ht="14" spans="1:48">
      <c r="A68" s="22" t="s">
        <v>41</v>
      </c>
      <c r="B68" s="15" t="str">
        <v/>
      </c>
      <c r="C68" s="15" t="str">
        <v/>
      </c>
      <c r="D68" s="15" t="str">
        <v/>
      </c>
      <c r="E68" s="15" t="str">
        <v/>
      </c>
      <c r="F68" s="15" t="str">
        <v/>
      </c>
      <c r="G68" s="15" t="str">
        <v/>
      </c>
      <c r="H68" s="15" t="str">
        <v/>
      </c>
      <c r="I68" s="15" t="str">
        <v/>
      </c>
      <c r="J68" s="15" t="str">
        <v/>
      </c>
      <c r="K68" s="15" t="str">
        <v/>
      </c>
      <c r="L68" s="15" t="str">
        <v/>
      </c>
      <c r="M68" s="15" t="str">
        <v/>
      </c>
      <c r="N68" s="15" t="str">
        <v/>
      </c>
      <c r="O68" s="15" t="str">
        <v/>
      </c>
      <c r="P68" s="15" t="str">
        <v/>
      </c>
      <c r="Q68" s="15" t="str">
        <v/>
      </c>
      <c r="R68" s="15" t="str">
        <v/>
      </c>
      <c r="S68" s="15" t="str">
        <v/>
      </c>
      <c r="T68" s="15">
        <v>1</v>
      </c>
      <c r="U68" s="15">
        <v>0.24811265355976</v>
      </c>
      <c r="V68" s="15">
        <v>0.349251930889701</v>
      </c>
      <c r="W68" s="15">
        <v>0.416919516351558</v>
      </c>
      <c r="X68" s="15">
        <v>0.364080380284696</v>
      </c>
      <c r="Y68" s="15">
        <v>0.284646289967199</v>
      </c>
      <c r="Z68" s="15">
        <v>0.320512762484093</v>
      </c>
      <c r="AA68" s="15">
        <v>0.476361879787443</v>
      </c>
      <c r="AB68" s="15">
        <v>0.0479614091714825</v>
      </c>
      <c r="AC68" s="15">
        <v>0.30363033061253</v>
      </c>
      <c r="AD68" s="15">
        <v>0.276011981312227</v>
      </c>
      <c r="AE68" s="15">
        <v>0.267978684135241</v>
      </c>
      <c r="AF68" s="15">
        <v>0.258851093601932</v>
      </c>
      <c r="AG68" s="15">
        <v>0.376046564728019</v>
      </c>
      <c r="AH68" s="15">
        <v>0.273028141180368</v>
      </c>
      <c r="AI68" s="15">
        <v>0.333150120244255</v>
      </c>
      <c r="AJ68" s="15">
        <v>0.393542917778356</v>
      </c>
      <c r="AK68" s="15">
        <v>0.152591459652067</v>
      </c>
      <c r="AL68" s="15">
        <v>0.426959270807081</v>
      </c>
      <c r="AM68" s="15">
        <v>0.339691538106272</v>
      </c>
      <c r="AN68" s="15">
        <v>0.392456525324478</v>
      </c>
      <c r="AO68" s="15">
        <v>0.417866603476741</v>
      </c>
      <c r="AP68" s="15"/>
      <c r="AQ68" s="15"/>
      <c r="AR68" s="15"/>
      <c r="AS68" s="15"/>
      <c r="AT68" s="15"/>
      <c r="AU68" s="15"/>
      <c r="AV68" s="15"/>
    </row>
    <row r="69" ht="14" spans="1:48">
      <c r="A69" s="22" t="s">
        <v>44</v>
      </c>
      <c r="B69" s="15" t="str">
        <v/>
      </c>
      <c r="C69" s="15" t="str">
        <v/>
      </c>
      <c r="D69" s="15" t="str">
        <v/>
      </c>
      <c r="E69" s="15" t="str">
        <v/>
      </c>
      <c r="F69" s="15" t="str">
        <v/>
      </c>
      <c r="G69" s="15" t="str">
        <v/>
      </c>
      <c r="H69" s="15" t="str">
        <v/>
      </c>
      <c r="I69" s="15" t="str">
        <v/>
      </c>
      <c r="J69" s="15" t="str">
        <v/>
      </c>
      <c r="K69" s="15" t="str">
        <v/>
      </c>
      <c r="L69" s="15" t="str">
        <v/>
      </c>
      <c r="M69" s="15" t="str">
        <v/>
      </c>
      <c r="N69" s="15" t="str">
        <v/>
      </c>
      <c r="O69" s="15" t="str">
        <v/>
      </c>
      <c r="P69" s="15" t="str">
        <v/>
      </c>
      <c r="Q69" s="15" t="str">
        <v/>
      </c>
      <c r="R69" s="15" t="str">
        <v/>
      </c>
      <c r="S69" s="15" t="str">
        <v/>
      </c>
      <c r="T69" s="15" t="str">
        <v/>
      </c>
      <c r="U69" s="15">
        <v>1</v>
      </c>
      <c r="V69" s="15">
        <v>0.316210728196778</v>
      </c>
      <c r="W69" s="15">
        <v>0.258409744310378</v>
      </c>
      <c r="X69" s="15">
        <v>0.305331236850543</v>
      </c>
      <c r="Y69" s="15">
        <v>0.110548678776715</v>
      </c>
      <c r="Z69" s="15">
        <v>0.0713887686112251</v>
      </c>
      <c r="AA69" s="15">
        <v>0.44166593158178</v>
      </c>
      <c r="AB69" s="15">
        <v>0.337639998157073</v>
      </c>
      <c r="AC69" s="15">
        <v>0.0842742627924378</v>
      </c>
      <c r="AD69" s="15">
        <v>0.217489625481744</v>
      </c>
      <c r="AE69" s="15">
        <v>0.218918437283332</v>
      </c>
      <c r="AF69" s="15">
        <v>0.275109988796424</v>
      </c>
      <c r="AG69" s="15">
        <v>0.238428951153422</v>
      </c>
      <c r="AH69" s="15">
        <v>0.158975569423023</v>
      </c>
      <c r="AI69" s="15">
        <v>0.349653630571262</v>
      </c>
      <c r="AJ69" s="15">
        <v>0.307156838417781</v>
      </c>
      <c r="AK69" s="15">
        <v>0.330302620423214</v>
      </c>
      <c r="AL69" s="15">
        <v>0.270441923597188</v>
      </c>
      <c r="AM69" s="15">
        <v>0.149491175484592</v>
      </c>
      <c r="AN69" s="15">
        <v>0.428214793891257</v>
      </c>
      <c r="AO69" s="15">
        <v>0.0402419231946581</v>
      </c>
      <c r="AP69" s="15"/>
      <c r="AQ69" s="15"/>
      <c r="AR69" s="15"/>
      <c r="AS69" s="15"/>
      <c r="AT69" s="15"/>
      <c r="AU69" s="15"/>
      <c r="AV69" s="15"/>
    </row>
    <row r="70" ht="14" spans="1:48">
      <c r="A70" s="22" t="s">
        <v>49</v>
      </c>
      <c r="B70" s="15" t="str">
        <v/>
      </c>
      <c r="C70" s="15" t="str">
        <v/>
      </c>
      <c r="D70" s="15" t="str">
        <v/>
      </c>
      <c r="E70" s="15" t="str">
        <v/>
      </c>
      <c r="F70" s="15" t="str">
        <v/>
      </c>
      <c r="G70" s="15" t="str">
        <v/>
      </c>
      <c r="H70" s="15" t="str">
        <v/>
      </c>
      <c r="I70" s="15" t="str">
        <v/>
      </c>
      <c r="J70" s="15" t="str">
        <v/>
      </c>
      <c r="K70" s="15" t="str">
        <v/>
      </c>
      <c r="L70" s="15" t="str">
        <v/>
      </c>
      <c r="M70" s="15" t="str">
        <v/>
      </c>
      <c r="N70" s="15" t="str">
        <v/>
      </c>
      <c r="O70" s="15" t="str">
        <v/>
      </c>
      <c r="P70" s="15" t="str">
        <v/>
      </c>
      <c r="Q70" s="15" t="str">
        <v/>
      </c>
      <c r="R70" s="15" t="str">
        <v/>
      </c>
      <c r="S70" s="15" t="str">
        <v/>
      </c>
      <c r="T70" s="15" t="str">
        <v/>
      </c>
      <c r="U70" s="15" t="str">
        <v/>
      </c>
      <c r="V70" s="15">
        <v>1</v>
      </c>
      <c r="W70" s="15">
        <v>0.384727092011727</v>
      </c>
      <c r="X70" s="15">
        <v>0.274732402620333</v>
      </c>
      <c r="Y70" s="15">
        <v>0.342255979292511</v>
      </c>
      <c r="Z70" s="15">
        <v>0.155924469577092</v>
      </c>
      <c r="AA70" s="15">
        <v>0.290982053056885</v>
      </c>
      <c r="AB70" s="15">
        <v>0.129456474866674</v>
      </c>
      <c r="AC70" s="15">
        <v>0.199312134747051</v>
      </c>
      <c r="AD70" s="15">
        <v>0.268853615970783</v>
      </c>
      <c r="AE70" s="15">
        <v>0.447508186538461</v>
      </c>
      <c r="AF70" s="15">
        <v>0.127745209982032</v>
      </c>
      <c r="AG70" s="15">
        <v>0.255315636857908</v>
      </c>
      <c r="AH70" s="15">
        <v>0.111946088066772</v>
      </c>
      <c r="AI70" s="15">
        <v>0.368500978498872</v>
      </c>
      <c r="AJ70" s="15">
        <v>0.189603675763118</v>
      </c>
      <c r="AK70" s="15">
        <v>0.218271469424195</v>
      </c>
      <c r="AL70" s="15">
        <v>0.380030526111715</v>
      </c>
      <c r="AM70" s="15">
        <v>0.133449303678271</v>
      </c>
      <c r="AN70" s="15">
        <v>0.34046726644358</v>
      </c>
      <c r="AO70" s="15">
        <v>0.312697808336376</v>
      </c>
      <c r="AP70" s="15"/>
      <c r="AQ70" s="15"/>
      <c r="AR70" s="15"/>
      <c r="AS70" s="15"/>
      <c r="AT70" s="15"/>
      <c r="AU70" s="15"/>
      <c r="AV70" s="15"/>
    </row>
    <row r="71" ht="14" spans="1:48">
      <c r="A71" s="22" t="s">
        <v>53</v>
      </c>
      <c r="B71" s="15" t="str">
        <v/>
      </c>
      <c r="C71" s="15" t="str">
        <v/>
      </c>
      <c r="D71" s="15" t="str">
        <v/>
      </c>
      <c r="E71" s="15" t="str">
        <v/>
      </c>
      <c r="F71" s="15" t="str">
        <v/>
      </c>
      <c r="G71" s="15" t="str">
        <v/>
      </c>
      <c r="H71" s="15" t="str">
        <v/>
      </c>
      <c r="I71" s="15" t="str">
        <v/>
      </c>
      <c r="J71" s="15" t="str">
        <v/>
      </c>
      <c r="K71" s="15" t="str">
        <v/>
      </c>
      <c r="L71" s="15" t="str">
        <v/>
      </c>
      <c r="M71" s="15" t="str">
        <v/>
      </c>
      <c r="N71" s="15" t="str">
        <v/>
      </c>
      <c r="O71" s="15" t="str">
        <v/>
      </c>
      <c r="P71" s="15" t="str">
        <v/>
      </c>
      <c r="Q71" s="15" t="str">
        <v/>
      </c>
      <c r="R71" s="15" t="str">
        <v/>
      </c>
      <c r="S71" s="15" t="str">
        <v/>
      </c>
      <c r="T71" s="15" t="str">
        <v/>
      </c>
      <c r="U71" s="15" t="str">
        <v/>
      </c>
      <c r="V71" s="15" t="str">
        <v/>
      </c>
      <c r="W71" s="15">
        <v>1</v>
      </c>
      <c r="X71" s="15">
        <v>0.339138109040448</v>
      </c>
      <c r="Y71" s="15">
        <v>0.560161530115706</v>
      </c>
      <c r="Z71" s="15">
        <v>0.302667311540288</v>
      </c>
      <c r="AA71" s="15">
        <v>0.354396672558711</v>
      </c>
      <c r="AB71" s="15">
        <v>0.33640966520953</v>
      </c>
      <c r="AC71" s="15">
        <v>0.266168351123741</v>
      </c>
      <c r="AD71" s="15">
        <v>0.0897988843814312</v>
      </c>
      <c r="AE71" s="15">
        <v>0.256706702489545</v>
      </c>
      <c r="AF71" s="15">
        <v>0.147034809246433</v>
      </c>
      <c r="AG71" s="15">
        <v>0.0511339242497156</v>
      </c>
      <c r="AH71" s="15">
        <v>0.10371346950535</v>
      </c>
      <c r="AI71" s="15">
        <v>0.327551735818776</v>
      </c>
      <c r="AJ71" s="15">
        <v>0.111066200530731</v>
      </c>
      <c r="AK71" s="15">
        <v>0.161717944747452</v>
      </c>
      <c r="AL71" s="15">
        <v>0.163089370780396</v>
      </c>
      <c r="AM71" s="15">
        <v>0.337951838587782</v>
      </c>
      <c r="AN71" s="15">
        <v>0.441677321222805</v>
      </c>
      <c r="AO71" s="15">
        <v>0.235439589595977</v>
      </c>
      <c r="AP71" s="15"/>
      <c r="AQ71" s="15"/>
      <c r="AR71" s="15"/>
      <c r="AS71" s="15"/>
      <c r="AT71" s="15"/>
      <c r="AU71" s="15"/>
      <c r="AV71" s="15"/>
    </row>
    <row r="72" ht="14" spans="1:48">
      <c r="A72" s="22" t="s">
        <v>57</v>
      </c>
      <c r="B72" s="15" t="str">
        <v/>
      </c>
      <c r="C72" s="15" t="str">
        <v/>
      </c>
      <c r="D72" s="15" t="str">
        <v/>
      </c>
      <c r="E72" s="15" t="str">
        <v/>
      </c>
      <c r="F72" s="15" t="str">
        <v/>
      </c>
      <c r="G72" s="15" t="str">
        <v/>
      </c>
      <c r="H72" s="15" t="str">
        <v/>
      </c>
      <c r="I72" s="15" t="str">
        <v/>
      </c>
      <c r="J72" s="15" t="str">
        <v/>
      </c>
      <c r="K72" s="15" t="str">
        <v/>
      </c>
      <c r="L72" s="15" t="str">
        <v/>
      </c>
      <c r="M72" s="15" t="str">
        <v/>
      </c>
      <c r="N72" s="15" t="str">
        <v/>
      </c>
      <c r="O72" s="15" t="str">
        <v/>
      </c>
      <c r="P72" s="15" t="str">
        <v/>
      </c>
      <c r="Q72" s="15" t="str">
        <v/>
      </c>
      <c r="R72" s="15" t="str">
        <v/>
      </c>
      <c r="S72" s="15" t="str">
        <v/>
      </c>
      <c r="T72" s="15" t="str">
        <v/>
      </c>
      <c r="U72" s="15" t="str">
        <v/>
      </c>
      <c r="V72" s="15" t="str">
        <v/>
      </c>
      <c r="W72" s="15" t="str">
        <v/>
      </c>
      <c r="X72" s="15">
        <v>1</v>
      </c>
      <c r="Y72" s="15">
        <v>0.246671945867344</v>
      </c>
      <c r="Z72" s="15">
        <v>0.229060973903776</v>
      </c>
      <c r="AA72" s="15">
        <v>0.364776939026043</v>
      </c>
      <c r="AB72" s="15">
        <v>0.184312652039615</v>
      </c>
      <c r="AC72" s="15">
        <v>0.404015148042995</v>
      </c>
      <c r="AD72" s="15">
        <v>0.0679916025780748</v>
      </c>
      <c r="AE72" s="15">
        <v>0.385807907309345</v>
      </c>
      <c r="AF72" s="15">
        <v>0.155720925000982</v>
      </c>
      <c r="AG72" s="15">
        <v>0.354037255827194</v>
      </c>
      <c r="AH72" s="15">
        <v>0.23087508590109</v>
      </c>
      <c r="AI72" s="15">
        <v>0.379046308067</v>
      </c>
      <c r="AJ72" s="15">
        <v>0.346760247542506</v>
      </c>
      <c r="AK72" s="15">
        <v>0.339642616353011</v>
      </c>
      <c r="AL72" s="15">
        <v>0.319294747441679</v>
      </c>
      <c r="AM72" s="15">
        <v>0.27643846347411</v>
      </c>
      <c r="AN72" s="15">
        <v>0.442255127604641</v>
      </c>
      <c r="AO72" s="15">
        <v>0.260012494095845</v>
      </c>
      <c r="AP72" s="15"/>
      <c r="AQ72" s="15"/>
      <c r="AR72" s="15"/>
      <c r="AS72" s="15"/>
      <c r="AT72" s="15"/>
      <c r="AU72" s="15"/>
      <c r="AV72" s="15"/>
    </row>
    <row r="73" ht="14" spans="1:48">
      <c r="A73" s="22" t="s">
        <v>61</v>
      </c>
      <c r="B73" s="15" t="str">
        <v/>
      </c>
      <c r="C73" s="15" t="str">
        <v/>
      </c>
      <c r="D73" s="15" t="str">
        <v/>
      </c>
      <c r="E73" s="15" t="str">
        <v/>
      </c>
      <c r="F73" s="15" t="str">
        <v/>
      </c>
      <c r="G73" s="15" t="str">
        <v/>
      </c>
      <c r="H73" s="15" t="str">
        <v/>
      </c>
      <c r="I73" s="15" t="str">
        <v/>
      </c>
      <c r="J73" s="15" t="str">
        <v/>
      </c>
      <c r="K73" s="15" t="str">
        <v/>
      </c>
      <c r="L73" s="15" t="str">
        <v/>
      </c>
      <c r="M73" s="15" t="str">
        <v/>
      </c>
      <c r="N73" s="15" t="str">
        <v/>
      </c>
      <c r="O73" s="15" t="str">
        <v/>
      </c>
      <c r="P73" s="15" t="str">
        <v/>
      </c>
      <c r="Q73" s="15" t="str">
        <v/>
      </c>
      <c r="R73" s="15" t="str">
        <v/>
      </c>
      <c r="S73" s="15" t="str">
        <v/>
      </c>
      <c r="T73" s="15" t="str">
        <v/>
      </c>
      <c r="U73" s="15" t="str">
        <v/>
      </c>
      <c r="V73" s="15" t="str">
        <v/>
      </c>
      <c r="W73" s="15" t="str">
        <v/>
      </c>
      <c r="X73" s="15" t="str">
        <v/>
      </c>
      <c r="Y73" s="15">
        <v>1</v>
      </c>
      <c r="Z73" s="15">
        <v>0.208482553227204</v>
      </c>
      <c r="AA73" s="15">
        <v>0.294810621598086</v>
      </c>
      <c r="AB73" s="15">
        <v>0.243814406478995</v>
      </c>
      <c r="AC73" s="15">
        <v>0.373007805213007</v>
      </c>
      <c r="AD73" s="15">
        <v>0.0682960102400163</v>
      </c>
      <c r="AE73" s="15">
        <v>0.2095401708683</v>
      </c>
      <c r="AF73" s="15">
        <v>-0.01503449575856</v>
      </c>
      <c r="AG73" s="15">
        <v>0.0267397363621377</v>
      </c>
      <c r="AH73" s="15">
        <v>0.230641965122319</v>
      </c>
      <c r="AI73" s="15">
        <v>0.229079406031003</v>
      </c>
      <c r="AJ73" s="15">
        <v>0.187712020451979</v>
      </c>
      <c r="AK73" s="15">
        <v>0.105167745173718</v>
      </c>
      <c r="AL73" s="15">
        <v>0.409455321003941</v>
      </c>
      <c r="AM73" s="15">
        <v>0.329996005439818</v>
      </c>
      <c r="AN73" s="15">
        <v>0.100608935380626</v>
      </c>
      <c r="AO73" s="15">
        <v>0.294003769588096</v>
      </c>
      <c r="AP73" s="15"/>
      <c r="AQ73" s="15"/>
      <c r="AR73" s="15"/>
      <c r="AS73" s="15"/>
      <c r="AT73" s="15"/>
      <c r="AU73" s="15"/>
      <c r="AV73" s="15"/>
    </row>
    <row r="74" ht="14" spans="1:48">
      <c r="A74" s="22" t="s">
        <v>63</v>
      </c>
      <c r="B74" s="15" t="str">
        <v/>
      </c>
      <c r="C74" s="15" t="str">
        <v/>
      </c>
      <c r="D74" s="15" t="str">
        <v/>
      </c>
      <c r="E74" s="15" t="str">
        <v/>
      </c>
      <c r="F74" s="15" t="str">
        <v/>
      </c>
      <c r="G74" s="15" t="str">
        <v/>
      </c>
      <c r="H74" s="15" t="str">
        <v/>
      </c>
      <c r="I74" s="15" t="str">
        <v/>
      </c>
      <c r="J74" s="15" t="str">
        <v/>
      </c>
      <c r="K74" s="15" t="str">
        <v/>
      </c>
      <c r="L74" s="15" t="str">
        <v/>
      </c>
      <c r="M74" s="15" t="str">
        <v/>
      </c>
      <c r="N74" s="15" t="str">
        <v/>
      </c>
      <c r="O74" s="15" t="str">
        <v/>
      </c>
      <c r="P74" s="15" t="str">
        <v/>
      </c>
      <c r="Q74" s="15" t="str">
        <v/>
      </c>
      <c r="R74" s="15" t="str">
        <v/>
      </c>
      <c r="S74" s="15" t="str">
        <v/>
      </c>
      <c r="T74" s="15" t="str">
        <v/>
      </c>
      <c r="U74" s="15" t="str">
        <v/>
      </c>
      <c r="V74" s="15" t="str">
        <v/>
      </c>
      <c r="W74" s="15" t="str">
        <v/>
      </c>
      <c r="X74" s="15" t="str">
        <v/>
      </c>
      <c r="Y74" s="15" t="str">
        <v/>
      </c>
      <c r="Z74" s="15">
        <v>1</v>
      </c>
      <c r="AA74" s="15">
        <v>0.198461584479989</v>
      </c>
      <c r="AB74" s="15">
        <v>0.0248055021879256</v>
      </c>
      <c r="AC74" s="15">
        <v>0.37297029788186</v>
      </c>
      <c r="AD74" s="15">
        <v>0.463205126063176</v>
      </c>
      <c r="AE74" s="15">
        <v>0.223766866352809</v>
      </c>
      <c r="AF74" s="15">
        <v>0.518569285888431</v>
      </c>
      <c r="AG74" s="15">
        <v>0.151448151242902</v>
      </c>
      <c r="AH74" s="15">
        <v>0.256114413820361</v>
      </c>
      <c r="AI74" s="15">
        <v>0.374971447054168</v>
      </c>
      <c r="AJ74" s="15">
        <v>0.0614324534705988</v>
      </c>
      <c r="AK74" s="15">
        <v>0.16682364179875</v>
      </c>
      <c r="AL74" s="15">
        <v>0.428963405681947</v>
      </c>
      <c r="AM74" s="15">
        <v>0.348058824550866</v>
      </c>
      <c r="AN74" s="15">
        <v>0.193052358105838</v>
      </c>
      <c r="AO74" s="15">
        <v>0.353822056542319</v>
      </c>
      <c r="AP74" s="15"/>
      <c r="AQ74" s="15"/>
      <c r="AR74" s="15"/>
      <c r="AS74" s="15"/>
      <c r="AT74" s="15"/>
      <c r="AU74" s="15"/>
      <c r="AV74" s="15"/>
    </row>
    <row r="75" ht="14" spans="1:48">
      <c r="A75" s="22" t="s">
        <v>66</v>
      </c>
      <c r="B75" s="15" t="str">
        <v/>
      </c>
      <c r="C75" s="15" t="str">
        <v/>
      </c>
      <c r="D75" s="15" t="str">
        <v/>
      </c>
      <c r="E75" s="15" t="str">
        <v/>
      </c>
      <c r="F75" s="15" t="str">
        <v/>
      </c>
      <c r="G75" s="15" t="str">
        <v/>
      </c>
      <c r="H75" s="15" t="str">
        <v/>
      </c>
      <c r="I75" s="15" t="str">
        <v/>
      </c>
      <c r="J75" s="15" t="str">
        <v/>
      </c>
      <c r="K75" s="15" t="str">
        <v/>
      </c>
      <c r="L75" s="15" t="str">
        <v/>
      </c>
      <c r="M75" s="15" t="str">
        <v/>
      </c>
      <c r="N75" s="15" t="str">
        <v/>
      </c>
      <c r="O75" s="15" t="str">
        <v/>
      </c>
      <c r="P75" s="15" t="str">
        <v/>
      </c>
      <c r="Q75" s="15" t="str">
        <v/>
      </c>
      <c r="R75" s="15" t="str">
        <v/>
      </c>
      <c r="S75" s="15" t="str">
        <v/>
      </c>
      <c r="T75" s="15" t="str">
        <v/>
      </c>
      <c r="U75" s="15" t="str">
        <v/>
      </c>
      <c r="V75" s="15" t="str">
        <v/>
      </c>
      <c r="W75" s="15" t="str">
        <v/>
      </c>
      <c r="X75" s="15" t="str">
        <v/>
      </c>
      <c r="Y75" s="15" t="str">
        <v/>
      </c>
      <c r="Z75" s="15" t="str">
        <v/>
      </c>
      <c r="AA75" s="15">
        <v>1</v>
      </c>
      <c r="AB75" s="15">
        <v>0.321287355041808</v>
      </c>
      <c r="AC75" s="15">
        <v>0.355117391555515</v>
      </c>
      <c r="AD75" s="15">
        <v>0.238580341432004</v>
      </c>
      <c r="AE75" s="15">
        <v>0.213641516273623</v>
      </c>
      <c r="AF75" s="15">
        <v>0.11897806234879</v>
      </c>
      <c r="AG75" s="15">
        <v>0.232767415318386</v>
      </c>
      <c r="AH75" s="15">
        <v>0.17074316927614</v>
      </c>
      <c r="AI75" s="15">
        <v>0.405209343174213</v>
      </c>
      <c r="AJ75" s="15">
        <v>0.246242656862973</v>
      </c>
      <c r="AK75" s="15">
        <v>0.289207322896657</v>
      </c>
      <c r="AL75" s="15">
        <v>0.330847941965295</v>
      </c>
      <c r="AM75" s="15">
        <v>0.194461297988702</v>
      </c>
      <c r="AN75" s="15">
        <v>0.265444123350276</v>
      </c>
      <c r="AO75" s="15">
        <v>0.245743822616841</v>
      </c>
      <c r="AP75" s="15"/>
      <c r="AQ75" s="15"/>
      <c r="AR75" s="15"/>
      <c r="AS75" s="15"/>
      <c r="AT75" s="15"/>
      <c r="AU75" s="15"/>
      <c r="AV75" s="15"/>
    </row>
    <row r="76" ht="14" spans="1:48">
      <c r="A76" s="22" t="s">
        <v>74</v>
      </c>
      <c r="B76" s="15" t="str">
        <v/>
      </c>
      <c r="C76" s="15" t="str">
        <v/>
      </c>
      <c r="D76" s="15" t="str">
        <v/>
      </c>
      <c r="E76" s="15" t="str">
        <v/>
      </c>
      <c r="F76" s="15" t="str">
        <v/>
      </c>
      <c r="G76" s="15" t="str">
        <v/>
      </c>
      <c r="H76" s="15" t="str">
        <v/>
      </c>
      <c r="I76" s="15" t="str">
        <v/>
      </c>
      <c r="J76" s="15" t="str">
        <v/>
      </c>
      <c r="K76" s="15" t="str">
        <v/>
      </c>
      <c r="L76" s="15" t="str">
        <v/>
      </c>
      <c r="M76" s="15" t="str">
        <v/>
      </c>
      <c r="N76" s="15" t="str">
        <v/>
      </c>
      <c r="O76" s="15" t="str">
        <v/>
      </c>
      <c r="P76" s="15" t="str">
        <v/>
      </c>
      <c r="Q76" s="15" t="str">
        <v/>
      </c>
      <c r="R76" s="15" t="str">
        <v/>
      </c>
      <c r="S76" s="15" t="str">
        <v/>
      </c>
      <c r="T76" s="15" t="str">
        <v/>
      </c>
      <c r="U76" s="15" t="str">
        <v/>
      </c>
      <c r="V76" s="15" t="str">
        <v/>
      </c>
      <c r="W76" s="15" t="str">
        <v/>
      </c>
      <c r="X76" s="15" t="str">
        <v/>
      </c>
      <c r="Y76" s="15" t="str">
        <v/>
      </c>
      <c r="Z76" s="15" t="str">
        <v/>
      </c>
      <c r="AA76" s="15" t="str">
        <v/>
      </c>
      <c r="AB76" s="15">
        <v>1</v>
      </c>
      <c r="AC76" s="15">
        <v>0.170141572627071</v>
      </c>
      <c r="AD76" s="15">
        <v>0.0177421657775885</v>
      </c>
      <c r="AE76" s="15">
        <v>0.217971862584295</v>
      </c>
      <c r="AF76" s="15">
        <v>0.199857345651236</v>
      </c>
      <c r="AG76" s="15">
        <v>0.232422162318213</v>
      </c>
      <c r="AH76" s="15">
        <v>0.125616788431299</v>
      </c>
      <c r="AI76" s="15">
        <v>0.263387187653766</v>
      </c>
      <c r="AJ76" s="15">
        <v>-0.0648658423405085</v>
      </c>
      <c r="AK76" s="15">
        <v>0.205055544298368</v>
      </c>
      <c r="AL76" s="15">
        <v>0.049864662148159</v>
      </c>
      <c r="AM76" s="15">
        <v>0.135873166320817</v>
      </c>
      <c r="AN76" s="15">
        <v>0.235090789301827</v>
      </c>
      <c r="AO76" s="15">
        <v>-0.0165581484473311</v>
      </c>
      <c r="AP76" s="15"/>
      <c r="AQ76" s="15"/>
      <c r="AR76" s="15"/>
      <c r="AS76" s="15"/>
      <c r="AT76" s="15"/>
      <c r="AU76" s="15"/>
      <c r="AV76" s="15"/>
    </row>
    <row r="77" ht="14" spans="1:48">
      <c r="A77" s="22" t="s">
        <v>75</v>
      </c>
      <c r="B77" s="15" t="str">
        <v/>
      </c>
      <c r="C77" s="15" t="str">
        <v/>
      </c>
      <c r="D77" s="15" t="str">
        <v/>
      </c>
      <c r="E77" s="15" t="str">
        <v/>
      </c>
      <c r="F77" s="15" t="str">
        <v/>
      </c>
      <c r="G77" s="15" t="str">
        <v/>
      </c>
      <c r="H77" s="15" t="str">
        <v/>
      </c>
      <c r="I77" s="15" t="str">
        <v/>
      </c>
      <c r="J77" s="15" t="str">
        <v/>
      </c>
      <c r="K77" s="15" t="str">
        <v/>
      </c>
      <c r="L77" s="15" t="str">
        <v/>
      </c>
      <c r="M77" s="15" t="str">
        <v/>
      </c>
      <c r="N77" s="15" t="str">
        <v/>
      </c>
      <c r="O77" s="15" t="str">
        <v/>
      </c>
      <c r="P77" s="15" t="str">
        <v/>
      </c>
      <c r="Q77" s="15" t="str">
        <v/>
      </c>
      <c r="R77" s="15" t="str">
        <v/>
      </c>
      <c r="S77" s="15" t="str">
        <v/>
      </c>
      <c r="T77" s="15" t="str">
        <v/>
      </c>
      <c r="U77" s="15" t="str">
        <v/>
      </c>
      <c r="V77" s="15" t="str">
        <v/>
      </c>
      <c r="W77" s="15" t="str">
        <v/>
      </c>
      <c r="X77" s="15" t="str">
        <v/>
      </c>
      <c r="Y77" s="15" t="str">
        <v/>
      </c>
      <c r="Z77" s="15" t="str">
        <v/>
      </c>
      <c r="AA77" s="15" t="str">
        <v/>
      </c>
      <c r="AB77" s="15" t="str">
        <v/>
      </c>
      <c r="AC77" s="15">
        <v>1</v>
      </c>
      <c r="AD77" s="15">
        <v>0.220394503654591</v>
      </c>
      <c r="AE77" s="15">
        <v>0.40527146340986</v>
      </c>
      <c r="AF77" s="15">
        <v>0.0247384603680923</v>
      </c>
      <c r="AG77" s="15">
        <v>0.311902410509454</v>
      </c>
      <c r="AH77" s="15">
        <v>0.154498521402105</v>
      </c>
      <c r="AI77" s="15">
        <v>0.435619066999435</v>
      </c>
      <c r="AJ77" s="15">
        <v>0.256166442240129</v>
      </c>
      <c r="AK77" s="15">
        <v>0.25964082830508</v>
      </c>
      <c r="AL77" s="15">
        <v>0.356700601946747</v>
      </c>
      <c r="AM77" s="15">
        <v>0.342791056301043</v>
      </c>
      <c r="AN77" s="15">
        <v>0.045370993483867</v>
      </c>
      <c r="AO77" s="15">
        <v>0.52761951692468</v>
      </c>
      <c r="AP77" s="15"/>
      <c r="AQ77" s="15"/>
      <c r="AR77" s="15"/>
      <c r="AS77" s="15"/>
      <c r="AT77" s="15"/>
      <c r="AU77" s="15"/>
      <c r="AV77" s="15"/>
    </row>
    <row r="78" ht="14" spans="1:48">
      <c r="A78" s="22" t="s">
        <v>78</v>
      </c>
      <c r="B78" s="15" t="str">
        <v/>
      </c>
      <c r="C78" s="15" t="str">
        <v/>
      </c>
      <c r="D78" s="15" t="str">
        <v/>
      </c>
      <c r="E78" s="15" t="str">
        <v/>
      </c>
      <c r="F78" s="15" t="str">
        <v/>
      </c>
      <c r="G78" s="15" t="str">
        <v/>
      </c>
      <c r="H78" s="15" t="str">
        <v/>
      </c>
      <c r="I78" s="15" t="str">
        <v/>
      </c>
      <c r="J78" s="15" t="str">
        <v/>
      </c>
      <c r="K78" s="15" t="str">
        <v/>
      </c>
      <c r="L78" s="15" t="str">
        <v/>
      </c>
      <c r="M78" s="15" t="str">
        <v/>
      </c>
      <c r="N78" s="15" t="str">
        <v/>
      </c>
      <c r="O78" s="15" t="str">
        <v/>
      </c>
      <c r="P78" s="15" t="str">
        <v/>
      </c>
      <c r="Q78" s="15" t="str">
        <v/>
      </c>
      <c r="R78" s="15" t="str">
        <v/>
      </c>
      <c r="S78" s="15" t="str">
        <v/>
      </c>
      <c r="T78" s="15" t="str">
        <v/>
      </c>
      <c r="U78" s="15" t="str">
        <v/>
      </c>
      <c r="V78" s="15" t="str">
        <v/>
      </c>
      <c r="W78" s="15" t="str">
        <v/>
      </c>
      <c r="X78" s="15" t="str">
        <v/>
      </c>
      <c r="Y78" s="15" t="str">
        <v/>
      </c>
      <c r="Z78" s="15" t="str">
        <v/>
      </c>
      <c r="AA78" s="15" t="str">
        <v/>
      </c>
      <c r="AB78" s="15" t="str">
        <v/>
      </c>
      <c r="AC78" s="15" t="str">
        <v/>
      </c>
      <c r="AD78" s="15">
        <v>1</v>
      </c>
      <c r="AE78" s="15">
        <v>0.455325187362002</v>
      </c>
      <c r="AF78" s="15">
        <v>0.442940017581716</v>
      </c>
      <c r="AG78" s="15">
        <v>0.373695622610998</v>
      </c>
      <c r="AH78" s="15">
        <v>0.228755434922482</v>
      </c>
      <c r="AI78" s="15">
        <v>0.327819471584547</v>
      </c>
      <c r="AJ78" s="15">
        <v>0.21579366923868</v>
      </c>
      <c r="AK78" s="15">
        <v>0.403309889877564</v>
      </c>
      <c r="AL78" s="15">
        <v>0.238501970074357</v>
      </c>
      <c r="AM78" s="15">
        <v>0.21078092751693</v>
      </c>
      <c r="AN78" s="15">
        <v>0.142445671944209</v>
      </c>
      <c r="AO78" s="15">
        <v>0.20300103894684</v>
      </c>
      <c r="AP78" s="15"/>
      <c r="AQ78" s="15"/>
      <c r="AR78" s="15"/>
      <c r="AS78" s="15"/>
      <c r="AT78" s="15"/>
      <c r="AU78" s="15"/>
      <c r="AV78" s="15"/>
    </row>
    <row r="79" ht="14" spans="1:48">
      <c r="A79" s="22" t="s">
        <v>81</v>
      </c>
      <c r="B79" s="15" t="str">
        <v/>
      </c>
      <c r="C79" s="15" t="str">
        <v/>
      </c>
      <c r="D79" s="15" t="str">
        <v/>
      </c>
      <c r="E79" s="15" t="str">
        <v/>
      </c>
      <c r="F79" s="15" t="str">
        <v/>
      </c>
      <c r="G79" s="15" t="str">
        <v/>
      </c>
      <c r="H79" s="15" t="str">
        <v/>
      </c>
      <c r="I79" s="15" t="str">
        <v/>
      </c>
      <c r="J79" s="15" t="str">
        <v/>
      </c>
      <c r="K79" s="15" t="str">
        <v/>
      </c>
      <c r="L79" s="15" t="str">
        <v/>
      </c>
      <c r="M79" s="15" t="str">
        <v/>
      </c>
      <c r="N79" s="15" t="str">
        <v/>
      </c>
      <c r="O79" s="15" t="str">
        <v/>
      </c>
      <c r="P79" s="15" t="str">
        <v/>
      </c>
      <c r="Q79" s="15" t="str">
        <v/>
      </c>
      <c r="R79" s="15" t="str">
        <v/>
      </c>
      <c r="S79" s="15" t="str">
        <v/>
      </c>
      <c r="T79" s="15" t="str">
        <v/>
      </c>
      <c r="U79" s="15" t="str">
        <v/>
      </c>
      <c r="V79" s="15" t="str">
        <v/>
      </c>
      <c r="W79" s="15" t="str">
        <v/>
      </c>
      <c r="X79" s="15" t="str">
        <v/>
      </c>
      <c r="Y79" s="15" t="str">
        <v/>
      </c>
      <c r="Z79" s="15" t="str">
        <v/>
      </c>
      <c r="AA79" s="15" t="str">
        <v/>
      </c>
      <c r="AB79" s="15" t="str">
        <v/>
      </c>
      <c r="AC79" s="15" t="str">
        <v/>
      </c>
      <c r="AD79" s="15" t="str">
        <v/>
      </c>
      <c r="AE79" s="15">
        <v>1</v>
      </c>
      <c r="AF79" s="15">
        <v>0.213166027313074</v>
      </c>
      <c r="AG79" s="15">
        <v>0.401401112165564</v>
      </c>
      <c r="AH79" s="15">
        <v>0.135382496399548</v>
      </c>
      <c r="AI79" s="15">
        <v>0.493041957501198</v>
      </c>
      <c r="AJ79" s="15">
        <v>0.0783532938981431</v>
      </c>
      <c r="AK79" s="15">
        <v>0.303137645532599</v>
      </c>
      <c r="AL79" s="15">
        <v>0.257066036550873</v>
      </c>
      <c r="AM79" s="15">
        <v>0.30451097114381</v>
      </c>
      <c r="AN79" s="15">
        <v>0.356552142813189</v>
      </c>
      <c r="AO79" s="15">
        <v>0.261882200903807</v>
      </c>
      <c r="AP79" s="15"/>
      <c r="AQ79" s="15"/>
      <c r="AR79" s="15"/>
      <c r="AS79" s="15"/>
      <c r="AT79" s="15"/>
      <c r="AU79" s="15"/>
      <c r="AV79" s="15"/>
    </row>
    <row r="80" ht="14" spans="1:48">
      <c r="A80" s="22" t="s">
        <v>82</v>
      </c>
      <c r="B80" s="15" t="str">
        <v/>
      </c>
      <c r="C80" s="15" t="str">
        <v/>
      </c>
      <c r="D80" s="15" t="str">
        <v/>
      </c>
      <c r="E80" s="15" t="str">
        <v/>
      </c>
      <c r="F80" s="15" t="str">
        <v/>
      </c>
      <c r="G80" s="15" t="str">
        <v/>
      </c>
      <c r="H80" s="15" t="str">
        <v/>
      </c>
      <c r="I80" s="15" t="str">
        <v/>
      </c>
      <c r="J80" s="15" t="str">
        <v/>
      </c>
      <c r="K80" s="15" t="str">
        <v/>
      </c>
      <c r="L80" s="15" t="str">
        <v/>
      </c>
      <c r="M80" s="15" t="str">
        <v/>
      </c>
      <c r="N80" s="15" t="str">
        <v/>
      </c>
      <c r="O80" s="15" t="str">
        <v/>
      </c>
      <c r="P80" s="15" t="str">
        <v/>
      </c>
      <c r="Q80" s="15" t="str">
        <v/>
      </c>
      <c r="R80" s="15" t="str">
        <v/>
      </c>
      <c r="S80" s="15" t="str">
        <v/>
      </c>
      <c r="T80" s="15" t="str">
        <v/>
      </c>
      <c r="U80" s="15" t="str">
        <v/>
      </c>
      <c r="V80" s="15" t="str">
        <v/>
      </c>
      <c r="W80" s="15" t="str">
        <v/>
      </c>
      <c r="X80" s="15" t="str">
        <v/>
      </c>
      <c r="Y80" s="15" t="str">
        <v/>
      </c>
      <c r="Z80" s="15" t="str">
        <v/>
      </c>
      <c r="AA80" s="15" t="str">
        <v/>
      </c>
      <c r="AB80" s="15" t="str">
        <v/>
      </c>
      <c r="AC80" s="15" t="str">
        <v/>
      </c>
      <c r="AD80" s="15" t="str">
        <v/>
      </c>
      <c r="AE80" s="15" t="str">
        <v/>
      </c>
      <c r="AF80" s="15">
        <v>1</v>
      </c>
      <c r="AG80" s="15">
        <v>0.122072794366937</v>
      </c>
      <c r="AH80" s="15">
        <v>0.332588252949083</v>
      </c>
      <c r="AI80" s="15">
        <v>0.286853209559671</v>
      </c>
      <c r="AJ80" s="15">
        <v>0.0230214191938099</v>
      </c>
      <c r="AK80" s="15">
        <v>0.11524319056021</v>
      </c>
      <c r="AL80" s="15">
        <v>0.193605908683609</v>
      </c>
      <c r="AM80" s="15">
        <v>0.0932227484352276</v>
      </c>
      <c r="AN80" s="15">
        <v>0.408574252077072</v>
      </c>
      <c r="AO80" s="15">
        <v>0.204087427181025</v>
      </c>
      <c r="AP80" s="15"/>
      <c r="AQ80" s="15"/>
      <c r="AR80" s="15"/>
      <c r="AS80" s="15"/>
      <c r="AT80" s="15"/>
      <c r="AU80" s="15"/>
      <c r="AV80" s="15"/>
    </row>
    <row r="81" ht="14" spans="1:48">
      <c r="A81" s="22" t="s">
        <v>89</v>
      </c>
      <c r="B81" s="15" t="str">
        <v/>
      </c>
      <c r="C81" s="15" t="str">
        <v/>
      </c>
      <c r="D81" s="15" t="str">
        <v/>
      </c>
      <c r="E81" s="15" t="str">
        <v/>
      </c>
      <c r="F81" s="15" t="str">
        <v/>
      </c>
      <c r="G81" s="15" t="str">
        <v/>
      </c>
      <c r="H81" s="15" t="str">
        <v/>
      </c>
      <c r="I81" s="15" t="str">
        <v/>
      </c>
      <c r="J81" s="15" t="str">
        <v/>
      </c>
      <c r="K81" s="15" t="str">
        <v/>
      </c>
      <c r="L81" s="15" t="str">
        <v/>
      </c>
      <c r="M81" s="15" t="str">
        <v/>
      </c>
      <c r="N81" s="15" t="str">
        <v/>
      </c>
      <c r="O81" s="15" t="str">
        <v/>
      </c>
      <c r="P81" s="15" t="str">
        <v/>
      </c>
      <c r="Q81" s="15" t="str">
        <v/>
      </c>
      <c r="R81" s="15" t="str">
        <v/>
      </c>
      <c r="S81" s="15" t="str">
        <v/>
      </c>
      <c r="T81" s="15" t="str">
        <v/>
      </c>
      <c r="U81" s="15" t="str">
        <v/>
      </c>
      <c r="V81" s="15" t="str">
        <v/>
      </c>
      <c r="W81" s="15" t="str">
        <v/>
      </c>
      <c r="X81" s="15" t="str">
        <v/>
      </c>
      <c r="Y81" s="15" t="str">
        <v/>
      </c>
      <c r="Z81" s="15" t="str">
        <v/>
      </c>
      <c r="AA81" s="15" t="str">
        <v/>
      </c>
      <c r="AB81" s="15" t="str">
        <v/>
      </c>
      <c r="AC81" s="15" t="str">
        <v/>
      </c>
      <c r="AD81" s="15" t="str">
        <v/>
      </c>
      <c r="AE81" s="15" t="str">
        <v/>
      </c>
      <c r="AF81" s="15" t="str">
        <v/>
      </c>
      <c r="AG81" s="15">
        <v>1</v>
      </c>
      <c r="AH81" s="15">
        <v>0.297691099873725</v>
      </c>
      <c r="AI81" s="15">
        <v>0.283435302635295</v>
      </c>
      <c r="AJ81" s="15">
        <v>0.386349671465691</v>
      </c>
      <c r="AK81" s="15">
        <v>0.430608819774948</v>
      </c>
      <c r="AL81" s="15">
        <v>0.409554824872853</v>
      </c>
      <c r="AM81" s="15">
        <v>0.33309091495884</v>
      </c>
      <c r="AN81" s="15">
        <v>0.275861867327279</v>
      </c>
      <c r="AO81" s="15">
        <v>0.316957857458463</v>
      </c>
      <c r="AP81" s="15"/>
      <c r="AQ81" s="15"/>
      <c r="AR81" s="15"/>
      <c r="AS81" s="15"/>
      <c r="AT81" s="15"/>
      <c r="AU81" s="15"/>
      <c r="AV81" s="15"/>
    </row>
    <row r="82" ht="14" spans="1:48">
      <c r="A82" s="22" t="s">
        <v>97</v>
      </c>
      <c r="B82" s="15" t="str">
        <v/>
      </c>
      <c r="C82" s="15" t="str">
        <v/>
      </c>
      <c r="D82" s="15" t="str">
        <v/>
      </c>
      <c r="E82" s="15" t="str">
        <v/>
      </c>
      <c r="F82" s="15" t="str">
        <v/>
      </c>
      <c r="G82" s="15" t="str">
        <v/>
      </c>
      <c r="H82" s="15" t="str">
        <v/>
      </c>
      <c r="I82" s="15" t="str">
        <v/>
      </c>
      <c r="J82" s="15" t="str">
        <v/>
      </c>
      <c r="K82" s="15" t="str">
        <v/>
      </c>
      <c r="L82" s="15" t="str">
        <v/>
      </c>
      <c r="M82" s="15" t="str">
        <v/>
      </c>
      <c r="N82" s="15" t="str">
        <v/>
      </c>
      <c r="O82" s="15" t="str">
        <v/>
      </c>
      <c r="P82" s="15" t="str">
        <v/>
      </c>
      <c r="Q82" s="15" t="str">
        <v/>
      </c>
      <c r="R82" s="15" t="str">
        <v/>
      </c>
      <c r="S82" s="15" t="str">
        <v/>
      </c>
      <c r="T82" s="15" t="str">
        <v/>
      </c>
      <c r="U82" s="15" t="str">
        <v/>
      </c>
      <c r="V82" s="15" t="str">
        <v/>
      </c>
      <c r="W82" s="15" t="str">
        <v/>
      </c>
      <c r="X82" s="15" t="str">
        <v/>
      </c>
      <c r="Y82" s="15" t="str">
        <v/>
      </c>
      <c r="Z82" s="15" t="str">
        <v/>
      </c>
      <c r="AA82" s="15" t="str">
        <v/>
      </c>
      <c r="AB82" s="15" t="str">
        <v/>
      </c>
      <c r="AC82" s="15" t="str">
        <v/>
      </c>
      <c r="AD82" s="15" t="str">
        <v/>
      </c>
      <c r="AE82" s="15" t="str">
        <v/>
      </c>
      <c r="AF82" s="15" t="str">
        <v/>
      </c>
      <c r="AG82" s="15" t="str">
        <v/>
      </c>
      <c r="AH82" s="15">
        <v>1</v>
      </c>
      <c r="AI82" s="15">
        <v>0.305251603325145</v>
      </c>
      <c r="AJ82" s="15">
        <v>0.200862405420258</v>
      </c>
      <c r="AK82" s="15">
        <v>0.12193655846214</v>
      </c>
      <c r="AL82" s="15">
        <v>0.304552529675361</v>
      </c>
      <c r="AM82" s="15">
        <v>0.194200697601435</v>
      </c>
      <c r="AN82" s="15">
        <v>0.235158138804624</v>
      </c>
      <c r="AO82" s="15">
        <v>0.34708250789986</v>
      </c>
      <c r="AP82" s="15"/>
      <c r="AQ82" s="15"/>
      <c r="AR82" s="15"/>
      <c r="AS82" s="15"/>
      <c r="AT82" s="15"/>
      <c r="AU82" s="15"/>
      <c r="AV82" s="15"/>
    </row>
    <row r="83" ht="14" spans="1:48">
      <c r="A83" s="22" t="s">
        <v>101</v>
      </c>
      <c r="B83" s="15" t="str">
        <v/>
      </c>
      <c r="C83" s="15" t="str">
        <v/>
      </c>
      <c r="D83" s="15" t="str">
        <v/>
      </c>
      <c r="E83" s="15" t="str">
        <v/>
      </c>
      <c r="F83" s="15" t="str">
        <v/>
      </c>
      <c r="G83" s="15" t="str">
        <v/>
      </c>
      <c r="H83" s="15" t="str">
        <v/>
      </c>
      <c r="I83" s="15" t="str">
        <v/>
      </c>
      <c r="J83" s="15" t="str">
        <v/>
      </c>
      <c r="K83" s="15" t="str">
        <v/>
      </c>
      <c r="L83" s="15" t="str">
        <v/>
      </c>
      <c r="M83" s="15" t="str">
        <v/>
      </c>
      <c r="N83" s="15" t="str">
        <v/>
      </c>
      <c r="O83" s="15" t="str">
        <v/>
      </c>
      <c r="P83" s="15" t="str">
        <v/>
      </c>
      <c r="Q83" s="15" t="str">
        <v/>
      </c>
      <c r="R83" s="15" t="str">
        <v/>
      </c>
      <c r="S83" s="15" t="str">
        <v/>
      </c>
      <c r="T83" s="15" t="str">
        <v/>
      </c>
      <c r="U83" s="15" t="str">
        <v/>
      </c>
      <c r="V83" s="15" t="str">
        <v/>
      </c>
      <c r="W83" s="15" t="str">
        <v/>
      </c>
      <c r="X83" s="15" t="str">
        <v/>
      </c>
      <c r="Y83" s="15" t="str">
        <v/>
      </c>
      <c r="Z83" s="15" t="str">
        <v/>
      </c>
      <c r="AA83" s="15" t="str">
        <v/>
      </c>
      <c r="AB83" s="15" t="str">
        <v/>
      </c>
      <c r="AC83" s="15" t="str">
        <v/>
      </c>
      <c r="AD83" s="15" t="str">
        <v/>
      </c>
      <c r="AE83" s="15" t="str">
        <v/>
      </c>
      <c r="AF83" s="15" t="str">
        <v/>
      </c>
      <c r="AG83" s="15" t="str">
        <v/>
      </c>
      <c r="AH83" s="15" t="str">
        <v/>
      </c>
      <c r="AI83" s="15">
        <v>1</v>
      </c>
      <c r="AJ83" s="15">
        <v>0.355249661033861</v>
      </c>
      <c r="AK83" s="15">
        <v>0.44367528222608</v>
      </c>
      <c r="AL83" s="15">
        <v>0.29955146790615</v>
      </c>
      <c r="AM83" s="15">
        <v>0.26206649632662</v>
      </c>
      <c r="AN83" s="15">
        <v>0.292765281435645</v>
      </c>
      <c r="AO83" s="15">
        <v>0.421140277546937</v>
      </c>
      <c r="AP83" s="15"/>
      <c r="AQ83" s="15"/>
      <c r="AR83" s="15"/>
      <c r="AS83" s="15"/>
      <c r="AT83" s="15"/>
      <c r="AU83" s="15"/>
      <c r="AV83" s="15"/>
    </row>
    <row r="84" ht="14" spans="1:48">
      <c r="A84" s="22" t="s">
        <v>107</v>
      </c>
      <c r="B84" s="15" t="str">
        <v/>
      </c>
      <c r="C84" s="15" t="str">
        <v/>
      </c>
      <c r="D84" s="15" t="str">
        <v/>
      </c>
      <c r="E84" s="15" t="str">
        <v/>
      </c>
      <c r="F84" s="15" t="str">
        <v/>
      </c>
      <c r="G84" s="15" t="str">
        <v/>
      </c>
      <c r="H84" s="15" t="str">
        <v/>
      </c>
      <c r="I84" s="15" t="str">
        <v/>
      </c>
      <c r="J84" s="15" t="str">
        <v/>
      </c>
      <c r="K84" s="15" t="str">
        <v/>
      </c>
      <c r="L84" s="15" t="str">
        <v/>
      </c>
      <c r="M84" s="15" t="str">
        <v/>
      </c>
      <c r="N84" s="15" t="str">
        <v/>
      </c>
      <c r="O84" s="15" t="str">
        <v/>
      </c>
      <c r="P84" s="15" t="str">
        <v/>
      </c>
      <c r="Q84" s="15" t="str">
        <v/>
      </c>
      <c r="R84" s="15" t="str">
        <v/>
      </c>
      <c r="S84" s="15" t="str">
        <v/>
      </c>
      <c r="T84" s="15" t="str">
        <v/>
      </c>
      <c r="U84" s="15" t="str">
        <v/>
      </c>
      <c r="V84" s="15" t="str">
        <v/>
      </c>
      <c r="W84" s="15" t="str">
        <v/>
      </c>
      <c r="X84" s="15" t="str">
        <v/>
      </c>
      <c r="Y84" s="15" t="str">
        <v/>
      </c>
      <c r="Z84" s="15" t="str">
        <v/>
      </c>
      <c r="AA84" s="15" t="str">
        <v/>
      </c>
      <c r="AB84" s="15" t="str">
        <v/>
      </c>
      <c r="AC84" s="15" t="str">
        <v/>
      </c>
      <c r="AD84" s="15" t="str">
        <v/>
      </c>
      <c r="AE84" s="15" t="str">
        <v/>
      </c>
      <c r="AF84" s="15" t="str">
        <v/>
      </c>
      <c r="AG84" s="15" t="str">
        <v/>
      </c>
      <c r="AH84" s="15" t="str">
        <v/>
      </c>
      <c r="AI84" s="15" t="str">
        <v/>
      </c>
      <c r="AJ84" s="15">
        <v>1</v>
      </c>
      <c r="AK84" s="15">
        <v>0.447102995974677</v>
      </c>
      <c r="AL84" s="15">
        <v>0.492525189446564</v>
      </c>
      <c r="AM84" s="15">
        <v>0.0830121125722782</v>
      </c>
      <c r="AN84" s="15">
        <v>0.218240463087998</v>
      </c>
      <c r="AO84" s="15">
        <v>0.415004061478496</v>
      </c>
      <c r="AP84" s="15"/>
      <c r="AQ84" s="15"/>
      <c r="AR84" s="15"/>
      <c r="AS84" s="15"/>
      <c r="AT84" s="15"/>
      <c r="AU84" s="15"/>
      <c r="AV84" s="15"/>
    </row>
    <row r="85" ht="14" spans="1:48">
      <c r="A85" s="22" t="s">
        <v>110</v>
      </c>
      <c r="B85" s="15" t="str">
        <v/>
      </c>
      <c r="C85" s="15" t="str">
        <v/>
      </c>
      <c r="D85" s="15" t="str">
        <v/>
      </c>
      <c r="E85" s="15" t="str">
        <v/>
      </c>
      <c r="F85" s="15" t="str">
        <v/>
      </c>
      <c r="G85" s="15" t="str">
        <v/>
      </c>
      <c r="H85" s="15" t="str">
        <v/>
      </c>
      <c r="I85" s="15" t="str">
        <v/>
      </c>
      <c r="J85" s="15" t="str">
        <v/>
      </c>
      <c r="K85" s="15" t="str">
        <v/>
      </c>
      <c r="L85" s="15" t="str">
        <v/>
      </c>
      <c r="M85" s="15" t="str">
        <v/>
      </c>
      <c r="N85" s="15" t="str">
        <v/>
      </c>
      <c r="O85" s="15" t="str">
        <v/>
      </c>
      <c r="P85" s="15" t="str">
        <v/>
      </c>
      <c r="Q85" s="15" t="str">
        <v/>
      </c>
      <c r="R85" s="15" t="str">
        <v/>
      </c>
      <c r="S85" s="15" t="str">
        <v/>
      </c>
      <c r="T85" s="15" t="str">
        <v/>
      </c>
      <c r="U85" s="15" t="str">
        <v/>
      </c>
      <c r="V85" s="15" t="str">
        <v/>
      </c>
      <c r="W85" s="15" t="str">
        <v/>
      </c>
      <c r="X85" s="15" t="str">
        <v/>
      </c>
      <c r="Y85" s="15" t="str">
        <v/>
      </c>
      <c r="Z85" s="15" t="str">
        <v/>
      </c>
      <c r="AA85" s="15" t="str">
        <v/>
      </c>
      <c r="AB85" s="15" t="str">
        <v/>
      </c>
      <c r="AC85" s="15" t="str">
        <v/>
      </c>
      <c r="AD85" s="15" t="str">
        <v/>
      </c>
      <c r="AE85" s="15" t="str">
        <v/>
      </c>
      <c r="AF85" s="15" t="str">
        <v/>
      </c>
      <c r="AG85" s="15" t="str">
        <v/>
      </c>
      <c r="AH85" s="15" t="str">
        <v/>
      </c>
      <c r="AI85" s="15" t="str">
        <v/>
      </c>
      <c r="AJ85" s="15" t="str">
        <v/>
      </c>
      <c r="AK85" s="15">
        <v>1</v>
      </c>
      <c r="AL85" s="15">
        <v>0.320168674168219</v>
      </c>
      <c r="AM85" s="15">
        <v>0.178237211944792</v>
      </c>
      <c r="AN85" s="15">
        <v>0.187195002021868</v>
      </c>
      <c r="AO85" s="15">
        <v>0.391917492094958</v>
      </c>
      <c r="AP85" s="15"/>
      <c r="AQ85" s="15"/>
      <c r="AR85" s="15"/>
      <c r="AS85" s="15"/>
      <c r="AT85" s="15"/>
      <c r="AU85" s="15"/>
      <c r="AV85" s="15"/>
    </row>
    <row r="86" ht="14" spans="1:48">
      <c r="A86" s="22" t="s">
        <v>114</v>
      </c>
      <c r="B86" s="15" t="str">
        <v/>
      </c>
      <c r="C86" s="15" t="str">
        <v/>
      </c>
      <c r="D86" s="15" t="str">
        <v/>
      </c>
      <c r="E86" s="15" t="str">
        <v/>
      </c>
      <c r="F86" s="15" t="str">
        <v/>
      </c>
      <c r="G86" s="15" t="str">
        <v/>
      </c>
      <c r="H86" s="15" t="str">
        <v/>
      </c>
      <c r="I86" s="15" t="str">
        <v/>
      </c>
      <c r="J86" s="15" t="str">
        <v/>
      </c>
      <c r="K86" s="15" t="str">
        <v/>
      </c>
      <c r="L86" s="15" t="str">
        <v/>
      </c>
      <c r="M86" s="15" t="str">
        <v/>
      </c>
      <c r="N86" s="15" t="str">
        <v/>
      </c>
      <c r="O86" s="15" t="str">
        <v/>
      </c>
      <c r="P86" s="15" t="str">
        <v/>
      </c>
      <c r="Q86" s="15" t="str">
        <v/>
      </c>
      <c r="R86" s="15" t="str">
        <v/>
      </c>
      <c r="S86" s="15" t="str">
        <v/>
      </c>
      <c r="T86" s="15" t="str">
        <v/>
      </c>
      <c r="U86" s="15" t="str">
        <v/>
      </c>
      <c r="V86" s="15" t="str">
        <v/>
      </c>
      <c r="W86" s="15" t="str">
        <v/>
      </c>
      <c r="X86" s="15" t="str">
        <v/>
      </c>
      <c r="Y86" s="15" t="str">
        <v/>
      </c>
      <c r="Z86" s="15" t="str">
        <v/>
      </c>
      <c r="AA86" s="15" t="str">
        <v/>
      </c>
      <c r="AB86" s="15" t="str">
        <v/>
      </c>
      <c r="AC86" s="15" t="str">
        <v/>
      </c>
      <c r="AD86" s="15" t="str">
        <v/>
      </c>
      <c r="AE86" s="15" t="str">
        <v/>
      </c>
      <c r="AF86" s="15" t="str">
        <v/>
      </c>
      <c r="AG86" s="15" t="str">
        <v/>
      </c>
      <c r="AH86" s="15" t="str">
        <v/>
      </c>
      <c r="AI86" s="15" t="str">
        <v/>
      </c>
      <c r="AJ86" s="15" t="str">
        <v/>
      </c>
      <c r="AK86" s="15" t="str">
        <v/>
      </c>
      <c r="AL86" s="15">
        <v>1</v>
      </c>
      <c r="AM86" s="15">
        <v>0.205062975976526</v>
      </c>
      <c r="AN86" s="15">
        <v>0.2300498777127</v>
      </c>
      <c r="AO86" s="15">
        <v>0.561797140482787</v>
      </c>
      <c r="AP86" s="15"/>
      <c r="AQ86" s="15"/>
      <c r="AR86" s="15"/>
      <c r="AS86" s="15"/>
      <c r="AT86" s="15"/>
      <c r="AU86" s="15"/>
      <c r="AV86" s="15"/>
    </row>
    <row r="87" ht="14" spans="1:48">
      <c r="A87" s="22" t="s">
        <v>127</v>
      </c>
      <c r="B87" s="15" t="str">
        <v/>
      </c>
      <c r="C87" s="15" t="str">
        <v/>
      </c>
      <c r="D87" s="15" t="str">
        <v/>
      </c>
      <c r="E87" s="15" t="str">
        <v/>
      </c>
      <c r="F87" s="15" t="str">
        <v/>
      </c>
      <c r="G87" s="15" t="str">
        <v/>
      </c>
      <c r="H87" s="15" t="str">
        <v/>
      </c>
      <c r="I87" s="15" t="str">
        <v/>
      </c>
      <c r="J87" s="15" t="str">
        <v/>
      </c>
      <c r="K87" s="15" t="str">
        <v/>
      </c>
      <c r="L87" s="15" t="str">
        <v/>
      </c>
      <c r="M87" s="15" t="str">
        <v/>
      </c>
      <c r="N87" s="15" t="str">
        <v/>
      </c>
      <c r="O87" s="15" t="str">
        <v/>
      </c>
      <c r="P87" s="15" t="str">
        <v/>
      </c>
      <c r="Q87" s="15" t="str">
        <v/>
      </c>
      <c r="R87" s="15" t="str">
        <v/>
      </c>
      <c r="S87" s="15" t="str">
        <v/>
      </c>
      <c r="T87" s="15" t="str">
        <v/>
      </c>
      <c r="U87" s="15" t="str">
        <v/>
      </c>
      <c r="V87" s="15" t="str">
        <v/>
      </c>
      <c r="W87" s="15" t="str">
        <v/>
      </c>
      <c r="X87" s="15" t="str">
        <v/>
      </c>
      <c r="Y87" s="15" t="str">
        <v/>
      </c>
      <c r="Z87" s="15" t="str">
        <v/>
      </c>
      <c r="AA87" s="15" t="str">
        <v/>
      </c>
      <c r="AB87" s="15" t="str">
        <v/>
      </c>
      <c r="AC87" s="15" t="str">
        <v/>
      </c>
      <c r="AD87" s="15" t="str">
        <v/>
      </c>
      <c r="AE87" s="15" t="str">
        <v/>
      </c>
      <c r="AF87" s="15" t="str">
        <v/>
      </c>
      <c r="AG87" s="15" t="str">
        <v/>
      </c>
      <c r="AH87" s="15" t="str">
        <v/>
      </c>
      <c r="AI87" s="15" t="str">
        <v/>
      </c>
      <c r="AJ87" s="15" t="str">
        <v/>
      </c>
      <c r="AK87" s="15" t="str">
        <v/>
      </c>
      <c r="AL87" s="15" t="str">
        <v/>
      </c>
      <c r="AM87" s="15">
        <v>1</v>
      </c>
      <c r="AN87" s="15">
        <v>0.167136339843524</v>
      </c>
      <c r="AO87" s="15">
        <v>0.115021714962117</v>
      </c>
      <c r="AP87" s="15"/>
      <c r="AQ87" s="15"/>
      <c r="AR87" s="15"/>
      <c r="AS87" s="15"/>
      <c r="AT87" s="15"/>
      <c r="AU87" s="15"/>
      <c r="AV87" s="15"/>
    </row>
    <row r="88" ht="14" spans="1:48">
      <c r="A88" s="22" t="s">
        <v>128</v>
      </c>
      <c r="B88" s="15" t="str">
        <v/>
      </c>
      <c r="C88" s="15" t="str">
        <v/>
      </c>
      <c r="D88" s="15" t="str">
        <v/>
      </c>
      <c r="E88" s="15" t="str">
        <v/>
      </c>
      <c r="F88" s="15" t="str">
        <v/>
      </c>
      <c r="G88" s="15" t="str">
        <v/>
      </c>
      <c r="H88" s="15" t="str">
        <v/>
      </c>
      <c r="I88" s="15" t="str">
        <v/>
      </c>
      <c r="J88" s="15" t="str">
        <v/>
      </c>
      <c r="K88" s="15" t="str">
        <v/>
      </c>
      <c r="L88" s="15" t="str">
        <v/>
      </c>
      <c r="M88" s="15" t="str">
        <v/>
      </c>
      <c r="N88" s="15" t="str">
        <v/>
      </c>
      <c r="O88" s="15" t="str">
        <v/>
      </c>
      <c r="P88" s="15" t="str">
        <v/>
      </c>
      <c r="Q88" s="15" t="str">
        <v/>
      </c>
      <c r="R88" s="15" t="str">
        <v/>
      </c>
      <c r="S88" s="15" t="str">
        <v/>
      </c>
      <c r="T88" s="15" t="str">
        <v/>
      </c>
      <c r="U88" s="15" t="str">
        <v/>
      </c>
      <c r="V88" s="15" t="str">
        <v/>
      </c>
      <c r="W88" s="15" t="str">
        <v/>
      </c>
      <c r="X88" s="15" t="str">
        <v/>
      </c>
      <c r="Y88" s="15" t="str">
        <v/>
      </c>
      <c r="Z88" s="15" t="str">
        <v/>
      </c>
      <c r="AA88" s="15" t="str">
        <v/>
      </c>
      <c r="AB88" s="15" t="str">
        <v/>
      </c>
      <c r="AC88" s="15" t="str">
        <v/>
      </c>
      <c r="AD88" s="15" t="str">
        <v/>
      </c>
      <c r="AE88" s="15" t="str">
        <v/>
      </c>
      <c r="AF88" s="15" t="str">
        <v/>
      </c>
      <c r="AG88" s="15" t="str">
        <v/>
      </c>
      <c r="AH88" s="15" t="str">
        <v/>
      </c>
      <c r="AI88" s="15" t="str">
        <v/>
      </c>
      <c r="AJ88" s="15" t="str">
        <v/>
      </c>
      <c r="AK88" s="15" t="str">
        <v/>
      </c>
      <c r="AL88" s="15" t="str">
        <v/>
      </c>
      <c r="AM88" s="15" t="str">
        <v/>
      </c>
      <c r="AN88" s="15">
        <v>1</v>
      </c>
      <c r="AO88" s="15">
        <v>0.133252832172481</v>
      </c>
      <c r="AP88" s="15"/>
      <c r="AQ88" s="15"/>
      <c r="AR88" s="15"/>
      <c r="AS88" s="15"/>
      <c r="AT88" s="15"/>
      <c r="AU88" s="15"/>
      <c r="AV88" s="15"/>
    </row>
    <row r="89" ht="14" spans="1:48">
      <c r="A89" s="22" t="s">
        <v>130</v>
      </c>
      <c r="B89" s="15" t="str">
        <v/>
      </c>
      <c r="C89" s="15" t="str">
        <v/>
      </c>
      <c r="D89" s="15" t="str">
        <v/>
      </c>
      <c r="E89" s="15" t="str">
        <v/>
      </c>
      <c r="F89" s="15" t="str">
        <v/>
      </c>
      <c r="G89" s="15" t="str">
        <v/>
      </c>
      <c r="H89" s="15" t="str">
        <v/>
      </c>
      <c r="I89" s="15" t="str">
        <v/>
      </c>
      <c r="J89" s="15" t="str">
        <v/>
      </c>
      <c r="K89" s="15" t="str">
        <v/>
      </c>
      <c r="L89" s="15" t="str">
        <v/>
      </c>
      <c r="M89" s="15" t="str">
        <v/>
      </c>
      <c r="N89" s="15" t="str">
        <v/>
      </c>
      <c r="O89" s="15" t="str">
        <v/>
      </c>
      <c r="P89" s="15" t="str">
        <v/>
      </c>
      <c r="Q89" s="15" t="str">
        <v/>
      </c>
      <c r="R89" s="15" t="str">
        <v/>
      </c>
      <c r="S89" s="15" t="str">
        <v/>
      </c>
      <c r="T89" s="15" t="str">
        <v/>
      </c>
      <c r="U89" s="15" t="str">
        <v/>
      </c>
      <c r="V89" s="15" t="str">
        <v/>
      </c>
      <c r="W89" s="15" t="str">
        <v/>
      </c>
      <c r="X89" s="15" t="str">
        <v/>
      </c>
      <c r="Y89" s="15" t="str">
        <v/>
      </c>
      <c r="Z89" s="15" t="str">
        <v/>
      </c>
      <c r="AA89" s="15" t="str">
        <v/>
      </c>
      <c r="AB89" s="15" t="str">
        <v/>
      </c>
      <c r="AC89" s="15" t="str">
        <v/>
      </c>
      <c r="AD89" s="15" t="str">
        <v/>
      </c>
      <c r="AE89" s="15" t="str">
        <v/>
      </c>
      <c r="AF89" s="15" t="str">
        <v/>
      </c>
      <c r="AG89" s="15" t="str">
        <v/>
      </c>
      <c r="AH89" s="15" t="str">
        <v/>
      </c>
      <c r="AI89" s="15" t="str">
        <v/>
      </c>
      <c r="AJ89" s="15" t="str">
        <v/>
      </c>
      <c r="AK89" s="15" t="str">
        <v/>
      </c>
      <c r="AL89" s="15" t="str">
        <v/>
      </c>
      <c r="AM89" s="15" t="str">
        <v/>
      </c>
      <c r="AN89" s="15" t="str">
        <v/>
      </c>
      <c r="AO89" s="15">
        <v>1</v>
      </c>
      <c r="AP89" s="15"/>
      <c r="AQ89" s="15"/>
      <c r="AR89" s="15"/>
      <c r="AS89" s="15"/>
      <c r="AT89" s="15"/>
      <c r="AU89" s="15"/>
      <c r="AV89" s="15"/>
    </row>
    <row r="90" ht="14" spans="1:48">
      <c r="A90" s="31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</row>
    <row r="91" ht="14" spans="1:48">
      <c r="A91" s="31" t="s">
        <v>135</v>
      </c>
      <c r="B91" s="4">
        <f t="array" ref="B91">AVERAGEIF(B50:AO89,"&lt;1")</f>
        <v>0.229921590109266</v>
      </c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</row>
    <row r="92" ht="14" spans="1:48">
      <c r="A92" s="31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</row>
    <row r="93" ht="14" spans="1:48">
      <c r="A93" s="31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</row>
    <row r="94" ht="14" spans="1:48">
      <c r="A94" s="31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</row>
    <row r="95" ht="14" spans="1:48">
      <c r="A95" s="31"/>
      <c r="AP95" s="15"/>
      <c r="AQ95" s="15"/>
      <c r="AR95" s="15"/>
      <c r="AS95" s="15"/>
      <c r="AT95" s="15"/>
      <c r="AU95" s="15"/>
      <c r="AV95" s="15"/>
    </row>
  </sheetData>
  <conditionalFormatting sqref="B2:AO2">
    <cfRule type="duplicateValues" dxfId="0" priority="8"/>
    <cfRule type="duplicateValues" dxfId="0" priority="7"/>
    <cfRule type="duplicateValues" dxfId="0" priority="9"/>
  </conditionalFormatting>
  <conditionalFormatting sqref="B49:AO49">
    <cfRule type="duplicateValues" dxfId="0" priority="2"/>
    <cfRule type="duplicateValues" dxfId="0" priority="1"/>
    <cfRule type="duplicateValues" dxfId="0" priority="3"/>
  </conditionalFormatting>
  <conditionalFormatting sqref="AP49">
    <cfRule type="duplicateValues" dxfId="0" priority="387"/>
  </conditionalFormatting>
  <conditionalFormatting sqref="A3:A42">
    <cfRule type="duplicateValues" dxfId="0" priority="14"/>
    <cfRule type="duplicateValues" dxfId="0" priority="13"/>
    <cfRule type="duplicateValues" dxfId="0" priority="15"/>
  </conditionalFormatting>
  <conditionalFormatting sqref="A50:A89">
    <cfRule type="duplicateValues" dxfId="0" priority="5"/>
    <cfRule type="duplicateValues" dxfId="0" priority="4"/>
    <cfRule type="duplicateValues" dxfId="0" priority="6"/>
  </conditionalFormatting>
  <conditionalFormatting sqref="A90:A95">
    <cfRule type="duplicateValues" dxfId="0" priority="347"/>
  </conditionalFormatting>
  <conditionalFormatting sqref="AP50:AV95 B50:AO94">
    <cfRule type="containsBlanks" dxfId="3" priority="25">
      <formula>LEN(TRIM(B50))=0</formula>
    </cfRule>
    <cfRule type="cellIs" dxfId="2" priority="26" operator="between">
      <formula>0.6</formula>
      <formula>0.99999</formula>
    </cfRule>
  </conditionalFormatting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O42"/>
  <sheetViews>
    <sheetView zoomScale="50" zoomScaleNormal="50" workbookViewId="0">
      <selection activeCell="A2" sqref="A2:AO42"/>
    </sheetView>
  </sheetViews>
  <sheetFormatPr defaultColWidth="11" defaultRowHeight="13.2"/>
  <cols>
    <col min="2" max="17" width="11" customWidth="1"/>
    <col min="18" max="18" width="13" customWidth="1"/>
    <col min="19" max="41" width="11" customWidth="1"/>
  </cols>
  <sheetData>
    <row r="1" ht="25.2" spans="1:1">
      <c r="A1" s="26" t="s">
        <v>140</v>
      </c>
    </row>
    <row r="2" ht="14" spans="2:41">
      <c r="B2" s="22" t="s">
        <v>2</v>
      </c>
      <c r="C2" s="22" t="s">
        <v>6</v>
      </c>
      <c r="D2" s="22" t="s">
        <v>4</v>
      </c>
      <c r="E2" s="22" t="s">
        <v>5</v>
      </c>
      <c r="F2" s="22" t="s">
        <v>7</v>
      </c>
      <c r="G2" s="22" t="s">
        <v>9</v>
      </c>
      <c r="H2" s="22" t="s">
        <v>10</v>
      </c>
      <c r="I2" s="22" t="s">
        <v>11</v>
      </c>
      <c r="J2" s="22" t="s">
        <v>16</v>
      </c>
      <c r="K2" s="22" t="s">
        <v>17</v>
      </c>
      <c r="L2" s="22" t="s">
        <v>19</v>
      </c>
      <c r="M2" s="22" t="s">
        <v>28</v>
      </c>
      <c r="N2" s="22" t="s">
        <v>30</v>
      </c>
      <c r="O2" s="22" t="s">
        <v>32</v>
      </c>
      <c r="P2" s="22" t="s">
        <v>34</v>
      </c>
      <c r="Q2" s="22" t="s">
        <v>37</v>
      </c>
      <c r="R2" s="22" t="s">
        <v>39</v>
      </c>
      <c r="S2" s="22" t="s">
        <v>40</v>
      </c>
      <c r="T2" s="22" t="s">
        <v>41</v>
      </c>
      <c r="U2" s="22" t="s">
        <v>44</v>
      </c>
      <c r="V2" s="22" t="s">
        <v>49</v>
      </c>
      <c r="W2" s="22" t="s">
        <v>53</v>
      </c>
      <c r="X2" s="22" t="s">
        <v>57</v>
      </c>
      <c r="Y2" s="22" t="s">
        <v>61</v>
      </c>
      <c r="Z2" s="22" t="s">
        <v>63</v>
      </c>
      <c r="AA2" s="22" t="s">
        <v>66</v>
      </c>
      <c r="AB2" s="22" t="s">
        <v>74</v>
      </c>
      <c r="AC2" s="22" t="s">
        <v>75</v>
      </c>
      <c r="AD2" s="22" t="s">
        <v>78</v>
      </c>
      <c r="AE2" s="22" t="s">
        <v>81</v>
      </c>
      <c r="AF2" s="22" t="s">
        <v>82</v>
      </c>
      <c r="AG2" s="22" t="s">
        <v>89</v>
      </c>
      <c r="AH2" s="22" t="s">
        <v>97</v>
      </c>
      <c r="AI2" s="22" t="s">
        <v>101</v>
      </c>
      <c r="AJ2" s="22" t="s">
        <v>107</v>
      </c>
      <c r="AK2" s="22" t="s">
        <v>110</v>
      </c>
      <c r="AL2" s="22" t="s">
        <v>114</v>
      </c>
      <c r="AM2" s="22" t="s">
        <v>127</v>
      </c>
      <c r="AN2" s="22" t="s">
        <v>128</v>
      </c>
      <c r="AO2" s="22" t="s">
        <v>130</v>
      </c>
    </row>
    <row r="3" ht="14" spans="1:41">
      <c r="A3" s="22" t="s">
        <v>2</v>
      </c>
      <c r="B3" s="4">
        <f t="array" ref="B3:AO42">VarCovar(Data!B132:AO189)</f>
        <v>0.00239956142449895</v>
      </c>
      <c r="C3" s="4">
        <v>0.00100038628461059</v>
      </c>
      <c r="D3" s="4">
        <v>0.00156255844581892</v>
      </c>
      <c r="E3" s="4">
        <v>0.000643521555971423</v>
      </c>
      <c r="F3" s="4">
        <v>0.00158285700297294</v>
      </c>
      <c r="G3" s="4">
        <v>0.00139233537190897</v>
      </c>
      <c r="H3" s="4">
        <v>0.00177524563196185</v>
      </c>
      <c r="I3" s="4">
        <v>0.000852725659068834</v>
      </c>
      <c r="J3" s="4">
        <v>0.00140874157083845</v>
      </c>
      <c r="K3" s="4">
        <v>0.00139863769317312</v>
      </c>
      <c r="L3" s="4">
        <v>0.000586133136286184</v>
      </c>
      <c r="M3" s="4">
        <v>4.76008152936843e-5</v>
      </c>
      <c r="N3" s="4">
        <v>0.00125923929300084</v>
      </c>
      <c r="O3" s="4">
        <v>0.00142860985496465</v>
      </c>
      <c r="P3" s="4">
        <v>0.00152458439086526</v>
      </c>
      <c r="Q3" s="4">
        <v>0.00286391625558437</v>
      </c>
      <c r="R3" s="4">
        <v>0.00143834199905919</v>
      </c>
      <c r="S3" s="4">
        <v>0.00134067373970498</v>
      </c>
      <c r="T3" s="4">
        <v>0.0013694784629304</v>
      </c>
      <c r="U3" s="4">
        <v>0.00258241550516817</v>
      </c>
      <c r="V3" s="4">
        <v>0.00115805678921249</v>
      </c>
      <c r="W3" s="4">
        <v>0.000742080324016252</v>
      </c>
      <c r="X3" s="4">
        <v>0.000903244727327695</v>
      </c>
      <c r="Y3" s="4">
        <v>0.000979074992781547</v>
      </c>
      <c r="Z3" s="4">
        <v>0.00124585638161828</v>
      </c>
      <c r="AA3" s="4">
        <v>0.0011692185671606</v>
      </c>
      <c r="AB3" s="4">
        <v>0.000615365822428363</v>
      </c>
      <c r="AC3" s="4">
        <v>0.00203439423673214</v>
      </c>
      <c r="AD3" s="4">
        <v>0.000922612743583268</v>
      </c>
      <c r="AE3" s="4">
        <v>0.00196580051386767</v>
      </c>
      <c r="AF3" s="4">
        <v>0.000989048285220289</v>
      </c>
      <c r="AG3" s="4">
        <v>0.00191104583713941</v>
      </c>
      <c r="AH3" s="4">
        <v>0.00219664076927624</v>
      </c>
      <c r="AI3" s="4">
        <v>0.00184802855761841</v>
      </c>
      <c r="AJ3" s="4">
        <v>0.00060347755269845</v>
      </c>
      <c r="AK3" s="4">
        <v>0.00124508513893168</v>
      </c>
      <c r="AL3" s="4">
        <v>0.00164112237582031</v>
      </c>
      <c r="AM3" s="4">
        <v>0.00293185221448219</v>
      </c>
      <c r="AN3" s="4">
        <v>0.00110300233208384</v>
      </c>
      <c r="AO3" s="4">
        <v>0.00128519038735149</v>
      </c>
    </row>
    <row r="4" ht="14" spans="1:41">
      <c r="A4" s="22" t="s">
        <v>6</v>
      </c>
      <c r="B4" s="4">
        <v>0.00100038628461059</v>
      </c>
      <c r="C4" s="4">
        <v>0.00252399390893863</v>
      </c>
      <c r="D4" s="4">
        <v>0.00121468333716246</v>
      </c>
      <c r="E4" s="4">
        <v>0.000377168546808802</v>
      </c>
      <c r="F4" s="4">
        <v>0.00191844663710174</v>
      </c>
      <c r="G4" s="4">
        <v>0.00119014758449333</v>
      </c>
      <c r="H4" s="4">
        <v>0.00151648691376285</v>
      </c>
      <c r="I4" s="4">
        <v>0.000565123240037274</v>
      </c>
      <c r="J4" s="4">
        <v>0.000942372918739274</v>
      </c>
      <c r="K4" s="4">
        <v>0.00186867581111908</v>
      </c>
      <c r="L4" s="4">
        <v>0.000639680213805494</v>
      </c>
      <c r="M4" s="4">
        <v>0.000623992994726933</v>
      </c>
      <c r="N4" s="4">
        <v>0.000468611444377279</v>
      </c>
      <c r="O4" s="4">
        <v>0.000512727792051035</v>
      </c>
      <c r="P4" s="4">
        <v>0.000588999778612077</v>
      </c>
      <c r="Q4" s="4">
        <v>0.00189372066841222</v>
      </c>
      <c r="R4" s="4">
        <v>0.000308189719603395</v>
      </c>
      <c r="S4" s="4">
        <v>0.000259116749597339</v>
      </c>
      <c r="T4" s="4">
        <v>0.000396081014660557</v>
      </c>
      <c r="U4" s="4">
        <v>0.00270757334695791</v>
      </c>
      <c r="V4" s="4">
        <v>0.000743326505038977</v>
      </c>
      <c r="W4" s="4">
        <v>0.00036938047030878</v>
      </c>
      <c r="X4" s="4">
        <v>-1.5506961714874e-5</v>
      </c>
      <c r="Y4" s="4">
        <v>0.000148250000693008</v>
      </c>
      <c r="Z4" s="4">
        <v>0.000765003895568846</v>
      </c>
      <c r="AA4" s="4">
        <v>0.000781950175237803</v>
      </c>
      <c r="AB4" s="4">
        <v>0.000726777420220777</v>
      </c>
      <c r="AC4" s="4">
        <v>-0.000487168695171673</v>
      </c>
      <c r="AD4" s="4">
        <v>0.00106929248519291</v>
      </c>
      <c r="AE4" s="4">
        <v>0.000957827205528113</v>
      </c>
      <c r="AF4" s="4">
        <v>0.00110713399778335</v>
      </c>
      <c r="AG4" s="4">
        <v>0.000242761703463817</v>
      </c>
      <c r="AH4" s="4">
        <v>0.00102879766780047</v>
      </c>
      <c r="AI4" s="4">
        <v>0.00110506350561988</v>
      </c>
      <c r="AJ4" s="4">
        <v>0.00043732113743415</v>
      </c>
      <c r="AK4" s="4">
        <v>0.000720858597532851</v>
      </c>
      <c r="AL4" s="4">
        <v>0.00126171610138778</v>
      </c>
      <c r="AM4" s="4">
        <v>0.00189934987723489</v>
      </c>
      <c r="AN4" s="4">
        <v>0.000522268965433851</v>
      </c>
      <c r="AO4" s="4">
        <v>0.000113585677214058</v>
      </c>
    </row>
    <row r="5" ht="14" spans="1:41">
      <c r="A5" s="22" t="s">
        <v>4</v>
      </c>
      <c r="B5" s="4">
        <v>0.00156255844581892</v>
      </c>
      <c r="C5" s="4">
        <v>0.00121468333716246</v>
      </c>
      <c r="D5" s="4">
        <v>0.00481728628300211</v>
      </c>
      <c r="E5" s="4">
        <v>0.000772619701194353</v>
      </c>
      <c r="F5" s="4">
        <v>0.0017980350201614</v>
      </c>
      <c r="G5" s="4">
        <v>0.000661196010688627</v>
      </c>
      <c r="H5" s="4">
        <v>0.00279377609676377</v>
      </c>
      <c r="I5" s="4">
        <v>0.00044702436102343</v>
      </c>
      <c r="J5" s="4">
        <v>0.000572258096926709</v>
      </c>
      <c r="K5" s="4">
        <v>0.00167304499083995</v>
      </c>
      <c r="L5" s="4">
        <v>0.00092731429142205</v>
      </c>
      <c r="M5" s="4">
        <v>0.000689851500235471</v>
      </c>
      <c r="N5" s="4">
        <v>0.000995038672934341</v>
      </c>
      <c r="O5" s="4">
        <v>0.000273183225818799</v>
      </c>
      <c r="P5" s="4">
        <v>0.00113655617747409</v>
      </c>
      <c r="Q5" s="4">
        <v>0.00236259336790727</v>
      </c>
      <c r="R5" s="4">
        <v>4.41192135243197e-5</v>
      </c>
      <c r="S5" s="4">
        <v>0.00162968129956581</v>
      </c>
      <c r="T5" s="4">
        <v>0.000716504727252703</v>
      </c>
      <c r="U5" s="4">
        <v>0.00265307238540651</v>
      </c>
      <c r="V5" s="4">
        <v>0.000642495413985552</v>
      </c>
      <c r="W5" s="4">
        <v>0.000126847947879242</v>
      </c>
      <c r="X5" s="4">
        <v>-0.000107515491857464</v>
      </c>
      <c r="Y5" s="4">
        <v>0.001194945205971</v>
      </c>
      <c r="Z5" s="4">
        <v>-0.000167320228426248</v>
      </c>
      <c r="AA5" s="4">
        <v>0.000916077052354606</v>
      </c>
      <c r="AB5" s="4">
        <v>-0.000193955257018975</v>
      </c>
      <c r="AC5" s="4">
        <v>-0.00174044088192574</v>
      </c>
      <c r="AD5" s="4">
        <v>0.000179859265693507</v>
      </c>
      <c r="AE5" s="4">
        <v>0.000485543020261101</v>
      </c>
      <c r="AF5" s="4">
        <v>0.000206336740262755</v>
      </c>
      <c r="AG5" s="4">
        <v>0.000100295491574679</v>
      </c>
      <c r="AH5" s="4">
        <v>0.00169168793703781</v>
      </c>
      <c r="AI5" s="4">
        <v>-0.000577730692530036</v>
      </c>
      <c r="AJ5" s="4">
        <v>4.53300702281372e-5</v>
      </c>
      <c r="AK5" s="4">
        <v>0.000427159042181265</v>
      </c>
      <c r="AL5" s="4">
        <v>0.00101309929783178</v>
      </c>
      <c r="AM5" s="4">
        <v>0.00187047803946536</v>
      </c>
      <c r="AN5" s="4">
        <v>-0.000419740624062846</v>
      </c>
      <c r="AO5" s="4">
        <v>4.89460813498175e-5</v>
      </c>
    </row>
    <row r="6" ht="14" spans="1:41">
      <c r="A6" s="22" t="s">
        <v>5</v>
      </c>
      <c r="B6" s="4">
        <v>0.000643521555971423</v>
      </c>
      <c r="C6" s="4">
        <v>0.000377168546808802</v>
      </c>
      <c r="D6" s="4">
        <v>0.000772619701194353</v>
      </c>
      <c r="E6" s="4">
        <v>0.00701239700500198</v>
      </c>
      <c r="F6" s="4">
        <v>0.00149766575920823</v>
      </c>
      <c r="G6" s="4">
        <v>0.000550646237402582</v>
      </c>
      <c r="H6" s="4">
        <v>0.00296795308878925</v>
      </c>
      <c r="I6" s="4">
        <v>0.000525576119052448</v>
      </c>
      <c r="J6" s="4">
        <v>0.00171584377868613</v>
      </c>
      <c r="K6" s="4">
        <v>0.00297384295444326</v>
      </c>
      <c r="L6" s="4">
        <v>0.000963848436933597</v>
      </c>
      <c r="M6" s="4">
        <v>0.00200543883849665</v>
      </c>
      <c r="N6" s="4">
        <v>0.00132235408499223</v>
      </c>
      <c r="O6" s="4">
        <v>0.0012843180715428</v>
      </c>
      <c r="P6" s="4">
        <v>0.00163775334848838</v>
      </c>
      <c r="Q6" s="4">
        <v>-0.000957809084873137</v>
      </c>
      <c r="R6" s="4">
        <v>0.00263776261424995</v>
      </c>
      <c r="S6" s="4">
        <v>0.00106128579222087</v>
      </c>
      <c r="T6" s="4">
        <v>0.00155080297214177</v>
      </c>
      <c r="U6" s="4">
        <v>0.00436558234280543</v>
      </c>
      <c r="V6" s="4">
        <v>0.000960035736443356</v>
      </c>
      <c r="W6" s="4">
        <v>0.000779260727807103</v>
      </c>
      <c r="X6" s="4">
        <v>0.00193450940821405</v>
      </c>
      <c r="Y6" s="4">
        <v>0.00364180111255008</v>
      </c>
      <c r="Z6" s="4">
        <v>5.81863271393604e-5</v>
      </c>
      <c r="AA6" s="4">
        <v>0.00166080481030455</v>
      </c>
      <c r="AB6" s="4">
        <v>0.00199070599223307</v>
      </c>
      <c r="AC6" s="4">
        <v>0.00311367239857081</v>
      </c>
      <c r="AD6" s="4">
        <v>-0.000440175627241959</v>
      </c>
      <c r="AE6" s="4">
        <v>0.000167205095964942</v>
      </c>
      <c r="AF6" s="4">
        <v>3.42117495478419e-5</v>
      </c>
      <c r="AG6" s="4">
        <v>0.00047696404939114</v>
      </c>
      <c r="AH6" s="4">
        <v>0.00165574640657268</v>
      </c>
      <c r="AI6" s="4">
        <v>0.0020492923255494</v>
      </c>
      <c r="AJ6" s="4">
        <v>0.00365406478371842</v>
      </c>
      <c r="AK6" s="4">
        <v>0.00124111423446153</v>
      </c>
      <c r="AL6" s="4">
        <v>0.00242045412056686</v>
      </c>
      <c r="AM6" s="4">
        <v>0.00273679626308212</v>
      </c>
      <c r="AN6" s="4">
        <v>0.000914118074065672</v>
      </c>
      <c r="AO6" s="4">
        <v>0.000742442001824088</v>
      </c>
    </row>
    <row r="7" ht="14" spans="1:41">
      <c r="A7" s="22" t="s">
        <v>7</v>
      </c>
      <c r="B7" s="4">
        <v>0.00158285700297294</v>
      </c>
      <c r="C7" s="4">
        <v>0.00191844663710174</v>
      </c>
      <c r="D7" s="4">
        <v>0.0017980350201614</v>
      </c>
      <c r="E7" s="4">
        <v>0.00149766575920823</v>
      </c>
      <c r="F7" s="4">
        <v>0.00423305199538967</v>
      </c>
      <c r="G7" s="4">
        <v>0.00170843797716042</v>
      </c>
      <c r="H7" s="4">
        <v>0.00231047550215549</v>
      </c>
      <c r="I7" s="4">
        <v>0.000645227354255721</v>
      </c>
      <c r="J7" s="4">
        <v>0.0018023526272787</v>
      </c>
      <c r="K7" s="4">
        <v>0.0025090579752583</v>
      </c>
      <c r="L7" s="4">
        <v>0.00119250030467038</v>
      </c>
      <c r="M7" s="4">
        <v>0.00100820346163995</v>
      </c>
      <c r="N7" s="4">
        <v>0.00104321295585882</v>
      </c>
      <c r="O7" s="4">
        <v>0.00118066583335233</v>
      </c>
      <c r="P7" s="4">
        <v>0.00095406640203959</v>
      </c>
      <c r="Q7" s="4">
        <v>0.00249288449645249</v>
      </c>
      <c r="R7" s="4">
        <v>0.00113208950576511</v>
      </c>
      <c r="S7" s="4">
        <v>0.00100783941862369</v>
      </c>
      <c r="T7" s="4">
        <v>0.00149524661420511</v>
      </c>
      <c r="U7" s="4">
        <v>0.0046946294764215</v>
      </c>
      <c r="V7" s="4">
        <v>0.000561433854033411</v>
      </c>
      <c r="W7" s="4">
        <v>0.000205116121577901</v>
      </c>
      <c r="X7" s="4">
        <v>0.000454446643831127</v>
      </c>
      <c r="Y7" s="4">
        <v>0.000554030324167531</v>
      </c>
      <c r="Z7" s="4">
        <v>0.000537961028897335</v>
      </c>
      <c r="AA7" s="4">
        <v>0.00136024160762367</v>
      </c>
      <c r="AB7" s="4">
        <v>0.0010281696922739</v>
      </c>
      <c r="AC7" s="4">
        <v>-0.00115398048568444</v>
      </c>
      <c r="AD7" s="4">
        <v>0.000905039677789633</v>
      </c>
      <c r="AE7" s="4">
        <v>0.000768468083829587</v>
      </c>
      <c r="AF7" s="4">
        <v>0.000996631519950394</v>
      </c>
      <c r="AG7" s="4">
        <v>0.00123701756605601</v>
      </c>
      <c r="AH7" s="4">
        <v>0.00243482395723721</v>
      </c>
      <c r="AI7" s="4">
        <v>0.00192510126813586</v>
      </c>
      <c r="AJ7" s="4">
        <v>0.00269650634876493</v>
      </c>
      <c r="AK7" s="4">
        <v>0.00134495988978558</v>
      </c>
      <c r="AL7" s="4">
        <v>0.00175076544238457</v>
      </c>
      <c r="AM7" s="4">
        <v>0.00270574913253526</v>
      </c>
      <c r="AN7" s="4">
        <v>0.00063251913789168</v>
      </c>
      <c r="AO7" s="4">
        <v>0.000186463845717788</v>
      </c>
    </row>
    <row r="8" ht="14" spans="1:41">
      <c r="A8" s="22" t="s">
        <v>9</v>
      </c>
      <c r="B8" s="4">
        <v>0.00139233537190897</v>
      </c>
      <c r="C8" s="4">
        <v>0.00119014758449333</v>
      </c>
      <c r="D8" s="4">
        <v>0.000661196010688627</v>
      </c>
      <c r="E8" s="4">
        <v>0.000550646237402582</v>
      </c>
      <c r="F8" s="4">
        <v>0.00170843797716042</v>
      </c>
      <c r="G8" s="4">
        <v>0.00329028812457952</v>
      </c>
      <c r="H8" s="4">
        <v>0.0025525498839865</v>
      </c>
      <c r="I8" s="4">
        <v>0.00192774440985349</v>
      </c>
      <c r="J8" s="4">
        <v>0.00130468883968849</v>
      </c>
      <c r="K8" s="4">
        <v>0.00139380126546345</v>
      </c>
      <c r="L8" s="4">
        <v>0.0011966547761542</v>
      </c>
      <c r="M8" s="4">
        <v>0.000936078882979452</v>
      </c>
      <c r="N8" s="4">
        <v>0.00142730437680645</v>
      </c>
      <c r="O8" s="4">
        <v>0.00121732818698307</v>
      </c>
      <c r="P8" s="4">
        <v>0.000495413363125153</v>
      </c>
      <c r="Q8" s="4">
        <v>0.00223733014046377</v>
      </c>
      <c r="R8" s="4">
        <v>0.00233243033575931</v>
      </c>
      <c r="S8" s="4">
        <v>2.90644518731606e-5</v>
      </c>
      <c r="T8" s="4">
        <v>0.00110151691260801</v>
      </c>
      <c r="U8" s="4">
        <v>0.00369581364580785</v>
      </c>
      <c r="V8" s="4">
        <v>0.00221545272059515</v>
      </c>
      <c r="W8" s="4">
        <v>0.0020092534192395</v>
      </c>
      <c r="X8" s="4">
        <v>0.000237890204090622</v>
      </c>
      <c r="Y8" s="4">
        <v>0.00139616408139263</v>
      </c>
      <c r="Z8" s="4">
        <v>0.00104065611490925</v>
      </c>
      <c r="AA8" s="4">
        <v>0.000854884922324312</v>
      </c>
      <c r="AB8" s="4">
        <v>0.00122409820821094</v>
      </c>
      <c r="AC8" s="4">
        <v>0.000788617904406822</v>
      </c>
      <c r="AD8" s="4">
        <v>0.000677489195965923</v>
      </c>
      <c r="AE8" s="4">
        <v>0.00134729506860546</v>
      </c>
      <c r="AF8" s="4">
        <v>0.00107250131712541</v>
      </c>
      <c r="AG8" s="4">
        <v>0.00136920442495885</v>
      </c>
      <c r="AH8" s="4">
        <v>0.00215094635054635</v>
      </c>
      <c r="AI8" s="4">
        <v>0.00200841985169661</v>
      </c>
      <c r="AJ8" s="4">
        <v>0.00115301389486541</v>
      </c>
      <c r="AK8" s="4">
        <v>0.000601116724510336</v>
      </c>
      <c r="AL8" s="4">
        <v>0.00106347155447635</v>
      </c>
      <c r="AM8" s="4">
        <v>0.00239825262504663</v>
      </c>
      <c r="AN8" s="4">
        <v>0.00124222596187383</v>
      </c>
      <c r="AO8" s="4">
        <v>0.00129568157444589</v>
      </c>
    </row>
    <row r="9" ht="14" spans="1:41">
      <c r="A9" s="22" t="s">
        <v>10</v>
      </c>
      <c r="B9" s="4">
        <v>0.00177524563196185</v>
      </c>
      <c r="C9" s="4">
        <v>0.00151648691376285</v>
      </c>
      <c r="D9" s="4">
        <v>0.00279377609676377</v>
      </c>
      <c r="E9" s="4">
        <v>0.00296795308878925</v>
      </c>
      <c r="F9" s="4">
        <v>0.00231047550215549</v>
      </c>
      <c r="G9" s="4">
        <v>0.0025525498839865</v>
      </c>
      <c r="H9" s="4">
        <v>0.00896408500686384</v>
      </c>
      <c r="I9" s="4">
        <v>0.0023663487825982</v>
      </c>
      <c r="J9" s="4">
        <v>0.00131809245755675</v>
      </c>
      <c r="K9" s="4">
        <v>0.00208632831159044</v>
      </c>
      <c r="L9" s="4">
        <v>0.0014748423388519</v>
      </c>
      <c r="M9" s="4">
        <v>0.00199145855542612</v>
      </c>
      <c r="N9" s="4">
        <v>0.00216811058550603</v>
      </c>
      <c r="O9" s="4">
        <v>0.00165803641170781</v>
      </c>
      <c r="P9" s="4">
        <v>0.00368779417000169</v>
      </c>
      <c r="Q9" s="4">
        <v>0.00250212843047319</v>
      </c>
      <c r="R9" s="4">
        <v>0.00255681824389405</v>
      </c>
      <c r="S9" s="4">
        <v>0.00127066442210779</v>
      </c>
      <c r="T9" s="4">
        <v>0.00229359633707078</v>
      </c>
      <c r="U9" s="4">
        <v>0.0044526889796337</v>
      </c>
      <c r="V9" s="4">
        <v>0.00211453707430488</v>
      </c>
      <c r="W9" s="4">
        <v>0.00226158032329844</v>
      </c>
      <c r="X9" s="4">
        <v>0.00143077381497821</v>
      </c>
      <c r="Y9" s="4">
        <v>0.00407300300570226</v>
      </c>
      <c r="Z9" s="4">
        <v>4.08761465925736e-5</v>
      </c>
      <c r="AA9" s="4">
        <v>0.00199212799065858</v>
      </c>
      <c r="AB9" s="4">
        <v>0.00151855085400096</v>
      </c>
      <c r="AC9" s="4">
        <v>0.000366118132290849</v>
      </c>
      <c r="AD9" s="4">
        <v>8.31468874060362e-5</v>
      </c>
      <c r="AE9" s="4">
        <v>0.00109719405940418</v>
      </c>
      <c r="AF9" s="4">
        <v>0.000540405852845228</v>
      </c>
      <c r="AG9" s="4">
        <v>0.00143690544267617</v>
      </c>
      <c r="AH9" s="4">
        <v>0.00127003843920905</v>
      </c>
      <c r="AI9" s="4">
        <v>0.000768236457103967</v>
      </c>
      <c r="AJ9" s="4">
        <v>0.00367571533839004</v>
      </c>
      <c r="AK9" s="4">
        <v>0.000821846897390478</v>
      </c>
      <c r="AL9" s="4">
        <v>0.002273960368022</v>
      </c>
      <c r="AM9" s="4">
        <v>0.00115349793342364</v>
      </c>
      <c r="AN9" s="4">
        <v>0.00140903166593528</v>
      </c>
      <c r="AO9" s="4">
        <v>0.00173446352853103</v>
      </c>
    </row>
    <row r="10" ht="14" spans="1:41">
      <c r="A10" s="22" t="s">
        <v>11</v>
      </c>
      <c r="B10" s="4">
        <v>0.000852725659068834</v>
      </c>
      <c r="C10" s="4">
        <v>0.000565123240037274</v>
      </c>
      <c r="D10" s="4">
        <v>0.00044702436102343</v>
      </c>
      <c r="E10" s="4">
        <v>0.000525576119052448</v>
      </c>
      <c r="F10" s="4">
        <v>0.000645227354255721</v>
      </c>
      <c r="G10" s="4">
        <v>0.00192774440985349</v>
      </c>
      <c r="H10" s="4">
        <v>0.0023663487825982</v>
      </c>
      <c r="I10" s="4">
        <v>0.00547335301029192</v>
      </c>
      <c r="J10" s="4">
        <v>0.00128765009007915</v>
      </c>
      <c r="K10" s="4">
        <v>0.000371442806597647</v>
      </c>
      <c r="L10" s="4">
        <v>0.000290003002961267</v>
      </c>
      <c r="M10" s="4">
        <v>0.00186137271425503</v>
      </c>
      <c r="N10" s="4">
        <v>0.00154659544766137</v>
      </c>
      <c r="O10" s="4">
        <v>0.00154760190323992</v>
      </c>
      <c r="P10" s="4">
        <v>0.00186843270929266</v>
      </c>
      <c r="Q10" s="4">
        <v>0.000726298031383179</v>
      </c>
      <c r="R10" s="4">
        <v>0.00317901528591233</v>
      </c>
      <c r="S10" s="4">
        <v>-0.000563962473221415</v>
      </c>
      <c r="T10" s="4">
        <v>0.00102507134665521</v>
      </c>
      <c r="U10" s="4">
        <v>0.00635065281310001</v>
      </c>
      <c r="V10" s="4">
        <v>0.00234074126320869</v>
      </c>
      <c r="W10" s="4">
        <v>0.00228805213356429</v>
      </c>
      <c r="X10" s="4">
        <v>0.00200145082920907</v>
      </c>
      <c r="Y10" s="4">
        <v>0.00222122192639904</v>
      </c>
      <c r="Z10" s="4">
        <v>0.000602560644471548</v>
      </c>
      <c r="AA10" s="4">
        <v>0.00168680455645613</v>
      </c>
      <c r="AB10" s="4">
        <v>0.00148956654759786</v>
      </c>
      <c r="AC10" s="4">
        <v>0.00166767100209153</v>
      </c>
      <c r="AD10" s="4">
        <v>0.000319567346074117</v>
      </c>
      <c r="AE10" s="4">
        <v>0.00171785998780816</v>
      </c>
      <c r="AF10" s="4">
        <v>0.00135229906631775</v>
      </c>
      <c r="AG10" s="4">
        <v>0.00222509511662413</v>
      </c>
      <c r="AH10" s="4">
        <v>0.00195009461170154</v>
      </c>
      <c r="AI10" s="4">
        <v>0.00212727412210859</v>
      </c>
      <c r="AJ10" s="4">
        <v>0.00143036334076267</v>
      </c>
      <c r="AK10" s="4">
        <v>0.00069743991367846</v>
      </c>
      <c r="AL10" s="4">
        <v>0.00131323835900502</v>
      </c>
      <c r="AM10" s="4">
        <v>0.00121903987644113</v>
      </c>
      <c r="AN10" s="4">
        <v>0.00268654360093993</v>
      </c>
      <c r="AO10" s="4">
        <v>0.00104709849702887</v>
      </c>
    </row>
    <row r="11" ht="14" spans="1:41">
      <c r="A11" s="22" t="s">
        <v>16</v>
      </c>
      <c r="B11" s="4">
        <v>0.00140874157083845</v>
      </c>
      <c r="C11" s="4">
        <v>0.000942372918739274</v>
      </c>
      <c r="D11" s="4">
        <v>0.000572258096926709</v>
      </c>
      <c r="E11" s="4">
        <v>0.00171584377868613</v>
      </c>
      <c r="F11" s="4">
        <v>0.0018023526272787</v>
      </c>
      <c r="G11" s="4">
        <v>0.00130468883968849</v>
      </c>
      <c r="H11" s="4">
        <v>0.00131809245755675</v>
      </c>
      <c r="I11" s="4">
        <v>0.00128765009007915</v>
      </c>
      <c r="J11" s="4">
        <v>0.00360427883994</v>
      </c>
      <c r="K11" s="4">
        <v>0.00268483375241885</v>
      </c>
      <c r="L11" s="4">
        <v>0.000894390166218961</v>
      </c>
      <c r="M11" s="4">
        <v>0.000328263197952159</v>
      </c>
      <c r="N11" s="4">
        <v>0.000983738321272905</v>
      </c>
      <c r="O11" s="4">
        <v>0.00134837102958701</v>
      </c>
      <c r="P11" s="4">
        <v>0.00145986759237334</v>
      </c>
      <c r="Q11" s="4">
        <v>0.00106357994132781</v>
      </c>
      <c r="R11" s="4">
        <v>0.00133712203023621</v>
      </c>
      <c r="S11" s="4">
        <v>0.000605269797299709</v>
      </c>
      <c r="T11" s="4">
        <v>0.00116207655191696</v>
      </c>
      <c r="U11" s="4">
        <v>0.00371506117528505</v>
      </c>
      <c r="V11" s="4">
        <v>0.00118459472348392</v>
      </c>
      <c r="W11" s="4">
        <v>0.000877242526412939</v>
      </c>
      <c r="X11" s="4">
        <v>0.00130384727048826</v>
      </c>
      <c r="Y11" s="4">
        <v>0.000341325189001431</v>
      </c>
      <c r="Z11" s="4">
        <v>0.000919393733392883</v>
      </c>
      <c r="AA11" s="4">
        <v>0.00101312672012586</v>
      </c>
      <c r="AB11" s="4">
        <v>0.00171483706969275</v>
      </c>
      <c r="AC11" s="4">
        <v>0.00189706414140843</v>
      </c>
      <c r="AD11" s="4">
        <v>0.000531826281133738</v>
      </c>
      <c r="AE11" s="4">
        <v>0.001193196820327</v>
      </c>
      <c r="AF11" s="4">
        <v>0.000692103285308926</v>
      </c>
      <c r="AG11" s="4">
        <v>0.00305588509544618</v>
      </c>
      <c r="AH11" s="4">
        <v>0.00187785428122194</v>
      </c>
      <c r="AI11" s="4">
        <v>0.00250140718275258</v>
      </c>
      <c r="AJ11" s="4">
        <v>0.00278325082299903</v>
      </c>
      <c r="AK11" s="4">
        <v>0.0019588905262778</v>
      </c>
      <c r="AL11" s="4">
        <v>0.00186336221367708</v>
      </c>
      <c r="AM11" s="4">
        <v>0.00241035087525234</v>
      </c>
      <c r="AN11" s="4">
        <v>0.00168706645016609</v>
      </c>
      <c r="AO11" s="4">
        <v>0.000827755385985986</v>
      </c>
    </row>
    <row r="12" ht="14" spans="1:41">
      <c r="A12" s="22" t="s">
        <v>17</v>
      </c>
      <c r="B12" s="4">
        <v>0.00139863769317312</v>
      </c>
      <c r="C12" s="4">
        <v>0.00186867581111908</v>
      </c>
      <c r="D12" s="4">
        <v>0.00167304499083995</v>
      </c>
      <c r="E12" s="4">
        <v>0.00297384295444326</v>
      </c>
      <c r="F12" s="4">
        <v>0.0025090579752583</v>
      </c>
      <c r="G12" s="4">
        <v>0.00139380126546345</v>
      </c>
      <c r="H12" s="4">
        <v>0.00208632831159044</v>
      </c>
      <c r="I12" s="4">
        <v>0.000371442806597647</v>
      </c>
      <c r="J12" s="4">
        <v>0.00268483375241885</v>
      </c>
      <c r="K12" s="4">
        <v>0.00644753018893236</v>
      </c>
      <c r="L12" s="4">
        <v>0.00103828643682059</v>
      </c>
      <c r="M12" s="4">
        <v>0.000618673883504024</v>
      </c>
      <c r="N12" s="4">
        <v>0.000876047307072302</v>
      </c>
      <c r="O12" s="4">
        <v>0.001004461673483</v>
      </c>
      <c r="P12" s="4">
        <v>0.00220485481132497</v>
      </c>
      <c r="Q12" s="4">
        <v>0.00361054929432258</v>
      </c>
      <c r="R12" s="4">
        <v>0.000792668672777249</v>
      </c>
      <c r="S12" s="4">
        <v>0.000367292771532885</v>
      </c>
      <c r="T12" s="4">
        <v>0.000847589579832753</v>
      </c>
      <c r="U12" s="4">
        <v>0.00531980373378527</v>
      </c>
      <c r="V12" s="4">
        <v>0.000638368840715395</v>
      </c>
      <c r="W12" s="4">
        <v>-0.000181419435089403</v>
      </c>
      <c r="X12" s="4">
        <v>0.00135597865442684</v>
      </c>
      <c r="Y12" s="4">
        <v>-0.000451302205236166</v>
      </c>
      <c r="Z12" s="4">
        <v>0.000692730796878625</v>
      </c>
      <c r="AA12" s="4">
        <v>0.00155345400276877</v>
      </c>
      <c r="AB12" s="4">
        <v>0.00155783544938654</v>
      </c>
      <c r="AC12" s="4">
        <v>0.00153192247851095</v>
      </c>
      <c r="AD12" s="4">
        <v>0.000698433795618936</v>
      </c>
      <c r="AE12" s="4">
        <v>0.000517835575318901</v>
      </c>
      <c r="AF12" s="4">
        <v>0.00101362766331002</v>
      </c>
      <c r="AG12" s="4">
        <v>0.00266268272743102</v>
      </c>
      <c r="AH12" s="4">
        <v>0.00376463194602535</v>
      </c>
      <c r="AI12" s="4">
        <v>0.00237749828179174</v>
      </c>
      <c r="AJ12" s="4">
        <v>0.00463496011815502</v>
      </c>
      <c r="AK12" s="4">
        <v>0.00272647100988205</v>
      </c>
      <c r="AL12" s="4">
        <v>0.0025014030351888</v>
      </c>
      <c r="AM12" s="4">
        <v>0.00184553755644569</v>
      </c>
      <c r="AN12" s="4">
        <v>0.000754139465710073</v>
      </c>
      <c r="AO12" s="4">
        <v>0.00222031648180357</v>
      </c>
    </row>
    <row r="13" ht="14" spans="1:41">
      <c r="A13" s="22" t="s">
        <v>19</v>
      </c>
      <c r="B13" s="4">
        <v>0.000586133136286184</v>
      </c>
      <c r="C13" s="4">
        <v>0.000639680213805494</v>
      </c>
      <c r="D13" s="4">
        <v>0.00092731429142205</v>
      </c>
      <c r="E13" s="4">
        <v>0.000963848436933597</v>
      </c>
      <c r="F13" s="4">
        <v>0.00119250030467038</v>
      </c>
      <c r="G13" s="4">
        <v>0.0011966547761542</v>
      </c>
      <c r="H13" s="4">
        <v>0.0014748423388519</v>
      </c>
      <c r="I13" s="4">
        <v>0.000290003002961267</v>
      </c>
      <c r="J13" s="4">
        <v>0.000894390166218961</v>
      </c>
      <c r="K13" s="4">
        <v>0.00103828643682059</v>
      </c>
      <c r="L13" s="4">
        <v>0.00895534391242223</v>
      </c>
      <c r="M13" s="4">
        <v>0.000913217545193069</v>
      </c>
      <c r="N13" s="4">
        <v>0.000370120843758555</v>
      </c>
      <c r="O13" s="4">
        <v>0.000416017264714006</v>
      </c>
      <c r="P13" s="4">
        <v>0.00208583898263797</v>
      </c>
      <c r="Q13" s="4">
        <v>0.00113469599165669</v>
      </c>
      <c r="R13" s="4">
        <v>0.00409786373968611</v>
      </c>
      <c r="S13" s="4">
        <v>-0.000890769082113058</v>
      </c>
      <c r="T13" s="4">
        <v>0.00029854720838141</v>
      </c>
      <c r="U13" s="4">
        <v>0.00406438759209522</v>
      </c>
      <c r="V13" s="4">
        <v>0.00211164457689476</v>
      </c>
      <c r="W13" s="4">
        <v>0.0011123199641464</v>
      </c>
      <c r="X13" s="4">
        <v>-0.000392968085309255</v>
      </c>
      <c r="Y13" s="4">
        <v>0.00317090658609825</v>
      </c>
      <c r="Z13" s="4">
        <v>-0.00116552755548538</v>
      </c>
      <c r="AA13" s="4">
        <v>0.000703350712110781</v>
      </c>
      <c r="AB13" s="4">
        <v>0.00314280878875447</v>
      </c>
      <c r="AC13" s="4">
        <v>-0.00148725509753223</v>
      </c>
      <c r="AD13" s="4">
        <v>0.000311202242215264</v>
      </c>
      <c r="AE13" s="4">
        <v>0.00139260530435206</v>
      </c>
      <c r="AF13" s="4">
        <v>0.000174171212852202</v>
      </c>
      <c r="AG13" s="4">
        <v>0.000648090455137099</v>
      </c>
      <c r="AH13" s="4">
        <v>0.00178522706549664</v>
      </c>
      <c r="AI13" s="4">
        <v>0.000719302010000009</v>
      </c>
      <c r="AJ13" s="4">
        <v>-0.000814640347830072</v>
      </c>
      <c r="AK13" s="4">
        <v>-0.000311945265968454</v>
      </c>
      <c r="AL13" s="4">
        <v>-0.000478066335947198</v>
      </c>
      <c r="AM13" s="4">
        <v>0.000840656567835245</v>
      </c>
      <c r="AN13" s="4">
        <v>0.00106635928059738</v>
      </c>
      <c r="AO13" s="4">
        <v>-0.0020866916738509</v>
      </c>
    </row>
    <row r="14" ht="14" spans="1:41">
      <c r="A14" s="22" t="s">
        <v>28</v>
      </c>
      <c r="B14" s="4">
        <v>4.76008152936843e-5</v>
      </c>
      <c r="C14" s="4">
        <v>0.000623992994726933</v>
      </c>
      <c r="D14" s="4">
        <v>0.000689851500235471</v>
      </c>
      <c r="E14" s="4">
        <v>0.00200543883849665</v>
      </c>
      <c r="F14" s="4">
        <v>0.00100820346163995</v>
      </c>
      <c r="G14" s="4">
        <v>0.000936078882979452</v>
      </c>
      <c r="H14" s="4">
        <v>0.00199145855542612</v>
      </c>
      <c r="I14" s="4">
        <v>0.00186137271425503</v>
      </c>
      <c r="J14" s="4">
        <v>0.000328263197952159</v>
      </c>
      <c r="K14" s="4">
        <v>0.000618673883504024</v>
      </c>
      <c r="L14" s="4">
        <v>0.000913217545193069</v>
      </c>
      <c r="M14" s="4">
        <v>0.00483190037396029</v>
      </c>
      <c r="N14" s="4">
        <v>0.00107394187843904</v>
      </c>
      <c r="O14" s="4">
        <v>0.000262103714539658</v>
      </c>
      <c r="P14" s="4">
        <v>0.000984036404630269</v>
      </c>
      <c r="Q14" s="4">
        <v>-0.00152140705968131</v>
      </c>
      <c r="R14" s="4">
        <v>0.00159586001686581</v>
      </c>
      <c r="S14" s="4">
        <v>-0.000403674068020529</v>
      </c>
      <c r="T14" s="4">
        <v>0.000640113914606138</v>
      </c>
      <c r="U14" s="4">
        <v>0.00260884580454697</v>
      </c>
      <c r="V14" s="4">
        <v>0.000705881232800448</v>
      </c>
      <c r="W14" s="4">
        <v>0.000816115076882154</v>
      </c>
      <c r="X14" s="4">
        <v>6.07314916339875e-5</v>
      </c>
      <c r="Y14" s="4">
        <v>0.00128833339203887</v>
      </c>
      <c r="Z14" s="4">
        <v>-5.76249765924378e-5</v>
      </c>
      <c r="AA14" s="4">
        <v>0.000811873906360656</v>
      </c>
      <c r="AB14" s="4">
        <v>0.000239574455988561</v>
      </c>
      <c r="AC14" s="4">
        <v>-0.00121000724142446</v>
      </c>
      <c r="AD14" s="4">
        <v>0.000260489404451479</v>
      </c>
      <c r="AE14" s="4">
        <v>-0.000118556713786016</v>
      </c>
      <c r="AF14" s="4">
        <v>0.000566502889841792</v>
      </c>
      <c r="AG14" s="4">
        <v>-0.000424089403868685</v>
      </c>
      <c r="AH14" s="4">
        <v>0.00064192682360628</v>
      </c>
      <c r="AI14" s="4">
        <v>0.000268377998085495</v>
      </c>
      <c r="AJ14" s="4">
        <v>-0.000192896622483301</v>
      </c>
      <c r="AK14" s="4">
        <v>0.000133852117626324</v>
      </c>
      <c r="AL14" s="4">
        <v>0.000454104923923804</v>
      </c>
      <c r="AM14" s="4">
        <v>0.000767990805079859</v>
      </c>
      <c r="AN14" s="4">
        <v>0.000428718068137429</v>
      </c>
      <c r="AO14" s="4">
        <v>3.92938811651997e-5</v>
      </c>
    </row>
    <row r="15" ht="14" spans="1:41">
      <c r="A15" s="22" t="s">
        <v>30</v>
      </c>
      <c r="B15" s="4">
        <v>0.00125923929300084</v>
      </c>
      <c r="C15" s="4">
        <v>0.000468611444377279</v>
      </c>
      <c r="D15" s="4">
        <v>0.000995038672934341</v>
      </c>
      <c r="E15" s="4">
        <v>0.00132235408499223</v>
      </c>
      <c r="F15" s="4">
        <v>0.00104321295585882</v>
      </c>
      <c r="G15" s="4">
        <v>0.00142730437680645</v>
      </c>
      <c r="H15" s="4">
        <v>0.00216811058550603</v>
      </c>
      <c r="I15" s="4">
        <v>0.00154659544766137</v>
      </c>
      <c r="J15" s="4">
        <v>0.000983738321272905</v>
      </c>
      <c r="K15" s="4">
        <v>0.000876047307072302</v>
      </c>
      <c r="L15" s="4">
        <v>0.000370120843758555</v>
      </c>
      <c r="M15" s="4">
        <v>0.00107394187843904</v>
      </c>
      <c r="N15" s="4">
        <v>0.00230982779563246</v>
      </c>
      <c r="O15" s="4">
        <v>0.00131421653345467</v>
      </c>
      <c r="P15" s="4">
        <v>0.00216695491873299</v>
      </c>
      <c r="Q15" s="4">
        <v>0.00154401698288016</v>
      </c>
      <c r="R15" s="4">
        <v>0.00330189397339643</v>
      </c>
      <c r="S15" s="4">
        <v>0.00141559179975528</v>
      </c>
      <c r="T15" s="4">
        <v>0.00167957070349</v>
      </c>
      <c r="U15" s="4">
        <v>0.00324178057726513</v>
      </c>
      <c r="V15" s="4">
        <v>0.00121985721548847</v>
      </c>
      <c r="W15" s="4">
        <v>0.00213264223375464</v>
      </c>
      <c r="X15" s="4">
        <v>0.0017618594049874</v>
      </c>
      <c r="Y15" s="4">
        <v>0.00234008847026393</v>
      </c>
      <c r="Z15" s="4">
        <v>0.000900881090830035</v>
      </c>
      <c r="AA15" s="4">
        <v>0.00127589909796106</v>
      </c>
      <c r="AB15" s="4">
        <v>0.000571307920697654</v>
      </c>
      <c r="AC15" s="4">
        <v>0.00109207114356376</v>
      </c>
      <c r="AD15" s="4">
        <v>0.00039716440992779</v>
      </c>
      <c r="AE15" s="4">
        <v>0.00115176518127063</v>
      </c>
      <c r="AF15" s="4">
        <v>0.000555064956719614</v>
      </c>
      <c r="AG15" s="4">
        <v>0.00127688557110285</v>
      </c>
      <c r="AH15" s="4">
        <v>0.00125188193634628</v>
      </c>
      <c r="AI15" s="4">
        <v>0.00184243481759675</v>
      </c>
      <c r="AJ15" s="4">
        <v>0.0016473478070894</v>
      </c>
      <c r="AK15" s="4">
        <v>0.000807682968805825</v>
      </c>
      <c r="AL15" s="4">
        <v>0.00134670511946039</v>
      </c>
      <c r="AM15" s="4">
        <v>0.00335519088356236</v>
      </c>
      <c r="AN15" s="4">
        <v>0.00153093917474026</v>
      </c>
      <c r="AO15" s="4">
        <v>0.000841158480760062</v>
      </c>
    </row>
    <row r="16" ht="14" spans="1:41">
      <c r="A16" s="22" t="s">
        <v>32</v>
      </c>
      <c r="B16" s="4">
        <v>0.00142860985496465</v>
      </c>
      <c r="C16" s="4">
        <v>0.000512727792051035</v>
      </c>
      <c r="D16" s="4">
        <v>0.000273183225818799</v>
      </c>
      <c r="E16" s="4">
        <v>0.0012843180715428</v>
      </c>
      <c r="F16" s="4">
        <v>0.00118066583335233</v>
      </c>
      <c r="G16" s="4">
        <v>0.00121732818698307</v>
      </c>
      <c r="H16" s="4">
        <v>0.00165803641170781</v>
      </c>
      <c r="I16" s="4">
        <v>0.00154760190323992</v>
      </c>
      <c r="J16" s="4">
        <v>0.00134837102958701</v>
      </c>
      <c r="K16" s="4">
        <v>0.001004461673483</v>
      </c>
      <c r="L16" s="4">
        <v>0.000416017264714006</v>
      </c>
      <c r="M16" s="4">
        <v>0.000262103714539658</v>
      </c>
      <c r="N16" s="4">
        <v>0.00131421653345467</v>
      </c>
      <c r="O16" s="4">
        <v>0.00312108667113482</v>
      </c>
      <c r="P16" s="4">
        <v>0.00245755497300213</v>
      </c>
      <c r="Q16" s="4">
        <v>0.00171873291488354</v>
      </c>
      <c r="R16" s="4">
        <v>0.00243659546923201</v>
      </c>
      <c r="S16" s="4">
        <v>0.000944365162068407</v>
      </c>
      <c r="T16" s="4">
        <v>0.00190047462020512</v>
      </c>
      <c r="U16" s="4">
        <v>0.00300782222755788</v>
      </c>
      <c r="V16" s="4">
        <v>0.00151148682024433</v>
      </c>
      <c r="W16" s="4">
        <v>0.00157363323984905</v>
      </c>
      <c r="X16" s="4">
        <v>0.00198077782084117</v>
      </c>
      <c r="Y16" s="4">
        <v>0.000959388939983207</v>
      </c>
      <c r="Z16" s="4">
        <v>0.000909054125781763</v>
      </c>
      <c r="AA16" s="4">
        <v>0.00171069858839445</v>
      </c>
      <c r="AB16" s="4">
        <v>0.00105345268958376</v>
      </c>
      <c r="AC16" s="4">
        <v>0.00257593420663602</v>
      </c>
      <c r="AD16" s="4">
        <v>0.000568201252766253</v>
      </c>
      <c r="AE16" s="4">
        <v>0.00205508099744439</v>
      </c>
      <c r="AF16" s="4">
        <v>0.000501934542275981</v>
      </c>
      <c r="AG16" s="4">
        <v>0.00180271239885046</v>
      </c>
      <c r="AH16" s="4">
        <v>0.00138269570921144</v>
      </c>
      <c r="AI16" s="4">
        <v>0.00248893179874756</v>
      </c>
      <c r="AJ16" s="4">
        <v>0.00254576626411251</v>
      </c>
      <c r="AK16" s="4">
        <v>0.00169630108823614</v>
      </c>
      <c r="AL16" s="4">
        <v>0.00116734533978091</v>
      </c>
      <c r="AM16" s="4">
        <v>0.00132332705486357</v>
      </c>
      <c r="AN16" s="4">
        <v>0.00197936509038879</v>
      </c>
      <c r="AO16" s="4">
        <v>0.000658217754743903</v>
      </c>
    </row>
    <row r="17" ht="14" spans="1:41">
      <c r="A17" s="22" t="s">
        <v>34</v>
      </c>
      <c r="B17" s="4">
        <v>0.00152458439086526</v>
      </c>
      <c r="C17" s="4">
        <v>0.000588999778612077</v>
      </c>
      <c r="D17" s="4">
        <v>0.00113655617747409</v>
      </c>
      <c r="E17" s="4">
        <v>0.00163775334848838</v>
      </c>
      <c r="F17" s="4">
        <v>0.00095406640203959</v>
      </c>
      <c r="G17" s="4">
        <v>0.000495413363125153</v>
      </c>
      <c r="H17" s="4">
        <v>0.00368779417000169</v>
      </c>
      <c r="I17" s="4">
        <v>0.00186843270929266</v>
      </c>
      <c r="J17" s="4">
        <v>0.00145986759237334</v>
      </c>
      <c r="K17" s="4">
        <v>0.00220485481132497</v>
      </c>
      <c r="L17" s="4">
        <v>0.00208583898263797</v>
      </c>
      <c r="M17" s="4">
        <v>0.000984036404630269</v>
      </c>
      <c r="N17" s="4">
        <v>0.00216695491873299</v>
      </c>
      <c r="O17" s="4">
        <v>0.00245755497300213</v>
      </c>
      <c r="P17" s="4">
        <v>0.00936673367711772</v>
      </c>
      <c r="Q17" s="4">
        <v>0.00329896211647208</v>
      </c>
      <c r="R17" s="4">
        <v>0.0047379185861798</v>
      </c>
      <c r="S17" s="4">
        <v>0.00223589210920352</v>
      </c>
      <c r="T17" s="4">
        <v>0.00319631432239269</v>
      </c>
      <c r="U17" s="4">
        <v>0.004684378621826</v>
      </c>
      <c r="V17" s="4">
        <v>0.00179230493371667</v>
      </c>
      <c r="W17" s="4">
        <v>0.00319150688142846</v>
      </c>
      <c r="X17" s="4">
        <v>0.00312074945475117</v>
      </c>
      <c r="Y17" s="4">
        <v>0.00339639867153899</v>
      </c>
      <c r="Z17" s="4">
        <v>0.000198180121250733</v>
      </c>
      <c r="AA17" s="4">
        <v>0.00285337953625281</v>
      </c>
      <c r="AB17" s="4">
        <v>0.00145945305410893</v>
      </c>
      <c r="AC17" s="4">
        <v>0.00279808872391975</v>
      </c>
      <c r="AD17" s="4">
        <v>0.00026725585432007</v>
      </c>
      <c r="AE17" s="4">
        <v>0.00207514938162764</v>
      </c>
      <c r="AF17" s="4">
        <v>0.000484603493712673</v>
      </c>
      <c r="AG17" s="4">
        <v>0.00174863943518641</v>
      </c>
      <c r="AH17" s="4">
        <v>-0.000724343679664174</v>
      </c>
      <c r="AI17" s="4">
        <v>0.00177696793883327</v>
      </c>
      <c r="AJ17" s="4">
        <v>0.00330581780278419</v>
      </c>
      <c r="AK17" s="4">
        <v>0.00303320834802789</v>
      </c>
      <c r="AL17" s="4">
        <v>0.00132540851336576</v>
      </c>
      <c r="AM17" s="4">
        <v>0.00150400669384975</v>
      </c>
      <c r="AN17" s="4">
        <v>0.00220797186667111</v>
      </c>
      <c r="AO17" s="4">
        <v>0.00187768701038987</v>
      </c>
    </row>
    <row r="18" ht="14" spans="1:41">
      <c r="A18" s="22" t="s">
        <v>37</v>
      </c>
      <c r="B18" s="4">
        <v>0.00286391625558437</v>
      </c>
      <c r="C18" s="4">
        <v>0.00189372066841222</v>
      </c>
      <c r="D18" s="4">
        <v>0.00236259336790727</v>
      </c>
      <c r="E18" s="4">
        <v>-0.000957809084873137</v>
      </c>
      <c r="F18" s="4">
        <v>0.00249288449645249</v>
      </c>
      <c r="G18" s="4">
        <v>0.00223733014046377</v>
      </c>
      <c r="H18" s="4">
        <v>0.00250212843047319</v>
      </c>
      <c r="I18" s="4">
        <v>0.000726298031383179</v>
      </c>
      <c r="J18" s="4">
        <v>0.00106357994132781</v>
      </c>
      <c r="K18" s="4">
        <v>0.00361054929432258</v>
      </c>
      <c r="L18" s="4">
        <v>0.00113469599165669</v>
      </c>
      <c r="M18" s="4">
        <v>-0.00152140705968131</v>
      </c>
      <c r="N18" s="4">
        <v>0.00154401698288016</v>
      </c>
      <c r="O18" s="4">
        <v>0.00171873291488354</v>
      </c>
      <c r="P18" s="4">
        <v>0.00329896211647208</v>
      </c>
      <c r="Q18" s="4">
        <v>0.0179208060570502</v>
      </c>
      <c r="R18" s="4">
        <v>0.00151068483579947</v>
      </c>
      <c r="S18" s="4">
        <v>0.00207105907715284</v>
      </c>
      <c r="T18" s="4">
        <v>0.00146914548318367</v>
      </c>
      <c r="U18" s="4">
        <v>0.00306408675167365</v>
      </c>
      <c r="V18" s="4">
        <v>0.00012093479542867</v>
      </c>
      <c r="W18" s="4">
        <v>0.000708024427760219</v>
      </c>
      <c r="X18" s="4">
        <v>-0.00121642426943145</v>
      </c>
      <c r="Y18" s="4">
        <v>-0.00411896954161738</v>
      </c>
      <c r="Z18" s="4">
        <v>0.000472579390663404</v>
      </c>
      <c r="AA18" s="4">
        <v>0.000866581712787418</v>
      </c>
      <c r="AB18" s="4">
        <v>-0.00107402739722062</v>
      </c>
      <c r="AC18" s="4">
        <v>-0.00310566745716819</v>
      </c>
      <c r="AD18" s="4">
        <v>0.0011720907534115</v>
      </c>
      <c r="AE18" s="4">
        <v>0.000996848152062875</v>
      </c>
      <c r="AF18" s="4">
        <v>0.00124828093784414</v>
      </c>
      <c r="AG18" s="4">
        <v>0.00279933374464864</v>
      </c>
      <c r="AH18" s="4">
        <v>0.00526256211061905</v>
      </c>
      <c r="AI18" s="4">
        <v>0.00152088727340942</v>
      </c>
      <c r="AJ18" s="4">
        <v>0.000829060178332463</v>
      </c>
      <c r="AK18" s="4">
        <v>0.00170336745870293</v>
      </c>
      <c r="AL18" s="4">
        <v>6.05581161677571e-5</v>
      </c>
      <c r="AM18" s="4">
        <v>0.000517606931500072</v>
      </c>
      <c r="AN18" s="4">
        <v>0.00157405754706827</v>
      </c>
      <c r="AO18" s="4">
        <v>0.000204016994707553</v>
      </c>
    </row>
    <row r="19" ht="14" spans="1:41">
      <c r="A19" s="22" t="s">
        <v>39</v>
      </c>
      <c r="B19" s="4">
        <v>0.00143834199905919</v>
      </c>
      <c r="C19" s="4">
        <v>0.000308189719603395</v>
      </c>
      <c r="D19" s="4">
        <v>4.41192135243197e-5</v>
      </c>
      <c r="E19" s="4">
        <v>0.00263776261424995</v>
      </c>
      <c r="F19" s="4">
        <v>0.00113208950576511</v>
      </c>
      <c r="G19" s="4">
        <v>0.00233243033575931</v>
      </c>
      <c r="H19" s="4">
        <v>0.00255681824389405</v>
      </c>
      <c r="I19" s="4">
        <v>0.00317901528591233</v>
      </c>
      <c r="J19" s="4">
        <v>0.00133712203023621</v>
      </c>
      <c r="K19" s="4">
        <v>0.000792668672777249</v>
      </c>
      <c r="L19" s="4">
        <v>0.00409786373968611</v>
      </c>
      <c r="M19" s="4">
        <v>0.00159586001686581</v>
      </c>
      <c r="N19" s="4">
        <v>0.00330189397339643</v>
      </c>
      <c r="O19" s="4">
        <v>0.00243659546923201</v>
      </c>
      <c r="P19" s="4">
        <v>0.0047379185861798</v>
      </c>
      <c r="Q19" s="4">
        <v>0.00151068483579947</v>
      </c>
      <c r="R19" s="4">
        <v>0.0142984049137515</v>
      </c>
      <c r="S19" s="4">
        <v>0.00233842453428317</v>
      </c>
      <c r="T19" s="4">
        <v>0.00359305720703157</v>
      </c>
      <c r="U19" s="4">
        <v>0.00698280717085884</v>
      </c>
      <c r="V19" s="4">
        <v>0.00339157593918124</v>
      </c>
      <c r="W19" s="4">
        <v>0.00365564013088015</v>
      </c>
      <c r="X19" s="4">
        <v>0.00305244311562426</v>
      </c>
      <c r="Y19" s="4">
        <v>0.00358948813723125</v>
      </c>
      <c r="Z19" s="4">
        <v>0.000285548691716676</v>
      </c>
      <c r="AA19" s="4">
        <v>0.00302031887449593</v>
      </c>
      <c r="AB19" s="4">
        <v>0.00318337136392095</v>
      </c>
      <c r="AC19" s="4">
        <v>0.00329018932021558</v>
      </c>
      <c r="AD19" s="4">
        <v>-7.7853719134502e-5</v>
      </c>
      <c r="AE19" s="4">
        <v>0.00287550244572386</v>
      </c>
      <c r="AF19" s="4">
        <v>0.000786726462008526</v>
      </c>
      <c r="AG19" s="4">
        <v>0.00315481175367014</v>
      </c>
      <c r="AH19" s="4">
        <v>-6.22279690093536e-5</v>
      </c>
      <c r="AI19" s="4">
        <v>0.00528822467219069</v>
      </c>
      <c r="AJ19" s="4">
        <v>0.00210318889957277</v>
      </c>
      <c r="AK19" s="4">
        <v>0.00127401153008391</v>
      </c>
      <c r="AL19" s="4">
        <v>0.00133520336664318</v>
      </c>
      <c r="AM19" s="4">
        <v>0.00536704296690666</v>
      </c>
      <c r="AN19" s="4">
        <v>0.00441150685639114</v>
      </c>
      <c r="AO19" s="4">
        <v>0.00102062395996555</v>
      </c>
    </row>
    <row r="20" ht="14" spans="1:41">
      <c r="A20" s="22" t="s">
        <v>40</v>
      </c>
      <c r="B20" s="4">
        <v>0.00134067373970498</v>
      </c>
      <c r="C20" s="4">
        <v>0.000259116749597339</v>
      </c>
      <c r="D20" s="4">
        <v>0.00162968129956581</v>
      </c>
      <c r="E20" s="4">
        <v>0.00106128579222087</v>
      </c>
      <c r="F20" s="4">
        <v>0.00100783941862369</v>
      </c>
      <c r="G20" s="4">
        <v>2.90644518731606e-5</v>
      </c>
      <c r="H20" s="4">
        <v>0.00127066442210779</v>
      </c>
      <c r="I20" s="4">
        <v>-0.000563962473221415</v>
      </c>
      <c r="J20" s="4">
        <v>0.000605269797299709</v>
      </c>
      <c r="K20" s="4">
        <v>0.000367292771532885</v>
      </c>
      <c r="L20" s="4">
        <v>-0.000890769082113058</v>
      </c>
      <c r="M20" s="4">
        <v>-0.000403674068020529</v>
      </c>
      <c r="N20" s="4">
        <v>0.00141559179975528</v>
      </c>
      <c r="O20" s="4">
        <v>0.000944365162068407</v>
      </c>
      <c r="P20" s="4">
        <v>0.00223589210920352</v>
      </c>
      <c r="Q20" s="4">
        <v>0.00207105907715284</v>
      </c>
      <c r="R20" s="4">
        <v>0.00233842453428317</v>
      </c>
      <c r="S20" s="4">
        <v>0.0054340767496654</v>
      </c>
      <c r="T20" s="4">
        <v>0.00233008998993639</v>
      </c>
      <c r="U20" s="4">
        <v>-0.00112018730545924</v>
      </c>
      <c r="V20" s="4">
        <v>0.000625277187428996</v>
      </c>
      <c r="W20" s="4">
        <v>0.0010128206040985</v>
      </c>
      <c r="X20" s="4">
        <v>0.00127744439805276</v>
      </c>
      <c r="Y20" s="4">
        <v>0.00165419490352931</v>
      </c>
      <c r="Z20" s="4">
        <v>0.000502725031195736</v>
      </c>
      <c r="AA20" s="4">
        <v>0.00131592382133282</v>
      </c>
      <c r="AB20" s="4">
        <v>-0.000751259087045843</v>
      </c>
      <c r="AC20" s="4">
        <v>0.00104168619220848</v>
      </c>
      <c r="AD20" s="4">
        <v>-2.04236103103687e-5</v>
      </c>
      <c r="AE20" s="4">
        <v>0.000810468653264262</v>
      </c>
      <c r="AF20" s="4">
        <v>-7.1387106820006e-5</v>
      </c>
      <c r="AG20" s="4">
        <v>0.00112476542733813</v>
      </c>
      <c r="AH20" s="4">
        <v>0.000771294343558692</v>
      </c>
      <c r="AI20" s="4">
        <v>0.000827800346714027</v>
      </c>
      <c r="AJ20" s="4">
        <v>0.00226741030232384</v>
      </c>
      <c r="AK20" s="4">
        <v>0.00101659158482841</v>
      </c>
      <c r="AL20" s="4">
        <v>0.00241080111007321</v>
      </c>
      <c r="AM20" s="4">
        <v>0.00232724923753047</v>
      </c>
      <c r="AN20" s="4">
        <v>0.000741633907196078</v>
      </c>
      <c r="AO20" s="4">
        <v>0.0014477437737854</v>
      </c>
    </row>
    <row r="21" ht="14" spans="1:41">
      <c r="A21" s="22" t="s">
        <v>41</v>
      </c>
      <c r="B21" s="4">
        <v>0.0013694784629304</v>
      </c>
      <c r="C21" s="4">
        <v>0.000396081014660557</v>
      </c>
      <c r="D21" s="4">
        <v>0.000716504727252703</v>
      </c>
      <c r="E21" s="4">
        <v>0.00155080297214177</v>
      </c>
      <c r="F21" s="4">
        <v>0.00149524661420511</v>
      </c>
      <c r="G21" s="4">
        <v>0.00110151691260801</v>
      </c>
      <c r="H21" s="4">
        <v>0.00229359633707078</v>
      </c>
      <c r="I21" s="4">
        <v>0.00102507134665521</v>
      </c>
      <c r="J21" s="4">
        <v>0.00116207655191696</v>
      </c>
      <c r="K21" s="4">
        <v>0.000847589579832753</v>
      </c>
      <c r="L21" s="4">
        <v>0.00029854720838141</v>
      </c>
      <c r="M21" s="4">
        <v>0.000640113914606138</v>
      </c>
      <c r="N21" s="4">
        <v>0.00167957070349</v>
      </c>
      <c r="O21" s="4">
        <v>0.00190047462020512</v>
      </c>
      <c r="P21" s="4">
        <v>0.00319631432239269</v>
      </c>
      <c r="Q21" s="4">
        <v>0.00146914548318367</v>
      </c>
      <c r="R21" s="4">
        <v>0.00359305720703157</v>
      </c>
      <c r="S21" s="4">
        <v>0.00233008998993639</v>
      </c>
      <c r="T21" s="4">
        <v>0.00511605011405166</v>
      </c>
      <c r="U21" s="4">
        <v>0.00274964857854631</v>
      </c>
      <c r="V21" s="4">
        <v>0.00204974800098594</v>
      </c>
      <c r="W21" s="4">
        <v>0.00224944672971156</v>
      </c>
      <c r="X21" s="4">
        <v>0.00213666380055845</v>
      </c>
      <c r="Y21" s="4">
        <v>0.0032322140668602</v>
      </c>
      <c r="Z21" s="4">
        <v>0.00112414386640024</v>
      </c>
      <c r="AA21" s="4">
        <v>0.0022893180576693</v>
      </c>
      <c r="AB21" s="4">
        <v>0.000271288046701497</v>
      </c>
      <c r="AC21" s="4">
        <v>0.00389114295173642</v>
      </c>
      <c r="AD21" s="4">
        <v>0.000865953170866596</v>
      </c>
      <c r="AE21" s="4">
        <v>0.00145671979327317</v>
      </c>
      <c r="AF21" s="4">
        <v>0.000914224231561692</v>
      </c>
      <c r="AG21" s="4">
        <v>0.00265342129543077</v>
      </c>
      <c r="AH21" s="4">
        <v>0.00244225947668291</v>
      </c>
      <c r="AI21" s="4">
        <v>0.0022827801861742</v>
      </c>
      <c r="AJ21" s="4">
        <v>0.00402018755089733</v>
      </c>
      <c r="AK21" s="4">
        <v>0.000905430937151768</v>
      </c>
      <c r="AL21" s="4">
        <v>0.00242248237227427</v>
      </c>
      <c r="AM21" s="4">
        <v>0.00412722102545525</v>
      </c>
      <c r="AN21" s="4">
        <v>0.00210078564067658</v>
      </c>
      <c r="AO21" s="4">
        <v>0.00293355515542663</v>
      </c>
    </row>
    <row r="22" ht="14" spans="1:41">
      <c r="A22" s="22" t="s">
        <v>44</v>
      </c>
      <c r="B22" s="4">
        <v>0.00258241550516817</v>
      </c>
      <c r="C22" s="4">
        <v>0.00270757334695791</v>
      </c>
      <c r="D22" s="4">
        <v>0.00265307238540651</v>
      </c>
      <c r="E22" s="4">
        <v>0.00436558234280543</v>
      </c>
      <c r="F22" s="4">
        <v>0.0046946294764215</v>
      </c>
      <c r="G22" s="4">
        <v>0.00369581364580785</v>
      </c>
      <c r="H22" s="4">
        <v>0.0044526889796337</v>
      </c>
      <c r="I22" s="4">
        <v>0.00635065281310001</v>
      </c>
      <c r="J22" s="4">
        <v>0.00371506117528505</v>
      </c>
      <c r="K22" s="4">
        <v>0.00531980373378527</v>
      </c>
      <c r="L22" s="4">
        <v>0.00406438759209522</v>
      </c>
      <c r="M22" s="4">
        <v>0.00260884580454697</v>
      </c>
      <c r="N22" s="4">
        <v>0.00324178057726513</v>
      </c>
      <c r="O22" s="4">
        <v>0.00300782222755788</v>
      </c>
      <c r="P22" s="4">
        <v>0.004684378621826</v>
      </c>
      <c r="Q22" s="4">
        <v>0.00306408675167365</v>
      </c>
      <c r="R22" s="4">
        <v>0.00698280717085884</v>
      </c>
      <c r="S22" s="4">
        <v>-0.00112018730545924</v>
      </c>
      <c r="T22" s="4">
        <v>0.00274964857854631</v>
      </c>
      <c r="U22" s="4">
        <v>0.0240061086255879</v>
      </c>
      <c r="V22" s="4">
        <v>0.00402005268219224</v>
      </c>
      <c r="W22" s="4">
        <v>0.00302013156507667</v>
      </c>
      <c r="X22" s="4">
        <v>0.0038815362066709</v>
      </c>
      <c r="Y22" s="4">
        <v>0.00271920301626875</v>
      </c>
      <c r="Z22" s="4">
        <v>0.000542375354747351</v>
      </c>
      <c r="AA22" s="4">
        <v>0.00459786825187813</v>
      </c>
      <c r="AB22" s="4">
        <v>0.00413700553118306</v>
      </c>
      <c r="AC22" s="4">
        <v>0.00233948618104669</v>
      </c>
      <c r="AD22" s="4">
        <v>0.00147808192472639</v>
      </c>
      <c r="AE22" s="4">
        <v>0.00257781412368757</v>
      </c>
      <c r="AF22" s="4">
        <v>0.00210475995183676</v>
      </c>
      <c r="AG22" s="4">
        <v>0.00364432467418064</v>
      </c>
      <c r="AH22" s="4">
        <v>0.00308040818598742</v>
      </c>
      <c r="AI22" s="4">
        <v>0.0051898600942924</v>
      </c>
      <c r="AJ22" s="4">
        <v>0.00679685320543204</v>
      </c>
      <c r="AK22" s="4">
        <v>0.00424551724994749</v>
      </c>
      <c r="AL22" s="4">
        <v>0.00332385203339392</v>
      </c>
      <c r="AM22" s="4">
        <v>0.00393443200449481</v>
      </c>
      <c r="AN22" s="4">
        <v>0.00496529826284984</v>
      </c>
      <c r="AO22" s="4">
        <v>0.000611968138029614</v>
      </c>
    </row>
    <row r="23" ht="14" spans="1:41">
      <c r="A23" s="22" t="s">
        <v>49</v>
      </c>
      <c r="B23" s="4">
        <v>0.00115805678921249</v>
      </c>
      <c r="C23" s="4">
        <v>0.000743326505038977</v>
      </c>
      <c r="D23" s="4">
        <v>0.000642495413985552</v>
      </c>
      <c r="E23" s="4">
        <v>0.000960035736443356</v>
      </c>
      <c r="F23" s="4">
        <v>0.000561433854033411</v>
      </c>
      <c r="G23" s="4">
        <v>0.00221545272059515</v>
      </c>
      <c r="H23" s="4">
        <v>0.00211453707430488</v>
      </c>
      <c r="I23" s="4">
        <v>0.00234074126320869</v>
      </c>
      <c r="J23" s="4">
        <v>0.00118459472348392</v>
      </c>
      <c r="K23" s="4">
        <v>0.000638368840715395</v>
      </c>
      <c r="L23" s="4">
        <v>0.00211164457689476</v>
      </c>
      <c r="M23" s="4">
        <v>0.000705881232800448</v>
      </c>
      <c r="N23" s="4">
        <v>0.00121985721548847</v>
      </c>
      <c r="O23" s="4">
        <v>0.00151148682024433</v>
      </c>
      <c r="P23" s="4">
        <v>0.00179230493371667</v>
      </c>
      <c r="Q23" s="4">
        <v>0.00012093479542867</v>
      </c>
      <c r="R23" s="4">
        <v>0.00339157593918124</v>
      </c>
      <c r="S23" s="4">
        <v>0.000625277187428996</v>
      </c>
      <c r="T23" s="4">
        <v>0.00204974800098594</v>
      </c>
      <c r="U23" s="4">
        <v>0.00402005268219224</v>
      </c>
      <c r="V23" s="4">
        <v>0.00673268849875018</v>
      </c>
      <c r="W23" s="4">
        <v>0.00238123974775335</v>
      </c>
      <c r="X23" s="4">
        <v>0.00184959084062426</v>
      </c>
      <c r="Y23" s="4">
        <v>0.00445833294558604</v>
      </c>
      <c r="Z23" s="4">
        <v>0.000627361276967002</v>
      </c>
      <c r="AA23" s="4">
        <v>0.00160421363407363</v>
      </c>
      <c r="AB23" s="4">
        <v>0.000840019497470424</v>
      </c>
      <c r="AC23" s="4">
        <v>0.00293016880231273</v>
      </c>
      <c r="AD23" s="4">
        <v>0.000967629766708741</v>
      </c>
      <c r="AE23" s="4">
        <v>0.00279063875559636</v>
      </c>
      <c r="AF23" s="4">
        <v>0.000517576100511516</v>
      </c>
      <c r="AG23" s="4">
        <v>0.00206665919413244</v>
      </c>
      <c r="AH23" s="4">
        <v>0.00114873586025325</v>
      </c>
      <c r="AI23" s="4">
        <v>0.00289660736865487</v>
      </c>
      <c r="AJ23" s="4">
        <v>0.00222191699843954</v>
      </c>
      <c r="AK23" s="4">
        <v>0.00148576095141891</v>
      </c>
      <c r="AL23" s="4">
        <v>0.00247354335051408</v>
      </c>
      <c r="AM23" s="4">
        <v>0.00186001384369285</v>
      </c>
      <c r="AN23" s="4">
        <v>0.00209070335148924</v>
      </c>
      <c r="AO23" s="4">
        <v>0.00251830482778887</v>
      </c>
    </row>
    <row r="24" ht="14" spans="1:41">
      <c r="A24" s="22" t="s">
        <v>53</v>
      </c>
      <c r="B24" s="4">
        <v>0.000742080324016252</v>
      </c>
      <c r="C24" s="4">
        <v>0.00036938047030878</v>
      </c>
      <c r="D24" s="4">
        <v>0.000126847947879242</v>
      </c>
      <c r="E24" s="4">
        <v>0.000779260727807103</v>
      </c>
      <c r="F24" s="4">
        <v>0.000205116121577901</v>
      </c>
      <c r="G24" s="4">
        <v>0.0020092534192395</v>
      </c>
      <c r="H24" s="4">
        <v>0.00226158032329844</v>
      </c>
      <c r="I24" s="4">
        <v>0.00228805213356429</v>
      </c>
      <c r="J24" s="4">
        <v>0.000877242526412939</v>
      </c>
      <c r="K24" s="4">
        <v>-0.000181419435089403</v>
      </c>
      <c r="L24" s="4">
        <v>0.0011123199641464</v>
      </c>
      <c r="M24" s="4">
        <v>0.000816115076882154</v>
      </c>
      <c r="N24" s="4">
        <v>0.00213264223375464</v>
      </c>
      <c r="O24" s="4">
        <v>0.00157363323984905</v>
      </c>
      <c r="P24" s="4">
        <v>0.00319150688142846</v>
      </c>
      <c r="Q24" s="4">
        <v>0.000708024427760219</v>
      </c>
      <c r="R24" s="4">
        <v>0.00365564013088015</v>
      </c>
      <c r="S24" s="4">
        <v>0.0010128206040985</v>
      </c>
      <c r="T24" s="4">
        <v>0.00224944672971156</v>
      </c>
      <c r="U24" s="4">
        <v>0.00302013156507667</v>
      </c>
      <c r="V24" s="4">
        <v>0.00238123974775335</v>
      </c>
      <c r="W24" s="4">
        <v>0.00568999893659568</v>
      </c>
      <c r="X24" s="4">
        <v>0.00209896022127013</v>
      </c>
      <c r="Y24" s="4">
        <v>0.00670805424245234</v>
      </c>
      <c r="Z24" s="4">
        <v>0.00111951723675484</v>
      </c>
      <c r="AA24" s="4">
        <v>0.00179617011735122</v>
      </c>
      <c r="AB24" s="4">
        <v>0.00200676208145766</v>
      </c>
      <c r="AC24" s="4">
        <v>0.00359730404032895</v>
      </c>
      <c r="AD24" s="4">
        <v>0.000297116048874687</v>
      </c>
      <c r="AE24" s="4">
        <v>0.00147164031517483</v>
      </c>
      <c r="AF24" s="4">
        <v>0.000547660708688211</v>
      </c>
      <c r="AG24" s="4">
        <v>0.000380506785659235</v>
      </c>
      <c r="AH24" s="4">
        <v>0.000978381543939827</v>
      </c>
      <c r="AI24" s="4">
        <v>0.00236696983309361</v>
      </c>
      <c r="AJ24" s="4">
        <v>0.00119653340036149</v>
      </c>
      <c r="AK24" s="4">
        <v>0.00101198019480711</v>
      </c>
      <c r="AL24" s="4">
        <v>0.000975862281543268</v>
      </c>
      <c r="AM24" s="4">
        <v>0.00433028529269517</v>
      </c>
      <c r="AN24" s="4">
        <v>0.00249335423371272</v>
      </c>
      <c r="AO24" s="4">
        <v>0.00174310996103162</v>
      </c>
    </row>
    <row r="25" ht="14" spans="1:41">
      <c r="A25" s="22" t="s">
        <v>57</v>
      </c>
      <c r="B25" s="4">
        <v>0.000903244727327695</v>
      </c>
      <c r="C25" s="4">
        <v>-1.5506961714874e-5</v>
      </c>
      <c r="D25" s="4">
        <v>-0.000107515491857464</v>
      </c>
      <c r="E25" s="4">
        <v>0.00193450940821405</v>
      </c>
      <c r="F25" s="4">
        <v>0.000454446643831127</v>
      </c>
      <c r="G25" s="4">
        <v>0.000237890204090622</v>
      </c>
      <c r="H25" s="4">
        <v>0.00143077381497821</v>
      </c>
      <c r="I25" s="4">
        <v>0.00200145082920907</v>
      </c>
      <c r="J25" s="4">
        <v>0.00130384727048826</v>
      </c>
      <c r="K25" s="4">
        <v>0.00135597865442684</v>
      </c>
      <c r="L25" s="4">
        <v>-0.000392968085309255</v>
      </c>
      <c r="M25" s="4">
        <v>6.07314916339875e-5</v>
      </c>
      <c r="N25" s="4">
        <v>0.0017618594049874</v>
      </c>
      <c r="O25" s="4">
        <v>0.00198077782084117</v>
      </c>
      <c r="P25" s="4">
        <v>0.00312074945475117</v>
      </c>
      <c r="Q25" s="4">
        <v>-0.00121642426943145</v>
      </c>
      <c r="R25" s="4">
        <v>0.00305244311562426</v>
      </c>
      <c r="S25" s="4">
        <v>0.00127744439805276</v>
      </c>
      <c r="T25" s="4">
        <v>0.00213666380055845</v>
      </c>
      <c r="U25" s="4">
        <v>0.0038815362066709</v>
      </c>
      <c r="V25" s="4">
        <v>0.00184959084062426</v>
      </c>
      <c r="W25" s="4">
        <v>0.00209896022127013</v>
      </c>
      <c r="X25" s="4">
        <v>0.00673198349129303</v>
      </c>
      <c r="Y25" s="4">
        <v>0.0032130573272555</v>
      </c>
      <c r="Z25" s="4">
        <v>0.000921577359648434</v>
      </c>
      <c r="AA25" s="4">
        <v>0.0020109470454426</v>
      </c>
      <c r="AB25" s="4">
        <v>0.00119590862524494</v>
      </c>
      <c r="AC25" s="4">
        <v>0.00593928011634481</v>
      </c>
      <c r="AD25" s="4">
        <v>0.000244695439955158</v>
      </c>
      <c r="AE25" s="4">
        <v>0.00240575292031554</v>
      </c>
      <c r="AF25" s="4">
        <v>0.000630890263416108</v>
      </c>
      <c r="AG25" s="4">
        <v>0.00286561391033111</v>
      </c>
      <c r="AH25" s="4">
        <v>0.00236900287255046</v>
      </c>
      <c r="AI25" s="4">
        <v>0.00297934308515776</v>
      </c>
      <c r="AJ25" s="4">
        <v>0.00406338191795046</v>
      </c>
      <c r="AK25" s="4">
        <v>0.00231180610380893</v>
      </c>
      <c r="AL25" s="4">
        <v>0.00207811739583328</v>
      </c>
      <c r="AM25" s="4">
        <v>0.00385279228289807</v>
      </c>
      <c r="AN25" s="4">
        <v>0.00271560868474812</v>
      </c>
      <c r="AO25" s="4">
        <v>0.00209389518538852</v>
      </c>
    </row>
    <row r="26" ht="14" spans="1:41">
      <c r="A26" s="22" t="s">
        <v>61</v>
      </c>
      <c r="B26" s="4">
        <v>0.000979074992781547</v>
      </c>
      <c r="C26" s="4">
        <v>0.000148250000693008</v>
      </c>
      <c r="D26" s="4">
        <v>0.001194945205971</v>
      </c>
      <c r="E26" s="4">
        <v>0.00364180111255008</v>
      </c>
      <c r="F26" s="4">
        <v>0.000554030324167531</v>
      </c>
      <c r="G26" s="4">
        <v>0.00139616408139263</v>
      </c>
      <c r="H26" s="4">
        <v>0.00407300300570226</v>
      </c>
      <c r="I26" s="4">
        <v>0.00222122192639904</v>
      </c>
      <c r="J26" s="4">
        <v>0.000341325189001431</v>
      </c>
      <c r="K26" s="4">
        <v>-0.000451302205236166</v>
      </c>
      <c r="L26" s="4">
        <v>0.00317090658609825</v>
      </c>
      <c r="M26" s="4">
        <v>0.00128833339203887</v>
      </c>
      <c r="N26" s="4">
        <v>0.00234008847026393</v>
      </c>
      <c r="O26" s="4">
        <v>0.000959388939983207</v>
      </c>
      <c r="P26" s="4">
        <v>0.00339639867153899</v>
      </c>
      <c r="Q26" s="4">
        <v>-0.00411896954161738</v>
      </c>
      <c r="R26" s="4">
        <v>0.00358948813723125</v>
      </c>
      <c r="S26" s="4">
        <v>0.00165419490352931</v>
      </c>
      <c r="T26" s="4">
        <v>0.0032322140668602</v>
      </c>
      <c r="U26" s="4">
        <v>0.00271920301626875</v>
      </c>
      <c r="V26" s="4">
        <v>0.00445833294558604</v>
      </c>
      <c r="W26" s="4">
        <v>0.00670805424245234</v>
      </c>
      <c r="X26" s="4">
        <v>0.0032130573272555</v>
      </c>
      <c r="Y26" s="4">
        <v>0.0252031246151533</v>
      </c>
      <c r="Z26" s="4">
        <v>0.00162295352437646</v>
      </c>
      <c r="AA26" s="4">
        <v>0.00314464813903428</v>
      </c>
      <c r="AB26" s="4">
        <v>0.00306096163145887</v>
      </c>
      <c r="AC26" s="4">
        <v>0.0106098624009317</v>
      </c>
      <c r="AD26" s="4">
        <v>0.000475577833526362</v>
      </c>
      <c r="AE26" s="4">
        <v>0.00252815014695829</v>
      </c>
      <c r="AF26" s="4">
        <v>-0.00011785591644319</v>
      </c>
      <c r="AG26" s="4">
        <v>0.00041877572979429</v>
      </c>
      <c r="AH26" s="4">
        <v>0.00457912521350339</v>
      </c>
      <c r="AI26" s="4">
        <v>0.00348393438265277</v>
      </c>
      <c r="AJ26" s="4">
        <v>0.00425604386983987</v>
      </c>
      <c r="AK26" s="4">
        <v>0.00138505641539236</v>
      </c>
      <c r="AL26" s="4">
        <v>0.00515632752013989</v>
      </c>
      <c r="AM26" s="4">
        <v>0.00889900559983716</v>
      </c>
      <c r="AN26" s="4">
        <v>0.00119532647215749</v>
      </c>
      <c r="AO26" s="4">
        <v>0.00458109493849177</v>
      </c>
    </row>
    <row r="27" ht="14" spans="1:41">
      <c r="A27" s="22" t="s">
        <v>63</v>
      </c>
      <c r="B27" s="4">
        <v>0.00124585638161828</v>
      </c>
      <c r="C27" s="4">
        <v>0.000765003895568846</v>
      </c>
      <c r="D27" s="4">
        <v>-0.000167320228426248</v>
      </c>
      <c r="E27" s="4">
        <v>5.81863271393604e-5</v>
      </c>
      <c r="F27" s="4">
        <v>0.000537961028897335</v>
      </c>
      <c r="G27" s="4">
        <v>0.00104065611490925</v>
      </c>
      <c r="H27" s="4">
        <v>4.08761465925736e-5</v>
      </c>
      <c r="I27" s="4">
        <v>0.000602560644471548</v>
      </c>
      <c r="J27" s="4">
        <v>0.000919393733392883</v>
      </c>
      <c r="K27" s="4">
        <v>0.000692730796878625</v>
      </c>
      <c r="L27" s="4">
        <v>-0.00116552755548538</v>
      </c>
      <c r="M27" s="4">
        <v>-5.76249765924378e-5</v>
      </c>
      <c r="N27" s="4">
        <v>0.000900881090830035</v>
      </c>
      <c r="O27" s="4">
        <v>0.000909054125781763</v>
      </c>
      <c r="P27" s="4">
        <v>0.000198180121250733</v>
      </c>
      <c r="Q27" s="4">
        <v>0.000472579390663404</v>
      </c>
      <c r="R27" s="4">
        <v>0.000285548691716676</v>
      </c>
      <c r="S27" s="4">
        <v>0.000502725031195736</v>
      </c>
      <c r="T27" s="4">
        <v>0.00112414386640024</v>
      </c>
      <c r="U27" s="4">
        <v>0.000542375354747351</v>
      </c>
      <c r="V27" s="4">
        <v>0.000627361276967002</v>
      </c>
      <c r="W27" s="4">
        <v>0.00111951723675484</v>
      </c>
      <c r="X27" s="4">
        <v>0.000921577359648434</v>
      </c>
      <c r="Y27" s="4">
        <v>0.00162295352437646</v>
      </c>
      <c r="Z27" s="4">
        <v>0.00240446436889718</v>
      </c>
      <c r="AA27" s="4">
        <v>0.000653863907977647</v>
      </c>
      <c r="AB27" s="4">
        <v>9.6189690092335e-5</v>
      </c>
      <c r="AC27" s="4">
        <v>0.0032767858453064</v>
      </c>
      <c r="AD27" s="4">
        <v>0.000996280447093911</v>
      </c>
      <c r="AE27" s="4">
        <v>0.000833898761733465</v>
      </c>
      <c r="AF27" s="4">
        <v>0.00125559995780459</v>
      </c>
      <c r="AG27" s="4">
        <v>0.000732605776601013</v>
      </c>
      <c r="AH27" s="4">
        <v>0.00157058045925651</v>
      </c>
      <c r="AI27" s="4">
        <v>0.00176142475934398</v>
      </c>
      <c r="AJ27" s="4">
        <v>0.000430223225003284</v>
      </c>
      <c r="AK27" s="4">
        <v>0.000678616598211505</v>
      </c>
      <c r="AL27" s="4">
        <v>0.00166853837681611</v>
      </c>
      <c r="AM27" s="4">
        <v>0.00289912823693436</v>
      </c>
      <c r="AN27" s="4">
        <v>0.000708446525306676</v>
      </c>
      <c r="AO27" s="4">
        <v>0.00170287698289009</v>
      </c>
    </row>
    <row r="28" ht="14" spans="1:41">
      <c r="A28" s="22" t="s">
        <v>66</v>
      </c>
      <c r="B28" s="4">
        <v>0.0011692185671606</v>
      </c>
      <c r="C28" s="4">
        <v>0.000781950175237803</v>
      </c>
      <c r="D28" s="4">
        <v>0.000916077052354606</v>
      </c>
      <c r="E28" s="4">
        <v>0.00166080481030455</v>
      </c>
      <c r="F28" s="4">
        <v>0.00136024160762367</v>
      </c>
      <c r="G28" s="4">
        <v>0.000854884922324312</v>
      </c>
      <c r="H28" s="4">
        <v>0.00199212799065858</v>
      </c>
      <c r="I28" s="4">
        <v>0.00168680455645613</v>
      </c>
      <c r="J28" s="4">
        <v>0.00101312672012586</v>
      </c>
      <c r="K28" s="4">
        <v>0.00155345400276877</v>
      </c>
      <c r="L28" s="4">
        <v>0.000703350712110781</v>
      </c>
      <c r="M28" s="4">
        <v>0.000811873906360656</v>
      </c>
      <c r="N28" s="4">
        <v>0.00127589909796106</v>
      </c>
      <c r="O28" s="4">
        <v>0.00171069858839445</v>
      </c>
      <c r="P28" s="4">
        <v>0.00285337953625281</v>
      </c>
      <c r="Q28" s="4">
        <v>0.000866581712787418</v>
      </c>
      <c r="R28" s="4">
        <v>0.00302031887449593</v>
      </c>
      <c r="S28" s="4">
        <v>0.00131592382133282</v>
      </c>
      <c r="T28" s="4">
        <v>0.0022893180576693</v>
      </c>
      <c r="U28" s="4">
        <v>0.00459786825187813</v>
      </c>
      <c r="V28" s="4">
        <v>0.00160421363407363</v>
      </c>
      <c r="W28" s="4">
        <v>0.00179617011735122</v>
      </c>
      <c r="X28" s="4">
        <v>0.0020109470454426</v>
      </c>
      <c r="Y28" s="4">
        <v>0.00314464813903428</v>
      </c>
      <c r="Z28" s="4">
        <v>0.000653863907977647</v>
      </c>
      <c r="AA28" s="4">
        <v>0.00451443575690337</v>
      </c>
      <c r="AB28" s="4">
        <v>0.00170713041785368</v>
      </c>
      <c r="AC28" s="4">
        <v>0.00427502165743808</v>
      </c>
      <c r="AD28" s="4">
        <v>0.000703129746565848</v>
      </c>
      <c r="AE28" s="4">
        <v>0.00109092719022607</v>
      </c>
      <c r="AF28" s="4">
        <v>0.000394733476352331</v>
      </c>
      <c r="AG28" s="4">
        <v>0.00154284079027394</v>
      </c>
      <c r="AH28" s="4">
        <v>0.001434703220256</v>
      </c>
      <c r="AI28" s="4">
        <v>0.00260818212518203</v>
      </c>
      <c r="AJ28" s="4">
        <v>0.00236293538083573</v>
      </c>
      <c r="AK28" s="4">
        <v>0.00161201371004567</v>
      </c>
      <c r="AL28" s="4">
        <v>0.00176334365107287</v>
      </c>
      <c r="AM28" s="4">
        <v>0.00221942525021629</v>
      </c>
      <c r="AN28" s="4">
        <v>0.00133474297691087</v>
      </c>
      <c r="AO28" s="4">
        <v>0.00162059146805809</v>
      </c>
    </row>
    <row r="29" ht="14" spans="1:41">
      <c r="A29" s="22" t="s">
        <v>74</v>
      </c>
      <c r="B29" s="4">
        <v>0.000615365822428363</v>
      </c>
      <c r="C29" s="4">
        <v>0.000726777420220777</v>
      </c>
      <c r="D29" s="4">
        <v>-0.000193955257018975</v>
      </c>
      <c r="E29" s="4">
        <v>0.00199070599223307</v>
      </c>
      <c r="F29" s="4">
        <v>0.0010281696922739</v>
      </c>
      <c r="G29" s="4">
        <v>0.00122409820821094</v>
      </c>
      <c r="H29" s="4">
        <v>0.00151855085400096</v>
      </c>
      <c r="I29" s="4">
        <v>0.00148956654759786</v>
      </c>
      <c r="J29" s="4">
        <v>0.00171483706969275</v>
      </c>
      <c r="K29" s="4">
        <v>0.00155783544938654</v>
      </c>
      <c r="L29" s="4">
        <v>0.00314280878875447</v>
      </c>
      <c r="M29" s="4">
        <v>0.000239574455988561</v>
      </c>
      <c r="N29" s="4">
        <v>0.000571307920697654</v>
      </c>
      <c r="O29" s="4">
        <v>0.00105345268958376</v>
      </c>
      <c r="P29" s="4">
        <v>0.00145945305410893</v>
      </c>
      <c r="Q29" s="4">
        <v>-0.00107402739722062</v>
      </c>
      <c r="R29" s="4">
        <v>0.00318337136392095</v>
      </c>
      <c r="S29" s="4">
        <v>-0.000751259087045843</v>
      </c>
      <c r="T29" s="4">
        <v>0.000271288046701497</v>
      </c>
      <c r="U29" s="4">
        <v>0.00413700553118306</v>
      </c>
      <c r="V29" s="4">
        <v>0.000840019497470424</v>
      </c>
      <c r="W29" s="4">
        <v>0.00200676208145766</v>
      </c>
      <c r="X29" s="4">
        <v>0.00119590862524494</v>
      </c>
      <c r="Y29" s="4">
        <v>0.00306096163145887</v>
      </c>
      <c r="Z29" s="4">
        <v>9.6189690092335e-5</v>
      </c>
      <c r="AA29" s="4">
        <v>0.00170713041785368</v>
      </c>
      <c r="AB29" s="4">
        <v>0.00625378084210266</v>
      </c>
      <c r="AC29" s="4">
        <v>0.00241071799770007</v>
      </c>
      <c r="AD29" s="4">
        <v>6.15427698976287e-5</v>
      </c>
      <c r="AE29" s="4">
        <v>0.00131002667881885</v>
      </c>
      <c r="AF29" s="4">
        <v>0.000780417093173226</v>
      </c>
      <c r="AG29" s="4">
        <v>0.00181320144229654</v>
      </c>
      <c r="AH29" s="4">
        <v>0.00124232724845054</v>
      </c>
      <c r="AI29" s="4">
        <v>0.00199536660273756</v>
      </c>
      <c r="AJ29" s="4">
        <v>-0.000732612305671317</v>
      </c>
      <c r="AK29" s="4">
        <v>0.00134524241598604</v>
      </c>
      <c r="AL29" s="4">
        <v>0.000312803059489924</v>
      </c>
      <c r="AM29" s="4">
        <v>0.00182520070902842</v>
      </c>
      <c r="AN29" s="4">
        <v>0.00139132866816578</v>
      </c>
      <c r="AO29" s="4">
        <v>-0.000128520468695027</v>
      </c>
    </row>
    <row r="30" ht="14" spans="1:41">
      <c r="A30" s="22" t="s">
        <v>75</v>
      </c>
      <c r="B30" s="4">
        <v>0.00203439423673214</v>
      </c>
      <c r="C30" s="4">
        <v>-0.000487168695171673</v>
      </c>
      <c r="D30" s="4">
        <v>-0.00174044088192574</v>
      </c>
      <c r="E30" s="4">
        <v>0.00311367239857081</v>
      </c>
      <c r="F30" s="4">
        <v>-0.00115398048568444</v>
      </c>
      <c r="G30" s="4">
        <v>0.000788617904406822</v>
      </c>
      <c r="H30" s="4">
        <v>0.000366118132290849</v>
      </c>
      <c r="I30" s="4">
        <v>0.00166767100209153</v>
      </c>
      <c r="J30" s="4">
        <v>0.00189706414140843</v>
      </c>
      <c r="K30" s="4">
        <v>0.00153192247851095</v>
      </c>
      <c r="L30" s="4">
        <v>-0.00148725509753223</v>
      </c>
      <c r="M30" s="4">
        <v>-0.00121000724142446</v>
      </c>
      <c r="N30" s="4">
        <v>0.00109207114356376</v>
      </c>
      <c r="O30" s="4">
        <v>0.00257593420663602</v>
      </c>
      <c r="P30" s="4">
        <v>0.00279808872391975</v>
      </c>
      <c r="Q30" s="4">
        <v>-0.00310566745716819</v>
      </c>
      <c r="R30" s="4">
        <v>0.00329018932021558</v>
      </c>
      <c r="S30" s="4">
        <v>0.00104168619220848</v>
      </c>
      <c r="T30" s="4">
        <v>0.00389114295173642</v>
      </c>
      <c r="U30" s="4">
        <v>0.00233948618104669</v>
      </c>
      <c r="V30" s="4">
        <v>0.00293016880231273</v>
      </c>
      <c r="W30" s="4">
        <v>0.00359730404032895</v>
      </c>
      <c r="X30" s="4">
        <v>0.00593928011634481</v>
      </c>
      <c r="Y30" s="4">
        <v>0.0106098624009317</v>
      </c>
      <c r="Z30" s="4">
        <v>0.0032767858453064</v>
      </c>
      <c r="AA30" s="4">
        <v>0.00427502165743808</v>
      </c>
      <c r="AB30" s="4">
        <v>0.00241071799770007</v>
      </c>
      <c r="AC30" s="4">
        <v>0.0321017920626765</v>
      </c>
      <c r="AD30" s="4">
        <v>0.00173206615463582</v>
      </c>
      <c r="AE30" s="4">
        <v>0.00551847449012754</v>
      </c>
      <c r="AF30" s="4">
        <v>0.000218863144621609</v>
      </c>
      <c r="AG30" s="4">
        <v>0.00551290564565269</v>
      </c>
      <c r="AH30" s="4">
        <v>0.00346183179410653</v>
      </c>
      <c r="AI30" s="4">
        <v>0.00747701486731972</v>
      </c>
      <c r="AJ30" s="4">
        <v>0.00655501505507502</v>
      </c>
      <c r="AK30" s="4">
        <v>0.0038591826336859</v>
      </c>
      <c r="AL30" s="4">
        <v>0.00506961831773075</v>
      </c>
      <c r="AM30" s="4">
        <v>0.0104327722034746</v>
      </c>
      <c r="AN30" s="4">
        <v>0.00060836709838927</v>
      </c>
      <c r="AO30" s="4">
        <v>0.00927843416604453</v>
      </c>
    </row>
    <row r="31" ht="14" spans="1:41">
      <c r="A31" s="22" t="s">
        <v>78</v>
      </c>
      <c r="B31" s="4">
        <v>0.000922612743583268</v>
      </c>
      <c r="C31" s="4">
        <v>0.00106929248519291</v>
      </c>
      <c r="D31" s="4">
        <v>0.000179859265693507</v>
      </c>
      <c r="E31" s="4">
        <v>-0.000440175627241959</v>
      </c>
      <c r="F31" s="4">
        <v>0.000905039677789633</v>
      </c>
      <c r="G31" s="4">
        <v>0.000677489195965923</v>
      </c>
      <c r="H31" s="4">
        <v>8.31468874060362e-5</v>
      </c>
      <c r="I31" s="4">
        <v>0.000319567346074117</v>
      </c>
      <c r="J31" s="4">
        <v>0.000531826281133738</v>
      </c>
      <c r="K31" s="4">
        <v>0.000698433795618936</v>
      </c>
      <c r="L31" s="4">
        <v>0.000311202242215264</v>
      </c>
      <c r="M31" s="4">
        <v>0.000260489404451479</v>
      </c>
      <c r="N31" s="4">
        <v>0.00039716440992779</v>
      </c>
      <c r="O31" s="4">
        <v>0.000568201252766253</v>
      </c>
      <c r="P31" s="4">
        <v>0.00026725585432007</v>
      </c>
      <c r="Q31" s="4">
        <v>0.0011720907534115</v>
      </c>
      <c r="R31" s="4">
        <v>-7.7853719134502e-5</v>
      </c>
      <c r="S31" s="4">
        <v>-2.04236103103687e-5</v>
      </c>
      <c r="T31" s="4">
        <v>0.000865953170866596</v>
      </c>
      <c r="U31" s="4">
        <v>0.00147808192472639</v>
      </c>
      <c r="V31" s="4">
        <v>0.000967629766708741</v>
      </c>
      <c r="W31" s="4">
        <v>0.000297116048874687</v>
      </c>
      <c r="X31" s="4">
        <v>0.000244695439955158</v>
      </c>
      <c r="Y31" s="4">
        <v>0.000475577833526362</v>
      </c>
      <c r="Z31" s="4">
        <v>0.000996280447093911</v>
      </c>
      <c r="AA31" s="4">
        <v>0.000703129746565848</v>
      </c>
      <c r="AB31" s="4">
        <v>6.15427698976287e-5</v>
      </c>
      <c r="AC31" s="4">
        <v>0.00173206615463582</v>
      </c>
      <c r="AD31" s="4">
        <v>0.00192396937335466</v>
      </c>
      <c r="AE31" s="4">
        <v>0.00151785095509753</v>
      </c>
      <c r="AF31" s="4">
        <v>0.000959354958927067</v>
      </c>
      <c r="AG31" s="4">
        <v>0.00161701585253495</v>
      </c>
      <c r="AH31" s="4">
        <v>0.00125483751636462</v>
      </c>
      <c r="AI31" s="4">
        <v>0.00137749663991698</v>
      </c>
      <c r="AJ31" s="4">
        <v>0.00135183782809695</v>
      </c>
      <c r="AK31" s="4">
        <v>0.00146755929100466</v>
      </c>
      <c r="AL31" s="4">
        <v>0.000829846621900235</v>
      </c>
      <c r="AM31" s="4">
        <v>0.00157049295410353</v>
      </c>
      <c r="AN31" s="4">
        <v>0.000467596364898791</v>
      </c>
      <c r="AO31" s="4">
        <v>0.000873949901685959</v>
      </c>
    </row>
    <row r="32" ht="14" spans="1:41">
      <c r="A32" s="22" t="s">
        <v>81</v>
      </c>
      <c r="B32" s="4">
        <v>0.00196580051386767</v>
      </c>
      <c r="C32" s="4">
        <v>0.000957827205528113</v>
      </c>
      <c r="D32" s="4">
        <v>0.000485543020261101</v>
      </c>
      <c r="E32" s="4">
        <v>0.000167205095964942</v>
      </c>
      <c r="F32" s="4">
        <v>0.000768468083829587</v>
      </c>
      <c r="G32" s="4">
        <v>0.00134729506860546</v>
      </c>
      <c r="H32" s="4">
        <v>0.00109719405940418</v>
      </c>
      <c r="I32" s="4">
        <v>0.00171785998780816</v>
      </c>
      <c r="J32" s="4">
        <v>0.001193196820327</v>
      </c>
      <c r="K32" s="4">
        <v>0.000517835575318901</v>
      </c>
      <c r="L32" s="4">
        <v>0.00139260530435206</v>
      </c>
      <c r="M32" s="4">
        <v>-0.000118556713786016</v>
      </c>
      <c r="N32" s="4">
        <v>0.00115176518127063</v>
      </c>
      <c r="O32" s="4">
        <v>0.00205508099744439</v>
      </c>
      <c r="P32" s="4">
        <v>0.00207514938162764</v>
      </c>
      <c r="Q32" s="4">
        <v>0.000996848152062875</v>
      </c>
      <c r="R32" s="4">
        <v>0.00287550244572386</v>
      </c>
      <c r="S32" s="4">
        <v>0.000810468653264262</v>
      </c>
      <c r="T32" s="4">
        <v>0.00145671979327317</v>
      </c>
      <c r="U32" s="4">
        <v>0.00257781412368757</v>
      </c>
      <c r="V32" s="4">
        <v>0.00279063875559636</v>
      </c>
      <c r="W32" s="4">
        <v>0.00147164031517483</v>
      </c>
      <c r="X32" s="4">
        <v>0.00240575292031554</v>
      </c>
      <c r="Y32" s="4">
        <v>0.00252815014695829</v>
      </c>
      <c r="Z32" s="4">
        <v>0.000833898761733465</v>
      </c>
      <c r="AA32" s="4">
        <v>0.00109092719022607</v>
      </c>
      <c r="AB32" s="4">
        <v>0.00131002667881885</v>
      </c>
      <c r="AC32" s="4">
        <v>0.00551847449012754</v>
      </c>
      <c r="AD32" s="4">
        <v>0.00151785095509753</v>
      </c>
      <c r="AE32" s="4">
        <v>0.00577586125251086</v>
      </c>
      <c r="AF32" s="4">
        <v>0.000799947888761373</v>
      </c>
      <c r="AG32" s="4">
        <v>0.00300942924603718</v>
      </c>
      <c r="AH32" s="4">
        <v>0.00128673137363817</v>
      </c>
      <c r="AI32" s="4">
        <v>0.003589624164094</v>
      </c>
      <c r="AJ32" s="4">
        <v>0.000850457181410988</v>
      </c>
      <c r="AK32" s="4">
        <v>0.00191119920626582</v>
      </c>
      <c r="AL32" s="4">
        <v>0.00154974363075089</v>
      </c>
      <c r="AM32" s="4">
        <v>0.00393112563985109</v>
      </c>
      <c r="AN32" s="4">
        <v>0.00202793587306075</v>
      </c>
      <c r="AO32" s="4">
        <v>0.0019534556611164</v>
      </c>
    </row>
    <row r="33" ht="14" spans="1:41">
      <c r="A33" s="22" t="s">
        <v>82</v>
      </c>
      <c r="B33" s="4">
        <v>0.000989048285220289</v>
      </c>
      <c r="C33" s="4">
        <v>0.00110713399778335</v>
      </c>
      <c r="D33" s="4">
        <v>0.000206336740262755</v>
      </c>
      <c r="E33" s="4">
        <v>3.42117495478419e-5</v>
      </c>
      <c r="F33" s="4">
        <v>0.000996631519950394</v>
      </c>
      <c r="G33" s="4">
        <v>0.00107250131712541</v>
      </c>
      <c r="H33" s="4">
        <v>0.000540405852845228</v>
      </c>
      <c r="I33" s="4">
        <v>0.00135229906631775</v>
      </c>
      <c r="J33" s="4">
        <v>0.000692103285308926</v>
      </c>
      <c r="K33" s="4">
        <v>0.00101362766331002</v>
      </c>
      <c r="L33" s="4">
        <v>0.000174171212852202</v>
      </c>
      <c r="M33" s="4">
        <v>0.000566502889841792</v>
      </c>
      <c r="N33" s="4">
        <v>0.000555064956719614</v>
      </c>
      <c r="O33" s="4">
        <v>0.000501934542275981</v>
      </c>
      <c r="P33" s="4">
        <v>0.000484603493712673</v>
      </c>
      <c r="Q33" s="4">
        <v>0.00124828093784414</v>
      </c>
      <c r="R33" s="4">
        <v>0.000786726462008526</v>
      </c>
      <c r="S33" s="4">
        <v>-7.1387106820006e-5</v>
      </c>
      <c r="T33" s="4">
        <v>0.000914224231561692</v>
      </c>
      <c r="U33" s="4">
        <v>0.00210475995183676</v>
      </c>
      <c r="V33" s="4">
        <v>0.000517576100511516</v>
      </c>
      <c r="W33" s="4">
        <v>0.000547660708688211</v>
      </c>
      <c r="X33" s="4">
        <v>0.000630890263416108</v>
      </c>
      <c r="Y33" s="4">
        <v>-0.00011785591644319</v>
      </c>
      <c r="Z33" s="4">
        <v>0.00125559995780459</v>
      </c>
      <c r="AA33" s="4">
        <v>0.000394733476352331</v>
      </c>
      <c r="AB33" s="4">
        <v>0.000780417093173226</v>
      </c>
      <c r="AC33" s="4">
        <v>0.000218863144621609</v>
      </c>
      <c r="AD33" s="4">
        <v>0.000959354958927067</v>
      </c>
      <c r="AE33" s="4">
        <v>0.000799947888761373</v>
      </c>
      <c r="AF33" s="4">
        <v>0.00243820747274962</v>
      </c>
      <c r="AG33" s="4">
        <v>0.000594636282613214</v>
      </c>
      <c r="AH33" s="4">
        <v>0.00205380511422293</v>
      </c>
      <c r="AI33" s="4">
        <v>0.00135691226341711</v>
      </c>
      <c r="AJ33" s="4">
        <v>0.000162350727896639</v>
      </c>
      <c r="AK33" s="4">
        <v>0.000472072073612438</v>
      </c>
      <c r="AL33" s="4">
        <v>0.000758334333220339</v>
      </c>
      <c r="AM33" s="4">
        <v>0.000781920925425219</v>
      </c>
      <c r="AN33" s="4">
        <v>0.00150983369816508</v>
      </c>
      <c r="AO33" s="4">
        <v>0.000989101316245922</v>
      </c>
    </row>
    <row r="34" ht="14" spans="1:41">
      <c r="A34" s="22" t="s">
        <v>89</v>
      </c>
      <c r="B34" s="4">
        <v>0.00191104583713941</v>
      </c>
      <c r="C34" s="4">
        <v>0.000242761703463817</v>
      </c>
      <c r="D34" s="4">
        <v>0.000100295491574679</v>
      </c>
      <c r="E34" s="4">
        <v>0.00047696404939114</v>
      </c>
      <c r="F34" s="4">
        <v>0.00123701756605601</v>
      </c>
      <c r="G34" s="4">
        <v>0.00136920442495885</v>
      </c>
      <c r="H34" s="4">
        <v>0.00143690544267617</v>
      </c>
      <c r="I34" s="4">
        <v>0.00222509511662413</v>
      </c>
      <c r="J34" s="4">
        <v>0.00305588509544618</v>
      </c>
      <c r="K34" s="4">
        <v>0.00266268272743102</v>
      </c>
      <c r="L34" s="4">
        <v>0.000648090455137099</v>
      </c>
      <c r="M34" s="4">
        <v>-0.000424089403868685</v>
      </c>
      <c r="N34" s="4">
        <v>0.00127688557110285</v>
      </c>
      <c r="O34" s="4">
        <v>0.00180271239885046</v>
      </c>
      <c r="P34" s="4">
        <v>0.00174863943518641</v>
      </c>
      <c r="Q34" s="4">
        <v>0.00279933374464864</v>
      </c>
      <c r="R34" s="4">
        <v>0.00315481175367014</v>
      </c>
      <c r="S34" s="4">
        <v>0.00112476542733813</v>
      </c>
      <c r="T34" s="4">
        <v>0.00265342129543077</v>
      </c>
      <c r="U34" s="4">
        <v>0.00364432467418064</v>
      </c>
      <c r="V34" s="4">
        <v>0.00206665919413244</v>
      </c>
      <c r="W34" s="4">
        <v>0.000380506785659235</v>
      </c>
      <c r="X34" s="4">
        <v>0.00286561391033111</v>
      </c>
      <c r="Y34" s="4">
        <v>0.00041877572979429</v>
      </c>
      <c r="Z34" s="4">
        <v>0.000732605776601013</v>
      </c>
      <c r="AA34" s="4">
        <v>0.00154284079027394</v>
      </c>
      <c r="AB34" s="4">
        <v>0.00181320144229654</v>
      </c>
      <c r="AC34" s="4">
        <v>0.00551290564565269</v>
      </c>
      <c r="AD34" s="4">
        <v>0.00161701585253495</v>
      </c>
      <c r="AE34" s="4">
        <v>0.00300942924603718</v>
      </c>
      <c r="AF34" s="4">
        <v>0.000594636282613214</v>
      </c>
      <c r="AG34" s="4">
        <v>0.0097318269862282</v>
      </c>
      <c r="AH34" s="4">
        <v>0.00367265417775376</v>
      </c>
      <c r="AI34" s="4">
        <v>0.00267859995098357</v>
      </c>
      <c r="AJ34" s="4">
        <v>0.00544332863505032</v>
      </c>
      <c r="AK34" s="4">
        <v>0.003524015563287</v>
      </c>
      <c r="AL34" s="4">
        <v>0.00320491133242865</v>
      </c>
      <c r="AM34" s="4">
        <v>0.00558168830815602</v>
      </c>
      <c r="AN34" s="4">
        <v>0.00203662772774619</v>
      </c>
      <c r="AO34" s="4">
        <v>0.00306893656891111</v>
      </c>
    </row>
    <row r="35" ht="14" spans="1:41">
      <c r="A35" s="22" t="s">
        <v>97</v>
      </c>
      <c r="B35" s="4">
        <v>0.00219664076927624</v>
      </c>
      <c r="C35" s="4">
        <v>0.00102879766780047</v>
      </c>
      <c r="D35" s="4">
        <v>0.00169168793703781</v>
      </c>
      <c r="E35" s="4">
        <v>0.00165574640657268</v>
      </c>
      <c r="F35" s="4">
        <v>0.00243482395723721</v>
      </c>
      <c r="G35" s="4">
        <v>0.00215094635054635</v>
      </c>
      <c r="H35" s="4">
        <v>0.00127003843920905</v>
      </c>
      <c r="I35" s="4">
        <v>0.00195009461170154</v>
      </c>
      <c r="J35" s="4">
        <v>0.00187785428122194</v>
      </c>
      <c r="K35" s="4">
        <v>0.00376463194602535</v>
      </c>
      <c r="L35" s="4">
        <v>0.00178522706549664</v>
      </c>
      <c r="M35" s="4">
        <v>0.00064192682360628</v>
      </c>
      <c r="N35" s="4">
        <v>0.00125188193634628</v>
      </c>
      <c r="O35" s="4">
        <v>0.00138269570921144</v>
      </c>
      <c r="P35" s="4">
        <v>-0.000724343679664174</v>
      </c>
      <c r="Q35" s="4">
        <v>0.00526256211061905</v>
      </c>
      <c r="R35" s="4">
        <v>-6.22279690093536e-5</v>
      </c>
      <c r="S35" s="4">
        <v>0.000771294343558692</v>
      </c>
      <c r="T35" s="4">
        <v>0.00244225947668291</v>
      </c>
      <c r="U35" s="4">
        <v>0.00308040818598742</v>
      </c>
      <c r="V35" s="4">
        <v>0.00114873586025325</v>
      </c>
      <c r="W35" s="4">
        <v>0.000978381543939827</v>
      </c>
      <c r="X35" s="4">
        <v>0.00236900287255046</v>
      </c>
      <c r="Y35" s="4">
        <v>0.00457912521350339</v>
      </c>
      <c r="Z35" s="4">
        <v>0.00157058045925651</v>
      </c>
      <c r="AA35" s="4">
        <v>0.001434703220256</v>
      </c>
      <c r="AB35" s="4">
        <v>0.00124232724845054</v>
      </c>
      <c r="AC35" s="4">
        <v>0.00346183179410653</v>
      </c>
      <c r="AD35" s="4">
        <v>0.00125483751636462</v>
      </c>
      <c r="AE35" s="4">
        <v>0.00128673137363817</v>
      </c>
      <c r="AF35" s="4">
        <v>0.00205380511422293</v>
      </c>
      <c r="AG35" s="4">
        <v>0.00367265417775376</v>
      </c>
      <c r="AH35" s="4">
        <v>0.015639900734641</v>
      </c>
      <c r="AI35" s="4">
        <v>0.00365705654090586</v>
      </c>
      <c r="AJ35" s="4">
        <v>0.00358758726416443</v>
      </c>
      <c r="AK35" s="4">
        <v>0.00126505275478452</v>
      </c>
      <c r="AL35" s="4">
        <v>0.00302124531378657</v>
      </c>
      <c r="AM35" s="4">
        <v>0.00412546954693199</v>
      </c>
      <c r="AN35" s="4">
        <v>0.00220089741961283</v>
      </c>
      <c r="AO35" s="4">
        <v>0.00426028764829058</v>
      </c>
    </row>
    <row r="36" ht="14" spans="1:41">
      <c r="A36" s="22" t="s">
        <v>101</v>
      </c>
      <c r="B36" s="4">
        <v>0.00184802855761841</v>
      </c>
      <c r="C36" s="4">
        <v>0.00110506350561988</v>
      </c>
      <c r="D36" s="4">
        <v>-0.000577730692530036</v>
      </c>
      <c r="E36" s="4">
        <v>0.0020492923255494</v>
      </c>
      <c r="F36" s="4">
        <v>0.00192510126813586</v>
      </c>
      <c r="G36" s="4">
        <v>0.00200841985169661</v>
      </c>
      <c r="H36" s="4">
        <v>0.000768236457103967</v>
      </c>
      <c r="I36" s="4">
        <v>0.00212727412210859</v>
      </c>
      <c r="J36" s="4">
        <v>0.00250140718275258</v>
      </c>
      <c r="K36" s="4">
        <v>0.00237749828179174</v>
      </c>
      <c r="L36" s="4">
        <v>0.000719302010000009</v>
      </c>
      <c r="M36" s="4">
        <v>0.000268377998085495</v>
      </c>
      <c r="N36" s="4">
        <v>0.00184243481759675</v>
      </c>
      <c r="O36" s="4">
        <v>0.00248893179874756</v>
      </c>
      <c r="P36" s="4">
        <v>0.00177696793883327</v>
      </c>
      <c r="Q36" s="4">
        <v>0.00152088727340942</v>
      </c>
      <c r="R36" s="4">
        <v>0.00528822467219069</v>
      </c>
      <c r="S36" s="4">
        <v>0.000827800346714027</v>
      </c>
      <c r="T36" s="4">
        <v>0.0022827801861742</v>
      </c>
      <c r="U36" s="4">
        <v>0.0051898600942924</v>
      </c>
      <c r="V36" s="4">
        <v>0.00289660736865487</v>
      </c>
      <c r="W36" s="4">
        <v>0.00236696983309361</v>
      </c>
      <c r="X36" s="4">
        <v>0.00297934308515776</v>
      </c>
      <c r="Y36" s="4">
        <v>0.00348393438265277</v>
      </c>
      <c r="Z36" s="4">
        <v>0.00176142475934398</v>
      </c>
      <c r="AA36" s="4">
        <v>0.00260818212518203</v>
      </c>
      <c r="AB36" s="4">
        <v>0.00199536660273756</v>
      </c>
      <c r="AC36" s="4">
        <v>0.00747701486731972</v>
      </c>
      <c r="AD36" s="4">
        <v>0.00137749663991698</v>
      </c>
      <c r="AE36" s="4">
        <v>0.003589624164094</v>
      </c>
      <c r="AF36" s="4">
        <v>0.00135691226341711</v>
      </c>
      <c r="AG36" s="4">
        <v>0.00267859995098357</v>
      </c>
      <c r="AH36" s="4">
        <v>0.00365705654090586</v>
      </c>
      <c r="AI36" s="4">
        <v>0.00917726875312055</v>
      </c>
      <c r="AJ36" s="4">
        <v>0.00486045823238047</v>
      </c>
      <c r="AK36" s="4">
        <v>0.00352597855398976</v>
      </c>
      <c r="AL36" s="4">
        <v>0.00227632862443019</v>
      </c>
      <c r="AM36" s="4">
        <v>0.00426455609452231</v>
      </c>
      <c r="AN36" s="4">
        <v>0.00209893548093197</v>
      </c>
      <c r="AO36" s="4">
        <v>0.00395979501020512</v>
      </c>
    </row>
    <row r="37" ht="14" spans="1:41">
      <c r="A37" s="22" t="s">
        <v>107</v>
      </c>
      <c r="B37" s="4">
        <v>0.00060347755269845</v>
      </c>
      <c r="C37" s="4">
        <v>0.00043732113743415</v>
      </c>
      <c r="D37" s="4">
        <v>4.53300702281372e-5</v>
      </c>
      <c r="E37" s="4">
        <v>0.00365406478371842</v>
      </c>
      <c r="F37" s="4">
        <v>0.00269650634876493</v>
      </c>
      <c r="G37" s="4">
        <v>0.00115301389486541</v>
      </c>
      <c r="H37" s="4">
        <v>0.00367571533839004</v>
      </c>
      <c r="I37" s="4">
        <v>0.00143036334076267</v>
      </c>
      <c r="J37" s="4">
        <v>0.00278325082299903</v>
      </c>
      <c r="K37" s="4">
        <v>0.00463496011815502</v>
      </c>
      <c r="L37" s="4">
        <v>-0.000814640347830072</v>
      </c>
      <c r="M37" s="4">
        <v>-0.000192896622483301</v>
      </c>
      <c r="N37" s="4">
        <v>0.0016473478070894</v>
      </c>
      <c r="O37" s="4">
        <v>0.00254576626411251</v>
      </c>
      <c r="P37" s="4">
        <v>0.00330581780278419</v>
      </c>
      <c r="Q37" s="4">
        <v>0.000829060178332463</v>
      </c>
      <c r="R37" s="4">
        <v>0.00210318889957277</v>
      </c>
      <c r="S37" s="4">
        <v>0.00226741030232384</v>
      </c>
      <c r="T37" s="4">
        <v>0.00402018755089733</v>
      </c>
      <c r="U37" s="4">
        <v>0.00679685320543204</v>
      </c>
      <c r="V37" s="4">
        <v>0.00222191699843954</v>
      </c>
      <c r="W37" s="4">
        <v>0.00119653340036149</v>
      </c>
      <c r="X37" s="4">
        <v>0.00406338191795046</v>
      </c>
      <c r="Y37" s="4">
        <v>0.00425604386983987</v>
      </c>
      <c r="Z37" s="4">
        <v>0.000430223225003284</v>
      </c>
      <c r="AA37" s="4">
        <v>0.00236293538083573</v>
      </c>
      <c r="AB37" s="4">
        <v>-0.000732612305671317</v>
      </c>
      <c r="AC37" s="4">
        <v>0.00655501505507502</v>
      </c>
      <c r="AD37" s="4">
        <v>0.00135183782809695</v>
      </c>
      <c r="AE37" s="4">
        <v>0.000850457181410988</v>
      </c>
      <c r="AF37" s="4">
        <v>0.000162350727896639</v>
      </c>
      <c r="AG37" s="4">
        <v>0.00544332863505032</v>
      </c>
      <c r="AH37" s="4">
        <v>0.00358758726416443</v>
      </c>
      <c r="AI37" s="4">
        <v>0.00486045823238047</v>
      </c>
      <c r="AJ37" s="4">
        <v>0.0203973447557975</v>
      </c>
      <c r="AK37" s="4">
        <v>0.00529726995234773</v>
      </c>
      <c r="AL37" s="4">
        <v>0.00557984387376081</v>
      </c>
      <c r="AM37" s="4">
        <v>0.00201388138869355</v>
      </c>
      <c r="AN37" s="4">
        <v>0.00233262477270049</v>
      </c>
      <c r="AO37" s="4">
        <v>0.00581739248032342</v>
      </c>
    </row>
    <row r="38" ht="14" spans="1:41">
      <c r="A38" s="22" t="s">
        <v>110</v>
      </c>
      <c r="B38" s="4">
        <v>0.00124508513893168</v>
      </c>
      <c r="C38" s="4">
        <v>0.000720858597532851</v>
      </c>
      <c r="D38" s="4">
        <v>0.000427159042181265</v>
      </c>
      <c r="E38" s="4">
        <v>0.00124111423446153</v>
      </c>
      <c r="F38" s="4">
        <v>0.00134495988978558</v>
      </c>
      <c r="G38" s="4">
        <v>0.000601116724510336</v>
      </c>
      <c r="H38" s="4">
        <v>0.000821846897390478</v>
      </c>
      <c r="I38" s="4">
        <v>0.00069743991367846</v>
      </c>
      <c r="J38" s="4">
        <v>0.0019588905262778</v>
      </c>
      <c r="K38" s="4">
        <v>0.00272647100988205</v>
      </c>
      <c r="L38" s="4">
        <v>-0.000311945265968454</v>
      </c>
      <c r="M38" s="4">
        <v>0.000133852117626324</v>
      </c>
      <c r="N38" s="4">
        <v>0.000807682968805825</v>
      </c>
      <c r="O38" s="4">
        <v>0.00169630108823614</v>
      </c>
      <c r="P38" s="4">
        <v>0.00303320834802789</v>
      </c>
      <c r="Q38" s="4">
        <v>0.00170336745870293</v>
      </c>
      <c r="R38" s="4">
        <v>0.00127401153008391</v>
      </c>
      <c r="S38" s="4">
        <v>0.00101659158482841</v>
      </c>
      <c r="T38" s="4">
        <v>0.000905430937151768</v>
      </c>
      <c r="U38" s="4">
        <v>0.00424551724994749</v>
      </c>
      <c r="V38" s="4">
        <v>0.00148576095141891</v>
      </c>
      <c r="W38" s="4">
        <v>0.00101198019480711</v>
      </c>
      <c r="X38" s="4">
        <v>0.00231180610380893</v>
      </c>
      <c r="Y38" s="4">
        <v>0.00138505641539236</v>
      </c>
      <c r="Z38" s="4">
        <v>0.000678616598211505</v>
      </c>
      <c r="AA38" s="4">
        <v>0.00161201371004567</v>
      </c>
      <c r="AB38" s="4">
        <v>0.00134524241598604</v>
      </c>
      <c r="AC38" s="4">
        <v>0.0038591826336859</v>
      </c>
      <c r="AD38" s="4">
        <v>0.00146755929100466</v>
      </c>
      <c r="AE38" s="4">
        <v>0.00191119920626582</v>
      </c>
      <c r="AF38" s="4">
        <v>0.000472072073612438</v>
      </c>
      <c r="AG38" s="4">
        <v>0.003524015563287</v>
      </c>
      <c r="AH38" s="4">
        <v>0.00126505275478452</v>
      </c>
      <c r="AI38" s="4">
        <v>0.00352597855398976</v>
      </c>
      <c r="AJ38" s="4">
        <v>0.00529726995234773</v>
      </c>
      <c r="AK38" s="4">
        <v>0.00688201182347131</v>
      </c>
      <c r="AL38" s="4">
        <v>0.0021068971090685</v>
      </c>
      <c r="AM38" s="4">
        <v>0.00251166486956845</v>
      </c>
      <c r="AN38" s="4">
        <v>0.001162183612291</v>
      </c>
      <c r="AO38" s="4">
        <v>0.0031911083811324</v>
      </c>
    </row>
    <row r="39" ht="14" spans="1:41">
      <c r="A39" s="22" t="s">
        <v>114</v>
      </c>
      <c r="B39" s="4">
        <v>0.00164112237582031</v>
      </c>
      <c r="C39" s="4">
        <v>0.00126171610138778</v>
      </c>
      <c r="D39" s="4">
        <v>0.00101309929783178</v>
      </c>
      <c r="E39" s="4">
        <v>0.00242045412056686</v>
      </c>
      <c r="F39" s="4">
        <v>0.00175076544238457</v>
      </c>
      <c r="G39" s="4">
        <v>0.00106347155447635</v>
      </c>
      <c r="H39" s="4">
        <v>0.002273960368022</v>
      </c>
      <c r="I39" s="4">
        <v>0.00131323835900502</v>
      </c>
      <c r="J39" s="4">
        <v>0.00186336221367708</v>
      </c>
      <c r="K39" s="4">
        <v>0.0025014030351888</v>
      </c>
      <c r="L39" s="4">
        <v>-0.000478066335947198</v>
      </c>
      <c r="M39" s="4">
        <v>0.000454104923923804</v>
      </c>
      <c r="N39" s="4">
        <v>0.00134670511946039</v>
      </c>
      <c r="O39" s="4">
        <v>0.00116734533978091</v>
      </c>
      <c r="P39" s="4">
        <v>0.00132540851336576</v>
      </c>
      <c r="Q39" s="4">
        <v>6.05581161677571e-5</v>
      </c>
      <c r="R39" s="4">
        <v>0.00133520336664318</v>
      </c>
      <c r="S39" s="4">
        <v>0.00241080111007321</v>
      </c>
      <c r="T39" s="4">
        <v>0.00242248237227427</v>
      </c>
      <c r="U39" s="4">
        <v>0.00332385203339392</v>
      </c>
      <c r="V39" s="4">
        <v>0.00247354335051408</v>
      </c>
      <c r="W39" s="4">
        <v>0.000975862281543268</v>
      </c>
      <c r="X39" s="4">
        <v>0.00207811739583328</v>
      </c>
      <c r="Y39" s="4">
        <v>0.00515632752013989</v>
      </c>
      <c r="Z39" s="4">
        <v>0.00166853837681611</v>
      </c>
      <c r="AA39" s="4">
        <v>0.00176334365107287</v>
      </c>
      <c r="AB39" s="4">
        <v>0.000312803059489924</v>
      </c>
      <c r="AC39" s="4">
        <v>0.00506961831773075</v>
      </c>
      <c r="AD39" s="4">
        <v>0.000829846621900235</v>
      </c>
      <c r="AE39" s="4">
        <v>0.00154974363075089</v>
      </c>
      <c r="AF39" s="4">
        <v>0.000758334333220339</v>
      </c>
      <c r="AG39" s="4">
        <v>0.00320491133242865</v>
      </c>
      <c r="AH39" s="4">
        <v>0.00302124531378657</v>
      </c>
      <c r="AI39" s="4">
        <v>0.00227632862443019</v>
      </c>
      <c r="AJ39" s="4">
        <v>0.00557984387376081</v>
      </c>
      <c r="AK39" s="4">
        <v>0.0021068971090685</v>
      </c>
      <c r="AL39" s="4">
        <v>0.00629236004747473</v>
      </c>
      <c r="AM39" s="4">
        <v>0.00276311933640183</v>
      </c>
      <c r="AN39" s="4">
        <v>0.00136568827253624</v>
      </c>
      <c r="AO39" s="4">
        <v>0.00437396704706822</v>
      </c>
    </row>
    <row r="40" ht="14" spans="1:41">
      <c r="A40" s="22" t="s">
        <v>127</v>
      </c>
      <c r="B40" s="4">
        <v>0.00293185221448219</v>
      </c>
      <c r="C40" s="4">
        <v>0.00189934987723489</v>
      </c>
      <c r="D40" s="4">
        <v>0.00187047803946536</v>
      </c>
      <c r="E40" s="4">
        <v>0.00273679626308212</v>
      </c>
      <c r="F40" s="4">
        <v>0.00270574913253526</v>
      </c>
      <c r="G40" s="4">
        <v>0.00239825262504663</v>
      </c>
      <c r="H40" s="4">
        <v>0.00115349793342364</v>
      </c>
      <c r="I40" s="4">
        <v>0.00121903987644113</v>
      </c>
      <c r="J40" s="4">
        <v>0.00241035087525234</v>
      </c>
      <c r="K40" s="4">
        <v>0.00184553755644569</v>
      </c>
      <c r="L40" s="4">
        <v>0.000840656567835245</v>
      </c>
      <c r="M40" s="4">
        <v>0.000767990805079859</v>
      </c>
      <c r="N40" s="4">
        <v>0.00335519088356236</v>
      </c>
      <c r="O40" s="4">
        <v>0.00132332705486357</v>
      </c>
      <c r="P40" s="4">
        <v>0.00150400669384975</v>
      </c>
      <c r="Q40" s="4">
        <v>0.000517606931500072</v>
      </c>
      <c r="R40" s="4">
        <v>0.00536704296690666</v>
      </c>
      <c r="S40" s="4">
        <v>0.00232724923753047</v>
      </c>
      <c r="T40" s="4">
        <v>0.00412722102545525</v>
      </c>
      <c r="U40" s="4">
        <v>0.00393443200449481</v>
      </c>
      <c r="V40" s="4">
        <v>0.00186001384369285</v>
      </c>
      <c r="W40" s="4">
        <v>0.00433028529269517</v>
      </c>
      <c r="X40" s="4">
        <v>0.00385279228289807</v>
      </c>
      <c r="Y40" s="4">
        <v>0.00889900559983716</v>
      </c>
      <c r="Z40" s="4">
        <v>0.00289912823693436</v>
      </c>
      <c r="AA40" s="4">
        <v>0.00221942525021629</v>
      </c>
      <c r="AB40" s="4">
        <v>0.00182520070902842</v>
      </c>
      <c r="AC40" s="4">
        <v>0.0104327722034746</v>
      </c>
      <c r="AD40" s="4">
        <v>0.00157049295410353</v>
      </c>
      <c r="AE40" s="4">
        <v>0.00393112563985109</v>
      </c>
      <c r="AF40" s="4">
        <v>0.000781920925425219</v>
      </c>
      <c r="AG40" s="4">
        <v>0.00558168830815602</v>
      </c>
      <c r="AH40" s="4">
        <v>0.00412546954693199</v>
      </c>
      <c r="AI40" s="4">
        <v>0.00426455609452231</v>
      </c>
      <c r="AJ40" s="4">
        <v>0.00201388138869355</v>
      </c>
      <c r="AK40" s="4">
        <v>0.00251166486956845</v>
      </c>
      <c r="AL40" s="4">
        <v>0.00276311933640183</v>
      </c>
      <c r="AM40" s="4">
        <v>0.0288543441698788</v>
      </c>
      <c r="AN40" s="4">
        <v>0.00212470814089385</v>
      </c>
      <c r="AO40" s="4">
        <v>0.00191767339223901</v>
      </c>
    </row>
    <row r="41" ht="14" spans="1:41">
      <c r="A41" s="22" t="s">
        <v>128</v>
      </c>
      <c r="B41" s="4">
        <v>0.00110300233208384</v>
      </c>
      <c r="C41" s="4">
        <v>0.000522268965433851</v>
      </c>
      <c r="D41" s="4">
        <v>-0.000419740624062846</v>
      </c>
      <c r="E41" s="4">
        <v>0.000914118074065672</v>
      </c>
      <c r="F41" s="4">
        <v>0.00063251913789168</v>
      </c>
      <c r="G41" s="4">
        <v>0.00124222596187383</v>
      </c>
      <c r="H41" s="4">
        <v>0.00140903166593528</v>
      </c>
      <c r="I41" s="4">
        <v>0.00268654360093993</v>
      </c>
      <c r="J41" s="4">
        <v>0.00168706645016609</v>
      </c>
      <c r="K41" s="4">
        <v>0.000754139465710073</v>
      </c>
      <c r="L41" s="4">
        <v>0.00106635928059738</v>
      </c>
      <c r="M41" s="4">
        <v>0.000428718068137429</v>
      </c>
      <c r="N41" s="4">
        <v>0.00153093917474026</v>
      </c>
      <c r="O41" s="4">
        <v>0.00197936509038879</v>
      </c>
      <c r="P41" s="4">
        <v>0.00220797186667111</v>
      </c>
      <c r="Q41" s="4">
        <v>0.00157405754706827</v>
      </c>
      <c r="R41" s="4">
        <v>0.00441150685639114</v>
      </c>
      <c r="S41" s="4">
        <v>0.000741633907196078</v>
      </c>
      <c r="T41" s="4">
        <v>0.00210078564067658</v>
      </c>
      <c r="U41" s="4">
        <v>0.00496529826284984</v>
      </c>
      <c r="V41" s="4">
        <v>0.00209070335148924</v>
      </c>
      <c r="W41" s="4">
        <v>0.00249335423371272</v>
      </c>
      <c r="X41" s="4">
        <v>0.00271560868474812</v>
      </c>
      <c r="Y41" s="4">
        <v>0.00119532647215749</v>
      </c>
      <c r="Z41" s="4">
        <v>0.000708446525306676</v>
      </c>
      <c r="AA41" s="4">
        <v>0.00133474297691087</v>
      </c>
      <c r="AB41" s="4">
        <v>0.00139132866816578</v>
      </c>
      <c r="AC41" s="4">
        <v>0.00060836709838927</v>
      </c>
      <c r="AD41" s="4">
        <v>0.000467596364898791</v>
      </c>
      <c r="AE41" s="4">
        <v>0.00202793587306075</v>
      </c>
      <c r="AF41" s="4">
        <v>0.00150983369816508</v>
      </c>
      <c r="AG41" s="4">
        <v>0.00203662772774619</v>
      </c>
      <c r="AH41" s="4">
        <v>0.00220089741961283</v>
      </c>
      <c r="AI41" s="4">
        <v>0.00209893548093197</v>
      </c>
      <c r="AJ41" s="4">
        <v>0.00233262477270049</v>
      </c>
      <c r="AK41" s="4">
        <v>0.001162183612291</v>
      </c>
      <c r="AL41" s="4">
        <v>0.00136568827253624</v>
      </c>
      <c r="AM41" s="4">
        <v>0.00212470814089385</v>
      </c>
      <c r="AN41" s="4">
        <v>0.00560074218683889</v>
      </c>
      <c r="AO41" s="4">
        <v>0.000978787555942603</v>
      </c>
    </row>
    <row r="42" ht="14" spans="1:41">
      <c r="A42" s="22" t="s">
        <v>130</v>
      </c>
      <c r="B42" s="4">
        <v>0.00128519038735149</v>
      </c>
      <c r="C42" s="4">
        <v>0.000113585677214058</v>
      </c>
      <c r="D42" s="4">
        <v>4.89460813498175e-5</v>
      </c>
      <c r="E42" s="4">
        <v>0.000742442001824088</v>
      </c>
      <c r="F42" s="4">
        <v>0.000186463845717788</v>
      </c>
      <c r="G42" s="4">
        <v>0.00129568157444589</v>
      </c>
      <c r="H42" s="4">
        <v>0.00173446352853103</v>
      </c>
      <c r="I42" s="4">
        <v>0.00104709849702887</v>
      </c>
      <c r="J42" s="4">
        <v>0.000827755385985986</v>
      </c>
      <c r="K42" s="4">
        <v>0.00222031648180357</v>
      </c>
      <c r="L42" s="4">
        <v>-0.0020866916738509</v>
      </c>
      <c r="M42" s="4">
        <v>3.92938811651997e-5</v>
      </c>
      <c r="N42" s="4">
        <v>0.000841158480760062</v>
      </c>
      <c r="O42" s="4">
        <v>0.000658217754743903</v>
      </c>
      <c r="P42" s="4">
        <v>0.00187768701038987</v>
      </c>
      <c r="Q42" s="4">
        <v>0.000204016994707553</v>
      </c>
      <c r="R42" s="4">
        <v>0.00102062395996555</v>
      </c>
      <c r="S42" s="4">
        <v>0.0014477437737854</v>
      </c>
      <c r="T42" s="4">
        <v>0.00293355515542663</v>
      </c>
      <c r="U42" s="4">
        <v>0.000611968138029614</v>
      </c>
      <c r="V42" s="4">
        <v>0.00251830482778887</v>
      </c>
      <c r="W42" s="4">
        <v>0.00174310996103162</v>
      </c>
      <c r="X42" s="4">
        <v>0.00209389518538852</v>
      </c>
      <c r="Y42" s="4">
        <v>0.00458109493849177</v>
      </c>
      <c r="Z42" s="4">
        <v>0.00170287698289009</v>
      </c>
      <c r="AA42" s="4">
        <v>0.00162059146805809</v>
      </c>
      <c r="AB42" s="4">
        <v>-0.000128520468695027</v>
      </c>
      <c r="AC42" s="4">
        <v>0.00927843416604453</v>
      </c>
      <c r="AD42" s="4">
        <v>0.000873949901685959</v>
      </c>
      <c r="AE42" s="4">
        <v>0.0019534556611164</v>
      </c>
      <c r="AF42" s="4">
        <v>0.000989101316245922</v>
      </c>
      <c r="AG42" s="4">
        <v>0.00306893656891111</v>
      </c>
      <c r="AH42" s="4">
        <v>0.00426028764829058</v>
      </c>
      <c r="AI42" s="4">
        <v>0.00395979501020512</v>
      </c>
      <c r="AJ42" s="4">
        <v>0.00581739248032342</v>
      </c>
      <c r="AK42" s="4">
        <v>0.0031911083811324</v>
      </c>
      <c r="AL42" s="4">
        <v>0.00437396704706822</v>
      </c>
      <c r="AM42" s="4">
        <v>0.00191767339223901</v>
      </c>
      <c r="AN42" s="4">
        <v>0.000978787555942603</v>
      </c>
      <c r="AO42" s="4">
        <v>0.00963337352595042</v>
      </c>
    </row>
  </sheetData>
  <conditionalFormatting sqref="B2:AO2">
    <cfRule type="duplicateValues" dxfId="0" priority="2"/>
    <cfRule type="duplicateValues" dxfId="0" priority="1"/>
    <cfRule type="duplicateValues" dxfId="0" priority="3"/>
  </conditionalFormatting>
  <conditionalFormatting sqref="A3:A42">
    <cfRule type="duplicateValues" dxfId="0" priority="5"/>
    <cfRule type="duplicateValues" dxfId="0" priority="4"/>
    <cfRule type="duplicateValues" dxfId="0" priority="6"/>
  </conditionalFormatting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O42"/>
  <sheetViews>
    <sheetView zoomScale="50" zoomScaleNormal="50" workbookViewId="0">
      <selection activeCell="B2" sqref="B2:AO2"/>
    </sheetView>
  </sheetViews>
  <sheetFormatPr defaultColWidth="11" defaultRowHeight="13.2"/>
  <sheetData>
    <row r="1" ht="25.2" spans="1:1">
      <c r="A1" s="26" t="s">
        <v>141</v>
      </c>
    </row>
    <row r="2" ht="14" spans="2:41">
      <c r="B2" s="22" t="s">
        <v>2</v>
      </c>
      <c r="C2" s="22" t="s">
        <v>6</v>
      </c>
      <c r="D2" s="22" t="s">
        <v>4</v>
      </c>
      <c r="E2" s="22" t="s">
        <v>5</v>
      </c>
      <c r="F2" s="22" t="s">
        <v>7</v>
      </c>
      <c r="G2" s="22" t="s">
        <v>9</v>
      </c>
      <c r="H2" s="22" t="s">
        <v>10</v>
      </c>
      <c r="I2" s="22" t="s">
        <v>11</v>
      </c>
      <c r="J2" s="22" t="s">
        <v>16</v>
      </c>
      <c r="K2" s="22" t="s">
        <v>17</v>
      </c>
      <c r="L2" s="22" t="s">
        <v>19</v>
      </c>
      <c r="M2" s="22" t="s">
        <v>28</v>
      </c>
      <c r="N2" s="22" t="s">
        <v>30</v>
      </c>
      <c r="O2" s="22" t="s">
        <v>32</v>
      </c>
      <c r="P2" s="22" t="s">
        <v>34</v>
      </c>
      <c r="Q2" s="22" t="s">
        <v>37</v>
      </c>
      <c r="R2" s="22" t="s">
        <v>39</v>
      </c>
      <c r="S2" s="22" t="s">
        <v>40</v>
      </c>
      <c r="T2" s="22" t="s">
        <v>41</v>
      </c>
      <c r="U2" s="22" t="s">
        <v>44</v>
      </c>
      <c r="V2" s="22" t="s">
        <v>49</v>
      </c>
      <c r="W2" s="22" t="s">
        <v>53</v>
      </c>
      <c r="X2" s="22" t="s">
        <v>57</v>
      </c>
      <c r="Y2" s="22" t="s">
        <v>61</v>
      </c>
      <c r="Z2" s="22" t="s">
        <v>63</v>
      </c>
      <c r="AA2" s="22" t="s">
        <v>66</v>
      </c>
      <c r="AB2" s="22" t="s">
        <v>74</v>
      </c>
      <c r="AC2" s="22" t="s">
        <v>75</v>
      </c>
      <c r="AD2" s="22" t="s">
        <v>78</v>
      </c>
      <c r="AE2" s="22" t="s">
        <v>81</v>
      </c>
      <c r="AF2" s="22" t="s">
        <v>82</v>
      </c>
      <c r="AG2" s="22" t="s">
        <v>89</v>
      </c>
      <c r="AH2" s="22" t="s">
        <v>97</v>
      </c>
      <c r="AI2" s="22" t="s">
        <v>101</v>
      </c>
      <c r="AJ2" s="22" t="s">
        <v>107</v>
      </c>
      <c r="AK2" s="22" t="s">
        <v>110</v>
      </c>
      <c r="AL2" s="22" t="s">
        <v>114</v>
      </c>
      <c r="AM2" s="22" t="s">
        <v>127</v>
      </c>
      <c r="AN2" s="22" t="s">
        <v>128</v>
      </c>
      <c r="AO2" s="22" t="s">
        <v>130</v>
      </c>
    </row>
    <row r="3" ht="14" spans="1:41">
      <c r="A3" s="22" t="s">
        <v>2</v>
      </c>
      <c r="B3" s="4">
        <f t="array" ref="B3:AO42">sim(Data!B132:AO189,Data!AQ132:AQ189)</f>
        <v>0.00239956142449895</v>
      </c>
      <c r="C3" s="4">
        <v>0.000583379165166759</v>
      </c>
      <c r="D3" s="4">
        <v>0.000405263679810351</v>
      </c>
      <c r="E3" s="4">
        <v>0.00111069011259504</v>
      </c>
      <c r="F3" s="4">
        <v>0.000857954514281327</v>
      </c>
      <c r="G3" s="4">
        <v>0.000982663732367815</v>
      </c>
      <c r="H3" s="4">
        <v>0.00123709531235134</v>
      </c>
      <c r="I3" s="4">
        <v>0.00125891211102717</v>
      </c>
      <c r="J3" s="4">
        <v>0.00106260986584888</v>
      </c>
      <c r="K3" s="4">
        <v>0.00115432804835888</v>
      </c>
      <c r="L3" s="4">
        <v>0.000259735555879121</v>
      </c>
      <c r="M3" s="4">
        <v>0.00043520649080352</v>
      </c>
      <c r="N3" s="4">
        <v>0.00112572158744384</v>
      </c>
      <c r="O3" s="4">
        <v>0.0010779051211546</v>
      </c>
      <c r="P3" s="4">
        <v>0.00157497005333975</v>
      </c>
      <c r="Q3" s="4">
        <v>0.00066644878648682</v>
      </c>
      <c r="R3" s="4">
        <v>0.0019324257662184</v>
      </c>
      <c r="S3" s="4">
        <v>0.000787217761259341</v>
      </c>
      <c r="T3" s="4">
        <v>0.00138747117437424</v>
      </c>
      <c r="U3" s="4">
        <v>0.00271145155730291</v>
      </c>
      <c r="V3" s="4">
        <v>0.00128494329107101</v>
      </c>
      <c r="W3" s="4">
        <v>0.00132960289544198</v>
      </c>
      <c r="X3" s="4">
        <v>0.00145810574273323</v>
      </c>
      <c r="Y3" s="4">
        <v>0.0021486561245756</v>
      </c>
      <c r="Z3" s="4">
        <v>0.000837703209519001</v>
      </c>
      <c r="AA3" s="4">
        <v>0.0012632496856414</v>
      </c>
      <c r="AB3" s="4">
        <v>0.000777091444892349</v>
      </c>
      <c r="AC3" s="4">
        <v>0.00271131388045512</v>
      </c>
      <c r="AD3" s="4">
        <v>0.00060579521093223</v>
      </c>
      <c r="AE3" s="4">
        <v>0.0013671543521117</v>
      </c>
      <c r="AF3" s="4">
        <v>0.00063499646408793</v>
      </c>
      <c r="AG3" s="4">
        <v>0.00156362244397265</v>
      </c>
      <c r="AH3" s="4">
        <v>0.00138643770874417</v>
      </c>
      <c r="AI3" s="4">
        <v>0.00191265874744461</v>
      </c>
      <c r="AJ3" s="4">
        <v>0.00214646096897581</v>
      </c>
      <c r="AK3" s="4">
        <v>0.00130449584886449</v>
      </c>
      <c r="AL3" s="4">
        <v>0.00170863741854632</v>
      </c>
      <c r="AM3" s="4">
        <v>0.0023721938740365</v>
      </c>
      <c r="AN3" s="4">
        <v>0.00122994858696092</v>
      </c>
      <c r="AO3" s="4">
        <v>0.00159877192289918</v>
      </c>
    </row>
    <row r="4" ht="14" spans="1:41">
      <c r="A4" s="22" t="s">
        <v>6</v>
      </c>
      <c r="B4" s="4">
        <v>0.000583379165166759</v>
      </c>
      <c r="C4" s="4">
        <v>0.00252399390893863</v>
      </c>
      <c r="D4" s="4">
        <v>0.000235592004341941</v>
      </c>
      <c r="E4" s="4">
        <v>0.000645677673241019</v>
      </c>
      <c r="F4" s="4">
        <v>0.000498754844619538</v>
      </c>
      <c r="G4" s="4">
        <v>0.000571252075712789</v>
      </c>
      <c r="H4" s="4">
        <v>0.00071916082964864</v>
      </c>
      <c r="I4" s="4">
        <v>0.000731843592956634</v>
      </c>
      <c r="J4" s="4">
        <v>0.00061772717517151</v>
      </c>
      <c r="K4" s="4">
        <v>0.000671045721906914</v>
      </c>
      <c r="L4" s="4">
        <v>0.00015099211515097</v>
      </c>
      <c r="M4" s="4">
        <v>0.000252998663781084</v>
      </c>
      <c r="N4" s="4">
        <v>0.000654415923087394</v>
      </c>
      <c r="O4" s="4">
        <v>0.000626618768556047</v>
      </c>
      <c r="P4" s="4">
        <v>0.000915577610652114</v>
      </c>
      <c r="Q4" s="4">
        <v>0.000387426787106012</v>
      </c>
      <c r="R4" s="4">
        <v>0.00112337740139568</v>
      </c>
      <c r="S4" s="4">
        <v>0.000457633435879212</v>
      </c>
      <c r="T4" s="4">
        <v>0.000806578855254094</v>
      </c>
      <c r="U4" s="4">
        <v>0.00157624859785116</v>
      </c>
      <c r="V4" s="4">
        <v>0.000746976303306558</v>
      </c>
      <c r="W4" s="4">
        <v>0.000772938278758684</v>
      </c>
      <c r="X4" s="4">
        <v>0.000847640860966793</v>
      </c>
      <c r="Y4" s="4">
        <v>0.00124907863262565</v>
      </c>
      <c r="Z4" s="4">
        <v>0.0004869821501562</v>
      </c>
      <c r="AA4" s="4">
        <v>0.00073436515594947</v>
      </c>
      <c r="AB4" s="4">
        <v>0.000451746702652546</v>
      </c>
      <c r="AC4" s="4">
        <v>0.00157616856214568</v>
      </c>
      <c r="AD4" s="4">
        <v>0.000352167033648465</v>
      </c>
      <c r="AE4" s="4">
        <v>0.000794768073491141</v>
      </c>
      <c r="AF4" s="4">
        <v>0.000369142603143041</v>
      </c>
      <c r="AG4" s="4">
        <v>0.000908980902956682</v>
      </c>
      <c r="AH4" s="4">
        <v>0.000805978070502496</v>
      </c>
      <c r="AI4" s="4">
        <v>0.00111188623698894</v>
      </c>
      <c r="AJ4" s="4">
        <v>0.00124780252244514</v>
      </c>
      <c r="AK4" s="4">
        <v>0.000758342795074913</v>
      </c>
      <c r="AL4" s="4">
        <v>0.000993282482943803</v>
      </c>
      <c r="AM4" s="4">
        <v>0.00137902787077654</v>
      </c>
      <c r="AN4" s="4">
        <v>0.000715006222554316</v>
      </c>
      <c r="AO4" s="4">
        <v>0.000929414355556609</v>
      </c>
    </row>
    <row r="5" ht="14" spans="1:41">
      <c r="A5" s="22" t="s">
        <v>4</v>
      </c>
      <c r="B5" s="4">
        <v>0.000405263679810351</v>
      </c>
      <c r="C5" s="4">
        <v>0.000235592004341941</v>
      </c>
      <c r="D5" s="4">
        <v>0.00481728628300211</v>
      </c>
      <c r="E5" s="4">
        <v>0.000448541404035645</v>
      </c>
      <c r="F5" s="4">
        <v>0.000346476589708129</v>
      </c>
      <c r="G5" s="4">
        <v>0.000396839195031056</v>
      </c>
      <c r="H5" s="4">
        <v>0.00049958891506789</v>
      </c>
      <c r="I5" s="4">
        <v>0.000508399417114004</v>
      </c>
      <c r="J5" s="4">
        <v>0.000429124663814998</v>
      </c>
      <c r="K5" s="4">
        <v>0.000466164160153461</v>
      </c>
      <c r="L5" s="4">
        <v>0.000104891679137939</v>
      </c>
      <c r="M5" s="4">
        <v>0.000175753910309284</v>
      </c>
      <c r="N5" s="4">
        <v>0.000454611719019952</v>
      </c>
      <c r="O5" s="4">
        <v>0.000435301503972402</v>
      </c>
      <c r="P5" s="4">
        <v>0.000636036344456662</v>
      </c>
      <c r="Q5" s="4">
        <v>0.000269138863323655</v>
      </c>
      <c r="R5" s="4">
        <v>0.000780391358980512</v>
      </c>
      <c r="S5" s="4">
        <v>0.000317910239690595</v>
      </c>
      <c r="T5" s="4">
        <v>0.000560316745017894</v>
      </c>
      <c r="U5" s="4">
        <v>0.00109499335115691</v>
      </c>
      <c r="V5" s="4">
        <v>0.000518911856104109</v>
      </c>
      <c r="W5" s="4">
        <v>0.000536947203156428</v>
      </c>
      <c r="X5" s="4">
        <v>0.000588841828752698</v>
      </c>
      <c r="Y5" s="4">
        <v>0.000867713887049179</v>
      </c>
      <c r="Z5" s="4">
        <v>0.000338298297159523</v>
      </c>
      <c r="AA5" s="4">
        <v>0.000510151104452817</v>
      </c>
      <c r="AB5" s="4">
        <v>0.00031382082527207</v>
      </c>
      <c r="AC5" s="4">
        <v>0.0010949377517004</v>
      </c>
      <c r="AD5" s="4">
        <v>0.000244644506499433</v>
      </c>
      <c r="AE5" s="4">
        <v>0.000552111993863775</v>
      </c>
      <c r="AF5" s="4">
        <v>0.000256437148696864</v>
      </c>
      <c r="AG5" s="4">
        <v>0.000631453722733242</v>
      </c>
      <c r="AH5" s="4">
        <v>0.000559899389970363</v>
      </c>
      <c r="AI5" s="4">
        <v>0.000772408640620232</v>
      </c>
      <c r="AJ5" s="4">
        <v>0.000866827394801123</v>
      </c>
      <c r="AK5" s="4">
        <v>0.000526807966482444</v>
      </c>
      <c r="AL5" s="4">
        <v>0.00069001661040449</v>
      </c>
      <c r="AM5" s="4">
        <v>0.00095798743397389</v>
      </c>
      <c r="AN5" s="4">
        <v>0.000496702779498187</v>
      </c>
      <c r="AO5" s="4">
        <v>0.000645648498080609</v>
      </c>
    </row>
    <row r="6" ht="14" spans="1:41">
      <c r="A6" s="22" t="s">
        <v>5</v>
      </c>
      <c r="B6" s="4">
        <v>0.00111069011259504</v>
      </c>
      <c r="C6" s="4">
        <v>0.000645677673241019</v>
      </c>
      <c r="D6" s="4">
        <v>0.000448541404035645</v>
      </c>
      <c r="E6" s="4">
        <v>0.00701239700500198</v>
      </c>
      <c r="F6" s="4">
        <v>0.000949574663622835</v>
      </c>
      <c r="G6" s="4">
        <v>0.00108760146089931</v>
      </c>
      <c r="H6" s="4">
        <v>0.00136920354813847</v>
      </c>
      <c r="I6" s="4">
        <v>0.00139335014206516</v>
      </c>
      <c r="J6" s="4">
        <v>0.00117608496619542</v>
      </c>
      <c r="K6" s="4">
        <v>0.00127759764647775</v>
      </c>
      <c r="L6" s="4">
        <v>0.000287472469693111</v>
      </c>
      <c r="M6" s="4">
        <v>0.00048168177943256</v>
      </c>
      <c r="N6" s="4">
        <v>0.00124593632871711</v>
      </c>
      <c r="O6" s="4">
        <v>0.00119301358731715</v>
      </c>
      <c r="P6" s="4">
        <v>0.00174315961245206</v>
      </c>
      <c r="Q6" s="4">
        <v>0.000737618220681751</v>
      </c>
      <c r="R6" s="4">
        <v>0.00213878768208362</v>
      </c>
      <c r="S6" s="4">
        <v>0.00087128399979564</v>
      </c>
      <c r="T6" s="4">
        <v>0.00153563790592841</v>
      </c>
      <c r="U6" s="4">
        <v>0.00300100489897447</v>
      </c>
      <c r="V6" s="4">
        <v>0.00142216116715143</v>
      </c>
      <c r="W6" s="4">
        <v>0.00147158992834119</v>
      </c>
      <c r="X6" s="4">
        <v>0.00161381547288931</v>
      </c>
      <c r="Y6" s="4">
        <v>0.00237810907544919</v>
      </c>
      <c r="Z6" s="4">
        <v>0.000927160741220763</v>
      </c>
      <c r="AA6" s="4">
        <v>0.00139815092216095</v>
      </c>
      <c r="AB6" s="4">
        <v>0.000860076303702358</v>
      </c>
      <c r="AC6" s="4">
        <v>0.0030008525197466</v>
      </c>
      <c r="AD6" s="4">
        <v>0.000670487507286045</v>
      </c>
      <c r="AE6" s="4">
        <v>0.00151315146947438</v>
      </c>
      <c r="AF6" s="4">
        <v>0.000702807134586936</v>
      </c>
      <c r="AG6" s="4">
        <v>0.00173060020263683</v>
      </c>
      <c r="AH6" s="4">
        <v>0.00153449407748331</v>
      </c>
      <c r="AI6" s="4">
        <v>0.00211690976211175</v>
      </c>
      <c r="AJ6" s="4">
        <v>0.00237567950126364</v>
      </c>
      <c r="AK6" s="4">
        <v>0.00144380172405818</v>
      </c>
      <c r="AL6" s="4">
        <v>0.00189110118888831</v>
      </c>
      <c r="AM6" s="4">
        <v>0.00262551820928788</v>
      </c>
      <c r="AN6" s="4">
        <v>0.00136129363071785</v>
      </c>
      <c r="AO6" s="4">
        <v>0.00176950326110041</v>
      </c>
    </row>
    <row r="7" ht="14" spans="1:41">
      <c r="A7" s="22" t="s">
        <v>7</v>
      </c>
      <c r="B7" s="4">
        <v>0.000857954514281327</v>
      </c>
      <c r="C7" s="4">
        <v>0.000498754844619538</v>
      </c>
      <c r="D7" s="4">
        <v>0.000346476589708129</v>
      </c>
      <c r="E7" s="4">
        <v>0.000949574663622835</v>
      </c>
      <c r="F7" s="4">
        <v>0.00423305199538967</v>
      </c>
      <c r="G7" s="4">
        <v>0.000840119645017264</v>
      </c>
      <c r="H7" s="4">
        <v>0.0010576436683593</v>
      </c>
      <c r="I7" s="4">
        <v>0.00107629574694449</v>
      </c>
      <c r="J7" s="4">
        <v>0.000908468882979655</v>
      </c>
      <c r="K7" s="4">
        <v>0.000986882529880266</v>
      </c>
      <c r="L7" s="4">
        <v>0.00022205861050528</v>
      </c>
      <c r="M7" s="4">
        <v>0.000372075930473241</v>
      </c>
      <c r="N7" s="4">
        <v>0.000962425689765451</v>
      </c>
      <c r="O7" s="4">
        <v>0.000921545425885051</v>
      </c>
      <c r="P7" s="4">
        <v>0.00134650668233815</v>
      </c>
      <c r="Q7" s="4">
        <v>0.00056977448081489</v>
      </c>
      <c r="R7" s="4">
        <v>0.00165211027461625</v>
      </c>
      <c r="S7" s="4">
        <v>0.000673024844976099</v>
      </c>
      <c r="T7" s="4">
        <v>0.00118620617826025</v>
      </c>
      <c r="U7" s="4">
        <v>0.002318131467327</v>
      </c>
      <c r="V7" s="4">
        <v>0.00109855087351268</v>
      </c>
      <c r="W7" s="4">
        <v>0.00113673220628695</v>
      </c>
      <c r="X7" s="4">
        <v>0.00124659457618424</v>
      </c>
      <c r="Y7" s="4">
        <v>0.00183697450224708</v>
      </c>
      <c r="Z7" s="4">
        <v>0.000716186931327086</v>
      </c>
      <c r="AA7" s="4">
        <v>0.00108000411790102</v>
      </c>
      <c r="AB7" s="4">
        <v>0.000664367440585004</v>
      </c>
      <c r="AC7" s="4">
        <v>0.00231801376172672</v>
      </c>
      <c r="AD7" s="4">
        <v>0.000517919244190692</v>
      </c>
      <c r="AE7" s="4">
        <v>0.00116883649120977</v>
      </c>
      <c r="AF7" s="4">
        <v>0.000542884596657821</v>
      </c>
      <c r="AG7" s="4">
        <v>0.00133680514432544</v>
      </c>
      <c r="AH7" s="4">
        <v>0.00118532262598323</v>
      </c>
      <c r="AI7" s="4">
        <v>0.00163521063718354</v>
      </c>
      <c r="AJ7" s="4">
        <v>0.00183509777343079</v>
      </c>
      <c r="AK7" s="4">
        <v>0.00111526715943182</v>
      </c>
      <c r="AL7" s="4">
        <v>0.00146078441103498</v>
      </c>
      <c r="AM7" s="4">
        <v>0.00202808611910968</v>
      </c>
      <c r="AN7" s="4">
        <v>0.00105153363885452</v>
      </c>
      <c r="AO7" s="4">
        <v>0.00136685587967429</v>
      </c>
    </row>
    <row r="8" ht="14" spans="1:41">
      <c r="A8" s="22" t="s">
        <v>9</v>
      </c>
      <c r="B8" s="4">
        <v>0.000982663732367815</v>
      </c>
      <c r="C8" s="4">
        <v>0.000571252075712789</v>
      </c>
      <c r="D8" s="4">
        <v>0.000396839195031056</v>
      </c>
      <c r="E8" s="4">
        <v>0.00108760146089931</v>
      </c>
      <c r="F8" s="4">
        <v>0.000840119645017264</v>
      </c>
      <c r="G8" s="4">
        <v>0.00329028812457952</v>
      </c>
      <c r="H8" s="4">
        <v>0.00121137899196873</v>
      </c>
      <c r="I8" s="4">
        <v>0.00123274227038716</v>
      </c>
      <c r="J8" s="4">
        <v>0.00104052069011677</v>
      </c>
      <c r="K8" s="4">
        <v>0.00113033226596293</v>
      </c>
      <c r="L8" s="4">
        <v>0.000254336260688964</v>
      </c>
      <c r="M8" s="4">
        <v>0.000426159564961707</v>
      </c>
      <c r="N8" s="4">
        <v>0.0011023204665154</v>
      </c>
      <c r="O8" s="4">
        <v>0.00105549799281055</v>
      </c>
      <c r="P8" s="4">
        <v>0.00154223010672421</v>
      </c>
      <c r="Q8" s="4">
        <v>0.000652594873743972</v>
      </c>
      <c r="R8" s="4">
        <v>0.00189225515072618</v>
      </c>
      <c r="S8" s="4">
        <v>0.000770853343774844</v>
      </c>
      <c r="T8" s="4">
        <v>0.001358628891257</v>
      </c>
      <c r="U8" s="4">
        <v>0.00265508681624103</v>
      </c>
      <c r="V8" s="4">
        <v>0.00125823232303422</v>
      </c>
      <c r="W8" s="4">
        <v>0.00130196355860232</v>
      </c>
      <c r="X8" s="4">
        <v>0.00142779513201675</v>
      </c>
      <c r="Y8" s="4">
        <v>0.00210399058527562</v>
      </c>
      <c r="Z8" s="4">
        <v>0.000820289317552512</v>
      </c>
      <c r="AA8" s="4">
        <v>0.00123698967696232</v>
      </c>
      <c r="AB8" s="4">
        <v>0.000760937529859352</v>
      </c>
      <c r="AC8" s="4">
        <v>0.00265495200137315</v>
      </c>
      <c r="AD8" s="4">
        <v>0.000593202144274352</v>
      </c>
      <c r="AE8" s="4">
        <v>0.00133873440824774</v>
      </c>
      <c r="AF8" s="4">
        <v>0.000621796371621913</v>
      </c>
      <c r="AG8" s="4">
        <v>0.00153111838763586</v>
      </c>
      <c r="AH8" s="4">
        <v>0.00135761690896211</v>
      </c>
      <c r="AI8" s="4">
        <v>0.00187289904207606</v>
      </c>
      <c r="AJ8" s="4">
        <v>0.00210184106183054</v>
      </c>
      <c r="AK8" s="4">
        <v>0.0012773784288466</v>
      </c>
      <c r="AL8" s="4">
        <v>0.00167311883979628</v>
      </c>
      <c r="AM8" s="4">
        <v>0.00232288150734549</v>
      </c>
      <c r="AN8" s="4">
        <v>0.00120438083029687</v>
      </c>
      <c r="AO8" s="4">
        <v>0.00156553719104181</v>
      </c>
    </row>
    <row r="9" ht="14" spans="1:41">
      <c r="A9" s="22" t="s">
        <v>10</v>
      </c>
      <c r="B9" s="4">
        <v>0.00123709531235134</v>
      </c>
      <c r="C9" s="4">
        <v>0.00071916082964864</v>
      </c>
      <c r="D9" s="4">
        <v>0.00049958891506789</v>
      </c>
      <c r="E9" s="4">
        <v>0.00136920354813847</v>
      </c>
      <c r="F9" s="4">
        <v>0.0010576436683593</v>
      </c>
      <c r="G9" s="4">
        <v>0.00121137899196873</v>
      </c>
      <c r="H9" s="4">
        <v>0.00896408500686384</v>
      </c>
      <c r="I9" s="4">
        <v>0.00155192425832044</v>
      </c>
      <c r="J9" s="4">
        <v>0.00130993261046316</v>
      </c>
      <c r="K9" s="4">
        <v>0.00142299822570312</v>
      </c>
      <c r="L9" s="4">
        <v>0.000320189079433245</v>
      </c>
      <c r="M9" s="4">
        <v>0.000536500923726452</v>
      </c>
      <c r="N9" s="4">
        <v>0.00138773360297856</v>
      </c>
      <c r="O9" s="4">
        <v>0.00132878784073557</v>
      </c>
      <c r="P9" s="4">
        <v>0.00194154477544258</v>
      </c>
      <c r="Q9" s="4">
        <v>0.00082156492865354</v>
      </c>
      <c r="R9" s="4">
        <v>0.00238219840585287</v>
      </c>
      <c r="S9" s="4">
        <v>0.000970442916211419</v>
      </c>
      <c r="T9" s="4">
        <v>0.00171040547975574</v>
      </c>
      <c r="U9" s="4">
        <v>0.00334254266853129</v>
      </c>
      <c r="V9" s="4">
        <v>0.00158401420282799</v>
      </c>
      <c r="W9" s="4">
        <v>0.00163906834265491</v>
      </c>
      <c r="X9" s="4">
        <v>0.00179748026373162</v>
      </c>
      <c r="Y9" s="4">
        <v>0.00264875644082647</v>
      </c>
      <c r="Z9" s="4">
        <v>0.00103267886672779</v>
      </c>
      <c r="AA9" s="4">
        <v>0.00155727140464395</v>
      </c>
      <c r="AB9" s="4">
        <v>0.000957959696866948</v>
      </c>
      <c r="AC9" s="4">
        <v>0.00334237294735852</v>
      </c>
      <c r="AD9" s="4">
        <v>0.000746794216359544</v>
      </c>
      <c r="AE9" s="4">
        <v>0.00168535991140745</v>
      </c>
      <c r="AF9" s="4">
        <v>0.000782792069385767</v>
      </c>
      <c r="AG9" s="4">
        <v>0.00192755600680934</v>
      </c>
      <c r="AH9" s="4">
        <v>0.00170913147471012</v>
      </c>
      <c r="AI9" s="4">
        <v>0.0023578306079097</v>
      </c>
      <c r="AJ9" s="4">
        <v>0.00264605036214451</v>
      </c>
      <c r="AK9" s="4">
        <v>0.00160811762393747</v>
      </c>
      <c r="AL9" s="4">
        <v>0.00210632325742939</v>
      </c>
      <c r="AM9" s="4">
        <v>0.00292432266423477</v>
      </c>
      <c r="AN9" s="4">
        <v>0.00151621946589598</v>
      </c>
      <c r="AO9" s="4">
        <v>0.00197088653682458</v>
      </c>
    </row>
    <row r="10" ht="14" spans="1:41">
      <c r="A10" s="22" t="s">
        <v>11</v>
      </c>
      <c r="B10" s="4">
        <v>0.00125891211102717</v>
      </c>
      <c r="C10" s="4">
        <v>0.000731843592956634</v>
      </c>
      <c r="D10" s="4">
        <v>0.000508399417114004</v>
      </c>
      <c r="E10" s="4">
        <v>0.00139335014206516</v>
      </c>
      <c r="F10" s="4">
        <v>0.00107629574694449</v>
      </c>
      <c r="G10" s="4">
        <v>0.00123274227038716</v>
      </c>
      <c r="H10" s="4">
        <v>0.00155192425832044</v>
      </c>
      <c r="I10" s="4">
        <v>0.00547335301029192</v>
      </c>
      <c r="J10" s="4">
        <v>0.00133303393156271</v>
      </c>
      <c r="K10" s="4">
        <v>0.00144809351585276</v>
      </c>
      <c r="L10" s="4">
        <v>0.000325835775055197</v>
      </c>
      <c r="M10" s="4">
        <v>0.000545962387629411</v>
      </c>
      <c r="N10" s="4">
        <v>0.00141220698375172</v>
      </c>
      <c r="O10" s="4">
        <v>0.00135222168331404</v>
      </c>
      <c r="P10" s="4">
        <v>0.0019757848950704</v>
      </c>
      <c r="Q10" s="4">
        <v>0.000836053639805054</v>
      </c>
      <c r="R10" s="4">
        <v>0.00242420967410962</v>
      </c>
      <c r="S10" s="4">
        <v>0.000987557165629372</v>
      </c>
      <c r="T10" s="4">
        <v>0.00174056934153202</v>
      </c>
      <c r="U10" s="4">
        <v>0.00340149009136655</v>
      </c>
      <c r="V10" s="4">
        <v>0.00161194909080121</v>
      </c>
      <c r="W10" s="4">
        <v>0.00166797413810219</v>
      </c>
      <c r="X10" s="4">
        <v>0.00182917973316301</v>
      </c>
      <c r="Y10" s="4">
        <v>0.00269546859423441</v>
      </c>
      <c r="Z10" s="4">
        <v>0.00105089067846714</v>
      </c>
      <c r="AA10" s="4">
        <v>0.00158473466990696</v>
      </c>
      <c r="AB10" s="4">
        <v>0.000974853798426814</v>
      </c>
      <c r="AC10" s="4">
        <v>0.00340131737707545</v>
      </c>
      <c r="AD10" s="4">
        <v>0.000759964308354814</v>
      </c>
      <c r="AE10" s="4">
        <v>0.00171508208197617</v>
      </c>
      <c r="AF10" s="4">
        <v>0.000796597001643055</v>
      </c>
      <c r="AG10" s="4">
        <v>0.00196154942745936</v>
      </c>
      <c r="AH10" s="4">
        <v>0.00173927286876599</v>
      </c>
      <c r="AI10" s="4">
        <v>0.00239941213778122</v>
      </c>
      <c r="AJ10" s="4">
        <v>0.00269271479249246</v>
      </c>
      <c r="AK10" s="4">
        <v>0.00163647758787735</v>
      </c>
      <c r="AL10" s="4">
        <v>0.00214346932854835</v>
      </c>
      <c r="AM10" s="4">
        <v>0.00297589456673232</v>
      </c>
      <c r="AN10" s="4">
        <v>0.00154295875955068</v>
      </c>
      <c r="AO10" s="4">
        <v>0.00200564411318712</v>
      </c>
    </row>
    <row r="11" ht="14" spans="1:41">
      <c r="A11" s="22" t="s">
        <v>16</v>
      </c>
      <c r="B11" s="4">
        <v>0.00106260986584888</v>
      </c>
      <c r="C11" s="4">
        <v>0.00061772717517151</v>
      </c>
      <c r="D11" s="4">
        <v>0.000429124663814998</v>
      </c>
      <c r="E11" s="4">
        <v>0.00117608496619542</v>
      </c>
      <c r="F11" s="4">
        <v>0.000908468882979655</v>
      </c>
      <c r="G11" s="4">
        <v>0.00104052069011677</v>
      </c>
      <c r="H11" s="4">
        <v>0.00130993261046316</v>
      </c>
      <c r="I11" s="4">
        <v>0.00133303393156271</v>
      </c>
      <c r="J11" s="4">
        <v>0.00360427883994</v>
      </c>
      <c r="K11" s="4">
        <v>0.00122229220224234</v>
      </c>
      <c r="L11" s="4">
        <v>0.000275028182021119</v>
      </c>
      <c r="M11" s="4">
        <v>0.000460830437959705</v>
      </c>
      <c r="N11" s="4">
        <v>0.0011920014593639</v>
      </c>
      <c r="O11" s="4">
        <v>0.00114136967062134</v>
      </c>
      <c r="P11" s="4">
        <v>0.00166770063128871</v>
      </c>
      <c r="Q11" s="4">
        <v>0.00070568774281698</v>
      </c>
      <c r="R11" s="4">
        <v>0.00204620250614112</v>
      </c>
      <c r="S11" s="4">
        <v>0.000833567314267332</v>
      </c>
      <c r="T11" s="4">
        <v>0.00146916225390583</v>
      </c>
      <c r="U11" s="4">
        <v>0.00287109552606037</v>
      </c>
      <c r="V11" s="4">
        <v>0.00136059776701485</v>
      </c>
      <c r="W11" s="4">
        <v>0.00140788682514305</v>
      </c>
      <c r="X11" s="4">
        <v>0.00154395562155959</v>
      </c>
      <c r="Y11" s="4">
        <v>0.00227516400567656</v>
      </c>
      <c r="Z11" s="4">
        <v>0.000887025228438457</v>
      </c>
      <c r="AA11" s="4">
        <v>0.00133762689249367</v>
      </c>
      <c r="AB11" s="4">
        <v>0.00082284478391696</v>
      </c>
      <c r="AC11" s="4">
        <v>0.00287094974311962</v>
      </c>
      <c r="AD11" s="4">
        <v>0.000641463025637239</v>
      </c>
      <c r="AE11" s="4">
        <v>0.00144764922434621</v>
      </c>
      <c r="AF11" s="4">
        <v>0.00067238358074171</v>
      </c>
      <c r="AG11" s="4">
        <v>0.00165568490104356</v>
      </c>
      <c r="AH11" s="4">
        <v>0.0014680679402203</v>
      </c>
      <c r="AI11" s="4">
        <v>0.00202527165122242</v>
      </c>
      <c r="AJ11" s="4">
        <v>0.00227283960441459</v>
      </c>
      <c r="AK11" s="4">
        <v>0.00138130153398892</v>
      </c>
      <c r="AL11" s="4">
        <v>0.0018092380204378</v>
      </c>
      <c r="AM11" s="4">
        <v>0.00251186313852819</v>
      </c>
      <c r="AN11" s="4">
        <v>0.00130236510248421</v>
      </c>
      <c r="AO11" s="4">
        <v>0.001692903899634</v>
      </c>
    </row>
    <row r="12" ht="14" spans="1:41">
      <c r="A12" s="22" t="s">
        <v>17</v>
      </c>
      <c r="B12" s="4">
        <v>0.00115432804835888</v>
      </c>
      <c r="C12" s="4">
        <v>0.000671045721906914</v>
      </c>
      <c r="D12" s="4">
        <v>0.000466164160153461</v>
      </c>
      <c r="E12" s="4">
        <v>0.00127759764647775</v>
      </c>
      <c r="F12" s="4">
        <v>0.000986882529880266</v>
      </c>
      <c r="G12" s="4">
        <v>0.00113033226596293</v>
      </c>
      <c r="H12" s="4">
        <v>0.00142299822570312</v>
      </c>
      <c r="I12" s="4">
        <v>0.00144809351585276</v>
      </c>
      <c r="J12" s="4">
        <v>0.00122229220224234</v>
      </c>
      <c r="K12" s="4">
        <v>0.00644753018893236</v>
      </c>
      <c r="L12" s="4">
        <v>0.000298766983819137</v>
      </c>
      <c r="M12" s="4">
        <v>0.000500606588712064</v>
      </c>
      <c r="N12" s="4">
        <v>0.00129488795695423</v>
      </c>
      <c r="O12" s="4">
        <v>0.00123988593244598</v>
      </c>
      <c r="P12" s="4">
        <v>0.001811646660578</v>
      </c>
      <c r="Q12" s="4">
        <v>0.000766598524159151</v>
      </c>
      <c r="R12" s="4">
        <v>0.00222281857281083</v>
      </c>
      <c r="S12" s="4">
        <v>0.000905515901911267</v>
      </c>
      <c r="T12" s="4">
        <v>0.00159597162776092</v>
      </c>
      <c r="U12" s="4">
        <v>0.0031189114667231</v>
      </c>
      <c r="V12" s="4">
        <v>0.0014780364981319</v>
      </c>
      <c r="W12" s="4">
        <v>0.00152940726734103</v>
      </c>
      <c r="X12" s="4">
        <v>0.00167722071539759</v>
      </c>
      <c r="Y12" s="4">
        <v>0.00247154267128034</v>
      </c>
      <c r="Z12" s="4">
        <v>0.000963587986236585</v>
      </c>
      <c r="AA12" s="4">
        <v>0.00145308291393575</v>
      </c>
      <c r="AB12" s="4">
        <v>0.000893867866323976</v>
      </c>
      <c r="AC12" s="4">
        <v>0.00311875310066338</v>
      </c>
      <c r="AD12" s="4">
        <v>0.000696830310234968</v>
      </c>
      <c r="AE12" s="4">
        <v>0.0015726017210586</v>
      </c>
      <c r="AF12" s="4">
        <v>0.000730419744302008</v>
      </c>
      <c r="AG12" s="4">
        <v>0.00179859380374948</v>
      </c>
      <c r="AH12" s="4">
        <v>0.00159478285940715</v>
      </c>
      <c r="AI12" s="4">
        <v>0.00220008109061224</v>
      </c>
      <c r="AJ12" s="4">
        <v>0.00246901764148477</v>
      </c>
      <c r="AK12" s="4">
        <v>0.00150052729150109</v>
      </c>
      <c r="AL12" s="4">
        <v>0.00196540071786389</v>
      </c>
      <c r="AM12" s="4">
        <v>0.00272867226969094</v>
      </c>
      <c r="AN12" s="4">
        <v>0.00141477753530957</v>
      </c>
      <c r="AO12" s="4">
        <v>0.00183902532559543</v>
      </c>
    </row>
    <row r="13" ht="14" spans="1:41">
      <c r="A13" s="22" t="s">
        <v>19</v>
      </c>
      <c r="B13" s="4">
        <v>0.000259735555879121</v>
      </c>
      <c r="C13" s="4">
        <v>0.00015099211515097</v>
      </c>
      <c r="D13" s="4">
        <v>0.000104891679137939</v>
      </c>
      <c r="E13" s="4">
        <v>0.000287472469693111</v>
      </c>
      <c r="F13" s="4">
        <v>0.00022205861050528</v>
      </c>
      <c r="G13" s="4">
        <v>0.000254336260688964</v>
      </c>
      <c r="H13" s="4">
        <v>0.000320189079433245</v>
      </c>
      <c r="I13" s="4">
        <v>0.000325835775055197</v>
      </c>
      <c r="J13" s="4">
        <v>0.000275028182021119</v>
      </c>
      <c r="K13" s="4">
        <v>0.000298766983819137</v>
      </c>
      <c r="L13" s="4">
        <v>0.00895534391242224</v>
      </c>
      <c r="M13" s="4">
        <v>0.000112641576006697</v>
      </c>
      <c r="N13" s="4">
        <v>0.00029136296547489</v>
      </c>
      <c r="O13" s="4">
        <v>0.000278986950328731</v>
      </c>
      <c r="P13" s="4">
        <v>0.00040763893168044</v>
      </c>
      <c r="Q13" s="4">
        <v>0.00017249246788352</v>
      </c>
      <c r="R13" s="4">
        <v>0.000500156795503906</v>
      </c>
      <c r="S13" s="4">
        <v>0.000203750291327223</v>
      </c>
      <c r="T13" s="4">
        <v>0.000359109854857231</v>
      </c>
      <c r="U13" s="4">
        <v>0.000701786814154613</v>
      </c>
      <c r="V13" s="4">
        <v>0.000332573250730338</v>
      </c>
      <c r="W13" s="4">
        <v>0.000344132196487084</v>
      </c>
      <c r="X13" s="4">
        <v>0.00037739172626457</v>
      </c>
      <c r="Y13" s="4">
        <v>0.000556122248364866</v>
      </c>
      <c r="Z13" s="4">
        <v>0.000216817101169312</v>
      </c>
      <c r="AA13" s="4">
        <v>0.000326958440389742</v>
      </c>
      <c r="AB13" s="4">
        <v>0.000201129364804242</v>
      </c>
      <c r="AC13" s="4">
        <v>0.000701751180179839</v>
      </c>
      <c r="AD13" s="4">
        <v>0.000156793909876501</v>
      </c>
      <c r="AE13" s="4">
        <v>0.000353851388066271</v>
      </c>
      <c r="AF13" s="4">
        <v>0.000164351874305652</v>
      </c>
      <c r="AG13" s="4">
        <v>0.000404701906084479</v>
      </c>
      <c r="AH13" s="4">
        <v>0.000358842369882214</v>
      </c>
      <c r="AI13" s="4">
        <v>0.000495040630661046</v>
      </c>
      <c r="AJ13" s="4">
        <v>0.000555554090969317</v>
      </c>
      <c r="AK13" s="4">
        <v>0.000337633908076586</v>
      </c>
      <c r="AL13" s="4">
        <v>0.000442235158978734</v>
      </c>
      <c r="AM13" s="4">
        <v>0.000613979024236423</v>
      </c>
      <c r="AN13" s="4">
        <v>0.000318339340451231</v>
      </c>
      <c r="AO13" s="4">
        <v>0.00041379940988041</v>
      </c>
    </row>
    <row r="14" ht="14" spans="1:41">
      <c r="A14" s="22" t="s">
        <v>28</v>
      </c>
      <c r="B14" s="4">
        <v>0.00043520649080352</v>
      </c>
      <c r="C14" s="4">
        <v>0.000252998663781084</v>
      </c>
      <c r="D14" s="4">
        <v>0.000175753910309284</v>
      </c>
      <c r="E14" s="4">
        <v>0.00048168177943256</v>
      </c>
      <c r="F14" s="4">
        <v>0.000372075930473241</v>
      </c>
      <c r="G14" s="4">
        <v>0.000426159564961707</v>
      </c>
      <c r="H14" s="4">
        <v>0.000536500923726452</v>
      </c>
      <c r="I14" s="4">
        <v>0.000545962387629411</v>
      </c>
      <c r="J14" s="4">
        <v>0.000460830437959705</v>
      </c>
      <c r="K14" s="4">
        <v>0.000500606588712064</v>
      </c>
      <c r="L14" s="4">
        <v>0.000112641576006697</v>
      </c>
      <c r="M14" s="4">
        <v>0.00483190037396029</v>
      </c>
      <c r="N14" s="4">
        <v>0.000488200598201684</v>
      </c>
      <c r="O14" s="4">
        <v>0.000467463652489109</v>
      </c>
      <c r="P14" s="4">
        <v>0.000683029739117058</v>
      </c>
      <c r="Q14" s="4">
        <v>0.000289024124492846</v>
      </c>
      <c r="R14" s="4">
        <v>0.000838050389697479</v>
      </c>
      <c r="S14" s="4">
        <v>0.000341398962450807</v>
      </c>
      <c r="T14" s="4">
        <v>0.000601715615008488</v>
      </c>
      <c r="U14" s="4">
        <v>0.00117589667555008</v>
      </c>
      <c r="V14" s="4">
        <v>0.000557251535684354</v>
      </c>
      <c r="W14" s="4">
        <v>0.000576619420081832</v>
      </c>
      <c r="X14" s="4">
        <v>0.000632348267798667</v>
      </c>
      <c r="Y14" s="4">
        <v>0.00093182472206953</v>
      </c>
      <c r="Z14" s="4">
        <v>0.000363293386716768</v>
      </c>
      <c r="AA14" s="4">
        <v>0.000547843497972353</v>
      </c>
      <c r="AB14" s="4">
        <v>0.000337007402616576</v>
      </c>
      <c r="AC14" s="4">
        <v>0.0011758369681409</v>
      </c>
      <c r="AD14" s="4">
        <v>0.000262720007916332</v>
      </c>
      <c r="AE14" s="4">
        <v>0.000592904657758701</v>
      </c>
      <c r="AF14" s="4">
        <v>0.000275383946689348</v>
      </c>
      <c r="AG14" s="4">
        <v>0.000678108531473029</v>
      </c>
      <c r="AH14" s="4">
        <v>0.000601267423782124</v>
      </c>
      <c r="AI14" s="4">
        <v>0.000829477870081913</v>
      </c>
      <c r="AJ14" s="4">
        <v>0.000930872731551698</v>
      </c>
      <c r="AK14" s="4">
        <v>0.000565731048307742</v>
      </c>
      <c r="AL14" s="4">
        <v>0.000740998324228826</v>
      </c>
      <c r="AM14" s="4">
        <v>0.00102876810862683</v>
      </c>
      <c r="AN14" s="4">
        <v>0.000533401546713783</v>
      </c>
      <c r="AO14" s="4">
        <v>0.000693352084434802</v>
      </c>
    </row>
    <row r="15" ht="14" spans="1:41">
      <c r="A15" s="22" t="s">
        <v>30</v>
      </c>
      <c r="B15" s="4">
        <v>0.00112572158744384</v>
      </c>
      <c r="C15" s="4">
        <v>0.000654415923087394</v>
      </c>
      <c r="D15" s="4">
        <v>0.000454611719019952</v>
      </c>
      <c r="E15" s="4">
        <v>0.00124593632871711</v>
      </c>
      <c r="F15" s="4">
        <v>0.000962425689765451</v>
      </c>
      <c r="G15" s="4">
        <v>0.0011023204665154</v>
      </c>
      <c r="H15" s="4">
        <v>0.00138773360297856</v>
      </c>
      <c r="I15" s="4">
        <v>0.00141220698375172</v>
      </c>
      <c r="J15" s="4">
        <v>0.0011920014593639</v>
      </c>
      <c r="K15" s="4">
        <v>0.00129488795695423</v>
      </c>
      <c r="L15" s="4">
        <v>0.00029136296547489</v>
      </c>
      <c r="M15" s="4">
        <v>0.000488200598201684</v>
      </c>
      <c r="N15" s="4">
        <v>0.00230982779563246</v>
      </c>
      <c r="O15" s="4">
        <v>0.00120915918322071</v>
      </c>
      <c r="P15" s="4">
        <v>0.00176675058492483</v>
      </c>
      <c r="Q15" s="4">
        <v>0.000747600743805405</v>
      </c>
      <c r="R15" s="4">
        <v>0.00216773286930154</v>
      </c>
      <c r="S15" s="4">
        <v>0.000883075482748964</v>
      </c>
      <c r="T15" s="4">
        <v>0.00155642039268873</v>
      </c>
      <c r="U15" s="4">
        <v>0.00304161886424572</v>
      </c>
      <c r="V15" s="4">
        <v>0.00144140792155445</v>
      </c>
      <c r="W15" s="4">
        <v>0.00149150562466798</v>
      </c>
      <c r="X15" s="4">
        <v>0.00163565597224755</v>
      </c>
      <c r="Y15" s="4">
        <v>0.00241029310801593</v>
      </c>
      <c r="Z15" s="4">
        <v>0.000939708429549322</v>
      </c>
      <c r="AA15" s="4">
        <v>0.00141707273498972</v>
      </c>
      <c r="AB15" s="4">
        <v>0.000871716107803021</v>
      </c>
      <c r="AC15" s="4">
        <v>0.00304146442280041</v>
      </c>
      <c r="AD15" s="4">
        <v>0.000679561519909293</v>
      </c>
      <c r="AE15" s="4">
        <v>0.00153362963705497</v>
      </c>
      <c r="AF15" s="4">
        <v>0.000712318543437437</v>
      </c>
      <c r="AG15" s="4">
        <v>0.00175402120289988</v>
      </c>
      <c r="AH15" s="4">
        <v>0.00155526108429264</v>
      </c>
      <c r="AI15" s="4">
        <v>0.00214555886548048</v>
      </c>
      <c r="AJ15" s="4">
        <v>0.00240783065329705</v>
      </c>
      <c r="AK15" s="4">
        <v>0.00146334134996799</v>
      </c>
      <c r="AL15" s="4">
        <v>0.00191669432205387</v>
      </c>
      <c r="AM15" s="4">
        <v>0.00266105054227658</v>
      </c>
      <c r="AN15" s="4">
        <v>0.00137971663704511</v>
      </c>
      <c r="AO15" s="4">
        <v>0.00179345075416124</v>
      </c>
    </row>
    <row r="16" ht="14" spans="1:41">
      <c r="A16" s="22" t="s">
        <v>32</v>
      </c>
      <c r="B16" s="4">
        <v>0.0010779051211546</v>
      </c>
      <c r="C16" s="4">
        <v>0.000626618768556047</v>
      </c>
      <c r="D16" s="4">
        <v>0.000435301503972402</v>
      </c>
      <c r="E16" s="4">
        <v>0.00119301358731715</v>
      </c>
      <c r="F16" s="4">
        <v>0.000921545425885051</v>
      </c>
      <c r="G16" s="4">
        <v>0.00105549799281055</v>
      </c>
      <c r="H16" s="4">
        <v>0.00132878784073557</v>
      </c>
      <c r="I16" s="4">
        <v>0.00135222168331404</v>
      </c>
      <c r="J16" s="4">
        <v>0.00114136967062134</v>
      </c>
      <c r="K16" s="4">
        <v>0.00123988593244598</v>
      </c>
      <c r="L16" s="4">
        <v>0.000278986950328731</v>
      </c>
      <c r="M16" s="4">
        <v>0.000467463652489109</v>
      </c>
      <c r="N16" s="4">
        <v>0.00120915918322071</v>
      </c>
      <c r="O16" s="4">
        <v>0.00312108667113482</v>
      </c>
      <c r="P16" s="4">
        <v>0.00169170559091581</v>
      </c>
      <c r="Q16" s="4">
        <v>0.000715845444659768</v>
      </c>
      <c r="R16" s="4">
        <v>0.00207565563917185</v>
      </c>
      <c r="S16" s="4">
        <v>0.000845565720546038</v>
      </c>
      <c r="T16" s="4">
        <v>0.00149030944299301</v>
      </c>
      <c r="U16" s="4">
        <v>0.00291242220717782</v>
      </c>
      <c r="V16" s="4">
        <v>0.00138018227388205</v>
      </c>
      <c r="W16" s="4">
        <v>0.00142815201288899</v>
      </c>
      <c r="X16" s="4">
        <v>0.00156617938982244</v>
      </c>
      <c r="Y16" s="4">
        <v>0.00230791282106742</v>
      </c>
      <c r="Z16" s="4">
        <v>0.000899793110393643</v>
      </c>
      <c r="AA16" s="4">
        <v>0.00135688075553599</v>
      </c>
      <c r="AB16" s="4">
        <v>0.000834688849600399</v>
      </c>
      <c r="AC16" s="4">
        <v>0.00291227432583071</v>
      </c>
      <c r="AD16" s="4">
        <v>0.000650696273945599</v>
      </c>
      <c r="AE16" s="4">
        <v>0.00146848675389597</v>
      </c>
      <c r="AF16" s="4">
        <v>0.000682061900943074</v>
      </c>
      <c r="AG16" s="4">
        <v>0.0016795169056966</v>
      </c>
      <c r="AH16" s="4">
        <v>0.00148919937770593</v>
      </c>
      <c r="AI16" s="4">
        <v>0.00205442350456431</v>
      </c>
      <c r="AJ16" s="4">
        <v>0.00230555496226673</v>
      </c>
      <c r="AK16" s="4">
        <v>0.00140118405183065</v>
      </c>
      <c r="AL16" s="4">
        <v>0.00183528027575724</v>
      </c>
      <c r="AM16" s="4">
        <v>0.00254801901212918</v>
      </c>
      <c r="AN16" s="4">
        <v>0.00132111140569855</v>
      </c>
      <c r="AO16" s="4">
        <v>0.00171727163626541</v>
      </c>
    </row>
    <row r="17" ht="14" spans="1:41">
      <c r="A17" s="22" t="s">
        <v>34</v>
      </c>
      <c r="B17" s="4">
        <v>0.00157497005333975</v>
      </c>
      <c r="C17" s="4">
        <v>0.000915577610652114</v>
      </c>
      <c r="D17" s="4">
        <v>0.000636036344456662</v>
      </c>
      <c r="E17" s="4">
        <v>0.00174315961245206</v>
      </c>
      <c r="F17" s="4">
        <v>0.00134650668233815</v>
      </c>
      <c r="G17" s="4">
        <v>0.00154223010672421</v>
      </c>
      <c r="H17" s="4">
        <v>0.00194154477544258</v>
      </c>
      <c r="I17" s="4">
        <v>0.0019757848950704</v>
      </c>
      <c r="J17" s="4">
        <v>0.00166770063128871</v>
      </c>
      <c r="K17" s="4">
        <v>0.001811646660578</v>
      </c>
      <c r="L17" s="4">
        <v>0.00040763893168044</v>
      </c>
      <c r="M17" s="4">
        <v>0.000683029739117058</v>
      </c>
      <c r="N17" s="4">
        <v>0.00176675058492483</v>
      </c>
      <c r="O17" s="4">
        <v>0.00169170559091581</v>
      </c>
      <c r="P17" s="4">
        <v>0.00936673367711772</v>
      </c>
      <c r="Q17" s="4">
        <v>0.00104595025668972</v>
      </c>
      <c r="R17" s="4">
        <v>0.0030328230273549</v>
      </c>
      <c r="S17" s="4">
        <v>0.00123548971227093</v>
      </c>
      <c r="T17" s="4">
        <v>0.00217755041409325</v>
      </c>
      <c r="U17" s="4">
        <v>0.00425545594780492</v>
      </c>
      <c r="V17" s="4">
        <v>0.00201663922626713</v>
      </c>
      <c r="W17" s="4">
        <v>0.00208672972024449</v>
      </c>
      <c r="X17" s="4">
        <v>0.00228840701163575</v>
      </c>
      <c r="Y17" s="4">
        <v>0.00337218323539138</v>
      </c>
      <c r="Z17" s="4">
        <v>0.00131472350883113</v>
      </c>
      <c r="AA17" s="4">
        <v>0.00198259245083937</v>
      </c>
      <c r="AB17" s="4">
        <v>0.00121959708343262</v>
      </c>
      <c r="AC17" s="4">
        <v>0.00425523987248569</v>
      </c>
      <c r="AD17" s="4">
        <v>0.000950758211619157</v>
      </c>
      <c r="AE17" s="4">
        <v>0.00214566441491146</v>
      </c>
      <c r="AF17" s="4">
        <v>0.000996587777000878</v>
      </c>
      <c r="AG17" s="4">
        <v>0.00245400896483039</v>
      </c>
      <c r="AH17" s="4">
        <v>0.00217592845354209</v>
      </c>
      <c r="AI17" s="4">
        <v>0.00300179991083094</v>
      </c>
      <c r="AJ17" s="4">
        <v>0.00336873807409822</v>
      </c>
      <c r="AK17" s="4">
        <v>0.00204732575951275</v>
      </c>
      <c r="AL17" s="4">
        <v>0.00268160102134648</v>
      </c>
      <c r="AM17" s="4">
        <v>0.00372301194296694</v>
      </c>
      <c r="AN17" s="4">
        <v>0.0019303284308289</v>
      </c>
      <c r="AO17" s="4">
        <v>0.00250917390360914</v>
      </c>
    </row>
    <row r="18" ht="14" spans="1:41">
      <c r="A18" s="22" t="s">
        <v>37</v>
      </c>
      <c r="B18" s="4">
        <v>0.00066644878648682</v>
      </c>
      <c r="C18" s="4">
        <v>0.000387426787106012</v>
      </c>
      <c r="D18" s="4">
        <v>0.000269138863323655</v>
      </c>
      <c r="E18" s="4">
        <v>0.000737618220681751</v>
      </c>
      <c r="F18" s="4">
        <v>0.00056977448081489</v>
      </c>
      <c r="G18" s="4">
        <v>0.000652594873743972</v>
      </c>
      <c r="H18" s="4">
        <v>0.00082156492865354</v>
      </c>
      <c r="I18" s="4">
        <v>0.000836053639805054</v>
      </c>
      <c r="J18" s="4">
        <v>0.00070568774281698</v>
      </c>
      <c r="K18" s="4">
        <v>0.000766598524159151</v>
      </c>
      <c r="L18" s="4">
        <v>0.00017249246788352</v>
      </c>
      <c r="M18" s="4">
        <v>0.000289024124492846</v>
      </c>
      <c r="N18" s="4">
        <v>0.000747600743805405</v>
      </c>
      <c r="O18" s="4">
        <v>0.000715845444659768</v>
      </c>
      <c r="P18" s="4">
        <v>0.00104595025668972</v>
      </c>
      <c r="Q18" s="4">
        <v>0.0179208060570502</v>
      </c>
      <c r="R18" s="4">
        <v>0.00128333946535931</v>
      </c>
      <c r="S18" s="4">
        <v>0.000522797635240047</v>
      </c>
      <c r="T18" s="4">
        <v>0.000921430745879246</v>
      </c>
      <c r="U18" s="4">
        <v>0.001800696747439</v>
      </c>
      <c r="V18" s="4">
        <v>0.000853341155457213</v>
      </c>
      <c r="W18" s="4">
        <v>0.000882999957258823</v>
      </c>
      <c r="X18" s="4">
        <v>0.000968339729799028</v>
      </c>
      <c r="Y18" s="4">
        <v>0.00142693978229755</v>
      </c>
      <c r="Z18" s="4">
        <v>0.000556325426739519</v>
      </c>
      <c r="AA18" s="4">
        <v>0.000838934257929538</v>
      </c>
      <c r="AB18" s="4">
        <v>0.000516072667244042</v>
      </c>
      <c r="AC18" s="4">
        <v>0.00180060531513907</v>
      </c>
      <c r="AD18" s="4">
        <v>0.000402313463060672</v>
      </c>
      <c r="AE18" s="4">
        <v>0.000907938181105991</v>
      </c>
      <c r="AF18" s="4">
        <v>0.000421706249716583</v>
      </c>
      <c r="AG18" s="4">
        <v>0.00103841421820748</v>
      </c>
      <c r="AH18" s="4">
        <v>0.000920744413057389</v>
      </c>
      <c r="AI18" s="4">
        <v>0.0012702120294969</v>
      </c>
      <c r="AJ18" s="4">
        <v>0.00142548196184045</v>
      </c>
      <c r="AK18" s="4">
        <v>0.000866326166060852</v>
      </c>
      <c r="AL18" s="4">
        <v>0.00113471982703957</v>
      </c>
      <c r="AM18" s="4">
        <v>0.00157539299633338</v>
      </c>
      <c r="AN18" s="4">
        <v>0.000816818730946</v>
      </c>
      <c r="AO18" s="4">
        <v>0.0010617572693517</v>
      </c>
    </row>
    <row r="19" ht="14" spans="1:41">
      <c r="A19" s="22" t="s">
        <v>39</v>
      </c>
      <c r="B19" s="4">
        <v>0.0019324257662184</v>
      </c>
      <c r="C19" s="4">
        <v>0.00112337740139568</v>
      </c>
      <c r="D19" s="4">
        <v>0.000780391358980512</v>
      </c>
      <c r="E19" s="4">
        <v>0.00213878768208362</v>
      </c>
      <c r="F19" s="4">
        <v>0.00165211027461625</v>
      </c>
      <c r="G19" s="4">
        <v>0.00189225515072618</v>
      </c>
      <c r="H19" s="4">
        <v>0.00238219840585287</v>
      </c>
      <c r="I19" s="4">
        <v>0.00242420967410962</v>
      </c>
      <c r="J19" s="4">
        <v>0.00204620250614112</v>
      </c>
      <c r="K19" s="4">
        <v>0.00222281857281083</v>
      </c>
      <c r="L19" s="4">
        <v>0.000500156795503906</v>
      </c>
      <c r="M19" s="4">
        <v>0.000838050389697479</v>
      </c>
      <c r="N19" s="4">
        <v>0.00216773286930154</v>
      </c>
      <c r="O19" s="4">
        <v>0.00207565563917185</v>
      </c>
      <c r="P19" s="4">
        <v>0.0030328230273549</v>
      </c>
      <c r="Q19" s="4">
        <v>0.00128333946535931</v>
      </c>
      <c r="R19" s="4">
        <v>0.0142984049137515</v>
      </c>
      <c r="S19" s="4">
        <v>0.00151589685710366</v>
      </c>
      <c r="T19" s="4">
        <v>0.00267176796060999</v>
      </c>
      <c r="U19" s="4">
        <v>0.00522127560654745</v>
      </c>
      <c r="V19" s="4">
        <v>0.00247433631753295</v>
      </c>
      <c r="W19" s="4">
        <v>0.0025603345727008</v>
      </c>
      <c r="X19" s="4">
        <v>0.00280778460739776</v>
      </c>
      <c r="Y19" s="4">
        <v>0.00413753503354664</v>
      </c>
      <c r="Z19" s="4">
        <v>0.0016131135817668</v>
      </c>
      <c r="AA19" s="4">
        <v>0.00243256227493846</v>
      </c>
      <c r="AB19" s="4">
        <v>0.00149639723208223</v>
      </c>
      <c r="AC19" s="4">
        <v>0.00522101049070387</v>
      </c>
      <c r="AD19" s="4">
        <v>0.00116654260294069</v>
      </c>
      <c r="AE19" s="4">
        <v>0.00263264510473737</v>
      </c>
      <c r="AF19" s="4">
        <v>0.00122277366130934</v>
      </c>
      <c r="AG19" s="4">
        <v>0.00301097163346904</v>
      </c>
      <c r="AH19" s="4">
        <v>0.00266977787936736</v>
      </c>
      <c r="AI19" s="4">
        <v>0.00368308938980853</v>
      </c>
      <c r="AJ19" s="4">
        <v>0.00413330795733172</v>
      </c>
      <c r="AK19" s="4">
        <v>0.00251198747629245</v>
      </c>
      <c r="AL19" s="4">
        <v>0.00329021805676814</v>
      </c>
      <c r="AM19" s="4">
        <v>0.00456798793810219</v>
      </c>
      <c r="AN19" s="4">
        <v>0.00236843639603668</v>
      </c>
      <c r="AO19" s="4">
        <v>0.00307865682460132</v>
      </c>
    </row>
    <row r="20" ht="14" spans="1:41">
      <c r="A20" s="22" t="s">
        <v>40</v>
      </c>
      <c r="B20" s="4">
        <v>0.000787217761259341</v>
      </c>
      <c r="C20" s="4">
        <v>0.000457633435879212</v>
      </c>
      <c r="D20" s="4">
        <v>0.000317910239690595</v>
      </c>
      <c r="E20" s="4">
        <v>0.00087128399979564</v>
      </c>
      <c r="F20" s="4">
        <v>0.000673024844976099</v>
      </c>
      <c r="G20" s="4">
        <v>0.000770853343774844</v>
      </c>
      <c r="H20" s="4">
        <v>0.000970442916211419</v>
      </c>
      <c r="I20" s="4">
        <v>0.000987557165629372</v>
      </c>
      <c r="J20" s="4">
        <v>0.000833567314267332</v>
      </c>
      <c r="K20" s="4">
        <v>0.000905515901911267</v>
      </c>
      <c r="L20" s="4">
        <v>0.000203750291327223</v>
      </c>
      <c r="M20" s="4">
        <v>0.000341398962450807</v>
      </c>
      <c r="N20" s="4">
        <v>0.000883075482748964</v>
      </c>
      <c r="O20" s="4">
        <v>0.000845565720546038</v>
      </c>
      <c r="P20" s="4">
        <v>0.00123548971227093</v>
      </c>
      <c r="Q20" s="4">
        <v>0.000522797635240047</v>
      </c>
      <c r="R20" s="4">
        <v>0.00151589685710366</v>
      </c>
      <c r="S20" s="4">
        <v>0.0054340767496654</v>
      </c>
      <c r="T20" s="4">
        <v>0.00108840568642994</v>
      </c>
      <c r="U20" s="4">
        <v>0.00212700584196193</v>
      </c>
      <c r="V20" s="4">
        <v>0.00100797739842951</v>
      </c>
      <c r="W20" s="4">
        <v>0.00104301075137321</v>
      </c>
      <c r="X20" s="4">
        <v>0.00114381517332982</v>
      </c>
      <c r="Y20" s="4">
        <v>0.00168551937320451</v>
      </c>
      <c r="Z20" s="4">
        <v>0.000657138651685718</v>
      </c>
      <c r="AA20" s="4">
        <v>0.000990959788301931</v>
      </c>
      <c r="AB20" s="4">
        <v>0.000609591581517609</v>
      </c>
      <c r="AC20" s="4">
        <v>0.00212689784096934</v>
      </c>
      <c r="AD20" s="4">
        <v>0.000475217766371278</v>
      </c>
      <c r="AE20" s="4">
        <v>0.00107246809775123</v>
      </c>
      <c r="AF20" s="4">
        <v>0.000498124771988803</v>
      </c>
      <c r="AG20" s="4">
        <v>0.0012265880480125</v>
      </c>
      <c r="AH20" s="4">
        <v>0.00108759498139385</v>
      </c>
      <c r="AI20" s="4">
        <v>0.00150039056332652</v>
      </c>
      <c r="AJ20" s="4">
        <v>0.00168379737718647</v>
      </c>
      <c r="AK20" s="4">
        <v>0.00102331545768416</v>
      </c>
      <c r="AL20" s="4">
        <v>0.00134034545491117</v>
      </c>
      <c r="AM20" s="4">
        <v>0.00186087419292156</v>
      </c>
      <c r="AN20" s="4">
        <v>0.000964836647268354</v>
      </c>
      <c r="AO20" s="4">
        <v>0.0012541611561572</v>
      </c>
    </row>
    <row r="21" ht="14" spans="1:41">
      <c r="A21" s="22" t="s">
        <v>41</v>
      </c>
      <c r="B21" s="4">
        <v>0.00138747117437424</v>
      </c>
      <c r="C21" s="4">
        <v>0.000806578855254094</v>
      </c>
      <c r="D21" s="4">
        <v>0.000560316745017894</v>
      </c>
      <c r="E21" s="4">
        <v>0.00153563790592841</v>
      </c>
      <c r="F21" s="4">
        <v>0.00118620617826025</v>
      </c>
      <c r="G21" s="4">
        <v>0.001358628891257</v>
      </c>
      <c r="H21" s="4">
        <v>0.00171040547975574</v>
      </c>
      <c r="I21" s="4">
        <v>0.00174056934153202</v>
      </c>
      <c r="J21" s="4">
        <v>0.00146916225390583</v>
      </c>
      <c r="K21" s="4">
        <v>0.00159597162776092</v>
      </c>
      <c r="L21" s="4">
        <v>0.000359109854857231</v>
      </c>
      <c r="M21" s="4">
        <v>0.000601715615008488</v>
      </c>
      <c r="N21" s="4">
        <v>0.00155642039268873</v>
      </c>
      <c r="O21" s="4">
        <v>0.00149030944299301</v>
      </c>
      <c r="P21" s="4">
        <v>0.00217755041409325</v>
      </c>
      <c r="Q21" s="4">
        <v>0.000921430745879246</v>
      </c>
      <c r="R21" s="4">
        <v>0.00267176796060999</v>
      </c>
      <c r="S21" s="4">
        <v>0.00108840568642994</v>
      </c>
      <c r="T21" s="4">
        <v>0.00511605011405166</v>
      </c>
      <c r="U21" s="4">
        <v>0.0037488474456251</v>
      </c>
      <c r="V21" s="4">
        <v>0.0017765599984741</v>
      </c>
      <c r="W21" s="4">
        <v>0.00183830627725891</v>
      </c>
      <c r="X21" s="4">
        <v>0.00201597405433053</v>
      </c>
      <c r="Y21" s="4">
        <v>0.00297072761725985</v>
      </c>
      <c r="Z21" s="4">
        <v>0.00115820676520625</v>
      </c>
      <c r="AA21" s="4">
        <v>0.00174656646343117</v>
      </c>
      <c r="AB21" s="4">
        <v>0.00107440506187747</v>
      </c>
      <c r="AC21" s="4">
        <v>0.00374865709389347</v>
      </c>
      <c r="AD21" s="4">
        <v>0.000837571234845964</v>
      </c>
      <c r="AE21" s="4">
        <v>0.00189022484539141</v>
      </c>
      <c r="AF21" s="4">
        <v>0.000877944828468522</v>
      </c>
      <c r="AG21" s="4">
        <v>0.00216186123230602</v>
      </c>
      <c r="AH21" s="4">
        <v>0.00191688597531646</v>
      </c>
      <c r="AI21" s="4">
        <v>0.00264443812038542</v>
      </c>
      <c r="AJ21" s="4">
        <v>0.00296769259956209</v>
      </c>
      <c r="AK21" s="4">
        <v>0.00180359332538054</v>
      </c>
      <c r="AL21" s="4">
        <v>0.00236235864320156</v>
      </c>
      <c r="AM21" s="4">
        <v>0.00327979045808776</v>
      </c>
      <c r="AN21" s="4">
        <v>0.0017005244316683</v>
      </c>
      <c r="AO21" s="4">
        <v>0.00221045883086311</v>
      </c>
    </row>
    <row r="22" ht="14" spans="1:41">
      <c r="A22" s="22" t="s">
        <v>44</v>
      </c>
      <c r="B22" s="4">
        <v>0.00271145155730291</v>
      </c>
      <c r="C22" s="4">
        <v>0.00157624859785116</v>
      </c>
      <c r="D22" s="4">
        <v>0.00109499335115691</v>
      </c>
      <c r="E22" s="4">
        <v>0.00300100489897447</v>
      </c>
      <c r="F22" s="4">
        <v>0.002318131467327</v>
      </c>
      <c r="G22" s="4">
        <v>0.00265508681624103</v>
      </c>
      <c r="H22" s="4">
        <v>0.00334254266853129</v>
      </c>
      <c r="I22" s="4">
        <v>0.00340149009136655</v>
      </c>
      <c r="J22" s="4">
        <v>0.00287109552606037</v>
      </c>
      <c r="K22" s="4">
        <v>0.0031189114667231</v>
      </c>
      <c r="L22" s="4">
        <v>0.000701786814154613</v>
      </c>
      <c r="M22" s="4">
        <v>0.00117589667555008</v>
      </c>
      <c r="N22" s="4">
        <v>0.00304161886424572</v>
      </c>
      <c r="O22" s="4">
        <v>0.00291242220717782</v>
      </c>
      <c r="P22" s="4">
        <v>0.00425545594780492</v>
      </c>
      <c r="Q22" s="4">
        <v>0.001800696747439</v>
      </c>
      <c r="R22" s="4">
        <v>0.00522127560654745</v>
      </c>
      <c r="S22" s="4">
        <v>0.00212700584196193</v>
      </c>
      <c r="T22" s="4">
        <v>0.0037488474456251</v>
      </c>
      <c r="U22" s="4">
        <v>0.0240061086255879</v>
      </c>
      <c r="V22" s="4">
        <v>0.00347182446992254</v>
      </c>
      <c r="W22" s="4">
        <v>0.00359249151285713</v>
      </c>
      <c r="X22" s="4">
        <v>0.00393969697537108</v>
      </c>
      <c r="Y22" s="4">
        <v>0.005805514502148</v>
      </c>
      <c r="Z22" s="4">
        <v>0.0022634138965904</v>
      </c>
      <c r="AA22" s="4">
        <v>0.0034132099063891</v>
      </c>
      <c r="AB22" s="4">
        <v>0.00209964526255161</v>
      </c>
      <c r="AC22" s="4">
        <v>0.00732577534060569</v>
      </c>
      <c r="AD22" s="4">
        <v>0.00163681514327637</v>
      </c>
      <c r="AE22" s="4">
        <v>0.0036939528513093</v>
      </c>
      <c r="AF22" s="4">
        <v>0.00171571483166173</v>
      </c>
      <c r="AG22" s="4">
        <v>0.00422479552243861</v>
      </c>
      <c r="AH22" s="4">
        <v>0.00374605509573057</v>
      </c>
      <c r="AI22" s="4">
        <v>0.0051678665417637</v>
      </c>
      <c r="AJ22" s="4">
        <v>0.00579958334940405</v>
      </c>
      <c r="AK22" s="4">
        <v>0.00352465407654307</v>
      </c>
      <c r="AL22" s="4">
        <v>0.00461661556673834</v>
      </c>
      <c r="AM22" s="4">
        <v>0.00640949744359197</v>
      </c>
      <c r="AN22" s="4">
        <v>0.00332323272990387</v>
      </c>
      <c r="AO22" s="4">
        <v>0.00431976688957222</v>
      </c>
    </row>
    <row r="23" ht="14" spans="1:41">
      <c r="A23" s="22" t="s">
        <v>49</v>
      </c>
      <c r="B23" s="4">
        <v>0.00128494329107101</v>
      </c>
      <c r="C23" s="4">
        <v>0.000746976303306558</v>
      </c>
      <c r="D23" s="4">
        <v>0.000518911856104109</v>
      </c>
      <c r="E23" s="4">
        <v>0.00142216116715143</v>
      </c>
      <c r="F23" s="4">
        <v>0.00109855087351268</v>
      </c>
      <c r="G23" s="4">
        <v>0.00125823232303422</v>
      </c>
      <c r="H23" s="4">
        <v>0.00158401420282799</v>
      </c>
      <c r="I23" s="4">
        <v>0.00161194909080121</v>
      </c>
      <c r="J23" s="4">
        <v>0.00136059776701485</v>
      </c>
      <c r="K23" s="4">
        <v>0.0014780364981319</v>
      </c>
      <c r="L23" s="4">
        <v>0.000332573250730338</v>
      </c>
      <c r="M23" s="4">
        <v>0.000557251535684354</v>
      </c>
      <c r="N23" s="4">
        <v>0.00144140792155445</v>
      </c>
      <c r="O23" s="4">
        <v>0.00138018227388205</v>
      </c>
      <c r="P23" s="4">
        <v>0.00201663922626713</v>
      </c>
      <c r="Q23" s="4">
        <v>0.000853341155457213</v>
      </c>
      <c r="R23" s="4">
        <v>0.00247433631753295</v>
      </c>
      <c r="S23" s="4">
        <v>0.00100797739842951</v>
      </c>
      <c r="T23" s="4">
        <v>0.0017765599984741</v>
      </c>
      <c r="U23" s="4">
        <v>0.00347182446992254</v>
      </c>
      <c r="V23" s="4">
        <v>0.00673268849875018</v>
      </c>
      <c r="W23" s="4">
        <v>0.00170246370629133</v>
      </c>
      <c r="X23" s="4">
        <v>0.00186700263322841</v>
      </c>
      <c r="Y23" s="4">
        <v>0.00275120419933696</v>
      </c>
      <c r="Z23" s="4">
        <v>0.00107262049123005</v>
      </c>
      <c r="AA23" s="4">
        <v>0.00161750305234821</v>
      </c>
      <c r="AB23" s="4">
        <v>0.00099501135710068</v>
      </c>
      <c r="AC23" s="4">
        <v>0.00347164818432827</v>
      </c>
      <c r="AD23" s="4">
        <v>0.00077567848535287</v>
      </c>
      <c r="AE23" s="4">
        <v>0.00175054572560532</v>
      </c>
      <c r="AF23" s="4">
        <v>0.000813068651880208</v>
      </c>
      <c r="AG23" s="4">
        <v>0.00200210940449336</v>
      </c>
      <c r="AH23" s="4">
        <v>0.00177523671786685</v>
      </c>
      <c r="AI23" s="4">
        <v>0.00244902602965728</v>
      </c>
      <c r="AJ23" s="4">
        <v>0.0027483934558051</v>
      </c>
      <c r="AK23" s="4">
        <v>0.00167031588552705</v>
      </c>
      <c r="AL23" s="4">
        <v>0.00218779095793069</v>
      </c>
      <c r="AM23" s="4">
        <v>0.00303742868542063</v>
      </c>
      <c r="AN23" s="4">
        <v>0.00157486331978032</v>
      </c>
      <c r="AO23" s="4">
        <v>0.00204711585895628</v>
      </c>
    </row>
    <row r="24" ht="14" spans="1:41">
      <c r="A24" s="22" t="s">
        <v>53</v>
      </c>
      <c r="B24" s="4">
        <v>0.00132960289544198</v>
      </c>
      <c r="C24" s="4">
        <v>0.000772938278758684</v>
      </c>
      <c r="D24" s="4">
        <v>0.000536947203156428</v>
      </c>
      <c r="E24" s="4">
        <v>0.00147158992834119</v>
      </c>
      <c r="F24" s="4">
        <v>0.00113673220628695</v>
      </c>
      <c r="G24" s="4">
        <v>0.00130196355860232</v>
      </c>
      <c r="H24" s="4">
        <v>0.00163906834265491</v>
      </c>
      <c r="I24" s="4">
        <v>0.00166797413810219</v>
      </c>
      <c r="J24" s="4">
        <v>0.00140788682514305</v>
      </c>
      <c r="K24" s="4">
        <v>0.00152940726734103</v>
      </c>
      <c r="L24" s="4">
        <v>0.000344132196487084</v>
      </c>
      <c r="M24" s="4">
        <v>0.000576619420081832</v>
      </c>
      <c r="N24" s="4">
        <v>0.00149150562466798</v>
      </c>
      <c r="O24" s="4">
        <v>0.00142815201288899</v>
      </c>
      <c r="P24" s="4">
        <v>0.00208672972024449</v>
      </c>
      <c r="Q24" s="4">
        <v>0.000882999957258823</v>
      </c>
      <c r="R24" s="4">
        <v>0.0025603345727008</v>
      </c>
      <c r="S24" s="4">
        <v>0.00104301075137321</v>
      </c>
      <c r="T24" s="4">
        <v>0.00183830627725891</v>
      </c>
      <c r="U24" s="4">
        <v>0.00359249151285713</v>
      </c>
      <c r="V24" s="4">
        <v>0.00170246370629133</v>
      </c>
      <c r="W24" s="4">
        <v>0.00568999893659568</v>
      </c>
      <c r="X24" s="4">
        <v>0.00193189234434558</v>
      </c>
      <c r="Y24" s="4">
        <v>0.00284682529945861</v>
      </c>
      <c r="Z24" s="4">
        <v>0.00110990058530999</v>
      </c>
      <c r="AA24" s="4">
        <v>0.00167372113363528</v>
      </c>
      <c r="AB24" s="4">
        <v>0.00102959406114803</v>
      </c>
      <c r="AC24" s="4">
        <v>0.00359230910026493</v>
      </c>
      <c r="AD24" s="4">
        <v>0.000802638036420729</v>
      </c>
      <c r="AE24" s="4">
        <v>0.00181138784998706</v>
      </c>
      <c r="AF24" s="4">
        <v>0.000841327738932322</v>
      </c>
      <c r="AG24" s="4">
        <v>0.00207169489868085</v>
      </c>
      <c r="AH24" s="4">
        <v>0.00183693700459208</v>
      </c>
      <c r="AI24" s="4">
        <v>0.00253414459818767</v>
      </c>
      <c r="AJ24" s="4">
        <v>0.00284391686547224</v>
      </c>
      <c r="AK24" s="4">
        <v>0.00172836953438497</v>
      </c>
      <c r="AL24" s="4">
        <v>0.00226383001685767</v>
      </c>
      <c r="AM24" s="4">
        <v>0.00314299782947433</v>
      </c>
      <c r="AN24" s="4">
        <v>0.00162959941069458</v>
      </c>
      <c r="AO24" s="4">
        <v>0.00211826560151521</v>
      </c>
    </row>
    <row r="25" ht="14" spans="1:41">
      <c r="A25" s="22" t="s">
        <v>57</v>
      </c>
      <c r="B25" s="4">
        <v>0.00145810574273323</v>
      </c>
      <c r="C25" s="4">
        <v>0.000847640860966793</v>
      </c>
      <c r="D25" s="4">
        <v>0.000588841828752698</v>
      </c>
      <c r="E25" s="4">
        <v>0.00161381547288931</v>
      </c>
      <c r="F25" s="4">
        <v>0.00124659457618424</v>
      </c>
      <c r="G25" s="4">
        <v>0.00142779513201675</v>
      </c>
      <c r="H25" s="4">
        <v>0.00179748026373162</v>
      </c>
      <c r="I25" s="4">
        <v>0.00182917973316301</v>
      </c>
      <c r="J25" s="4">
        <v>0.00154395562155959</v>
      </c>
      <c r="K25" s="4">
        <v>0.00167722071539759</v>
      </c>
      <c r="L25" s="4">
        <v>0.00037739172626457</v>
      </c>
      <c r="M25" s="4">
        <v>0.000632348267798667</v>
      </c>
      <c r="N25" s="4">
        <v>0.00163565597224755</v>
      </c>
      <c r="O25" s="4">
        <v>0.00156617938982244</v>
      </c>
      <c r="P25" s="4">
        <v>0.00228840701163575</v>
      </c>
      <c r="Q25" s="4">
        <v>0.000968339729799028</v>
      </c>
      <c r="R25" s="4">
        <v>0.00280778460739776</v>
      </c>
      <c r="S25" s="4">
        <v>0.00114381517332982</v>
      </c>
      <c r="T25" s="4">
        <v>0.00201597405433053</v>
      </c>
      <c r="U25" s="4">
        <v>0.00393969697537108</v>
      </c>
      <c r="V25" s="4">
        <v>0.00186700263322841</v>
      </c>
      <c r="W25" s="4">
        <v>0.00193189234434558</v>
      </c>
      <c r="X25" s="4">
        <v>0.00673198349129303</v>
      </c>
      <c r="Y25" s="4">
        <v>0.00312196395775674</v>
      </c>
      <c r="Z25" s="4">
        <v>0.00121716974508056</v>
      </c>
      <c r="AA25" s="4">
        <v>0.00183548216166929</v>
      </c>
      <c r="AB25" s="4">
        <v>0.00112910179301688</v>
      </c>
      <c r="AC25" s="4">
        <v>0.00393949693305082</v>
      </c>
      <c r="AD25" s="4">
        <v>0.000880211027106825</v>
      </c>
      <c r="AE25" s="4">
        <v>0.00198645402731721</v>
      </c>
      <c r="AF25" s="4">
        <v>0.000922639994139153</v>
      </c>
      <c r="AG25" s="4">
        <v>0.0022719191115732</v>
      </c>
      <c r="AH25" s="4">
        <v>0.00201447244483064</v>
      </c>
      <c r="AI25" s="4">
        <v>0.00277906343630936</v>
      </c>
      <c r="AJ25" s="4">
        <v>0.00311877443078412</v>
      </c>
      <c r="AK25" s="4">
        <v>0.00189541219584526</v>
      </c>
      <c r="AL25" s="4">
        <v>0.00248262361601941</v>
      </c>
      <c r="AM25" s="4">
        <v>0.00344676083382868</v>
      </c>
      <c r="AN25" s="4">
        <v>0.00178709618280322</v>
      </c>
      <c r="AO25" s="4">
        <v>0.00232299075821198</v>
      </c>
    </row>
    <row r="26" ht="14" spans="1:41">
      <c r="A26" s="22" t="s">
        <v>61</v>
      </c>
      <c r="B26" s="4">
        <v>0.0021486561245756</v>
      </c>
      <c r="C26" s="4">
        <v>0.00124907863262565</v>
      </c>
      <c r="D26" s="4">
        <v>0.000867713887049179</v>
      </c>
      <c r="E26" s="4">
        <v>0.00237810907544919</v>
      </c>
      <c r="F26" s="4">
        <v>0.00183697450224708</v>
      </c>
      <c r="G26" s="4">
        <v>0.00210399058527562</v>
      </c>
      <c r="H26" s="4">
        <v>0.00264875644082647</v>
      </c>
      <c r="I26" s="4">
        <v>0.00269546859423441</v>
      </c>
      <c r="J26" s="4">
        <v>0.00227516400567656</v>
      </c>
      <c r="K26" s="4">
        <v>0.00247154267128034</v>
      </c>
      <c r="L26" s="4">
        <v>0.000556122248364866</v>
      </c>
      <c r="M26" s="4">
        <v>0.00093182472206953</v>
      </c>
      <c r="N26" s="4">
        <v>0.00241029310801593</v>
      </c>
      <c r="O26" s="4">
        <v>0.00230791282106742</v>
      </c>
      <c r="P26" s="4">
        <v>0.00337218323539138</v>
      </c>
      <c r="Q26" s="4">
        <v>0.00142693978229755</v>
      </c>
      <c r="R26" s="4">
        <v>0.00413753503354664</v>
      </c>
      <c r="S26" s="4">
        <v>0.00168551937320451</v>
      </c>
      <c r="T26" s="4">
        <v>0.00297072761725985</v>
      </c>
      <c r="U26" s="4">
        <v>0.005805514502148</v>
      </c>
      <c r="V26" s="4">
        <v>0.00275120419933696</v>
      </c>
      <c r="W26" s="4">
        <v>0.00284682529945861</v>
      </c>
      <c r="X26" s="4">
        <v>0.00312196395775674</v>
      </c>
      <c r="Y26" s="4">
        <v>0.0252031246151533</v>
      </c>
      <c r="Z26" s="4">
        <v>0.00179361424262214</v>
      </c>
      <c r="AA26" s="4">
        <v>0.00270475581615038</v>
      </c>
      <c r="AB26" s="4">
        <v>0.00166383782172572</v>
      </c>
      <c r="AC26" s="4">
        <v>0.00580521972095071</v>
      </c>
      <c r="AD26" s="4">
        <v>0.00129707383962898</v>
      </c>
      <c r="AE26" s="4">
        <v>0.00292722707749728</v>
      </c>
      <c r="AF26" s="4">
        <v>0.00135959691816959</v>
      </c>
      <c r="AG26" s="4">
        <v>0.00334788676195155</v>
      </c>
      <c r="AH26" s="4">
        <v>0.00296851485425228</v>
      </c>
      <c r="AI26" s="4">
        <v>0.00409521168321925</v>
      </c>
      <c r="AJ26" s="4">
        <v>0.00459580782482392</v>
      </c>
      <c r="AK26" s="4">
        <v>0.00279306836523674</v>
      </c>
      <c r="AL26" s="4">
        <v>0.00365837969170667</v>
      </c>
      <c r="AM26" s="4">
        <v>0.00507912667682857</v>
      </c>
      <c r="AN26" s="4">
        <v>0.00263345451968934</v>
      </c>
      <c r="AO26" s="4">
        <v>0.00342314564279023</v>
      </c>
    </row>
    <row r="27" ht="14" spans="1:41">
      <c r="A27" s="22" t="s">
        <v>63</v>
      </c>
      <c r="B27" s="4">
        <v>0.000837703209519001</v>
      </c>
      <c r="C27" s="4">
        <v>0.0004869821501562</v>
      </c>
      <c r="D27" s="4">
        <v>0.000338298297159523</v>
      </c>
      <c r="E27" s="4">
        <v>0.000927160741220763</v>
      </c>
      <c r="F27" s="4">
        <v>0.000716186931327086</v>
      </c>
      <c r="G27" s="4">
        <v>0.000820289317552512</v>
      </c>
      <c r="H27" s="4">
        <v>0.00103267886672779</v>
      </c>
      <c r="I27" s="4">
        <v>0.00105089067846714</v>
      </c>
      <c r="J27" s="4">
        <v>0.000887025228438457</v>
      </c>
      <c r="K27" s="4">
        <v>0.000963587986236585</v>
      </c>
      <c r="L27" s="4">
        <v>0.000216817101169312</v>
      </c>
      <c r="M27" s="4">
        <v>0.000363293386716768</v>
      </c>
      <c r="N27" s="4">
        <v>0.000939708429549322</v>
      </c>
      <c r="O27" s="4">
        <v>0.000899793110393643</v>
      </c>
      <c r="P27" s="4">
        <v>0.00131472350883113</v>
      </c>
      <c r="Q27" s="4">
        <v>0.000556325426739519</v>
      </c>
      <c r="R27" s="4">
        <v>0.0016131135817668</v>
      </c>
      <c r="S27" s="4">
        <v>0.000657138651685718</v>
      </c>
      <c r="T27" s="4">
        <v>0.00115820676520625</v>
      </c>
      <c r="U27" s="4">
        <v>0.0022634138965904</v>
      </c>
      <c r="V27" s="4">
        <v>0.00107262049123005</v>
      </c>
      <c r="W27" s="4">
        <v>0.00110990058530999</v>
      </c>
      <c r="X27" s="4">
        <v>0.00121716974508056</v>
      </c>
      <c r="Y27" s="4">
        <v>0.00179361424262214</v>
      </c>
      <c r="Z27" s="4">
        <v>0.00240446436889718</v>
      </c>
      <c r="AA27" s="4">
        <v>0.00105451151640279</v>
      </c>
      <c r="AB27" s="4">
        <v>0.00064868559814523</v>
      </c>
      <c r="AC27" s="4">
        <v>0.00226329896933319</v>
      </c>
      <c r="AD27" s="4">
        <v>0.000505694189969531</v>
      </c>
      <c r="AE27" s="4">
        <v>0.001141247075213</v>
      </c>
      <c r="AF27" s="4">
        <v>0.000530070255996767</v>
      </c>
      <c r="AG27" s="4">
        <v>0.0013052509675772</v>
      </c>
      <c r="AH27" s="4">
        <v>0.00115734406844796</v>
      </c>
      <c r="AI27" s="4">
        <v>0.00159661284625993</v>
      </c>
      <c r="AJ27" s="4">
        <v>0.00179178181243309</v>
      </c>
      <c r="AK27" s="4">
        <v>0.00108894220308378</v>
      </c>
      <c r="AL27" s="4">
        <v>0.00142630380651866</v>
      </c>
      <c r="AM27" s="4">
        <v>0.00198021482826772</v>
      </c>
      <c r="AN27" s="4">
        <v>0.0010267130594021</v>
      </c>
      <c r="AO27" s="4">
        <v>0.00133459238024082</v>
      </c>
    </row>
    <row r="28" ht="14" spans="1:41">
      <c r="A28" s="22" t="s">
        <v>66</v>
      </c>
      <c r="B28" s="4">
        <v>0.0012632496856414</v>
      </c>
      <c r="C28" s="4">
        <v>0.00073436515594947</v>
      </c>
      <c r="D28" s="4">
        <v>0.000510151104452817</v>
      </c>
      <c r="E28" s="4">
        <v>0.00139815092216095</v>
      </c>
      <c r="F28" s="4">
        <v>0.00108000411790102</v>
      </c>
      <c r="G28" s="4">
        <v>0.00123698967696232</v>
      </c>
      <c r="H28" s="4">
        <v>0.00155727140464395</v>
      </c>
      <c r="I28" s="4">
        <v>0.00158473466990696</v>
      </c>
      <c r="J28" s="4">
        <v>0.00133762689249367</v>
      </c>
      <c r="K28" s="4">
        <v>0.00145308291393575</v>
      </c>
      <c r="L28" s="4">
        <v>0.000326958440389742</v>
      </c>
      <c r="M28" s="4">
        <v>0.000547843497972353</v>
      </c>
      <c r="N28" s="4">
        <v>0.00141707273498972</v>
      </c>
      <c r="O28" s="4">
        <v>0.00135688075553599</v>
      </c>
      <c r="P28" s="4">
        <v>0.00198259245083937</v>
      </c>
      <c r="Q28" s="4">
        <v>0.000838934257929538</v>
      </c>
      <c r="R28" s="4">
        <v>0.00243256227493846</v>
      </c>
      <c r="S28" s="4">
        <v>0.000990959788301931</v>
      </c>
      <c r="T28" s="4">
        <v>0.00174656646343117</v>
      </c>
      <c r="U28" s="4">
        <v>0.0034132099063891</v>
      </c>
      <c r="V28" s="4">
        <v>0.00161750305234821</v>
      </c>
      <c r="W28" s="4">
        <v>0.00167372113363528</v>
      </c>
      <c r="X28" s="4">
        <v>0.00183548216166929</v>
      </c>
      <c r="Y28" s="4">
        <v>0.00270475581615038</v>
      </c>
      <c r="Z28" s="4">
        <v>0.00105451151640279</v>
      </c>
      <c r="AA28" s="4">
        <v>0.00451443575690337</v>
      </c>
      <c r="AB28" s="4">
        <v>0.00097821265171896</v>
      </c>
      <c r="AC28" s="4">
        <v>0.00341303659701188</v>
      </c>
      <c r="AD28" s="4">
        <v>0.000762582761114757</v>
      </c>
      <c r="AE28" s="4">
        <v>0.00172099138766554</v>
      </c>
      <c r="AF28" s="4">
        <v>0.00079934167214216</v>
      </c>
      <c r="AG28" s="4">
        <v>0.00196830793500456</v>
      </c>
      <c r="AH28" s="4">
        <v>0.0017452655236755</v>
      </c>
      <c r="AI28" s="4">
        <v>0.00240767929883779</v>
      </c>
      <c r="AJ28" s="4">
        <v>0.00270199252619999</v>
      </c>
      <c r="AK28" s="4">
        <v>0.00164211606222339</v>
      </c>
      <c r="AL28" s="4">
        <v>0.00215085464009191</v>
      </c>
      <c r="AM28" s="4">
        <v>0.00298614799476294</v>
      </c>
      <c r="AN28" s="4">
        <v>0.00154827501529849</v>
      </c>
      <c r="AO28" s="4">
        <v>0.00201255454872455</v>
      </c>
    </row>
    <row r="29" ht="14" spans="1:41">
      <c r="A29" s="22" t="s">
        <v>74</v>
      </c>
      <c r="B29" s="4">
        <v>0.000777091444892349</v>
      </c>
      <c r="C29" s="4">
        <v>0.000451746702652546</v>
      </c>
      <c r="D29" s="4">
        <v>0.00031382082527207</v>
      </c>
      <c r="E29" s="4">
        <v>0.000860076303702358</v>
      </c>
      <c r="F29" s="4">
        <v>0.000664367440585004</v>
      </c>
      <c r="G29" s="4">
        <v>0.000760937529859352</v>
      </c>
      <c r="H29" s="4">
        <v>0.000957959696866948</v>
      </c>
      <c r="I29" s="4">
        <v>0.000974853798426814</v>
      </c>
      <c r="J29" s="4">
        <v>0.00082284478391696</v>
      </c>
      <c r="K29" s="4">
        <v>0.000893867866323976</v>
      </c>
      <c r="L29" s="4">
        <v>0.000201129364804242</v>
      </c>
      <c r="M29" s="4">
        <v>0.000337007402616576</v>
      </c>
      <c r="N29" s="4">
        <v>0.000871716107803021</v>
      </c>
      <c r="O29" s="4">
        <v>0.000834688849600399</v>
      </c>
      <c r="P29" s="4">
        <v>0.00121959708343262</v>
      </c>
      <c r="Q29" s="4">
        <v>0.000516072667244042</v>
      </c>
      <c r="R29" s="4">
        <v>0.00149639723208223</v>
      </c>
      <c r="S29" s="4">
        <v>0.000609591581517609</v>
      </c>
      <c r="T29" s="4">
        <v>0.00107440506187747</v>
      </c>
      <c r="U29" s="4">
        <v>0.00209964526255161</v>
      </c>
      <c r="V29" s="4">
        <v>0.00099501135710068</v>
      </c>
      <c r="W29" s="4">
        <v>0.00102959406114803</v>
      </c>
      <c r="X29" s="4">
        <v>0.00112910179301688</v>
      </c>
      <c r="Y29" s="4">
        <v>0.00166383782172572</v>
      </c>
      <c r="Z29" s="4">
        <v>0.00064868559814523</v>
      </c>
      <c r="AA29" s="4">
        <v>0.00097821265171896</v>
      </c>
      <c r="AB29" s="4">
        <v>0.00625378084210266</v>
      </c>
      <c r="AC29" s="4">
        <v>0.00209953865082165</v>
      </c>
      <c r="AD29" s="4">
        <v>0.000469104838434042</v>
      </c>
      <c r="AE29" s="4">
        <v>0.00105867248517008</v>
      </c>
      <c r="AF29" s="4">
        <v>0.000491717181510502</v>
      </c>
      <c r="AG29" s="4">
        <v>0.00121080992506177</v>
      </c>
      <c r="AH29" s="4">
        <v>0.00107360478528454</v>
      </c>
      <c r="AI29" s="4">
        <v>0.00148109040234693</v>
      </c>
      <c r="AJ29" s="4">
        <v>0.00166213797647373</v>
      </c>
      <c r="AK29" s="4">
        <v>0.0010101521163856</v>
      </c>
      <c r="AL29" s="4">
        <v>0.00132310402212671</v>
      </c>
      <c r="AM29" s="4">
        <v>0.00183693697792967</v>
      </c>
      <c r="AN29" s="4">
        <v>0.000952425543742085</v>
      </c>
      <c r="AO29" s="4">
        <v>0.00123802834860708</v>
      </c>
    </row>
    <row r="30" ht="14" spans="1:41">
      <c r="A30" s="22" t="s">
        <v>75</v>
      </c>
      <c r="B30" s="4">
        <v>0.00271131388045512</v>
      </c>
      <c r="C30" s="4">
        <v>0.00157616856214568</v>
      </c>
      <c r="D30" s="4">
        <v>0.0010949377517004</v>
      </c>
      <c r="E30" s="4">
        <v>0.0030008525197466</v>
      </c>
      <c r="F30" s="4">
        <v>0.00231801376172672</v>
      </c>
      <c r="G30" s="4">
        <v>0.00265495200137315</v>
      </c>
      <c r="H30" s="4">
        <v>0.00334237294735852</v>
      </c>
      <c r="I30" s="4">
        <v>0.00340131737707545</v>
      </c>
      <c r="J30" s="4">
        <v>0.00287094974311962</v>
      </c>
      <c r="K30" s="4">
        <v>0.00311875310066338</v>
      </c>
      <c r="L30" s="4">
        <v>0.000701751180179839</v>
      </c>
      <c r="M30" s="4">
        <v>0.0011758369681409</v>
      </c>
      <c r="N30" s="4">
        <v>0.00304146442280041</v>
      </c>
      <c r="O30" s="4">
        <v>0.00291227432583071</v>
      </c>
      <c r="P30" s="4">
        <v>0.00425523987248569</v>
      </c>
      <c r="Q30" s="4">
        <v>0.00180060531513907</v>
      </c>
      <c r="R30" s="4">
        <v>0.00522101049070387</v>
      </c>
      <c r="S30" s="4">
        <v>0.00212689784096934</v>
      </c>
      <c r="T30" s="4">
        <v>0.00374865709389347</v>
      </c>
      <c r="U30" s="4">
        <v>0.00732577534060569</v>
      </c>
      <c r="V30" s="4">
        <v>0.00347164818432827</v>
      </c>
      <c r="W30" s="4">
        <v>0.00359230910026493</v>
      </c>
      <c r="X30" s="4">
        <v>0.00393949693305082</v>
      </c>
      <c r="Y30" s="4">
        <v>0.00580521972095071</v>
      </c>
      <c r="Z30" s="4">
        <v>0.00226329896933319</v>
      </c>
      <c r="AA30" s="4">
        <v>0.00341303659701188</v>
      </c>
      <c r="AB30" s="4">
        <v>0.00209953865082165</v>
      </c>
      <c r="AC30" s="4">
        <v>0.0321017920626765</v>
      </c>
      <c r="AD30" s="4">
        <v>0.00163673203223987</v>
      </c>
      <c r="AE30" s="4">
        <v>0.00369376528690931</v>
      </c>
      <c r="AF30" s="4">
        <v>0.00171562771440932</v>
      </c>
      <c r="AG30" s="4">
        <v>0.00422458100393522</v>
      </c>
      <c r="AH30" s="4">
        <v>0.00374586488578349</v>
      </c>
      <c r="AI30" s="4">
        <v>0.0051676041378224</v>
      </c>
      <c r="AJ30" s="4">
        <v>0.00579928886936737</v>
      </c>
      <c r="AK30" s="4">
        <v>0.00352447510846913</v>
      </c>
      <c r="AL30" s="4">
        <v>0.00461638115315386</v>
      </c>
      <c r="AM30" s="4">
        <v>0.00640917199451597</v>
      </c>
      <c r="AN30" s="4">
        <v>0.00332306398921385</v>
      </c>
      <c r="AO30" s="4">
        <v>0.00431954754879626</v>
      </c>
    </row>
    <row r="31" ht="14" spans="1:41">
      <c r="A31" s="22" t="s">
        <v>78</v>
      </c>
      <c r="B31" s="4">
        <v>0.00060579521093223</v>
      </c>
      <c r="C31" s="4">
        <v>0.000352167033648465</v>
      </c>
      <c r="D31" s="4">
        <v>0.000244644506499433</v>
      </c>
      <c r="E31" s="4">
        <v>0.000670487507286045</v>
      </c>
      <c r="F31" s="4">
        <v>0.000517919244190692</v>
      </c>
      <c r="G31" s="4">
        <v>0.000593202144274352</v>
      </c>
      <c r="H31" s="4">
        <v>0.000746794216359544</v>
      </c>
      <c r="I31" s="4">
        <v>0.000759964308354814</v>
      </c>
      <c r="J31" s="4">
        <v>0.000641463025637239</v>
      </c>
      <c r="K31" s="4">
        <v>0.000696830310234968</v>
      </c>
      <c r="L31" s="4">
        <v>0.000156793909876501</v>
      </c>
      <c r="M31" s="4">
        <v>0.000262720007916332</v>
      </c>
      <c r="N31" s="4">
        <v>0.000679561519909293</v>
      </c>
      <c r="O31" s="4">
        <v>0.000650696273945599</v>
      </c>
      <c r="P31" s="4">
        <v>0.000950758211619157</v>
      </c>
      <c r="Q31" s="4">
        <v>0.000402313463060672</v>
      </c>
      <c r="R31" s="4">
        <v>0.00116654260294069</v>
      </c>
      <c r="S31" s="4">
        <v>0.000475217766371278</v>
      </c>
      <c r="T31" s="4">
        <v>0.000837571234845964</v>
      </c>
      <c r="U31" s="4">
        <v>0.00163681514327637</v>
      </c>
      <c r="V31" s="4">
        <v>0.00077567848535287</v>
      </c>
      <c r="W31" s="4">
        <v>0.000802638036420729</v>
      </c>
      <c r="X31" s="4">
        <v>0.000880211027106825</v>
      </c>
      <c r="Y31" s="4">
        <v>0.00129707383962898</v>
      </c>
      <c r="Z31" s="4">
        <v>0.000505694189969531</v>
      </c>
      <c r="AA31" s="4">
        <v>0.000762582761114757</v>
      </c>
      <c r="AB31" s="4">
        <v>0.000469104838434042</v>
      </c>
      <c r="AC31" s="4">
        <v>0.00163673203223987</v>
      </c>
      <c r="AD31" s="4">
        <v>0.00192396937335466</v>
      </c>
      <c r="AE31" s="4">
        <v>0.000825306629840201</v>
      </c>
      <c r="AF31" s="4">
        <v>0.000383326718689358</v>
      </c>
      <c r="AG31" s="4">
        <v>0.000943908028807657</v>
      </c>
      <c r="AH31" s="4">
        <v>0.000836947365247853</v>
      </c>
      <c r="AI31" s="4">
        <v>0.00115460989642442</v>
      </c>
      <c r="AJ31" s="4">
        <v>0.00129574869556808</v>
      </c>
      <c r="AK31" s="4">
        <v>0.000787481728748444</v>
      </c>
      <c r="AL31" s="4">
        <v>0.0010314488538483</v>
      </c>
      <c r="AM31" s="4">
        <v>0.0014320163107294</v>
      </c>
      <c r="AN31" s="4">
        <v>0.000742479970614537</v>
      </c>
      <c r="AO31" s="4">
        <v>0.000965126626363001</v>
      </c>
    </row>
    <row r="32" ht="14" spans="1:41">
      <c r="A32" s="22" t="s">
        <v>81</v>
      </c>
      <c r="B32" s="4">
        <v>0.0013671543521117</v>
      </c>
      <c r="C32" s="4">
        <v>0.000794768073491141</v>
      </c>
      <c r="D32" s="4">
        <v>0.000552111993863775</v>
      </c>
      <c r="E32" s="4">
        <v>0.00151315146947438</v>
      </c>
      <c r="F32" s="4">
        <v>0.00116883649120977</v>
      </c>
      <c r="G32" s="4">
        <v>0.00133873440824774</v>
      </c>
      <c r="H32" s="4">
        <v>0.00168535991140745</v>
      </c>
      <c r="I32" s="4">
        <v>0.00171508208197617</v>
      </c>
      <c r="J32" s="4">
        <v>0.00144764922434621</v>
      </c>
      <c r="K32" s="4">
        <v>0.0015726017210586</v>
      </c>
      <c r="L32" s="4">
        <v>0.000353851388066271</v>
      </c>
      <c r="M32" s="4">
        <v>0.000592904657758701</v>
      </c>
      <c r="N32" s="4">
        <v>0.00153362963705497</v>
      </c>
      <c r="O32" s="4">
        <v>0.00146848675389597</v>
      </c>
      <c r="P32" s="4">
        <v>0.00214566441491146</v>
      </c>
      <c r="Q32" s="4">
        <v>0.000907938181105991</v>
      </c>
      <c r="R32" s="4">
        <v>0.00263264510473737</v>
      </c>
      <c r="S32" s="4">
        <v>0.00107246809775123</v>
      </c>
      <c r="T32" s="4">
        <v>0.00189022484539141</v>
      </c>
      <c r="U32" s="4">
        <v>0.0036939528513093</v>
      </c>
      <c r="V32" s="4">
        <v>0.00175054572560532</v>
      </c>
      <c r="W32" s="4">
        <v>0.00181138784998706</v>
      </c>
      <c r="X32" s="4">
        <v>0.00198645402731721</v>
      </c>
      <c r="Y32" s="4">
        <v>0.00292722707749728</v>
      </c>
      <c r="Z32" s="4">
        <v>0.001141247075213</v>
      </c>
      <c r="AA32" s="4">
        <v>0.00172099138766554</v>
      </c>
      <c r="AB32" s="4">
        <v>0.00105867248517008</v>
      </c>
      <c r="AC32" s="4">
        <v>0.00369376528690931</v>
      </c>
      <c r="AD32" s="4">
        <v>0.000825306629840201</v>
      </c>
      <c r="AE32" s="4">
        <v>0.00577586125251086</v>
      </c>
      <c r="AF32" s="4">
        <v>0.000865089030549436</v>
      </c>
      <c r="AG32" s="4">
        <v>0.00213020497073875</v>
      </c>
      <c r="AH32" s="4">
        <v>0.00188881690089001</v>
      </c>
      <c r="AI32" s="4">
        <v>0.00260571545697558</v>
      </c>
      <c r="AJ32" s="4">
        <v>0.00292423650174272</v>
      </c>
      <c r="AK32" s="4">
        <v>0.00177718320191099</v>
      </c>
      <c r="AL32" s="4">
        <v>0.00232776648621786</v>
      </c>
      <c r="AM32" s="4">
        <v>0.00323176429291326</v>
      </c>
      <c r="AN32" s="4">
        <v>0.0016756235520901</v>
      </c>
      <c r="AO32" s="4">
        <v>0.00217809095179307</v>
      </c>
    </row>
    <row r="33" ht="14" spans="1:41">
      <c r="A33" s="22" t="s">
        <v>82</v>
      </c>
      <c r="B33" s="4">
        <v>0.00063499646408793</v>
      </c>
      <c r="C33" s="4">
        <v>0.000369142603143041</v>
      </c>
      <c r="D33" s="4">
        <v>0.000256437148696864</v>
      </c>
      <c r="E33" s="4">
        <v>0.000702807134586936</v>
      </c>
      <c r="F33" s="4">
        <v>0.000542884596657821</v>
      </c>
      <c r="G33" s="4">
        <v>0.000621796371621913</v>
      </c>
      <c r="H33" s="4">
        <v>0.000782792069385767</v>
      </c>
      <c r="I33" s="4">
        <v>0.000796597001643055</v>
      </c>
      <c r="J33" s="4">
        <v>0.00067238358074171</v>
      </c>
      <c r="K33" s="4">
        <v>0.000730419744302008</v>
      </c>
      <c r="L33" s="4">
        <v>0.000164351874305652</v>
      </c>
      <c r="M33" s="4">
        <v>0.000275383946689348</v>
      </c>
      <c r="N33" s="4">
        <v>0.000712318543437437</v>
      </c>
      <c r="O33" s="4">
        <v>0.000682061900943074</v>
      </c>
      <c r="P33" s="4">
        <v>0.000996587777000878</v>
      </c>
      <c r="Q33" s="4">
        <v>0.000421706249716583</v>
      </c>
      <c r="R33" s="4">
        <v>0.00122277366130934</v>
      </c>
      <c r="S33" s="4">
        <v>0.000498124771988803</v>
      </c>
      <c r="T33" s="4">
        <v>0.000877944828468522</v>
      </c>
      <c r="U33" s="4">
        <v>0.00171571483166173</v>
      </c>
      <c r="V33" s="4">
        <v>0.000813068651880208</v>
      </c>
      <c r="W33" s="4">
        <v>0.000841327738932322</v>
      </c>
      <c r="X33" s="4">
        <v>0.000922639994139153</v>
      </c>
      <c r="Y33" s="4">
        <v>0.00135959691816959</v>
      </c>
      <c r="Z33" s="4">
        <v>0.000530070255996767</v>
      </c>
      <c r="AA33" s="4">
        <v>0.00079934167214216</v>
      </c>
      <c r="AB33" s="4">
        <v>0.000491717181510502</v>
      </c>
      <c r="AC33" s="4">
        <v>0.00171562771440932</v>
      </c>
      <c r="AD33" s="4">
        <v>0.000383326718689358</v>
      </c>
      <c r="AE33" s="4">
        <v>0.000865089030549436</v>
      </c>
      <c r="AF33" s="4">
        <v>0.00243820747274962</v>
      </c>
      <c r="AG33" s="4">
        <v>0.000989407393621873</v>
      </c>
      <c r="AH33" s="4">
        <v>0.00087729088637439</v>
      </c>
      <c r="AI33" s="4">
        <v>0.00121026576044105</v>
      </c>
      <c r="AJ33" s="4">
        <v>0.00135820789795633</v>
      </c>
      <c r="AK33" s="4">
        <v>0.000825440849094221</v>
      </c>
      <c r="AL33" s="4">
        <v>0.0010811679644567</v>
      </c>
      <c r="AM33" s="4">
        <v>0.00150104404495059</v>
      </c>
      <c r="AN33" s="4">
        <v>0.000778269863293926</v>
      </c>
      <c r="AO33" s="4">
        <v>0.00101164879496906</v>
      </c>
    </row>
    <row r="34" ht="14" spans="1:41">
      <c r="A34" s="22" t="s">
        <v>89</v>
      </c>
      <c r="B34" s="4">
        <v>0.00156362244397265</v>
      </c>
      <c r="C34" s="4">
        <v>0.000908980902956682</v>
      </c>
      <c r="D34" s="4">
        <v>0.000631453722733242</v>
      </c>
      <c r="E34" s="4">
        <v>0.00173060020263683</v>
      </c>
      <c r="F34" s="4">
        <v>0.00133680514432544</v>
      </c>
      <c r="G34" s="4">
        <v>0.00153111838763586</v>
      </c>
      <c r="H34" s="4">
        <v>0.00192755600680934</v>
      </c>
      <c r="I34" s="4">
        <v>0.00196154942745936</v>
      </c>
      <c r="J34" s="4">
        <v>0.00165568490104356</v>
      </c>
      <c r="K34" s="4">
        <v>0.00179859380374948</v>
      </c>
      <c r="L34" s="4">
        <v>0.000404701906084479</v>
      </c>
      <c r="M34" s="4">
        <v>0.000678108531473029</v>
      </c>
      <c r="N34" s="4">
        <v>0.00175402120289988</v>
      </c>
      <c r="O34" s="4">
        <v>0.0016795169056966</v>
      </c>
      <c r="P34" s="4">
        <v>0.00245400896483039</v>
      </c>
      <c r="Q34" s="4">
        <v>0.00103841421820748</v>
      </c>
      <c r="R34" s="4">
        <v>0.00301097163346904</v>
      </c>
      <c r="S34" s="4">
        <v>0.0012265880480125</v>
      </c>
      <c r="T34" s="4">
        <v>0.00216186123230602</v>
      </c>
      <c r="U34" s="4">
        <v>0.00422479552243861</v>
      </c>
      <c r="V34" s="4">
        <v>0.00200210940449336</v>
      </c>
      <c r="W34" s="4">
        <v>0.00207169489868085</v>
      </c>
      <c r="X34" s="4">
        <v>0.0022719191115732</v>
      </c>
      <c r="Y34" s="4">
        <v>0.00334788676195155</v>
      </c>
      <c r="Z34" s="4">
        <v>0.0013052509675772</v>
      </c>
      <c r="AA34" s="4">
        <v>0.00196830793500456</v>
      </c>
      <c r="AB34" s="4">
        <v>0.00121080992506177</v>
      </c>
      <c r="AC34" s="4">
        <v>0.00422458100393522</v>
      </c>
      <c r="AD34" s="4">
        <v>0.000943908028807657</v>
      </c>
      <c r="AE34" s="4">
        <v>0.00213020497073875</v>
      </c>
      <c r="AF34" s="4">
        <v>0.000989407393621873</v>
      </c>
      <c r="AG34" s="4">
        <v>0.00973182698622821</v>
      </c>
      <c r="AH34" s="4">
        <v>0.00216025095792928</v>
      </c>
      <c r="AI34" s="4">
        <v>0.00298017203751736</v>
      </c>
      <c r="AJ34" s="4">
        <v>0.00334446642293642</v>
      </c>
      <c r="AK34" s="4">
        <v>0.00203257484223856</v>
      </c>
      <c r="AL34" s="4">
        <v>0.0026622801708934</v>
      </c>
      <c r="AM34" s="4">
        <v>0.00369618775979708</v>
      </c>
      <c r="AN34" s="4">
        <v>0.00191642047560346</v>
      </c>
      <c r="AO34" s="4">
        <v>0.00249109538507992</v>
      </c>
    </row>
    <row r="35" ht="14" spans="1:41">
      <c r="A35" s="22" t="s">
        <v>97</v>
      </c>
      <c r="B35" s="4">
        <v>0.00138643770874417</v>
      </c>
      <c r="C35" s="4">
        <v>0.000805978070502496</v>
      </c>
      <c r="D35" s="4">
        <v>0.000559899389970363</v>
      </c>
      <c r="E35" s="4">
        <v>0.00153449407748331</v>
      </c>
      <c r="F35" s="4">
        <v>0.00118532262598323</v>
      </c>
      <c r="G35" s="4">
        <v>0.00135761690896211</v>
      </c>
      <c r="H35" s="4">
        <v>0.00170913147471012</v>
      </c>
      <c r="I35" s="4">
        <v>0.00173927286876599</v>
      </c>
      <c r="J35" s="4">
        <v>0.0014680679402203</v>
      </c>
      <c r="K35" s="4">
        <v>0.00159478285940715</v>
      </c>
      <c r="L35" s="4">
        <v>0.000358842369882214</v>
      </c>
      <c r="M35" s="4">
        <v>0.000601267423782124</v>
      </c>
      <c r="N35" s="4">
        <v>0.00155526108429264</v>
      </c>
      <c r="O35" s="4">
        <v>0.00148919937770593</v>
      </c>
      <c r="P35" s="4">
        <v>0.00217592845354209</v>
      </c>
      <c r="Q35" s="4">
        <v>0.000920744413057389</v>
      </c>
      <c r="R35" s="4">
        <v>0.00266977787936736</v>
      </c>
      <c r="S35" s="4">
        <v>0.00108759498139385</v>
      </c>
      <c r="T35" s="4">
        <v>0.00191688597531646</v>
      </c>
      <c r="U35" s="4">
        <v>0.00374605509573057</v>
      </c>
      <c r="V35" s="4">
        <v>0.00177523671786685</v>
      </c>
      <c r="W35" s="4">
        <v>0.00183693700459208</v>
      </c>
      <c r="X35" s="4">
        <v>0.00201447244483064</v>
      </c>
      <c r="Y35" s="4">
        <v>0.00296851485425228</v>
      </c>
      <c r="Z35" s="4">
        <v>0.00115734406844796</v>
      </c>
      <c r="AA35" s="4">
        <v>0.0017452655236755</v>
      </c>
      <c r="AB35" s="4">
        <v>0.00107360478528454</v>
      </c>
      <c r="AC35" s="4">
        <v>0.00374586488578349</v>
      </c>
      <c r="AD35" s="4">
        <v>0.000836947365247853</v>
      </c>
      <c r="AE35" s="4">
        <v>0.00188881690089001</v>
      </c>
      <c r="AF35" s="4">
        <v>0.00087729088637439</v>
      </c>
      <c r="AG35" s="4">
        <v>0.00216025095792928</v>
      </c>
      <c r="AH35" s="4">
        <v>0.015639900734641</v>
      </c>
      <c r="AI35" s="4">
        <v>0.00264246839592647</v>
      </c>
      <c r="AJ35" s="4">
        <v>0.00296548209720435</v>
      </c>
      <c r="AK35" s="4">
        <v>0.0018022499088492</v>
      </c>
      <c r="AL35" s="4">
        <v>0.00236059902721188</v>
      </c>
      <c r="AM35" s="4">
        <v>0.00327734748790224</v>
      </c>
      <c r="AN35" s="4">
        <v>0.00169925778657636</v>
      </c>
      <c r="AO35" s="4">
        <v>0.00220881235829447</v>
      </c>
    </row>
    <row r="36" ht="14" spans="1:41">
      <c r="A36" s="22" t="s">
        <v>101</v>
      </c>
      <c r="B36" s="4">
        <v>0.00191265874744461</v>
      </c>
      <c r="C36" s="4">
        <v>0.00111188623698894</v>
      </c>
      <c r="D36" s="4">
        <v>0.000772408640620232</v>
      </c>
      <c r="E36" s="4">
        <v>0.00211690976211175</v>
      </c>
      <c r="F36" s="4">
        <v>0.00163521063718354</v>
      </c>
      <c r="G36" s="4">
        <v>0.00187289904207606</v>
      </c>
      <c r="H36" s="4">
        <v>0.0023578306079097</v>
      </c>
      <c r="I36" s="4">
        <v>0.00239941213778122</v>
      </c>
      <c r="J36" s="4">
        <v>0.00202527165122242</v>
      </c>
      <c r="K36" s="4">
        <v>0.00220008109061224</v>
      </c>
      <c r="L36" s="4">
        <v>0.000495040630661046</v>
      </c>
      <c r="M36" s="4">
        <v>0.000829477870081913</v>
      </c>
      <c r="N36" s="4">
        <v>0.00214555886548048</v>
      </c>
      <c r="O36" s="4">
        <v>0.00205442350456431</v>
      </c>
      <c r="P36" s="4">
        <v>0.00300179991083094</v>
      </c>
      <c r="Q36" s="4">
        <v>0.0012702120294969</v>
      </c>
      <c r="R36" s="4">
        <v>0.00368308938980853</v>
      </c>
      <c r="S36" s="4">
        <v>0.00150039056332652</v>
      </c>
      <c r="T36" s="4">
        <v>0.00264443812038542</v>
      </c>
      <c r="U36" s="4">
        <v>0.0051678665417637</v>
      </c>
      <c r="V36" s="4">
        <v>0.00244902602965728</v>
      </c>
      <c r="W36" s="4">
        <v>0.00253414459818767</v>
      </c>
      <c r="X36" s="4">
        <v>0.00277906343630936</v>
      </c>
      <c r="Y36" s="4">
        <v>0.00409521168321925</v>
      </c>
      <c r="Z36" s="4">
        <v>0.00159661284625993</v>
      </c>
      <c r="AA36" s="4">
        <v>0.00240767929883779</v>
      </c>
      <c r="AB36" s="4">
        <v>0.00148109040234693</v>
      </c>
      <c r="AC36" s="4">
        <v>0.0051676041378224</v>
      </c>
      <c r="AD36" s="4">
        <v>0.00115460989642442</v>
      </c>
      <c r="AE36" s="4">
        <v>0.00260571545697558</v>
      </c>
      <c r="AF36" s="4">
        <v>0.00121026576044105</v>
      </c>
      <c r="AG36" s="4">
        <v>0.00298017203751736</v>
      </c>
      <c r="AH36" s="4">
        <v>0.00264246839592647</v>
      </c>
      <c r="AI36" s="4">
        <v>0.00917726875312056</v>
      </c>
      <c r="AJ36" s="4">
        <v>0.00409102784628232</v>
      </c>
      <c r="AK36" s="4">
        <v>0.00248629205012321</v>
      </c>
      <c r="AL36" s="4">
        <v>0.0032565620151054</v>
      </c>
      <c r="AM36" s="4">
        <v>0.00452126143253111</v>
      </c>
      <c r="AN36" s="4">
        <v>0.00234420937136986</v>
      </c>
      <c r="AO36" s="4">
        <v>0.00304716486857703</v>
      </c>
    </row>
    <row r="37" ht="14" spans="1:41">
      <c r="A37" s="22" t="s">
        <v>107</v>
      </c>
      <c r="B37" s="4">
        <v>0.00214646096897581</v>
      </c>
      <c r="C37" s="4">
        <v>0.00124780252244514</v>
      </c>
      <c r="D37" s="4">
        <v>0.000866827394801123</v>
      </c>
      <c r="E37" s="4">
        <v>0.00237567950126364</v>
      </c>
      <c r="F37" s="4">
        <v>0.00183509777343079</v>
      </c>
      <c r="G37" s="4">
        <v>0.00210184106183054</v>
      </c>
      <c r="H37" s="4">
        <v>0.00264605036214451</v>
      </c>
      <c r="I37" s="4">
        <v>0.00269271479249246</v>
      </c>
      <c r="J37" s="4">
        <v>0.00227283960441459</v>
      </c>
      <c r="K37" s="4">
        <v>0.00246901764148477</v>
      </c>
      <c r="L37" s="4">
        <v>0.000555554090969317</v>
      </c>
      <c r="M37" s="4">
        <v>0.000930872731551698</v>
      </c>
      <c r="N37" s="4">
        <v>0.00240783065329705</v>
      </c>
      <c r="O37" s="4">
        <v>0.00230555496226673</v>
      </c>
      <c r="P37" s="4">
        <v>0.00336873807409822</v>
      </c>
      <c r="Q37" s="4">
        <v>0.00142548196184045</v>
      </c>
      <c r="R37" s="4">
        <v>0.00413330795733172</v>
      </c>
      <c r="S37" s="4">
        <v>0.00168379737718647</v>
      </c>
      <c r="T37" s="4">
        <v>0.00296769259956209</v>
      </c>
      <c r="U37" s="4">
        <v>0.00579958334940405</v>
      </c>
      <c r="V37" s="4">
        <v>0.0027483934558051</v>
      </c>
      <c r="W37" s="4">
        <v>0.00284391686547224</v>
      </c>
      <c r="X37" s="4">
        <v>0.00311877443078412</v>
      </c>
      <c r="Y37" s="4">
        <v>0.00459580782482392</v>
      </c>
      <c r="Z37" s="4">
        <v>0.00179178181243309</v>
      </c>
      <c r="AA37" s="4">
        <v>0.00270199252619999</v>
      </c>
      <c r="AB37" s="4">
        <v>0.00166213797647373</v>
      </c>
      <c r="AC37" s="4">
        <v>0.00579928886936737</v>
      </c>
      <c r="AD37" s="4">
        <v>0.00129574869556808</v>
      </c>
      <c r="AE37" s="4">
        <v>0.00292423650174272</v>
      </c>
      <c r="AF37" s="4">
        <v>0.00135820789795633</v>
      </c>
      <c r="AG37" s="4">
        <v>0.00334446642293642</v>
      </c>
      <c r="AH37" s="4">
        <v>0.00296548209720435</v>
      </c>
      <c r="AI37" s="4">
        <v>0.00409102784628232</v>
      </c>
      <c r="AJ37" s="4">
        <v>0.0203973447557975</v>
      </c>
      <c r="AK37" s="4">
        <v>0.00279021485154861</v>
      </c>
      <c r="AL37" s="4">
        <v>0.00365464214032534</v>
      </c>
      <c r="AM37" s="4">
        <v>0.00507393763180681</v>
      </c>
      <c r="AN37" s="4">
        <v>0.00263076407408031</v>
      </c>
      <c r="AO37" s="4">
        <v>0.00341964841620254</v>
      </c>
    </row>
    <row r="38" ht="14" spans="1:41">
      <c r="A38" s="22" t="s">
        <v>110</v>
      </c>
      <c r="B38" s="4">
        <v>0.00130449584886449</v>
      </c>
      <c r="C38" s="4">
        <v>0.000758342795074913</v>
      </c>
      <c r="D38" s="4">
        <v>0.000526807966482444</v>
      </c>
      <c r="E38" s="4">
        <v>0.00144380172405818</v>
      </c>
      <c r="F38" s="4">
        <v>0.00111526715943182</v>
      </c>
      <c r="G38" s="4">
        <v>0.0012773784288466</v>
      </c>
      <c r="H38" s="4">
        <v>0.00160811762393747</v>
      </c>
      <c r="I38" s="4">
        <v>0.00163647758787735</v>
      </c>
      <c r="J38" s="4">
        <v>0.00138130153398892</v>
      </c>
      <c r="K38" s="4">
        <v>0.00150052729150109</v>
      </c>
      <c r="L38" s="4">
        <v>0.000337633908076586</v>
      </c>
      <c r="M38" s="4">
        <v>0.000565731048307742</v>
      </c>
      <c r="N38" s="4">
        <v>0.00146334134996799</v>
      </c>
      <c r="O38" s="4">
        <v>0.00140118405183065</v>
      </c>
      <c r="P38" s="4">
        <v>0.00204732575951275</v>
      </c>
      <c r="Q38" s="4">
        <v>0.000866326166060852</v>
      </c>
      <c r="R38" s="4">
        <v>0.00251198747629245</v>
      </c>
      <c r="S38" s="4">
        <v>0.00102331545768416</v>
      </c>
      <c r="T38" s="4">
        <v>0.00180359332538054</v>
      </c>
      <c r="U38" s="4">
        <v>0.00352465407654307</v>
      </c>
      <c r="V38" s="4">
        <v>0.00167031588552705</v>
      </c>
      <c r="W38" s="4">
        <v>0.00172836953438497</v>
      </c>
      <c r="X38" s="4">
        <v>0.00189541219584526</v>
      </c>
      <c r="Y38" s="4">
        <v>0.00279306836523674</v>
      </c>
      <c r="Z38" s="4">
        <v>0.00108894220308378</v>
      </c>
      <c r="AA38" s="4">
        <v>0.00164211606222339</v>
      </c>
      <c r="AB38" s="4">
        <v>0.0010101521163856</v>
      </c>
      <c r="AC38" s="4">
        <v>0.00352447510846913</v>
      </c>
      <c r="AD38" s="4">
        <v>0.000787481728748444</v>
      </c>
      <c r="AE38" s="4">
        <v>0.00177718320191099</v>
      </c>
      <c r="AF38" s="4">
        <v>0.000825440849094221</v>
      </c>
      <c r="AG38" s="4">
        <v>0.00203257484223856</v>
      </c>
      <c r="AH38" s="4">
        <v>0.0018022499088492</v>
      </c>
      <c r="AI38" s="4">
        <v>0.00248629205012321</v>
      </c>
      <c r="AJ38" s="4">
        <v>0.00279021485154861</v>
      </c>
      <c r="AK38" s="4">
        <v>0.00688201182347131</v>
      </c>
      <c r="AL38" s="4">
        <v>0.0022210818505656</v>
      </c>
      <c r="AM38" s="4">
        <v>0.00308364823481861</v>
      </c>
      <c r="AN38" s="4">
        <v>0.00159882749492393</v>
      </c>
      <c r="AO38" s="4">
        <v>0.00207826614505866</v>
      </c>
    </row>
    <row r="39" ht="14" spans="1:41">
      <c r="A39" s="22" t="s">
        <v>114</v>
      </c>
      <c r="B39" s="4">
        <v>0.00170863741854632</v>
      </c>
      <c r="C39" s="4">
        <v>0.000993282482943803</v>
      </c>
      <c r="D39" s="4">
        <v>0.00069001661040449</v>
      </c>
      <c r="E39" s="4">
        <v>0.00189110118888831</v>
      </c>
      <c r="F39" s="4">
        <v>0.00146078441103498</v>
      </c>
      <c r="G39" s="4">
        <v>0.00167311883979628</v>
      </c>
      <c r="H39" s="4">
        <v>0.00210632325742939</v>
      </c>
      <c r="I39" s="4">
        <v>0.00214346932854835</v>
      </c>
      <c r="J39" s="4">
        <v>0.0018092380204378</v>
      </c>
      <c r="K39" s="4">
        <v>0.00196540071786389</v>
      </c>
      <c r="L39" s="4">
        <v>0.000442235158978734</v>
      </c>
      <c r="M39" s="4">
        <v>0.000740998324228826</v>
      </c>
      <c r="N39" s="4">
        <v>0.00191669432205387</v>
      </c>
      <c r="O39" s="4">
        <v>0.00183528027575724</v>
      </c>
      <c r="P39" s="4">
        <v>0.00268160102134648</v>
      </c>
      <c r="Q39" s="4">
        <v>0.00113471982703957</v>
      </c>
      <c r="R39" s="4">
        <v>0.00329021805676814</v>
      </c>
      <c r="S39" s="4">
        <v>0.00134034545491117</v>
      </c>
      <c r="T39" s="4">
        <v>0.00236235864320156</v>
      </c>
      <c r="U39" s="4">
        <v>0.00461661556673834</v>
      </c>
      <c r="V39" s="4">
        <v>0.00218779095793069</v>
      </c>
      <c r="W39" s="4">
        <v>0.00226383001685767</v>
      </c>
      <c r="X39" s="4">
        <v>0.00248262361601941</v>
      </c>
      <c r="Y39" s="4">
        <v>0.00365837969170667</v>
      </c>
      <c r="Z39" s="4">
        <v>0.00142630380651866</v>
      </c>
      <c r="AA39" s="4">
        <v>0.00215085464009191</v>
      </c>
      <c r="AB39" s="4">
        <v>0.00132310402212671</v>
      </c>
      <c r="AC39" s="4">
        <v>0.00461638115315386</v>
      </c>
      <c r="AD39" s="4">
        <v>0.0010314488538483</v>
      </c>
      <c r="AE39" s="4">
        <v>0.00232776648621786</v>
      </c>
      <c r="AF39" s="4">
        <v>0.0010811679644567</v>
      </c>
      <c r="AG39" s="4">
        <v>0.0026622801708934</v>
      </c>
      <c r="AH39" s="4">
        <v>0.00236059902721188</v>
      </c>
      <c r="AI39" s="4">
        <v>0.0032565620151054</v>
      </c>
      <c r="AJ39" s="4">
        <v>0.00365464214032534</v>
      </c>
      <c r="AK39" s="4">
        <v>0.0022210818505656</v>
      </c>
      <c r="AL39" s="4">
        <v>0.00629236004747473</v>
      </c>
      <c r="AM39" s="4">
        <v>0.00403898315524094</v>
      </c>
      <c r="AN39" s="4">
        <v>0.00209415498409263</v>
      </c>
      <c r="AO39" s="4">
        <v>0.00272212694600466</v>
      </c>
    </row>
    <row r="40" ht="14" spans="1:41">
      <c r="A40" s="22" t="s">
        <v>127</v>
      </c>
      <c r="B40" s="4">
        <v>0.0023721938740365</v>
      </c>
      <c r="C40" s="4">
        <v>0.00137902787077654</v>
      </c>
      <c r="D40" s="4">
        <v>0.00095798743397389</v>
      </c>
      <c r="E40" s="4">
        <v>0.00262551820928788</v>
      </c>
      <c r="F40" s="4">
        <v>0.00202808611910968</v>
      </c>
      <c r="G40" s="4">
        <v>0.00232288150734549</v>
      </c>
      <c r="H40" s="4">
        <v>0.00292432266423477</v>
      </c>
      <c r="I40" s="4">
        <v>0.00297589456673232</v>
      </c>
      <c r="J40" s="4">
        <v>0.00251186313852819</v>
      </c>
      <c r="K40" s="4">
        <v>0.00272867226969094</v>
      </c>
      <c r="L40" s="4">
        <v>0.000613979024236423</v>
      </c>
      <c r="M40" s="4">
        <v>0.00102876810862683</v>
      </c>
      <c r="N40" s="4">
        <v>0.00266105054227658</v>
      </c>
      <c r="O40" s="4">
        <v>0.00254801901212918</v>
      </c>
      <c r="P40" s="4">
        <v>0.00372301194296694</v>
      </c>
      <c r="Q40" s="4">
        <v>0.00157539299633338</v>
      </c>
      <c r="R40" s="4">
        <v>0.00456798793810219</v>
      </c>
      <c r="S40" s="4">
        <v>0.00186087419292156</v>
      </c>
      <c r="T40" s="4">
        <v>0.00327979045808776</v>
      </c>
      <c r="U40" s="4">
        <v>0.00640949744359197</v>
      </c>
      <c r="V40" s="4">
        <v>0.00303742868542063</v>
      </c>
      <c r="W40" s="4">
        <v>0.00314299782947433</v>
      </c>
      <c r="X40" s="4">
        <v>0.00344676083382868</v>
      </c>
      <c r="Y40" s="4">
        <v>0.00507912667682857</v>
      </c>
      <c r="Z40" s="4">
        <v>0.00198021482826772</v>
      </c>
      <c r="AA40" s="4">
        <v>0.00298614799476294</v>
      </c>
      <c r="AB40" s="4">
        <v>0.00183693697792967</v>
      </c>
      <c r="AC40" s="4">
        <v>0.00640917199451597</v>
      </c>
      <c r="AD40" s="4">
        <v>0.0014320163107294</v>
      </c>
      <c r="AE40" s="4">
        <v>0.00323176429291326</v>
      </c>
      <c r="AF40" s="4">
        <v>0.00150104404495059</v>
      </c>
      <c r="AG40" s="4">
        <v>0.00369618775979708</v>
      </c>
      <c r="AH40" s="4">
        <v>0.00327734748790224</v>
      </c>
      <c r="AI40" s="4">
        <v>0.00452126143253111</v>
      </c>
      <c r="AJ40" s="4">
        <v>0.00507393763180681</v>
      </c>
      <c r="AK40" s="4">
        <v>0.00308364823481861</v>
      </c>
      <c r="AL40" s="4">
        <v>0.00403898315524094</v>
      </c>
      <c r="AM40" s="4">
        <v>0.0288543441698787</v>
      </c>
      <c r="AN40" s="4">
        <v>0.00290742879128446</v>
      </c>
      <c r="AO40" s="4">
        <v>0.00377927627919784</v>
      </c>
    </row>
    <row r="41" ht="14" spans="1:41">
      <c r="A41" s="22" t="s">
        <v>128</v>
      </c>
      <c r="B41" s="4">
        <v>0.00122994858696092</v>
      </c>
      <c r="C41" s="4">
        <v>0.000715006222554316</v>
      </c>
      <c r="D41" s="4">
        <v>0.000496702779498187</v>
      </c>
      <c r="E41" s="4">
        <v>0.00136129363071785</v>
      </c>
      <c r="F41" s="4">
        <v>0.00105153363885452</v>
      </c>
      <c r="G41" s="4">
        <v>0.00120438083029687</v>
      </c>
      <c r="H41" s="4">
        <v>0.00151621946589598</v>
      </c>
      <c r="I41" s="4">
        <v>0.00154295875955068</v>
      </c>
      <c r="J41" s="4">
        <v>0.00130236510248421</v>
      </c>
      <c r="K41" s="4">
        <v>0.00141477753530957</v>
      </c>
      <c r="L41" s="4">
        <v>0.000318339340451231</v>
      </c>
      <c r="M41" s="4">
        <v>0.000533401546713783</v>
      </c>
      <c r="N41" s="4">
        <v>0.00137971663704511</v>
      </c>
      <c r="O41" s="4">
        <v>0.00132111140569855</v>
      </c>
      <c r="P41" s="4">
        <v>0.0019303284308289</v>
      </c>
      <c r="Q41" s="4">
        <v>0.000816818730946</v>
      </c>
      <c r="R41" s="4">
        <v>0.00236843639603668</v>
      </c>
      <c r="S41" s="4">
        <v>0.000964836647268354</v>
      </c>
      <c r="T41" s="4">
        <v>0.0017005244316683</v>
      </c>
      <c r="U41" s="4">
        <v>0.00332323272990387</v>
      </c>
      <c r="V41" s="4">
        <v>0.00157486331978032</v>
      </c>
      <c r="W41" s="4">
        <v>0.00162959941069458</v>
      </c>
      <c r="X41" s="4">
        <v>0.00178709618280322</v>
      </c>
      <c r="Y41" s="4">
        <v>0.00263345451968934</v>
      </c>
      <c r="Z41" s="4">
        <v>0.0010267130594021</v>
      </c>
      <c r="AA41" s="4">
        <v>0.00154827501529849</v>
      </c>
      <c r="AB41" s="4">
        <v>0.000952425543742085</v>
      </c>
      <c r="AC41" s="4">
        <v>0.00332306398921385</v>
      </c>
      <c r="AD41" s="4">
        <v>0.000742479970614537</v>
      </c>
      <c r="AE41" s="4">
        <v>0.0016756235520901</v>
      </c>
      <c r="AF41" s="4">
        <v>0.000778269863293926</v>
      </c>
      <c r="AG41" s="4">
        <v>0.00191642047560346</v>
      </c>
      <c r="AH41" s="4">
        <v>0.00169925778657636</v>
      </c>
      <c r="AI41" s="4">
        <v>0.00234420937136986</v>
      </c>
      <c r="AJ41" s="4">
        <v>0.00263076407408031</v>
      </c>
      <c r="AK41" s="4">
        <v>0.00159882749492393</v>
      </c>
      <c r="AL41" s="4">
        <v>0.00209415498409263</v>
      </c>
      <c r="AM41" s="4">
        <v>0.00290742879128446</v>
      </c>
      <c r="AN41" s="4">
        <v>0.00560074218683889</v>
      </c>
      <c r="AO41" s="4">
        <v>0.00195950068424415</v>
      </c>
    </row>
    <row r="42" ht="14" spans="1:41">
      <c r="A42" s="22" t="s">
        <v>130</v>
      </c>
      <c r="B42" s="4">
        <v>0.00159877192289918</v>
      </c>
      <c r="C42" s="4">
        <v>0.000929414355556609</v>
      </c>
      <c r="D42" s="4">
        <v>0.000645648498080609</v>
      </c>
      <c r="E42" s="4">
        <v>0.00176950326110041</v>
      </c>
      <c r="F42" s="4">
        <v>0.00136685587967429</v>
      </c>
      <c r="G42" s="4">
        <v>0.00156553719104181</v>
      </c>
      <c r="H42" s="4">
        <v>0.00197088653682458</v>
      </c>
      <c r="I42" s="4">
        <v>0.00200564411318712</v>
      </c>
      <c r="J42" s="4">
        <v>0.001692903899634</v>
      </c>
      <c r="K42" s="4">
        <v>0.00183902532559543</v>
      </c>
      <c r="L42" s="4">
        <v>0.00041379940988041</v>
      </c>
      <c r="M42" s="4">
        <v>0.000693352084434802</v>
      </c>
      <c r="N42" s="4">
        <v>0.00179345075416124</v>
      </c>
      <c r="O42" s="4">
        <v>0.00171727163626541</v>
      </c>
      <c r="P42" s="4">
        <v>0.00250917390360914</v>
      </c>
      <c r="Q42" s="4">
        <v>0.0010617572693517</v>
      </c>
      <c r="R42" s="4">
        <v>0.00307865682460132</v>
      </c>
      <c r="S42" s="4">
        <v>0.0012541611561572</v>
      </c>
      <c r="T42" s="4">
        <v>0.00221045883086311</v>
      </c>
      <c r="U42" s="4">
        <v>0.00431976688957222</v>
      </c>
      <c r="V42" s="4">
        <v>0.00204711585895628</v>
      </c>
      <c r="W42" s="4">
        <v>0.00211826560151521</v>
      </c>
      <c r="X42" s="4">
        <v>0.00232299075821198</v>
      </c>
      <c r="Y42" s="4">
        <v>0.00342314564279023</v>
      </c>
      <c r="Z42" s="4">
        <v>0.00133459238024082</v>
      </c>
      <c r="AA42" s="4">
        <v>0.00201255454872455</v>
      </c>
      <c r="AB42" s="4">
        <v>0.00123802834860708</v>
      </c>
      <c r="AC42" s="4">
        <v>0.00431954754879626</v>
      </c>
      <c r="AD42" s="4">
        <v>0.000965126626363001</v>
      </c>
      <c r="AE42" s="4">
        <v>0.00217809095179307</v>
      </c>
      <c r="AF42" s="4">
        <v>0.00101164879496906</v>
      </c>
      <c r="AG42" s="4">
        <v>0.00249109538507992</v>
      </c>
      <c r="AH42" s="4">
        <v>0.00220881235829447</v>
      </c>
      <c r="AI42" s="4">
        <v>0.00304716486857703</v>
      </c>
      <c r="AJ42" s="4">
        <v>0.00341964841620254</v>
      </c>
      <c r="AK42" s="4">
        <v>0.00207826614505866</v>
      </c>
      <c r="AL42" s="4">
        <v>0.00272212694600466</v>
      </c>
      <c r="AM42" s="4">
        <v>0.00377927627919784</v>
      </c>
      <c r="AN42" s="4">
        <v>0.00195950068424415</v>
      </c>
      <c r="AO42" s="4">
        <v>0.00963337352595042</v>
      </c>
    </row>
  </sheetData>
  <conditionalFormatting sqref="B2:AO2">
    <cfRule type="duplicateValues" dxfId="0" priority="2"/>
    <cfRule type="duplicateValues" dxfId="0" priority="1"/>
    <cfRule type="duplicateValues" dxfId="0" priority="3"/>
  </conditionalFormatting>
  <conditionalFormatting sqref="A3:A42">
    <cfRule type="duplicateValues" dxfId="0" priority="5"/>
    <cfRule type="duplicateValues" dxfId="0" priority="4"/>
    <cfRule type="duplicateValues" dxfId="0" priority="6"/>
  </conditionalFormatting>
  <pageMargins left="0.699305555555556" right="0.699305555555556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O44"/>
  <sheetViews>
    <sheetView zoomScale="50" zoomScaleNormal="50" topLeftCell="J1" workbookViewId="0">
      <selection activeCell="L29" sqref="L29"/>
    </sheetView>
  </sheetViews>
  <sheetFormatPr defaultColWidth="11" defaultRowHeight="13.2"/>
  <cols>
    <col min="2" max="41" width="11.6640625" customWidth="1"/>
  </cols>
  <sheetData>
    <row r="1" ht="25.2" spans="1:1">
      <c r="A1" s="26" t="s">
        <v>142</v>
      </c>
    </row>
    <row r="2" ht="13" customHeight="1" spans="1:1">
      <c r="A2" s="26"/>
    </row>
    <row r="3" ht="14" spans="1:2">
      <c r="A3" s="28" t="s">
        <v>143</v>
      </c>
      <c r="B3" s="4">
        <f>'Correlation Matrix(Selected)'!B91</f>
        <v>0.229921590109266</v>
      </c>
    </row>
    <row r="4" ht="14" spans="2:41">
      <c r="B4" s="22" t="s">
        <v>2</v>
      </c>
      <c r="C4" s="22" t="s">
        <v>6</v>
      </c>
      <c r="D4" s="22" t="s">
        <v>4</v>
      </c>
      <c r="E4" s="22" t="s">
        <v>5</v>
      </c>
      <c r="F4" s="22" t="s">
        <v>7</v>
      </c>
      <c r="G4" s="22" t="s">
        <v>9</v>
      </c>
      <c r="H4" s="22" t="s">
        <v>10</v>
      </c>
      <c r="I4" s="22" t="s">
        <v>11</v>
      </c>
      <c r="J4" s="22" t="s">
        <v>16</v>
      </c>
      <c r="K4" s="22" t="s">
        <v>17</v>
      </c>
      <c r="L4" s="22" t="s">
        <v>19</v>
      </c>
      <c r="M4" s="22" t="s">
        <v>28</v>
      </c>
      <c r="N4" s="22" t="s">
        <v>30</v>
      </c>
      <c r="O4" s="22" t="s">
        <v>32</v>
      </c>
      <c r="P4" s="22" t="s">
        <v>34</v>
      </c>
      <c r="Q4" s="22" t="s">
        <v>37</v>
      </c>
      <c r="R4" s="22" t="s">
        <v>39</v>
      </c>
      <c r="S4" s="22" t="s">
        <v>40</v>
      </c>
      <c r="T4" s="22" t="s">
        <v>41</v>
      </c>
      <c r="U4" s="22" t="s">
        <v>44</v>
      </c>
      <c r="V4" s="22" t="s">
        <v>49</v>
      </c>
      <c r="W4" s="22" t="s">
        <v>53</v>
      </c>
      <c r="X4" s="22" t="s">
        <v>57</v>
      </c>
      <c r="Y4" s="22" t="s">
        <v>61</v>
      </c>
      <c r="Z4" s="22" t="s">
        <v>63</v>
      </c>
      <c r="AA4" s="22" t="s">
        <v>66</v>
      </c>
      <c r="AB4" s="22" t="s">
        <v>74</v>
      </c>
      <c r="AC4" s="22" t="s">
        <v>75</v>
      </c>
      <c r="AD4" s="22" t="s">
        <v>78</v>
      </c>
      <c r="AE4" s="22" t="s">
        <v>81</v>
      </c>
      <c r="AF4" s="22" t="s">
        <v>82</v>
      </c>
      <c r="AG4" s="22" t="s">
        <v>89</v>
      </c>
      <c r="AH4" s="22" t="s">
        <v>97</v>
      </c>
      <c r="AI4" s="22" t="s">
        <v>101</v>
      </c>
      <c r="AJ4" s="22" t="s">
        <v>107</v>
      </c>
      <c r="AK4" s="22" t="s">
        <v>110</v>
      </c>
      <c r="AL4" s="22" t="s">
        <v>114</v>
      </c>
      <c r="AM4" s="22" t="s">
        <v>127</v>
      </c>
      <c r="AN4" s="22" t="s">
        <v>128</v>
      </c>
      <c r="AO4" s="22" t="s">
        <v>130</v>
      </c>
    </row>
    <row r="5" ht="14" spans="1:41">
      <c r="A5" s="22" t="s">
        <v>2</v>
      </c>
      <c r="B5" s="4">
        <f t="array" ref="B5:AO44">constantcorr(Data!B132:AO189,'Constant Correlation Model'!B3)</f>
        <v>0.00239956142449895</v>
      </c>
      <c r="C5" s="4">
        <v>0.000565835044193521</v>
      </c>
      <c r="D5" s="4">
        <v>0.000781712251116728</v>
      </c>
      <c r="E5" s="4">
        <v>0.000943146023281653</v>
      </c>
      <c r="F5" s="4">
        <v>0.000732778117237262</v>
      </c>
      <c r="G5" s="4">
        <v>0.000646044829615005</v>
      </c>
      <c r="H5" s="4">
        <v>0.00106634729908324</v>
      </c>
      <c r="I5" s="4">
        <v>0.000833244431141407</v>
      </c>
      <c r="J5" s="4">
        <v>0.000676168416484725</v>
      </c>
      <c r="K5" s="4">
        <v>0.000904362159587239</v>
      </c>
      <c r="L5" s="4">
        <v>0.0010658272618545</v>
      </c>
      <c r="M5" s="4">
        <v>0.000782897084464316</v>
      </c>
      <c r="N5" s="4">
        <v>0.000541296839934577</v>
      </c>
      <c r="O5" s="4">
        <v>0.000629214329617</v>
      </c>
      <c r="P5" s="4">
        <v>0.00109003332653185</v>
      </c>
      <c r="Q5" s="4">
        <v>0.00150773306810764</v>
      </c>
      <c r="R5" s="4">
        <v>0.00134675775781056</v>
      </c>
      <c r="S5" s="4">
        <v>0.000830249407072027</v>
      </c>
      <c r="T5" s="4">
        <v>0.000805588179412397</v>
      </c>
      <c r="U5" s="4">
        <v>0.00174504477036359</v>
      </c>
      <c r="V5" s="4">
        <v>0.000924144643969239</v>
      </c>
      <c r="W5" s="4">
        <v>0.00084957511455986</v>
      </c>
      <c r="X5" s="4">
        <v>0.000924096257212406</v>
      </c>
      <c r="Y5" s="4">
        <v>0.0017880221046026</v>
      </c>
      <c r="Z5" s="4">
        <v>0.000552274337045556</v>
      </c>
      <c r="AA5" s="4">
        <v>0.000756741285996311</v>
      </c>
      <c r="AB5" s="4">
        <v>0.000890670398983421</v>
      </c>
      <c r="AC5" s="4">
        <v>0.00201794966320485</v>
      </c>
      <c r="AD5" s="4">
        <v>0.000494020268457925</v>
      </c>
      <c r="AE5" s="4">
        <v>0.000855961174844864</v>
      </c>
      <c r="AF5" s="4">
        <v>0.000556136013074577</v>
      </c>
      <c r="AG5" s="4">
        <v>0.00111107373117606</v>
      </c>
      <c r="AH5" s="4">
        <v>0.00140851892395762</v>
      </c>
      <c r="AI5" s="4">
        <v>0.00107895272234491</v>
      </c>
      <c r="AJ5" s="4">
        <v>0.00160854238237448</v>
      </c>
      <c r="AK5" s="4">
        <v>0.000934336677193793</v>
      </c>
      <c r="AL5" s="4">
        <v>0.000893413421695673</v>
      </c>
      <c r="AM5" s="4">
        <v>0.00191316000797841</v>
      </c>
      <c r="AN5" s="4">
        <v>0.000842885302329611</v>
      </c>
      <c r="AO5" s="4">
        <v>0.00110543927401866</v>
      </c>
    </row>
    <row r="6" ht="14" spans="1:41">
      <c r="A6" s="22" t="s">
        <v>6</v>
      </c>
      <c r="B6" s="4">
        <v>0.000565835044193521</v>
      </c>
      <c r="C6" s="4">
        <v>0.00252399390893863</v>
      </c>
      <c r="D6" s="4">
        <v>0.000801724460027395</v>
      </c>
      <c r="E6" s="4">
        <v>0.000967291014260386</v>
      </c>
      <c r="F6" s="4">
        <v>0.000751537588828463</v>
      </c>
      <c r="G6" s="4">
        <v>0.000662583887404418</v>
      </c>
      <c r="H6" s="4">
        <v>0.00109364630186859</v>
      </c>
      <c r="I6" s="4">
        <v>0.000854575888600121</v>
      </c>
      <c r="J6" s="4">
        <v>0.000693478652559645</v>
      </c>
      <c r="K6" s="4">
        <v>0.000927514265036152</v>
      </c>
      <c r="L6" s="4">
        <v>0.00109311295143713</v>
      </c>
      <c r="M6" s="4">
        <v>0.000802939625677493</v>
      </c>
      <c r="N6" s="4">
        <v>0.00055515429890107</v>
      </c>
      <c r="O6" s="4">
        <v>0.000645322518526529</v>
      </c>
      <c r="P6" s="4">
        <v>0.001117938702991</v>
      </c>
      <c r="Q6" s="4">
        <v>0.00154633175847917</v>
      </c>
      <c r="R6" s="4">
        <v>0.00138123540295795</v>
      </c>
      <c r="S6" s="4">
        <v>0.000851504190476723</v>
      </c>
      <c r="T6" s="4">
        <v>0.000826211623549718</v>
      </c>
      <c r="U6" s="4">
        <v>0.00178971875424077</v>
      </c>
      <c r="V6" s="4">
        <v>0.000947803190515448</v>
      </c>
      <c r="W6" s="4">
        <v>0.000871324645354072</v>
      </c>
      <c r="X6" s="4">
        <v>0.000947753565034411</v>
      </c>
      <c r="Y6" s="4">
        <v>0.00183379632886873</v>
      </c>
      <c r="Z6" s="4">
        <v>0.000566412825208134</v>
      </c>
      <c r="AA6" s="4">
        <v>0.00077611422621191</v>
      </c>
      <c r="AB6" s="4">
        <v>0.000913471988787778</v>
      </c>
      <c r="AC6" s="4">
        <v>0.00206961014335413</v>
      </c>
      <c r="AD6" s="4">
        <v>0.000506667424498221</v>
      </c>
      <c r="AE6" s="4">
        <v>0.000877874191848173</v>
      </c>
      <c r="AF6" s="4">
        <v>0.0005703733619974</v>
      </c>
      <c r="AG6" s="4">
        <v>0.00113951775209512</v>
      </c>
      <c r="AH6" s="4">
        <v>0.00144457768460848</v>
      </c>
      <c r="AI6" s="4">
        <v>0.00110657443001734</v>
      </c>
      <c r="AJ6" s="4">
        <v>0.00164972183958748</v>
      </c>
      <c r="AK6" s="4">
        <v>0.000958256144683511</v>
      </c>
      <c r="AL6" s="4">
        <v>0.000916285234198325</v>
      </c>
      <c r="AM6" s="4">
        <v>0.0019621378226468</v>
      </c>
      <c r="AN6" s="4">
        <v>0.000864463570719103</v>
      </c>
      <c r="AO6" s="4">
        <v>0.00113373905012952</v>
      </c>
    </row>
    <row r="7" ht="14" spans="1:41">
      <c r="A7" s="22" t="s">
        <v>4</v>
      </c>
      <c r="B7" s="4">
        <v>0.000781712251116728</v>
      </c>
      <c r="C7" s="4">
        <v>0.000801724460027395</v>
      </c>
      <c r="D7" s="4">
        <v>0.00481728628300211</v>
      </c>
      <c r="E7" s="4">
        <v>0.00133633157578671</v>
      </c>
      <c r="F7" s="4">
        <v>0.00103826397178929</v>
      </c>
      <c r="G7" s="4">
        <v>0.000915372682359766</v>
      </c>
      <c r="H7" s="4">
        <v>0.00151089389272043</v>
      </c>
      <c r="I7" s="4">
        <v>0.00118061341106898</v>
      </c>
      <c r="J7" s="4">
        <v>0.000958054408536052</v>
      </c>
      <c r="K7" s="4">
        <v>0.00128137921379135</v>
      </c>
      <c r="L7" s="4">
        <v>0.00151015705860121</v>
      </c>
      <c r="M7" s="4">
        <v>0.00110927689746361</v>
      </c>
      <c r="N7" s="4">
        <v>0.000766956591261714</v>
      </c>
      <c r="O7" s="4">
        <v>0.000891525761492354</v>
      </c>
      <c r="P7" s="4">
        <v>0.00154445432302833</v>
      </c>
      <c r="Q7" s="4">
        <v>0.00213628776142155</v>
      </c>
      <c r="R7" s="4">
        <v>0.00190820389660967</v>
      </c>
      <c r="S7" s="4">
        <v>0.00117636979965001</v>
      </c>
      <c r="T7" s="4">
        <v>0.00114142762059638</v>
      </c>
      <c r="U7" s="4">
        <v>0.00247253168675232</v>
      </c>
      <c r="V7" s="4">
        <v>0.00130940876369624</v>
      </c>
      <c r="W7" s="4">
        <v>0.00120375214819721</v>
      </c>
      <c r="X7" s="4">
        <v>0.00130934020511739</v>
      </c>
      <c r="Y7" s="4">
        <v>0.00253342572369783</v>
      </c>
      <c r="Z7" s="4">
        <v>0.000782510466961117</v>
      </c>
      <c r="AA7" s="4">
        <v>0.00107221708008656</v>
      </c>
      <c r="AB7" s="4">
        <v>0.00126197953275433</v>
      </c>
      <c r="AC7" s="4">
        <v>0.0028592071500295</v>
      </c>
      <c r="AD7" s="4">
        <v>0.000699971019887131</v>
      </c>
      <c r="AE7" s="4">
        <v>0.00121280047559623</v>
      </c>
      <c r="AF7" s="4">
        <v>0.000787982026492358</v>
      </c>
      <c r="AG7" s="4">
        <v>0.00157426620411495</v>
      </c>
      <c r="AH7" s="4">
        <v>0.001995712505502</v>
      </c>
      <c r="AI7" s="4">
        <v>0.00152875435622757</v>
      </c>
      <c r="AJ7" s="4">
        <v>0.00227912319354208</v>
      </c>
      <c r="AK7" s="4">
        <v>0.00132384972562921</v>
      </c>
      <c r="AL7" s="4">
        <v>0.00126586608666327</v>
      </c>
      <c r="AM7" s="4">
        <v>0.00271073202355052</v>
      </c>
      <c r="AN7" s="4">
        <v>0.00119427343853966</v>
      </c>
      <c r="AO7" s="4">
        <v>0.00156628281360491</v>
      </c>
    </row>
    <row r="8" ht="14" spans="1:41">
      <c r="A8" s="22" t="s">
        <v>5</v>
      </c>
      <c r="B8" s="4">
        <v>0.000943146023281653</v>
      </c>
      <c r="C8" s="4">
        <v>0.000967291014260386</v>
      </c>
      <c r="D8" s="4">
        <v>0.00133633157578671</v>
      </c>
      <c r="E8" s="4">
        <v>0.00701239700500198</v>
      </c>
      <c r="F8" s="4">
        <v>0.00125267901930766</v>
      </c>
      <c r="G8" s="4">
        <v>0.00110440907630007</v>
      </c>
      <c r="H8" s="4">
        <v>0.00182291318126857</v>
      </c>
      <c r="I8" s="4">
        <v>0.00142442547381341</v>
      </c>
      <c r="J8" s="4">
        <v>0.00115590513543494</v>
      </c>
      <c r="K8" s="4">
        <v>0.00154600072862696</v>
      </c>
      <c r="L8" s="4">
        <v>0.00182202418129656</v>
      </c>
      <c r="M8" s="4">
        <v>0.00133835704003159</v>
      </c>
      <c r="N8" s="4">
        <v>0.000925343127275774</v>
      </c>
      <c r="O8" s="4">
        <v>0.00107563745534686</v>
      </c>
      <c r="P8" s="4">
        <v>0.00186340427801075</v>
      </c>
      <c r="Q8" s="4">
        <v>0.00257745903801774</v>
      </c>
      <c r="R8" s="4">
        <v>0.00230227288126411</v>
      </c>
      <c r="S8" s="4">
        <v>0.00141930550130635</v>
      </c>
      <c r="T8" s="4">
        <v>0.00137714730668659</v>
      </c>
      <c r="U8" s="4">
        <v>0.002983141718026</v>
      </c>
      <c r="V8" s="4">
        <v>0.00157981874604886</v>
      </c>
      <c r="W8" s="4">
        <v>0.0014523426618517</v>
      </c>
      <c r="X8" s="4">
        <v>0.00157973602922958</v>
      </c>
      <c r="Y8" s="4">
        <v>0.00305661116756409</v>
      </c>
      <c r="Z8" s="4">
        <v>0.000944109081105399</v>
      </c>
      <c r="AA8" s="4">
        <v>0.00129364388716393</v>
      </c>
      <c r="AB8" s="4">
        <v>0.0015225947605142</v>
      </c>
      <c r="AC8" s="4">
        <v>0.00344967070611526</v>
      </c>
      <c r="AD8" s="4">
        <v>0.000844524162024898</v>
      </c>
      <c r="AE8" s="4">
        <v>0.00146325958683469</v>
      </c>
      <c r="AF8" s="4">
        <v>0.00095071058902045</v>
      </c>
      <c r="AG8" s="4">
        <v>0.00189937270124223</v>
      </c>
      <c r="AH8" s="4">
        <v>0.00240785315886858</v>
      </c>
      <c r="AI8" s="4">
        <v>0.00184446206336254</v>
      </c>
      <c r="AJ8" s="4">
        <v>0.00274979184922255</v>
      </c>
      <c r="AK8" s="4">
        <v>0.00159724195490862</v>
      </c>
      <c r="AL8" s="4">
        <v>0.00152728393847993</v>
      </c>
      <c r="AM8" s="4">
        <v>0.00327053353013415</v>
      </c>
      <c r="AN8" s="4">
        <v>0.00144090647506225</v>
      </c>
      <c r="AO8" s="4">
        <v>0.00188974063650089</v>
      </c>
    </row>
    <row r="9" ht="14" spans="1:41">
      <c r="A9" s="22" t="s">
        <v>7</v>
      </c>
      <c r="B9" s="4">
        <v>0.000732778117237262</v>
      </c>
      <c r="C9" s="4">
        <v>0.000751537588828463</v>
      </c>
      <c r="D9" s="4">
        <v>0.00103826397178929</v>
      </c>
      <c r="E9" s="4">
        <v>0.00125267901930766</v>
      </c>
      <c r="F9" s="4">
        <v>0.00423305199538967</v>
      </c>
      <c r="G9" s="4">
        <v>0.000858071585537747</v>
      </c>
      <c r="H9" s="4">
        <v>0.0014163139703533</v>
      </c>
      <c r="I9" s="4">
        <v>0.00110670860193415</v>
      </c>
      <c r="J9" s="4">
        <v>0.000898081493151725</v>
      </c>
      <c r="K9" s="4">
        <v>0.00120116660114718</v>
      </c>
      <c r="L9" s="4">
        <v>0.00141562326105736</v>
      </c>
      <c r="M9" s="4">
        <v>0.00103983765798344</v>
      </c>
      <c r="N9" s="4">
        <v>0.000718946141811901</v>
      </c>
      <c r="O9" s="4">
        <v>0.000835717449792574</v>
      </c>
      <c r="P9" s="4">
        <v>0.00144777356293301</v>
      </c>
      <c r="Q9" s="4">
        <v>0.00200255902533852</v>
      </c>
      <c r="R9" s="4">
        <v>0.00178875290321328</v>
      </c>
      <c r="S9" s="4">
        <v>0.00110273063487346</v>
      </c>
      <c r="T9" s="4">
        <v>0.00106997578915816</v>
      </c>
      <c r="U9" s="4">
        <v>0.00231775453389599</v>
      </c>
      <c r="V9" s="4">
        <v>0.00122744153898648</v>
      </c>
      <c r="W9" s="4">
        <v>0.00112839888528822</v>
      </c>
      <c r="X9" s="4">
        <v>0.00122737727208231</v>
      </c>
      <c r="Y9" s="4">
        <v>0.00237483668615875</v>
      </c>
      <c r="Z9" s="4">
        <v>0.000733526365845065</v>
      </c>
      <c r="AA9" s="4">
        <v>0.00100509773525111</v>
      </c>
      <c r="AB9" s="4">
        <v>0.00118298131400987</v>
      </c>
      <c r="AC9" s="4">
        <v>0.00268022463406049</v>
      </c>
      <c r="AD9" s="4">
        <v>0.000656153776969458</v>
      </c>
      <c r="AE9" s="4">
        <v>0.00113688079958101</v>
      </c>
      <c r="AF9" s="4">
        <v>0.000738655413120359</v>
      </c>
      <c r="AG9" s="4">
        <v>0.00147571926042304</v>
      </c>
      <c r="AH9" s="4">
        <v>0.00187078359107135</v>
      </c>
      <c r="AI9" s="4">
        <v>0.00143305639290463</v>
      </c>
      <c r="AJ9" s="4">
        <v>0.00213645315182115</v>
      </c>
      <c r="AK9" s="4">
        <v>0.00124097851615579</v>
      </c>
      <c r="AL9" s="4">
        <v>0.00118662457487966</v>
      </c>
      <c r="AM9" s="4">
        <v>0.00254104385048904</v>
      </c>
      <c r="AN9" s="4">
        <v>0.00111951353008651</v>
      </c>
      <c r="AO9" s="4">
        <v>0.00146823561940454</v>
      </c>
    </row>
    <row r="10" ht="14" spans="1:41">
      <c r="A10" s="22" t="s">
        <v>9</v>
      </c>
      <c r="B10" s="4">
        <v>0.000646044829615005</v>
      </c>
      <c r="C10" s="4">
        <v>0.000662583887404418</v>
      </c>
      <c r="D10" s="4">
        <v>0.000915372682359766</v>
      </c>
      <c r="E10" s="4">
        <v>0.00110440907630007</v>
      </c>
      <c r="F10" s="4">
        <v>0.000858071585537747</v>
      </c>
      <c r="G10" s="4">
        <v>0.00329028812457952</v>
      </c>
      <c r="H10" s="4">
        <v>0.00124867582169077</v>
      </c>
      <c r="I10" s="4">
        <v>0.000975716050126677</v>
      </c>
      <c r="J10" s="4">
        <v>0.000791782521305471</v>
      </c>
      <c r="K10" s="4">
        <v>0.00105899378532629</v>
      </c>
      <c r="L10" s="4">
        <v>0.0012480668663209</v>
      </c>
      <c r="M10" s="4">
        <v>0.00091676010347026</v>
      </c>
      <c r="N10" s="4">
        <v>0.000633850038317732</v>
      </c>
      <c r="O10" s="4">
        <v>0.00073680002821743</v>
      </c>
      <c r="P10" s="4">
        <v>0.00127641178521072</v>
      </c>
      <c r="Q10" s="4">
        <v>0.00176553157618368</v>
      </c>
      <c r="R10" s="4">
        <v>0.00157703203383952</v>
      </c>
      <c r="S10" s="4">
        <v>0.000972208924311259</v>
      </c>
      <c r="T10" s="4">
        <v>0.00094333101676813</v>
      </c>
      <c r="U10" s="4">
        <v>0.00204341982616194</v>
      </c>
      <c r="V10" s="4">
        <v>0.00108215876165438</v>
      </c>
      <c r="W10" s="4">
        <v>0.000994839022120736</v>
      </c>
      <c r="X10" s="4">
        <v>0.00108210210152742</v>
      </c>
      <c r="Y10" s="4">
        <v>0.00209374560481877</v>
      </c>
      <c r="Z10" s="4">
        <v>0.000646704513812672</v>
      </c>
      <c r="AA10" s="4">
        <v>0.000886132077148917</v>
      </c>
      <c r="AB10" s="4">
        <v>0.00104296095021051</v>
      </c>
      <c r="AC10" s="4">
        <v>0.00236298713936746</v>
      </c>
      <c r="AD10" s="4">
        <v>0.00057848992085311</v>
      </c>
      <c r="AE10" s="4">
        <v>0.00100231699771143</v>
      </c>
      <c r="AF10" s="4">
        <v>0.00065122647536571</v>
      </c>
      <c r="AG10" s="4">
        <v>0.00130104976627037</v>
      </c>
      <c r="AH10" s="4">
        <v>0.00164935338257229</v>
      </c>
      <c r="AI10" s="4">
        <v>0.0012634365729606</v>
      </c>
      <c r="AJ10" s="4">
        <v>0.00188357768877237</v>
      </c>
      <c r="AK10" s="4">
        <v>0.00109409347136135</v>
      </c>
      <c r="AL10" s="4">
        <v>0.00104617298642243</v>
      </c>
      <c r="AM10" s="4">
        <v>0.00224028011046884</v>
      </c>
      <c r="AN10" s="4">
        <v>0.000987005357806356</v>
      </c>
      <c r="AO10" s="4">
        <v>0.00129445190605462</v>
      </c>
    </row>
    <row r="11" ht="14" spans="1:41">
      <c r="A11" s="22" t="s">
        <v>10</v>
      </c>
      <c r="B11" s="4">
        <v>0.00106634729908324</v>
      </c>
      <c r="C11" s="4">
        <v>0.00109364630186859</v>
      </c>
      <c r="D11" s="4">
        <v>0.00151089389272043</v>
      </c>
      <c r="E11" s="4">
        <v>0.00182291318126857</v>
      </c>
      <c r="F11" s="4">
        <v>0.0014163139703533</v>
      </c>
      <c r="G11" s="4">
        <v>0.00124867582169077</v>
      </c>
      <c r="H11" s="4">
        <v>0.00896408500686384</v>
      </c>
      <c r="I11" s="4">
        <v>0.00161049532018511</v>
      </c>
      <c r="J11" s="4">
        <v>0.00130689870787846</v>
      </c>
      <c r="K11" s="4">
        <v>0.00174795170700706</v>
      </c>
      <c r="L11" s="4">
        <v>0.00206003155039517</v>
      </c>
      <c r="M11" s="4">
        <v>0.00151318393930241</v>
      </c>
      <c r="N11" s="4">
        <v>0.00104621884643317</v>
      </c>
      <c r="O11" s="4">
        <v>0.00121614582152499</v>
      </c>
      <c r="P11" s="4">
        <v>0.00210681704625449</v>
      </c>
      <c r="Q11" s="4">
        <v>0.00291414734923516</v>
      </c>
      <c r="R11" s="4">
        <v>0.00260301417605132</v>
      </c>
      <c r="S11" s="4">
        <v>0.00160470653592529</v>
      </c>
      <c r="T11" s="4">
        <v>0.0015570413007896</v>
      </c>
      <c r="U11" s="4">
        <v>0.00337282354510824</v>
      </c>
      <c r="V11" s="4">
        <v>0.00178618730430377</v>
      </c>
      <c r="W11" s="4">
        <v>0.0016420592745758</v>
      </c>
      <c r="X11" s="4">
        <v>0.00178609378235207</v>
      </c>
      <c r="Y11" s="4">
        <v>0.00345589016167254</v>
      </c>
      <c r="Z11" s="4">
        <v>0.0010674361592214</v>
      </c>
      <c r="AA11" s="4">
        <v>0.00146262999684074</v>
      </c>
      <c r="AB11" s="4">
        <v>0.00172148826416432</v>
      </c>
      <c r="AC11" s="4">
        <v>0.00390029428040546</v>
      </c>
      <c r="AD11" s="4">
        <v>0.000954842661640374</v>
      </c>
      <c r="AE11" s="4">
        <v>0.00165440225560158</v>
      </c>
      <c r="AF11" s="4">
        <v>0.00107490000889188</v>
      </c>
      <c r="AG11" s="4">
        <v>0.0021474839525642</v>
      </c>
      <c r="AH11" s="4">
        <v>0.00272238619383098</v>
      </c>
      <c r="AI11" s="4">
        <v>0.00208540044805001</v>
      </c>
      <c r="AJ11" s="4">
        <v>0.00310899165036709</v>
      </c>
      <c r="AK11" s="4">
        <v>0.00180588647203637</v>
      </c>
      <c r="AL11" s="4">
        <v>0.00172678998005481</v>
      </c>
      <c r="AM11" s="4">
        <v>0.00369775677395635</v>
      </c>
      <c r="AN11" s="4">
        <v>0.00162912920161393</v>
      </c>
      <c r="AO11" s="4">
        <v>0.00213659367049973</v>
      </c>
    </row>
    <row r="12" ht="14" spans="1:41">
      <c r="A12" s="22" t="s">
        <v>11</v>
      </c>
      <c r="B12" s="4">
        <v>0.000833244431141407</v>
      </c>
      <c r="C12" s="4">
        <v>0.000854575888600121</v>
      </c>
      <c r="D12" s="4">
        <v>0.00118061341106898</v>
      </c>
      <c r="E12" s="4">
        <v>0.00142442547381341</v>
      </c>
      <c r="F12" s="4">
        <v>0.00110670860193415</v>
      </c>
      <c r="G12" s="4">
        <v>0.000975716050126677</v>
      </c>
      <c r="H12" s="4">
        <v>0.00161049532018511</v>
      </c>
      <c r="I12" s="4">
        <v>0.00547335301029192</v>
      </c>
      <c r="J12" s="4">
        <v>0.00102121144897336</v>
      </c>
      <c r="K12" s="4">
        <v>0.00136585053201701</v>
      </c>
      <c r="L12" s="4">
        <v>0.0016097099123504</v>
      </c>
      <c r="M12" s="4">
        <v>0.00118240285486757</v>
      </c>
      <c r="N12" s="4">
        <v>0.000817516045940276</v>
      </c>
      <c r="O12" s="4">
        <v>0.000950297088118273</v>
      </c>
      <c r="P12" s="4">
        <v>0.00164626812740518</v>
      </c>
      <c r="Q12" s="4">
        <v>0.00227711651950847</v>
      </c>
      <c r="R12" s="4">
        <v>0.0020339968678512</v>
      </c>
      <c r="S12" s="4">
        <v>0.00125391866779754</v>
      </c>
      <c r="T12" s="4">
        <v>0.00121667302393461</v>
      </c>
      <c r="U12" s="4">
        <v>0.00263552637925768</v>
      </c>
      <c r="V12" s="4">
        <v>0.00139572785111018</v>
      </c>
      <c r="W12" s="4">
        <v>0.00128310612060506</v>
      </c>
      <c r="X12" s="4">
        <v>0.00139565477299997</v>
      </c>
      <c r="Y12" s="4">
        <v>0.00270043468420248</v>
      </c>
      <c r="Z12" s="4">
        <v>0.000834095267118758</v>
      </c>
      <c r="AA12" s="4">
        <v>0.00114289997333484</v>
      </c>
      <c r="AB12" s="4">
        <v>0.00134517198160806</v>
      </c>
      <c r="AC12" s="4">
        <v>0.00304769233415279</v>
      </c>
      <c r="AD12" s="4">
        <v>0.000746114639303805</v>
      </c>
      <c r="AE12" s="4">
        <v>0.00129275093352132</v>
      </c>
      <c r="AF12" s="4">
        <v>0.000839927523812384</v>
      </c>
      <c r="AG12" s="4">
        <v>0.00167804527284686</v>
      </c>
      <c r="AH12" s="4">
        <v>0.00212727423549167</v>
      </c>
      <c r="AI12" s="4">
        <v>0.00162953318448066</v>
      </c>
      <c r="AJ12" s="4">
        <v>0.00242936797548102</v>
      </c>
      <c r="AK12" s="4">
        <v>0.00141112079281447</v>
      </c>
      <c r="AL12" s="4">
        <v>0.00134931474564473</v>
      </c>
      <c r="AM12" s="4">
        <v>0.00288942940284413</v>
      </c>
      <c r="AN12" s="4">
        <v>0.00127300255369117</v>
      </c>
      <c r="AO12" s="4">
        <v>0.00166953559978671</v>
      </c>
    </row>
    <row r="13" ht="14" spans="1:41">
      <c r="A13" s="22" t="s">
        <v>16</v>
      </c>
      <c r="B13" s="4">
        <v>0.000676168416484725</v>
      </c>
      <c r="C13" s="4">
        <v>0.000693478652559645</v>
      </c>
      <c r="D13" s="4">
        <v>0.000958054408536052</v>
      </c>
      <c r="E13" s="4">
        <v>0.00115590513543494</v>
      </c>
      <c r="F13" s="4">
        <v>0.000898081493151725</v>
      </c>
      <c r="G13" s="4">
        <v>0.000791782521305471</v>
      </c>
      <c r="H13" s="4">
        <v>0.00130689870787846</v>
      </c>
      <c r="I13" s="4">
        <v>0.00102121144897336</v>
      </c>
      <c r="J13" s="4">
        <v>0.00360427883994</v>
      </c>
      <c r="K13" s="4">
        <v>0.00110837223373177</v>
      </c>
      <c r="L13" s="4">
        <v>0.00130626135831806</v>
      </c>
      <c r="M13" s="4">
        <v>0.000959506521906945</v>
      </c>
      <c r="N13" s="4">
        <v>0.000663405010072585</v>
      </c>
      <c r="O13" s="4">
        <v>0.00077115532159366</v>
      </c>
      <c r="P13" s="4">
        <v>0.00133592793568629</v>
      </c>
      <c r="Q13" s="4">
        <v>0.00184785425932952</v>
      </c>
      <c r="R13" s="4">
        <v>0.00165056541618391</v>
      </c>
      <c r="S13" s="4">
        <v>0.0010175407939347</v>
      </c>
      <c r="T13" s="4">
        <v>0.000987316375876182</v>
      </c>
      <c r="U13" s="4">
        <v>0.0021386998002798</v>
      </c>
      <c r="V13" s="4">
        <v>0.00113261733971149</v>
      </c>
      <c r="W13" s="4">
        <v>0.00104122608123875</v>
      </c>
      <c r="X13" s="4">
        <v>0.00113255803765292</v>
      </c>
      <c r="Y13" s="4">
        <v>0.00219137215443057</v>
      </c>
      <c r="Z13" s="4">
        <v>0.000676858860241673</v>
      </c>
      <c r="AA13" s="4">
        <v>0.000927450381050441</v>
      </c>
      <c r="AB13" s="4">
        <v>0.00109159182433129</v>
      </c>
      <c r="AC13" s="4">
        <v>0.00247316780346655</v>
      </c>
      <c r="AD13" s="4">
        <v>0.000605463577455952</v>
      </c>
      <c r="AE13" s="4">
        <v>0.0010490527376593</v>
      </c>
      <c r="AF13" s="4">
        <v>0.000681591670477992</v>
      </c>
      <c r="AG13" s="4">
        <v>0.0013617147292257</v>
      </c>
      <c r="AH13" s="4">
        <v>0.00172625894333406</v>
      </c>
      <c r="AI13" s="4">
        <v>0.00132234771908438</v>
      </c>
      <c r="AJ13" s="4">
        <v>0.00197140459107483</v>
      </c>
      <c r="AK13" s="4">
        <v>0.00114510853752601</v>
      </c>
      <c r="AL13" s="4">
        <v>0.00109495363041586</v>
      </c>
      <c r="AM13" s="4">
        <v>0.00234473922758682</v>
      </c>
      <c r="AN13" s="4">
        <v>0.00103302715114611</v>
      </c>
      <c r="AO13" s="4">
        <v>0.00135480922593898</v>
      </c>
    </row>
    <row r="14" ht="14" spans="1:41">
      <c r="A14" s="22" t="s">
        <v>17</v>
      </c>
      <c r="B14" s="4">
        <v>0.000904362159587239</v>
      </c>
      <c r="C14" s="4">
        <v>0.000927514265036152</v>
      </c>
      <c r="D14" s="4">
        <v>0.00128137921379135</v>
      </c>
      <c r="E14" s="4">
        <v>0.00154600072862696</v>
      </c>
      <c r="F14" s="4">
        <v>0.00120116660114718</v>
      </c>
      <c r="G14" s="4">
        <v>0.00105899378532629</v>
      </c>
      <c r="H14" s="4">
        <v>0.00174795170700706</v>
      </c>
      <c r="I14" s="4">
        <v>0.00136585053201701</v>
      </c>
      <c r="J14" s="4">
        <v>0.00110837223373177</v>
      </c>
      <c r="K14" s="4">
        <v>0.00644753018893236</v>
      </c>
      <c r="L14" s="4">
        <v>0.00174709926431557</v>
      </c>
      <c r="M14" s="4">
        <v>0.00128332138729731</v>
      </c>
      <c r="N14" s="4">
        <v>0.000887291350739672</v>
      </c>
      <c r="O14" s="4">
        <v>0.00103140530526301</v>
      </c>
      <c r="P14" s="4">
        <v>0.0017867777369005</v>
      </c>
      <c r="Q14" s="4">
        <v>0.00247146927870073</v>
      </c>
      <c r="R14" s="4">
        <v>0.00220759927250138</v>
      </c>
      <c r="S14" s="4">
        <v>0.00136094110200382</v>
      </c>
      <c r="T14" s="4">
        <v>0.00132051652830105</v>
      </c>
      <c r="U14" s="4">
        <v>0.00286046955600969</v>
      </c>
      <c r="V14" s="4">
        <v>0.00151485375293417</v>
      </c>
      <c r="W14" s="4">
        <v>0.00139261971498622</v>
      </c>
      <c r="X14" s="4">
        <v>0.00151477443757952</v>
      </c>
      <c r="Y14" s="4">
        <v>0.0029309178094167</v>
      </c>
      <c r="Z14" s="4">
        <v>0.000905285614738181</v>
      </c>
      <c r="AA14" s="4">
        <v>0.00124044691983293</v>
      </c>
      <c r="AB14" s="4">
        <v>0.00145998292078217</v>
      </c>
      <c r="AC14" s="4">
        <v>0.00330781403158774</v>
      </c>
      <c r="AD14" s="4">
        <v>0.000809795806947232</v>
      </c>
      <c r="AE14" s="4">
        <v>0.00140308771634545</v>
      </c>
      <c r="AF14" s="4">
        <v>0.000911615656754172</v>
      </c>
      <c r="AG14" s="4">
        <v>0.00182126707376627</v>
      </c>
      <c r="AH14" s="4">
        <v>0.00230883789887226</v>
      </c>
      <c r="AI14" s="4">
        <v>0.00176861446024583</v>
      </c>
      <c r="AJ14" s="4">
        <v>0.00263671545422575</v>
      </c>
      <c r="AK14" s="4">
        <v>0.00153156048805512</v>
      </c>
      <c r="AL14" s="4">
        <v>0.00146447927130171</v>
      </c>
      <c r="AM14" s="4">
        <v>0.00313604329902509</v>
      </c>
      <c r="AN14" s="4">
        <v>0.00138165380480154</v>
      </c>
      <c r="AO14" s="4">
        <v>0.00181203109688068</v>
      </c>
    </row>
    <row r="15" ht="14" spans="1:41">
      <c r="A15" s="22" t="s">
        <v>19</v>
      </c>
      <c r="B15" s="4">
        <v>0.0010658272618545</v>
      </c>
      <c r="C15" s="4">
        <v>0.00109311295143713</v>
      </c>
      <c r="D15" s="4">
        <v>0.00151015705860121</v>
      </c>
      <c r="E15" s="4">
        <v>0.00182202418129656</v>
      </c>
      <c r="F15" s="4">
        <v>0.00141562326105736</v>
      </c>
      <c r="G15" s="4">
        <v>0.0012480668663209</v>
      </c>
      <c r="H15" s="4">
        <v>0.00206003155039517</v>
      </c>
      <c r="I15" s="4">
        <v>0.0016097099123504</v>
      </c>
      <c r="J15" s="4">
        <v>0.00130626135831806</v>
      </c>
      <c r="K15" s="4">
        <v>0.00174709926431557</v>
      </c>
      <c r="L15" s="4">
        <v>0.00895534391242224</v>
      </c>
      <c r="M15" s="4">
        <v>0.00151244598837117</v>
      </c>
      <c r="N15" s="4">
        <v>0.00104570862546667</v>
      </c>
      <c r="O15" s="4">
        <v>0.00121555273041544</v>
      </c>
      <c r="P15" s="4">
        <v>0.00210578959178525</v>
      </c>
      <c r="Q15" s="4">
        <v>0.00291272617518336</v>
      </c>
      <c r="R15" s="4">
        <v>0.00260174473571077</v>
      </c>
      <c r="S15" s="4">
        <v>0.0016039239511702</v>
      </c>
      <c r="T15" s="4">
        <v>0.0015562819614601</v>
      </c>
      <c r="U15" s="4">
        <v>0.0033711786834286</v>
      </c>
      <c r="V15" s="4">
        <v>0.00178531621484112</v>
      </c>
      <c r="W15" s="4">
        <v>0.00164125847360287</v>
      </c>
      <c r="X15" s="4">
        <v>0.0017852227384983</v>
      </c>
      <c r="Y15" s="4">
        <v>0.00345420478998916</v>
      </c>
      <c r="Z15" s="4">
        <v>0.00106691559097634</v>
      </c>
      <c r="AA15" s="4">
        <v>0.00146191670010253</v>
      </c>
      <c r="AB15" s="4">
        <v>0.0017206487271889</v>
      </c>
      <c r="AC15" s="4">
        <v>0.0038983921813139</v>
      </c>
      <c r="AD15" s="4">
        <v>0.000954377003095474</v>
      </c>
      <c r="AE15" s="4">
        <v>0.00165359543519235</v>
      </c>
      <c r="AF15" s="4">
        <v>0.00107437580066977</v>
      </c>
      <c r="AG15" s="4">
        <v>0.00214643666562079</v>
      </c>
      <c r="AH15" s="4">
        <v>0.00272105853803531</v>
      </c>
      <c r="AI15" s="4">
        <v>0.00208438343804702</v>
      </c>
      <c r="AJ15" s="4">
        <v>0.00310747545446783</v>
      </c>
      <c r="AK15" s="4">
        <v>0.00180500577566554</v>
      </c>
      <c r="AL15" s="4">
        <v>0.00172594785753372</v>
      </c>
      <c r="AM15" s="4">
        <v>0.00369595344854167</v>
      </c>
      <c r="AN15" s="4">
        <v>0.00162833470639083</v>
      </c>
      <c r="AO15" s="4">
        <v>0.00213555169453907</v>
      </c>
    </row>
    <row r="16" ht="14" spans="1:41">
      <c r="A16" s="22" t="s">
        <v>28</v>
      </c>
      <c r="B16" s="4">
        <v>0.000782897084464316</v>
      </c>
      <c r="C16" s="4">
        <v>0.000802939625677493</v>
      </c>
      <c r="D16" s="4">
        <v>0.00110927689746361</v>
      </c>
      <c r="E16" s="4">
        <v>0.00133835704003159</v>
      </c>
      <c r="F16" s="4">
        <v>0.00103983765798344</v>
      </c>
      <c r="G16" s="4">
        <v>0.00091676010347026</v>
      </c>
      <c r="H16" s="4">
        <v>0.00151318393930241</v>
      </c>
      <c r="I16" s="4">
        <v>0.00118240285486757</v>
      </c>
      <c r="J16" s="4">
        <v>0.000959506521906945</v>
      </c>
      <c r="K16" s="4">
        <v>0.00128332138729731</v>
      </c>
      <c r="L16" s="4">
        <v>0.00151244598837117</v>
      </c>
      <c r="M16" s="4">
        <v>0.00483190037396029</v>
      </c>
      <c r="N16" s="4">
        <v>0.000768119059604997</v>
      </c>
      <c r="O16" s="4">
        <v>0.000892877038066236</v>
      </c>
      <c r="P16" s="4">
        <v>0.00154679523681487</v>
      </c>
      <c r="Q16" s="4">
        <v>0.00213952571116094</v>
      </c>
      <c r="R16" s="4">
        <v>0.00191109614194351</v>
      </c>
      <c r="S16" s="4">
        <v>0.00117815281144972</v>
      </c>
      <c r="T16" s="4">
        <v>0.00114315767088894</v>
      </c>
      <c r="U16" s="4">
        <v>0.00247627927800632</v>
      </c>
      <c r="V16" s="4">
        <v>0.00131139342130732</v>
      </c>
      <c r="W16" s="4">
        <v>0.00120557666314549</v>
      </c>
      <c r="X16" s="4">
        <v>0.00131132475881493</v>
      </c>
      <c r="Y16" s="4">
        <v>0.00253726561142735</v>
      </c>
      <c r="Z16" s="4">
        <v>0.000783696510156382</v>
      </c>
      <c r="AA16" s="4">
        <v>0.00107384222866333</v>
      </c>
      <c r="AB16" s="4">
        <v>0.00126389230236009</v>
      </c>
      <c r="AC16" s="4">
        <v>0.00286354082136979</v>
      </c>
      <c r="AD16" s="4">
        <v>0.000701031958877818</v>
      </c>
      <c r="AE16" s="4">
        <v>0.00121463870500277</v>
      </c>
      <c r="AF16" s="4">
        <v>0.000789176362875029</v>
      </c>
      <c r="AG16" s="4">
        <v>0.00157665230346795</v>
      </c>
      <c r="AH16" s="4">
        <v>0.0019987373867487</v>
      </c>
      <c r="AI16" s="4">
        <v>0.00153107147373333</v>
      </c>
      <c r="AJ16" s="4">
        <v>0.00228257763750034</v>
      </c>
      <c r="AK16" s="4">
        <v>0.00132585627126014</v>
      </c>
      <c r="AL16" s="4">
        <v>0.00126778474707945</v>
      </c>
      <c r="AM16" s="4">
        <v>0.00271484065264427</v>
      </c>
      <c r="AN16" s="4">
        <v>0.00119608358670364</v>
      </c>
      <c r="AO16" s="4">
        <v>0.0015686568126137</v>
      </c>
    </row>
    <row r="17" ht="14" spans="1:41">
      <c r="A17" s="22" t="s">
        <v>30</v>
      </c>
      <c r="B17" s="4">
        <v>0.000541296839934577</v>
      </c>
      <c r="C17" s="4">
        <v>0.00055515429890107</v>
      </c>
      <c r="D17" s="4">
        <v>0.000766956591261714</v>
      </c>
      <c r="E17" s="4">
        <v>0.000925343127275774</v>
      </c>
      <c r="F17" s="4">
        <v>0.000718946141811901</v>
      </c>
      <c r="G17" s="4">
        <v>0.000633850038317732</v>
      </c>
      <c r="H17" s="4">
        <v>0.00104621884643317</v>
      </c>
      <c r="I17" s="4">
        <v>0.000817516045940276</v>
      </c>
      <c r="J17" s="4">
        <v>0.000663405010072585</v>
      </c>
      <c r="K17" s="4">
        <v>0.000887291350739672</v>
      </c>
      <c r="L17" s="4">
        <v>0.00104570862546667</v>
      </c>
      <c r="M17" s="4">
        <v>0.000768119059604997</v>
      </c>
      <c r="N17" s="4">
        <v>0.00230982779563246</v>
      </c>
      <c r="O17" s="4">
        <v>0.000617337232116653</v>
      </c>
      <c r="P17" s="4">
        <v>0.00106945777462773</v>
      </c>
      <c r="Q17" s="4">
        <v>0.0014792729841402</v>
      </c>
      <c r="R17" s="4">
        <v>0.00132133625603294</v>
      </c>
      <c r="S17" s="4">
        <v>0.000814577556172824</v>
      </c>
      <c r="T17" s="4">
        <v>0.000790381835720524</v>
      </c>
      <c r="U17" s="4">
        <v>0.00171210517267087</v>
      </c>
      <c r="V17" s="4">
        <v>0.000906700419443191</v>
      </c>
      <c r="W17" s="4">
        <v>0.000833538470137541</v>
      </c>
      <c r="X17" s="4">
        <v>0.000906652946038457</v>
      </c>
      <c r="Y17" s="4">
        <v>0.0017542712634829</v>
      </c>
      <c r="Z17" s="4">
        <v>0.000541849564691719</v>
      </c>
      <c r="AA17" s="4">
        <v>0.000742456979976474</v>
      </c>
      <c r="AB17" s="4">
        <v>0.000873858036849459</v>
      </c>
      <c r="AC17" s="4">
        <v>0.0019798586920166</v>
      </c>
      <c r="AD17" s="4">
        <v>0.000484695104329521</v>
      </c>
      <c r="AE17" s="4">
        <v>0.000839803986663324</v>
      </c>
      <c r="AF17" s="4">
        <v>0.000545638347430564</v>
      </c>
      <c r="AG17" s="4">
        <v>0.00109010101899501</v>
      </c>
      <c r="AH17" s="4">
        <v>0.00138193161371452</v>
      </c>
      <c r="AI17" s="4">
        <v>0.00105858632876746</v>
      </c>
      <c r="AJ17" s="4">
        <v>0.00157817941413037</v>
      </c>
      <c r="AK17" s="4">
        <v>0.000916700067074097</v>
      </c>
      <c r="AL17" s="4">
        <v>0.00087654928205655</v>
      </c>
      <c r="AM17" s="4">
        <v>0.00187704705428527</v>
      </c>
      <c r="AN17" s="4">
        <v>0.000826974935311314</v>
      </c>
      <c r="AO17" s="4">
        <v>0.00108457291827908</v>
      </c>
    </row>
    <row r="18" ht="14" spans="1:41">
      <c r="A18" s="22" t="s">
        <v>32</v>
      </c>
      <c r="B18" s="4">
        <v>0.000629214329617</v>
      </c>
      <c r="C18" s="4">
        <v>0.000645322518526529</v>
      </c>
      <c r="D18" s="4">
        <v>0.000891525761492355</v>
      </c>
      <c r="E18" s="4">
        <v>0.00107563745534686</v>
      </c>
      <c r="F18" s="4">
        <v>0.000835717449792574</v>
      </c>
      <c r="G18" s="4">
        <v>0.00073680002821743</v>
      </c>
      <c r="H18" s="4">
        <v>0.00121614582152499</v>
      </c>
      <c r="I18" s="4">
        <v>0.000950297088118273</v>
      </c>
      <c r="J18" s="4">
        <v>0.00077115532159366</v>
      </c>
      <c r="K18" s="4">
        <v>0.00103140530526301</v>
      </c>
      <c r="L18" s="4">
        <v>0.00121555273041544</v>
      </c>
      <c r="M18" s="4">
        <v>0.000892877038066236</v>
      </c>
      <c r="N18" s="4">
        <v>0.000617337232116653</v>
      </c>
      <c r="O18" s="4">
        <v>0.00312108667113482</v>
      </c>
      <c r="P18" s="4">
        <v>0.00124315921888147</v>
      </c>
      <c r="Q18" s="4">
        <v>0.00171953665783235</v>
      </c>
      <c r="R18" s="4">
        <v>0.00153594782973218</v>
      </c>
      <c r="S18" s="4">
        <v>0.000946881328533685</v>
      </c>
      <c r="T18" s="4">
        <v>0.000918755736620319</v>
      </c>
      <c r="U18" s="4">
        <v>0.00199018547491632</v>
      </c>
      <c r="V18" s="4">
        <v>0.00105396679694704</v>
      </c>
      <c r="W18" s="4">
        <v>0.000968921876139093</v>
      </c>
      <c r="X18" s="4">
        <v>0.00105391161290691</v>
      </c>
      <c r="Y18" s="4">
        <v>0.00203920018663359</v>
      </c>
      <c r="Z18" s="4">
        <v>0.00062985682798734</v>
      </c>
      <c r="AA18" s="4">
        <v>0.000863046920764995</v>
      </c>
      <c r="AB18" s="4">
        <v>0.00101579015111767</v>
      </c>
      <c r="AC18" s="4">
        <v>0.00230142754903979</v>
      </c>
      <c r="AD18" s="4">
        <v>0.000563419334160905</v>
      </c>
      <c r="AE18" s="4">
        <v>0.000976205038518077</v>
      </c>
      <c r="AF18" s="4">
        <v>0.000634260985217179</v>
      </c>
      <c r="AG18" s="4">
        <v>0.00126715534117039</v>
      </c>
      <c r="AH18" s="4">
        <v>0.00160638509178257</v>
      </c>
      <c r="AI18" s="4">
        <v>0.00123052203164098</v>
      </c>
      <c r="AJ18" s="4">
        <v>0.00183450748058571</v>
      </c>
      <c r="AK18" s="4">
        <v>0.00106559058839804</v>
      </c>
      <c r="AL18" s="4">
        <v>0.00101891850865439</v>
      </c>
      <c r="AM18" s="4">
        <v>0.00218191723429314</v>
      </c>
      <c r="AN18" s="4">
        <v>0.000961292291295957</v>
      </c>
      <c r="AO18" s="4">
        <v>0.00126072936575466</v>
      </c>
    </row>
    <row r="19" ht="14" spans="1:41">
      <c r="A19" s="22" t="s">
        <v>34</v>
      </c>
      <c r="B19" s="4">
        <v>0.00109003332653185</v>
      </c>
      <c r="C19" s="4">
        <v>0.001117938702991</v>
      </c>
      <c r="D19" s="4">
        <v>0.00154445432302833</v>
      </c>
      <c r="E19" s="4">
        <v>0.00186340427801075</v>
      </c>
      <c r="F19" s="4">
        <v>0.00144777356293301</v>
      </c>
      <c r="G19" s="4">
        <v>0.00127641178521072</v>
      </c>
      <c r="H19" s="4">
        <v>0.00210681704625449</v>
      </c>
      <c r="I19" s="4">
        <v>0.00164626812740518</v>
      </c>
      <c r="J19" s="4">
        <v>0.00133592793568629</v>
      </c>
      <c r="K19" s="4">
        <v>0.0017867777369005</v>
      </c>
      <c r="L19" s="4">
        <v>0.00210578959178525</v>
      </c>
      <c r="M19" s="4">
        <v>0.00154679523681487</v>
      </c>
      <c r="N19" s="4">
        <v>0.00106945777462773</v>
      </c>
      <c r="O19" s="4">
        <v>0.00124315921888147</v>
      </c>
      <c r="P19" s="4">
        <v>0.00936673367711772</v>
      </c>
      <c r="Q19" s="4">
        <v>0.00297887726805485</v>
      </c>
      <c r="R19" s="4">
        <v>0.00266083311109815</v>
      </c>
      <c r="S19" s="4">
        <v>0.00164035076092549</v>
      </c>
      <c r="T19" s="4">
        <v>0.00159162677122763</v>
      </c>
      <c r="U19" s="4">
        <v>0.0034477417177687</v>
      </c>
      <c r="V19" s="4">
        <v>0.00182586263480299</v>
      </c>
      <c r="W19" s="4">
        <v>0.00167853318985957</v>
      </c>
      <c r="X19" s="4">
        <v>0.00182576703551353</v>
      </c>
      <c r="Y19" s="4">
        <v>0.00353265343504427</v>
      </c>
      <c r="Z19" s="4">
        <v>0.00109114637275941</v>
      </c>
      <c r="AA19" s="4">
        <v>0.00149511837495367</v>
      </c>
      <c r="AB19" s="4">
        <v>0.00175972648009312</v>
      </c>
      <c r="AC19" s="4">
        <v>0.003986928791941</v>
      </c>
      <c r="AD19" s="4">
        <v>0.00097605191449088</v>
      </c>
      <c r="AE19" s="4">
        <v>0.00169115033689827</v>
      </c>
      <c r="AF19" s="4">
        <v>0.0010987760117073</v>
      </c>
      <c r="AG19" s="4">
        <v>0.00219518451305664</v>
      </c>
      <c r="AH19" s="4">
        <v>0.00278285665609802</v>
      </c>
      <c r="AI19" s="4">
        <v>0.00213172199103728</v>
      </c>
      <c r="AJ19" s="4">
        <v>0.00317804950950114</v>
      </c>
      <c r="AK19" s="4">
        <v>0.00184599936638373</v>
      </c>
      <c r="AL19" s="4">
        <v>0.00176514595929413</v>
      </c>
      <c r="AM19" s="4">
        <v>0.00377989246138341</v>
      </c>
      <c r="AN19" s="4">
        <v>0.00166531591022183</v>
      </c>
      <c r="AO19" s="4">
        <v>0.00218405233276621</v>
      </c>
    </row>
    <row r="20" ht="14" spans="1:41">
      <c r="A20" s="22" t="s">
        <v>37</v>
      </c>
      <c r="B20" s="4">
        <v>0.00150773306810764</v>
      </c>
      <c r="C20" s="4">
        <v>0.00154633175847917</v>
      </c>
      <c r="D20" s="4">
        <v>0.00213628776142155</v>
      </c>
      <c r="E20" s="4">
        <v>0.00257745903801774</v>
      </c>
      <c r="F20" s="4">
        <v>0.00200255902533852</v>
      </c>
      <c r="G20" s="4">
        <v>0.00176553157618368</v>
      </c>
      <c r="H20" s="4">
        <v>0.00291414734923516</v>
      </c>
      <c r="I20" s="4">
        <v>0.00227711651950847</v>
      </c>
      <c r="J20" s="4">
        <v>0.00184785425932952</v>
      </c>
      <c r="K20" s="4">
        <v>0.00247146927870073</v>
      </c>
      <c r="L20" s="4">
        <v>0.00291272617518336</v>
      </c>
      <c r="M20" s="4">
        <v>0.00213952571116094</v>
      </c>
      <c r="N20" s="4">
        <v>0.0014792729841402</v>
      </c>
      <c r="O20" s="4">
        <v>0.00171953665783235</v>
      </c>
      <c r="P20" s="4">
        <v>0.00297887726805485</v>
      </c>
      <c r="Q20" s="4">
        <v>0.0179208060570502</v>
      </c>
      <c r="R20" s="4">
        <v>0.00368046184705454</v>
      </c>
      <c r="S20" s="4">
        <v>0.00226893162378061</v>
      </c>
      <c r="T20" s="4">
        <v>0.00220153664723312</v>
      </c>
      <c r="U20" s="4">
        <v>0.00476891308884419</v>
      </c>
      <c r="V20" s="4">
        <v>0.00252553147257758</v>
      </c>
      <c r="W20" s="4">
        <v>0.00232174552343242</v>
      </c>
      <c r="X20" s="4">
        <v>0.00252539923973066</v>
      </c>
      <c r="Y20" s="4">
        <v>0.00488636289601066</v>
      </c>
      <c r="Z20" s="4">
        <v>0.00150927263259873</v>
      </c>
      <c r="AA20" s="4">
        <v>0.00206804632462505</v>
      </c>
      <c r="AB20" s="4">
        <v>0.00243405200582511</v>
      </c>
      <c r="AC20" s="4">
        <v>0.0055147161407677</v>
      </c>
      <c r="AD20" s="4">
        <v>0.00135007408658773</v>
      </c>
      <c r="AE20" s="4">
        <v>0.00233919754930392</v>
      </c>
      <c r="AF20" s="4">
        <v>0.00151982594198794</v>
      </c>
      <c r="AG20" s="4">
        <v>0.00303637714588404</v>
      </c>
      <c r="AH20" s="4">
        <v>0.00384924469929025</v>
      </c>
      <c r="AI20" s="4">
        <v>0.00294859584534479</v>
      </c>
      <c r="AJ20" s="4">
        <v>0.00439587508099748</v>
      </c>
      <c r="AK20" s="4">
        <v>0.00255338458068803</v>
      </c>
      <c r="AL20" s="4">
        <v>0.00244154822433917</v>
      </c>
      <c r="AM20" s="4">
        <v>0.00522834368381308</v>
      </c>
      <c r="AN20" s="4">
        <v>0.00230346339471655</v>
      </c>
      <c r="AO20" s="4">
        <v>0.00302097912461674</v>
      </c>
    </row>
    <row r="21" ht="14" spans="1:41">
      <c r="A21" s="22" t="s">
        <v>39</v>
      </c>
      <c r="B21" s="4">
        <v>0.00134675775781056</v>
      </c>
      <c r="C21" s="4">
        <v>0.00138123540295795</v>
      </c>
      <c r="D21" s="4">
        <v>0.00190820389660967</v>
      </c>
      <c r="E21" s="4">
        <v>0.00230227288126411</v>
      </c>
      <c r="F21" s="4">
        <v>0.00178875290321328</v>
      </c>
      <c r="G21" s="4">
        <v>0.00157703203383952</v>
      </c>
      <c r="H21" s="4">
        <v>0.00260301417605132</v>
      </c>
      <c r="I21" s="4">
        <v>0.0020339968678512</v>
      </c>
      <c r="J21" s="4">
        <v>0.00165056541618391</v>
      </c>
      <c r="K21" s="4">
        <v>0.00220759927250138</v>
      </c>
      <c r="L21" s="4">
        <v>0.00260174473571077</v>
      </c>
      <c r="M21" s="4">
        <v>0.00191109614194351</v>
      </c>
      <c r="N21" s="4">
        <v>0.00132133625603294</v>
      </c>
      <c r="O21" s="4">
        <v>0.00153594782973218</v>
      </c>
      <c r="P21" s="4">
        <v>0.00266083311109815</v>
      </c>
      <c r="Q21" s="4">
        <v>0.00368046184705454</v>
      </c>
      <c r="R21" s="4">
        <v>0.0142984049137515</v>
      </c>
      <c r="S21" s="4">
        <v>0.00202668584440048</v>
      </c>
      <c r="T21" s="4">
        <v>0.00196648639038392</v>
      </c>
      <c r="U21" s="4">
        <v>0.004259753158287</v>
      </c>
      <c r="V21" s="4">
        <v>0.00225588943774879</v>
      </c>
      <c r="W21" s="4">
        <v>0.00207386099136836</v>
      </c>
      <c r="X21" s="4">
        <v>0.00225577132293378</v>
      </c>
      <c r="Y21" s="4">
        <v>0.00436466326625016</v>
      </c>
      <c r="Z21" s="4">
        <v>0.00134813294846327</v>
      </c>
      <c r="AA21" s="4">
        <v>0.00184724835590167</v>
      </c>
      <c r="AB21" s="4">
        <v>0.0021741769090955</v>
      </c>
      <c r="AC21" s="4">
        <v>0.00492592946444006</v>
      </c>
      <c r="AD21" s="4">
        <v>0.00120593146637892</v>
      </c>
      <c r="AE21" s="4">
        <v>0.00208944972635674</v>
      </c>
      <c r="AF21" s="4">
        <v>0.00135755951845177</v>
      </c>
      <c r="AG21" s="4">
        <v>0.0027121939309791</v>
      </c>
      <c r="AH21" s="4">
        <v>0.00343827449973409</v>
      </c>
      <c r="AI21" s="4">
        <v>0.0026337847284534</v>
      </c>
      <c r="AJ21" s="4">
        <v>0.00392654309501213</v>
      </c>
      <c r="AK21" s="4">
        <v>0.00228076876832815</v>
      </c>
      <c r="AL21" s="4">
        <v>0.00218087278295513</v>
      </c>
      <c r="AM21" s="4">
        <v>0.00467013197867492</v>
      </c>
      <c r="AN21" s="4">
        <v>0.00205753078067112</v>
      </c>
      <c r="AO21" s="4">
        <v>0.00269843990181086</v>
      </c>
    </row>
    <row r="22" ht="14" spans="1:41">
      <c r="A22" s="22" t="s">
        <v>40</v>
      </c>
      <c r="B22" s="4">
        <v>0.000830249407072027</v>
      </c>
      <c r="C22" s="4">
        <v>0.000851504190476723</v>
      </c>
      <c r="D22" s="4">
        <v>0.00117636979965001</v>
      </c>
      <c r="E22" s="4">
        <v>0.00141930550130635</v>
      </c>
      <c r="F22" s="4">
        <v>0.00110273063487346</v>
      </c>
      <c r="G22" s="4">
        <v>0.000972208924311259</v>
      </c>
      <c r="H22" s="4">
        <v>0.00160470653592529</v>
      </c>
      <c r="I22" s="4">
        <v>0.00125391866779754</v>
      </c>
      <c r="J22" s="4">
        <v>0.0010175407939347</v>
      </c>
      <c r="K22" s="4">
        <v>0.00136094110200382</v>
      </c>
      <c r="L22" s="4">
        <v>0.0016039239511702</v>
      </c>
      <c r="M22" s="4">
        <v>0.00117815281144972</v>
      </c>
      <c r="N22" s="4">
        <v>0.000814577556172824</v>
      </c>
      <c r="O22" s="4">
        <v>0.000946881328533685</v>
      </c>
      <c r="P22" s="4">
        <v>0.00164035076092549</v>
      </c>
      <c r="Q22" s="4">
        <v>0.00226893162378061</v>
      </c>
      <c r="R22" s="4">
        <v>0.00202668584440048</v>
      </c>
      <c r="S22" s="4">
        <v>0.0054340767496654</v>
      </c>
      <c r="T22" s="4">
        <v>0.00121229979939801</v>
      </c>
      <c r="U22" s="4">
        <v>0.00262605321070551</v>
      </c>
      <c r="V22" s="4">
        <v>0.00139071102969242</v>
      </c>
      <c r="W22" s="4">
        <v>0.0012784941081257</v>
      </c>
      <c r="X22" s="4">
        <v>0.00139063821425508</v>
      </c>
      <c r="Y22" s="4">
        <v>0.00269072820843774</v>
      </c>
      <c r="Z22" s="4">
        <v>0.000831097184794038</v>
      </c>
      <c r="AA22" s="4">
        <v>0.00113879191956202</v>
      </c>
      <c r="AB22" s="4">
        <v>0.00134033687883173</v>
      </c>
      <c r="AC22" s="4">
        <v>0.00303673767120431</v>
      </c>
      <c r="AD22" s="4">
        <v>0.000743432795633791</v>
      </c>
      <c r="AE22" s="4">
        <v>0.00128810425360736</v>
      </c>
      <c r="AF22" s="4">
        <v>0.000836908477952208</v>
      </c>
      <c r="AG22" s="4">
        <v>0.00167201368620331</v>
      </c>
      <c r="AH22" s="4">
        <v>0.00211962793471923</v>
      </c>
      <c r="AI22" s="4">
        <v>0.0016236759702864</v>
      </c>
      <c r="AJ22" s="4">
        <v>0.00242063582524033</v>
      </c>
      <c r="AK22" s="4">
        <v>0.00140604864281703</v>
      </c>
      <c r="AL22" s="4">
        <v>0.00134446475206621</v>
      </c>
      <c r="AM22" s="4">
        <v>0.00287904360212964</v>
      </c>
      <c r="AN22" s="4">
        <v>0.00126842685759745</v>
      </c>
      <c r="AO22" s="4">
        <v>0.00166353460041706</v>
      </c>
    </row>
    <row r="23" ht="14" spans="1:41">
      <c r="A23" s="22" t="s">
        <v>41</v>
      </c>
      <c r="B23" s="4">
        <v>0.000805588179412397</v>
      </c>
      <c r="C23" s="4">
        <v>0.000826211623549718</v>
      </c>
      <c r="D23" s="4">
        <v>0.00114142762059638</v>
      </c>
      <c r="E23" s="4">
        <v>0.00137714730668659</v>
      </c>
      <c r="F23" s="4">
        <v>0.00106997578915816</v>
      </c>
      <c r="G23" s="4">
        <v>0.00094333101676813</v>
      </c>
      <c r="H23" s="4">
        <v>0.0015570413007896</v>
      </c>
      <c r="I23" s="4">
        <v>0.00121667302393461</v>
      </c>
      <c r="J23" s="4">
        <v>0.000987316375876182</v>
      </c>
      <c r="K23" s="4">
        <v>0.00132051652830105</v>
      </c>
      <c r="L23" s="4">
        <v>0.0015562819614601</v>
      </c>
      <c r="M23" s="4">
        <v>0.00114315767088893</v>
      </c>
      <c r="N23" s="4">
        <v>0.000790381835720524</v>
      </c>
      <c r="O23" s="4">
        <v>0.000918755736620319</v>
      </c>
      <c r="P23" s="4">
        <v>0.00159162677122763</v>
      </c>
      <c r="Q23" s="4">
        <v>0.00220153664723312</v>
      </c>
      <c r="R23" s="4">
        <v>0.00196648639038392</v>
      </c>
      <c r="S23" s="4">
        <v>0.00121229979939801</v>
      </c>
      <c r="T23" s="4">
        <v>0.00511605011405166</v>
      </c>
      <c r="U23" s="4">
        <v>0.00254805050992201</v>
      </c>
      <c r="V23" s="4">
        <v>0.00134940218801199</v>
      </c>
      <c r="W23" s="4">
        <v>0.00124051849020485</v>
      </c>
      <c r="X23" s="4">
        <v>0.00134933153544049</v>
      </c>
      <c r="Y23" s="4">
        <v>0.00261080444052747</v>
      </c>
      <c r="Z23" s="4">
        <v>0.000806410775256253</v>
      </c>
      <c r="AA23" s="4">
        <v>0.0011049659311951</v>
      </c>
      <c r="AB23" s="4">
        <v>0.00130052432054754</v>
      </c>
      <c r="AC23" s="4">
        <v>0.00294653624689225</v>
      </c>
      <c r="AD23" s="4">
        <v>0.000721350316240741</v>
      </c>
      <c r="AE23" s="4">
        <v>0.00124984318172105</v>
      </c>
      <c r="AF23" s="4">
        <v>0.000812049453267276</v>
      </c>
      <c r="AG23" s="4">
        <v>0.00162234920006909</v>
      </c>
      <c r="AH23" s="4">
        <v>0.00205666778490573</v>
      </c>
      <c r="AI23" s="4">
        <v>0.00157544727851302</v>
      </c>
      <c r="AJ23" s="4">
        <v>0.00234873471858632</v>
      </c>
      <c r="AK23" s="4">
        <v>0.00136428422192655</v>
      </c>
      <c r="AL23" s="4">
        <v>0.001304529581925</v>
      </c>
      <c r="AM23" s="4">
        <v>0.0027935262273392</v>
      </c>
      <c r="AN23" s="4">
        <v>0.00123075027121467</v>
      </c>
      <c r="AO23" s="4">
        <v>0.00161412197193324</v>
      </c>
    </row>
    <row r="24" ht="14" spans="1:41">
      <c r="A24" s="22" t="s">
        <v>44</v>
      </c>
      <c r="B24" s="4">
        <v>0.00174504477036359</v>
      </c>
      <c r="C24" s="4">
        <v>0.00178971875424077</v>
      </c>
      <c r="D24" s="4">
        <v>0.00247253168675232</v>
      </c>
      <c r="E24" s="4">
        <v>0.002983141718026</v>
      </c>
      <c r="F24" s="4">
        <v>0.00231775453389599</v>
      </c>
      <c r="G24" s="4">
        <v>0.00204341982616194</v>
      </c>
      <c r="H24" s="4">
        <v>0.00337282354510824</v>
      </c>
      <c r="I24" s="4">
        <v>0.00263552637925768</v>
      </c>
      <c r="J24" s="4">
        <v>0.0021386998002798</v>
      </c>
      <c r="K24" s="4">
        <v>0.00286046955600969</v>
      </c>
      <c r="L24" s="4">
        <v>0.0033711786834286</v>
      </c>
      <c r="M24" s="4">
        <v>0.00247627927800632</v>
      </c>
      <c r="N24" s="4">
        <v>0.00171210517267087</v>
      </c>
      <c r="O24" s="4">
        <v>0.00199018547491632</v>
      </c>
      <c r="P24" s="4">
        <v>0.0034477417177687</v>
      </c>
      <c r="Q24" s="4">
        <v>0.00476891308884419</v>
      </c>
      <c r="R24" s="4">
        <v>0.004259753158287</v>
      </c>
      <c r="S24" s="4">
        <v>0.0026260532107055</v>
      </c>
      <c r="T24" s="4">
        <v>0.00254805050992201</v>
      </c>
      <c r="U24" s="4">
        <v>0.0240061086255879</v>
      </c>
      <c r="V24" s="4">
        <v>0.00292304094261302</v>
      </c>
      <c r="W24" s="4">
        <v>0.00268717982611202</v>
      </c>
      <c r="X24" s="4">
        <v>0.00292288789679684</v>
      </c>
      <c r="Y24" s="4">
        <v>0.00565545864725529</v>
      </c>
      <c r="Z24" s="4">
        <v>0.00174682665670717</v>
      </c>
      <c r="AA24" s="4">
        <v>0.00239354929595466</v>
      </c>
      <c r="AB24" s="4">
        <v>0.00281716294044622</v>
      </c>
      <c r="AC24" s="4">
        <v>0.00638271240781683</v>
      </c>
      <c r="AD24" s="4">
        <v>0.00156257083845768</v>
      </c>
      <c r="AE24" s="4">
        <v>0.00270737873739379</v>
      </c>
      <c r="AF24" s="4">
        <v>0.00175904101861858</v>
      </c>
      <c r="AG24" s="4">
        <v>0.0035142918672778</v>
      </c>
      <c r="AH24" s="4">
        <v>0.00445510181770895</v>
      </c>
      <c r="AI24" s="4">
        <v>0.00341269410923831</v>
      </c>
      <c r="AJ24" s="4">
        <v>0.0050877698337506</v>
      </c>
      <c r="AK24" s="4">
        <v>0.00295527802865605</v>
      </c>
      <c r="AL24" s="4">
        <v>0.00282583903649542</v>
      </c>
      <c r="AM24" s="4">
        <v>0.00605126596749165</v>
      </c>
      <c r="AN24" s="4">
        <v>0.00266602015681672</v>
      </c>
      <c r="AO24" s="4">
        <v>0.00349647025345581</v>
      </c>
    </row>
    <row r="25" ht="14" spans="1:41">
      <c r="A25" s="22" t="s">
        <v>49</v>
      </c>
      <c r="B25" s="4">
        <v>0.000924144643969239</v>
      </c>
      <c r="C25" s="4">
        <v>0.000947803190515448</v>
      </c>
      <c r="D25" s="4">
        <v>0.00130940876369624</v>
      </c>
      <c r="E25" s="4">
        <v>0.00157981874604886</v>
      </c>
      <c r="F25" s="4">
        <v>0.00122744153898648</v>
      </c>
      <c r="G25" s="4">
        <v>0.00108215876165438</v>
      </c>
      <c r="H25" s="4">
        <v>0.00178618730430377</v>
      </c>
      <c r="I25" s="4">
        <v>0.00139572785111018</v>
      </c>
      <c r="J25" s="4">
        <v>0.00113261733971149</v>
      </c>
      <c r="K25" s="4">
        <v>0.00151485375293417</v>
      </c>
      <c r="L25" s="4">
        <v>0.00178531621484112</v>
      </c>
      <c r="M25" s="4">
        <v>0.00131139342130732</v>
      </c>
      <c r="N25" s="4">
        <v>0.000906700419443191</v>
      </c>
      <c r="O25" s="4">
        <v>0.00105396679694704</v>
      </c>
      <c r="P25" s="4">
        <v>0.00182586263480299</v>
      </c>
      <c r="Q25" s="4">
        <v>0.00252553147257758</v>
      </c>
      <c r="R25" s="4">
        <v>0.00225588943774879</v>
      </c>
      <c r="S25" s="4">
        <v>0.00139071102969242</v>
      </c>
      <c r="T25" s="4">
        <v>0.001349402188012</v>
      </c>
      <c r="U25" s="4">
        <v>0.00292304094261302</v>
      </c>
      <c r="V25" s="4">
        <v>0.00673268849875018</v>
      </c>
      <c r="W25" s="4">
        <v>0.00142308259699618</v>
      </c>
      <c r="X25" s="4">
        <v>0.00154790939500338</v>
      </c>
      <c r="Y25" s="4">
        <v>0.00299503021745484</v>
      </c>
      <c r="Z25" s="4">
        <v>0.000925088299254505</v>
      </c>
      <c r="AA25" s="4">
        <v>0.00126758109562539</v>
      </c>
      <c r="AB25" s="4">
        <v>0.00149191934030413</v>
      </c>
      <c r="AC25" s="4">
        <v>0.00338017086200656</v>
      </c>
      <c r="AD25" s="4">
        <v>0.00082750969815079</v>
      </c>
      <c r="AE25" s="4">
        <v>0.00143377958081693</v>
      </c>
      <c r="AF25" s="4">
        <v>0.000931556807874822</v>
      </c>
      <c r="AG25" s="4">
        <v>0.00186110640921422</v>
      </c>
      <c r="AH25" s="4">
        <v>0.00235934261005551</v>
      </c>
      <c r="AI25" s="4">
        <v>0.00180730204526549</v>
      </c>
      <c r="AJ25" s="4">
        <v>0.00269439232818607</v>
      </c>
      <c r="AK25" s="4">
        <v>0.00156506263220594</v>
      </c>
      <c r="AL25" s="4">
        <v>0.00149651404631431</v>
      </c>
      <c r="AM25" s="4">
        <v>0.00320464272783418</v>
      </c>
      <c r="AN25" s="4">
        <v>0.0014118768128355</v>
      </c>
      <c r="AO25" s="4">
        <v>0.00185166839980599</v>
      </c>
    </row>
    <row r="26" ht="14" spans="1:41">
      <c r="A26" s="22" t="s">
        <v>53</v>
      </c>
      <c r="B26" s="4">
        <v>0.00084957511455986</v>
      </c>
      <c r="C26" s="4">
        <v>0.000871324645354073</v>
      </c>
      <c r="D26" s="4">
        <v>0.00120375214819721</v>
      </c>
      <c r="E26" s="4">
        <v>0.0014523426618517</v>
      </c>
      <c r="F26" s="4">
        <v>0.00112839888528822</v>
      </c>
      <c r="G26" s="4">
        <v>0.000994839022120736</v>
      </c>
      <c r="H26" s="4">
        <v>0.0016420592745758</v>
      </c>
      <c r="I26" s="4">
        <v>0.00128310612060506</v>
      </c>
      <c r="J26" s="4">
        <v>0.00104122608123875</v>
      </c>
      <c r="K26" s="4">
        <v>0.00139261971498622</v>
      </c>
      <c r="L26" s="4">
        <v>0.00164125847360287</v>
      </c>
      <c r="M26" s="4">
        <v>0.00120557666314549</v>
      </c>
      <c r="N26" s="4">
        <v>0.000833538470137541</v>
      </c>
      <c r="O26" s="4">
        <v>0.000968921876139093</v>
      </c>
      <c r="P26" s="4">
        <v>0.00167853318985957</v>
      </c>
      <c r="Q26" s="4">
        <v>0.00232174552343242</v>
      </c>
      <c r="R26" s="4">
        <v>0.00207386099136836</v>
      </c>
      <c r="S26" s="4">
        <v>0.0012784941081257</v>
      </c>
      <c r="T26" s="4">
        <v>0.00124051849020485</v>
      </c>
      <c r="U26" s="4">
        <v>0.00268717982611202</v>
      </c>
      <c r="V26" s="4">
        <v>0.00142308259699618</v>
      </c>
      <c r="W26" s="4">
        <v>0.00568999893659568</v>
      </c>
      <c r="X26" s="4">
        <v>0.0014230080866346</v>
      </c>
      <c r="Y26" s="4">
        <v>0.00275336026314636</v>
      </c>
      <c r="Z26" s="4">
        <v>0.000850442625995778</v>
      </c>
      <c r="AA26" s="4">
        <v>0.00116529956815473</v>
      </c>
      <c r="AB26" s="4">
        <v>0.0013715358875089</v>
      </c>
      <c r="AC26" s="4">
        <v>0.00310742378486014</v>
      </c>
      <c r="AD26" s="4">
        <v>0.000760737673689589</v>
      </c>
      <c r="AE26" s="4">
        <v>0.001318087443968</v>
      </c>
      <c r="AF26" s="4">
        <v>0.000856389188569071</v>
      </c>
      <c r="AG26" s="4">
        <v>0.0017109331327455</v>
      </c>
      <c r="AH26" s="4">
        <v>0.00216896649383231</v>
      </c>
      <c r="AI26" s="4">
        <v>0.00166147026027865</v>
      </c>
      <c r="AJ26" s="4">
        <v>0.00247698094213495</v>
      </c>
      <c r="AK26" s="4">
        <v>0.00143877722359443</v>
      </c>
      <c r="AL26" s="4">
        <v>0.00137575984520908</v>
      </c>
      <c r="AM26" s="4">
        <v>0.00294605907245162</v>
      </c>
      <c r="AN26" s="4">
        <v>0.00129795201739984</v>
      </c>
      <c r="AO26" s="4">
        <v>0.00170225667936069</v>
      </c>
    </row>
    <row r="27" ht="14" spans="1:41">
      <c r="A27" s="22" t="s">
        <v>57</v>
      </c>
      <c r="B27" s="4">
        <v>0.000924096257212406</v>
      </c>
      <c r="C27" s="4">
        <v>0.000947753565034411</v>
      </c>
      <c r="D27" s="4">
        <v>0.00130934020511739</v>
      </c>
      <c r="E27" s="4">
        <v>0.00157973602922958</v>
      </c>
      <c r="F27" s="4">
        <v>0.00122737727208231</v>
      </c>
      <c r="G27" s="4">
        <v>0.00108210210152742</v>
      </c>
      <c r="H27" s="4">
        <v>0.00178609378235207</v>
      </c>
      <c r="I27" s="4">
        <v>0.00139565477299997</v>
      </c>
      <c r="J27" s="4">
        <v>0.00113255803765292</v>
      </c>
      <c r="K27" s="4">
        <v>0.00151477443757952</v>
      </c>
      <c r="L27" s="4">
        <v>0.0017852227384983</v>
      </c>
      <c r="M27" s="4">
        <v>0.00131132475881493</v>
      </c>
      <c r="N27" s="4">
        <v>0.000906652946038457</v>
      </c>
      <c r="O27" s="4">
        <v>0.00105391161290691</v>
      </c>
      <c r="P27" s="4">
        <v>0.00182576703551353</v>
      </c>
      <c r="Q27" s="4">
        <v>0.00252539923973066</v>
      </c>
      <c r="R27" s="4">
        <v>0.00225577132293378</v>
      </c>
      <c r="S27" s="4">
        <v>0.00139063821425508</v>
      </c>
      <c r="T27" s="4">
        <v>0.00134933153544049</v>
      </c>
      <c r="U27" s="4">
        <v>0.00292288789679684</v>
      </c>
      <c r="V27" s="4">
        <v>0.00154790939500338</v>
      </c>
      <c r="W27" s="4">
        <v>0.0014230080866346</v>
      </c>
      <c r="X27" s="4">
        <v>0.00673198349129303</v>
      </c>
      <c r="Y27" s="4">
        <v>0.00299487340239371</v>
      </c>
      <c r="Z27" s="4">
        <v>0.000925039863089369</v>
      </c>
      <c r="AA27" s="4">
        <v>0.00126751472707731</v>
      </c>
      <c r="AB27" s="4">
        <v>0.00149184122575917</v>
      </c>
      <c r="AC27" s="4">
        <v>0.00337999388158837</v>
      </c>
      <c r="AD27" s="4">
        <v>0.000827466371047395</v>
      </c>
      <c r="AE27" s="4">
        <v>0.00143370451037814</v>
      </c>
      <c r="AF27" s="4">
        <v>0.000931508033028771</v>
      </c>
      <c r="AG27" s="4">
        <v>0.00186100896461629</v>
      </c>
      <c r="AH27" s="4">
        <v>0.00235921907859547</v>
      </c>
      <c r="AI27" s="4">
        <v>0.00180720741777924</v>
      </c>
      <c r="AJ27" s="4">
        <v>0.00269425125405093</v>
      </c>
      <c r="AK27" s="4">
        <v>0.00156498068799352</v>
      </c>
      <c r="AL27" s="4">
        <v>0.00149643569119779</v>
      </c>
      <c r="AM27" s="4">
        <v>0.00320447493779242</v>
      </c>
      <c r="AN27" s="4">
        <v>0.00141180288919112</v>
      </c>
      <c r="AO27" s="4">
        <v>0.00185157144936735</v>
      </c>
    </row>
    <row r="28" ht="14" spans="1:41">
      <c r="A28" s="22" t="s">
        <v>61</v>
      </c>
      <c r="B28" s="4">
        <v>0.0017880221046026</v>
      </c>
      <c r="C28" s="4">
        <v>0.00183379632886873</v>
      </c>
      <c r="D28" s="4">
        <v>0.00253342572369783</v>
      </c>
      <c r="E28" s="4">
        <v>0.0030566111675641</v>
      </c>
      <c r="F28" s="4">
        <v>0.00237483668615875</v>
      </c>
      <c r="G28" s="4">
        <v>0.00209374560481877</v>
      </c>
      <c r="H28" s="4">
        <v>0.00345589016167254</v>
      </c>
      <c r="I28" s="4">
        <v>0.00270043468420248</v>
      </c>
      <c r="J28" s="4">
        <v>0.00219137215443057</v>
      </c>
      <c r="K28" s="4">
        <v>0.0029309178094167</v>
      </c>
      <c r="L28" s="4">
        <v>0.00345420478998916</v>
      </c>
      <c r="M28" s="4">
        <v>0.00253726561142735</v>
      </c>
      <c r="N28" s="4">
        <v>0.0017542712634829</v>
      </c>
      <c r="O28" s="4">
        <v>0.00203920018663359</v>
      </c>
      <c r="P28" s="4">
        <v>0.00353265343504427</v>
      </c>
      <c r="Q28" s="4">
        <v>0.00488636289601066</v>
      </c>
      <c r="R28" s="4">
        <v>0.00436466326625016</v>
      </c>
      <c r="S28" s="4">
        <v>0.00269072820843774</v>
      </c>
      <c r="T28" s="4">
        <v>0.00261080444052747</v>
      </c>
      <c r="U28" s="4">
        <v>0.00565545864725529</v>
      </c>
      <c r="V28" s="4">
        <v>0.00299503021745484</v>
      </c>
      <c r="W28" s="4">
        <v>0.00275336026314636</v>
      </c>
      <c r="X28" s="4">
        <v>0.00299487340239371</v>
      </c>
      <c r="Y28" s="4">
        <v>0.0252031246151533</v>
      </c>
      <c r="Z28" s="4">
        <v>0.00178984787562253</v>
      </c>
      <c r="AA28" s="4">
        <v>0.00245249813775908</v>
      </c>
      <c r="AB28" s="4">
        <v>0.00288654462930232</v>
      </c>
      <c r="AC28" s="4">
        <v>0.00653990720829469</v>
      </c>
      <c r="AD28" s="4">
        <v>0.00160105416584104</v>
      </c>
      <c r="AE28" s="4">
        <v>0.00277405663751685</v>
      </c>
      <c r="AF28" s="4">
        <v>0.00180236305544034</v>
      </c>
      <c r="AG28" s="4">
        <v>0.00360084259580838</v>
      </c>
      <c r="AH28" s="4">
        <v>0.00456482301405889</v>
      </c>
      <c r="AI28" s="4">
        <v>0.00349674266654706</v>
      </c>
      <c r="AJ28" s="4">
        <v>0.00521307251273614</v>
      </c>
      <c r="AK28" s="4">
        <v>0.00302806124531833</v>
      </c>
      <c r="AL28" s="4">
        <v>0.00289543440209272</v>
      </c>
      <c r="AM28" s="4">
        <v>0.0062002978344505</v>
      </c>
      <c r="AN28" s="4">
        <v>0.00273167946900937</v>
      </c>
      <c r="AO28" s="4">
        <v>0.00358258206748579</v>
      </c>
    </row>
    <row r="29" ht="14" spans="1:41">
      <c r="A29" s="22" t="s">
        <v>63</v>
      </c>
      <c r="B29" s="4">
        <v>0.000552274337045556</v>
      </c>
      <c r="C29" s="4">
        <v>0.000566412825208134</v>
      </c>
      <c r="D29" s="4">
        <v>0.000782510466961117</v>
      </c>
      <c r="E29" s="4">
        <v>0.000944109081105399</v>
      </c>
      <c r="F29" s="4">
        <v>0.000733526365845065</v>
      </c>
      <c r="G29" s="4">
        <v>0.000646704513812672</v>
      </c>
      <c r="H29" s="4">
        <v>0.0010674361592214</v>
      </c>
      <c r="I29" s="4">
        <v>0.000834095267118758</v>
      </c>
      <c r="J29" s="4">
        <v>0.000676858860241673</v>
      </c>
      <c r="K29" s="4">
        <v>0.000905285614738181</v>
      </c>
      <c r="L29" s="4">
        <v>0.00106691559097634</v>
      </c>
      <c r="M29" s="4">
        <v>0.000783696510156382</v>
      </c>
      <c r="N29" s="4">
        <v>0.000541849564691719</v>
      </c>
      <c r="O29" s="4">
        <v>0.00062985682798734</v>
      </c>
      <c r="P29" s="4">
        <v>0.00109114637275941</v>
      </c>
      <c r="Q29" s="4">
        <v>0.00150927263259873</v>
      </c>
      <c r="R29" s="4">
        <v>0.00134813294846327</v>
      </c>
      <c r="S29" s="4">
        <v>0.000831097184794038</v>
      </c>
      <c r="T29" s="4">
        <v>0.000806410775256253</v>
      </c>
      <c r="U29" s="4">
        <v>0.00174682665670717</v>
      </c>
      <c r="V29" s="4">
        <v>0.000925088299254505</v>
      </c>
      <c r="W29" s="4">
        <v>0.000850442625995777</v>
      </c>
      <c r="X29" s="4">
        <v>0.000925039863089369</v>
      </c>
      <c r="Y29" s="4">
        <v>0.00178984787562253</v>
      </c>
      <c r="Z29" s="4">
        <v>0.00240446436889718</v>
      </c>
      <c r="AA29" s="4">
        <v>0.000757514003685873</v>
      </c>
      <c r="AB29" s="4">
        <v>0.000891579873311835</v>
      </c>
      <c r="AC29" s="4">
        <v>0.00202001021603877</v>
      </c>
      <c r="AD29" s="4">
        <v>0.00049452471853552</v>
      </c>
      <c r="AE29" s="4">
        <v>0.000856835207164259</v>
      </c>
      <c r="AF29" s="4">
        <v>0.000556703890291081</v>
      </c>
      <c r="AG29" s="4">
        <v>0.00111220826201556</v>
      </c>
      <c r="AH29" s="4">
        <v>0.00140995717968486</v>
      </c>
      <c r="AI29" s="4">
        <v>0.00108005445403339</v>
      </c>
      <c r="AJ29" s="4">
        <v>0.00161018488447695</v>
      </c>
      <c r="AK29" s="4">
        <v>0.000935290739687587</v>
      </c>
      <c r="AL29" s="4">
        <v>0.00089432569695779</v>
      </c>
      <c r="AM29" s="4">
        <v>0.00191511355882662</v>
      </c>
      <c r="AN29" s="4">
        <v>0.000843745982717261</v>
      </c>
      <c r="AO29" s="4">
        <v>0.00110656805144574</v>
      </c>
    </row>
    <row r="30" ht="14" spans="1:41">
      <c r="A30" s="22" t="s">
        <v>66</v>
      </c>
      <c r="B30" s="4">
        <v>0.000756741285996311</v>
      </c>
      <c r="C30" s="4">
        <v>0.00077611422621191</v>
      </c>
      <c r="D30" s="4">
        <v>0.00107221708008656</v>
      </c>
      <c r="E30" s="4">
        <v>0.00129364388716393</v>
      </c>
      <c r="F30" s="4">
        <v>0.00100509773525111</v>
      </c>
      <c r="G30" s="4">
        <v>0.000886132077148917</v>
      </c>
      <c r="H30" s="4">
        <v>0.00146262999684074</v>
      </c>
      <c r="I30" s="4">
        <v>0.00114289997333484</v>
      </c>
      <c r="J30" s="4">
        <v>0.000927450381050441</v>
      </c>
      <c r="K30" s="4">
        <v>0.00124044691983293</v>
      </c>
      <c r="L30" s="4">
        <v>0.00146191670010253</v>
      </c>
      <c r="M30" s="4">
        <v>0.00107384222866333</v>
      </c>
      <c r="N30" s="4">
        <v>0.000742456979976474</v>
      </c>
      <c r="O30" s="4">
        <v>0.000863046920764995</v>
      </c>
      <c r="P30" s="4">
        <v>0.00149511837495367</v>
      </c>
      <c r="Q30" s="4">
        <v>0.00206804632462505</v>
      </c>
      <c r="R30" s="4">
        <v>0.00184724835590167</v>
      </c>
      <c r="S30" s="4">
        <v>0.00113879191956202</v>
      </c>
      <c r="T30" s="4">
        <v>0.0011049659311951</v>
      </c>
      <c r="U30" s="4">
        <v>0.00239354929595466</v>
      </c>
      <c r="V30" s="4">
        <v>0.00126758109562539</v>
      </c>
      <c r="W30" s="4">
        <v>0.00116529956815473</v>
      </c>
      <c r="X30" s="4">
        <v>0.00126751472707731</v>
      </c>
      <c r="Y30" s="4">
        <v>0.00245249813775908</v>
      </c>
      <c r="Z30" s="4">
        <v>0.000757514003685873</v>
      </c>
      <c r="AA30" s="4">
        <v>0.00451443575690337</v>
      </c>
      <c r="AB30" s="4">
        <v>0.00122166694094057</v>
      </c>
      <c r="AC30" s="4">
        <v>0.00276787282347464</v>
      </c>
      <c r="AD30" s="4">
        <v>0.000677611191321141</v>
      </c>
      <c r="AE30" s="4">
        <v>0.00117405885637397</v>
      </c>
      <c r="AF30" s="4">
        <v>0.000762810780076626</v>
      </c>
      <c r="AG30" s="4">
        <v>0.00152397794725695</v>
      </c>
      <c r="AH30" s="4">
        <v>0.00193196159550401</v>
      </c>
      <c r="AI30" s="4">
        <v>0.00147991992686752</v>
      </c>
      <c r="AJ30" s="4">
        <v>0.00220631903102605</v>
      </c>
      <c r="AK30" s="4">
        <v>0.00128156075641306</v>
      </c>
      <c r="AL30" s="4">
        <v>0.00122542934302515</v>
      </c>
      <c r="AM30" s="4">
        <v>0.00262414057674362</v>
      </c>
      <c r="AN30" s="4">
        <v>0.00115612364577971</v>
      </c>
      <c r="AO30" s="4">
        <v>0.00151624957765221</v>
      </c>
    </row>
    <row r="31" ht="14" spans="1:41">
      <c r="A31" s="22" t="s">
        <v>74</v>
      </c>
      <c r="B31" s="4">
        <v>0.000890670398983421</v>
      </c>
      <c r="C31" s="4">
        <v>0.000913471988787778</v>
      </c>
      <c r="D31" s="4">
        <v>0.00126197953275433</v>
      </c>
      <c r="E31" s="4">
        <v>0.0015225947605142</v>
      </c>
      <c r="F31" s="4">
        <v>0.00118298131400987</v>
      </c>
      <c r="G31" s="4">
        <v>0.00104296095021051</v>
      </c>
      <c r="H31" s="4">
        <v>0.00172148826416432</v>
      </c>
      <c r="I31" s="4">
        <v>0.00134517198160806</v>
      </c>
      <c r="J31" s="4">
        <v>0.00109159182433129</v>
      </c>
      <c r="K31" s="4">
        <v>0.00145998292078217</v>
      </c>
      <c r="L31" s="4">
        <v>0.0017206487271889</v>
      </c>
      <c r="M31" s="4">
        <v>0.00126389230236009</v>
      </c>
      <c r="N31" s="4">
        <v>0.000873858036849459</v>
      </c>
      <c r="O31" s="4">
        <v>0.00101579015111767</v>
      </c>
      <c r="P31" s="4">
        <v>0.00175972648009312</v>
      </c>
      <c r="Q31" s="4">
        <v>0.00243405200582511</v>
      </c>
      <c r="R31" s="4">
        <v>0.0021741769090955</v>
      </c>
      <c r="S31" s="4">
        <v>0.00134033687883173</v>
      </c>
      <c r="T31" s="4">
        <v>0.00130052432054754</v>
      </c>
      <c r="U31" s="4">
        <v>0.00281716294044622</v>
      </c>
      <c r="V31" s="4">
        <v>0.00149191934030413</v>
      </c>
      <c r="W31" s="4">
        <v>0.0013715358875089</v>
      </c>
      <c r="X31" s="4">
        <v>0.00149184122575917</v>
      </c>
      <c r="Y31" s="4">
        <v>0.00288654462930231</v>
      </c>
      <c r="Z31" s="4">
        <v>0.000891579873311834</v>
      </c>
      <c r="AA31" s="4">
        <v>0.00122166694094057</v>
      </c>
      <c r="AB31" s="4">
        <v>0.00625378084210266</v>
      </c>
      <c r="AC31" s="4">
        <v>0.0032577347603994</v>
      </c>
      <c r="AD31" s="4">
        <v>0.000797535751383035</v>
      </c>
      <c r="AE31" s="4">
        <v>0.00138184540659741</v>
      </c>
      <c r="AF31" s="4">
        <v>0.000897814080468995</v>
      </c>
      <c r="AG31" s="4">
        <v>0.00179369365917205</v>
      </c>
      <c r="AH31" s="4">
        <v>0.00227388281428667</v>
      </c>
      <c r="AI31" s="4">
        <v>0.0017418381897734</v>
      </c>
      <c r="AJ31" s="4">
        <v>0.00259679640587003</v>
      </c>
      <c r="AK31" s="4">
        <v>0.00150837314067397</v>
      </c>
      <c r="AL31" s="4">
        <v>0.00144230751258828</v>
      </c>
      <c r="AM31" s="4">
        <v>0.00308856458307234</v>
      </c>
      <c r="AN31" s="4">
        <v>0.00136073599777904</v>
      </c>
      <c r="AO31" s="4">
        <v>0.0017845975120915</v>
      </c>
    </row>
    <row r="32" ht="14" spans="1:41">
      <c r="A32" s="22" t="s">
        <v>75</v>
      </c>
      <c r="B32" s="4">
        <v>0.00201794966320485</v>
      </c>
      <c r="C32" s="4">
        <v>0.00206961014335413</v>
      </c>
      <c r="D32" s="4">
        <v>0.0028592071500295</v>
      </c>
      <c r="E32" s="4">
        <v>0.00344967070611526</v>
      </c>
      <c r="F32" s="4">
        <v>0.00268022463406049</v>
      </c>
      <c r="G32" s="4">
        <v>0.00236298713936746</v>
      </c>
      <c r="H32" s="4">
        <v>0.00390029428040546</v>
      </c>
      <c r="I32" s="4">
        <v>0.00304769233415279</v>
      </c>
      <c r="J32" s="4">
        <v>0.00247316780346655</v>
      </c>
      <c r="K32" s="4">
        <v>0.00330781403158774</v>
      </c>
      <c r="L32" s="4">
        <v>0.0038983921813139</v>
      </c>
      <c r="M32" s="4">
        <v>0.00286354082136979</v>
      </c>
      <c r="N32" s="4">
        <v>0.0019798586920166</v>
      </c>
      <c r="O32" s="4">
        <v>0.00230142754903979</v>
      </c>
      <c r="P32" s="4">
        <v>0.003986928791941</v>
      </c>
      <c r="Q32" s="4">
        <v>0.0055147161407677</v>
      </c>
      <c r="R32" s="4">
        <v>0.00492592946444006</v>
      </c>
      <c r="S32" s="4">
        <v>0.00303673767120431</v>
      </c>
      <c r="T32" s="4">
        <v>0.00294653624689225</v>
      </c>
      <c r="U32" s="4">
        <v>0.00638271240781683</v>
      </c>
      <c r="V32" s="4">
        <v>0.00338017086200656</v>
      </c>
      <c r="W32" s="4">
        <v>0.00310742378486014</v>
      </c>
      <c r="X32" s="4">
        <v>0.00337999388158837</v>
      </c>
      <c r="Y32" s="4">
        <v>0.00653990720829469</v>
      </c>
      <c r="Z32" s="4">
        <v>0.00202001021603877</v>
      </c>
      <c r="AA32" s="4">
        <v>0.00276787282347464</v>
      </c>
      <c r="AB32" s="4">
        <v>0.00325773476039939</v>
      </c>
      <c r="AC32" s="4">
        <v>0.0321017920626765</v>
      </c>
      <c r="AD32" s="4">
        <v>0.00180693891111024</v>
      </c>
      <c r="AE32" s="4">
        <v>0.00313078157310168</v>
      </c>
      <c r="AF32" s="4">
        <v>0.00203413476339939</v>
      </c>
      <c r="AG32" s="4">
        <v>0.00406388661793428</v>
      </c>
      <c r="AH32" s="4">
        <v>0.00515182840307068</v>
      </c>
      <c r="AI32" s="4">
        <v>0.00394640014131199</v>
      </c>
      <c r="AJ32" s="4">
        <v>0.00588343840619154</v>
      </c>
      <c r="AK32" s="4">
        <v>0.00341744945681859</v>
      </c>
      <c r="AL32" s="4">
        <v>0.0032677676978906</v>
      </c>
      <c r="AM32" s="4">
        <v>0.00699761423228041</v>
      </c>
      <c r="AN32" s="4">
        <v>0.00308295498712318</v>
      </c>
      <c r="AO32" s="4">
        <v>0.00404327790908014</v>
      </c>
    </row>
    <row r="33" ht="14" spans="1:41">
      <c r="A33" s="22" t="s">
        <v>78</v>
      </c>
      <c r="B33" s="4">
        <v>0.000494020268457925</v>
      </c>
      <c r="C33" s="4">
        <v>0.000506667424498221</v>
      </c>
      <c r="D33" s="4">
        <v>0.000699971019887131</v>
      </c>
      <c r="E33" s="4">
        <v>0.000844524162024898</v>
      </c>
      <c r="F33" s="4">
        <v>0.000656153776969458</v>
      </c>
      <c r="G33" s="4">
        <v>0.00057848992085311</v>
      </c>
      <c r="H33" s="4">
        <v>0.000954842661640374</v>
      </c>
      <c r="I33" s="4">
        <v>0.000746114639303805</v>
      </c>
      <c r="J33" s="4">
        <v>0.000605463577455952</v>
      </c>
      <c r="K33" s="4">
        <v>0.000809795806947232</v>
      </c>
      <c r="L33" s="4">
        <v>0.000954377003095474</v>
      </c>
      <c r="M33" s="4">
        <v>0.000701031958877818</v>
      </c>
      <c r="N33" s="4">
        <v>0.000484695104329521</v>
      </c>
      <c r="O33" s="4">
        <v>0.000563419334160905</v>
      </c>
      <c r="P33" s="4">
        <v>0.00097605191449088</v>
      </c>
      <c r="Q33" s="4">
        <v>0.00135007408658773</v>
      </c>
      <c r="R33" s="4">
        <v>0.00120593146637892</v>
      </c>
      <c r="S33" s="4">
        <v>0.000743432795633791</v>
      </c>
      <c r="T33" s="4">
        <v>0.000721350316240741</v>
      </c>
      <c r="U33" s="4">
        <v>0.00156257083845768</v>
      </c>
      <c r="V33" s="4">
        <v>0.00082750969815079</v>
      </c>
      <c r="W33" s="4">
        <v>0.000760737673689589</v>
      </c>
      <c r="X33" s="4">
        <v>0.000827466371047395</v>
      </c>
      <c r="Y33" s="4">
        <v>0.00160105416584104</v>
      </c>
      <c r="Z33" s="4">
        <v>0.00049452471853552</v>
      </c>
      <c r="AA33" s="4">
        <v>0.000677611191321141</v>
      </c>
      <c r="AB33" s="4">
        <v>0.000797535751383035</v>
      </c>
      <c r="AC33" s="4">
        <v>0.00180693891111024</v>
      </c>
      <c r="AD33" s="4">
        <v>0.00192396937335466</v>
      </c>
      <c r="AE33" s="4">
        <v>0.00076645596341112</v>
      </c>
      <c r="AF33" s="4">
        <v>0.000497982591051456</v>
      </c>
      <c r="AG33" s="4">
        <v>0.000994892189127245</v>
      </c>
      <c r="AH33" s="4">
        <v>0.00126123445849094</v>
      </c>
      <c r="AI33" s="4">
        <v>0.000966129974796815</v>
      </c>
      <c r="AJ33" s="4">
        <v>0.0014403420827982</v>
      </c>
      <c r="AK33" s="4">
        <v>0.000836635981998488</v>
      </c>
      <c r="AL33" s="4">
        <v>0.000799991944698063</v>
      </c>
      <c r="AM33" s="4">
        <v>0.00171310678587786</v>
      </c>
      <c r="AN33" s="4">
        <v>0.000754747394423822</v>
      </c>
      <c r="AO33" s="4">
        <v>0.000989846909719967</v>
      </c>
    </row>
    <row r="34" ht="14" spans="1:41">
      <c r="A34" s="22" t="s">
        <v>81</v>
      </c>
      <c r="B34" s="4">
        <v>0.000855961174844864</v>
      </c>
      <c r="C34" s="4">
        <v>0.000877874191848173</v>
      </c>
      <c r="D34" s="4">
        <v>0.00121280047559623</v>
      </c>
      <c r="E34" s="4">
        <v>0.00146325958683469</v>
      </c>
      <c r="F34" s="4">
        <v>0.00113688079958101</v>
      </c>
      <c r="G34" s="4">
        <v>0.00100231699771143</v>
      </c>
      <c r="H34" s="4">
        <v>0.00165440225560158</v>
      </c>
      <c r="I34" s="4">
        <v>0.00129275093352132</v>
      </c>
      <c r="J34" s="4">
        <v>0.0010490527376593</v>
      </c>
      <c r="K34" s="4">
        <v>0.00140308771634545</v>
      </c>
      <c r="L34" s="4">
        <v>0.00165359543519235</v>
      </c>
      <c r="M34" s="4">
        <v>0.00121463870500277</v>
      </c>
      <c r="N34" s="4">
        <v>0.000839803986663324</v>
      </c>
      <c r="O34" s="4">
        <v>0.000976205038518077</v>
      </c>
      <c r="P34" s="4">
        <v>0.00169115033689827</v>
      </c>
      <c r="Q34" s="4">
        <v>0.00233919754930392</v>
      </c>
      <c r="R34" s="4">
        <v>0.00208944972635674</v>
      </c>
      <c r="S34" s="4">
        <v>0.00128810425360736</v>
      </c>
      <c r="T34" s="4">
        <v>0.00124984318172105</v>
      </c>
      <c r="U34" s="4">
        <v>0.0027073787373938</v>
      </c>
      <c r="V34" s="4">
        <v>0.00143377958081693</v>
      </c>
      <c r="W34" s="4">
        <v>0.001318087443968</v>
      </c>
      <c r="X34" s="4">
        <v>0.00143370451037814</v>
      </c>
      <c r="Y34" s="4">
        <v>0.00277405663751685</v>
      </c>
      <c r="Z34" s="4">
        <v>0.000856835207164259</v>
      </c>
      <c r="AA34" s="4">
        <v>0.00117405885637397</v>
      </c>
      <c r="AB34" s="4">
        <v>0.00138184540659741</v>
      </c>
      <c r="AC34" s="4">
        <v>0.00313078157310168</v>
      </c>
      <c r="AD34" s="4">
        <v>0.00076645596341112</v>
      </c>
      <c r="AE34" s="4">
        <v>0.00577586125251086</v>
      </c>
      <c r="AF34" s="4">
        <v>0.000862826468677565</v>
      </c>
      <c r="AG34" s="4">
        <v>0.00172379382268577</v>
      </c>
      <c r="AH34" s="4">
        <v>0.0021852701149582</v>
      </c>
      <c r="AI34" s="4">
        <v>0.00167395914920918</v>
      </c>
      <c r="AJ34" s="4">
        <v>0.00249559983686267</v>
      </c>
      <c r="AK34" s="4">
        <v>0.00144959218030526</v>
      </c>
      <c r="AL34" s="4">
        <v>0.00138610111481388</v>
      </c>
      <c r="AM34" s="4">
        <v>0.00296820391934913</v>
      </c>
      <c r="AN34" s="4">
        <v>0.00130770842349991</v>
      </c>
      <c r="AO34" s="4">
        <v>0.00171505215040104</v>
      </c>
    </row>
    <row r="35" ht="14" spans="1:41">
      <c r="A35" s="22" t="s">
        <v>82</v>
      </c>
      <c r="B35" s="4">
        <v>0.000556136013074577</v>
      </c>
      <c r="C35" s="4">
        <v>0.0005703733619974</v>
      </c>
      <c r="D35" s="4">
        <v>0.000787982026492358</v>
      </c>
      <c r="E35" s="4">
        <v>0.00095071058902045</v>
      </c>
      <c r="F35" s="4">
        <v>0.000738655413120359</v>
      </c>
      <c r="G35" s="4">
        <v>0.00065122647536571</v>
      </c>
      <c r="H35" s="4">
        <v>0.00107490000889188</v>
      </c>
      <c r="I35" s="4">
        <v>0.000839927523812384</v>
      </c>
      <c r="J35" s="4">
        <v>0.000681591670477992</v>
      </c>
      <c r="K35" s="4">
        <v>0.000911615656754172</v>
      </c>
      <c r="L35" s="4">
        <v>0.00107437580066977</v>
      </c>
      <c r="M35" s="4">
        <v>0.000789176362875029</v>
      </c>
      <c r="N35" s="4">
        <v>0.000545638347430564</v>
      </c>
      <c r="O35" s="4">
        <v>0.000634260985217179</v>
      </c>
      <c r="P35" s="4">
        <v>0.00109877601170729</v>
      </c>
      <c r="Q35" s="4">
        <v>0.00151982594198794</v>
      </c>
      <c r="R35" s="4">
        <v>0.00135755951845177</v>
      </c>
      <c r="S35" s="4">
        <v>0.000836908477952208</v>
      </c>
      <c r="T35" s="4">
        <v>0.000812049453267276</v>
      </c>
      <c r="U35" s="4">
        <v>0.00175904101861858</v>
      </c>
      <c r="V35" s="4">
        <v>0.000931556807874821</v>
      </c>
      <c r="W35" s="4">
        <v>0.00085638918856907</v>
      </c>
      <c r="X35" s="4">
        <v>0.00093150803302877</v>
      </c>
      <c r="Y35" s="4">
        <v>0.00180236305544034</v>
      </c>
      <c r="Z35" s="4">
        <v>0.000556703890291081</v>
      </c>
      <c r="AA35" s="4">
        <v>0.000762810780076626</v>
      </c>
      <c r="AB35" s="4">
        <v>0.000897814080468995</v>
      </c>
      <c r="AC35" s="4">
        <v>0.00203413476339939</v>
      </c>
      <c r="AD35" s="4">
        <v>0.000497982591051456</v>
      </c>
      <c r="AE35" s="4">
        <v>0.000862826468677565</v>
      </c>
      <c r="AF35" s="4">
        <v>0.00243820747274962</v>
      </c>
      <c r="AG35" s="4">
        <v>0.00111998517232373</v>
      </c>
      <c r="AH35" s="4">
        <v>0.00141981604416128</v>
      </c>
      <c r="AI35" s="4">
        <v>0.00108760653479363</v>
      </c>
      <c r="AJ35" s="4">
        <v>0.00162144380410001</v>
      </c>
      <c r="AK35" s="4">
        <v>0.000941830586983296</v>
      </c>
      <c r="AL35" s="4">
        <v>0.00090057910377831</v>
      </c>
      <c r="AM35" s="4">
        <v>0.00192850463573694</v>
      </c>
      <c r="AN35" s="4">
        <v>0.000849645720252545</v>
      </c>
      <c r="AO35" s="4">
        <v>0.00111430552362598</v>
      </c>
    </row>
    <row r="36" ht="14" spans="1:41">
      <c r="A36" s="22" t="s">
        <v>89</v>
      </c>
      <c r="B36" s="4">
        <v>0.00111107373117606</v>
      </c>
      <c r="C36" s="4">
        <v>0.00113951775209512</v>
      </c>
      <c r="D36" s="4">
        <v>0.00157426620411495</v>
      </c>
      <c r="E36" s="4">
        <v>0.00189937270124223</v>
      </c>
      <c r="F36" s="4">
        <v>0.00147571926042304</v>
      </c>
      <c r="G36" s="4">
        <v>0.00130104976627037</v>
      </c>
      <c r="H36" s="4">
        <v>0.0021474839525642</v>
      </c>
      <c r="I36" s="4">
        <v>0.00167804527284686</v>
      </c>
      <c r="J36" s="4">
        <v>0.0013617147292257</v>
      </c>
      <c r="K36" s="4">
        <v>0.00182126707376627</v>
      </c>
      <c r="L36" s="4">
        <v>0.00214643666562079</v>
      </c>
      <c r="M36" s="4">
        <v>0.00157665230346795</v>
      </c>
      <c r="N36" s="4">
        <v>0.00109010101899501</v>
      </c>
      <c r="O36" s="4">
        <v>0.00126715534117039</v>
      </c>
      <c r="P36" s="4">
        <v>0.00219518451305664</v>
      </c>
      <c r="Q36" s="4">
        <v>0.00303637714588404</v>
      </c>
      <c r="R36" s="4">
        <v>0.0027121939309791</v>
      </c>
      <c r="S36" s="4">
        <v>0.00167201368620331</v>
      </c>
      <c r="T36" s="4">
        <v>0.00162234920006909</v>
      </c>
      <c r="U36" s="4">
        <v>0.0035142918672778</v>
      </c>
      <c r="V36" s="4">
        <v>0.00186110640921422</v>
      </c>
      <c r="W36" s="4">
        <v>0.0017109331327455</v>
      </c>
      <c r="X36" s="4">
        <v>0.00186100896461629</v>
      </c>
      <c r="Y36" s="4">
        <v>0.00360084259580837</v>
      </c>
      <c r="Z36" s="4">
        <v>0.00111220826201556</v>
      </c>
      <c r="AA36" s="4">
        <v>0.00152397794725695</v>
      </c>
      <c r="AB36" s="4">
        <v>0.00179369365917205</v>
      </c>
      <c r="AC36" s="4">
        <v>0.00406388661793428</v>
      </c>
      <c r="AD36" s="4">
        <v>0.000994892189127245</v>
      </c>
      <c r="AE36" s="4">
        <v>0.00172379382268577</v>
      </c>
      <c r="AF36" s="4">
        <v>0.00111998517232373</v>
      </c>
      <c r="AG36" s="4">
        <v>0.00973182698622821</v>
      </c>
      <c r="AH36" s="4">
        <v>0.00283657283952651</v>
      </c>
      <c r="AI36" s="4">
        <v>0.00217286962587438</v>
      </c>
      <c r="AJ36" s="4">
        <v>0.00323939391616439</v>
      </c>
      <c r="AK36" s="4">
        <v>0.00188163183072797</v>
      </c>
      <c r="AL36" s="4">
        <v>0.0017992177480511</v>
      </c>
      <c r="AM36" s="4">
        <v>0.00385285396170026</v>
      </c>
      <c r="AN36" s="4">
        <v>0.00169746072612668</v>
      </c>
      <c r="AO36" s="4">
        <v>0.00222621007577005</v>
      </c>
    </row>
    <row r="37" ht="14" spans="1:41">
      <c r="A37" s="22" t="s">
        <v>97</v>
      </c>
      <c r="B37" s="4">
        <v>0.00140851892395762</v>
      </c>
      <c r="C37" s="4">
        <v>0.00144457768460848</v>
      </c>
      <c r="D37" s="4">
        <v>0.001995712505502</v>
      </c>
      <c r="E37" s="4">
        <v>0.00240785315886858</v>
      </c>
      <c r="F37" s="4">
        <v>0.00187078359107135</v>
      </c>
      <c r="G37" s="4">
        <v>0.00164935338257229</v>
      </c>
      <c r="H37" s="4">
        <v>0.00272238619383098</v>
      </c>
      <c r="I37" s="4">
        <v>0.00212727423549167</v>
      </c>
      <c r="J37" s="4">
        <v>0.00172625894333406</v>
      </c>
      <c r="K37" s="4">
        <v>0.00230883789887226</v>
      </c>
      <c r="L37" s="4">
        <v>0.00272105853803531</v>
      </c>
      <c r="M37" s="4">
        <v>0.0019987373867487</v>
      </c>
      <c r="N37" s="4">
        <v>0.00138193161371452</v>
      </c>
      <c r="O37" s="4">
        <v>0.00160638509178257</v>
      </c>
      <c r="P37" s="4">
        <v>0.00278285665609802</v>
      </c>
      <c r="Q37" s="4">
        <v>0.00384924469929025</v>
      </c>
      <c r="R37" s="4">
        <v>0.00343827449973409</v>
      </c>
      <c r="S37" s="4">
        <v>0.00211962793471923</v>
      </c>
      <c r="T37" s="4">
        <v>0.00205666778490573</v>
      </c>
      <c r="U37" s="4">
        <v>0.00445510181770895</v>
      </c>
      <c r="V37" s="4">
        <v>0.00235934261005551</v>
      </c>
      <c r="W37" s="4">
        <v>0.00216896649383231</v>
      </c>
      <c r="X37" s="4">
        <v>0.00235921907859547</v>
      </c>
      <c r="Y37" s="4">
        <v>0.00456482301405889</v>
      </c>
      <c r="Z37" s="4">
        <v>0.00140995717968486</v>
      </c>
      <c r="AA37" s="4">
        <v>0.00193196159550401</v>
      </c>
      <c r="AB37" s="4">
        <v>0.00227388281428667</v>
      </c>
      <c r="AC37" s="4">
        <v>0.00515182840307068</v>
      </c>
      <c r="AD37" s="4">
        <v>0.00126123445849094</v>
      </c>
      <c r="AE37" s="4">
        <v>0.0021852701149582</v>
      </c>
      <c r="AF37" s="4">
        <v>0.00141981604416128</v>
      </c>
      <c r="AG37" s="4">
        <v>0.00283657283952651</v>
      </c>
      <c r="AH37" s="4">
        <v>0.015639900734641</v>
      </c>
      <c r="AI37" s="4">
        <v>0.00275456785761394</v>
      </c>
      <c r="AJ37" s="4">
        <v>0.00410661102413167</v>
      </c>
      <c r="AK37" s="4">
        <v>0.00238536288558999</v>
      </c>
      <c r="AL37" s="4">
        <v>0.0022808857552306</v>
      </c>
      <c r="AM37" s="4">
        <v>0.0048843002620138</v>
      </c>
      <c r="AN37" s="4">
        <v>0.00215188739355174</v>
      </c>
      <c r="AO37" s="4">
        <v>0.00282218806227033</v>
      </c>
    </row>
    <row r="38" ht="14" spans="1:41">
      <c r="A38" s="22" t="s">
        <v>101</v>
      </c>
      <c r="B38" s="4">
        <v>0.00107895272234491</v>
      </c>
      <c r="C38" s="4">
        <v>0.00110657443001734</v>
      </c>
      <c r="D38" s="4">
        <v>0.00152875435622757</v>
      </c>
      <c r="E38" s="4">
        <v>0.00184446206336254</v>
      </c>
      <c r="F38" s="4">
        <v>0.00143305639290464</v>
      </c>
      <c r="G38" s="4">
        <v>0.0012634365729606</v>
      </c>
      <c r="H38" s="4">
        <v>0.00208540044805001</v>
      </c>
      <c r="I38" s="4">
        <v>0.00162953318448066</v>
      </c>
      <c r="J38" s="4">
        <v>0.00132234771908438</v>
      </c>
      <c r="K38" s="4">
        <v>0.00176861446024583</v>
      </c>
      <c r="L38" s="4">
        <v>0.00208438343804702</v>
      </c>
      <c r="M38" s="4">
        <v>0.00153107147373333</v>
      </c>
      <c r="N38" s="4">
        <v>0.00105858632876746</v>
      </c>
      <c r="O38" s="4">
        <v>0.00123052203164098</v>
      </c>
      <c r="P38" s="4">
        <v>0.00213172199103728</v>
      </c>
      <c r="Q38" s="4">
        <v>0.00294859584534479</v>
      </c>
      <c r="R38" s="4">
        <v>0.0026337847284534</v>
      </c>
      <c r="S38" s="4">
        <v>0.0016236759702864</v>
      </c>
      <c r="T38" s="4">
        <v>0.00157544727851302</v>
      </c>
      <c r="U38" s="4">
        <v>0.00341269410923831</v>
      </c>
      <c r="V38" s="4">
        <v>0.00180730204526549</v>
      </c>
      <c r="W38" s="4">
        <v>0.00166147026027865</v>
      </c>
      <c r="X38" s="4">
        <v>0.00180720741777924</v>
      </c>
      <c r="Y38" s="4">
        <v>0.00349674266654706</v>
      </c>
      <c r="Z38" s="4">
        <v>0.00108005445403339</v>
      </c>
      <c r="AA38" s="4">
        <v>0.00147991992686752</v>
      </c>
      <c r="AB38" s="4">
        <v>0.0017418381897734</v>
      </c>
      <c r="AC38" s="4">
        <v>0.00394640014131199</v>
      </c>
      <c r="AD38" s="4">
        <v>0.000966129974796815</v>
      </c>
      <c r="AE38" s="4">
        <v>0.00167395914920918</v>
      </c>
      <c r="AF38" s="4">
        <v>0.00108760653479363</v>
      </c>
      <c r="AG38" s="4">
        <v>0.00217286962587438</v>
      </c>
      <c r="AH38" s="4">
        <v>0.00275456785761394</v>
      </c>
      <c r="AI38" s="4">
        <v>0.00917726875312056</v>
      </c>
      <c r="AJ38" s="4">
        <v>0.00314574342505022</v>
      </c>
      <c r="AK38" s="4">
        <v>0.00182723407929539</v>
      </c>
      <c r="AL38" s="4">
        <v>0.00174720257790291</v>
      </c>
      <c r="AM38" s="4">
        <v>0.00374146841395816</v>
      </c>
      <c r="AN38" s="4">
        <v>0.00164838733932567</v>
      </c>
      <c r="AO38" s="4">
        <v>0.00216185060843919</v>
      </c>
    </row>
    <row r="39" ht="14" spans="1:41">
      <c r="A39" s="22" t="s">
        <v>107</v>
      </c>
      <c r="B39" s="4">
        <v>0.00160854238237448</v>
      </c>
      <c r="C39" s="4">
        <v>0.00164972183958748</v>
      </c>
      <c r="D39" s="4">
        <v>0.00227912319354208</v>
      </c>
      <c r="E39" s="4">
        <v>0.00274979184922255</v>
      </c>
      <c r="F39" s="4">
        <v>0.00213645315182115</v>
      </c>
      <c r="G39" s="4">
        <v>0.00188357768877237</v>
      </c>
      <c r="H39" s="4">
        <v>0.00310899165036709</v>
      </c>
      <c r="I39" s="4">
        <v>0.00242936797548102</v>
      </c>
      <c r="J39" s="4">
        <v>0.00197140459107483</v>
      </c>
      <c r="K39" s="4">
        <v>0.00263671545422575</v>
      </c>
      <c r="L39" s="4">
        <v>0.00310747545446783</v>
      </c>
      <c r="M39" s="4">
        <v>0.00228257763750034</v>
      </c>
      <c r="N39" s="4">
        <v>0.00157817941413037</v>
      </c>
      <c r="O39" s="4">
        <v>0.00183450748058571</v>
      </c>
      <c r="P39" s="4">
        <v>0.00317804950950114</v>
      </c>
      <c r="Q39" s="4">
        <v>0.00439587508099748</v>
      </c>
      <c r="R39" s="4">
        <v>0.00392654309501213</v>
      </c>
      <c r="S39" s="4">
        <v>0.00242063582524033</v>
      </c>
      <c r="T39" s="4">
        <v>0.00234873471858632</v>
      </c>
      <c r="U39" s="4">
        <v>0.0050877698337506</v>
      </c>
      <c r="V39" s="4">
        <v>0.00269439232818607</v>
      </c>
      <c r="W39" s="4">
        <v>0.00247698094213495</v>
      </c>
      <c r="X39" s="4">
        <v>0.00269425125405093</v>
      </c>
      <c r="Y39" s="4">
        <v>0.00521307251273614</v>
      </c>
      <c r="Z39" s="4">
        <v>0.00161018488447695</v>
      </c>
      <c r="AA39" s="4">
        <v>0.00220631903102605</v>
      </c>
      <c r="AB39" s="4">
        <v>0.00259679640587003</v>
      </c>
      <c r="AC39" s="4">
        <v>0.00588343840619154</v>
      </c>
      <c r="AD39" s="4">
        <v>0.0014403420827982</v>
      </c>
      <c r="AE39" s="4">
        <v>0.00249559983686267</v>
      </c>
      <c r="AF39" s="4">
        <v>0.00162144380410001</v>
      </c>
      <c r="AG39" s="4">
        <v>0.00323939391616439</v>
      </c>
      <c r="AH39" s="4">
        <v>0.00410661102413167</v>
      </c>
      <c r="AI39" s="4">
        <v>0.00314574342505022</v>
      </c>
      <c r="AJ39" s="4">
        <v>0.0203973447557975</v>
      </c>
      <c r="AK39" s="4">
        <v>0.002724107737249</v>
      </c>
      <c r="AL39" s="4">
        <v>0.00260479383289638</v>
      </c>
      <c r="AM39" s="4">
        <v>0.00557791865345814</v>
      </c>
      <c r="AN39" s="4">
        <v>0.00245747644263066</v>
      </c>
      <c r="AO39" s="4">
        <v>0.00322296635989658</v>
      </c>
    </row>
    <row r="40" ht="14" spans="1:41">
      <c r="A40" s="22" t="s">
        <v>110</v>
      </c>
      <c r="B40" s="4">
        <v>0.000934336677193793</v>
      </c>
      <c r="C40" s="4">
        <v>0.000958256144683511</v>
      </c>
      <c r="D40" s="4">
        <v>0.00132384972562921</v>
      </c>
      <c r="E40" s="4">
        <v>0.00159724195490862</v>
      </c>
      <c r="F40" s="4">
        <v>0.00124097851615579</v>
      </c>
      <c r="G40" s="4">
        <v>0.00109409347136135</v>
      </c>
      <c r="H40" s="4">
        <v>0.00180588647203637</v>
      </c>
      <c r="I40" s="4">
        <v>0.00141112079281447</v>
      </c>
      <c r="J40" s="4">
        <v>0.00114510853752601</v>
      </c>
      <c r="K40" s="4">
        <v>0.00153156048805512</v>
      </c>
      <c r="L40" s="4">
        <v>0.00180500577566554</v>
      </c>
      <c r="M40" s="4">
        <v>0.00132585627126014</v>
      </c>
      <c r="N40" s="4">
        <v>0.000916700067074097</v>
      </c>
      <c r="O40" s="4">
        <v>0.00106559058839804</v>
      </c>
      <c r="P40" s="4">
        <v>0.00184599936638373</v>
      </c>
      <c r="Q40" s="4">
        <v>0.00255338458068803</v>
      </c>
      <c r="R40" s="4">
        <v>0.00228076876832815</v>
      </c>
      <c r="S40" s="4">
        <v>0.00140604864281703</v>
      </c>
      <c r="T40" s="4">
        <v>0.00136428422192655</v>
      </c>
      <c r="U40" s="4">
        <v>0.00295527802865605</v>
      </c>
      <c r="V40" s="4">
        <v>0.00156506263220594</v>
      </c>
      <c r="W40" s="4">
        <v>0.00143877722359443</v>
      </c>
      <c r="X40" s="4">
        <v>0.00156498068799352</v>
      </c>
      <c r="Y40" s="4">
        <v>0.00302806124531833</v>
      </c>
      <c r="Z40" s="4">
        <v>0.000935290739687587</v>
      </c>
      <c r="AA40" s="4">
        <v>0.00128156075641306</v>
      </c>
      <c r="AB40" s="4">
        <v>0.00150837314067397</v>
      </c>
      <c r="AC40" s="4">
        <v>0.00341744945681859</v>
      </c>
      <c r="AD40" s="4">
        <v>0.000836635981998488</v>
      </c>
      <c r="AE40" s="4">
        <v>0.00144959218030526</v>
      </c>
      <c r="AF40" s="4">
        <v>0.000941830586983296</v>
      </c>
      <c r="AG40" s="4">
        <v>0.00188163183072797</v>
      </c>
      <c r="AH40" s="4">
        <v>0.00238536288558999</v>
      </c>
      <c r="AI40" s="4">
        <v>0.00182723407929539</v>
      </c>
      <c r="AJ40" s="4">
        <v>0.002724107737249</v>
      </c>
      <c r="AK40" s="4">
        <v>0.00688201182347131</v>
      </c>
      <c r="AL40" s="4">
        <v>0.00151301851991655</v>
      </c>
      <c r="AM40" s="4">
        <v>0.00323998549086165</v>
      </c>
      <c r="AN40" s="4">
        <v>0.00142744785518185</v>
      </c>
      <c r="AO40" s="4">
        <v>0.00187208973317067</v>
      </c>
    </row>
    <row r="41" ht="14" spans="1:41">
      <c r="A41" s="22" t="s">
        <v>114</v>
      </c>
      <c r="B41" s="4">
        <v>0.000893413421695673</v>
      </c>
      <c r="C41" s="4">
        <v>0.000916285234198325</v>
      </c>
      <c r="D41" s="4">
        <v>0.00126586608666327</v>
      </c>
      <c r="E41" s="4">
        <v>0.00152728393847994</v>
      </c>
      <c r="F41" s="4">
        <v>0.00118662457487966</v>
      </c>
      <c r="G41" s="4">
        <v>0.00104617298642243</v>
      </c>
      <c r="H41" s="4">
        <v>0.00172678998005481</v>
      </c>
      <c r="I41" s="4">
        <v>0.00134931474564473</v>
      </c>
      <c r="J41" s="4">
        <v>0.00109495363041586</v>
      </c>
      <c r="K41" s="4">
        <v>0.00146447927130171</v>
      </c>
      <c r="L41" s="4">
        <v>0.00172594785753372</v>
      </c>
      <c r="M41" s="4">
        <v>0.00126778474707945</v>
      </c>
      <c r="N41" s="4">
        <v>0.00087654928205655</v>
      </c>
      <c r="O41" s="4">
        <v>0.00101891850865439</v>
      </c>
      <c r="P41" s="4">
        <v>0.00176514595929413</v>
      </c>
      <c r="Q41" s="4">
        <v>0.00244154822433917</v>
      </c>
      <c r="R41" s="4">
        <v>0.00218087278295513</v>
      </c>
      <c r="S41" s="4">
        <v>0.00134446475206621</v>
      </c>
      <c r="T41" s="4">
        <v>0.00130452958192501</v>
      </c>
      <c r="U41" s="4">
        <v>0.00282583903649542</v>
      </c>
      <c r="V41" s="4">
        <v>0.00149651404631431</v>
      </c>
      <c r="W41" s="4">
        <v>0.00137575984520908</v>
      </c>
      <c r="X41" s="4">
        <v>0.00149643569119779</v>
      </c>
      <c r="Y41" s="4">
        <v>0.00289543440209272</v>
      </c>
      <c r="Z41" s="4">
        <v>0.00089432569695779</v>
      </c>
      <c r="AA41" s="4">
        <v>0.00122542934302515</v>
      </c>
      <c r="AB41" s="4">
        <v>0.00144230751258829</v>
      </c>
      <c r="AC41" s="4">
        <v>0.0032677676978906</v>
      </c>
      <c r="AD41" s="4">
        <v>0.000799991944698063</v>
      </c>
      <c r="AE41" s="4">
        <v>0.00138610111481388</v>
      </c>
      <c r="AF41" s="4">
        <v>0.00090057910377831</v>
      </c>
      <c r="AG41" s="4">
        <v>0.0017992177480511</v>
      </c>
      <c r="AH41" s="4">
        <v>0.0022808857552306</v>
      </c>
      <c r="AI41" s="4">
        <v>0.00174720257790291</v>
      </c>
      <c r="AJ41" s="4">
        <v>0.00260479383289638</v>
      </c>
      <c r="AK41" s="4">
        <v>0.00151301851991655</v>
      </c>
      <c r="AL41" s="4">
        <v>0.00629236004747473</v>
      </c>
      <c r="AM41" s="4">
        <v>0.00309807652240399</v>
      </c>
      <c r="AN41" s="4">
        <v>0.00136492669475465</v>
      </c>
      <c r="AO41" s="4">
        <v>0.00179009358731022</v>
      </c>
    </row>
    <row r="42" ht="14" spans="1:41">
      <c r="A42" s="22" t="s">
        <v>127</v>
      </c>
      <c r="B42" s="4">
        <v>0.00191316000797841</v>
      </c>
      <c r="C42" s="4">
        <v>0.0019621378226468</v>
      </c>
      <c r="D42" s="4">
        <v>0.00271073202355052</v>
      </c>
      <c r="E42" s="4">
        <v>0.00327053353013415</v>
      </c>
      <c r="F42" s="4">
        <v>0.00254104385048904</v>
      </c>
      <c r="G42" s="4">
        <v>0.00224028011046884</v>
      </c>
      <c r="H42" s="4">
        <v>0.00369775677395635</v>
      </c>
      <c r="I42" s="4">
        <v>0.00288942940284413</v>
      </c>
      <c r="J42" s="4">
        <v>0.00234473922758682</v>
      </c>
      <c r="K42" s="4">
        <v>0.00313604329902509</v>
      </c>
      <c r="L42" s="4">
        <v>0.00369595344854167</v>
      </c>
      <c r="M42" s="4">
        <v>0.00271484065264427</v>
      </c>
      <c r="N42" s="4">
        <v>0.00187704705428527</v>
      </c>
      <c r="O42" s="4">
        <v>0.00218191723429314</v>
      </c>
      <c r="P42" s="4">
        <v>0.00377989246138341</v>
      </c>
      <c r="Q42" s="4">
        <v>0.00522834368381308</v>
      </c>
      <c r="R42" s="4">
        <v>0.00467013197867492</v>
      </c>
      <c r="S42" s="4">
        <v>0.00287904360212964</v>
      </c>
      <c r="T42" s="4">
        <v>0.0027935262273392</v>
      </c>
      <c r="U42" s="4">
        <v>0.00605126596749165</v>
      </c>
      <c r="V42" s="4">
        <v>0.00320464272783418</v>
      </c>
      <c r="W42" s="4">
        <v>0.00294605907245162</v>
      </c>
      <c r="X42" s="4">
        <v>0.00320447493779242</v>
      </c>
      <c r="Y42" s="4">
        <v>0.0062002978344505</v>
      </c>
      <c r="Z42" s="4">
        <v>0.00191511355882662</v>
      </c>
      <c r="AA42" s="4">
        <v>0.00262414057674362</v>
      </c>
      <c r="AB42" s="4">
        <v>0.00308856458307234</v>
      </c>
      <c r="AC42" s="4">
        <v>0.00699761423228042</v>
      </c>
      <c r="AD42" s="4">
        <v>0.00171310678587786</v>
      </c>
      <c r="AE42" s="4">
        <v>0.00296820391934913</v>
      </c>
      <c r="AF42" s="4">
        <v>0.00192850463573694</v>
      </c>
      <c r="AG42" s="4">
        <v>0.00385285396170026</v>
      </c>
      <c r="AH42" s="4">
        <v>0.0048843002620138</v>
      </c>
      <c r="AI42" s="4">
        <v>0.00374146841395816</v>
      </c>
      <c r="AJ42" s="4">
        <v>0.00557791865345814</v>
      </c>
      <c r="AK42" s="4">
        <v>0.00323998549086165</v>
      </c>
      <c r="AL42" s="4">
        <v>0.00309807652240399</v>
      </c>
      <c r="AM42" s="4">
        <v>0.0288543441698787</v>
      </c>
      <c r="AN42" s="4">
        <v>0.00292286090942146</v>
      </c>
      <c r="AO42" s="4">
        <v>0.00383331543786355</v>
      </c>
    </row>
    <row r="43" ht="14" spans="1:41">
      <c r="A43" s="22" t="s">
        <v>128</v>
      </c>
      <c r="B43" s="4">
        <v>0.000842885302329611</v>
      </c>
      <c r="C43" s="4">
        <v>0.000864463570719103</v>
      </c>
      <c r="D43" s="4">
        <v>0.00119427343853966</v>
      </c>
      <c r="E43" s="4">
        <v>0.00144090647506225</v>
      </c>
      <c r="F43" s="4">
        <v>0.00111951353008651</v>
      </c>
      <c r="G43" s="4">
        <v>0.000987005357806356</v>
      </c>
      <c r="H43" s="4">
        <v>0.00162912920161393</v>
      </c>
      <c r="I43" s="4">
        <v>0.00127300255369117</v>
      </c>
      <c r="J43" s="4">
        <v>0.00103302715114611</v>
      </c>
      <c r="K43" s="4">
        <v>0.00138165380480154</v>
      </c>
      <c r="L43" s="4">
        <v>0.00162833470639083</v>
      </c>
      <c r="M43" s="4">
        <v>0.00119608358670364</v>
      </c>
      <c r="N43" s="4">
        <v>0.000826974935311314</v>
      </c>
      <c r="O43" s="4">
        <v>0.000961292291295957</v>
      </c>
      <c r="P43" s="4">
        <v>0.00166531591022183</v>
      </c>
      <c r="Q43" s="4">
        <v>0.00230346339471655</v>
      </c>
      <c r="R43" s="4">
        <v>0.00205753078067112</v>
      </c>
      <c r="S43" s="4">
        <v>0.00126842685759745</v>
      </c>
      <c r="T43" s="4">
        <v>0.00123075027121467</v>
      </c>
      <c r="U43" s="4">
        <v>0.00266602015681672</v>
      </c>
      <c r="V43" s="4">
        <v>0.0014118768128355</v>
      </c>
      <c r="W43" s="4">
        <v>0.00129795201739984</v>
      </c>
      <c r="X43" s="4">
        <v>0.00141180288919112</v>
      </c>
      <c r="Y43" s="4">
        <v>0.00273167946900937</v>
      </c>
      <c r="Z43" s="4">
        <v>0.000843745982717261</v>
      </c>
      <c r="AA43" s="4">
        <v>0.00115612364577971</v>
      </c>
      <c r="AB43" s="4">
        <v>0.00136073599777904</v>
      </c>
      <c r="AC43" s="4">
        <v>0.00308295498712318</v>
      </c>
      <c r="AD43" s="4">
        <v>0.000754747394423822</v>
      </c>
      <c r="AE43" s="4">
        <v>0.00130770842349991</v>
      </c>
      <c r="AF43" s="4">
        <v>0.000849645720252545</v>
      </c>
      <c r="AG43" s="4">
        <v>0.00169746072612668</v>
      </c>
      <c r="AH43" s="4">
        <v>0.00215188739355174</v>
      </c>
      <c r="AI43" s="4">
        <v>0.00164838733932567</v>
      </c>
      <c r="AJ43" s="4">
        <v>0.00245747644263066</v>
      </c>
      <c r="AK43" s="4">
        <v>0.00142744785518185</v>
      </c>
      <c r="AL43" s="4">
        <v>0.00136492669475465</v>
      </c>
      <c r="AM43" s="4">
        <v>0.00292286090942146</v>
      </c>
      <c r="AN43" s="4">
        <v>0.00560074218683889</v>
      </c>
      <c r="AO43" s="4">
        <v>0.00168885259376843</v>
      </c>
    </row>
    <row r="44" ht="14" spans="1:41">
      <c r="A44" s="22" t="s">
        <v>130</v>
      </c>
      <c r="B44" s="4">
        <v>0.00110543927401866</v>
      </c>
      <c r="C44" s="4">
        <v>0.00113373905012952</v>
      </c>
      <c r="D44" s="4">
        <v>0.00156628281360491</v>
      </c>
      <c r="E44" s="4">
        <v>0.00188974063650089</v>
      </c>
      <c r="F44" s="4">
        <v>0.00146823561940454</v>
      </c>
      <c r="G44" s="4">
        <v>0.00129445190605462</v>
      </c>
      <c r="H44" s="4">
        <v>0.00213659367049973</v>
      </c>
      <c r="I44" s="4">
        <v>0.00166953559978671</v>
      </c>
      <c r="J44" s="4">
        <v>0.00135480922593898</v>
      </c>
      <c r="K44" s="4">
        <v>0.00181203109688068</v>
      </c>
      <c r="L44" s="4">
        <v>0.00213555169453907</v>
      </c>
      <c r="M44" s="4">
        <v>0.0015686568126137</v>
      </c>
      <c r="N44" s="4">
        <v>0.00108457291827908</v>
      </c>
      <c r="O44" s="4">
        <v>0.00126072936575466</v>
      </c>
      <c r="P44" s="4">
        <v>0.00218405233276621</v>
      </c>
      <c r="Q44" s="4">
        <v>0.00302097912461674</v>
      </c>
      <c r="R44" s="4">
        <v>0.00269843990181086</v>
      </c>
      <c r="S44" s="4">
        <v>0.00166353460041706</v>
      </c>
      <c r="T44" s="4">
        <v>0.00161412197193324</v>
      </c>
      <c r="U44" s="4">
        <v>0.00349647025345581</v>
      </c>
      <c r="V44" s="4">
        <v>0.00185166839980599</v>
      </c>
      <c r="W44" s="4">
        <v>0.00170225667936069</v>
      </c>
      <c r="X44" s="4">
        <v>0.00185157144936735</v>
      </c>
      <c r="Y44" s="4">
        <v>0.00358258206748579</v>
      </c>
      <c r="Z44" s="4">
        <v>0.00110656805144574</v>
      </c>
      <c r="AA44" s="4">
        <v>0.00151624957765221</v>
      </c>
      <c r="AB44" s="4">
        <v>0.0017845975120915</v>
      </c>
      <c r="AC44" s="4">
        <v>0.00404327790908014</v>
      </c>
      <c r="AD44" s="4">
        <v>0.000989846909719967</v>
      </c>
      <c r="AE44" s="4">
        <v>0.00171505215040104</v>
      </c>
      <c r="AF44" s="4">
        <v>0.00111430552362598</v>
      </c>
      <c r="AG44" s="4">
        <v>0.00222621007577005</v>
      </c>
      <c r="AH44" s="4">
        <v>0.00282218806227033</v>
      </c>
      <c r="AI44" s="4">
        <v>0.00216185060843919</v>
      </c>
      <c r="AJ44" s="4">
        <v>0.00322296635989658</v>
      </c>
      <c r="AK44" s="4">
        <v>0.00187208973317067</v>
      </c>
      <c r="AL44" s="4">
        <v>0.00179009358731022</v>
      </c>
      <c r="AM44" s="4">
        <v>0.00383331543786355</v>
      </c>
      <c r="AN44" s="4">
        <v>0.00168885259376843</v>
      </c>
      <c r="AO44" s="4">
        <v>0.00963337352595042</v>
      </c>
    </row>
  </sheetData>
  <conditionalFormatting sqref="A3">
    <cfRule type="duplicateValues" dxfId="0" priority="8"/>
    <cfRule type="duplicateValues" dxfId="0" priority="7"/>
    <cfRule type="duplicateValues" dxfId="0" priority="9"/>
  </conditionalFormatting>
  <conditionalFormatting sqref="B4:AO4">
    <cfRule type="duplicateValues" dxfId="0" priority="2"/>
    <cfRule type="duplicateValues" dxfId="0" priority="1"/>
    <cfRule type="duplicateValues" dxfId="0" priority="3"/>
  </conditionalFormatting>
  <conditionalFormatting sqref="A5:A44">
    <cfRule type="duplicateValues" dxfId="0" priority="5"/>
    <cfRule type="duplicateValues" dxfId="0" priority="4"/>
    <cfRule type="duplicateValues" dxfId="0" priority="6"/>
  </conditionalFormatting>
  <pageMargins left="0.699305555555556" right="0.699305555555556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O136"/>
  <sheetViews>
    <sheetView zoomScale="50" zoomScaleNormal="50" topLeftCell="N76" workbookViewId="0">
      <selection activeCell="B8" sqref="B8:AO47"/>
    </sheetView>
  </sheetViews>
  <sheetFormatPr defaultColWidth="11" defaultRowHeight="13.2"/>
  <cols>
    <col min="1" max="1" width="10.3359375" customWidth="1"/>
    <col min="2" max="7" width="12.6640625" customWidth="1"/>
    <col min="8" max="8" width="11.3359375" customWidth="1"/>
    <col min="9" max="9" width="12" customWidth="1"/>
    <col min="10" max="10" width="11.3359375" customWidth="1"/>
    <col min="11" max="13" width="12" customWidth="1"/>
    <col min="14" max="15" width="11.3359375" customWidth="1"/>
    <col min="16" max="17" width="12" customWidth="1"/>
    <col min="18" max="18" width="14.1640625" customWidth="1"/>
    <col min="19" max="19" width="12" customWidth="1"/>
    <col min="20" max="20" width="11.3359375" customWidth="1"/>
    <col min="21" max="21" width="12" customWidth="1"/>
    <col min="22" max="22" width="11.3359375" customWidth="1"/>
    <col min="23" max="23" width="13.8359375" customWidth="1"/>
    <col min="24" max="26" width="12" customWidth="1"/>
    <col min="27" max="27" width="11.3359375" customWidth="1"/>
    <col min="28" max="30" width="12" customWidth="1"/>
    <col min="31" max="31" width="13.8359375" customWidth="1"/>
    <col min="32" max="32" width="12.8359375" customWidth="1"/>
    <col min="33" max="38" width="12" customWidth="1"/>
    <col min="39" max="39" width="11.3359375" customWidth="1"/>
    <col min="40" max="41" width="12" customWidth="1"/>
  </cols>
  <sheetData>
    <row r="1" ht="25.2" spans="1:1">
      <c r="A1" s="26" t="s">
        <v>144</v>
      </c>
    </row>
    <row r="3" spans="1:3">
      <c r="A3" t="s">
        <v>145</v>
      </c>
      <c r="C3" s="2">
        <v>0.5</v>
      </c>
    </row>
    <row r="4" s="25" customFormat="1" spans="1:1">
      <c r="A4"/>
    </row>
    <row r="5" s="21" customFormat="1" ht="16.4"/>
    <row r="6" ht="16.4" spans="1:1">
      <c r="A6" s="21" t="s">
        <v>146</v>
      </c>
    </row>
    <row r="7" ht="14" spans="2:41">
      <c r="B7" s="22" t="s">
        <v>2</v>
      </c>
      <c r="C7" s="22" t="s">
        <v>6</v>
      </c>
      <c r="D7" s="22" t="s">
        <v>4</v>
      </c>
      <c r="E7" s="22" t="s">
        <v>5</v>
      </c>
      <c r="F7" s="22" t="s">
        <v>7</v>
      </c>
      <c r="G7" s="22" t="s">
        <v>9</v>
      </c>
      <c r="H7" s="22" t="s">
        <v>10</v>
      </c>
      <c r="I7" s="22" t="s">
        <v>11</v>
      </c>
      <c r="J7" s="22" t="s">
        <v>16</v>
      </c>
      <c r="K7" s="22" t="s">
        <v>17</v>
      </c>
      <c r="L7" s="22" t="s">
        <v>19</v>
      </c>
      <c r="M7" s="22" t="s">
        <v>28</v>
      </c>
      <c r="N7" s="22" t="s">
        <v>30</v>
      </c>
      <c r="O7" s="22" t="s">
        <v>32</v>
      </c>
      <c r="P7" s="22" t="s">
        <v>34</v>
      </c>
      <c r="Q7" s="22" t="s">
        <v>37</v>
      </c>
      <c r="R7" s="22" t="s">
        <v>39</v>
      </c>
      <c r="S7" s="22" t="s">
        <v>40</v>
      </c>
      <c r="T7" s="22" t="s">
        <v>41</v>
      </c>
      <c r="U7" s="22" t="s">
        <v>44</v>
      </c>
      <c r="V7" s="22" t="s">
        <v>49</v>
      </c>
      <c r="W7" s="22" t="s">
        <v>53</v>
      </c>
      <c r="X7" s="22" t="s">
        <v>57</v>
      </c>
      <c r="Y7" s="22" t="s">
        <v>61</v>
      </c>
      <c r="Z7" s="22" t="s">
        <v>63</v>
      </c>
      <c r="AA7" s="22" t="s">
        <v>66</v>
      </c>
      <c r="AB7" s="22" t="s">
        <v>74</v>
      </c>
      <c r="AC7" s="22" t="s">
        <v>75</v>
      </c>
      <c r="AD7" s="22" t="s">
        <v>78</v>
      </c>
      <c r="AE7" s="22" t="s">
        <v>81</v>
      </c>
      <c r="AF7" s="22" t="s">
        <v>82</v>
      </c>
      <c r="AG7" s="22" t="s">
        <v>89</v>
      </c>
      <c r="AH7" s="22" t="s">
        <v>97</v>
      </c>
      <c r="AI7" s="22" t="s">
        <v>101</v>
      </c>
      <c r="AJ7" s="22" t="s">
        <v>107</v>
      </c>
      <c r="AK7" s="22" t="s">
        <v>110</v>
      </c>
      <c r="AL7" s="22" t="s">
        <v>114</v>
      </c>
      <c r="AM7" s="22" t="s">
        <v>127</v>
      </c>
      <c r="AN7" s="22" t="s">
        <v>128</v>
      </c>
      <c r="AO7" s="22" t="s">
        <v>130</v>
      </c>
    </row>
    <row r="8" ht="14" spans="1:41">
      <c r="A8" s="22" t="s">
        <v>2</v>
      </c>
      <c r="B8" s="4">
        <f t="array" ref="B8:AO47">C3*B52:AO91+(1-C3)*B97:AO136</f>
        <v>0.00239956142449895</v>
      </c>
      <c r="C8" s="4">
        <v>0.000500193142305293</v>
      </c>
      <c r="D8" s="4">
        <v>0.000781279222909461</v>
      </c>
      <c r="E8" s="4">
        <v>0.000321760777985712</v>
      </c>
      <c r="F8" s="4">
        <v>0.000791428501486469</v>
      </c>
      <c r="G8" s="4">
        <v>0.000696167685954485</v>
      </c>
      <c r="H8" s="4">
        <v>0.000887622815980927</v>
      </c>
      <c r="I8" s="4">
        <v>0.000426362829534417</v>
      </c>
      <c r="J8" s="4">
        <v>0.000704370785419226</v>
      </c>
      <c r="K8" s="4">
        <v>0.000699318846586562</v>
      </c>
      <c r="L8" s="4">
        <v>0.000293066568143092</v>
      </c>
      <c r="M8" s="4">
        <v>2.38004076468422e-5</v>
      </c>
      <c r="N8" s="4">
        <v>0.000629619646500419</v>
      </c>
      <c r="O8" s="4">
        <v>0.000714304927482324</v>
      </c>
      <c r="P8" s="4">
        <v>0.000762292195432631</v>
      </c>
      <c r="Q8" s="4">
        <v>0.00143195812779218</v>
      </c>
      <c r="R8" s="4">
        <v>0.000719170999529596</v>
      </c>
      <c r="S8" s="4">
        <v>0.000670336869852488</v>
      </c>
      <c r="T8" s="4">
        <v>0.000684739231465199</v>
      </c>
      <c r="U8" s="4">
        <v>0.00129120775258408</v>
      </c>
      <c r="V8" s="4">
        <v>0.000579028394606244</v>
      </c>
      <c r="W8" s="4">
        <v>0.000371040162008126</v>
      </c>
      <c r="X8" s="4">
        <v>0.000451622363663848</v>
      </c>
      <c r="Y8" s="4">
        <v>0.000489537496390773</v>
      </c>
      <c r="Z8" s="4">
        <v>0.000622928190809138</v>
      </c>
      <c r="AA8" s="4">
        <v>0.000584609283580302</v>
      </c>
      <c r="AB8" s="4">
        <v>0.000307682911214181</v>
      </c>
      <c r="AC8" s="4">
        <v>0.00101719711836607</v>
      </c>
      <c r="AD8" s="4">
        <v>0.000461306371791634</v>
      </c>
      <c r="AE8" s="4">
        <v>0.000982900256933837</v>
      </c>
      <c r="AF8" s="4">
        <v>0.000494524142610144</v>
      </c>
      <c r="AG8" s="4">
        <v>0.000955522918569703</v>
      </c>
      <c r="AH8" s="4">
        <v>0.00109832038463812</v>
      </c>
      <c r="AI8" s="4">
        <v>0.000924014278809204</v>
      </c>
      <c r="AJ8" s="4">
        <v>0.000301738776349225</v>
      </c>
      <c r="AK8" s="4">
        <v>0.000622542569465842</v>
      </c>
      <c r="AL8" s="4">
        <v>0.000820561187910153</v>
      </c>
      <c r="AM8" s="4">
        <v>0.0014659261072411</v>
      </c>
      <c r="AN8" s="4">
        <v>0.00055150116604192</v>
      </c>
      <c r="AO8" s="4">
        <v>0.000642595193675745</v>
      </c>
    </row>
    <row r="9" ht="14" spans="1:41">
      <c r="A9" s="22" t="s">
        <v>6</v>
      </c>
      <c r="B9" s="4">
        <v>0.000500193142305293</v>
      </c>
      <c r="C9" s="4">
        <v>0.00252399390893863</v>
      </c>
      <c r="D9" s="4">
        <v>0.000607341668581229</v>
      </c>
      <c r="E9" s="4">
        <v>0.000188584273404401</v>
      </c>
      <c r="F9" s="4">
        <v>0.000959223318550871</v>
      </c>
      <c r="G9" s="4">
        <v>0.000595073792246664</v>
      </c>
      <c r="H9" s="4">
        <v>0.000758243456881427</v>
      </c>
      <c r="I9" s="4">
        <v>0.000282561620018637</v>
      </c>
      <c r="J9" s="4">
        <v>0.000471186459369637</v>
      </c>
      <c r="K9" s="4">
        <v>0.00093433790555954</v>
      </c>
      <c r="L9" s="4">
        <v>0.000319840106902747</v>
      </c>
      <c r="M9" s="4">
        <v>0.000311996497363466</v>
      </c>
      <c r="N9" s="4">
        <v>0.000234305722188639</v>
      </c>
      <c r="O9" s="4">
        <v>0.000256363896025517</v>
      </c>
      <c r="P9" s="4">
        <v>0.000294499889306039</v>
      </c>
      <c r="Q9" s="4">
        <v>0.000946860334206112</v>
      </c>
      <c r="R9" s="4">
        <v>0.000154094859801697</v>
      </c>
      <c r="S9" s="4">
        <v>0.00012955837479867</v>
      </c>
      <c r="T9" s="4">
        <v>0.000198040507330278</v>
      </c>
      <c r="U9" s="4">
        <v>0.00135378667347895</v>
      </c>
      <c r="V9" s="4">
        <v>0.000371663252519489</v>
      </c>
      <c r="W9" s="4">
        <v>0.00018469023515439</v>
      </c>
      <c r="X9" s="4">
        <v>-7.75348085743701e-6</v>
      </c>
      <c r="Y9" s="4">
        <v>7.41250003465041e-5</v>
      </c>
      <c r="Z9" s="4">
        <v>0.000382501947784423</v>
      </c>
      <c r="AA9" s="4">
        <v>0.000390975087618902</v>
      </c>
      <c r="AB9" s="4">
        <v>0.000363388710110389</v>
      </c>
      <c r="AC9" s="4">
        <v>-0.000243584347585836</v>
      </c>
      <c r="AD9" s="4">
        <v>0.000534646242596457</v>
      </c>
      <c r="AE9" s="4">
        <v>0.000478913602764056</v>
      </c>
      <c r="AF9" s="4">
        <v>0.000553566998891673</v>
      </c>
      <c r="AG9" s="4">
        <v>0.000121380851731909</v>
      </c>
      <c r="AH9" s="4">
        <v>0.000514398833900236</v>
      </c>
      <c r="AI9" s="4">
        <v>0.000552531752809942</v>
      </c>
      <c r="AJ9" s="4">
        <v>0.000218660568717075</v>
      </c>
      <c r="AK9" s="4">
        <v>0.000360429298766426</v>
      </c>
      <c r="AL9" s="4">
        <v>0.00063085805069389</v>
      </c>
      <c r="AM9" s="4">
        <v>0.000949674938617444</v>
      </c>
      <c r="AN9" s="4">
        <v>0.000261134482716925</v>
      </c>
      <c r="AO9" s="4">
        <v>5.67928386070292e-5</v>
      </c>
    </row>
    <row r="10" ht="14" spans="1:41">
      <c r="A10" s="22" t="s">
        <v>4</v>
      </c>
      <c r="B10" s="4">
        <v>0.000781279222909461</v>
      </c>
      <c r="C10" s="4">
        <v>0.000607341668581229</v>
      </c>
      <c r="D10" s="4">
        <v>0.00481728628300211</v>
      </c>
      <c r="E10" s="4">
        <v>0.000386309850597176</v>
      </c>
      <c r="F10" s="4">
        <v>0.0008990175100807</v>
      </c>
      <c r="G10" s="4">
        <v>0.000330598005344314</v>
      </c>
      <c r="H10" s="4">
        <v>0.00139688804838188</v>
      </c>
      <c r="I10" s="4">
        <v>0.000223512180511715</v>
      </c>
      <c r="J10" s="4">
        <v>0.000286129048463354</v>
      </c>
      <c r="K10" s="4">
        <v>0.000836522495419977</v>
      </c>
      <c r="L10" s="4">
        <v>0.000463657145711025</v>
      </c>
      <c r="M10" s="4">
        <v>0.000344925750117735</v>
      </c>
      <c r="N10" s="4">
        <v>0.000497519336467171</v>
      </c>
      <c r="O10" s="4">
        <v>0.0001365916129094</v>
      </c>
      <c r="P10" s="4">
        <v>0.000568278088737047</v>
      </c>
      <c r="Q10" s="4">
        <v>0.00118129668395363</v>
      </c>
      <c r="R10" s="4">
        <v>2.20596067621599e-5</v>
      </c>
      <c r="S10" s="4">
        <v>0.000814840649782906</v>
      </c>
      <c r="T10" s="4">
        <v>0.000358252363626352</v>
      </c>
      <c r="U10" s="4">
        <v>0.00132653619270325</v>
      </c>
      <c r="V10" s="4">
        <v>0.000321247706992776</v>
      </c>
      <c r="W10" s="4">
        <v>6.34239739396209e-5</v>
      </c>
      <c r="X10" s="4">
        <v>-5.37577459287322e-5</v>
      </c>
      <c r="Y10" s="4">
        <v>0.000597472602985498</v>
      </c>
      <c r="Z10" s="4">
        <v>-8.36601142131239e-5</v>
      </c>
      <c r="AA10" s="4">
        <v>0.000458038526177303</v>
      </c>
      <c r="AB10" s="4">
        <v>-9.69776285094876e-5</v>
      </c>
      <c r="AC10" s="4">
        <v>-0.000870220440962871</v>
      </c>
      <c r="AD10" s="4">
        <v>8.99296328467536e-5</v>
      </c>
      <c r="AE10" s="4">
        <v>0.00024277151013055</v>
      </c>
      <c r="AF10" s="4">
        <v>0.000103168370131377</v>
      </c>
      <c r="AG10" s="4">
        <v>5.01477457873393e-5</v>
      </c>
      <c r="AH10" s="4">
        <v>0.000845843968518906</v>
      </c>
      <c r="AI10" s="4">
        <v>-0.000288865346265018</v>
      </c>
      <c r="AJ10" s="4">
        <v>2.26650351140686e-5</v>
      </c>
      <c r="AK10" s="4">
        <v>0.000213579521090633</v>
      </c>
      <c r="AL10" s="4">
        <v>0.000506549648915891</v>
      </c>
      <c r="AM10" s="4">
        <v>0.000935239019732679</v>
      </c>
      <c r="AN10" s="4">
        <v>-0.000209870312031423</v>
      </c>
      <c r="AO10" s="4">
        <v>2.44730406749088e-5</v>
      </c>
    </row>
    <row r="11" ht="14" spans="1:41">
      <c r="A11" s="22" t="s">
        <v>5</v>
      </c>
      <c r="B11" s="4">
        <v>0.000321760777985712</v>
      </c>
      <c r="C11" s="4">
        <v>0.000188584273404401</v>
      </c>
      <c r="D11" s="4">
        <v>0.000386309850597176</v>
      </c>
      <c r="E11" s="4">
        <v>0.00701239700500198</v>
      </c>
      <c r="F11" s="4">
        <v>0.000748832879604114</v>
      </c>
      <c r="G11" s="4">
        <v>0.000275323118701291</v>
      </c>
      <c r="H11" s="4">
        <v>0.00148397654439462</v>
      </c>
      <c r="I11" s="4">
        <v>0.000262788059526224</v>
      </c>
      <c r="J11" s="4">
        <v>0.000857921889343064</v>
      </c>
      <c r="K11" s="4">
        <v>0.00148692147722163</v>
      </c>
      <c r="L11" s="4">
        <v>0.000481924218466798</v>
      </c>
      <c r="M11" s="4">
        <v>0.00100271941924833</v>
      </c>
      <c r="N11" s="4">
        <v>0.000661177042496116</v>
      </c>
      <c r="O11" s="4">
        <v>0.000642159035771398</v>
      </c>
      <c r="P11" s="4">
        <v>0.00081887667424419</v>
      </c>
      <c r="Q11" s="4">
        <v>-0.000478904542436569</v>
      </c>
      <c r="R11" s="4">
        <v>0.00131888130712497</v>
      </c>
      <c r="S11" s="4">
        <v>0.000530642896110437</v>
      </c>
      <c r="T11" s="4">
        <v>0.000775401486070887</v>
      </c>
      <c r="U11" s="4">
        <v>0.00218279117140271</v>
      </c>
      <c r="V11" s="4">
        <v>0.000480017868221678</v>
      </c>
      <c r="W11" s="4">
        <v>0.000389630363903552</v>
      </c>
      <c r="X11" s="4">
        <v>0.000967254704107026</v>
      </c>
      <c r="Y11" s="4">
        <v>0.00182090055627504</v>
      </c>
      <c r="Z11" s="4">
        <v>2.90931635696802e-5</v>
      </c>
      <c r="AA11" s="4">
        <v>0.000830402405152275</v>
      </c>
      <c r="AB11" s="4">
        <v>0.000995352996116536</v>
      </c>
      <c r="AC11" s="4">
        <v>0.0015568361992854</v>
      </c>
      <c r="AD11" s="4">
        <v>-0.000220087813620979</v>
      </c>
      <c r="AE11" s="4">
        <v>8.36025479824708e-5</v>
      </c>
      <c r="AF11" s="4">
        <v>1.7105874773921e-5</v>
      </c>
      <c r="AG11" s="4">
        <v>0.00023848202469557</v>
      </c>
      <c r="AH11" s="4">
        <v>0.000827873203286339</v>
      </c>
      <c r="AI11" s="4">
        <v>0.0010246461627747</v>
      </c>
      <c r="AJ11" s="4">
        <v>0.00182703239185921</v>
      </c>
      <c r="AK11" s="4">
        <v>0.000620557117230763</v>
      </c>
      <c r="AL11" s="4">
        <v>0.00121022706028343</v>
      </c>
      <c r="AM11" s="4">
        <v>0.00136839813154106</v>
      </c>
      <c r="AN11" s="4">
        <v>0.000457059037032836</v>
      </c>
      <c r="AO11" s="4">
        <v>0.000371221000912044</v>
      </c>
    </row>
    <row r="12" ht="14" spans="1:41">
      <c r="A12" s="22" t="s">
        <v>7</v>
      </c>
      <c r="B12" s="4">
        <v>0.000791428501486469</v>
      </c>
      <c r="C12" s="4">
        <v>0.000959223318550871</v>
      </c>
      <c r="D12" s="4">
        <v>0.0008990175100807</v>
      </c>
      <c r="E12" s="4">
        <v>0.000748832879604114</v>
      </c>
      <c r="F12" s="4">
        <v>0.00423305199538967</v>
      </c>
      <c r="G12" s="4">
        <v>0.00085421898858021</v>
      </c>
      <c r="H12" s="4">
        <v>0.00115523775107775</v>
      </c>
      <c r="I12" s="4">
        <v>0.00032261367712786</v>
      </c>
      <c r="J12" s="4">
        <v>0.000901176313639351</v>
      </c>
      <c r="K12" s="4">
        <v>0.00125452898762915</v>
      </c>
      <c r="L12" s="4">
        <v>0.000596250152335189</v>
      </c>
      <c r="M12" s="4">
        <v>0.000504101730819977</v>
      </c>
      <c r="N12" s="4">
        <v>0.000521606477929411</v>
      </c>
      <c r="O12" s="4">
        <v>0.000590332916676164</v>
      </c>
      <c r="P12" s="4">
        <v>0.000477033201019795</v>
      </c>
      <c r="Q12" s="4">
        <v>0.00124644224822624</v>
      </c>
      <c r="R12" s="4">
        <v>0.000566044752882555</v>
      </c>
      <c r="S12" s="4">
        <v>0.000503919709311846</v>
      </c>
      <c r="T12" s="4">
        <v>0.000747623307102557</v>
      </c>
      <c r="U12" s="4">
        <v>0.00234731473821075</v>
      </c>
      <c r="V12" s="4">
        <v>0.000280716927016705</v>
      </c>
      <c r="W12" s="4">
        <v>0.00010255806078895</v>
      </c>
      <c r="X12" s="4">
        <v>0.000227223321915564</v>
      </c>
      <c r="Y12" s="4">
        <v>0.000277015162083766</v>
      </c>
      <c r="Z12" s="4">
        <v>0.000268980514448667</v>
      </c>
      <c r="AA12" s="4">
        <v>0.000680120803811835</v>
      </c>
      <c r="AB12" s="4">
        <v>0.00051408484613695</v>
      </c>
      <c r="AC12" s="4">
        <v>-0.000576990242842221</v>
      </c>
      <c r="AD12" s="4">
        <v>0.000452519838894817</v>
      </c>
      <c r="AE12" s="4">
        <v>0.000384234041914794</v>
      </c>
      <c r="AF12" s="4">
        <v>0.000498315759975197</v>
      </c>
      <c r="AG12" s="4">
        <v>0.000618508783028003</v>
      </c>
      <c r="AH12" s="4">
        <v>0.00121741197861861</v>
      </c>
      <c r="AI12" s="4">
        <v>0.00096255063406793</v>
      </c>
      <c r="AJ12" s="4">
        <v>0.00134825317438246</v>
      </c>
      <c r="AK12" s="4">
        <v>0.000672479944892789</v>
      </c>
      <c r="AL12" s="4">
        <v>0.000875382721192286</v>
      </c>
      <c r="AM12" s="4">
        <v>0.00135287456626763</v>
      </c>
      <c r="AN12" s="4">
        <v>0.00031625956894584</v>
      </c>
      <c r="AO12" s="4">
        <v>9.32319228588942e-5</v>
      </c>
    </row>
    <row r="13" ht="14" spans="1:41">
      <c r="A13" s="22" t="s">
        <v>9</v>
      </c>
      <c r="B13" s="4">
        <v>0.000696167685954485</v>
      </c>
      <c r="C13" s="4">
        <v>0.000595073792246664</v>
      </c>
      <c r="D13" s="4">
        <v>0.000330598005344314</v>
      </c>
      <c r="E13" s="4">
        <v>0.000275323118701291</v>
      </c>
      <c r="F13" s="4">
        <v>0.00085421898858021</v>
      </c>
      <c r="G13" s="4">
        <v>0.00329028812457952</v>
      </c>
      <c r="H13" s="4">
        <v>0.00127627494199325</v>
      </c>
      <c r="I13" s="4">
        <v>0.000963872204926744</v>
      </c>
      <c r="J13" s="4">
        <v>0.000652344419844244</v>
      </c>
      <c r="K13" s="4">
        <v>0.000696900632731725</v>
      </c>
      <c r="L13" s="4">
        <v>0.000598327388077098</v>
      </c>
      <c r="M13" s="4">
        <v>0.000468039441489726</v>
      </c>
      <c r="N13" s="4">
        <v>0.000713652188403223</v>
      </c>
      <c r="O13" s="4">
        <v>0.000608664093491536</v>
      </c>
      <c r="P13" s="4">
        <v>0.000247706681562576</v>
      </c>
      <c r="Q13" s="4">
        <v>0.00111866507023188</v>
      </c>
      <c r="R13" s="4">
        <v>0.00116621516787966</v>
      </c>
      <c r="S13" s="4">
        <v>1.45322259365803e-5</v>
      </c>
      <c r="T13" s="4">
        <v>0.000550758456304003</v>
      </c>
      <c r="U13" s="4">
        <v>0.00184790682290392</v>
      </c>
      <c r="V13" s="4">
        <v>0.00110772636029758</v>
      </c>
      <c r="W13" s="4">
        <v>0.00100462670961975</v>
      </c>
      <c r="X13" s="4">
        <v>0.000118945102045311</v>
      </c>
      <c r="Y13" s="4">
        <v>0.000698082040696316</v>
      </c>
      <c r="Z13" s="4">
        <v>0.000520328057454627</v>
      </c>
      <c r="AA13" s="4">
        <v>0.000427442461162156</v>
      </c>
      <c r="AB13" s="4">
        <v>0.00061204910410547</v>
      </c>
      <c r="AC13" s="4">
        <v>0.000394308952203411</v>
      </c>
      <c r="AD13" s="4">
        <v>0.000338744597982961</v>
      </c>
      <c r="AE13" s="4">
        <v>0.00067364753430273</v>
      </c>
      <c r="AF13" s="4">
        <v>0.000536250658562703</v>
      </c>
      <c r="AG13" s="4">
        <v>0.000684602212479424</v>
      </c>
      <c r="AH13" s="4">
        <v>0.00107547317527318</v>
      </c>
      <c r="AI13" s="4">
        <v>0.0010042099258483</v>
      </c>
      <c r="AJ13" s="4">
        <v>0.000576506947432706</v>
      </c>
      <c r="AK13" s="4">
        <v>0.000300558362255168</v>
      </c>
      <c r="AL13" s="4">
        <v>0.000531735777238177</v>
      </c>
      <c r="AM13" s="4">
        <v>0.00119912631252331</v>
      </c>
      <c r="AN13" s="4">
        <v>0.000621112980936915</v>
      </c>
      <c r="AO13" s="4">
        <v>0.000647840787222945</v>
      </c>
    </row>
    <row r="14" ht="14" spans="1:41">
      <c r="A14" s="22" t="s">
        <v>10</v>
      </c>
      <c r="B14" s="4">
        <v>0.000887622815980927</v>
      </c>
      <c r="C14" s="4">
        <v>0.000758243456881427</v>
      </c>
      <c r="D14" s="4">
        <v>0.00139688804838188</v>
      </c>
      <c r="E14" s="4">
        <v>0.00148397654439462</v>
      </c>
      <c r="F14" s="4">
        <v>0.00115523775107775</v>
      </c>
      <c r="G14" s="4">
        <v>0.00127627494199325</v>
      </c>
      <c r="H14" s="4">
        <v>0.00896408500686384</v>
      </c>
      <c r="I14" s="4">
        <v>0.0011831743912991</v>
      </c>
      <c r="J14" s="4">
        <v>0.000659046228778377</v>
      </c>
      <c r="K14" s="4">
        <v>0.00104316415579522</v>
      </c>
      <c r="L14" s="4">
        <v>0.000737421169425948</v>
      </c>
      <c r="M14" s="4">
        <v>0.000995729277713062</v>
      </c>
      <c r="N14" s="4">
        <v>0.00108405529275301</v>
      </c>
      <c r="O14" s="4">
        <v>0.000829018205853903</v>
      </c>
      <c r="P14" s="4">
        <v>0.00184389708500085</v>
      </c>
      <c r="Q14" s="4">
        <v>0.00125106421523659</v>
      </c>
      <c r="R14" s="4">
        <v>0.00127840912194702</v>
      </c>
      <c r="S14" s="4">
        <v>0.000635332211053893</v>
      </c>
      <c r="T14" s="4">
        <v>0.00114679816853539</v>
      </c>
      <c r="U14" s="4">
        <v>0.00222634448981685</v>
      </c>
      <c r="V14" s="4">
        <v>0.00105726853715244</v>
      </c>
      <c r="W14" s="4">
        <v>0.00113079016164922</v>
      </c>
      <c r="X14" s="4">
        <v>0.000715386907489103</v>
      </c>
      <c r="Y14" s="4">
        <v>0.00203650150285113</v>
      </c>
      <c r="Z14" s="4">
        <v>2.04380732962868e-5</v>
      </c>
      <c r="AA14" s="4">
        <v>0.000996063995329288</v>
      </c>
      <c r="AB14" s="4">
        <v>0.00075927542700048</v>
      </c>
      <c r="AC14" s="4">
        <v>0.000183059066145425</v>
      </c>
      <c r="AD14" s="4">
        <v>4.15734437030181e-5</v>
      </c>
      <c r="AE14" s="4">
        <v>0.00054859702970209</v>
      </c>
      <c r="AF14" s="4">
        <v>0.000270202926422614</v>
      </c>
      <c r="AG14" s="4">
        <v>0.000718452721338083</v>
      </c>
      <c r="AH14" s="4">
        <v>0.000635019219604525</v>
      </c>
      <c r="AI14" s="4">
        <v>0.000384118228551983</v>
      </c>
      <c r="AJ14" s="4">
        <v>0.00183785766919502</v>
      </c>
      <c r="AK14" s="4">
        <v>0.000410923448695239</v>
      </c>
      <c r="AL14" s="4">
        <v>0.001136980184011</v>
      </c>
      <c r="AM14" s="4">
        <v>0.000576748966711818</v>
      </c>
      <c r="AN14" s="4">
        <v>0.000704515832967639</v>
      </c>
      <c r="AO14" s="4">
        <v>0.000867231764265514</v>
      </c>
    </row>
    <row r="15" ht="14" spans="1:41">
      <c r="A15" s="22" t="s">
        <v>11</v>
      </c>
      <c r="B15" s="4">
        <v>0.000426362829534417</v>
      </c>
      <c r="C15" s="4">
        <v>0.000282561620018637</v>
      </c>
      <c r="D15" s="4">
        <v>0.000223512180511715</v>
      </c>
      <c r="E15" s="4">
        <v>0.000262788059526224</v>
      </c>
      <c r="F15" s="4">
        <v>0.00032261367712786</v>
      </c>
      <c r="G15" s="4">
        <v>0.000963872204926744</v>
      </c>
      <c r="H15" s="4">
        <v>0.0011831743912991</v>
      </c>
      <c r="I15" s="4">
        <v>0.00547335301029192</v>
      </c>
      <c r="J15" s="4">
        <v>0.000643825045039575</v>
      </c>
      <c r="K15" s="4">
        <v>0.000185721403298824</v>
      </c>
      <c r="L15" s="4">
        <v>0.000145001501480633</v>
      </c>
      <c r="M15" s="4">
        <v>0.000930686357127514</v>
      </c>
      <c r="N15" s="4">
        <v>0.000773297723830685</v>
      </c>
      <c r="O15" s="4">
        <v>0.000773800951619961</v>
      </c>
      <c r="P15" s="4">
        <v>0.000934216354646328</v>
      </c>
      <c r="Q15" s="4">
        <v>0.00036314901569159</v>
      </c>
      <c r="R15" s="4">
        <v>0.00158950764295616</v>
      </c>
      <c r="S15" s="4">
        <v>-0.000281981236610707</v>
      </c>
      <c r="T15" s="4">
        <v>0.000512535673327605</v>
      </c>
      <c r="U15" s="4">
        <v>0.00317532640655001</v>
      </c>
      <c r="V15" s="4">
        <v>0.00117037063160434</v>
      </c>
      <c r="W15" s="4">
        <v>0.00114402606678214</v>
      </c>
      <c r="X15" s="4">
        <v>0.00100072541460454</v>
      </c>
      <c r="Y15" s="4">
        <v>0.00111061096319952</v>
      </c>
      <c r="Z15" s="4">
        <v>0.000301280322235774</v>
      </c>
      <c r="AA15" s="4">
        <v>0.000843402278228066</v>
      </c>
      <c r="AB15" s="4">
        <v>0.000744783273798932</v>
      </c>
      <c r="AC15" s="4">
        <v>0.000833835501045767</v>
      </c>
      <c r="AD15" s="4">
        <v>0.000159783673037059</v>
      </c>
      <c r="AE15" s="4">
        <v>0.000858929993904079</v>
      </c>
      <c r="AF15" s="4">
        <v>0.000676149533158876</v>
      </c>
      <c r="AG15" s="4">
        <v>0.00111254755831207</v>
      </c>
      <c r="AH15" s="4">
        <v>0.000975047305850768</v>
      </c>
      <c r="AI15" s="4">
        <v>0.00106363706105429</v>
      </c>
      <c r="AJ15" s="4">
        <v>0.000715181670381336</v>
      </c>
      <c r="AK15" s="4">
        <v>0.00034871995683923</v>
      </c>
      <c r="AL15" s="4">
        <v>0.000656619179502511</v>
      </c>
      <c r="AM15" s="4">
        <v>0.000609519938220563</v>
      </c>
      <c r="AN15" s="4">
        <v>0.00134327180046997</v>
      </c>
      <c r="AO15" s="4">
        <v>0.000523549248514434</v>
      </c>
    </row>
    <row r="16" ht="14" spans="1:41">
      <c r="A16" s="22" t="s">
        <v>16</v>
      </c>
      <c r="B16" s="4">
        <v>0.000704370785419226</v>
      </c>
      <c r="C16" s="4">
        <v>0.000471186459369637</v>
      </c>
      <c r="D16" s="4">
        <v>0.000286129048463354</v>
      </c>
      <c r="E16" s="4">
        <v>0.000857921889343064</v>
      </c>
      <c r="F16" s="4">
        <v>0.000901176313639351</v>
      </c>
      <c r="G16" s="4">
        <v>0.000652344419844244</v>
      </c>
      <c r="H16" s="4">
        <v>0.000659046228778377</v>
      </c>
      <c r="I16" s="4">
        <v>0.000643825045039575</v>
      </c>
      <c r="J16" s="4">
        <v>0.00360427883994</v>
      </c>
      <c r="K16" s="4">
        <v>0.00134241687620943</v>
      </c>
      <c r="L16" s="4">
        <v>0.000447195083109481</v>
      </c>
      <c r="M16" s="4">
        <v>0.00016413159897608</v>
      </c>
      <c r="N16" s="4">
        <v>0.000491869160636452</v>
      </c>
      <c r="O16" s="4">
        <v>0.000674185514793505</v>
      </c>
      <c r="P16" s="4">
        <v>0.000729933796186669</v>
      </c>
      <c r="Q16" s="4">
        <v>0.000531789970663903</v>
      </c>
      <c r="R16" s="4">
        <v>0.000668561015118105</v>
      </c>
      <c r="S16" s="4">
        <v>0.000302634898649854</v>
      </c>
      <c r="T16" s="4">
        <v>0.000581038275958478</v>
      </c>
      <c r="U16" s="4">
        <v>0.00185753058764252</v>
      </c>
      <c r="V16" s="4">
        <v>0.000592297361741961</v>
      </c>
      <c r="W16" s="4">
        <v>0.000438621263206469</v>
      </c>
      <c r="X16" s="4">
        <v>0.000651923635244131</v>
      </c>
      <c r="Y16" s="4">
        <v>0.000170662594500716</v>
      </c>
      <c r="Z16" s="4">
        <v>0.000459696866696442</v>
      </c>
      <c r="AA16" s="4">
        <v>0.000506563360062929</v>
      </c>
      <c r="AB16" s="4">
        <v>0.000857418534846376</v>
      </c>
      <c r="AC16" s="4">
        <v>0.000948532070704216</v>
      </c>
      <c r="AD16" s="4">
        <v>0.000265913140566869</v>
      </c>
      <c r="AE16" s="4">
        <v>0.000596598410163498</v>
      </c>
      <c r="AF16" s="4">
        <v>0.000346051642654463</v>
      </c>
      <c r="AG16" s="4">
        <v>0.00152794254772309</v>
      </c>
      <c r="AH16" s="4">
        <v>0.000938927140610968</v>
      </c>
      <c r="AI16" s="4">
        <v>0.00125070359137629</v>
      </c>
      <c r="AJ16" s="4">
        <v>0.00139162541149952</v>
      </c>
      <c r="AK16" s="4">
        <v>0.000979445263138898</v>
      </c>
      <c r="AL16" s="4">
        <v>0.000931681106838538</v>
      </c>
      <c r="AM16" s="4">
        <v>0.00120517543762617</v>
      </c>
      <c r="AN16" s="4">
        <v>0.000843533225083047</v>
      </c>
      <c r="AO16" s="4">
        <v>0.000413877692992993</v>
      </c>
    </row>
    <row r="17" ht="14" spans="1:41">
      <c r="A17" s="22" t="s">
        <v>17</v>
      </c>
      <c r="B17" s="4">
        <v>0.000699318846586562</v>
      </c>
      <c r="C17" s="4">
        <v>0.00093433790555954</v>
      </c>
      <c r="D17" s="4">
        <v>0.000836522495419977</v>
      </c>
      <c r="E17" s="4">
        <v>0.00148692147722163</v>
      </c>
      <c r="F17" s="4">
        <v>0.00125452898762915</v>
      </c>
      <c r="G17" s="4">
        <v>0.000696900632731725</v>
      </c>
      <c r="H17" s="4">
        <v>0.00104316415579522</v>
      </c>
      <c r="I17" s="4">
        <v>0.000185721403298824</v>
      </c>
      <c r="J17" s="4">
        <v>0.00134241687620943</v>
      </c>
      <c r="K17" s="4">
        <v>0.00644753018893236</v>
      </c>
      <c r="L17" s="4">
        <v>0.000519143218410295</v>
      </c>
      <c r="M17" s="4">
        <v>0.000309336941752012</v>
      </c>
      <c r="N17" s="4">
        <v>0.000438023653536151</v>
      </c>
      <c r="O17" s="4">
        <v>0.000502230836741498</v>
      </c>
      <c r="P17" s="4">
        <v>0.00110242740566248</v>
      </c>
      <c r="Q17" s="4">
        <v>0.00180527464716129</v>
      </c>
      <c r="R17" s="4">
        <v>0.000396334336388624</v>
      </c>
      <c r="S17" s="4">
        <v>0.000183646385766443</v>
      </c>
      <c r="T17" s="4">
        <v>0.000423794789916377</v>
      </c>
      <c r="U17" s="4">
        <v>0.00265990186689263</v>
      </c>
      <c r="V17" s="4">
        <v>0.000319184420357697</v>
      </c>
      <c r="W17" s="4">
        <v>-9.07097175447014e-5</v>
      </c>
      <c r="X17" s="4">
        <v>0.000677989327213419</v>
      </c>
      <c r="Y17" s="4">
        <v>-0.000225651102618083</v>
      </c>
      <c r="Z17" s="4">
        <v>0.000346365398439312</v>
      </c>
      <c r="AA17" s="4">
        <v>0.000776727001384385</v>
      </c>
      <c r="AB17" s="4">
        <v>0.000778917724693269</v>
      </c>
      <c r="AC17" s="4">
        <v>0.000765961239255475</v>
      </c>
      <c r="AD17" s="4">
        <v>0.000349216897809468</v>
      </c>
      <c r="AE17" s="4">
        <v>0.000258917787659451</v>
      </c>
      <c r="AF17" s="4">
        <v>0.000506813831655009</v>
      </c>
      <c r="AG17" s="4">
        <v>0.00133134136371551</v>
      </c>
      <c r="AH17" s="4">
        <v>0.00188231597301268</v>
      </c>
      <c r="AI17" s="4">
        <v>0.00118874914089587</v>
      </c>
      <c r="AJ17" s="4">
        <v>0.00231748005907751</v>
      </c>
      <c r="AK17" s="4">
        <v>0.00136323550494103</v>
      </c>
      <c r="AL17" s="4">
        <v>0.0012507015175944</v>
      </c>
      <c r="AM17" s="4">
        <v>0.000922768778222844</v>
      </c>
      <c r="AN17" s="4">
        <v>0.000377069732855036</v>
      </c>
      <c r="AO17" s="4">
        <v>0.00111015824090179</v>
      </c>
    </row>
    <row r="18" ht="14" spans="1:41">
      <c r="A18" s="22" t="s">
        <v>19</v>
      </c>
      <c r="B18" s="4">
        <v>0.000293066568143092</v>
      </c>
      <c r="C18" s="4">
        <v>0.000319840106902747</v>
      </c>
      <c r="D18" s="4">
        <v>0.000463657145711025</v>
      </c>
      <c r="E18" s="4">
        <v>0.000481924218466798</v>
      </c>
      <c r="F18" s="4">
        <v>0.000596250152335189</v>
      </c>
      <c r="G18" s="4">
        <v>0.000598327388077098</v>
      </c>
      <c r="H18" s="4">
        <v>0.000737421169425948</v>
      </c>
      <c r="I18" s="4">
        <v>0.000145001501480633</v>
      </c>
      <c r="J18" s="4">
        <v>0.000447195083109481</v>
      </c>
      <c r="K18" s="4">
        <v>0.000519143218410295</v>
      </c>
      <c r="L18" s="4">
        <v>0.00895534391242223</v>
      </c>
      <c r="M18" s="4">
        <v>0.000456608772596534</v>
      </c>
      <c r="N18" s="4">
        <v>0.000185060421879277</v>
      </c>
      <c r="O18" s="4">
        <v>0.000208008632357003</v>
      </c>
      <c r="P18" s="4">
        <v>0.00104291949131898</v>
      </c>
      <c r="Q18" s="4">
        <v>0.000567347995828346</v>
      </c>
      <c r="R18" s="4">
        <v>0.00204893186984305</v>
      </c>
      <c r="S18" s="4">
        <v>-0.000445384541056529</v>
      </c>
      <c r="T18" s="4">
        <v>0.000149273604190705</v>
      </c>
      <c r="U18" s="4">
        <v>0.00203219379604761</v>
      </c>
      <c r="V18" s="4">
        <v>0.00105582228844738</v>
      </c>
      <c r="W18" s="4">
        <v>0.0005561599820732</v>
      </c>
      <c r="X18" s="4">
        <v>-0.000196484042654628</v>
      </c>
      <c r="Y18" s="4">
        <v>0.00158545329304913</v>
      </c>
      <c r="Z18" s="4">
        <v>-0.00058276377774269</v>
      </c>
      <c r="AA18" s="4">
        <v>0.00035167535605539</v>
      </c>
      <c r="AB18" s="4">
        <v>0.00157140439437723</v>
      </c>
      <c r="AC18" s="4">
        <v>-0.000743627548766113</v>
      </c>
      <c r="AD18" s="4">
        <v>0.000155601121107632</v>
      </c>
      <c r="AE18" s="4">
        <v>0.000696302652176032</v>
      </c>
      <c r="AF18" s="4">
        <v>8.7085606426101e-5</v>
      </c>
      <c r="AG18" s="4">
        <v>0.000324045227568549</v>
      </c>
      <c r="AH18" s="4">
        <v>0.000892613532748322</v>
      </c>
      <c r="AI18" s="4">
        <v>0.000359651005000005</v>
      </c>
      <c r="AJ18" s="4">
        <v>-0.000407320173915036</v>
      </c>
      <c r="AK18" s="4">
        <v>-0.000155972632984227</v>
      </c>
      <c r="AL18" s="4">
        <v>-0.000239033167973599</v>
      </c>
      <c r="AM18" s="4">
        <v>0.000420328283917622</v>
      </c>
      <c r="AN18" s="4">
        <v>0.000533179640298691</v>
      </c>
      <c r="AO18" s="4">
        <v>-0.00104334583692545</v>
      </c>
    </row>
    <row r="19" ht="14" spans="1:41">
      <c r="A19" s="22" t="s">
        <v>28</v>
      </c>
      <c r="B19" s="4">
        <v>2.38004076468422e-5</v>
      </c>
      <c r="C19" s="4">
        <v>0.000311996497363466</v>
      </c>
      <c r="D19" s="4">
        <v>0.000344925750117735</v>
      </c>
      <c r="E19" s="4">
        <v>0.00100271941924833</v>
      </c>
      <c r="F19" s="4">
        <v>0.000504101730819977</v>
      </c>
      <c r="G19" s="4">
        <v>0.000468039441489726</v>
      </c>
      <c r="H19" s="4">
        <v>0.000995729277713062</v>
      </c>
      <c r="I19" s="4">
        <v>0.000930686357127514</v>
      </c>
      <c r="J19" s="4">
        <v>0.00016413159897608</v>
      </c>
      <c r="K19" s="4">
        <v>0.000309336941752012</v>
      </c>
      <c r="L19" s="4">
        <v>0.000456608772596534</v>
      </c>
      <c r="M19" s="4">
        <v>0.00483190037396029</v>
      </c>
      <c r="N19" s="4">
        <v>0.000536970939219521</v>
      </c>
      <c r="O19" s="4">
        <v>0.000131051857269829</v>
      </c>
      <c r="P19" s="4">
        <v>0.000492018202315135</v>
      </c>
      <c r="Q19" s="4">
        <v>-0.000760703529840654</v>
      </c>
      <c r="R19" s="4">
        <v>0.000797930008432903</v>
      </c>
      <c r="S19" s="4">
        <v>-0.000201837034010265</v>
      </c>
      <c r="T19" s="4">
        <v>0.000320056957303069</v>
      </c>
      <c r="U19" s="4">
        <v>0.00130442290227348</v>
      </c>
      <c r="V19" s="4">
        <v>0.000352940616400224</v>
      </c>
      <c r="W19" s="4">
        <v>0.000408057538441077</v>
      </c>
      <c r="X19" s="4">
        <v>3.03657458169937e-5</v>
      </c>
      <c r="Y19" s="4">
        <v>0.000644166696019433</v>
      </c>
      <c r="Z19" s="4">
        <v>-2.88124882962189e-5</v>
      </c>
      <c r="AA19" s="4">
        <v>0.000405936953180328</v>
      </c>
      <c r="AB19" s="4">
        <v>0.000119787227994281</v>
      </c>
      <c r="AC19" s="4">
        <v>-0.000605003620712232</v>
      </c>
      <c r="AD19" s="4">
        <v>0.000130244702225739</v>
      </c>
      <c r="AE19" s="4">
        <v>-5.92783568930082e-5</v>
      </c>
      <c r="AF19" s="4">
        <v>0.000283251444920896</v>
      </c>
      <c r="AG19" s="4">
        <v>-0.000212044701934343</v>
      </c>
      <c r="AH19" s="4">
        <v>0.00032096341180314</v>
      </c>
      <c r="AI19" s="4">
        <v>0.000134188999042748</v>
      </c>
      <c r="AJ19" s="4">
        <v>-9.64483112416507e-5</v>
      </c>
      <c r="AK19" s="4">
        <v>6.69260588131621e-5</v>
      </c>
      <c r="AL19" s="4">
        <v>0.000227052461961902</v>
      </c>
      <c r="AM19" s="4">
        <v>0.00038399540253993</v>
      </c>
      <c r="AN19" s="4">
        <v>0.000214359034068715</v>
      </c>
      <c r="AO19" s="4">
        <v>1.96469405825999e-5</v>
      </c>
    </row>
    <row r="20" ht="14" spans="1:41">
      <c r="A20" s="22" t="s">
        <v>30</v>
      </c>
      <c r="B20" s="4">
        <v>0.000629619646500419</v>
      </c>
      <c r="C20" s="4">
        <v>0.000234305722188639</v>
      </c>
      <c r="D20" s="4">
        <v>0.000497519336467171</v>
      </c>
      <c r="E20" s="4">
        <v>0.000661177042496116</v>
      </c>
      <c r="F20" s="4">
        <v>0.000521606477929411</v>
      </c>
      <c r="G20" s="4">
        <v>0.000713652188403223</v>
      </c>
      <c r="H20" s="4">
        <v>0.00108405529275301</v>
      </c>
      <c r="I20" s="4">
        <v>0.000773297723830685</v>
      </c>
      <c r="J20" s="4">
        <v>0.000491869160636452</v>
      </c>
      <c r="K20" s="4">
        <v>0.000438023653536151</v>
      </c>
      <c r="L20" s="4">
        <v>0.000185060421879277</v>
      </c>
      <c r="M20" s="4">
        <v>0.000536970939219521</v>
      </c>
      <c r="N20" s="4">
        <v>0.00230982779563246</v>
      </c>
      <c r="O20" s="4">
        <v>0.000657108266727334</v>
      </c>
      <c r="P20" s="4">
        <v>0.0010834774593665</v>
      </c>
      <c r="Q20" s="4">
        <v>0.000772008491440078</v>
      </c>
      <c r="R20" s="4">
        <v>0.00165094698669822</v>
      </c>
      <c r="S20" s="4">
        <v>0.000707795899877639</v>
      </c>
      <c r="T20" s="4">
        <v>0.000839785351745</v>
      </c>
      <c r="U20" s="4">
        <v>0.00162089028863256</v>
      </c>
      <c r="V20" s="4">
        <v>0.000609928607744237</v>
      </c>
      <c r="W20" s="4">
        <v>0.00106632111687732</v>
      </c>
      <c r="X20" s="4">
        <v>0.000880929702493698</v>
      </c>
      <c r="Y20" s="4">
        <v>0.00117004423513197</v>
      </c>
      <c r="Z20" s="4">
        <v>0.000450440545415018</v>
      </c>
      <c r="AA20" s="4">
        <v>0.000637949548980532</v>
      </c>
      <c r="AB20" s="4">
        <v>0.000285653960348827</v>
      </c>
      <c r="AC20" s="4">
        <v>0.00054603557178188</v>
      </c>
      <c r="AD20" s="4">
        <v>0.000198582204963895</v>
      </c>
      <c r="AE20" s="4">
        <v>0.000575882590635317</v>
      </c>
      <c r="AF20" s="4">
        <v>0.000277532478359807</v>
      </c>
      <c r="AG20" s="4">
        <v>0.000638442785551423</v>
      </c>
      <c r="AH20" s="4">
        <v>0.000625940968173138</v>
      </c>
      <c r="AI20" s="4">
        <v>0.000921217408798376</v>
      </c>
      <c r="AJ20" s="4">
        <v>0.000823673903544699</v>
      </c>
      <c r="AK20" s="4">
        <v>0.000403841484402913</v>
      </c>
      <c r="AL20" s="4">
        <v>0.000673352559730194</v>
      </c>
      <c r="AM20" s="4">
        <v>0.00167759544178118</v>
      </c>
      <c r="AN20" s="4">
        <v>0.000765469587370128</v>
      </c>
      <c r="AO20" s="4">
        <v>0.000420579240380031</v>
      </c>
    </row>
    <row r="21" ht="14" spans="1:41">
      <c r="A21" s="22" t="s">
        <v>32</v>
      </c>
      <c r="B21" s="4">
        <v>0.000714304927482324</v>
      </c>
      <c r="C21" s="4">
        <v>0.000256363896025517</v>
      </c>
      <c r="D21" s="4">
        <v>0.0001365916129094</v>
      </c>
      <c r="E21" s="4">
        <v>0.000642159035771398</v>
      </c>
      <c r="F21" s="4">
        <v>0.000590332916676164</v>
      </c>
      <c r="G21" s="4">
        <v>0.000608664093491536</v>
      </c>
      <c r="H21" s="4">
        <v>0.000829018205853903</v>
      </c>
      <c r="I21" s="4">
        <v>0.000773800951619961</v>
      </c>
      <c r="J21" s="4">
        <v>0.000674185514793505</v>
      </c>
      <c r="K21" s="4">
        <v>0.000502230836741498</v>
      </c>
      <c r="L21" s="4">
        <v>0.000208008632357003</v>
      </c>
      <c r="M21" s="4">
        <v>0.000131051857269829</v>
      </c>
      <c r="N21" s="4">
        <v>0.000657108266727334</v>
      </c>
      <c r="O21" s="4">
        <v>0.00312108667113482</v>
      </c>
      <c r="P21" s="4">
        <v>0.00122877748650107</v>
      </c>
      <c r="Q21" s="4">
        <v>0.00085936645744177</v>
      </c>
      <c r="R21" s="4">
        <v>0.001218297734616</v>
      </c>
      <c r="S21" s="4">
        <v>0.000472182581034203</v>
      </c>
      <c r="T21" s="4">
        <v>0.000950237310102562</v>
      </c>
      <c r="U21" s="4">
        <v>0.00150391111377894</v>
      </c>
      <c r="V21" s="4">
        <v>0.000755743410122165</v>
      </c>
      <c r="W21" s="4">
        <v>0.000786816619924527</v>
      </c>
      <c r="X21" s="4">
        <v>0.000990388910420583</v>
      </c>
      <c r="Y21" s="4">
        <v>0.000479694469991604</v>
      </c>
      <c r="Z21" s="4">
        <v>0.000454527062890882</v>
      </c>
      <c r="AA21" s="4">
        <v>0.000855349294197226</v>
      </c>
      <c r="AB21" s="4">
        <v>0.000526726344791878</v>
      </c>
      <c r="AC21" s="4">
        <v>0.00128796710331801</v>
      </c>
      <c r="AD21" s="4">
        <v>0.000284100626383126</v>
      </c>
      <c r="AE21" s="4">
        <v>0.00102754049872219</v>
      </c>
      <c r="AF21" s="4">
        <v>0.000250967271137991</v>
      </c>
      <c r="AG21" s="4">
        <v>0.000901356199425229</v>
      </c>
      <c r="AH21" s="4">
        <v>0.000691347854605719</v>
      </c>
      <c r="AI21" s="4">
        <v>0.00124446589937378</v>
      </c>
      <c r="AJ21" s="4">
        <v>0.00127288313205625</v>
      </c>
      <c r="AK21" s="4">
        <v>0.000848150544118072</v>
      </c>
      <c r="AL21" s="4">
        <v>0.000583672669890453</v>
      </c>
      <c r="AM21" s="4">
        <v>0.000661663527431784</v>
      </c>
      <c r="AN21" s="4">
        <v>0.000989682545194395</v>
      </c>
      <c r="AO21" s="4">
        <v>0.000329108877371951</v>
      </c>
    </row>
    <row r="22" ht="14" spans="1:41">
      <c r="A22" s="22" t="s">
        <v>34</v>
      </c>
      <c r="B22" s="4">
        <v>0.000762292195432631</v>
      </c>
      <c r="C22" s="4">
        <v>0.000294499889306039</v>
      </c>
      <c r="D22" s="4">
        <v>0.000568278088737047</v>
      </c>
      <c r="E22" s="4">
        <v>0.00081887667424419</v>
      </c>
      <c r="F22" s="4">
        <v>0.000477033201019795</v>
      </c>
      <c r="G22" s="4">
        <v>0.000247706681562576</v>
      </c>
      <c r="H22" s="4">
        <v>0.00184389708500085</v>
      </c>
      <c r="I22" s="4">
        <v>0.000934216354646328</v>
      </c>
      <c r="J22" s="4">
        <v>0.000729933796186669</v>
      </c>
      <c r="K22" s="4">
        <v>0.00110242740566248</v>
      </c>
      <c r="L22" s="4">
        <v>0.00104291949131898</v>
      </c>
      <c r="M22" s="4">
        <v>0.000492018202315135</v>
      </c>
      <c r="N22" s="4">
        <v>0.0010834774593665</v>
      </c>
      <c r="O22" s="4">
        <v>0.00122877748650107</v>
      </c>
      <c r="P22" s="4">
        <v>0.00936673367711772</v>
      </c>
      <c r="Q22" s="4">
        <v>0.00164948105823604</v>
      </c>
      <c r="R22" s="4">
        <v>0.0023689592930899</v>
      </c>
      <c r="S22" s="4">
        <v>0.00111794605460176</v>
      </c>
      <c r="T22" s="4">
        <v>0.00159815716119634</v>
      </c>
      <c r="U22" s="4">
        <v>0.002342189310913</v>
      </c>
      <c r="V22" s="4">
        <v>0.000896152466858337</v>
      </c>
      <c r="W22" s="4">
        <v>0.00159575344071423</v>
      </c>
      <c r="X22" s="4">
        <v>0.00156037472737558</v>
      </c>
      <c r="Y22" s="4">
        <v>0.0016981993357695</v>
      </c>
      <c r="Z22" s="4">
        <v>9.90900606253665e-5</v>
      </c>
      <c r="AA22" s="4">
        <v>0.0014266897681264</v>
      </c>
      <c r="AB22" s="4">
        <v>0.000729726527054466</v>
      </c>
      <c r="AC22" s="4">
        <v>0.00139904436195987</v>
      </c>
      <c r="AD22" s="4">
        <v>0.000133627927160035</v>
      </c>
      <c r="AE22" s="4">
        <v>0.00103757469081382</v>
      </c>
      <c r="AF22" s="4">
        <v>0.000242301746856337</v>
      </c>
      <c r="AG22" s="4">
        <v>0.000874319717593205</v>
      </c>
      <c r="AH22" s="4">
        <v>-0.000362171839832087</v>
      </c>
      <c r="AI22" s="4">
        <v>0.000888483969416634</v>
      </c>
      <c r="AJ22" s="4">
        <v>0.00165290890139209</v>
      </c>
      <c r="AK22" s="4">
        <v>0.00151660417401395</v>
      </c>
      <c r="AL22" s="4">
        <v>0.00066270425668288</v>
      </c>
      <c r="AM22" s="4">
        <v>0.000752003346924876</v>
      </c>
      <c r="AN22" s="4">
        <v>0.00110398593333556</v>
      </c>
      <c r="AO22" s="4">
        <v>0.000938843505194933</v>
      </c>
    </row>
    <row r="23" ht="14" spans="1:41">
      <c r="A23" s="22" t="s">
        <v>37</v>
      </c>
      <c r="B23" s="4">
        <v>0.00143195812779218</v>
      </c>
      <c r="C23" s="4">
        <v>0.000946860334206112</v>
      </c>
      <c r="D23" s="4">
        <v>0.00118129668395363</v>
      </c>
      <c r="E23" s="4">
        <v>-0.000478904542436569</v>
      </c>
      <c r="F23" s="4">
        <v>0.00124644224822624</v>
      </c>
      <c r="G23" s="4">
        <v>0.00111866507023188</v>
      </c>
      <c r="H23" s="4">
        <v>0.00125106421523659</v>
      </c>
      <c r="I23" s="4">
        <v>0.00036314901569159</v>
      </c>
      <c r="J23" s="4">
        <v>0.000531789970663903</v>
      </c>
      <c r="K23" s="4">
        <v>0.00180527464716129</v>
      </c>
      <c r="L23" s="4">
        <v>0.000567347995828346</v>
      </c>
      <c r="M23" s="4">
        <v>-0.000760703529840654</v>
      </c>
      <c r="N23" s="4">
        <v>0.000772008491440078</v>
      </c>
      <c r="O23" s="4">
        <v>0.00085936645744177</v>
      </c>
      <c r="P23" s="4">
        <v>0.00164948105823604</v>
      </c>
      <c r="Q23" s="4">
        <v>0.0179208060570502</v>
      </c>
      <c r="R23" s="4">
        <v>0.000755342417899735</v>
      </c>
      <c r="S23" s="4">
        <v>0.00103552953857642</v>
      </c>
      <c r="T23" s="4">
        <v>0.000734572741591836</v>
      </c>
      <c r="U23" s="4">
        <v>0.00153204337583682</v>
      </c>
      <c r="V23" s="4">
        <v>6.04673977143348e-5</v>
      </c>
      <c r="W23" s="4">
        <v>0.00035401221388011</v>
      </c>
      <c r="X23" s="4">
        <v>-0.000608212134715727</v>
      </c>
      <c r="Y23" s="4">
        <v>-0.00205948477080869</v>
      </c>
      <c r="Z23" s="4">
        <v>0.000236289695331702</v>
      </c>
      <c r="AA23" s="4">
        <v>0.000433290856393709</v>
      </c>
      <c r="AB23" s="4">
        <v>-0.000537013698610312</v>
      </c>
      <c r="AC23" s="4">
        <v>-0.0015528337285841</v>
      </c>
      <c r="AD23" s="4">
        <v>0.00058604537670575</v>
      </c>
      <c r="AE23" s="4">
        <v>0.000498424076031438</v>
      </c>
      <c r="AF23" s="4">
        <v>0.000624140468922072</v>
      </c>
      <c r="AG23" s="4">
        <v>0.00139966687232432</v>
      </c>
      <c r="AH23" s="4">
        <v>0.00263128105530953</v>
      </c>
      <c r="AI23" s="4">
        <v>0.000760443636704711</v>
      </c>
      <c r="AJ23" s="4">
        <v>0.000414530089166232</v>
      </c>
      <c r="AK23" s="4">
        <v>0.000851683729351463</v>
      </c>
      <c r="AL23" s="4">
        <v>3.02790580838786e-5</v>
      </c>
      <c r="AM23" s="4">
        <v>0.000258803465750036</v>
      </c>
      <c r="AN23" s="4">
        <v>0.000787028773534137</v>
      </c>
      <c r="AO23" s="4">
        <v>0.000102008497353776</v>
      </c>
    </row>
    <row r="24" ht="14" spans="1:41">
      <c r="A24" s="22" t="s">
        <v>39</v>
      </c>
      <c r="B24" s="4">
        <v>0.000719170999529596</v>
      </c>
      <c r="C24" s="4">
        <v>0.000154094859801697</v>
      </c>
      <c r="D24" s="4">
        <v>2.20596067621599e-5</v>
      </c>
      <c r="E24" s="4">
        <v>0.00131888130712497</v>
      </c>
      <c r="F24" s="4">
        <v>0.000566044752882555</v>
      </c>
      <c r="G24" s="4">
        <v>0.00116621516787966</v>
      </c>
      <c r="H24" s="4">
        <v>0.00127840912194702</v>
      </c>
      <c r="I24" s="4">
        <v>0.00158950764295616</v>
      </c>
      <c r="J24" s="4">
        <v>0.000668561015118105</v>
      </c>
      <c r="K24" s="4">
        <v>0.000396334336388624</v>
      </c>
      <c r="L24" s="4">
        <v>0.00204893186984305</v>
      </c>
      <c r="M24" s="4">
        <v>0.000797930008432903</v>
      </c>
      <c r="N24" s="4">
        <v>0.00165094698669822</v>
      </c>
      <c r="O24" s="4">
        <v>0.001218297734616</v>
      </c>
      <c r="P24" s="4">
        <v>0.0023689592930899</v>
      </c>
      <c r="Q24" s="4">
        <v>0.000755342417899735</v>
      </c>
      <c r="R24" s="4">
        <v>0.0142984049137515</v>
      </c>
      <c r="S24" s="4">
        <v>0.00116921226714159</v>
      </c>
      <c r="T24" s="4">
        <v>0.00179652860351578</v>
      </c>
      <c r="U24" s="4">
        <v>0.00349140358542942</v>
      </c>
      <c r="V24" s="4">
        <v>0.00169578796959062</v>
      </c>
      <c r="W24" s="4">
        <v>0.00182782006544007</v>
      </c>
      <c r="X24" s="4">
        <v>0.00152622155781213</v>
      </c>
      <c r="Y24" s="4">
        <v>0.00179474406861562</v>
      </c>
      <c r="Z24" s="4">
        <v>0.000142774345858338</v>
      </c>
      <c r="AA24" s="4">
        <v>0.00151015943724796</v>
      </c>
      <c r="AB24" s="4">
        <v>0.00159168568196047</v>
      </c>
      <c r="AC24" s="4">
        <v>0.00164509466010779</v>
      </c>
      <c r="AD24" s="4">
        <v>-3.8926859567251e-5</v>
      </c>
      <c r="AE24" s="4">
        <v>0.00143775122286193</v>
      </c>
      <c r="AF24" s="4">
        <v>0.000393363231004263</v>
      </c>
      <c r="AG24" s="4">
        <v>0.00157740587683507</v>
      </c>
      <c r="AH24" s="4">
        <v>-3.11139845046768e-5</v>
      </c>
      <c r="AI24" s="4">
        <v>0.00264411233609535</v>
      </c>
      <c r="AJ24" s="4">
        <v>0.00105159444978638</v>
      </c>
      <c r="AK24" s="4">
        <v>0.000637005765041956</v>
      </c>
      <c r="AL24" s="4">
        <v>0.00066760168332159</v>
      </c>
      <c r="AM24" s="4">
        <v>0.00268352148345333</v>
      </c>
      <c r="AN24" s="4">
        <v>0.00220575342819557</v>
      </c>
      <c r="AO24" s="4">
        <v>0.000510311979982773</v>
      </c>
    </row>
    <row r="25" ht="14" spans="1:41">
      <c r="A25" s="22" t="s">
        <v>40</v>
      </c>
      <c r="B25" s="4">
        <v>0.000670336869852488</v>
      </c>
      <c r="C25" s="4">
        <v>0.00012955837479867</v>
      </c>
      <c r="D25" s="4">
        <v>0.000814840649782906</v>
      </c>
      <c r="E25" s="4">
        <v>0.000530642896110437</v>
      </c>
      <c r="F25" s="4">
        <v>0.000503919709311846</v>
      </c>
      <c r="G25" s="4">
        <v>1.45322259365803e-5</v>
      </c>
      <c r="H25" s="4">
        <v>0.000635332211053893</v>
      </c>
      <c r="I25" s="4">
        <v>-0.000281981236610707</v>
      </c>
      <c r="J25" s="4">
        <v>0.000302634898649854</v>
      </c>
      <c r="K25" s="4">
        <v>0.000183646385766443</v>
      </c>
      <c r="L25" s="4">
        <v>-0.000445384541056529</v>
      </c>
      <c r="M25" s="4">
        <v>-0.000201837034010265</v>
      </c>
      <c r="N25" s="4">
        <v>0.000707795899877639</v>
      </c>
      <c r="O25" s="4">
        <v>0.000472182581034203</v>
      </c>
      <c r="P25" s="4">
        <v>0.00111794605460176</v>
      </c>
      <c r="Q25" s="4">
        <v>0.00103552953857642</v>
      </c>
      <c r="R25" s="4">
        <v>0.00116921226714159</v>
      </c>
      <c r="S25" s="4">
        <v>0.0054340767496654</v>
      </c>
      <c r="T25" s="4">
        <v>0.0011650449949682</v>
      </c>
      <c r="U25" s="4">
        <v>-0.000560093652729618</v>
      </c>
      <c r="V25" s="4">
        <v>0.000312638593714498</v>
      </c>
      <c r="W25" s="4">
        <v>0.000506410302049252</v>
      </c>
      <c r="X25" s="4">
        <v>0.00063872219902638</v>
      </c>
      <c r="Y25" s="4">
        <v>0.000827097451764657</v>
      </c>
      <c r="Z25" s="4">
        <v>0.000251362515597868</v>
      </c>
      <c r="AA25" s="4">
        <v>0.000657961910666409</v>
      </c>
      <c r="AB25" s="4">
        <v>-0.000375629543522921</v>
      </c>
      <c r="AC25" s="4">
        <v>0.000520843096104239</v>
      </c>
      <c r="AD25" s="4">
        <v>-1.02118051551843e-5</v>
      </c>
      <c r="AE25" s="4">
        <v>0.000405234326632131</v>
      </c>
      <c r="AF25" s="4">
        <v>-3.5693553410003e-5</v>
      </c>
      <c r="AG25" s="4">
        <v>0.000562382713669064</v>
      </c>
      <c r="AH25" s="4">
        <v>0.000385647171779346</v>
      </c>
      <c r="AI25" s="4">
        <v>0.000413900173357014</v>
      </c>
      <c r="AJ25" s="4">
        <v>0.00113370515116192</v>
      </c>
      <c r="AK25" s="4">
        <v>0.000508295792414205</v>
      </c>
      <c r="AL25" s="4">
        <v>0.0012054005550366</v>
      </c>
      <c r="AM25" s="4">
        <v>0.00116362461876524</v>
      </c>
      <c r="AN25" s="4">
        <v>0.000370816953598039</v>
      </c>
      <c r="AO25" s="4">
        <v>0.000723871886892702</v>
      </c>
    </row>
    <row r="26" ht="14" spans="1:41">
      <c r="A26" s="22" t="s">
        <v>41</v>
      </c>
      <c r="B26" s="4">
        <v>0.000684739231465199</v>
      </c>
      <c r="C26" s="4">
        <v>0.000198040507330278</v>
      </c>
      <c r="D26" s="4">
        <v>0.000358252363626352</v>
      </c>
      <c r="E26" s="4">
        <v>0.000775401486070887</v>
      </c>
      <c r="F26" s="4">
        <v>0.000747623307102557</v>
      </c>
      <c r="G26" s="4">
        <v>0.000550758456304003</v>
      </c>
      <c r="H26" s="4">
        <v>0.00114679816853539</v>
      </c>
      <c r="I26" s="4">
        <v>0.000512535673327605</v>
      </c>
      <c r="J26" s="4">
        <v>0.000581038275958478</v>
      </c>
      <c r="K26" s="4">
        <v>0.000423794789916377</v>
      </c>
      <c r="L26" s="4">
        <v>0.000149273604190705</v>
      </c>
      <c r="M26" s="4">
        <v>0.000320056957303069</v>
      </c>
      <c r="N26" s="4">
        <v>0.000839785351745</v>
      </c>
      <c r="O26" s="4">
        <v>0.000950237310102562</v>
      </c>
      <c r="P26" s="4">
        <v>0.00159815716119634</v>
      </c>
      <c r="Q26" s="4">
        <v>0.000734572741591836</v>
      </c>
      <c r="R26" s="4">
        <v>0.00179652860351578</v>
      </c>
      <c r="S26" s="4">
        <v>0.0011650449949682</v>
      </c>
      <c r="T26" s="4">
        <v>0.00511605011405166</v>
      </c>
      <c r="U26" s="4">
        <v>0.00137482428927316</v>
      </c>
      <c r="V26" s="4">
        <v>0.00102487400049297</v>
      </c>
      <c r="W26" s="4">
        <v>0.00112472336485578</v>
      </c>
      <c r="X26" s="4">
        <v>0.00106833190027923</v>
      </c>
      <c r="Y26" s="4">
        <v>0.0016161070334301</v>
      </c>
      <c r="Z26" s="4">
        <v>0.000562071933200119</v>
      </c>
      <c r="AA26" s="4">
        <v>0.00114465902883465</v>
      </c>
      <c r="AB26" s="4">
        <v>0.000135644023350749</v>
      </c>
      <c r="AC26" s="4">
        <v>0.00194557147586821</v>
      </c>
      <c r="AD26" s="4">
        <v>0.000432976585433298</v>
      </c>
      <c r="AE26" s="4">
        <v>0.000728359896636587</v>
      </c>
      <c r="AF26" s="4">
        <v>0.000457112115780846</v>
      </c>
      <c r="AG26" s="4">
        <v>0.00132671064771539</v>
      </c>
      <c r="AH26" s="4">
        <v>0.00122112973834146</v>
      </c>
      <c r="AI26" s="4">
        <v>0.0011413900930871</v>
      </c>
      <c r="AJ26" s="4">
        <v>0.00201009377544867</v>
      </c>
      <c r="AK26" s="4">
        <v>0.000452715468575884</v>
      </c>
      <c r="AL26" s="4">
        <v>0.00121124118613714</v>
      </c>
      <c r="AM26" s="4">
        <v>0.00206361051272762</v>
      </c>
      <c r="AN26" s="4">
        <v>0.00105039282033829</v>
      </c>
      <c r="AO26" s="4">
        <v>0.00146677757771331</v>
      </c>
    </row>
    <row r="27" ht="14" spans="1:41">
      <c r="A27" s="22" t="s">
        <v>44</v>
      </c>
      <c r="B27" s="4">
        <v>0.00129120775258408</v>
      </c>
      <c r="C27" s="4">
        <v>0.00135378667347895</v>
      </c>
      <c r="D27" s="4">
        <v>0.00132653619270325</v>
      </c>
      <c r="E27" s="4">
        <v>0.00218279117140271</v>
      </c>
      <c r="F27" s="4">
        <v>0.00234731473821075</v>
      </c>
      <c r="G27" s="4">
        <v>0.00184790682290392</v>
      </c>
      <c r="H27" s="4">
        <v>0.00222634448981685</v>
      </c>
      <c r="I27" s="4">
        <v>0.00317532640655001</v>
      </c>
      <c r="J27" s="4">
        <v>0.00185753058764252</v>
      </c>
      <c r="K27" s="4">
        <v>0.00265990186689263</v>
      </c>
      <c r="L27" s="4">
        <v>0.00203219379604761</v>
      </c>
      <c r="M27" s="4">
        <v>0.00130442290227348</v>
      </c>
      <c r="N27" s="4">
        <v>0.00162089028863256</v>
      </c>
      <c r="O27" s="4">
        <v>0.00150391111377894</v>
      </c>
      <c r="P27" s="4">
        <v>0.002342189310913</v>
      </c>
      <c r="Q27" s="4">
        <v>0.00153204337583682</v>
      </c>
      <c r="R27" s="4">
        <v>0.00349140358542942</v>
      </c>
      <c r="S27" s="4">
        <v>-0.000560093652729618</v>
      </c>
      <c r="T27" s="4">
        <v>0.00137482428927316</v>
      </c>
      <c r="U27" s="4">
        <v>0.0240061086255879</v>
      </c>
      <c r="V27" s="4">
        <v>0.00201002634109612</v>
      </c>
      <c r="W27" s="4">
        <v>0.00151006578253834</v>
      </c>
      <c r="X27" s="4">
        <v>0.00194076810333545</v>
      </c>
      <c r="Y27" s="4">
        <v>0.00135960150813437</v>
      </c>
      <c r="Z27" s="4">
        <v>0.000271187677373676</v>
      </c>
      <c r="AA27" s="4">
        <v>0.00229893412593907</v>
      </c>
      <c r="AB27" s="4">
        <v>0.00206850276559153</v>
      </c>
      <c r="AC27" s="4">
        <v>0.00116974309052335</v>
      </c>
      <c r="AD27" s="4">
        <v>0.000739040962363195</v>
      </c>
      <c r="AE27" s="4">
        <v>0.00128890706184378</v>
      </c>
      <c r="AF27" s="4">
        <v>0.00105237997591838</v>
      </c>
      <c r="AG27" s="4">
        <v>0.00182216233709032</v>
      </c>
      <c r="AH27" s="4">
        <v>0.00154020409299371</v>
      </c>
      <c r="AI27" s="4">
        <v>0.0025949300471462</v>
      </c>
      <c r="AJ27" s="4">
        <v>0.00339842660271602</v>
      </c>
      <c r="AK27" s="4">
        <v>0.00212275862497374</v>
      </c>
      <c r="AL27" s="4">
        <v>0.00166192601669696</v>
      </c>
      <c r="AM27" s="4">
        <v>0.0019672160022474</v>
      </c>
      <c r="AN27" s="4">
        <v>0.00248264913142492</v>
      </c>
      <c r="AO27" s="4">
        <v>0.000305984069014807</v>
      </c>
    </row>
    <row r="28" ht="14" spans="1:41">
      <c r="A28" s="22" t="s">
        <v>49</v>
      </c>
      <c r="B28" s="4">
        <v>0.000579028394606244</v>
      </c>
      <c r="C28" s="4">
        <v>0.000371663252519489</v>
      </c>
      <c r="D28" s="4">
        <v>0.000321247706992776</v>
      </c>
      <c r="E28" s="4">
        <v>0.000480017868221678</v>
      </c>
      <c r="F28" s="4">
        <v>0.000280716927016705</v>
      </c>
      <c r="G28" s="4">
        <v>0.00110772636029758</v>
      </c>
      <c r="H28" s="4">
        <v>0.00105726853715244</v>
      </c>
      <c r="I28" s="4">
        <v>0.00117037063160434</v>
      </c>
      <c r="J28" s="4">
        <v>0.000592297361741961</v>
      </c>
      <c r="K28" s="4">
        <v>0.000319184420357697</v>
      </c>
      <c r="L28" s="4">
        <v>0.00105582228844738</v>
      </c>
      <c r="M28" s="4">
        <v>0.000352940616400224</v>
      </c>
      <c r="N28" s="4">
        <v>0.000609928607744237</v>
      </c>
      <c r="O28" s="4">
        <v>0.000755743410122165</v>
      </c>
      <c r="P28" s="4">
        <v>0.000896152466858337</v>
      </c>
      <c r="Q28" s="4">
        <v>6.04673977143348e-5</v>
      </c>
      <c r="R28" s="4">
        <v>0.00169578796959062</v>
      </c>
      <c r="S28" s="4">
        <v>0.000312638593714498</v>
      </c>
      <c r="T28" s="4">
        <v>0.00102487400049297</v>
      </c>
      <c r="U28" s="4">
        <v>0.00201002634109612</v>
      </c>
      <c r="V28" s="4">
        <v>0.00673268849875018</v>
      </c>
      <c r="W28" s="4">
        <v>0.00119061987387667</v>
      </c>
      <c r="X28" s="4">
        <v>0.000924795420312132</v>
      </c>
      <c r="Y28" s="4">
        <v>0.00222916647279302</v>
      </c>
      <c r="Z28" s="4">
        <v>0.000313680638483501</v>
      </c>
      <c r="AA28" s="4">
        <v>0.000802106817036817</v>
      </c>
      <c r="AB28" s="4">
        <v>0.000420009748735212</v>
      </c>
      <c r="AC28" s="4">
        <v>0.00146508440115637</v>
      </c>
      <c r="AD28" s="4">
        <v>0.00048381488335437</v>
      </c>
      <c r="AE28" s="4">
        <v>0.00139531937779818</v>
      </c>
      <c r="AF28" s="4">
        <v>0.000258788050255758</v>
      </c>
      <c r="AG28" s="4">
        <v>0.00103332959706622</v>
      </c>
      <c r="AH28" s="4">
        <v>0.000574367930126624</v>
      </c>
      <c r="AI28" s="4">
        <v>0.00144830368432744</v>
      </c>
      <c r="AJ28" s="4">
        <v>0.00111095849921977</v>
      </c>
      <c r="AK28" s="4">
        <v>0.000742880475709453</v>
      </c>
      <c r="AL28" s="4">
        <v>0.00123677167525704</v>
      </c>
      <c r="AM28" s="4">
        <v>0.000930006921846425</v>
      </c>
      <c r="AN28" s="4">
        <v>0.00104535167574462</v>
      </c>
      <c r="AO28" s="4">
        <v>0.00125915241389443</v>
      </c>
    </row>
    <row r="29" ht="14" spans="1:41">
      <c r="A29" s="22" t="s">
        <v>53</v>
      </c>
      <c r="B29" s="4">
        <v>0.000371040162008126</v>
      </c>
      <c r="C29" s="4">
        <v>0.00018469023515439</v>
      </c>
      <c r="D29" s="4">
        <v>6.34239739396209e-5</v>
      </c>
      <c r="E29" s="4">
        <v>0.000389630363903552</v>
      </c>
      <c r="F29" s="4">
        <v>0.00010255806078895</v>
      </c>
      <c r="G29" s="4">
        <v>0.00100462670961975</v>
      </c>
      <c r="H29" s="4">
        <v>0.00113079016164922</v>
      </c>
      <c r="I29" s="4">
        <v>0.00114402606678214</v>
      </c>
      <c r="J29" s="4">
        <v>0.000438621263206469</v>
      </c>
      <c r="K29" s="4">
        <v>-9.07097175447014e-5</v>
      </c>
      <c r="L29" s="4">
        <v>0.0005561599820732</v>
      </c>
      <c r="M29" s="4">
        <v>0.000408057538441077</v>
      </c>
      <c r="N29" s="4">
        <v>0.00106632111687732</v>
      </c>
      <c r="O29" s="4">
        <v>0.000786816619924527</v>
      </c>
      <c r="P29" s="4">
        <v>0.00159575344071423</v>
      </c>
      <c r="Q29" s="4">
        <v>0.00035401221388011</v>
      </c>
      <c r="R29" s="4">
        <v>0.00182782006544007</v>
      </c>
      <c r="S29" s="4">
        <v>0.000506410302049252</v>
      </c>
      <c r="T29" s="4">
        <v>0.00112472336485578</v>
      </c>
      <c r="U29" s="4">
        <v>0.00151006578253834</v>
      </c>
      <c r="V29" s="4">
        <v>0.00119061987387667</v>
      </c>
      <c r="W29" s="4">
        <v>0.00568999893659568</v>
      </c>
      <c r="X29" s="4">
        <v>0.00104948011063506</v>
      </c>
      <c r="Y29" s="4">
        <v>0.00335402712122617</v>
      </c>
      <c r="Z29" s="4">
        <v>0.000559758618377421</v>
      </c>
      <c r="AA29" s="4">
        <v>0.000898085058675609</v>
      </c>
      <c r="AB29" s="4">
        <v>0.00100338104072883</v>
      </c>
      <c r="AC29" s="4">
        <v>0.00179865202016447</v>
      </c>
      <c r="AD29" s="4">
        <v>0.000148558024437344</v>
      </c>
      <c r="AE29" s="4">
        <v>0.000735820157587413</v>
      </c>
      <c r="AF29" s="4">
        <v>0.000273830354344105</v>
      </c>
      <c r="AG29" s="4">
        <v>0.000190253392829618</v>
      </c>
      <c r="AH29" s="4">
        <v>0.000489190771969913</v>
      </c>
      <c r="AI29" s="4">
        <v>0.00118348491654681</v>
      </c>
      <c r="AJ29" s="4">
        <v>0.000598266700180745</v>
      </c>
      <c r="AK29" s="4">
        <v>0.000505990097403556</v>
      </c>
      <c r="AL29" s="4">
        <v>0.000487931140771634</v>
      </c>
      <c r="AM29" s="4">
        <v>0.00216514264634759</v>
      </c>
      <c r="AN29" s="4">
        <v>0.00124667711685636</v>
      </c>
      <c r="AO29" s="4">
        <v>0.000871554980515812</v>
      </c>
    </row>
    <row r="30" ht="14" spans="1:41">
      <c r="A30" s="22" t="s">
        <v>57</v>
      </c>
      <c r="B30" s="4">
        <v>0.000451622363663848</v>
      </c>
      <c r="C30" s="4">
        <v>-7.75348085743701e-6</v>
      </c>
      <c r="D30" s="4">
        <v>-5.37577459287322e-5</v>
      </c>
      <c r="E30" s="4">
        <v>0.000967254704107026</v>
      </c>
      <c r="F30" s="4">
        <v>0.000227223321915564</v>
      </c>
      <c r="G30" s="4">
        <v>0.000118945102045311</v>
      </c>
      <c r="H30" s="4">
        <v>0.000715386907489103</v>
      </c>
      <c r="I30" s="4">
        <v>0.00100072541460454</v>
      </c>
      <c r="J30" s="4">
        <v>0.000651923635244131</v>
      </c>
      <c r="K30" s="4">
        <v>0.000677989327213419</v>
      </c>
      <c r="L30" s="4">
        <v>-0.000196484042654628</v>
      </c>
      <c r="M30" s="4">
        <v>3.03657458169937e-5</v>
      </c>
      <c r="N30" s="4">
        <v>0.000880929702493698</v>
      </c>
      <c r="O30" s="4">
        <v>0.000990388910420583</v>
      </c>
      <c r="P30" s="4">
        <v>0.00156037472737558</v>
      </c>
      <c r="Q30" s="4">
        <v>-0.000608212134715727</v>
      </c>
      <c r="R30" s="4">
        <v>0.00152622155781213</v>
      </c>
      <c r="S30" s="4">
        <v>0.00063872219902638</v>
      </c>
      <c r="T30" s="4">
        <v>0.00106833190027923</v>
      </c>
      <c r="U30" s="4">
        <v>0.00194076810333545</v>
      </c>
      <c r="V30" s="4">
        <v>0.000924795420312132</v>
      </c>
      <c r="W30" s="4">
        <v>0.00104948011063506</v>
      </c>
      <c r="X30" s="4">
        <v>0.00673198349129303</v>
      </c>
      <c r="Y30" s="4">
        <v>0.00160652866362775</v>
      </c>
      <c r="Z30" s="4">
        <v>0.000460788679824217</v>
      </c>
      <c r="AA30" s="4">
        <v>0.0010054735227213</v>
      </c>
      <c r="AB30" s="4">
        <v>0.00059795431262247</v>
      </c>
      <c r="AC30" s="4">
        <v>0.00296964005817241</v>
      </c>
      <c r="AD30" s="4">
        <v>0.000122347719977579</v>
      </c>
      <c r="AE30" s="4">
        <v>0.00120287646015777</v>
      </c>
      <c r="AF30" s="4">
        <v>0.000315445131708054</v>
      </c>
      <c r="AG30" s="4">
        <v>0.00143280695516555</v>
      </c>
      <c r="AH30" s="4">
        <v>0.00118450143627523</v>
      </c>
      <c r="AI30" s="4">
        <v>0.00148967154257888</v>
      </c>
      <c r="AJ30" s="4">
        <v>0.00203169095897523</v>
      </c>
      <c r="AK30" s="4">
        <v>0.00115590305190447</v>
      </c>
      <c r="AL30" s="4">
        <v>0.00103905869791664</v>
      </c>
      <c r="AM30" s="4">
        <v>0.00192639614144903</v>
      </c>
      <c r="AN30" s="4">
        <v>0.00135780434237406</v>
      </c>
      <c r="AO30" s="4">
        <v>0.00104694759269426</v>
      </c>
    </row>
    <row r="31" ht="14" spans="1:41">
      <c r="A31" s="22" t="s">
        <v>61</v>
      </c>
      <c r="B31" s="4">
        <v>0.000489537496390773</v>
      </c>
      <c r="C31" s="4">
        <v>7.41250003465041e-5</v>
      </c>
      <c r="D31" s="4">
        <v>0.000597472602985498</v>
      </c>
      <c r="E31" s="4">
        <v>0.00182090055627504</v>
      </c>
      <c r="F31" s="4">
        <v>0.000277015162083766</v>
      </c>
      <c r="G31" s="4">
        <v>0.000698082040696316</v>
      </c>
      <c r="H31" s="4">
        <v>0.00203650150285113</v>
      </c>
      <c r="I31" s="4">
        <v>0.00111061096319952</v>
      </c>
      <c r="J31" s="4">
        <v>0.000170662594500716</v>
      </c>
      <c r="K31" s="4">
        <v>-0.000225651102618083</v>
      </c>
      <c r="L31" s="4">
        <v>0.00158545329304913</v>
      </c>
      <c r="M31" s="4">
        <v>0.000644166696019433</v>
      </c>
      <c r="N31" s="4">
        <v>0.00117004423513197</v>
      </c>
      <c r="O31" s="4">
        <v>0.000479694469991604</v>
      </c>
      <c r="P31" s="4">
        <v>0.0016981993357695</v>
      </c>
      <c r="Q31" s="4">
        <v>-0.00205948477080869</v>
      </c>
      <c r="R31" s="4">
        <v>0.00179474406861562</v>
      </c>
      <c r="S31" s="4">
        <v>0.000827097451764657</v>
      </c>
      <c r="T31" s="4">
        <v>0.0016161070334301</v>
      </c>
      <c r="U31" s="4">
        <v>0.00135960150813437</v>
      </c>
      <c r="V31" s="4">
        <v>0.00222916647279302</v>
      </c>
      <c r="W31" s="4">
        <v>0.00335402712122617</v>
      </c>
      <c r="X31" s="4">
        <v>0.00160652866362775</v>
      </c>
      <c r="Y31" s="4">
        <v>0.0252031246151533</v>
      </c>
      <c r="Z31" s="4">
        <v>0.000811476762188229</v>
      </c>
      <c r="AA31" s="4">
        <v>0.00157232406951714</v>
      </c>
      <c r="AB31" s="4">
        <v>0.00153048081572943</v>
      </c>
      <c r="AC31" s="4">
        <v>0.00530493120046585</v>
      </c>
      <c r="AD31" s="4">
        <v>0.000237788916763181</v>
      </c>
      <c r="AE31" s="4">
        <v>0.00126407507347914</v>
      </c>
      <c r="AF31" s="4">
        <v>-5.89279582215951e-5</v>
      </c>
      <c r="AG31" s="4">
        <v>0.000209387864897145</v>
      </c>
      <c r="AH31" s="4">
        <v>0.0022895626067517</v>
      </c>
      <c r="AI31" s="4">
        <v>0.00174196719132638</v>
      </c>
      <c r="AJ31" s="4">
        <v>0.00212802193491994</v>
      </c>
      <c r="AK31" s="4">
        <v>0.000692528207696178</v>
      </c>
      <c r="AL31" s="4">
        <v>0.00257816376006994</v>
      </c>
      <c r="AM31" s="4">
        <v>0.00444950279991858</v>
      </c>
      <c r="AN31" s="4">
        <v>0.000597663236078743</v>
      </c>
      <c r="AO31" s="4">
        <v>0.00229054746924588</v>
      </c>
    </row>
    <row r="32" ht="14" spans="1:41">
      <c r="A32" s="22" t="s">
        <v>63</v>
      </c>
      <c r="B32" s="4">
        <v>0.000622928190809138</v>
      </c>
      <c r="C32" s="4">
        <v>0.000382501947784423</v>
      </c>
      <c r="D32" s="4">
        <v>-8.36601142131239e-5</v>
      </c>
      <c r="E32" s="4">
        <v>2.90931635696802e-5</v>
      </c>
      <c r="F32" s="4">
        <v>0.000268980514448667</v>
      </c>
      <c r="G32" s="4">
        <v>0.000520328057454627</v>
      </c>
      <c r="H32" s="4">
        <v>2.04380732962868e-5</v>
      </c>
      <c r="I32" s="4">
        <v>0.000301280322235774</v>
      </c>
      <c r="J32" s="4">
        <v>0.000459696866696442</v>
      </c>
      <c r="K32" s="4">
        <v>0.000346365398439312</v>
      </c>
      <c r="L32" s="4">
        <v>-0.00058276377774269</v>
      </c>
      <c r="M32" s="4">
        <v>-2.88124882962189e-5</v>
      </c>
      <c r="N32" s="4">
        <v>0.000450440545415018</v>
      </c>
      <c r="O32" s="4">
        <v>0.000454527062890882</v>
      </c>
      <c r="P32" s="4">
        <v>9.90900606253665e-5</v>
      </c>
      <c r="Q32" s="4">
        <v>0.000236289695331702</v>
      </c>
      <c r="R32" s="4">
        <v>0.000142774345858338</v>
      </c>
      <c r="S32" s="4">
        <v>0.000251362515597868</v>
      </c>
      <c r="T32" s="4">
        <v>0.000562071933200119</v>
      </c>
      <c r="U32" s="4">
        <v>0.000271187677373676</v>
      </c>
      <c r="V32" s="4">
        <v>0.000313680638483501</v>
      </c>
      <c r="W32" s="4">
        <v>0.000559758618377421</v>
      </c>
      <c r="X32" s="4">
        <v>0.000460788679824217</v>
      </c>
      <c r="Y32" s="4">
        <v>0.000811476762188229</v>
      </c>
      <c r="Z32" s="4">
        <v>0.00240446436889718</v>
      </c>
      <c r="AA32" s="4">
        <v>0.000326931953988823</v>
      </c>
      <c r="AB32" s="4">
        <v>4.80948450461675e-5</v>
      </c>
      <c r="AC32" s="4">
        <v>0.0016383929226532</v>
      </c>
      <c r="AD32" s="4">
        <v>0.000498140223546956</v>
      </c>
      <c r="AE32" s="4">
        <v>0.000416949380866733</v>
      </c>
      <c r="AF32" s="4">
        <v>0.000627799978902293</v>
      </c>
      <c r="AG32" s="4">
        <v>0.000366302888300506</v>
      </c>
      <c r="AH32" s="4">
        <v>0.000785290229628256</v>
      </c>
      <c r="AI32" s="4">
        <v>0.00088071237967199</v>
      </c>
      <c r="AJ32" s="4">
        <v>0.000215111612501642</v>
      </c>
      <c r="AK32" s="4">
        <v>0.000339308299105752</v>
      </c>
      <c r="AL32" s="4">
        <v>0.000834269188408057</v>
      </c>
      <c r="AM32" s="4">
        <v>0.00144956411846718</v>
      </c>
      <c r="AN32" s="4">
        <v>0.000354223262653338</v>
      </c>
      <c r="AO32" s="4">
        <v>0.000851438491445046</v>
      </c>
    </row>
    <row r="33" ht="14" spans="1:41">
      <c r="A33" s="22" t="s">
        <v>66</v>
      </c>
      <c r="B33" s="4">
        <v>0.000584609283580302</v>
      </c>
      <c r="C33" s="4">
        <v>0.000390975087618902</v>
      </c>
      <c r="D33" s="4">
        <v>0.000458038526177303</v>
      </c>
      <c r="E33" s="4">
        <v>0.000830402405152275</v>
      </c>
      <c r="F33" s="4">
        <v>0.000680120803811835</v>
      </c>
      <c r="G33" s="4">
        <v>0.000427442461162156</v>
      </c>
      <c r="H33" s="4">
        <v>0.000996063995329288</v>
      </c>
      <c r="I33" s="4">
        <v>0.000843402278228066</v>
      </c>
      <c r="J33" s="4">
        <v>0.000506563360062929</v>
      </c>
      <c r="K33" s="4">
        <v>0.000776727001384385</v>
      </c>
      <c r="L33" s="4">
        <v>0.00035167535605539</v>
      </c>
      <c r="M33" s="4">
        <v>0.000405936953180328</v>
      </c>
      <c r="N33" s="4">
        <v>0.000637949548980532</v>
      </c>
      <c r="O33" s="4">
        <v>0.000855349294197226</v>
      </c>
      <c r="P33" s="4">
        <v>0.0014266897681264</v>
      </c>
      <c r="Q33" s="4">
        <v>0.000433290856393709</v>
      </c>
      <c r="R33" s="4">
        <v>0.00151015943724796</v>
      </c>
      <c r="S33" s="4">
        <v>0.000657961910666409</v>
      </c>
      <c r="T33" s="4">
        <v>0.00114465902883465</v>
      </c>
      <c r="U33" s="4">
        <v>0.00229893412593907</v>
      </c>
      <c r="V33" s="4">
        <v>0.000802106817036817</v>
      </c>
      <c r="W33" s="4">
        <v>0.000898085058675609</v>
      </c>
      <c r="X33" s="4">
        <v>0.0010054735227213</v>
      </c>
      <c r="Y33" s="4">
        <v>0.00157232406951714</v>
      </c>
      <c r="Z33" s="4">
        <v>0.000326931953988823</v>
      </c>
      <c r="AA33" s="4">
        <v>0.00451443575690337</v>
      </c>
      <c r="AB33" s="4">
        <v>0.000853565208926838</v>
      </c>
      <c r="AC33" s="4">
        <v>0.00213751082871904</v>
      </c>
      <c r="AD33" s="4">
        <v>0.000351564873282924</v>
      </c>
      <c r="AE33" s="4">
        <v>0.000545463595113033</v>
      </c>
      <c r="AF33" s="4">
        <v>0.000197366738176165</v>
      </c>
      <c r="AG33" s="4">
        <v>0.00077142039513697</v>
      </c>
      <c r="AH33" s="4">
        <v>0.000717351610127999</v>
      </c>
      <c r="AI33" s="4">
        <v>0.00130409106259102</v>
      </c>
      <c r="AJ33" s="4">
        <v>0.00118146769041787</v>
      </c>
      <c r="AK33" s="4">
        <v>0.000806006855022835</v>
      </c>
      <c r="AL33" s="4">
        <v>0.000881671825536437</v>
      </c>
      <c r="AM33" s="4">
        <v>0.00110971262510815</v>
      </c>
      <c r="AN33" s="4">
        <v>0.000667371488455433</v>
      </c>
      <c r="AO33" s="4">
        <v>0.000810295734029045</v>
      </c>
    </row>
    <row r="34" ht="14" spans="1:41">
      <c r="A34" s="22" t="s">
        <v>74</v>
      </c>
      <c r="B34" s="4">
        <v>0.000307682911214181</v>
      </c>
      <c r="C34" s="4">
        <v>0.000363388710110389</v>
      </c>
      <c r="D34" s="4">
        <v>-9.69776285094876e-5</v>
      </c>
      <c r="E34" s="4">
        <v>0.000995352996116536</v>
      </c>
      <c r="F34" s="4">
        <v>0.00051408484613695</v>
      </c>
      <c r="G34" s="4">
        <v>0.00061204910410547</v>
      </c>
      <c r="H34" s="4">
        <v>0.00075927542700048</v>
      </c>
      <c r="I34" s="4">
        <v>0.000744783273798932</v>
      </c>
      <c r="J34" s="4">
        <v>0.000857418534846376</v>
      </c>
      <c r="K34" s="4">
        <v>0.000778917724693269</v>
      </c>
      <c r="L34" s="4">
        <v>0.00157140439437723</v>
      </c>
      <c r="M34" s="4">
        <v>0.000119787227994281</v>
      </c>
      <c r="N34" s="4">
        <v>0.000285653960348827</v>
      </c>
      <c r="O34" s="4">
        <v>0.000526726344791878</v>
      </c>
      <c r="P34" s="4">
        <v>0.000729726527054466</v>
      </c>
      <c r="Q34" s="4">
        <v>-0.000537013698610312</v>
      </c>
      <c r="R34" s="4">
        <v>0.00159168568196047</v>
      </c>
      <c r="S34" s="4">
        <v>-0.000375629543522921</v>
      </c>
      <c r="T34" s="4">
        <v>0.000135644023350749</v>
      </c>
      <c r="U34" s="4">
        <v>0.00206850276559153</v>
      </c>
      <c r="V34" s="4">
        <v>0.000420009748735212</v>
      </c>
      <c r="W34" s="4">
        <v>0.00100338104072883</v>
      </c>
      <c r="X34" s="4">
        <v>0.00059795431262247</v>
      </c>
      <c r="Y34" s="4">
        <v>0.00153048081572943</v>
      </c>
      <c r="Z34" s="4">
        <v>4.80948450461675e-5</v>
      </c>
      <c r="AA34" s="4">
        <v>0.000853565208926838</v>
      </c>
      <c r="AB34" s="4">
        <v>0.00625378084210266</v>
      </c>
      <c r="AC34" s="4">
        <v>0.00120535899885004</v>
      </c>
      <c r="AD34" s="4">
        <v>3.07713849488144e-5</v>
      </c>
      <c r="AE34" s="4">
        <v>0.000655013339409424</v>
      </c>
      <c r="AF34" s="4">
        <v>0.000390208546586613</v>
      </c>
      <c r="AG34" s="4">
        <v>0.000906600721148272</v>
      </c>
      <c r="AH34" s="4">
        <v>0.000621163624225269</v>
      </c>
      <c r="AI34" s="4">
        <v>0.00099768330136878</v>
      </c>
      <c r="AJ34" s="4">
        <v>-0.000366306152835659</v>
      </c>
      <c r="AK34" s="4">
        <v>0.000672621207993021</v>
      </c>
      <c r="AL34" s="4">
        <v>0.000156401529744962</v>
      </c>
      <c r="AM34" s="4">
        <v>0.000912600354514212</v>
      </c>
      <c r="AN34" s="4">
        <v>0.000695664334082891</v>
      </c>
      <c r="AO34" s="4">
        <v>-6.42602343475137e-5</v>
      </c>
    </row>
    <row r="35" ht="14" spans="1:41">
      <c r="A35" s="22" t="s">
        <v>75</v>
      </c>
      <c r="B35" s="4">
        <v>0.00101719711836607</v>
      </c>
      <c r="C35" s="4">
        <v>-0.000243584347585836</v>
      </c>
      <c r="D35" s="4">
        <v>-0.000870220440962871</v>
      </c>
      <c r="E35" s="4">
        <v>0.0015568361992854</v>
      </c>
      <c r="F35" s="4">
        <v>-0.000576990242842221</v>
      </c>
      <c r="G35" s="4">
        <v>0.000394308952203411</v>
      </c>
      <c r="H35" s="4">
        <v>0.000183059066145425</v>
      </c>
      <c r="I35" s="4">
        <v>0.000833835501045767</v>
      </c>
      <c r="J35" s="4">
        <v>0.000948532070704216</v>
      </c>
      <c r="K35" s="4">
        <v>0.000765961239255475</v>
      </c>
      <c r="L35" s="4">
        <v>-0.000743627548766113</v>
      </c>
      <c r="M35" s="4">
        <v>-0.000605003620712232</v>
      </c>
      <c r="N35" s="4">
        <v>0.00054603557178188</v>
      </c>
      <c r="O35" s="4">
        <v>0.00128796710331801</v>
      </c>
      <c r="P35" s="4">
        <v>0.00139904436195987</v>
      </c>
      <c r="Q35" s="4">
        <v>-0.0015528337285841</v>
      </c>
      <c r="R35" s="4">
        <v>0.00164509466010779</v>
      </c>
      <c r="S35" s="4">
        <v>0.000520843096104239</v>
      </c>
      <c r="T35" s="4">
        <v>0.00194557147586821</v>
      </c>
      <c r="U35" s="4">
        <v>0.00116974309052335</v>
      </c>
      <c r="V35" s="4">
        <v>0.00146508440115637</v>
      </c>
      <c r="W35" s="4">
        <v>0.00179865202016447</v>
      </c>
      <c r="X35" s="4">
        <v>0.00296964005817241</v>
      </c>
      <c r="Y35" s="4">
        <v>0.00530493120046585</v>
      </c>
      <c r="Z35" s="4">
        <v>0.0016383929226532</v>
      </c>
      <c r="AA35" s="4">
        <v>0.00213751082871904</v>
      </c>
      <c r="AB35" s="4">
        <v>0.00120535899885004</v>
      </c>
      <c r="AC35" s="4">
        <v>0.0321017920626765</v>
      </c>
      <c r="AD35" s="4">
        <v>0.000866033077317908</v>
      </c>
      <c r="AE35" s="4">
        <v>0.00275923724506377</v>
      </c>
      <c r="AF35" s="4">
        <v>0.000109431572310805</v>
      </c>
      <c r="AG35" s="4">
        <v>0.00275645282282634</v>
      </c>
      <c r="AH35" s="4">
        <v>0.00173091589705327</v>
      </c>
      <c r="AI35" s="4">
        <v>0.00373850743365986</v>
      </c>
      <c r="AJ35" s="4">
        <v>0.00327750752753751</v>
      </c>
      <c r="AK35" s="4">
        <v>0.00192959131684295</v>
      </c>
      <c r="AL35" s="4">
        <v>0.00253480915886537</v>
      </c>
      <c r="AM35" s="4">
        <v>0.00521638610173728</v>
      </c>
      <c r="AN35" s="4">
        <v>0.000304183549194635</v>
      </c>
      <c r="AO35" s="4">
        <v>0.00463921708302226</v>
      </c>
    </row>
    <row r="36" ht="14" spans="1:41">
      <c r="A36" s="22" t="s">
        <v>78</v>
      </c>
      <c r="B36" s="4">
        <v>0.000461306371791634</v>
      </c>
      <c r="C36" s="4">
        <v>0.000534646242596457</v>
      </c>
      <c r="D36" s="4">
        <v>8.99296328467536e-5</v>
      </c>
      <c r="E36" s="4">
        <v>-0.000220087813620979</v>
      </c>
      <c r="F36" s="4">
        <v>0.000452519838894817</v>
      </c>
      <c r="G36" s="4">
        <v>0.000338744597982961</v>
      </c>
      <c r="H36" s="4">
        <v>4.15734437030181e-5</v>
      </c>
      <c r="I36" s="4">
        <v>0.000159783673037059</v>
      </c>
      <c r="J36" s="4">
        <v>0.000265913140566869</v>
      </c>
      <c r="K36" s="4">
        <v>0.000349216897809468</v>
      </c>
      <c r="L36" s="4">
        <v>0.000155601121107632</v>
      </c>
      <c r="M36" s="4">
        <v>0.000130244702225739</v>
      </c>
      <c r="N36" s="4">
        <v>0.000198582204963895</v>
      </c>
      <c r="O36" s="4">
        <v>0.000284100626383126</v>
      </c>
      <c r="P36" s="4">
        <v>0.000133627927160035</v>
      </c>
      <c r="Q36" s="4">
        <v>0.00058604537670575</v>
      </c>
      <c r="R36" s="4">
        <v>-3.8926859567251e-5</v>
      </c>
      <c r="S36" s="4">
        <v>-1.02118051551843e-5</v>
      </c>
      <c r="T36" s="4">
        <v>0.000432976585433298</v>
      </c>
      <c r="U36" s="4">
        <v>0.000739040962363195</v>
      </c>
      <c r="V36" s="4">
        <v>0.00048381488335437</v>
      </c>
      <c r="W36" s="4">
        <v>0.000148558024437344</v>
      </c>
      <c r="X36" s="4">
        <v>0.000122347719977579</v>
      </c>
      <c r="Y36" s="4">
        <v>0.000237788916763181</v>
      </c>
      <c r="Z36" s="4">
        <v>0.000498140223546956</v>
      </c>
      <c r="AA36" s="4">
        <v>0.000351564873282924</v>
      </c>
      <c r="AB36" s="4">
        <v>3.07713849488144e-5</v>
      </c>
      <c r="AC36" s="4">
        <v>0.000866033077317908</v>
      </c>
      <c r="AD36" s="4">
        <v>0.00192396937335466</v>
      </c>
      <c r="AE36" s="4">
        <v>0.000758925477548765</v>
      </c>
      <c r="AF36" s="4">
        <v>0.000479677479463534</v>
      </c>
      <c r="AG36" s="4">
        <v>0.000808507926267473</v>
      </c>
      <c r="AH36" s="4">
        <v>0.000627418758182311</v>
      </c>
      <c r="AI36" s="4">
        <v>0.000688748319958492</v>
      </c>
      <c r="AJ36" s="4">
        <v>0.000675918914048475</v>
      </c>
      <c r="AK36" s="4">
        <v>0.00073377964550233</v>
      </c>
      <c r="AL36" s="4">
        <v>0.000414923310950118</v>
      </c>
      <c r="AM36" s="4">
        <v>0.000785246477051764</v>
      </c>
      <c r="AN36" s="4">
        <v>0.000233798182449396</v>
      </c>
      <c r="AO36" s="4">
        <v>0.00043697495084298</v>
      </c>
    </row>
    <row r="37" ht="14" spans="1:41">
      <c r="A37" s="22" t="s">
        <v>81</v>
      </c>
      <c r="B37" s="4">
        <v>0.000982900256933837</v>
      </c>
      <c r="C37" s="4">
        <v>0.000478913602764056</v>
      </c>
      <c r="D37" s="4">
        <v>0.00024277151013055</v>
      </c>
      <c r="E37" s="4">
        <v>8.36025479824708e-5</v>
      </c>
      <c r="F37" s="4">
        <v>0.000384234041914794</v>
      </c>
      <c r="G37" s="4">
        <v>0.00067364753430273</v>
      </c>
      <c r="H37" s="4">
        <v>0.00054859702970209</v>
      </c>
      <c r="I37" s="4">
        <v>0.000858929993904079</v>
      </c>
      <c r="J37" s="4">
        <v>0.000596598410163498</v>
      </c>
      <c r="K37" s="4">
        <v>0.000258917787659451</v>
      </c>
      <c r="L37" s="4">
        <v>0.000696302652176032</v>
      </c>
      <c r="M37" s="4">
        <v>-5.92783568930082e-5</v>
      </c>
      <c r="N37" s="4">
        <v>0.000575882590635317</v>
      </c>
      <c r="O37" s="4">
        <v>0.00102754049872219</v>
      </c>
      <c r="P37" s="4">
        <v>0.00103757469081382</v>
      </c>
      <c r="Q37" s="4">
        <v>0.000498424076031438</v>
      </c>
      <c r="R37" s="4">
        <v>0.00143775122286193</v>
      </c>
      <c r="S37" s="4">
        <v>0.000405234326632131</v>
      </c>
      <c r="T37" s="4">
        <v>0.000728359896636587</v>
      </c>
      <c r="U37" s="4">
        <v>0.00128890706184378</v>
      </c>
      <c r="V37" s="4">
        <v>0.00139531937779818</v>
      </c>
      <c r="W37" s="4">
        <v>0.000735820157587413</v>
      </c>
      <c r="X37" s="4">
        <v>0.00120287646015777</v>
      </c>
      <c r="Y37" s="4">
        <v>0.00126407507347914</v>
      </c>
      <c r="Z37" s="4">
        <v>0.000416949380866733</v>
      </c>
      <c r="AA37" s="4">
        <v>0.000545463595113033</v>
      </c>
      <c r="AB37" s="4">
        <v>0.000655013339409424</v>
      </c>
      <c r="AC37" s="4">
        <v>0.00275923724506377</v>
      </c>
      <c r="AD37" s="4">
        <v>0.000758925477548765</v>
      </c>
      <c r="AE37" s="4">
        <v>0.00577586125251086</v>
      </c>
      <c r="AF37" s="4">
        <v>0.000399973944380687</v>
      </c>
      <c r="AG37" s="4">
        <v>0.00150471462301859</v>
      </c>
      <c r="AH37" s="4">
        <v>0.000643365686819085</v>
      </c>
      <c r="AI37" s="4">
        <v>0.001794812082047</v>
      </c>
      <c r="AJ37" s="4">
        <v>0.000425228590705494</v>
      </c>
      <c r="AK37" s="4">
        <v>0.00095559960313291</v>
      </c>
      <c r="AL37" s="4">
        <v>0.000774871815375445</v>
      </c>
      <c r="AM37" s="4">
        <v>0.00196556281992554</v>
      </c>
      <c r="AN37" s="4">
        <v>0.00101396793653037</v>
      </c>
      <c r="AO37" s="4">
        <v>0.000976727830558201</v>
      </c>
    </row>
    <row r="38" ht="14" spans="1:41">
      <c r="A38" s="22" t="s">
        <v>82</v>
      </c>
      <c r="B38" s="4">
        <v>0.000494524142610144</v>
      </c>
      <c r="C38" s="4">
        <v>0.000553566998891673</v>
      </c>
      <c r="D38" s="4">
        <v>0.000103168370131377</v>
      </c>
      <c r="E38" s="4">
        <v>1.7105874773921e-5</v>
      </c>
      <c r="F38" s="4">
        <v>0.000498315759975197</v>
      </c>
      <c r="G38" s="4">
        <v>0.000536250658562703</v>
      </c>
      <c r="H38" s="4">
        <v>0.000270202926422614</v>
      </c>
      <c r="I38" s="4">
        <v>0.000676149533158876</v>
      </c>
      <c r="J38" s="4">
        <v>0.000346051642654463</v>
      </c>
      <c r="K38" s="4">
        <v>0.000506813831655009</v>
      </c>
      <c r="L38" s="4">
        <v>8.7085606426101e-5</v>
      </c>
      <c r="M38" s="4">
        <v>0.000283251444920896</v>
      </c>
      <c r="N38" s="4">
        <v>0.000277532478359807</v>
      </c>
      <c r="O38" s="4">
        <v>0.000250967271137991</v>
      </c>
      <c r="P38" s="4">
        <v>0.000242301746856337</v>
      </c>
      <c r="Q38" s="4">
        <v>0.000624140468922072</v>
      </c>
      <c r="R38" s="4">
        <v>0.000393363231004263</v>
      </c>
      <c r="S38" s="4">
        <v>-3.5693553410003e-5</v>
      </c>
      <c r="T38" s="4">
        <v>0.000457112115780846</v>
      </c>
      <c r="U38" s="4">
        <v>0.00105237997591838</v>
      </c>
      <c r="V38" s="4">
        <v>0.000258788050255758</v>
      </c>
      <c r="W38" s="4">
        <v>0.000273830354344105</v>
      </c>
      <c r="X38" s="4">
        <v>0.000315445131708054</v>
      </c>
      <c r="Y38" s="4">
        <v>-5.89279582215951e-5</v>
      </c>
      <c r="Z38" s="4">
        <v>0.000627799978902293</v>
      </c>
      <c r="AA38" s="4">
        <v>0.000197366738176165</v>
      </c>
      <c r="AB38" s="4">
        <v>0.000390208546586613</v>
      </c>
      <c r="AC38" s="4">
        <v>0.000109431572310805</v>
      </c>
      <c r="AD38" s="4">
        <v>0.000479677479463534</v>
      </c>
      <c r="AE38" s="4">
        <v>0.000399973944380687</v>
      </c>
      <c r="AF38" s="4">
        <v>0.00243820747274962</v>
      </c>
      <c r="AG38" s="4">
        <v>0.000297318141306607</v>
      </c>
      <c r="AH38" s="4">
        <v>0.00102690255711146</v>
      </c>
      <c r="AI38" s="4">
        <v>0.000678456131708554</v>
      </c>
      <c r="AJ38" s="4">
        <v>8.11753639483197e-5</v>
      </c>
      <c r="AK38" s="4">
        <v>0.000236036036806219</v>
      </c>
      <c r="AL38" s="4">
        <v>0.000379167166610169</v>
      </c>
      <c r="AM38" s="4">
        <v>0.00039096046271261</v>
      </c>
      <c r="AN38" s="4">
        <v>0.000754916849082541</v>
      </c>
      <c r="AO38" s="4">
        <v>0.000494550658122961</v>
      </c>
    </row>
    <row r="39" ht="14" spans="1:41">
      <c r="A39" s="22" t="s">
        <v>89</v>
      </c>
      <c r="B39" s="4">
        <v>0.000955522918569703</v>
      </c>
      <c r="C39" s="4">
        <v>0.000121380851731909</v>
      </c>
      <c r="D39" s="4">
        <v>5.01477457873393e-5</v>
      </c>
      <c r="E39" s="4">
        <v>0.00023848202469557</v>
      </c>
      <c r="F39" s="4">
        <v>0.000618508783028003</v>
      </c>
      <c r="G39" s="4">
        <v>0.000684602212479424</v>
      </c>
      <c r="H39" s="4">
        <v>0.000718452721338083</v>
      </c>
      <c r="I39" s="4">
        <v>0.00111254755831207</v>
      </c>
      <c r="J39" s="4">
        <v>0.00152794254772309</v>
      </c>
      <c r="K39" s="4">
        <v>0.00133134136371551</v>
      </c>
      <c r="L39" s="4">
        <v>0.000324045227568549</v>
      </c>
      <c r="M39" s="4">
        <v>-0.000212044701934343</v>
      </c>
      <c r="N39" s="4">
        <v>0.000638442785551423</v>
      </c>
      <c r="O39" s="4">
        <v>0.000901356199425229</v>
      </c>
      <c r="P39" s="4">
        <v>0.000874319717593205</v>
      </c>
      <c r="Q39" s="4">
        <v>0.00139966687232432</v>
      </c>
      <c r="R39" s="4">
        <v>0.00157740587683507</v>
      </c>
      <c r="S39" s="4">
        <v>0.000562382713669064</v>
      </c>
      <c r="T39" s="4">
        <v>0.00132671064771539</v>
      </c>
      <c r="U39" s="4">
        <v>0.00182216233709032</v>
      </c>
      <c r="V39" s="4">
        <v>0.00103332959706622</v>
      </c>
      <c r="W39" s="4">
        <v>0.000190253392829618</v>
      </c>
      <c r="X39" s="4">
        <v>0.00143280695516555</v>
      </c>
      <c r="Y39" s="4">
        <v>0.000209387864897145</v>
      </c>
      <c r="Z39" s="4">
        <v>0.000366302888300506</v>
      </c>
      <c r="AA39" s="4">
        <v>0.00077142039513697</v>
      </c>
      <c r="AB39" s="4">
        <v>0.000906600721148272</v>
      </c>
      <c r="AC39" s="4">
        <v>0.00275645282282634</v>
      </c>
      <c r="AD39" s="4">
        <v>0.000808507926267473</v>
      </c>
      <c r="AE39" s="4">
        <v>0.00150471462301859</v>
      </c>
      <c r="AF39" s="4">
        <v>0.000297318141306607</v>
      </c>
      <c r="AG39" s="4">
        <v>0.0097318269862282</v>
      </c>
      <c r="AH39" s="4">
        <v>0.00183632708887688</v>
      </c>
      <c r="AI39" s="4">
        <v>0.00133929997549179</v>
      </c>
      <c r="AJ39" s="4">
        <v>0.00272166431752516</v>
      </c>
      <c r="AK39" s="4">
        <v>0.0017620077816435</v>
      </c>
      <c r="AL39" s="4">
        <v>0.00160245566621432</v>
      </c>
      <c r="AM39" s="4">
        <v>0.00279084415407801</v>
      </c>
      <c r="AN39" s="4">
        <v>0.0010183138638731</v>
      </c>
      <c r="AO39" s="4">
        <v>0.00153446828445556</v>
      </c>
    </row>
    <row r="40" ht="14" spans="1:41">
      <c r="A40" s="22" t="s">
        <v>97</v>
      </c>
      <c r="B40" s="4">
        <v>0.00109832038463812</v>
      </c>
      <c r="C40" s="4">
        <v>0.000514398833900236</v>
      </c>
      <c r="D40" s="4">
        <v>0.000845843968518906</v>
      </c>
      <c r="E40" s="4">
        <v>0.000827873203286339</v>
      </c>
      <c r="F40" s="4">
        <v>0.00121741197861861</v>
      </c>
      <c r="G40" s="4">
        <v>0.00107547317527318</v>
      </c>
      <c r="H40" s="4">
        <v>0.000635019219604525</v>
      </c>
      <c r="I40" s="4">
        <v>0.000975047305850768</v>
      </c>
      <c r="J40" s="4">
        <v>0.000938927140610968</v>
      </c>
      <c r="K40" s="4">
        <v>0.00188231597301268</v>
      </c>
      <c r="L40" s="4">
        <v>0.000892613532748322</v>
      </c>
      <c r="M40" s="4">
        <v>0.00032096341180314</v>
      </c>
      <c r="N40" s="4">
        <v>0.000625940968173138</v>
      </c>
      <c r="O40" s="4">
        <v>0.000691347854605719</v>
      </c>
      <c r="P40" s="4">
        <v>-0.000362171839832087</v>
      </c>
      <c r="Q40" s="4">
        <v>0.00263128105530953</v>
      </c>
      <c r="R40" s="4">
        <v>-3.11139845046768e-5</v>
      </c>
      <c r="S40" s="4">
        <v>0.000385647171779346</v>
      </c>
      <c r="T40" s="4">
        <v>0.00122112973834146</v>
      </c>
      <c r="U40" s="4">
        <v>0.00154020409299371</v>
      </c>
      <c r="V40" s="4">
        <v>0.000574367930126624</v>
      </c>
      <c r="W40" s="4">
        <v>0.000489190771969913</v>
      </c>
      <c r="X40" s="4">
        <v>0.00118450143627523</v>
      </c>
      <c r="Y40" s="4">
        <v>0.0022895626067517</v>
      </c>
      <c r="Z40" s="4">
        <v>0.000785290229628256</v>
      </c>
      <c r="AA40" s="4">
        <v>0.000717351610127999</v>
      </c>
      <c r="AB40" s="4">
        <v>0.000621163624225269</v>
      </c>
      <c r="AC40" s="4">
        <v>0.00173091589705327</v>
      </c>
      <c r="AD40" s="4">
        <v>0.000627418758182311</v>
      </c>
      <c r="AE40" s="4">
        <v>0.000643365686819085</v>
      </c>
      <c r="AF40" s="4">
        <v>0.00102690255711146</v>
      </c>
      <c r="AG40" s="4">
        <v>0.00183632708887688</v>
      </c>
      <c r="AH40" s="4">
        <v>0.015639900734641</v>
      </c>
      <c r="AI40" s="4">
        <v>0.00182852827045293</v>
      </c>
      <c r="AJ40" s="4">
        <v>0.00179379363208222</v>
      </c>
      <c r="AK40" s="4">
        <v>0.000632526377392258</v>
      </c>
      <c r="AL40" s="4">
        <v>0.00151062265689329</v>
      </c>
      <c r="AM40" s="4">
        <v>0.00206273477346599</v>
      </c>
      <c r="AN40" s="4">
        <v>0.00110044870980642</v>
      </c>
      <c r="AO40" s="4">
        <v>0.00213014382414529</v>
      </c>
    </row>
    <row r="41" ht="14" spans="1:41">
      <c r="A41" s="22" t="s">
        <v>101</v>
      </c>
      <c r="B41" s="4">
        <v>0.000924014278809204</v>
      </c>
      <c r="C41" s="4">
        <v>0.000552531752809942</v>
      </c>
      <c r="D41" s="4">
        <v>-0.000288865346265018</v>
      </c>
      <c r="E41" s="4">
        <v>0.0010246461627747</v>
      </c>
      <c r="F41" s="4">
        <v>0.00096255063406793</v>
      </c>
      <c r="G41" s="4">
        <v>0.0010042099258483</v>
      </c>
      <c r="H41" s="4">
        <v>0.000384118228551983</v>
      </c>
      <c r="I41" s="4">
        <v>0.00106363706105429</v>
      </c>
      <c r="J41" s="4">
        <v>0.00125070359137629</v>
      </c>
      <c r="K41" s="4">
        <v>0.00118874914089587</v>
      </c>
      <c r="L41" s="4">
        <v>0.000359651005000005</v>
      </c>
      <c r="M41" s="4">
        <v>0.000134188999042748</v>
      </c>
      <c r="N41" s="4">
        <v>0.000921217408798376</v>
      </c>
      <c r="O41" s="4">
        <v>0.00124446589937378</v>
      </c>
      <c r="P41" s="4">
        <v>0.000888483969416634</v>
      </c>
      <c r="Q41" s="4">
        <v>0.000760443636704711</v>
      </c>
      <c r="R41" s="4">
        <v>0.00264411233609535</v>
      </c>
      <c r="S41" s="4">
        <v>0.000413900173357014</v>
      </c>
      <c r="T41" s="4">
        <v>0.0011413900930871</v>
      </c>
      <c r="U41" s="4">
        <v>0.0025949300471462</v>
      </c>
      <c r="V41" s="4">
        <v>0.00144830368432744</v>
      </c>
      <c r="W41" s="4">
        <v>0.00118348491654681</v>
      </c>
      <c r="X41" s="4">
        <v>0.00148967154257888</v>
      </c>
      <c r="Y41" s="4">
        <v>0.00174196719132638</v>
      </c>
      <c r="Z41" s="4">
        <v>0.00088071237967199</v>
      </c>
      <c r="AA41" s="4">
        <v>0.00130409106259102</v>
      </c>
      <c r="AB41" s="4">
        <v>0.00099768330136878</v>
      </c>
      <c r="AC41" s="4">
        <v>0.00373850743365986</v>
      </c>
      <c r="AD41" s="4">
        <v>0.000688748319958492</v>
      </c>
      <c r="AE41" s="4">
        <v>0.001794812082047</v>
      </c>
      <c r="AF41" s="4">
        <v>0.000678456131708554</v>
      </c>
      <c r="AG41" s="4">
        <v>0.00133929997549179</v>
      </c>
      <c r="AH41" s="4">
        <v>0.00182852827045293</v>
      </c>
      <c r="AI41" s="4">
        <v>0.00917726875312055</v>
      </c>
      <c r="AJ41" s="4">
        <v>0.00243022911619023</v>
      </c>
      <c r="AK41" s="4">
        <v>0.00176298927699488</v>
      </c>
      <c r="AL41" s="4">
        <v>0.0011381643122151</v>
      </c>
      <c r="AM41" s="4">
        <v>0.00213227804726116</v>
      </c>
      <c r="AN41" s="4">
        <v>0.00104946774046598</v>
      </c>
      <c r="AO41" s="4">
        <v>0.00197989750510256</v>
      </c>
    </row>
    <row r="42" ht="14" spans="1:41">
      <c r="A42" s="22" t="s">
        <v>107</v>
      </c>
      <c r="B42" s="4">
        <v>0.000301738776349225</v>
      </c>
      <c r="C42" s="4">
        <v>0.000218660568717075</v>
      </c>
      <c r="D42" s="4">
        <v>2.26650351140686e-5</v>
      </c>
      <c r="E42" s="4">
        <v>0.00182703239185921</v>
      </c>
      <c r="F42" s="4">
        <v>0.00134825317438246</v>
      </c>
      <c r="G42" s="4">
        <v>0.000576506947432706</v>
      </c>
      <c r="H42" s="4">
        <v>0.00183785766919502</v>
      </c>
      <c r="I42" s="4">
        <v>0.000715181670381336</v>
      </c>
      <c r="J42" s="4">
        <v>0.00139162541149952</v>
      </c>
      <c r="K42" s="4">
        <v>0.00231748005907751</v>
      </c>
      <c r="L42" s="4">
        <v>-0.000407320173915036</v>
      </c>
      <c r="M42" s="4">
        <v>-9.64483112416507e-5</v>
      </c>
      <c r="N42" s="4">
        <v>0.000823673903544699</v>
      </c>
      <c r="O42" s="4">
        <v>0.00127288313205625</v>
      </c>
      <c r="P42" s="4">
        <v>0.00165290890139209</v>
      </c>
      <c r="Q42" s="4">
        <v>0.000414530089166232</v>
      </c>
      <c r="R42" s="4">
        <v>0.00105159444978638</v>
      </c>
      <c r="S42" s="4">
        <v>0.00113370515116192</v>
      </c>
      <c r="T42" s="4">
        <v>0.00201009377544867</v>
      </c>
      <c r="U42" s="4">
        <v>0.00339842660271602</v>
      </c>
      <c r="V42" s="4">
        <v>0.00111095849921977</v>
      </c>
      <c r="W42" s="4">
        <v>0.000598266700180745</v>
      </c>
      <c r="X42" s="4">
        <v>0.00203169095897523</v>
      </c>
      <c r="Y42" s="4">
        <v>0.00212802193491994</v>
      </c>
      <c r="Z42" s="4">
        <v>0.000215111612501642</v>
      </c>
      <c r="AA42" s="4">
        <v>0.00118146769041787</v>
      </c>
      <c r="AB42" s="4">
        <v>-0.000366306152835659</v>
      </c>
      <c r="AC42" s="4">
        <v>0.00327750752753751</v>
      </c>
      <c r="AD42" s="4">
        <v>0.000675918914048475</v>
      </c>
      <c r="AE42" s="4">
        <v>0.000425228590705494</v>
      </c>
      <c r="AF42" s="4">
        <v>8.11753639483197e-5</v>
      </c>
      <c r="AG42" s="4">
        <v>0.00272166431752516</v>
      </c>
      <c r="AH42" s="4">
        <v>0.00179379363208222</v>
      </c>
      <c r="AI42" s="4">
        <v>0.00243022911619023</v>
      </c>
      <c r="AJ42" s="4">
        <v>0.0203973447557975</v>
      </c>
      <c r="AK42" s="4">
        <v>0.00264863497617387</v>
      </c>
      <c r="AL42" s="4">
        <v>0.0027899219368804</v>
      </c>
      <c r="AM42" s="4">
        <v>0.00100694069434678</v>
      </c>
      <c r="AN42" s="4">
        <v>0.00116631238635025</v>
      </c>
      <c r="AO42" s="4">
        <v>0.00290869624016171</v>
      </c>
    </row>
    <row r="43" ht="14" spans="1:41">
      <c r="A43" s="22" t="s">
        <v>110</v>
      </c>
      <c r="B43" s="4">
        <v>0.000622542569465842</v>
      </c>
      <c r="C43" s="4">
        <v>0.000360429298766426</v>
      </c>
      <c r="D43" s="4">
        <v>0.000213579521090633</v>
      </c>
      <c r="E43" s="4">
        <v>0.000620557117230763</v>
      </c>
      <c r="F43" s="4">
        <v>0.000672479944892789</v>
      </c>
      <c r="G43" s="4">
        <v>0.000300558362255168</v>
      </c>
      <c r="H43" s="4">
        <v>0.000410923448695239</v>
      </c>
      <c r="I43" s="4">
        <v>0.00034871995683923</v>
      </c>
      <c r="J43" s="4">
        <v>0.000979445263138898</v>
      </c>
      <c r="K43" s="4">
        <v>0.00136323550494103</v>
      </c>
      <c r="L43" s="4">
        <v>-0.000155972632984227</v>
      </c>
      <c r="M43" s="4">
        <v>6.69260588131621e-5</v>
      </c>
      <c r="N43" s="4">
        <v>0.000403841484402913</v>
      </c>
      <c r="O43" s="4">
        <v>0.000848150544118072</v>
      </c>
      <c r="P43" s="4">
        <v>0.00151660417401395</v>
      </c>
      <c r="Q43" s="4">
        <v>0.000851683729351463</v>
      </c>
      <c r="R43" s="4">
        <v>0.000637005765041956</v>
      </c>
      <c r="S43" s="4">
        <v>0.000508295792414205</v>
      </c>
      <c r="T43" s="4">
        <v>0.000452715468575884</v>
      </c>
      <c r="U43" s="4">
        <v>0.00212275862497374</v>
      </c>
      <c r="V43" s="4">
        <v>0.000742880475709453</v>
      </c>
      <c r="W43" s="4">
        <v>0.000505990097403556</v>
      </c>
      <c r="X43" s="4">
        <v>0.00115590305190447</v>
      </c>
      <c r="Y43" s="4">
        <v>0.000692528207696178</v>
      </c>
      <c r="Z43" s="4">
        <v>0.000339308299105752</v>
      </c>
      <c r="AA43" s="4">
        <v>0.000806006855022835</v>
      </c>
      <c r="AB43" s="4">
        <v>0.000672621207993021</v>
      </c>
      <c r="AC43" s="4">
        <v>0.00192959131684295</v>
      </c>
      <c r="AD43" s="4">
        <v>0.00073377964550233</v>
      </c>
      <c r="AE43" s="4">
        <v>0.00095559960313291</v>
      </c>
      <c r="AF43" s="4">
        <v>0.000236036036806219</v>
      </c>
      <c r="AG43" s="4">
        <v>0.0017620077816435</v>
      </c>
      <c r="AH43" s="4">
        <v>0.000632526377392258</v>
      </c>
      <c r="AI43" s="4">
        <v>0.00176298927699488</v>
      </c>
      <c r="AJ43" s="4">
        <v>0.00264863497617387</v>
      </c>
      <c r="AK43" s="4">
        <v>0.00688201182347131</v>
      </c>
      <c r="AL43" s="4">
        <v>0.00105344855453425</v>
      </c>
      <c r="AM43" s="4">
        <v>0.00125583243478422</v>
      </c>
      <c r="AN43" s="4">
        <v>0.0005810918061455</v>
      </c>
      <c r="AO43" s="4">
        <v>0.0015955541905662</v>
      </c>
    </row>
    <row r="44" ht="14" spans="1:41">
      <c r="A44" s="22" t="s">
        <v>114</v>
      </c>
      <c r="B44" s="4">
        <v>0.000820561187910153</v>
      </c>
      <c r="C44" s="4">
        <v>0.00063085805069389</v>
      </c>
      <c r="D44" s="4">
        <v>0.000506549648915891</v>
      </c>
      <c r="E44" s="4">
        <v>0.00121022706028343</v>
      </c>
      <c r="F44" s="4">
        <v>0.000875382721192286</v>
      </c>
      <c r="G44" s="4">
        <v>0.000531735777238177</v>
      </c>
      <c r="H44" s="4">
        <v>0.001136980184011</v>
      </c>
      <c r="I44" s="4">
        <v>0.000656619179502511</v>
      </c>
      <c r="J44" s="4">
        <v>0.000931681106838538</v>
      </c>
      <c r="K44" s="4">
        <v>0.0012507015175944</v>
      </c>
      <c r="L44" s="4">
        <v>-0.000239033167973599</v>
      </c>
      <c r="M44" s="4">
        <v>0.000227052461961902</v>
      </c>
      <c r="N44" s="4">
        <v>0.000673352559730194</v>
      </c>
      <c r="O44" s="4">
        <v>0.000583672669890453</v>
      </c>
      <c r="P44" s="4">
        <v>0.00066270425668288</v>
      </c>
      <c r="Q44" s="4">
        <v>3.02790580838786e-5</v>
      </c>
      <c r="R44" s="4">
        <v>0.00066760168332159</v>
      </c>
      <c r="S44" s="4">
        <v>0.0012054005550366</v>
      </c>
      <c r="T44" s="4">
        <v>0.00121124118613714</v>
      </c>
      <c r="U44" s="4">
        <v>0.00166192601669696</v>
      </c>
      <c r="V44" s="4">
        <v>0.00123677167525704</v>
      </c>
      <c r="W44" s="4">
        <v>0.000487931140771634</v>
      </c>
      <c r="X44" s="4">
        <v>0.00103905869791664</v>
      </c>
      <c r="Y44" s="4">
        <v>0.00257816376006994</v>
      </c>
      <c r="Z44" s="4">
        <v>0.000834269188408057</v>
      </c>
      <c r="AA44" s="4">
        <v>0.000881671825536437</v>
      </c>
      <c r="AB44" s="4">
        <v>0.000156401529744962</v>
      </c>
      <c r="AC44" s="4">
        <v>0.00253480915886537</v>
      </c>
      <c r="AD44" s="4">
        <v>0.000414923310950118</v>
      </c>
      <c r="AE44" s="4">
        <v>0.000774871815375445</v>
      </c>
      <c r="AF44" s="4">
        <v>0.000379167166610169</v>
      </c>
      <c r="AG44" s="4">
        <v>0.00160245566621432</v>
      </c>
      <c r="AH44" s="4">
        <v>0.00151062265689329</v>
      </c>
      <c r="AI44" s="4">
        <v>0.0011381643122151</v>
      </c>
      <c r="AJ44" s="4">
        <v>0.0027899219368804</v>
      </c>
      <c r="AK44" s="4">
        <v>0.00105344855453425</v>
      </c>
      <c r="AL44" s="4">
        <v>0.00629236004747473</v>
      </c>
      <c r="AM44" s="4">
        <v>0.00138155966820092</v>
      </c>
      <c r="AN44" s="4">
        <v>0.000682844136268118</v>
      </c>
      <c r="AO44" s="4">
        <v>0.00218698352353411</v>
      </c>
    </row>
    <row r="45" ht="14" spans="1:41">
      <c r="A45" s="22" t="s">
        <v>127</v>
      </c>
      <c r="B45" s="4">
        <v>0.0014659261072411</v>
      </c>
      <c r="C45" s="4">
        <v>0.000949674938617444</v>
      </c>
      <c r="D45" s="4">
        <v>0.000935239019732679</v>
      </c>
      <c r="E45" s="4">
        <v>0.00136839813154106</v>
      </c>
      <c r="F45" s="4">
        <v>0.00135287456626763</v>
      </c>
      <c r="G45" s="4">
        <v>0.00119912631252331</v>
      </c>
      <c r="H45" s="4">
        <v>0.000576748966711818</v>
      </c>
      <c r="I45" s="4">
        <v>0.000609519938220563</v>
      </c>
      <c r="J45" s="4">
        <v>0.00120517543762617</v>
      </c>
      <c r="K45" s="4">
        <v>0.000922768778222844</v>
      </c>
      <c r="L45" s="4">
        <v>0.000420328283917622</v>
      </c>
      <c r="M45" s="4">
        <v>0.00038399540253993</v>
      </c>
      <c r="N45" s="4">
        <v>0.00167759544178118</v>
      </c>
      <c r="O45" s="4">
        <v>0.000661663527431784</v>
      </c>
      <c r="P45" s="4">
        <v>0.000752003346924876</v>
      </c>
      <c r="Q45" s="4">
        <v>0.000258803465750036</v>
      </c>
      <c r="R45" s="4">
        <v>0.00268352148345333</v>
      </c>
      <c r="S45" s="4">
        <v>0.00116362461876524</v>
      </c>
      <c r="T45" s="4">
        <v>0.00206361051272762</v>
      </c>
      <c r="U45" s="4">
        <v>0.0019672160022474</v>
      </c>
      <c r="V45" s="4">
        <v>0.000930006921846425</v>
      </c>
      <c r="W45" s="4">
        <v>0.00216514264634759</v>
      </c>
      <c r="X45" s="4">
        <v>0.00192639614144903</v>
      </c>
      <c r="Y45" s="4">
        <v>0.00444950279991858</v>
      </c>
      <c r="Z45" s="4">
        <v>0.00144956411846718</v>
      </c>
      <c r="AA45" s="4">
        <v>0.00110971262510815</v>
      </c>
      <c r="AB45" s="4">
        <v>0.000912600354514212</v>
      </c>
      <c r="AC45" s="4">
        <v>0.00521638610173728</v>
      </c>
      <c r="AD45" s="4">
        <v>0.000785246477051764</v>
      </c>
      <c r="AE45" s="4">
        <v>0.00196556281992554</v>
      </c>
      <c r="AF45" s="4">
        <v>0.00039096046271261</v>
      </c>
      <c r="AG45" s="4">
        <v>0.00279084415407801</v>
      </c>
      <c r="AH45" s="4">
        <v>0.00206273477346599</v>
      </c>
      <c r="AI45" s="4">
        <v>0.00213227804726116</v>
      </c>
      <c r="AJ45" s="4">
        <v>0.00100694069434678</v>
      </c>
      <c r="AK45" s="4">
        <v>0.00125583243478422</v>
      </c>
      <c r="AL45" s="4">
        <v>0.00138155966820092</v>
      </c>
      <c r="AM45" s="4">
        <v>0.0288543441698788</v>
      </c>
      <c r="AN45" s="4">
        <v>0.00106235407044693</v>
      </c>
      <c r="AO45" s="4">
        <v>0.000958836696119506</v>
      </c>
    </row>
    <row r="46" ht="14" spans="1:41">
      <c r="A46" s="22" t="s">
        <v>128</v>
      </c>
      <c r="B46" s="4">
        <v>0.00055150116604192</v>
      </c>
      <c r="C46" s="4">
        <v>0.000261134482716925</v>
      </c>
      <c r="D46" s="4">
        <v>-0.000209870312031423</v>
      </c>
      <c r="E46" s="4">
        <v>0.000457059037032836</v>
      </c>
      <c r="F46" s="4">
        <v>0.00031625956894584</v>
      </c>
      <c r="G46" s="4">
        <v>0.000621112980936915</v>
      </c>
      <c r="H46" s="4">
        <v>0.000704515832967639</v>
      </c>
      <c r="I46" s="4">
        <v>0.00134327180046997</v>
      </c>
      <c r="J46" s="4">
        <v>0.000843533225083047</v>
      </c>
      <c r="K46" s="4">
        <v>0.000377069732855036</v>
      </c>
      <c r="L46" s="4">
        <v>0.000533179640298691</v>
      </c>
      <c r="M46" s="4">
        <v>0.000214359034068715</v>
      </c>
      <c r="N46" s="4">
        <v>0.000765469587370128</v>
      </c>
      <c r="O46" s="4">
        <v>0.000989682545194395</v>
      </c>
      <c r="P46" s="4">
        <v>0.00110398593333556</v>
      </c>
      <c r="Q46" s="4">
        <v>0.000787028773534137</v>
      </c>
      <c r="R46" s="4">
        <v>0.00220575342819557</v>
      </c>
      <c r="S46" s="4">
        <v>0.000370816953598039</v>
      </c>
      <c r="T46" s="4">
        <v>0.00105039282033829</v>
      </c>
      <c r="U46" s="4">
        <v>0.00248264913142492</v>
      </c>
      <c r="V46" s="4">
        <v>0.00104535167574462</v>
      </c>
      <c r="W46" s="4">
        <v>0.00124667711685636</v>
      </c>
      <c r="X46" s="4">
        <v>0.00135780434237406</v>
      </c>
      <c r="Y46" s="4">
        <v>0.000597663236078743</v>
      </c>
      <c r="Z46" s="4">
        <v>0.000354223262653338</v>
      </c>
      <c r="AA46" s="4">
        <v>0.000667371488455433</v>
      </c>
      <c r="AB46" s="4">
        <v>0.000695664334082891</v>
      </c>
      <c r="AC46" s="4">
        <v>0.000304183549194635</v>
      </c>
      <c r="AD46" s="4">
        <v>0.000233798182449396</v>
      </c>
      <c r="AE46" s="4">
        <v>0.00101396793653037</v>
      </c>
      <c r="AF46" s="4">
        <v>0.000754916849082541</v>
      </c>
      <c r="AG46" s="4">
        <v>0.0010183138638731</v>
      </c>
      <c r="AH46" s="4">
        <v>0.00110044870980642</v>
      </c>
      <c r="AI46" s="4">
        <v>0.00104946774046598</v>
      </c>
      <c r="AJ46" s="4">
        <v>0.00116631238635025</v>
      </c>
      <c r="AK46" s="4">
        <v>0.0005810918061455</v>
      </c>
      <c r="AL46" s="4">
        <v>0.000682844136268118</v>
      </c>
      <c r="AM46" s="4">
        <v>0.00106235407044693</v>
      </c>
      <c r="AN46" s="4">
        <v>0.00560074218683889</v>
      </c>
      <c r="AO46" s="4">
        <v>0.000489393777971302</v>
      </c>
    </row>
    <row r="47" ht="14" spans="1:41">
      <c r="A47" s="22" t="s">
        <v>130</v>
      </c>
      <c r="B47" s="4">
        <v>0.000642595193675745</v>
      </c>
      <c r="C47" s="4">
        <v>5.67928386070292e-5</v>
      </c>
      <c r="D47" s="4">
        <v>2.44730406749088e-5</v>
      </c>
      <c r="E47" s="4">
        <v>0.000371221000912044</v>
      </c>
      <c r="F47" s="4">
        <v>9.32319228588942e-5</v>
      </c>
      <c r="G47" s="4">
        <v>0.000647840787222945</v>
      </c>
      <c r="H47" s="4">
        <v>0.000867231764265514</v>
      </c>
      <c r="I47" s="4">
        <v>0.000523549248514434</v>
      </c>
      <c r="J47" s="4">
        <v>0.000413877692992993</v>
      </c>
      <c r="K47" s="4">
        <v>0.00111015824090179</v>
      </c>
      <c r="L47" s="4">
        <v>-0.00104334583692545</v>
      </c>
      <c r="M47" s="4">
        <v>1.96469405825999e-5</v>
      </c>
      <c r="N47" s="4">
        <v>0.000420579240380031</v>
      </c>
      <c r="O47" s="4">
        <v>0.000329108877371951</v>
      </c>
      <c r="P47" s="4">
        <v>0.000938843505194933</v>
      </c>
      <c r="Q47" s="4">
        <v>0.000102008497353776</v>
      </c>
      <c r="R47" s="4">
        <v>0.000510311979982773</v>
      </c>
      <c r="S47" s="4">
        <v>0.000723871886892702</v>
      </c>
      <c r="T47" s="4">
        <v>0.00146677757771331</v>
      </c>
      <c r="U47" s="4">
        <v>0.000305984069014807</v>
      </c>
      <c r="V47" s="4">
        <v>0.00125915241389443</v>
      </c>
      <c r="W47" s="4">
        <v>0.000871554980515812</v>
      </c>
      <c r="X47" s="4">
        <v>0.00104694759269426</v>
      </c>
      <c r="Y47" s="4">
        <v>0.00229054746924588</v>
      </c>
      <c r="Z47" s="4">
        <v>0.000851438491445046</v>
      </c>
      <c r="AA47" s="4">
        <v>0.000810295734029045</v>
      </c>
      <c r="AB47" s="4">
        <v>-6.42602343475137e-5</v>
      </c>
      <c r="AC47" s="4">
        <v>0.00463921708302226</v>
      </c>
      <c r="AD47" s="4">
        <v>0.00043697495084298</v>
      </c>
      <c r="AE47" s="4">
        <v>0.000976727830558201</v>
      </c>
      <c r="AF47" s="4">
        <v>0.000494550658122961</v>
      </c>
      <c r="AG47" s="4">
        <v>0.00153446828445556</v>
      </c>
      <c r="AH47" s="4">
        <v>0.00213014382414529</v>
      </c>
      <c r="AI47" s="4">
        <v>0.00197989750510256</v>
      </c>
      <c r="AJ47" s="4">
        <v>0.00290869624016171</v>
      </c>
      <c r="AK47" s="4">
        <v>0.0015955541905662</v>
      </c>
      <c r="AL47" s="4">
        <v>0.00218698352353411</v>
      </c>
      <c r="AM47" s="4">
        <v>0.000958836696119506</v>
      </c>
      <c r="AN47" s="4">
        <v>0.000489393777971302</v>
      </c>
      <c r="AO47" s="4">
        <v>0.00963337352595042</v>
      </c>
    </row>
    <row r="49" ht="16.4" spans="1:1">
      <c r="A49" s="21" t="s">
        <v>147</v>
      </c>
    </row>
    <row r="51" ht="14" spans="2:41">
      <c r="B51" s="27" t="s">
        <v>2</v>
      </c>
      <c r="C51" s="27" t="s">
        <v>6</v>
      </c>
      <c r="D51" s="27" t="s">
        <v>4</v>
      </c>
      <c r="E51" s="27" t="s">
        <v>5</v>
      </c>
      <c r="F51" s="27" t="s">
        <v>7</v>
      </c>
      <c r="G51" s="27" t="s">
        <v>9</v>
      </c>
      <c r="H51" s="27" t="s">
        <v>10</v>
      </c>
      <c r="I51" s="27" t="s">
        <v>11</v>
      </c>
      <c r="J51" s="27" t="s">
        <v>16</v>
      </c>
      <c r="K51" s="27" t="s">
        <v>17</v>
      </c>
      <c r="L51" s="27" t="s">
        <v>19</v>
      </c>
      <c r="M51" s="27" t="s">
        <v>28</v>
      </c>
      <c r="N51" s="27" t="s">
        <v>30</v>
      </c>
      <c r="O51" s="27" t="s">
        <v>32</v>
      </c>
      <c r="P51" s="27" t="s">
        <v>34</v>
      </c>
      <c r="Q51" s="27" t="s">
        <v>37</v>
      </c>
      <c r="R51" s="27" t="s">
        <v>39</v>
      </c>
      <c r="S51" s="27" t="s">
        <v>40</v>
      </c>
      <c r="T51" s="27" t="s">
        <v>41</v>
      </c>
      <c r="U51" s="27" t="s">
        <v>44</v>
      </c>
      <c r="V51" s="27" t="s">
        <v>49</v>
      </c>
      <c r="W51" s="27" t="s">
        <v>53</v>
      </c>
      <c r="X51" s="27" t="s">
        <v>57</v>
      </c>
      <c r="Y51" s="27" t="s">
        <v>61</v>
      </c>
      <c r="Z51" s="27" t="s">
        <v>63</v>
      </c>
      <c r="AA51" s="27" t="s">
        <v>66</v>
      </c>
      <c r="AB51" s="27" t="s">
        <v>74</v>
      </c>
      <c r="AC51" s="27" t="s">
        <v>75</v>
      </c>
      <c r="AD51" s="27" t="s">
        <v>78</v>
      </c>
      <c r="AE51" s="27" t="s">
        <v>81</v>
      </c>
      <c r="AF51" s="27" t="s">
        <v>82</v>
      </c>
      <c r="AG51" s="27" t="s">
        <v>89</v>
      </c>
      <c r="AH51" s="27" t="s">
        <v>97</v>
      </c>
      <c r="AI51" s="27" t="s">
        <v>101</v>
      </c>
      <c r="AJ51" s="27" t="s">
        <v>107</v>
      </c>
      <c r="AK51" s="27" t="s">
        <v>110</v>
      </c>
      <c r="AL51" s="27" t="s">
        <v>114</v>
      </c>
      <c r="AM51" s="27" t="s">
        <v>127</v>
      </c>
      <c r="AN51" s="27" t="s">
        <v>128</v>
      </c>
      <c r="AO51" s="27" t="s">
        <v>130</v>
      </c>
    </row>
    <row r="52" ht="14" spans="1:41">
      <c r="A52" s="27" t="s">
        <v>2</v>
      </c>
      <c r="B52" s="4">
        <f t="array" ref="B52:AO91">MMULT(TRANSPOSE(Data!B132:AO189-Data!B191:AO191),Data!B132:AO189-Data!B191:AO191)/57</f>
        <v>0.00239956142449895</v>
      </c>
      <c r="C52" s="4">
        <v>0.00100038628461059</v>
      </c>
      <c r="D52" s="4">
        <v>0.00156255844581892</v>
      </c>
      <c r="E52" s="4">
        <v>0.000643521555971423</v>
      </c>
      <c r="F52" s="4">
        <v>0.00158285700297294</v>
      </c>
      <c r="G52" s="4">
        <v>0.00139233537190897</v>
      </c>
      <c r="H52" s="4">
        <v>0.00177524563196185</v>
      </c>
      <c r="I52" s="4">
        <v>0.000852725659068834</v>
      </c>
      <c r="J52" s="4">
        <v>0.00140874157083845</v>
      </c>
      <c r="K52" s="4">
        <v>0.00139863769317312</v>
      </c>
      <c r="L52" s="4">
        <v>0.000586133136286184</v>
      </c>
      <c r="M52" s="4">
        <v>4.76008152936843e-5</v>
      </c>
      <c r="N52" s="4">
        <v>0.00125923929300084</v>
      </c>
      <c r="O52" s="4">
        <v>0.00142860985496465</v>
      </c>
      <c r="P52" s="4">
        <v>0.00152458439086526</v>
      </c>
      <c r="Q52" s="4">
        <v>0.00286391625558437</v>
      </c>
      <c r="R52" s="4">
        <v>0.00143834199905919</v>
      </c>
      <c r="S52" s="4">
        <v>0.00134067373970498</v>
      </c>
      <c r="T52" s="4">
        <v>0.0013694784629304</v>
      </c>
      <c r="U52" s="4">
        <v>0.00258241550516817</v>
      </c>
      <c r="V52" s="4">
        <v>0.00115805678921249</v>
      </c>
      <c r="W52" s="4">
        <v>0.000742080324016252</v>
      </c>
      <c r="X52" s="4">
        <v>0.000903244727327695</v>
      </c>
      <c r="Y52" s="4">
        <v>0.000979074992781547</v>
      </c>
      <c r="Z52" s="4">
        <v>0.00124585638161828</v>
      </c>
      <c r="AA52" s="4">
        <v>0.0011692185671606</v>
      </c>
      <c r="AB52" s="4">
        <v>0.000615365822428363</v>
      </c>
      <c r="AC52" s="4">
        <v>0.00203439423673214</v>
      </c>
      <c r="AD52" s="4">
        <v>0.000922612743583268</v>
      </c>
      <c r="AE52" s="4">
        <v>0.00196580051386767</v>
      </c>
      <c r="AF52" s="4">
        <v>0.000989048285220289</v>
      </c>
      <c r="AG52" s="4">
        <v>0.00191104583713941</v>
      </c>
      <c r="AH52" s="4">
        <v>0.00219664076927624</v>
      </c>
      <c r="AI52" s="4">
        <v>0.00184802855761841</v>
      </c>
      <c r="AJ52" s="4">
        <v>0.00060347755269845</v>
      </c>
      <c r="AK52" s="4">
        <v>0.00124508513893168</v>
      </c>
      <c r="AL52" s="4">
        <v>0.00164112237582031</v>
      </c>
      <c r="AM52" s="4">
        <v>0.00293185221448219</v>
      </c>
      <c r="AN52" s="4">
        <v>0.00110300233208384</v>
      </c>
      <c r="AO52" s="4">
        <v>0.00128519038735149</v>
      </c>
    </row>
    <row r="53" ht="14" spans="1:41">
      <c r="A53" s="27" t="s">
        <v>6</v>
      </c>
      <c r="B53" s="4">
        <v>0.00100038628461059</v>
      </c>
      <c r="C53" s="4">
        <v>0.00252399390893863</v>
      </c>
      <c r="D53" s="4">
        <v>0.00121468333716246</v>
      </c>
      <c r="E53" s="4">
        <v>0.000377168546808802</v>
      </c>
      <c r="F53" s="4">
        <v>0.00191844663710174</v>
      </c>
      <c r="G53" s="4">
        <v>0.00119014758449333</v>
      </c>
      <c r="H53" s="4">
        <v>0.00151648691376285</v>
      </c>
      <c r="I53" s="4">
        <v>0.000565123240037274</v>
      </c>
      <c r="J53" s="4">
        <v>0.000942372918739274</v>
      </c>
      <c r="K53" s="4">
        <v>0.00186867581111908</v>
      </c>
      <c r="L53" s="4">
        <v>0.000639680213805494</v>
      </c>
      <c r="M53" s="4">
        <v>0.000623992994726933</v>
      </c>
      <c r="N53" s="4">
        <v>0.000468611444377279</v>
      </c>
      <c r="O53" s="4">
        <v>0.000512727792051035</v>
      </c>
      <c r="P53" s="4">
        <v>0.000588999778612077</v>
      </c>
      <c r="Q53" s="4">
        <v>0.00189372066841222</v>
      </c>
      <c r="R53" s="4">
        <v>0.000308189719603395</v>
      </c>
      <c r="S53" s="4">
        <v>0.000259116749597339</v>
      </c>
      <c r="T53" s="4">
        <v>0.000396081014660557</v>
      </c>
      <c r="U53" s="4">
        <v>0.00270757334695791</v>
      </c>
      <c r="V53" s="4">
        <v>0.000743326505038977</v>
      </c>
      <c r="W53" s="4">
        <v>0.00036938047030878</v>
      </c>
      <c r="X53" s="4">
        <v>-1.5506961714874e-5</v>
      </c>
      <c r="Y53" s="4">
        <v>0.000148250000693008</v>
      </c>
      <c r="Z53" s="4">
        <v>0.000765003895568846</v>
      </c>
      <c r="AA53" s="4">
        <v>0.000781950175237803</v>
      </c>
      <c r="AB53" s="4">
        <v>0.000726777420220777</v>
      </c>
      <c r="AC53" s="4">
        <v>-0.000487168695171673</v>
      </c>
      <c r="AD53" s="4">
        <v>0.00106929248519291</v>
      </c>
      <c r="AE53" s="4">
        <v>0.000957827205528113</v>
      </c>
      <c r="AF53" s="4">
        <v>0.00110713399778335</v>
      </c>
      <c r="AG53" s="4">
        <v>0.000242761703463817</v>
      </c>
      <c r="AH53" s="4">
        <v>0.00102879766780047</v>
      </c>
      <c r="AI53" s="4">
        <v>0.00110506350561988</v>
      </c>
      <c r="AJ53" s="4">
        <v>0.00043732113743415</v>
      </c>
      <c r="AK53" s="4">
        <v>0.000720858597532851</v>
      </c>
      <c r="AL53" s="4">
        <v>0.00126171610138778</v>
      </c>
      <c r="AM53" s="4">
        <v>0.00189934987723489</v>
      </c>
      <c r="AN53" s="4">
        <v>0.000522268965433851</v>
      </c>
      <c r="AO53" s="4">
        <v>0.000113585677214058</v>
      </c>
    </row>
    <row r="54" ht="14" spans="1:41">
      <c r="A54" s="27" t="s">
        <v>4</v>
      </c>
      <c r="B54" s="4">
        <v>0.00156255844581892</v>
      </c>
      <c r="C54" s="4">
        <v>0.00121468333716246</v>
      </c>
      <c r="D54" s="4">
        <v>0.00481728628300211</v>
      </c>
      <c r="E54" s="4">
        <v>0.000772619701194353</v>
      </c>
      <c r="F54" s="4">
        <v>0.0017980350201614</v>
      </c>
      <c r="G54" s="4">
        <v>0.000661196010688627</v>
      </c>
      <c r="H54" s="4">
        <v>0.00279377609676377</v>
      </c>
      <c r="I54" s="4">
        <v>0.00044702436102343</v>
      </c>
      <c r="J54" s="4">
        <v>0.000572258096926709</v>
      </c>
      <c r="K54" s="4">
        <v>0.00167304499083995</v>
      </c>
      <c r="L54" s="4">
        <v>0.00092731429142205</v>
      </c>
      <c r="M54" s="4">
        <v>0.000689851500235471</v>
      </c>
      <c r="N54" s="4">
        <v>0.000995038672934341</v>
      </c>
      <c r="O54" s="4">
        <v>0.000273183225818799</v>
      </c>
      <c r="P54" s="4">
        <v>0.00113655617747409</v>
      </c>
      <c r="Q54" s="4">
        <v>0.00236259336790727</v>
      </c>
      <c r="R54" s="4">
        <v>4.41192135243197e-5</v>
      </c>
      <c r="S54" s="4">
        <v>0.00162968129956581</v>
      </c>
      <c r="T54" s="4">
        <v>0.000716504727252703</v>
      </c>
      <c r="U54" s="4">
        <v>0.00265307238540651</v>
      </c>
      <c r="V54" s="4">
        <v>0.000642495413985552</v>
      </c>
      <c r="W54" s="4">
        <v>0.000126847947879242</v>
      </c>
      <c r="X54" s="4">
        <v>-0.000107515491857464</v>
      </c>
      <c r="Y54" s="4">
        <v>0.001194945205971</v>
      </c>
      <c r="Z54" s="4">
        <v>-0.000167320228426248</v>
      </c>
      <c r="AA54" s="4">
        <v>0.000916077052354606</v>
      </c>
      <c r="AB54" s="4">
        <v>-0.000193955257018975</v>
      </c>
      <c r="AC54" s="4">
        <v>-0.00174044088192574</v>
      </c>
      <c r="AD54" s="4">
        <v>0.000179859265693507</v>
      </c>
      <c r="AE54" s="4">
        <v>0.000485543020261101</v>
      </c>
      <c r="AF54" s="4">
        <v>0.000206336740262755</v>
      </c>
      <c r="AG54" s="4">
        <v>0.000100295491574679</v>
      </c>
      <c r="AH54" s="4">
        <v>0.00169168793703781</v>
      </c>
      <c r="AI54" s="4">
        <v>-0.000577730692530036</v>
      </c>
      <c r="AJ54" s="4">
        <v>4.53300702281372e-5</v>
      </c>
      <c r="AK54" s="4">
        <v>0.000427159042181265</v>
      </c>
      <c r="AL54" s="4">
        <v>0.00101309929783178</v>
      </c>
      <c r="AM54" s="4">
        <v>0.00187047803946536</v>
      </c>
      <c r="AN54" s="4">
        <v>-0.000419740624062846</v>
      </c>
      <c r="AO54" s="4">
        <v>4.89460813498175e-5</v>
      </c>
    </row>
    <row r="55" ht="14" spans="1:41">
      <c r="A55" s="27" t="s">
        <v>5</v>
      </c>
      <c r="B55" s="4">
        <v>0.000643521555971423</v>
      </c>
      <c r="C55" s="4">
        <v>0.000377168546808802</v>
      </c>
      <c r="D55" s="4">
        <v>0.000772619701194353</v>
      </c>
      <c r="E55" s="4">
        <v>0.00701239700500198</v>
      </c>
      <c r="F55" s="4">
        <v>0.00149766575920823</v>
      </c>
      <c r="G55" s="4">
        <v>0.000550646237402582</v>
      </c>
      <c r="H55" s="4">
        <v>0.00296795308878925</v>
      </c>
      <c r="I55" s="4">
        <v>0.000525576119052448</v>
      </c>
      <c r="J55" s="4">
        <v>0.00171584377868613</v>
      </c>
      <c r="K55" s="4">
        <v>0.00297384295444326</v>
      </c>
      <c r="L55" s="4">
        <v>0.000963848436933597</v>
      </c>
      <c r="M55" s="4">
        <v>0.00200543883849665</v>
      </c>
      <c r="N55" s="4">
        <v>0.00132235408499223</v>
      </c>
      <c r="O55" s="4">
        <v>0.0012843180715428</v>
      </c>
      <c r="P55" s="4">
        <v>0.00163775334848838</v>
      </c>
      <c r="Q55" s="4">
        <v>-0.000957809084873137</v>
      </c>
      <c r="R55" s="4">
        <v>0.00263776261424995</v>
      </c>
      <c r="S55" s="4">
        <v>0.00106128579222087</v>
      </c>
      <c r="T55" s="4">
        <v>0.00155080297214177</v>
      </c>
      <c r="U55" s="4">
        <v>0.00436558234280543</v>
      </c>
      <c r="V55" s="4">
        <v>0.000960035736443356</v>
      </c>
      <c r="W55" s="4">
        <v>0.000779260727807103</v>
      </c>
      <c r="X55" s="4">
        <v>0.00193450940821405</v>
      </c>
      <c r="Y55" s="4">
        <v>0.00364180111255008</v>
      </c>
      <c r="Z55" s="4">
        <v>5.81863271393604e-5</v>
      </c>
      <c r="AA55" s="4">
        <v>0.00166080481030455</v>
      </c>
      <c r="AB55" s="4">
        <v>0.00199070599223307</v>
      </c>
      <c r="AC55" s="4">
        <v>0.00311367239857081</v>
      </c>
      <c r="AD55" s="4">
        <v>-0.000440175627241959</v>
      </c>
      <c r="AE55" s="4">
        <v>0.000167205095964942</v>
      </c>
      <c r="AF55" s="4">
        <v>3.42117495478419e-5</v>
      </c>
      <c r="AG55" s="4">
        <v>0.00047696404939114</v>
      </c>
      <c r="AH55" s="4">
        <v>0.00165574640657268</v>
      </c>
      <c r="AI55" s="4">
        <v>0.0020492923255494</v>
      </c>
      <c r="AJ55" s="4">
        <v>0.00365406478371842</v>
      </c>
      <c r="AK55" s="4">
        <v>0.00124111423446153</v>
      </c>
      <c r="AL55" s="4">
        <v>0.00242045412056686</v>
      </c>
      <c r="AM55" s="4">
        <v>0.00273679626308212</v>
      </c>
      <c r="AN55" s="4">
        <v>0.000914118074065672</v>
      </c>
      <c r="AO55" s="4">
        <v>0.000742442001824088</v>
      </c>
    </row>
    <row r="56" ht="14" spans="1:41">
      <c r="A56" s="27" t="s">
        <v>7</v>
      </c>
      <c r="B56" s="4">
        <v>0.00158285700297294</v>
      </c>
      <c r="C56" s="4">
        <v>0.00191844663710174</v>
      </c>
      <c r="D56" s="4">
        <v>0.0017980350201614</v>
      </c>
      <c r="E56" s="4">
        <v>0.00149766575920823</v>
      </c>
      <c r="F56" s="4">
        <v>0.00423305199538967</v>
      </c>
      <c r="G56" s="4">
        <v>0.00170843797716042</v>
      </c>
      <c r="H56" s="4">
        <v>0.00231047550215549</v>
      </c>
      <c r="I56" s="4">
        <v>0.000645227354255721</v>
      </c>
      <c r="J56" s="4">
        <v>0.0018023526272787</v>
      </c>
      <c r="K56" s="4">
        <v>0.0025090579752583</v>
      </c>
      <c r="L56" s="4">
        <v>0.00119250030467038</v>
      </c>
      <c r="M56" s="4">
        <v>0.00100820346163995</v>
      </c>
      <c r="N56" s="4">
        <v>0.00104321295585882</v>
      </c>
      <c r="O56" s="4">
        <v>0.00118066583335233</v>
      </c>
      <c r="P56" s="4">
        <v>0.00095406640203959</v>
      </c>
      <c r="Q56" s="4">
        <v>0.00249288449645249</v>
      </c>
      <c r="R56" s="4">
        <v>0.00113208950576511</v>
      </c>
      <c r="S56" s="4">
        <v>0.00100783941862369</v>
      </c>
      <c r="T56" s="4">
        <v>0.00149524661420511</v>
      </c>
      <c r="U56" s="4">
        <v>0.0046946294764215</v>
      </c>
      <c r="V56" s="4">
        <v>0.000561433854033411</v>
      </c>
      <c r="W56" s="4">
        <v>0.000205116121577901</v>
      </c>
      <c r="X56" s="4">
        <v>0.000454446643831127</v>
      </c>
      <c r="Y56" s="4">
        <v>0.000554030324167531</v>
      </c>
      <c r="Z56" s="4">
        <v>0.000537961028897335</v>
      </c>
      <c r="AA56" s="4">
        <v>0.00136024160762367</v>
      </c>
      <c r="AB56" s="4">
        <v>0.0010281696922739</v>
      </c>
      <c r="AC56" s="4">
        <v>-0.00115398048568444</v>
      </c>
      <c r="AD56" s="4">
        <v>0.000905039677789633</v>
      </c>
      <c r="AE56" s="4">
        <v>0.000768468083829587</v>
      </c>
      <c r="AF56" s="4">
        <v>0.000996631519950394</v>
      </c>
      <c r="AG56" s="4">
        <v>0.00123701756605601</v>
      </c>
      <c r="AH56" s="4">
        <v>0.00243482395723721</v>
      </c>
      <c r="AI56" s="4">
        <v>0.00192510126813586</v>
      </c>
      <c r="AJ56" s="4">
        <v>0.00269650634876493</v>
      </c>
      <c r="AK56" s="4">
        <v>0.00134495988978558</v>
      </c>
      <c r="AL56" s="4">
        <v>0.00175076544238457</v>
      </c>
      <c r="AM56" s="4">
        <v>0.00270574913253526</v>
      </c>
      <c r="AN56" s="4">
        <v>0.00063251913789168</v>
      </c>
      <c r="AO56" s="4">
        <v>0.000186463845717788</v>
      </c>
    </row>
    <row r="57" ht="14" spans="1:41">
      <c r="A57" s="27" t="s">
        <v>9</v>
      </c>
      <c r="B57" s="4">
        <v>0.00139233537190897</v>
      </c>
      <c r="C57" s="4">
        <v>0.00119014758449333</v>
      </c>
      <c r="D57" s="4">
        <v>0.000661196010688627</v>
      </c>
      <c r="E57" s="4">
        <v>0.000550646237402582</v>
      </c>
      <c r="F57" s="4">
        <v>0.00170843797716042</v>
      </c>
      <c r="G57" s="4">
        <v>0.00329028812457952</v>
      </c>
      <c r="H57" s="4">
        <v>0.0025525498839865</v>
      </c>
      <c r="I57" s="4">
        <v>0.00192774440985349</v>
      </c>
      <c r="J57" s="4">
        <v>0.00130468883968849</v>
      </c>
      <c r="K57" s="4">
        <v>0.00139380126546345</v>
      </c>
      <c r="L57" s="4">
        <v>0.0011966547761542</v>
      </c>
      <c r="M57" s="4">
        <v>0.000936078882979452</v>
      </c>
      <c r="N57" s="4">
        <v>0.00142730437680645</v>
      </c>
      <c r="O57" s="4">
        <v>0.00121732818698307</v>
      </c>
      <c r="P57" s="4">
        <v>0.000495413363125153</v>
      </c>
      <c r="Q57" s="4">
        <v>0.00223733014046377</v>
      </c>
      <c r="R57" s="4">
        <v>0.00233243033575931</v>
      </c>
      <c r="S57" s="4">
        <v>2.90644518731606e-5</v>
      </c>
      <c r="T57" s="4">
        <v>0.00110151691260801</v>
      </c>
      <c r="U57" s="4">
        <v>0.00369581364580785</v>
      </c>
      <c r="V57" s="4">
        <v>0.00221545272059515</v>
      </c>
      <c r="W57" s="4">
        <v>0.0020092534192395</v>
      </c>
      <c r="X57" s="4">
        <v>0.000237890204090622</v>
      </c>
      <c r="Y57" s="4">
        <v>0.00139616408139263</v>
      </c>
      <c r="Z57" s="4">
        <v>0.00104065611490925</v>
      </c>
      <c r="AA57" s="4">
        <v>0.000854884922324312</v>
      </c>
      <c r="AB57" s="4">
        <v>0.00122409820821094</v>
      </c>
      <c r="AC57" s="4">
        <v>0.000788617904406822</v>
      </c>
      <c r="AD57" s="4">
        <v>0.000677489195965923</v>
      </c>
      <c r="AE57" s="4">
        <v>0.00134729506860546</v>
      </c>
      <c r="AF57" s="4">
        <v>0.00107250131712541</v>
      </c>
      <c r="AG57" s="4">
        <v>0.00136920442495885</v>
      </c>
      <c r="AH57" s="4">
        <v>0.00215094635054635</v>
      </c>
      <c r="AI57" s="4">
        <v>0.00200841985169661</v>
      </c>
      <c r="AJ57" s="4">
        <v>0.00115301389486541</v>
      </c>
      <c r="AK57" s="4">
        <v>0.000601116724510336</v>
      </c>
      <c r="AL57" s="4">
        <v>0.00106347155447635</v>
      </c>
      <c r="AM57" s="4">
        <v>0.00239825262504663</v>
      </c>
      <c r="AN57" s="4">
        <v>0.00124222596187383</v>
      </c>
      <c r="AO57" s="4">
        <v>0.00129568157444589</v>
      </c>
    </row>
    <row r="58" ht="14" spans="1:41">
      <c r="A58" s="27" t="s">
        <v>10</v>
      </c>
      <c r="B58" s="4">
        <v>0.00177524563196185</v>
      </c>
      <c r="C58" s="4">
        <v>0.00151648691376285</v>
      </c>
      <c r="D58" s="4">
        <v>0.00279377609676377</v>
      </c>
      <c r="E58" s="4">
        <v>0.00296795308878925</v>
      </c>
      <c r="F58" s="4">
        <v>0.00231047550215549</v>
      </c>
      <c r="G58" s="4">
        <v>0.0025525498839865</v>
      </c>
      <c r="H58" s="4">
        <v>0.00896408500686384</v>
      </c>
      <c r="I58" s="4">
        <v>0.0023663487825982</v>
      </c>
      <c r="J58" s="4">
        <v>0.00131809245755675</v>
      </c>
      <c r="K58" s="4">
        <v>0.00208632831159044</v>
      </c>
      <c r="L58" s="4">
        <v>0.0014748423388519</v>
      </c>
      <c r="M58" s="4">
        <v>0.00199145855542612</v>
      </c>
      <c r="N58" s="4">
        <v>0.00216811058550603</v>
      </c>
      <c r="O58" s="4">
        <v>0.00165803641170781</v>
      </c>
      <c r="P58" s="4">
        <v>0.00368779417000169</v>
      </c>
      <c r="Q58" s="4">
        <v>0.00250212843047319</v>
      </c>
      <c r="R58" s="4">
        <v>0.00255681824389405</v>
      </c>
      <c r="S58" s="4">
        <v>0.00127066442210779</v>
      </c>
      <c r="T58" s="4">
        <v>0.00229359633707078</v>
      </c>
      <c r="U58" s="4">
        <v>0.0044526889796337</v>
      </c>
      <c r="V58" s="4">
        <v>0.00211453707430488</v>
      </c>
      <c r="W58" s="4">
        <v>0.00226158032329844</v>
      </c>
      <c r="X58" s="4">
        <v>0.00143077381497821</v>
      </c>
      <c r="Y58" s="4">
        <v>0.00407300300570226</v>
      </c>
      <c r="Z58" s="4">
        <v>4.08761465925736e-5</v>
      </c>
      <c r="AA58" s="4">
        <v>0.00199212799065858</v>
      </c>
      <c r="AB58" s="4">
        <v>0.00151855085400096</v>
      </c>
      <c r="AC58" s="4">
        <v>0.000366118132290849</v>
      </c>
      <c r="AD58" s="4">
        <v>8.31468874060362e-5</v>
      </c>
      <c r="AE58" s="4">
        <v>0.00109719405940418</v>
      </c>
      <c r="AF58" s="4">
        <v>0.000540405852845228</v>
      </c>
      <c r="AG58" s="4">
        <v>0.00143690544267617</v>
      </c>
      <c r="AH58" s="4">
        <v>0.00127003843920905</v>
      </c>
      <c r="AI58" s="4">
        <v>0.000768236457103967</v>
      </c>
      <c r="AJ58" s="4">
        <v>0.00367571533839004</v>
      </c>
      <c r="AK58" s="4">
        <v>0.000821846897390478</v>
      </c>
      <c r="AL58" s="4">
        <v>0.002273960368022</v>
      </c>
      <c r="AM58" s="4">
        <v>0.00115349793342364</v>
      </c>
      <c r="AN58" s="4">
        <v>0.00140903166593528</v>
      </c>
      <c r="AO58" s="4">
        <v>0.00173446352853103</v>
      </c>
    </row>
    <row r="59" ht="14" spans="1:41">
      <c r="A59" s="27" t="s">
        <v>11</v>
      </c>
      <c r="B59" s="4">
        <v>0.000852725659068834</v>
      </c>
      <c r="C59" s="4">
        <v>0.000565123240037274</v>
      </c>
      <c r="D59" s="4">
        <v>0.00044702436102343</v>
      </c>
      <c r="E59" s="4">
        <v>0.000525576119052448</v>
      </c>
      <c r="F59" s="4">
        <v>0.000645227354255721</v>
      </c>
      <c r="G59" s="4">
        <v>0.00192774440985349</v>
      </c>
      <c r="H59" s="4">
        <v>0.0023663487825982</v>
      </c>
      <c r="I59" s="4">
        <v>0.00547335301029192</v>
      </c>
      <c r="J59" s="4">
        <v>0.00128765009007915</v>
      </c>
      <c r="K59" s="4">
        <v>0.000371442806597647</v>
      </c>
      <c r="L59" s="4">
        <v>0.000290003002961267</v>
      </c>
      <c r="M59" s="4">
        <v>0.00186137271425503</v>
      </c>
      <c r="N59" s="4">
        <v>0.00154659544766137</v>
      </c>
      <c r="O59" s="4">
        <v>0.00154760190323992</v>
      </c>
      <c r="P59" s="4">
        <v>0.00186843270929266</v>
      </c>
      <c r="Q59" s="4">
        <v>0.000726298031383179</v>
      </c>
      <c r="R59" s="4">
        <v>0.00317901528591233</v>
      </c>
      <c r="S59" s="4">
        <v>-0.000563962473221415</v>
      </c>
      <c r="T59" s="4">
        <v>0.00102507134665521</v>
      </c>
      <c r="U59" s="4">
        <v>0.00635065281310001</v>
      </c>
      <c r="V59" s="4">
        <v>0.00234074126320869</v>
      </c>
      <c r="W59" s="4">
        <v>0.00228805213356429</v>
      </c>
      <c r="X59" s="4">
        <v>0.00200145082920907</v>
      </c>
      <c r="Y59" s="4">
        <v>0.00222122192639904</v>
      </c>
      <c r="Z59" s="4">
        <v>0.000602560644471548</v>
      </c>
      <c r="AA59" s="4">
        <v>0.00168680455645613</v>
      </c>
      <c r="AB59" s="4">
        <v>0.00148956654759786</v>
      </c>
      <c r="AC59" s="4">
        <v>0.00166767100209153</v>
      </c>
      <c r="AD59" s="4">
        <v>0.000319567346074117</v>
      </c>
      <c r="AE59" s="4">
        <v>0.00171785998780816</v>
      </c>
      <c r="AF59" s="4">
        <v>0.00135229906631775</v>
      </c>
      <c r="AG59" s="4">
        <v>0.00222509511662413</v>
      </c>
      <c r="AH59" s="4">
        <v>0.00195009461170154</v>
      </c>
      <c r="AI59" s="4">
        <v>0.00212727412210859</v>
      </c>
      <c r="AJ59" s="4">
        <v>0.00143036334076267</v>
      </c>
      <c r="AK59" s="4">
        <v>0.00069743991367846</v>
      </c>
      <c r="AL59" s="4">
        <v>0.00131323835900502</v>
      </c>
      <c r="AM59" s="4">
        <v>0.00121903987644113</v>
      </c>
      <c r="AN59" s="4">
        <v>0.00268654360093993</v>
      </c>
      <c r="AO59" s="4">
        <v>0.00104709849702887</v>
      </c>
    </row>
    <row r="60" ht="14" spans="1:41">
      <c r="A60" s="27" t="s">
        <v>16</v>
      </c>
      <c r="B60" s="4">
        <v>0.00140874157083845</v>
      </c>
      <c r="C60" s="4">
        <v>0.000942372918739274</v>
      </c>
      <c r="D60" s="4">
        <v>0.000572258096926709</v>
      </c>
      <c r="E60" s="4">
        <v>0.00171584377868613</v>
      </c>
      <c r="F60" s="4">
        <v>0.0018023526272787</v>
      </c>
      <c r="G60" s="4">
        <v>0.00130468883968849</v>
      </c>
      <c r="H60" s="4">
        <v>0.00131809245755675</v>
      </c>
      <c r="I60" s="4">
        <v>0.00128765009007915</v>
      </c>
      <c r="J60" s="4">
        <v>0.00360427883994</v>
      </c>
      <c r="K60" s="4">
        <v>0.00268483375241885</v>
      </c>
      <c r="L60" s="4">
        <v>0.000894390166218961</v>
      </c>
      <c r="M60" s="4">
        <v>0.000328263197952159</v>
      </c>
      <c r="N60" s="4">
        <v>0.000983738321272905</v>
      </c>
      <c r="O60" s="4">
        <v>0.00134837102958701</v>
      </c>
      <c r="P60" s="4">
        <v>0.00145986759237334</v>
      </c>
      <c r="Q60" s="4">
        <v>0.00106357994132781</v>
      </c>
      <c r="R60" s="4">
        <v>0.00133712203023621</v>
      </c>
      <c r="S60" s="4">
        <v>0.000605269797299709</v>
      </c>
      <c r="T60" s="4">
        <v>0.00116207655191696</v>
      </c>
      <c r="U60" s="4">
        <v>0.00371506117528505</v>
      </c>
      <c r="V60" s="4">
        <v>0.00118459472348392</v>
      </c>
      <c r="W60" s="4">
        <v>0.000877242526412939</v>
      </c>
      <c r="X60" s="4">
        <v>0.00130384727048826</v>
      </c>
      <c r="Y60" s="4">
        <v>0.000341325189001431</v>
      </c>
      <c r="Z60" s="4">
        <v>0.000919393733392883</v>
      </c>
      <c r="AA60" s="4">
        <v>0.00101312672012586</v>
      </c>
      <c r="AB60" s="4">
        <v>0.00171483706969275</v>
      </c>
      <c r="AC60" s="4">
        <v>0.00189706414140843</v>
      </c>
      <c r="AD60" s="4">
        <v>0.000531826281133738</v>
      </c>
      <c r="AE60" s="4">
        <v>0.001193196820327</v>
      </c>
      <c r="AF60" s="4">
        <v>0.000692103285308926</v>
      </c>
      <c r="AG60" s="4">
        <v>0.00305588509544618</v>
      </c>
      <c r="AH60" s="4">
        <v>0.00187785428122194</v>
      </c>
      <c r="AI60" s="4">
        <v>0.00250140718275258</v>
      </c>
      <c r="AJ60" s="4">
        <v>0.00278325082299903</v>
      </c>
      <c r="AK60" s="4">
        <v>0.0019588905262778</v>
      </c>
      <c r="AL60" s="4">
        <v>0.00186336221367708</v>
      </c>
      <c r="AM60" s="4">
        <v>0.00241035087525234</v>
      </c>
      <c r="AN60" s="4">
        <v>0.00168706645016609</v>
      </c>
      <c r="AO60" s="4">
        <v>0.000827755385985986</v>
      </c>
    </row>
    <row r="61" ht="14" spans="1:41">
      <c r="A61" s="27" t="s">
        <v>17</v>
      </c>
      <c r="B61" s="4">
        <v>0.00139863769317312</v>
      </c>
      <c r="C61" s="4">
        <v>0.00186867581111908</v>
      </c>
      <c r="D61" s="4">
        <v>0.00167304499083995</v>
      </c>
      <c r="E61" s="4">
        <v>0.00297384295444326</v>
      </c>
      <c r="F61" s="4">
        <v>0.0025090579752583</v>
      </c>
      <c r="G61" s="4">
        <v>0.00139380126546345</v>
      </c>
      <c r="H61" s="4">
        <v>0.00208632831159044</v>
      </c>
      <c r="I61" s="4">
        <v>0.000371442806597647</v>
      </c>
      <c r="J61" s="4">
        <v>0.00268483375241885</v>
      </c>
      <c r="K61" s="4">
        <v>0.00644753018893236</v>
      </c>
      <c r="L61" s="4">
        <v>0.00103828643682059</v>
      </c>
      <c r="M61" s="4">
        <v>0.000618673883504024</v>
      </c>
      <c r="N61" s="4">
        <v>0.000876047307072302</v>
      </c>
      <c r="O61" s="4">
        <v>0.001004461673483</v>
      </c>
      <c r="P61" s="4">
        <v>0.00220485481132497</v>
      </c>
      <c r="Q61" s="4">
        <v>0.00361054929432258</v>
      </c>
      <c r="R61" s="4">
        <v>0.000792668672777249</v>
      </c>
      <c r="S61" s="4">
        <v>0.000367292771532885</v>
      </c>
      <c r="T61" s="4">
        <v>0.000847589579832753</v>
      </c>
      <c r="U61" s="4">
        <v>0.00531980373378527</v>
      </c>
      <c r="V61" s="4">
        <v>0.000638368840715395</v>
      </c>
      <c r="W61" s="4">
        <v>-0.000181419435089403</v>
      </c>
      <c r="X61" s="4">
        <v>0.00135597865442684</v>
      </c>
      <c r="Y61" s="4">
        <v>-0.000451302205236166</v>
      </c>
      <c r="Z61" s="4">
        <v>0.000692730796878625</v>
      </c>
      <c r="AA61" s="4">
        <v>0.00155345400276877</v>
      </c>
      <c r="AB61" s="4">
        <v>0.00155783544938654</v>
      </c>
      <c r="AC61" s="4">
        <v>0.00153192247851095</v>
      </c>
      <c r="AD61" s="4">
        <v>0.000698433795618936</v>
      </c>
      <c r="AE61" s="4">
        <v>0.000517835575318901</v>
      </c>
      <c r="AF61" s="4">
        <v>0.00101362766331002</v>
      </c>
      <c r="AG61" s="4">
        <v>0.00266268272743102</v>
      </c>
      <c r="AH61" s="4">
        <v>0.00376463194602535</v>
      </c>
      <c r="AI61" s="4">
        <v>0.00237749828179174</v>
      </c>
      <c r="AJ61" s="4">
        <v>0.00463496011815502</v>
      </c>
      <c r="AK61" s="4">
        <v>0.00272647100988205</v>
      </c>
      <c r="AL61" s="4">
        <v>0.0025014030351888</v>
      </c>
      <c r="AM61" s="4">
        <v>0.00184553755644569</v>
      </c>
      <c r="AN61" s="4">
        <v>0.000754139465710073</v>
      </c>
      <c r="AO61" s="4">
        <v>0.00222031648180357</v>
      </c>
    </row>
    <row r="62" ht="14" spans="1:41">
      <c r="A62" s="27" t="s">
        <v>19</v>
      </c>
      <c r="B62" s="4">
        <v>0.000586133136286184</v>
      </c>
      <c r="C62" s="4">
        <v>0.000639680213805494</v>
      </c>
      <c r="D62" s="4">
        <v>0.00092731429142205</v>
      </c>
      <c r="E62" s="4">
        <v>0.000963848436933597</v>
      </c>
      <c r="F62" s="4">
        <v>0.00119250030467038</v>
      </c>
      <c r="G62" s="4">
        <v>0.0011966547761542</v>
      </c>
      <c r="H62" s="4">
        <v>0.0014748423388519</v>
      </c>
      <c r="I62" s="4">
        <v>0.000290003002961267</v>
      </c>
      <c r="J62" s="4">
        <v>0.000894390166218961</v>
      </c>
      <c r="K62" s="4">
        <v>0.00103828643682059</v>
      </c>
      <c r="L62" s="4">
        <v>0.00895534391242223</v>
      </c>
      <c r="M62" s="4">
        <v>0.000913217545193069</v>
      </c>
      <c r="N62" s="4">
        <v>0.000370120843758555</v>
      </c>
      <c r="O62" s="4">
        <v>0.000416017264714006</v>
      </c>
      <c r="P62" s="4">
        <v>0.00208583898263797</v>
      </c>
      <c r="Q62" s="4">
        <v>0.00113469599165669</v>
      </c>
      <c r="R62" s="4">
        <v>0.00409786373968611</v>
      </c>
      <c r="S62" s="4">
        <v>-0.000890769082113058</v>
      </c>
      <c r="T62" s="4">
        <v>0.00029854720838141</v>
      </c>
      <c r="U62" s="4">
        <v>0.00406438759209522</v>
      </c>
      <c r="V62" s="4">
        <v>0.00211164457689476</v>
      </c>
      <c r="W62" s="4">
        <v>0.0011123199641464</v>
      </c>
      <c r="X62" s="4">
        <v>-0.000392968085309255</v>
      </c>
      <c r="Y62" s="4">
        <v>0.00317090658609825</v>
      </c>
      <c r="Z62" s="4">
        <v>-0.00116552755548538</v>
      </c>
      <c r="AA62" s="4">
        <v>0.000703350712110781</v>
      </c>
      <c r="AB62" s="4">
        <v>0.00314280878875447</v>
      </c>
      <c r="AC62" s="4">
        <v>-0.00148725509753223</v>
      </c>
      <c r="AD62" s="4">
        <v>0.000311202242215264</v>
      </c>
      <c r="AE62" s="4">
        <v>0.00139260530435206</v>
      </c>
      <c r="AF62" s="4">
        <v>0.000174171212852202</v>
      </c>
      <c r="AG62" s="4">
        <v>0.000648090455137099</v>
      </c>
      <c r="AH62" s="4">
        <v>0.00178522706549664</v>
      </c>
      <c r="AI62" s="4">
        <v>0.000719302010000009</v>
      </c>
      <c r="AJ62" s="4">
        <v>-0.000814640347830072</v>
      </c>
      <c r="AK62" s="4">
        <v>-0.000311945265968454</v>
      </c>
      <c r="AL62" s="4">
        <v>-0.000478066335947198</v>
      </c>
      <c r="AM62" s="4">
        <v>0.000840656567835245</v>
      </c>
      <c r="AN62" s="4">
        <v>0.00106635928059738</v>
      </c>
      <c r="AO62" s="4">
        <v>-0.0020866916738509</v>
      </c>
    </row>
    <row r="63" ht="14" spans="1:41">
      <c r="A63" s="27" t="s">
        <v>28</v>
      </c>
      <c r="B63" s="4">
        <v>4.76008152936843e-5</v>
      </c>
      <c r="C63" s="4">
        <v>0.000623992994726933</v>
      </c>
      <c r="D63" s="4">
        <v>0.000689851500235471</v>
      </c>
      <c r="E63" s="4">
        <v>0.00200543883849665</v>
      </c>
      <c r="F63" s="4">
        <v>0.00100820346163995</v>
      </c>
      <c r="G63" s="4">
        <v>0.000936078882979452</v>
      </c>
      <c r="H63" s="4">
        <v>0.00199145855542612</v>
      </c>
      <c r="I63" s="4">
        <v>0.00186137271425503</v>
      </c>
      <c r="J63" s="4">
        <v>0.000328263197952159</v>
      </c>
      <c r="K63" s="4">
        <v>0.000618673883504024</v>
      </c>
      <c r="L63" s="4">
        <v>0.000913217545193069</v>
      </c>
      <c r="M63" s="4">
        <v>0.00483190037396029</v>
      </c>
      <c r="N63" s="4">
        <v>0.00107394187843904</v>
      </c>
      <c r="O63" s="4">
        <v>0.000262103714539658</v>
      </c>
      <c r="P63" s="4">
        <v>0.000984036404630269</v>
      </c>
      <c r="Q63" s="4">
        <v>-0.00152140705968131</v>
      </c>
      <c r="R63" s="4">
        <v>0.00159586001686581</v>
      </c>
      <c r="S63" s="4">
        <v>-0.000403674068020529</v>
      </c>
      <c r="T63" s="4">
        <v>0.000640113914606138</v>
      </c>
      <c r="U63" s="4">
        <v>0.00260884580454697</v>
      </c>
      <c r="V63" s="4">
        <v>0.000705881232800448</v>
      </c>
      <c r="W63" s="4">
        <v>0.000816115076882154</v>
      </c>
      <c r="X63" s="4">
        <v>6.07314916339875e-5</v>
      </c>
      <c r="Y63" s="4">
        <v>0.00128833339203887</v>
      </c>
      <c r="Z63" s="4">
        <v>-5.76249765924378e-5</v>
      </c>
      <c r="AA63" s="4">
        <v>0.000811873906360656</v>
      </c>
      <c r="AB63" s="4">
        <v>0.000239574455988561</v>
      </c>
      <c r="AC63" s="4">
        <v>-0.00121000724142446</v>
      </c>
      <c r="AD63" s="4">
        <v>0.000260489404451479</v>
      </c>
      <c r="AE63" s="4">
        <v>-0.000118556713786016</v>
      </c>
      <c r="AF63" s="4">
        <v>0.000566502889841792</v>
      </c>
      <c r="AG63" s="4">
        <v>-0.000424089403868685</v>
      </c>
      <c r="AH63" s="4">
        <v>0.00064192682360628</v>
      </c>
      <c r="AI63" s="4">
        <v>0.000268377998085495</v>
      </c>
      <c r="AJ63" s="4">
        <v>-0.000192896622483301</v>
      </c>
      <c r="AK63" s="4">
        <v>0.000133852117626324</v>
      </c>
      <c r="AL63" s="4">
        <v>0.000454104923923804</v>
      </c>
      <c r="AM63" s="4">
        <v>0.000767990805079859</v>
      </c>
      <c r="AN63" s="4">
        <v>0.000428718068137429</v>
      </c>
      <c r="AO63" s="4">
        <v>3.92938811651997e-5</v>
      </c>
    </row>
    <row r="64" ht="14" spans="1:41">
      <c r="A64" s="27" t="s">
        <v>30</v>
      </c>
      <c r="B64" s="4">
        <v>0.00125923929300084</v>
      </c>
      <c r="C64" s="4">
        <v>0.000468611444377279</v>
      </c>
      <c r="D64" s="4">
        <v>0.000995038672934341</v>
      </c>
      <c r="E64" s="4">
        <v>0.00132235408499223</v>
      </c>
      <c r="F64" s="4">
        <v>0.00104321295585882</v>
      </c>
      <c r="G64" s="4">
        <v>0.00142730437680645</v>
      </c>
      <c r="H64" s="4">
        <v>0.00216811058550603</v>
      </c>
      <c r="I64" s="4">
        <v>0.00154659544766137</v>
      </c>
      <c r="J64" s="4">
        <v>0.000983738321272905</v>
      </c>
      <c r="K64" s="4">
        <v>0.000876047307072302</v>
      </c>
      <c r="L64" s="4">
        <v>0.000370120843758555</v>
      </c>
      <c r="M64" s="4">
        <v>0.00107394187843904</v>
      </c>
      <c r="N64" s="4">
        <v>0.00230982779563246</v>
      </c>
      <c r="O64" s="4">
        <v>0.00131421653345467</v>
      </c>
      <c r="P64" s="4">
        <v>0.00216695491873299</v>
      </c>
      <c r="Q64" s="4">
        <v>0.00154401698288016</v>
      </c>
      <c r="R64" s="4">
        <v>0.00330189397339643</v>
      </c>
      <c r="S64" s="4">
        <v>0.00141559179975528</v>
      </c>
      <c r="T64" s="4">
        <v>0.00167957070349</v>
      </c>
      <c r="U64" s="4">
        <v>0.00324178057726513</v>
      </c>
      <c r="V64" s="4">
        <v>0.00121985721548847</v>
      </c>
      <c r="W64" s="4">
        <v>0.00213264223375464</v>
      </c>
      <c r="X64" s="4">
        <v>0.0017618594049874</v>
      </c>
      <c r="Y64" s="4">
        <v>0.00234008847026393</v>
      </c>
      <c r="Z64" s="4">
        <v>0.000900881090830035</v>
      </c>
      <c r="AA64" s="4">
        <v>0.00127589909796106</v>
      </c>
      <c r="AB64" s="4">
        <v>0.000571307920697654</v>
      </c>
      <c r="AC64" s="4">
        <v>0.00109207114356376</v>
      </c>
      <c r="AD64" s="4">
        <v>0.00039716440992779</v>
      </c>
      <c r="AE64" s="4">
        <v>0.00115176518127063</v>
      </c>
      <c r="AF64" s="4">
        <v>0.000555064956719614</v>
      </c>
      <c r="AG64" s="4">
        <v>0.00127688557110285</v>
      </c>
      <c r="AH64" s="4">
        <v>0.00125188193634628</v>
      </c>
      <c r="AI64" s="4">
        <v>0.00184243481759675</v>
      </c>
      <c r="AJ64" s="4">
        <v>0.0016473478070894</v>
      </c>
      <c r="AK64" s="4">
        <v>0.000807682968805825</v>
      </c>
      <c r="AL64" s="4">
        <v>0.00134670511946039</v>
      </c>
      <c r="AM64" s="4">
        <v>0.00335519088356236</v>
      </c>
      <c r="AN64" s="4">
        <v>0.00153093917474026</v>
      </c>
      <c r="AO64" s="4">
        <v>0.000841158480760062</v>
      </c>
    </row>
    <row r="65" ht="14" spans="1:41">
      <c r="A65" s="27" t="s">
        <v>32</v>
      </c>
      <c r="B65" s="4">
        <v>0.00142860985496465</v>
      </c>
      <c r="C65" s="4">
        <v>0.000512727792051035</v>
      </c>
      <c r="D65" s="4">
        <v>0.000273183225818799</v>
      </c>
      <c r="E65" s="4">
        <v>0.0012843180715428</v>
      </c>
      <c r="F65" s="4">
        <v>0.00118066583335233</v>
      </c>
      <c r="G65" s="4">
        <v>0.00121732818698307</v>
      </c>
      <c r="H65" s="4">
        <v>0.00165803641170781</v>
      </c>
      <c r="I65" s="4">
        <v>0.00154760190323992</v>
      </c>
      <c r="J65" s="4">
        <v>0.00134837102958701</v>
      </c>
      <c r="K65" s="4">
        <v>0.001004461673483</v>
      </c>
      <c r="L65" s="4">
        <v>0.000416017264714006</v>
      </c>
      <c r="M65" s="4">
        <v>0.000262103714539658</v>
      </c>
      <c r="N65" s="4">
        <v>0.00131421653345467</v>
      </c>
      <c r="O65" s="4">
        <v>0.00312108667113482</v>
      </c>
      <c r="P65" s="4">
        <v>0.00245755497300213</v>
      </c>
      <c r="Q65" s="4">
        <v>0.00171873291488354</v>
      </c>
      <c r="R65" s="4">
        <v>0.00243659546923201</v>
      </c>
      <c r="S65" s="4">
        <v>0.000944365162068407</v>
      </c>
      <c r="T65" s="4">
        <v>0.00190047462020512</v>
      </c>
      <c r="U65" s="4">
        <v>0.00300782222755788</v>
      </c>
      <c r="V65" s="4">
        <v>0.00151148682024433</v>
      </c>
      <c r="W65" s="4">
        <v>0.00157363323984905</v>
      </c>
      <c r="X65" s="4">
        <v>0.00198077782084117</v>
      </c>
      <c r="Y65" s="4">
        <v>0.000959388939983207</v>
      </c>
      <c r="Z65" s="4">
        <v>0.000909054125781763</v>
      </c>
      <c r="AA65" s="4">
        <v>0.00171069858839445</v>
      </c>
      <c r="AB65" s="4">
        <v>0.00105345268958376</v>
      </c>
      <c r="AC65" s="4">
        <v>0.00257593420663602</v>
      </c>
      <c r="AD65" s="4">
        <v>0.000568201252766253</v>
      </c>
      <c r="AE65" s="4">
        <v>0.00205508099744439</v>
      </c>
      <c r="AF65" s="4">
        <v>0.000501934542275981</v>
      </c>
      <c r="AG65" s="4">
        <v>0.00180271239885046</v>
      </c>
      <c r="AH65" s="4">
        <v>0.00138269570921144</v>
      </c>
      <c r="AI65" s="4">
        <v>0.00248893179874756</v>
      </c>
      <c r="AJ65" s="4">
        <v>0.00254576626411251</v>
      </c>
      <c r="AK65" s="4">
        <v>0.00169630108823614</v>
      </c>
      <c r="AL65" s="4">
        <v>0.00116734533978091</v>
      </c>
      <c r="AM65" s="4">
        <v>0.00132332705486357</v>
      </c>
      <c r="AN65" s="4">
        <v>0.00197936509038879</v>
      </c>
      <c r="AO65" s="4">
        <v>0.000658217754743903</v>
      </c>
    </row>
    <row r="66" ht="14" spans="1:41">
      <c r="A66" s="27" t="s">
        <v>34</v>
      </c>
      <c r="B66" s="4">
        <v>0.00152458439086526</v>
      </c>
      <c r="C66" s="4">
        <v>0.000588999778612077</v>
      </c>
      <c r="D66" s="4">
        <v>0.00113655617747409</v>
      </c>
      <c r="E66" s="4">
        <v>0.00163775334848838</v>
      </c>
      <c r="F66" s="4">
        <v>0.00095406640203959</v>
      </c>
      <c r="G66" s="4">
        <v>0.000495413363125153</v>
      </c>
      <c r="H66" s="4">
        <v>0.00368779417000169</v>
      </c>
      <c r="I66" s="4">
        <v>0.00186843270929266</v>
      </c>
      <c r="J66" s="4">
        <v>0.00145986759237334</v>
      </c>
      <c r="K66" s="4">
        <v>0.00220485481132497</v>
      </c>
      <c r="L66" s="4">
        <v>0.00208583898263797</v>
      </c>
      <c r="M66" s="4">
        <v>0.000984036404630269</v>
      </c>
      <c r="N66" s="4">
        <v>0.00216695491873299</v>
      </c>
      <c r="O66" s="4">
        <v>0.00245755497300213</v>
      </c>
      <c r="P66" s="4">
        <v>0.00936673367711772</v>
      </c>
      <c r="Q66" s="4">
        <v>0.00329896211647208</v>
      </c>
      <c r="R66" s="4">
        <v>0.0047379185861798</v>
      </c>
      <c r="S66" s="4">
        <v>0.00223589210920352</v>
      </c>
      <c r="T66" s="4">
        <v>0.00319631432239269</v>
      </c>
      <c r="U66" s="4">
        <v>0.004684378621826</v>
      </c>
      <c r="V66" s="4">
        <v>0.00179230493371667</v>
      </c>
      <c r="W66" s="4">
        <v>0.00319150688142846</v>
      </c>
      <c r="X66" s="4">
        <v>0.00312074945475117</v>
      </c>
      <c r="Y66" s="4">
        <v>0.00339639867153899</v>
      </c>
      <c r="Z66" s="4">
        <v>0.000198180121250733</v>
      </c>
      <c r="AA66" s="4">
        <v>0.00285337953625281</v>
      </c>
      <c r="AB66" s="4">
        <v>0.00145945305410893</v>
      </c>
      <c r="AC66" s="4">
        <v>0.00279808872391975</v>
      </c>
      <c r="AD66" s="4">
        <v>0.00026725585432007</v>
      </c>
      <c r="AE66" s="4">
        <v>0.00207514938162764</v>
      </c>
      <c r="AF66" s="4">
        <v>0.000484603493712673</v>
      </c>
      <c r="AG66" s="4">
        <v>0.00174863943518641</v>
      </c>
      <c r="AH66" s="4">
        <v>-0.000724343679664174</v>
      </c>
      <c r="AI66" s="4">
        <v>0.00177696793883327</v>
      </c>
      <c r="AJ66" s="4">
        <v>0.00330581780278419</v>
      </c>
      <c r="AK66" s="4">
        <v>0.00303320834802789</v>
      </c>
      <c r="AL66" s="4">
        <v>0.00132540851336576</v>
      </c>
      <c r="AM66" s="4">
        <v>0.00150400669384975</v>
      </c>
      <c r="AN66" s="4">
        <v>0.00220797186667111</v>
      </c>
      <c r="AO66" s="4">
        <v>0.00187768701038987</v>
      </c>
    </row>
    <row r="67" ht="14" spans="1:41">
      <c r="A67" s="27" t="s">
        <v>37</v>
      </c>
      <c r="B67" s="4">
        <v>0.00286391625558437</v>
      </c>
      <c r="C67" s="4">
        <v>0.00189372066841222</v>
      </c>
      <c r="D67" s="4">
        <v>0.00236259336790727</v>
      </c>
      <c r="E67" s="4">
        <v>-0.000957809084873137</v>
      </c>
      <c r="F67" s="4">
        <v>0.00249288449645249</v>
      </c>
      <c r="G67" s="4">
        <v>0.00223733014046377</v>
      </c>
      <c r="H67" s="4">
        <v>0.00250212843047319</v>
      </c>
      <c r="I67" s="4">
        <v>0.000726298031383179</v>
      </c>
      <c r="J67" s="4">
        <v>0.00106357994132781</v>
      </c>
      <c r="K67" s="4">
        <v>0.00361054929432258</v>
      </c>
      <c r="L67" s="4">
        <v>0.00113469599165669</v>
      </c>
      <c r="M67" s="4">
        <v>-0.00152140705968131</v>
      </c>
      <c r="N67" s="4">
        <v>0.00154401698288016</v>
      </c>
      <c r="O67" s="4">
        <v>0.00171873291488354</v>
      </c>
      <c r="P67" s="4">
        <v>0.00329896211647208</v>
      </c>
      <c r="Q67" s="4">
        <v>0.0179208060570502</v>
      </c>
      <c r="R67" s="4">
        <v>0.00151068483579947</v>
      </c>
      <c r="S67" s="4">
        <v>0.00207105907715284</v>
      </c>
      <c r="T67" s="4">
        <v>0.00146914548318367</v>
      </c>
      <c r="U67" s="4">
        <v>0.00306408675167365</v>
      </c>
      <c r="V67" s="4">
        <v>0.00012093479542867</v>
      </c>
      <c r="W67" s="4">
        <v>0.000708024427760219</v>
      </c>
      <c r="X67" s="4">
        <v>-0.00121642426943145</v>
      </c>
      <c r="Y67" s="4">
        <v>-0.00411896954161738</v>
      </c>
      <c r="Z67" s="4">
        <v>0.000472579390663404</v>
      </c>
      <c r="AA67" s="4">
        <v>0.000866581712787418</v>
      </c>
      <c r="AB67" s="4">
        <v>-0.00107402739722062</v>
      </c>
      <c r="AC67" s="4">
        <v>-0.00310566745716819</v>
      </c>
      <c r="AD67" s="4">
        <v>0.0011720907534115</v>
      </c>
      <c r="AE67" s="4">
        <v>0.000996848152062875</v>
      </c>
      <c r="AF67" s="4">
        <v>0.00124828093784414</v>
      </c>
      <c r="AG67" s="4">
        <v>0.00279933374464864</v>
      </c>
      <c r="AH67" s="4">
        <v>0.00526256211061905</v>
      </c>
      <c r="AI67" s="4">
        <v>0.00152088727340942</v>
      </c>
      <c r="AJ67" s="4">
        <v>0.000829060178332463</v>
      </c>
      <c r="AK67" s="4">
        <v>0.00170336745870293</v>
      </c>
      <c r="AL67" s="4">
        <v>6.05581161677571e-5</v>
      </c>
      <c r="AM67" s="4">
        <v>0.000517606931500072</v>
      </c>
      <c r="AN67" s="4">
        <v>0.00157405754706827</v>
      </c>
      <c r="AO67" s="4">
        <v>0.000204016994707553</v>
      </c>
    </row>
    <row r="68" ht="14" spans="1:41">
      <c r="A68" s="27" t="s">
        <v>39</v>
      </c>
      <c r="B68" s="4">
        <v>0.00143834199905919</v>
      </c>
      <c r="C68" s="4">
        <v>0.000308189719603395</v>
      </c>
      <c r="D68" s="4">
        <v>4.41192135243197e-5</v>
      </c>
      <c r="E68" s="4">
        <v>0.00263776261424995</v>
      </c>
      <c r="F68" s="4">
        <v>0.00113208950576511</v>
      </c>
      <c r="G68" s="4">
        <v>0.00233243033575931</v>
      </c>
      <c r="H68" s="4">
        <v>0.00255681824389405</v>
      </c>
      <c r="I68" s="4">
        <v>0.00317901528591233</v>
      </c>
      <c r="J68" s="4">
        <v>0.00133712203023621</v>
      </c>
      <c r="K68" s="4">
        <v>0.000792668672777249</v>
      </c>
      <c r="L68" s="4">
        <v>0.00409786373968611</v>
      </c>
      <c r="M68" s="4">
        <v>0.00159586001686581</v>
      </c>
      <c r="N68" s="4">
        <v>0.00330189397339643</v>
      </c>
      <c r="O68" s="4">
        <v>0.00243659546923201</v>
      </c>
      <c r="P68" s="4">
        <v>0.0047379185861798</v>
      </c>
      <c r="Q68" s="4">
        <v>0.00151068483579947</v>
      </c>
      <c r="R68" s="4">
        <v>0.0142984049137515</v>
      </c>
      <c r="S68" s="4">
        <v>0.00233842453428317</v>
      </c>
      <c r="T68" s="4">
        <v>0.00359305720703157</v>
      </c>
      <c r="U68" s="4">
        <v>0.00698280717085884</v>
      </c>
      <c r="V68" s="4">
        <v>0.00339157593918124</v>
      </c>
      <c r="W68" s="4">
        <v>0.00365564013088015</v>
      </c>
      <c r="X68" s="4">
        <v>0.00305244311562426</v>
      </c>
      <c r="Y68" s="4">
        <v>0.00358948813723125</v>
      </c>
      <c r="Z68" s="4">
        <v>0.000285548691716676</v>
      </c>
      <c r="AA68" s="4">
        <v>0.00302031887449593</v>
      </c>
      <c r="AB68" s="4">
        <v>0.00318337136392095</v>
      </c>
      <c r="AC68" s="4">
        <v>0.00329018932021558</v>
      </c>
      <c r="AD68" s="4">
        <v>-7.7853719134502e-5</v>
      </c>
      <c r="AE68" s="4">
        <v>0.00287550244572386</v>
      </c>
      <c r="AF68" s="4">
        <v>0.000786726462008526</v>
      </c>
      <c r="AG68" s="4">
        <v>0.00315481175367014</v>
      </c>
      <c r="AH68" s="4">
        <v>-6.22279690093536e-5</v>
      </c>
      <c r="AI68" s="4">
        <v>0.00528822467219069</v>
      </c>
      <c r="AJ68" s="4">
        <v>0.00210318889957277</v>
      </c>
      <c r="AK68" s="4">
        <v>0.00127401153008391</v>
      </c>
      <c r="AL68" s="4">
        <v>0.00133520336664318</v>
      </c>
      <c r="AM68" s="4">
        <v>0.00536704296690666</v>
      </c>
      <c r="AN68" s="4">
        <v>0.00441150685639114</v>
      </c>
      <c r="AO68" s="4">
        <v>0.00102062395996555</v>
      </c>
    </row>
    <row r="69" ht="14" spans="1:41">
      <c r="A69" s="27" t="s">
        <v>40</v>
      </c>
      <c r="B69" s="4">
        <v>0.00134067373970498</v>
      </c>
      <c r="C69" s="4">
        <v>0.000259116749597339</v>
      </c>
      <c r="D69" s="4">
        <v>0.00162968129956581</v>
      </c>
      <c r="E69" s="4">
        <v>0.00106128579222087</v>
      </c>
      <c r="F69" s="4">
        <v>0.00100783941862369</v>
      </c>
      <c r="G69" s="4">
        <v>2.90644518731606e-5</v>
      </c>
      <c r="H69" s="4">
        <v>0.00127066442210779</v>
      </c>
      <c r="I69" s="4">
        <v>-0.000563962473221415</v>
      </c>
      <c r="J69" s="4">
        <v>0.000605269797299709</v>
      </c>
      <c r="K69" s="4">
        <v>0.000367292771532885</v>
      </c>
      <c r="L69" s="4">
        <v>-0.000890769082113058</v>
      </c>
      <c r="M69" s="4">
        <v>-0.000403674068020529</v>
      </c>
      <c r="N69" s="4">
        <v>0.00141559179975528</v>
      </c>
      <c r="O69" s="4">
        <v>0.000944365162068407</v>
      </c>
      <c r="P69" s="4">
        <v>0.00223589210920352</v>
      </c>
      <c r="Q69" s="4">
        <v>0.00207105907715284</v>
      </c>
      <c r="R69" s="4">
        <v>0.00233842453428317</v>
      </c>
      <c r="S69" s="4">
        <v>0.0054340767496654</v>
      </c>
      <c r="T69" s="4">
        <v>0.00233008998993639</v>
      </c>
      <c r="U69" s="4">
        <v>-0.00112018730545924</v>
      </c>
      <c r="V69" s="4">
        <v>0.000625277187428996</v>
      </c>
      <c r="W69" s="4">
        <v>0.0010128206040985</v>
      </c>
      <c r="X69" s="4">
        <v>0.00127744439805276</v>
      </c>
      <c r="Y69" s="4">
        <v>0.00165419490352931</v>
      </c>
      <c r="Z69" s="4">
        <v>0.000502725031195736</v>
      </c>
      <c r="AA69" s="4">
        <v>0.00131592382133282</v>
      </c>
      <c r="AB69" s="4">
        <v>-0.000751259087045843</v>
      </c>
      <c r="AC69" s="4">
        <v>0.00104168619220848</v>
      </c>
      <c r="AD69" s="4">
        <v>-2.04236103103687e-5</v>
      </c>
      <c r="AE69" s="4">
        <v>0.000810468653264262</v>
      </c>
      <c r="AF69" s="4">
        <v>-7.1387106820006e-5</v>
      </c>
      <c r="AG69" s="4">
        <v>0.00112476542733813</v>
      </c>
      <c r="AH69" s="4">
        <v>0.000771294343558692</v>
      </c>
      <c r="AI69" s="4">
        <v>0.000827800346714027</v>
      </c>
      <c r="AJ69" s="4">
        <v>0.00226741030232384</v>
      </c>
      <c r="AK69" s="4">
        <v>0.00101659158482841</v>
      </c>
      <c r="AL69" s="4">
        <v>0.00241080111007321</v>
      </c>
      <c r="AM69" s="4">
        <v>0.00232724923753047</v>
      </c>
      <c r="AN69" s="4">
        <v>0.000741633907196078</v>
      </c>
      <c r="AO69" s="4">
        <v>0.0014477437737854</v>
      </c>
    </row>
    <row r="70" ht="14" spans="1:41">
      <c r="A70" s="27" t="s">
        <v>41</v>
      </c>
      <c r="B70" s="4">
        <v>0.0013694784629304</v>
      </c>
      <c r="C70" s="4">
        <v>0.000396081014660557</v>
      </c>
      <c r="D70" s="4">
        <v>0.000716504727252703</v>
      </c>
      <c r="E70" s="4">
        <v>0.00155080297214177</v>
      </c>
      <c r="F70" s="4">
        <v>0.00149524661420511</v>
      </c>
      <c r="G70" s="4">
        <v>0.00110151691260801</v>
      </c>
      <c r="H70" s="4">
        <v>0.00229359633707078</v>
      </c>
      <c r="I70" s="4">
        <v>0.00102507134665521</v>
      </c>
      <c r="J70" s="4">
        <v>0.00116207655191696</v>
      </c>
      <c r="K70" s="4">
        <v>0.000847589579832753</v>
      </c>
      <c r="L70" s="4">
        <v>0.00029854720838141</v>
      </c>
      <c r="M70" s="4">
        <v>0.000640113914606138</v>
      </c>
      <c r="N70" s="4">
        <v>0.00167957070349</v>
      </c>
      <c r="O70" s="4">
        <v>0.00190047462020512</v>
      </c>
      <c r="P70" s="4">
        <v>0.00319631432239269</v>
      </c>
      <c r="Q70" s="4">
        <v>0.00146914548318367</v>
      </c>
      <c r="R70" s="4">
        <v>0.00359305720703157</v>
      </c>
      <c r="S70" s="4">
        <v>0.00233008998993639</v>
      </c>
      <c r="T70" s="4">
        <v>0.00511605011405166</v>
      </c>
      <c r="U70" s="4">
        <v>0.00274964857854631</v>
      </c>
      <c r="V70" s="4">
        <v>0.00204974800098594</v>
      </c>
      <c r="W70" s="4">
        <v>0.00224944672971156</v>
      </c>
      <c r="X70" s="4">
        <v>0.00213666380055845</v>
      </c>
      <c r="Y70" s="4">
        <v>0.0032322140668602</v>
      </c>
      <c r="Z70" s="4">
        <v>0.00112414386640024</v>
      </c>
      <c r="AA70" s="4">
        <v>0.0022893180576693</v>
      </c>
      <c r="AB70" s="4">
        <v>0.000271288046701497</v>
      </c>
      <c r="AC70" s="4">
        <v>0.00389114295173642</v>
      </c>
      <c r="AD70" s="4">
        <v>0.000865953170866596</v>
      </c>
      <c r="AE70" s="4">
        <v>0.00145671979327317</v>
      </c>
      <c r="AF70" s="4">
        <v>0.000914224231561692</v>
      </c>
      <c r="AG70" s="4">
        <v>0.00265342129543077</v>
      </c>
      <c r="AH70" s="4">
        <v>0.00244225947668291</v>
      </c>
      <c r="AI70" s="4">
        <v>0.0022827801861742</v>
      </c>
      <c r="AJ70" s="4">
        <v>0.00402018755089733</v>
      </c>
      <c r="AK70" s="4">
        <v>0.000905430937151768</v>
      </c>
      <c r="AL70" s="4">
        <v>0.00242248237227427</v>
      </c>
      <c r="AM70" s="4">
        <v>0.00412722102545525</v>
      </c>
      <c r="AN70" s="4">
        <v>0.00210078564067658</v>
      </c>
      <c r="AO70" s="4">
        <v>0.00293355515542663</v>
      </c>
    </row>
    <row r="71" ht="14" spans="1:41">
      <c r="A71" s="27" t="s">
        <v>44</v>
      </c>
      <c r="B71" s="4">
        <v>0.00258241550516817</v>
      </c>
      <c r="C71" s="4">
        <v>0.00270757334695791</v>
      </c>
      <c r="D71" s="4">
        <v>0.00265307238540651</v>
      </c>
      <c r="E71" s="4">
        <v>0.00436558234280543</v>
      </c>
      <c r="F71" s="4">
        <v>0.0046946294764215</v>
      </c>
      <c r="G71" s="4">
        <v>0.00369581364580785</v>
      </c>
      <c r="H71" s="4">
        <v>0.0044526889796337</v>
      </c>
      <c r="I71" s="4">
        <v>0.00635065281310001</v>
      </c>
      <c r="J71" s="4">
        <v>0.00371506117528505</v>
      </c>
      <c r="K71" s="4">
        <v>0.00531980373378527</v>
      </c>
      <c r="L71" s="4">
        <v>0.00406438759209522</v>
      </c>
      <c r="M71" s="4">
        <v>0.00260884580454697</v>
      </c>
      <c r="N71" s="4">
        <v>0.00324178057726513</v>
      </c>
      <c r="O71" s="4">
        <v>0.00300782222755788</v>
      </c>
      <c r="P71" s="4">
        <v>0.004684378621826</v>
      </c>
      <c r="Q71" s="4">
        <v>0.00306408675167365</v>
      </c>
      <c r="R71" s="4">
        <v>0.00698280717085884</v>
      </c>
      <c r="S71" s="4">
        <v>-0.00112018730545924</v>
      </c>
      <c r="T71" s="4">
        <v>0.00274964857854631</v>
      </c>
      <c r="U71" s="4">
        <v>0.0240061086255879</v>
      </c>
      <c r="V71" s="4">
        <v>0.00402005268219224</v>
      </c>
      <c r="W71" s="4">
        <v>0.00302013156507667</v>
      </c>
      <c r="X71" s="4">
        <v>0.0038815362066709</v>
      </c>
      <c r="Y71" s="4">
        <v>0.00271920301626875</v>
      </c>
      <c r="Z71" s="4">
        <v>0.000542375354747351</v>
      </c>
      <c r="AA71" s="4">
        <v>0.00459786825187813</v>
      </c>
      <c r="AB71" s="4">
        <v>0.00413700553118306</v>
      </c>
      <c r="AC71" s="4">
        <v>0.00233948618104669</v>
      </c>
      <c r="AD71" s="4">
        <v>0.00147808192472639</v>
      </c>
      <c r="AE71" s="4">
        <v>0.00257781412368757</v>
      </c>
      <c r="AF71" s="4">
        <v>0.00210475995183676</v>
      </c>
      <c r="AG71" s="4">
        <v>0.00364432467418064</v>
      </c>
      <c r="AH71" s="4">
        <v>0.00308040818598742</v>
      </c>
      <c r="AI71" s="4">
        <v>0.0051898600942924</v>
      </c>
      <c r="AJ71" s="4">
        <v>0.00679685320543204</v>
      </c>
      <c r="AK71" s="4">
        <v>0.00424551724994749</v>
      </c>
      <c r="AL71" s="4">
        <v>0.00332385203339392</v>
      </c>
      <c r="AM71" s="4">
        <v>0.00393443200449481</v>
      </c>
      <c r="AN71" s="4">
        <v>0.00496529826284984</v>
      </c>
      <c r="AO71" s="4">
        <v>0.000611968138029614</v>
      </c>
    </row>
    <row r="72" ht="14" spans="1:41">
      <c r="A72" s="27" t="s">
        <v>49</v>
      </c>
      <c r="B72" s="4">
        <v>0.00115805678921249</v>
      </c>
      <c r="C72" s="4">
        <v>0.000743326505038977</v>
      </c>
      <c r="D72" s="4">
        <v>0.000642495413985552</v>
      </c>
      <c r="E72" s="4">
        <v>0.000960035736443356</v>
      </c>
      <c r="F72" s="4">
        <v>0.000561433854033411</v>
      </c>
      <c r="G72" s="4">
        <v>0.00221545272059515</v>
      </c>
      <c r="H72" s="4">
        <v>0.00211453707430488</v>
      </c>
      <c r="I72" s="4">
        <v>0.00234074126320869</v>
      </c>
      <c r="J72" s="4">
        <v>0.00118459472348392</v>
      </c>
      <c r="K72" s="4">
        <v>0.000638368840715395</v>
      </c>
      <c r="L72" s="4">
        <v>0.00211164457689476</v>
      </c>
      <c r="M72" s="4">
        <v>0.000705881232800448</v>
      </c>
      <c r="N72" s="4">
        <v>0.00121985721548847</v>
      </c>
      <c r="O72" s="4">
        <v>0.00151148682024433</v>
      </c>
      <c r="P72" s="4">
        <v>0.00179230493371667</v>
      </c>
      <c r="Q72" s="4">
        <v>0.00012093479542867</v>
      </c>
      <c r="R72" s="4">
        <v>0.00339157593918124</v>
      </c>
      <c r="S72" s="4">
        <v>0.000625277187428996</v>
      </c>
      <c r="T72" s="4">
        <v>0.00204974800098594</v>
      </c>
      <c r="U72" s="4">
        <v>0.00402005268219224</v>
      </c>
      <c r="V72" s="4">
        <v>0.00673268849875018</v>
      </c>
      <c r="W72" s="4">
        <v>0.00238123974775335</v>
      </c>
      <c r="X72" s="4">
        <v>0.00184959084062426</v>
      </c>
      <c r="Y72" s="4">
        <v>0.00445833294558604</v>
      </c>
      <c r="Z72" s="4">
        <v>0.000627361276967002</v>
      </c>
      <c r="AA72" s="4">
        <v>0.00160421363407363</v>
      </c>
      <c r="AB72" s="4">
        <v>0.000840019497470424</v>
      </c>
      <c r="AC72" s="4">
        <v>0.00293016880231273</v>
      </c>
      <c r="AD72" s="4">
        <v>0.000967629766708741</v>
      </c>
      <c r="AE72" s="4">
        <v>0.00279063875559636</v>
      </c>
      <c r="AF72" s="4">
        <v>0.000517576100511516</v>
      </c>
      <c r="AG72" s="4">
        <v>0.00206665919413244</v>
      </c>
      <c r="AH72" s="4">
        <v>0.00114873586025325</v>
      </c>
      <c r="AI72" s="4">
        <v>0.00289660736865487</v>
      </c>
      <c r="AJ72" s="4">
        <v>0.00222191699843954</v>
      </c>
      <c r="AK72" s="4">
        <v>0.00148576095141891</v>
      </c>
      <c r="AL72" s="4">
        <v>0.00247354335051408</v>
      </c>
      <c r="AM72" s="4">
        <v>0.00186001384369285</v>
      </c>
      <c r="AN72" s="4">
        <v>0.00209070335148924</v>
      </c>
      <c r="AO72" s="4">
        <v>0.00251830482778887</v>
      </c>
    </row>
    <row r="73" ht="14" spans="1:41">
      <c r="A73" s="27" t="s">
        <v>53</v>
      </c>
      <c r="B73" s="4">
        <v>0.000742080324016252</v>
      </c>
      <c r="C73" s="4">
        <v>0.00036938047030878</v>
      </c>
      <c r="D73" s="4">
        <v>0.000126847947879242</v>
      </c>
      <c r="E73" s="4">
        <v>0.000779260727807103</v>
      </c>
      <c r="F73" s="4">
        <v>0.000205116121577901</v>
      </c>
      <c r="G73" s="4">
        <v>0.0020092534192395</v>
      </c>
      <c r="H73" s="4">
        <v>0.00226158032329844</v>
      </c>
      <c r="I73" s="4">
        <v>0.00228805213356429</v>
      </c>
      <c r="J73" s="4">
        <v>0.000877242526412939</v>
      </c>
      <c r="K73" s="4">
        <v>-0.000181419435089403</v>
      </c>
      <c r="L73" s="4">
        <v>0.0011123199641464</v>
      </c>
      <c r="M73" s="4">
        <v>0.000816115076882154</v>
      </c>
      <c r="N73" s="4">
        <v>0.00213264223375464</v>
      </c>
      <c r="O73" s="4">
        <v>0.00157363323984905</v>
      </c>
      <c r="P73" s="4">
        <v>0.00319150688142846</v>
      </c>
      <c r="Q73" s="4">
        <v>0.000708024427760219</v>
      </c>
      <c r="R73" s="4">
        <v>0.00365564013088015</v>
      </c>
      <c r="S73" s="4">
        <v>0.0010128206040985</v>
      </c>
      <c r="T73" s="4">
        <v>0.00224944672971156</v>
      </c>
      <c r="U73" s="4">
        <v>0.00302013156507667</v>
      </c>
      <c r="V73" s="4">
        <v>0.00238123974775335</v>
      </c>
      <c r="W73" s="4">
        <v>0.00568999893659568</v>
      </c>
      <c r="X73" s="4">
        <v>0.00209896022127013</v>
      </c>
      <c r="Y73" s="4">
        <v>0.00670805424245234</v>
      </c>
      <c r="Z73" s="4">
        <v>0.00111951723675484</v>
      </c>
      <c r="AA73" s="4">
        <v>0.00179617011735122</v>
      </c>
      <c r="AB73" s="4">
        <v>0.00200676208145766</v>
      </c>
      <c r="AC73" s="4">
        <v>0.00359730404032895</v>
      </c>
      <c r="AD73" s="4">
        <v>0.000297116048874687</v>
      </c>
      <c r="AE73" s="4">
        <v>0.00147164031517483</v>
      </c>
      <c r="AF73" s="4">
        <v>0.000547660708688211</v>
      </c>
      <c r="AG73" s="4">
        <v>0.000380506785659235</v>
      </c>
      <c r="AH73" s="4">
        <v>0.000978381543939827</v>
      </c>
      <c r="AI73" s="4">
        <v>0.00236696983309361</v>
      </c>
      <c r="AJ73" s="4">
        <v>0.00119653340036149</v>
      </c>
      <c r="AK73" s="4">
        <v>0.00101198019480711</v>
      </c>
      <c r="AL73" s="4">
        <v>0.000975862281543268</v>
      </c>
      <c r="AM73" s="4">
        <v>0.00433028529269517</v>
      </c>
      <c r="AN73" s="4">
        <v>0.00249335423371272</v>
      </c>
      <c r="AO73" s="4">
        <v>0.00174310996103162</v>
      </c>
    </row>
    <row r="74" ht="14" spans="1:41">
      <c r="A74" s="27" t="s">
        <v>57</v>
      </c>
      <c r="B74" s="4">
        <v>0.000903244727327695</v>
      </c>
      <c r="C74" s="4">
        <v>-1.5506961714874e-5</v>
      </c>
      <c r="D74" s="4">
        <v>-0.000107515491857464</v>
      </c>
      <c r="E74" s="4">
        <v>0.00193450940821405</v>
      </c>
      <c r="F74" s="4">
        <v>0.000454446643831127</v>
      </c>
      <c r="G74" s="4">
        <v>0.000237890204090622</v>
      </c>
      <c r="H74" s="4">
        <v>0.00143077381497821</v>
      </c>
      <c r="I74" s="4">
        <v>0.00200145082920907</v>
      </c>
      <c r="J74" s="4">
        <v>0.00130384727048826</v>
      </c>
      <c r="K74" s="4">
        <v>0.00135597865442684</v>
      </c>
      <c r="L74" s="4">
        <v>-0.000392968085309255</v>
      </c>
      <c r="M74" s="4">
        <v>6.07314916339875e-5</v>
      </c>
      <c r="N74" s="4">
        <v>0.0017618594049874</v>
      </c>
      <c r="O74" s="4">
        <v>0.00198077782084117</v>
      </c>
      <c r="P74" s="4">
        <v>0.00312074945475117</v>
      </c>
      <c r="Q74" s="4">
        <v>-0.00121642426943145</v>
      </c>
      <c r="R74" s="4">
        <v>0.00305244311562426</v>
      </c>
      <c r="S74" s="4">
        <v>0.00127744439805276</v>
      </c>
      <c r="T74" s="4">
        <v>0.00213666380055845</v>
      </c>
      <c r="U74" s="4">
        <v>0.0038815362066709</v>
      </c>
      <c r="V74" s="4">
        <v>0.00184959084062426</v>
      </c>
      <c r="W74" s="4">
        <v>0.00209896022127013</v>
      </c>
      <c r="X74" s="4">
        <v>0.00673198349129303</v>
      </c>
      <c r="Y74" s="4">
        <v>0.0032130573272555</v>
      </c>
      <c r="Z74" s="4">
        <v>0.000921577359648434</v>
      </c>
      <c r="AA74" s="4">
        <v>0.0020109470454426</v>
      </c>
      <c r="AB74" s="4">
        <v>0.00119590862524494</v>
      </c>
      <c r="AC74" s="4">
        <v>0.00593928011634481</v>
      </c>
      <c r="AD74" s="4">
        <v>0.000244695439955158</v>
      </c>
      <c r="AE74" s="4">
        <v>0.00240575292031554</v>
      </c>
      <c r="AF74" s="4">
        <v>0.000630890263416108</v>
      </c>
      <c r="AG74" s="4">
        <v>0.00286561391033111</v>
      </c>
      <c r="AH74" s="4">
        <v>0.00236900287255046</v>
      </c>
      <c r="AI74" s="4">
        <v>0.00297934308515776</v>
      </c>
      <c r="AJ74" s="4">
        <v>0.00406338191795046</v>
      </c>
      <c r="AK74" s="4">
        <v>0.00231180610380893</v>
      </c>
      <c r="AL74" s="4">
        <v>0.00207811739583328</v>
      </c>
      <c r="AM74" s="4">
        <v>0.00385279228289807</v>
      </c>
      <c r="AN74" s="4">
        <v>0.00271560868474812</v>
      </c>
      <c r="AO74" s="4">
        <v>0.00209389518538852</v>
      </c>
    </row>
    <row r="75" ht="14" spans="1:41">
      <c r="A75" s="27" t="s">
        <v>61</v>
      </c>
      <c r="B75" s="4">
        <v>0.000979074992781547</v>
      </c>
      <c r="C75" s="4">
        <v>0.000148250000693008</v>
      </c>
      <c r="D75" s="4">
        <v>0.001194945205971</v>
      </c>
      <c r="E75" s="4">
        <v>0.00364180111255008</v>
      </c>
      <c r="F75" s="4">
        <v>0.000554030324167531</v>
      </c>
      <c r="G75" s="4">
        <v>0.00139616408139263</v>
      </c>
      <c r="H75" s="4">
        <v>0.00407300300570226</v>
      </c>
      <c r="I75" s="4">
        <v>0.00222122192639904</v>
      </c>
      <c r="J75" s="4">
        <v>0.000341325189001431</v>
      </c>
      <c r="K75" s="4">
        <v>-0.000451302205236166</v>
      </c>
      <c r="L75" s="4">
        <v>0.00317090658609825</v>
      </c>
      <c r="M75" s="4">
        <v>0.00128833339203887</v>
      </c>
      <c r="N75" s="4">
        <v>0.00234008847026393</v>
      </c>
      <c r="O75" s="4">
        <v>0.000959388939983207</v>
      </c>
      <c r="P75" s="4">
        <v>0.00339639867153899</v>
      </c>
      <c r="Q75" s="4">
        <v>-0.00411896954161738</v>
      </c>
      <c r="R75" s="4">
        <v>0.00358948813723125</v>
      </c>
      <c r="S75" s="4">
        <v>0.00165419490352931</v>
      </c>
      <c r="T75" s="4">
        <v>0.0032322140668602</v>
      </c>
      <c r="U75" s="4">
        <v>0.00271920301626875</v>
      </c>
      <c r="V75" s="4">
        <v>0.00445833294558604</v>
      </c>
      <c r="W75" s="4">
        <v>0.00670805424245234</v>
      </c>
      <c r="X75" s="4">
        <v>0.0032130573272555</v>
      </c>
      <c r="Y75" s="4">
        <v>0.0252031246151533</v>
      </c>
      <c r="Z75" s="4">
        <v>0.00162295352437646</v>
      </c>
      <c r="AA75" s="4">
        <v>0.00314464813903428</v>
      </c>
      <c r="AB75" s="4">
        <v>0.00306096163145887</v>
      </c>
      <c r="AC75" s="4">
        <v>0.0106098624009317</v>
      </c>
      <c r="AD75" s="4">
        <v>0.000475577833526362</v>
      </c>
      <c r="AE75" s="4">
        <v>0.00252815014695829</v>
      </c>
      <c r="AF75" s="4">
        <v>-0.00011785591644319</v>
      </c>
      <c r="AG75" s="4">
        <v>0.00041877572979429</v>
      </c>
      <c r="AH75" s="4">
        <v>0.00457912521350339</v>
      </c>
      <c r="AI75" s="4">
        <v>0.00348393438265277</v>
      </c>
      <c r="AJ75" s="4">
        <v>0.00425604386983987</v>
      </c>
      <c r="AK75" s="4">
        <v>0.00138505641539236</v>
      </c>
      <c r="AL75" s="4">
        <v>0.00515632752013989</v>
      </c>
      <c r="AM75" s="4">
        <v>0.00889900559983716</v>
      </c>
      <c r="AN75" s="4">
        <v>0.00119532647215749</v>
      </c>
      <c r="AO75" s="4">
        <v>0.00458109493849177</v>
      </c>
    </row>
    <row r="76" ht="14" spans="1:41">
      <c r="A76" s="27" t="s">
        <v>63</v>
      </c>
      <c r="B76" s="4">
        <v>0.00124585638161828</v>
      </c>
      <c r="C76" s="4">
        <v>0.000765003895568846</v>
      </c>
      <c r="D76" s="4">
        <v>-0.000167320228426248</v>
      </c>
      <c r="E76" s="4">
        <v>5.81863271393604e-5</v>
      </c>
      <c r="F76" s="4">
        <v>0.000537961028897335</v>
      </c>
      <c r="G76" s="4">
        <v>0.00104065611490925</v>
      </c>
      <c r="H76" s="4">
        <v>4.08761465925736e-5</v>
      </c>
      <c r="I76" s="4">
        <v>0.000602560644471548</v>
      </c>
      <c r="J76" s="4">
        <v>0.000919393733392883</v>
      </c>
      <c r="K76" s="4">
        <v>0.000692730796878625</v>
      </c>
      <c r="L76" s="4">
        <v>-0.00116552755548538</v>
      </c>
      <c r="M76" s="4">
        <v>-5.76249765924378e-5</v>
      </c>
      <c r="N76" s="4">
        <v>0.000900881090830035</v>
      </c>
      <c r="O76" s="4">
        <v>0.000909054125781763</v>
      </c>
      <c r="P76" s="4">
        <v>0.000198180121250733</v>
      </c>
      <c r="Q76" s="4">
        <v>0.000472579390663404</v>
      </c>
      <c r="R76" s="4">
        <v>0.000285548691716676</v>
      </c>
      <c r="S76" s="4">
        <v>0.000502725031195736</v>
      </c>
      <c r="T76" s="4">
        <v>0.00112414386640024</v>
      </c>
      <c r="U76" s="4">
        <v>0.000542375354747351</v>
      </c>
      <c r="V76" s="4">
        <v>0.000627361276967002</v>
      </c>
      <c r="W76" s="4">
        <v>0.00111951723675484</v>
      </c>
      <c r="X76" s="4">
        <v>0.000921577359648434</v>
      </c>
      <c r="Y76" s="4">
        <v>0.00162295352437646</v>
      </c>
      <c r="Z76" s="4">
        <v>0.00240446436889718</v>
      </c>
      <c r="AA76" s="4">
        <v>0.000653863907977647</v>
      </c>
      <c r="AB76" s="4">
        <v>9.6189690092335e-5</v>
      </c>
      <c r="AC76" s="4">
        <v>0.0032767858453064</v>
      </c>
      <c r="AD76" s="4">
        <v>0.000996280447093911</v>
      </c>
      <c r="AE76" s="4">
        <v>0.000833898761733465</v>
      </c>
      <c r="AF76" s="4">
        <v>0.00125559995780459</v>
      </c>
      <c r="AG76" s="4">
        <v>0.000732605776601013</v>
      </c>
      <c r="AH76" s="4">
        <v>0.00157058045925651</v>
      </c>
      <c r="AI76" s="4">
        <v>0.00176142475934398</v>
      </c>
      <c r="AJ76" s="4">
        <v>0.000430223225003284</v>
      </c>
      <c r="AK76" s="4">
        <v>0.000678616598211505</v>
      </c>
      <c r="AL76" s="4">
        <v>0.00166853837681611</v>
      </c>
      <c r="AM76" s="4">
        <v>0.00289912823693436</v>
      </c>
      <c r="AN76" s="4">
        <v>0.000708446525306676</v>
      </c>
      <c r="AO76" s="4">
        <v>0.00170287698289009</v>
      </c>
    </row>
    <row r="77" ht="14" spans="1:41">
      <c r="A77" s="27" t="s">
        <v>66</v>
      </c>
      <c r="B77" s="4">
        <v>0.0011692185671606</v>
      </c>
      <c r="C77" s="4">
        <v>0.000781950175237803</v>
      </c>
      <c r="D77" s="4">
        <v>0.000916077052354606</v>
      </c>
      <c r="E77" s="4">
        <v>0.00166080481030455</v>
      </c>
      <c r="F77" s="4">
        <v>0.00136024160762367</v>
      </c>
      <c r="G77" s="4">
        <v>0.000854884922324312</v>
      </c>
      <c r="H77" s="4">
        <v>0.00199212799065858</v>
      </c>
      <c r="I77" s="4">
        <v>0.00168680455645613</v>
      </c>
      <c r="J77" s="4">
        <v>0.00101312672012586</v>
      </c>
      <c r="K77" s="4">
        <v>0.00155345400276877</v>
      </c>
      <c r="L77" s="4">
        <v>0.000703350712110781</v>
      </c>
      <c r="M77" s="4">
        <v>0.000811873906360656</v>
      </c>
      <c r="N77" s="4">
        <v>0.00127589909796106</v>
      </c>
      <c r="O77" s="4">
        <v>0.00171069858839445</v>
      </c>
      <c r="P77" s="4">
        <v>0.00285337953625281</v>
      </c>
      <c r="Q77" s="4">
        <v>0.000866581712787418</v>
      </c>
      <c r="R77" s="4">
        <v>0.00302031887449593</v>
      </c>
      <c r="S77" s="4">
        <v>0.00131592382133282</v>
      </c>
      <c r="T77" s="4">
        <v>0.0022893180576693</v>
      </c>
      <c r="U77" s="4">
        <v>0.00459786825187813</v>
      </c>
      <c r="V77" s="4">
        <v>0.00160421363407363</v>
      </c>
      <c r="W77" s="4">
        <v>0.00179617011735122</v>
      </c>
      <c r="X77" s="4">
        <v>0.0020109470454426</v>
      </c>
      <c r="Y77" s="4">
        <v>0.00314464813903428</v>
      </c>
      <c r="Z77" s="4">
        <v>0.000653863907977647</v>
      </c>
      <c r="AA77" s="4">
        <v>0.00451443575690337</v>
      </c>
      <c r="AB77" s="4">
        <v>0.00170713041785368</v>
      </c>
      <c r="AC77" s="4">
        <v>0.00427502165743808</v>
      </c>
      <c r="AD77" s="4">
        <v>0.000703129746565848</v>
      </c>
      <c r="AE77" s="4">
        <v>0.00109092719022607</v>
      </c>
      <c r="AF77" s="4">
        <v>0.000394733476352331</v>
      </c>
      <c r="AG77" s="4">
        <v>0.00154284079027394</v>
      </c>
      <c r="AH77" s="4">
        <v>0.001434703220256</v>
      </c>
      <c r="AI77" s="4">
        <v>0.00260818212518203</v>
      </c>
      <c r="AJ77" s="4">
        <v>0.00236293538083573</v>
      </c>
      <c r="AK77" s="4">
        <v>0.00161201371004567</v>
      </c>
      <c r="AL77" s="4">
        <v>0.00176334365107287</v>
      </c>
      <c r="AM77" s="4">
        <v>0.00221942525021629</v>
      </c>
      <c r="AN77" s="4">
        <v>0.00133474297691087</v>
      </c>
      <c r="AO77" s="4">
        <v>0.00162059146805809</v>
      </c>
    </row>
    <row r="78" ht="14" spans="1:41">
      <c r="A78" s="27" t="s">
        <v>74</v>
      </c>
      <c r="B78" s="4">
        <v>0.000615365822428363</v>
      </c>
      <c r="C78" s="4">
        <v>0.000726777420220777</v>
      </c>
      <c r="D78" s="4">
        <v>-0.000193955257018975</v>
      </c>
      <c r="E78" s="4">
        <v>0.00199070599223307</v>
      </c>
      <c r="F78" s="4">
        <v>0.0010281696922739</v>
      </c>
      <c r="G78" s="4">
        <v>0.00122409820821094</v>
      </c>
      <c r="H78" s="4">
        <v>0.00151855085400096</v>
      </c>
      <c r="I78" s="4">
        <v>0.00148956654759786</v>
      </c>
      <c r="J78" s="4">
        <v>0.00171483706969275</v>
      </c>
      <c r="K78" s="4">
        <v>0.00155783544938654</v>
      </c>
      <c r="L78" s="4">
        <v>0.00314280878875447</v>
      </c>
      <c r="M78" s="4">
        <v>0.000239574455988561</v>
      </c>
      <c r="N78" s="4">
        <v>0.000571307920697654</v>
      </c>
      <c r="O78" s="4">
        <v>0.00105345268958376</v>
      </c>
      <c r="P78" s="4">
        <v>0.00145945305410893</v>
      </c>
      <c r="Q78" s="4">
        <v>-0.00107402739722062</v>
      </c>
      <c r="R78" s="4">
        <v>0.00318337136392095</v>
      </c>
      <c r="S78" s="4">
        <v>-0.000751259087045843</v>
      </c>
      <c r="T78" s="4">
        <v>0.000271288046701497</v>
      </c>
      <c r="U78" s="4">
        <v>0.00413700553118306</v>
      </c>
      <c r="V78" s="4">
        <v>0.000840019497470424</v>
      </c>
      <c r="W78" s="4">
        <v>0.00200676208145766</v>
      </c>
      <c r="X78" s="4">
        <v>0.00119590862524494</v>
      </c>
      <c r="Y78" s="4">
        <v>0.00306096163145887</v>
      </c>
      <c r="Z78" s="4">
        <v>9.6189690092335e-5</v>
      </c>
      <c r="AA78" s="4">
        <v>0.00170713041785368</v>
      </c>
      <c r="AB78" s="4">
        <v>0.00625378084210266</v>
      </c>
      <c r="AC78" s="4">
        <v>0.00241071799770007</v>
      </c>
      <c r="AD78" s="4">
        <v>6.15427698976287e-5</v>
      </c>
      <c r="AE78" s="4">
        <v>0.00131002667881885</v>
      </c>
      <c r="AF78" s="4">
        <v>0.000780417093173226</v>
      </c>
      <c r="AG78" s="4">
        <v>0.00181320144229654</v>
      </c>
      <c r="AH78" s="4">
        <v>0.00124232724845054</v>
      </c>
      <c r="AI78" s="4">
        <v>0.00199536660273756</v>
      </c>
      <c r="AJ78" s="4">
        <v>-0.000732612305671317</v>
      </c>
      <c r="AK78" s="4">
        <v>0.00134524241598604</v>
      </c>
      <c r="AL78" s="4">
        <v>0.000312803059489924</v>
      </c>
      <c r="AM78" s="4">
        <v>0.00182520070902842</v>
      </c>
      <c r="AN78" s="4">
        <v>0.00139132866816578</v>
      </c>
      <c r="AO78" s="4">
        <v>-0.000128520468695027</v>
      </c>
    </row>
    <row r="79" ht="14" spans="1:41">
      <c r="A79" s="27" t="s">
        <v>75</v>
      </c>
      <c r="B79" s="4">
        <v>0.00203439423673214</v>
      </c>
      <c r="C79" s="4">
        <v>-0.000487168695171673</v>
      </c>
      <c r="D79" s="4">
        <v>-0.00174044088192574</v>
      </c>
      <c r="E79" s="4">
        <v>0.00311367239857081</v>
      </c>
      <c r="F79" s="4">
        <v>-0.00115398048568444</v>
      </c>
      <c r="G79" s="4">
        <v>0.000788617904406822</v>
      </c>
      <c r="H79" s="4">
        <v>0.000366118132290849</v>
      </c>
      <c r="I79" s="4">
        <v>0.00166767100209153</v>
      </c>
      <c r="J79" s="4">
        <v>0.00189706414140843</v>
      </c>
      <c r="K79" s="4">
        <v>0.00153192247851095</v>
      </c>
      <c r="L79" s="4">
        <v>-0.00148725509753223</v>
      </c>
      <c r="M79" s="4">
        <v>-0.00121000724142446</v>
      </c>
      <c r="N79" s="4">
        <v>0.00109207114356376</v>
      </c>
      <c r="O79" s="4">
        <v>0.00257593420663602</v>
      </c>
      <c r="P79" s="4">
        <v>0.00279808872391975</v>
      </c>
      <c r="Q79" s="4">
        <v>-0.00310566745716819</v>
      </c>
      <c r="R79" s="4">
        <v>0.00329018932021558</v>
      </c>
      <c r="S79" s="4">
        <v>0.00104168619220848</v>
      </c>
      <c r="T79" s="4">
        <v>0.00389114295173642</v>
      </c>
      <c r="U79" s="4">
        <v>0.00233948618104669</v>
      </c>
      <c r="V79" s="4">
        <v>0.00293016880231273</v>
      </c>
      <c r="W79" s="4">
        <v>0.00359730404032895</v>
      </c>
      <c r="X79" s="4">
        <v>0.00593928011634481</v>
      </c>
      <c r="Y79" s="4">
        <v>0.0106098624009317</v>
      </c>
      <c r="Z79" s="4">
        <v>0.0032767858453064</v>
      </c>
      <c r="AA79" s="4">
        <v>0.00427502165743808</v>
      </c>
      <c r="AB79" s="4">
        <v>0.00241071799770007</v>
      </c>
      <c r="AC79" s="4">
        <v>0.0321017920626765</v>
      </c>
      <c r="AD79" s="4">
        <v>0.00173206615463582</v>
      </c>
      <c r="AE79" s="4">
        <v>0.00551847449012754</v>
      </c>
      <c r="AF79" s="4">
        <v>0.000218863144621609</v>
      </c>
      <c r="AG79" s="4">
        <v>0.00551290564565269</v>
      </c>
      <c r="AH79" s="4">
        <v>0.00346183179410653</v>
      </c>
      <c r="AI79" s="4">
        <v>0.00747701486731972</v>
      </c>
      <c r="AJ79" s="4">
        <v>0.00655501505507502</v>
      </c>
      <c r="AK79" s="4">
        <v>0.0038591826336859</v>
      </c>
      <c r="AL79" s="4">
        <v>0.00506961831773075</v>
      </c>
      <c r="AM79" s="4">
        <v>0.0104327722034746</v>
      </c>
      <c r="AN79" s="4">
        <v>0.00060836709838927</v>
      </c>
      <c r="AO79" s="4">
        <v>0.00927843416604453</v>
      </c>
    </row>
    <row r="80" ht="14" spans="1:41">
      <c r="A80" s="27" t="s">
        <v>78</v>
      </c>
      <c r="B80" s="4">
        <v>0.000922612743583268</v>
      </c>
      <c r="C80" s="4">
        <v>0.00106929248519291</v>
      </c>
      <c r="D80" s="4">
        <v>0.000179859265693507</v>
      </c>
      <c r="E80" s="4">
        <v>-0.000440175627241959</v>
      </c>
      <c r="F80" s="4">
        <v>0.000905039677789633</v>
      </c>
      <c r="G80" s="4">
        <v>0.000677489195965923</v>
      </c>
      <c r="H80" s="4">
        <v>8.31468874060362e-5</v>
      </c>
      <c r="I80" s="4">
        <v>0.000319567346074117</v>
      </c>
      <c r="J80" s="4">
        <v>0.000531826281133738</v>
      </c>
      <c r="K80" s="4">
        <v>0.000698433795618936</v>
      </c>
      <c r="L80" s="4">
        <v>0.000311202242215264</v>
      </c>
      <c r="M80" s="4">
        <v>0.000260489404451479</v>
      </c>
      <c r="N80" s="4">
        <v>0.00039716440992779</v>
      </c>
      <c r="O80" s="4">
        <v>0.000568201252766253</v>
      </c>
      <c r="P80" s="4">
        <v>0.00026725585432007</v>
      </c>
      <c r="Q80" s="4">
        <v>0.0011720907534115</v>
      </c>
      <c r="R80" s="4">
        <v>-7.7853719134502e-5</v>
      </c>
      <c r="S80" s="4">
        <v>-2.04236103103687e-5</v>
      </c>
      <c r="T80" s="4">
        <v>0.000865953170866596</v>
      </c>
      <c r="U80" s="4">
        <v>0.00147808192472639</v>
      </c>
      <c r="V80" s="4">
        <v>0.000967629766708741</v>
      </c>
      <c r="W80" s="4">
        <v>0.000297116048874687</v>
      </c>
      <c r="X80" s="4">
        <v>0.000244695439955158</v>
      </c>
      <c r="Y80" s="4">
        <v>0.000475577833526362</v>
      </c>
      <c r="Z80" s="4">
        <v>0.000996280447093911</v>
      </c>
      <c r="AA80" s="4">
        <v>0.000703129746565848</v>
      </c>
      <c r="AB80" s="4">
        <v>6.15427698976287e-5</v>
      </c>
      <c r="AC80" s="4">
        <v>0.00173206615463582</v>
      </c>
      <c r="AD80" s="4">
        <v>0.00192396937335466</v>
      </c>
      <c r="AE80" s="4">
        <v>0.00151785095509753</v>
      </c>
      <c r="AF80" s="4">
        <v>0.000959354958927067</v>
      </c>
      <c r="AG80" s="4">
        <v>0.00161701585253495</v>
      </c>
      <c r="AH80" s="4">
        <v>0.00125483751636462</v>
      </c>
      <c r="AI80" s="4">
        <v>0.00137749663991698</v>
      </c>
      <c r="AJ80" s="4">
        <v>0.00135183782809695</v>
      </c>
      <c r="AK80" s="4">
        <v>0.00146755929100466</v>
      </c>
      <c r="AL80" s="4">
        <v>0.000829846621900235</v>
      </c>
      <c r="AM80" s="4">
        <v>0.00157049295410353</v>
      </c>
      <c r="AN80" s="4">
        <v>0.000467596364898791</v>
      </c>
      <c r="AO80" s="4">
        <v>0.000873949901685959</v>
      </c>
    </row>
    <row r="81" ht="14" spans="1:41">
      <c r="A81" s="27" t="s">
        <v>81</v>
      </c>
      <c r="B81" s="4">
        <v>0.00196580051386767</v>
      </c>
      <c r="C81" s="4">
        <v>0.000957827205528113</v>
      </c>
      <c r="D81" s="4">
        <v>0.000485543020261101</v>
      </c>
      <c r="E81" s="4">
        <v>0.000167205095964942</v>
      </c>
      <c r="F81" s="4">
        <v>0.000768468083829587</v>
      </c>
      <c r="G81" s="4">
        <v>0.00134729506860546</v>
      </c>
      <c r="H81" s="4">
        <v>0.00109719405940418</v>
      </c>
      <c r="I81" s="4">
        <v>0.00171785998780816</v>
      </c>
      <c r="J81" s="4">
        <v>0.001193196820327</v>
      </c>
      <c r="K81" s="4">
        <v>0.000517835575318901</v>
      </c>
      <c r="L81" s="4">
        <v>0.00139260530435206</v>
      </c>
      <c r="M81" s="4">
        <v>-0.000118556713786016</v>
      </c>
      <c r="N81" s="4">
        <v>0.00115176518127063</v>
      </c>
      <c r="O81" s="4">
        <v>0.00205508099744439</v>
      </c>
      <c r="P81" s="4">
        <v>0.00207514938162764</v>
      </c>
      <c r="Q81" s="4">
        <v>0.000996848152062875</v>
      </c>
      <c r="R81" s="4">
        <v>0.00287550244572386</v>
      </c>
      <c r="S81" s="4">
        <v>0.000810468653264262</v>
      </c>
      <c r="T81" s="4">
        <v>0.00145671979327317</v>
      </c>
      <c r="U81" s="4">
        <v>0.00257781412368757</v>
      </c>
      <c r="V81" s="4">
        <v>0.00279063875559636</v>
      </c>
      <c r="W81" s="4">
        <v>0.00147164031517483</v>
      </c>
      <c r="X81" s="4">
        <v>0.00240575292031554</v>
      </c>
      <c r="Y81" s="4">
        <v>0.00252815014695829</v>
      </c>
      <c r="Z81" s="4">
        <v>0.000833898761733465</v>
      </c>
      <c r="AA81" s="4">
        <v>0.00109092719022607</v>
      </c>
      <c r="AB81" s="4">
        <v>0.00131002667881885</v>
      </c>
      <c r="AC81" s="4">
        <v>0.00551847449012754</v>
      </c>
      <c r="AD81" s="4">
        <v>0.00151785095509753</v>
      </c>
      <c r="AE81" s="4">
        <v>0.00577586125251086</v>
      </c>
      <c r="AF81" s="4">
        <v>0.000799947888761373</v>
      </c>
      <c r="AG81" s="4">
        <v>0.00300942924603718</v>
      </c>
      <c r="AH81" s="4">
        <v>0.00128673137363817</v>
      </c>
      <c r="AI81" s="4">
        <v>0.003589624164094</v>
      </c>
      <c r="AJ81" s="4">
        <v>0.000850457181410988</v>
      </c>
      <c r="AK81" s="4">
        <v>0.00191119920626582</v>
      </c>
      <c r="AL81" s="4">
        <v>0.00154974363075089</v>
      </c>
      <c r="AM81" s="4">
        <v>0.00393112563985109</v>
      </c>
      <c r="AN81" s="4">
        <v>0.00202793587306075</v>
      </c>
      <c r="AO81" s="4">
        <v>0.0019534556611164</v>
      </c>
    </row>
    <row r="82" ht="14" spans="1:41">
      <c r="A82" s="27" t="s">
        <v>82</v>
      </c>
      <c r="B82" s="4">
        <v>0.000989048285220289</v>
      </c>
      <c r="C82" s="4">
        <v>0.00110713399778335</v>
      </c>
      <c r="D82" s="4">
        <v>0.000206336740262755</v>
      </c>
      <c r="E82" s="4">
        <v>3.42117495478419e-5</v>
      </c>
      <c r="F82" s="4">
        <v>0.000996631519950394</v>
      </c>
      <c r="G82" s="4">
        <v>0.00107250131712541</v>
      </c>
      <c r="H82" s="4">
        <v>0.000540405852845228</v>
      </c>
      <c r="I82" s="4">
        <v>0.00135229906631775</v>
      </c>
      <c r="J82" s="4">
        <v>0.000692103285308926</v>
      </c>
      <c r="K82" s="4">
        <v>0.00101362766331002</v>
      </c>
      <c r="L82" s="4">
        <v>0.000174171212852202</v>
      </c>
      <c r="M82" s="4">
        <v>0.000566502889841792</v>
      </c>
      <c r="N82" s="4">
        <v>0.000555064956719614</v>
      </c>
      <c r="O82" s="4">
        <v>0.000501934542275981</v>
      </c>
      <c r="P82" s="4">
        <v>0.000484603493712673</v>
      </c>
      <c r="Q82" s="4">
        <v>0.00124828093784414</v>
      </c>
      <c r="R82" s="4">
        <v>0.000786726462008526</v>
      </c>
      <c r="S82" s="4">
        <v>-7.1387106820006e-5</v>
      </c>
      <c r="T82" s="4">
        <v>0.000914224231561692</v>
      </c>
      <c r="U82" s="4">
        <v>0.00210475995183676</v>
      </c>
      <c r="V82" s="4">
        <v>0.000517576100511516</v>
      </c>
      <c r="W82" s="4">
        <v>0.000547660708688211</v>
      </c>
      <c r="X82" s="4">
        <v>0.000630890263416108</v>
      </c>
      <c r="Y82" s="4">
        <v>-0.00011785591644319</v>
      </c>
      <c r="Z82" s="4">
        <v>0.00125559995780459</v>
      </c>
      <c r="AA82" s="4">
        <v>0.000394733476352331</v>
      </c>
      <c r="AB82" s="4">
        <v>0.000780417093173226</v>
      </c>
      <c r="AC82" s="4">
        <v>0.000218863144621609</v>
      </c>
      <c r="AD82" s="4">
        <v>0.000959354958927067</v>
      </c>
      <c r="AE82" s="4">
        <v>0.000799947888761373</v>
      </c>
      <c r="AF82" s="4">
        <v>0.00243820747274962</v>
      </c>
      <c r="AG82" s="4">
        <v>0.000594636282613214</v>
      </c>
      <c r="AH82" s="4">
        <v>0.00205380511422293</v>
      </c>
      <c r="AI82" s="4">
        <v>0.00135691226341711</v>
      </c>
      <c r="AJ82" s="4">
        <v>0.000162350727896639</v>
      </c>
      <c r="AK82" s="4">
        <v>0.000472072073612438</v>
      </c>
      <c r="AL82" s="4">
        <v>0.000758334333220339</v>
      </c>
      <c r="AM82" s="4">
        <v>0.000781920925425219</v>
      </c>
      <c r="AN82" s="4">
        <v>0.00150983369816508</v>
      </c>
      <c r="AO82" s="4">
        <v>0.000989101316245922</v>
      </c>
    </row>
    <row r="83" ht="14" spans="1:41">
      <c r="A83" s="27" t="s">
        <v>89</v>
      </c>
      <c r="B83" s="4">
        <v>0.00191104583713941</v>
      </c>
      <c r="C83" s="4">
        <v>0.000242761703463817</v>
      </c>
      <c r="D83" s="4">
        <v>0.000100295491574679</v>
      </c>
      <c r="E83" s="4">
        <v>0.00047696404939114</v>
      </c>
      <c r="F83" s="4">
        <v>0.00123701756605601</v>
      </c>
      <c r="G83" s="4">
        <v>0.00136920442495885</v>
      </c>
      <c r="H83" s="4">
        <v>0.00143690544267617</v>
      </c>
      <c r="I83" s="4">
        <v>0.00222509511662413</v>
      </c>
      <c r="J83" s="4">
        <v>0.00305588509544618</v>
      </c>
      <c r="K83" s="4">
        <v>0.00266268272743102</v>
      </c>
      <c r="L83" s="4">
        <v>0.000648090455137099</v>
      </c>
      <c r="M83" s="4">
        <v>-0.000424089403868685</v>
      </c>
      <c r="N83" s="4">
        <v>0.00127688557110285</v>
      </c>
      <c r="O83" s="4">
        <v>0.00180271239885046</v>
      </c>
      <c r="P83" s="4">
        <v>0.00174863943518641</v>
      </c>
      <c r="Q83" s="4">
        <v>0.00279933374464864</v>
      </c>
      <c r="R83" s="4">
        <v>0.00315481175367014</v>
      </c>
      <c r="S83" s="4">
        <v>0.00112476542733813</v>
      </c>
      <c r="T83" s="4">
        <v>0.00265342129543077</v>
      </c>
      <c r="U83" s="4">
        <v>0.00364432467418064</v>
      </c>
      <c r="V83" s="4">
        <v>0.00206665919413244</v>
      </c>
      <c r="W83" s="4">
        <v>0.000380506785659235</v>
      </c>
      <c r="X83" s="4">
        <v>0.00286561391033111</v>
      </c>
      <c r="Y83" s="4">
        <v>0.00041877572979429</v>
      </c>
      <c r="Z83" s="4">
        <v>0.000732605776601013</v>
      </c>
      <c r="AA83" s="4">
        <v>0.00154284079027394</v>
      </c>
      <c r="AB83" s="4">
        <v>0.00181320144229654</v>
      </c>
      <c r="AC83" s="4">
        <v>0.00551290564565269</v>
      </c>
      <c r="AD83" s="4">
        <v>0.00161701585253495</v>
      </c>
      <c r="AE83" s="4">
        <v>0.00300942924603718</v>
      </c>
      <c r="AF83" s="4">
        <v>0.000594636282613214</v>
      </c>
      <c r="AG83" s="4">
        <v>0.0097318269862282</v>
      </c>
      <c r="AH83" s="4">
        <v>0.00367265417775376</v>
      </c>
      <c r="AI83" s="4">
        <v>0.00267859995098357</v>
      </c>
      <c r="AJ83" s="4">
        <v>0.00544332863505032</v>
      </c>
      <c r="AK83" s="4">
        <v>0.003524015563287</v>
      </c>
      <c r="AL83" s="4">
        <v>0.00320491133242865</v>
      </c>
      <c r="AM83" s="4">
        <v>0.00558168830815602</v>
      </c>
      <c r="AN83" s="4">
        <v>0.00203662772774619</v>
      </c>
      <c r="AO83" s="4">
        <v>0.00306893656891111</v>
      </c>
    </row>
    <row r="84" ht="14" spans="1:41">
      <c r="A84" s="27" t="s">
        <v>97</v>
      </c>
      <c r="B84" s="4">
        <v>0.00219664076927624</v>
      </c>
      <c r="C84" s="4">
        <v>0.00102879766780047</v>
      </c>
      <c r="D84" s="4">
        <v>0.00169168793703781</v>
      </c>
      <c r="E84" s="4">
        <v>0.00165574640657268</v>
      </c>
      <c r="F84" s="4">
        <v>0.00243482395723721</v>
      </c>
      <c r="G84" s="4">
        <v>0.00215094635054635</v>
      </c>
      <c r="H84" s="4">
        <v>0.00127003843920905</v>
      </c>
      <c r="I84" s="4">
        <v>0.00195009461170154</v>
      </c>
      <c r="J84" s="4">
        <v>0.00187785428122194</v>
      </c>
      <c r="K84" s="4">
        <v>0.00376463194602535</v>
      </c>
      <c r="L84" s="4">
        <v>0.00178522706549664</v>
      </c>
      <c r="M84" s="4">
        <v>0.00064192682360628</v>
      </c>
      <c r="N84" s="4">
        <v>0.00125188193634628</v>
      </c>
      <c r="O84" s="4">
        <v>0.00138269570921144</v>
      </c>
      <c r="P84" s="4">
        <v>-0.000724343679664174</v>
      </c>
      <c r="Q84" s="4">
        <v>0.00526256211061905</v>
      </c>
      <c r="R84" s="4">
        <v>-6.22279690093536e-5</v>
      </c>
      <c r="S84" s="4">
        <v>0.000771294343558692</v>
      </c>
      <c r="T84" s="4">
        <v>0.00244225947668291</v>
      </c>
      <c r="U84" s="4">
        <v>0.00308040818598742</v>
      </c>
      <c r="V84" s="4">
        <v>0.00114873586025325</v>
      </c>
      <c r="W84" s="4">
        <v>0.000978381543939827</v>
      </c>
      <c r="X84" s="4">
        <v>0.00236900287255046</v>
      </c>
      <c r="Y84" s="4">
        <v>0.00457912521350339</v>
      </c>
      <c r="Z84" s="4">
        <v>0.00157058045925651</v>
      </c>
      <c r="AA84" s="4">
        <v>0.001434703220256</v>
      </c>
      <c r="AB84" s="4">
        <v>0.00124232724845054</v>
      </c>
      <c r="AC84" s="4">
        <v>0.00346183179410653</v>
      </c>
      <c r="AD84" s="4">
        <v>0.00125483751636462</v>
      </c>
      <c r="AE84" s="4">
        <v>0.00128673137363817</v>
      </c>
      <c r="AF84" s="4">
        <v>0.00205380511422293</v>
      </c>
      <c r="AG84" s="4">
        <v>0.00367265417775376</v>
      </c>
      <c r="AH84" s="4">
        <v>0.015639900734641</v>
      </c>
      <c r="AI84" s="4">
        <v>0.00365705654090586</v>
      </c>
      <c r="AJ84" s="4">
        <v>0.00358758726416443</v>
      </c>
      <c r="AK84" s="4">
        <v>0.00126505275478452</v>
      </c>
      <c r="AL84" s="4">
        <v>0.00302124531378657</v>
      </c>
      <c r="AM84" s="4">
        <v>0.00412546954693199</v>
      </c>
      <c r="AN84" s="4">
        <v>0.00220089741961283</v>
      </c>
      <c r="AO84" s="4">
        <v>0.00426028764829058</v>
      </c>
    </row>
    <row r="85" ht="14" spans="1:41">
      <c r="A85" s="27" t="s">
        <v>101</v>
      </c>
      <c r="B85" s="4">
        <v>0.00184802855761841</v>
      </c>
      <c r="C85" s="4">
        <v>0.00110506350561988</v>
      </c>
      <c r="D85" s="4">
        <v>-0.000577730692530036</v>
      </c>
      <c r="E85" s="4">
        <v>0.0020492923255494</v>
      </c>
      <c r="F85" s="4">
        <v>0.00192510126813586</v>
      </c>
      <c r="G85" s="4">
        <v>0.00200841985169661</v>
      </c>
      <c r="H85" s="4">
        <v>0.000768236457103967</v>
      </c>
      <c r="I85" s="4">
        <v>0.00212727412210859</v>
      </c>
      <c r="J85" s="4">
        <v>0.00250140718275258</v>
      </c>
      <c r="K85" s="4">
        <v>0.00237749828179174</v>
      </c>
      <c r="L85" s="4">
        <v>0.000719302010000009</v>
      </c>
      <c r="M85" s="4">
        <v>0.000268377998085495</v>
      </c>
      <c r="N85" s="4">
        <v>0.00184243481759675</v>
      </c>
      <c r="O85" s="4">
        <v>0.00248893179874756</v>
      </c>
      <c r="P85" s="4">
        <v>0.00177696793883327</v>
      </c>
      <c r="Q85" s="4">
        <v>0.00152088727340942</v>
      </c>
      <c r="R85" s="4">
        <v>0.00528822467219069</v>
      </c>
      <c r="S85" s="4">
        <v>0.000827800346714027</v>
      </c>
      <c r="T85" s="4">
        <v>0.0022827801861742</v>
      </c>
      <c r="U85" s="4">
        <v>0.0051898600942924</v>
      </c>
      <c r="V85" s="4">
        <v>0.00289660736865487</v>
      </c>
      <c r="W85" s="4">
        <v>0.00236696983309361</v>
      </c>
      <c r="X85" s="4">
        <v>0.00297934308515776</v>
      </c>
      <c r="Y85" s="4">
        <v>0.00348393438265277</v>
      </c>
      <c r="Z85" s="4">
        <v>0.00176142475934398</v>
      </c>
      <c r="AA85" s="4">
        <v>0.00260818212518203</v>
      </c>
      <c r="AB85" s="4">
        <v>0.00199536660273756</v>
      </c>
      <c r="AC85" s="4">
        <v>0.00747701486731972</v>
      </c>
      <c r="AD85" s="4">
        <v>0.00137749663991698</v>
      </c>
      <c r="AE85" s="4">
        <v>0.003589624164094</v>
      </c>
      <c r="AF85" s="4">
        <v>0.00135691226341711</v>
      </c>
      <c r="AG85" s="4">
        <v>0.00267859995098357</v>
      </c>
      <c r="AH85" s="4">
        <v>0.00365705654090586</v>
      </c>
      <c r="AI85" s="4">
        <v>0.00917726875312055</v>
      </c>
      <c r="AJ85" s="4">
        <v>0.00486045823238047</v>
      </c>
      <c r="AK85" s="4">
        <v>0.00352597855398976</v>
      </c>
      <c r="AL85" s="4">
        <v>0.00227632862443019</v>
      </c>
      <c r="AM85" s="4">
        <v>0.00426455609452231</v>
      </c>
      <c r="AN85" s="4">
        <v>0.00209893548093197</v>
      </c>
      <c r="AO85" s="4">
        <v>0.00395979501020512</v>
      </c>
    </row>
    <row r="86" ht="14" spans="1:41">
      <c r="A86" s="27" t="s">
        <v>107</v>
      </c>
      <c r="B86" s="4">
        <v>0.00060347755269845</v>
      </c>
      <c r="C86" s="4">
        <v>0.00043732113743415</v>
      </c>
      <c r="D86" s="4">
        <v>4.53300702281372e-5</v>
      </c>
      <c r="E86" s="4">
        <v>0.00365406478371842</v>
      </c>
      <c r="F86" s="4">
        <v>0.00269650634876493</v>
      </c>
      <c r="G86" s="4">
        <v>0.00115301389486541</v>
      </c>
      <c r="H86" s="4">
        <v>0.00367571533839004</v>
      </c>
      <c r="I86" s="4">
        <v>0.00143036334076267</v>
      </c>
      <c r="J86" s="4">
        <v>0.00278325082299903</v>
      </c>
      <c r="K86" s="4">
        <v>0.00463496011815502</v>
      </c>
      <c r="L86" s="4">
        <v>-0.000814640347830072</v>
      </c>
      <c r="M86" s="4">
        <v>-0.000192896622483301</v>
      </c>
      <c r="N86" s="4">
        <v>0.0016473478070894</v>
      </c>
      <c r="O86" s="4">
        <v>0.00254576626411251</v>
      </c>
      <c r="P86" s="4">
        <v>0.00330581780278419</v>
      </c>
      <c r="Q86" s="4">
        <v>0.000829060178332463</v>
      </c>
      <c r="R86" s="4">
        <v>0.00210318889957277</v>
      </c>
      <c r="S86" s="4">
        <v>0.00226741030232384</v>
      </c>
      <c r="T86" s="4">
        <v>0.00402018755089733</v>
      </c>
      <c r="U86" s="4">
        <v>0.00679685320543204</v>
      </c>
      <c r="V86" s="4">
        <v>0.00222191699843954</v>
      </c>
      <c r="W86" s="4">
        <v>0.00119653340036149</v>
      </c>
      <c r="X86" s="4">
        <v>0.00406338191795046</v>
      </c>
      <c r="Y86" s="4">
        <v>0.00425604386983987</v>
      </c>
      <c r="Z86" s="4">
        <v>0.000430223225003284</v>
      </c>
      <c r="AA86" s="4">
        <v>0.00236293538083573</v>
      </c>
      <c r="AB86" s="4">
        <v>-0.000732612305671317</v>
      </c>
      <c r="AC86" s="4">
        <v>0.00655501505507502</v>
      </c>
      <c r="AD86" s="4">
        <v>0.00135183782809695</v>
      </c>
      <c r="AE86" s="4">
        <v>0.000850457181410988</v>
      </c>
      <c r="AF86" s="4">
        <v>0.000162350727896639</v>
      </c>
      <c r="AG86" s="4">
        <v>0.00544332863505032</v>
      </c>
      <c r="AH86" s="4">
        <v>0.00358758726416443</v>
      </c>
      <c r="AI86" s="4">
        <v>0.00486045823238047</v>
      </c>
      <c r="AJ86" s="4">
        <v>0.0203973447557975</v>
      </c>
      <c r="AK86" s="4">
        <v>0.00529726995234773</v>
      </c>
      <c r="AL86" s="4">
        <v>0.00557984387376081</v>
      </c>
      <c r="AM86" s="4">
        <v>0.00201388138869355</v>
      </c>
      <c r="AN86" s="4">
        <v>0.00233262477270049</v>
      </c>
      <c r="AO86" s="4">
        <v>0.00581739248032342</v>
      </c>
    </row>
    <row r="87" ht="14" spans="1:41">
      <c r="A87" s="27" t="s">
        <v>110</v>
      </c>
      <c r="B87" s="4">
        <v>0.00124508513893168</v>
      </c>
      <c r="C87" s="4">
        <v>0.000720858597532851</v>
      </c>
      <c r="D87" s="4">
        <v>0.000427159042181265</v>
      </c>
      <c r="E87" s="4">
        <v>0.00124111423446153</v>
      </c>
      <c r="F87" s="4">
        <v>0.00134495988978558</v>
      </c>
      <c r="G87" s="4">
        <v>0.000601116724510336</v>
      </c>
      <c r="H87" s="4">
        <v>0.000821846897390478</v>
      </c>
      <c r="I87" s="4">
        <v>0.00069743991367846</v>
      </c>
      <c r="J87" s="4">
        <v>0.0019588905262778</v>
      </c>
      <c r="K87" s="4">
        <v>0.00272647100988205</v>
      </c>
      <c r="L87" s="4">
        <v>-0.000311945265968454</v>
      </c>
      <c r="M87" s="4">
        <v>0.000133852117626324</v>
      </c>
      <c r="N87" s="4">
        <v>0.000807682968805825</v>
      </c>
      <c r="O87" s="4">
        <v>0.00169630108823614</v>
      </c>
      <c r="P87" s="4">
        <v>0.00303320834802789</v>
      </c>
      <c r="Q87" s="4">
        <v>0.00170336745870293</v>
      </c>
      <c r="R87" s="4">
        <v>0.00127401153008391</v>
      </c>
      <c r="S87" s="4">
        <v>0.00101659158482841</v>
      </c>
      <c r="T87" s="4">
        <v>0.000905430937151768</v>
      </c>
      <c r="U87" s="4">
        <v>0.00424551724994749</v>
      </c>
      <c r="V87" s="4">
        <v>0.00148576095141891</v>
      </c>
      <c r="W87" s="4">
        <v>0.00101198019480711</v>
      </c>
      <c r="X87" s="4">
        <v>0.00231180610380893</v>
      </c>
      <c r="Y87" s="4">
        <v>0.00138505641539236</v>
      </c>
      <c r="Z87" s="4">
        <v>0.000678616598211505</v>
      </c>
      <c r="AA87" s="4">
        <v>0.00161201371004567</v>
      </c>
      <c r="AB87" s="4">
        <v>0.00134524241598604</v>
      </c>
      <c r="AC87" s="4">
        <v>0.0038591826336859</v>
      </c>
      <c r="AD87" s="4">
        <v>0.00146755929100466</v>
      </c>
      <c r="AE87" s="4">
        <v>0.00191119920626582</v>
      </c>
      <c r="AF87" s="4">
        <v>0.000472072073612438</v>
      </c>
      <c r="AG87" s="4">
        <v>0.003524015563287</v>
      </c>
      <c r="AH87" s="4">
        <v>0.00126505275478452</v>
      </c>
      <c r="AI87" s="4">
        <v>0.00352597855398976</v>
      </c>
      <c r="AJ87" s="4">
        <v>0.00529726995234773</v>
      </c>
      <c r="AK87" s="4">
        <v>0.00688201182347131</v>
      </c>
      <c r="AL87" s="4">
        <v>0.0021068971090685</v>
      </c>
      <c r="AM87" s="4">
        <v>0.00251166486956845</v>
      </c>
      <c r="AN87" s="4">
        <v>0.001162183612291</v>
      </c>
      <c r="AO87" s="4">
        <v>0.0031911083811324</v>
      </c>
    </row>
    <row r="88" ht="14" spans="1:41">
      <c r="A88" s="27" t="s">
        <v>114</v>
      </c>
      <c r="B88" s="4">
        <v>0.00164112237582031</v>
      </c>
      <c r="C88" s="4">
        <v>0.00126171610138778</v>
      </c>
      <c r="D88" s="4">
        <v>0.00101309929783178</v>
      </c>
      <c r="E88" s="4">
        <v>0.00242045412056686</v>
      </c>
      <c r="F88" s="4">
        <v>0.00175076544238457</v>
      </c>
      <c r="G88" s="4">
        <v>0.00106347155447635</v>
      </c>
      <c r="H88" s="4">
        <v>0.002273960368022</v>
      </c>
      <c r="I88" s="4">
        <v>0.00131323835900502</v>
      </c>
      <c r="J88" s="4">
        <v>0.00186336221367708</v>
      </c>
      <c r="K88" s="4">
        <v>0.0025014030351888</v>
      </c>
      <c r="L88" s="4">
        <v>-0.000478066335947198</v>
      </c>
      <c r="M88" s="4">
        <v>0.000454104923923804</v>
      </c>
      <c r="N88" s="4">
        <v>0.00134670511946039</v>
      </c>
      <c r="O88" s="4">
        <v>0.00116734533978091</v>
      </c>
      <c r="P88" s="4">
        <v>0.00132540851336576</v>
      </c>
      <c r="Q88" s="4">
        <v>6.05581161677571e-5</v>
      </c>
      <c r="R88" s="4">
        <v>0.00133520336664318</v>
      </c>
      <c r="S88" s="4">
        <v>0.00241080111007321</v>
      </c>
      <c r="T88" s="4">
        <v>0.00242248237227427</v>
      </c>
      <c r="U88" s="4">
        <v>0.00332385203339392</v>
      </c>
      <c r="V88" s="4">
        <v>0.00247354335051408</v>
      </c>
      <c r="W88" s="4">
        <v>0.000975862281543268</v>
      </c>
      <c r="X88" s="4">
        <v>0.00207811739583328</v>
      </c>
      <c r="Y88" s="4">
        <v>0.00515632752013989</v>
      </c>
      <c r="Z88" s="4">
        <v>0.00166853837681611</v>
      </c>
      <c r="AA88" s="4">
        <v>0.00176334365107287</v>
      </c>
      <c r="AB88" s="4">
        <v>0.000312803059489924</v>
      </c>
      <c r="AC88" s="4">
        <v>0.00506961831773075</v>
      </c>
      <c r="AD88" s="4">
        <v>0.000829846621900235</v>
      </c>
      <c r="AE88" s="4">
        <v>0.00154974363075089</v>
      </c>
      <c r="AF88" s="4">
        <v>0.000758334333220339</v>
      </c>
      <c r="AG88" s="4">
        <v>0.00320491133242865</v>
      </c>
      <c r="AH88" s="4">
        <v>0.00302124531378657</v>
      </c>
      <c r="AI88" s="4">
        <v>0.00227632862443019</v>
      </c>
      <c r="AJ88" s="4">
        <v>0.00557984387376081</v>
      </c>
      <c r="AK88" s="4">
        <v>0.0021068971090685</v>
      </c>
      <c r="AL88" s="4">
        <v>0.00629236004747473</v>
      </c>
      <c r="AM88" s="4">
        <v>0.00276311933640183</v>
      </c>
      <c r="AN88" s="4">
        <v>0.00136568827253624</v>
      </c>
      <c r="AO88" s="4">
        <v>0.00437396704706822</v>
      </c>
    </row>
    <row r="89" ht="14" spans="1:41">
      <c r="A89" s="27" t="s">
        <v>127</v>
      </c>
      <c r="B89" s="4">
        <v>0.00293185221448219</v>
      </c>
      <c r="C89" s="4">
        <v>0.00189934987723489</v>
      </c>
      <c r="D89" s="4">
        <v>0.00187047803946536</v>
      </c>
      <c r="E89" s="4">
        <v>0.00273679626308212</v>
      </c>
      <c r="F89" s="4">
        <v>0.00270574913253526</v>
      </c>
      <c r="G89" s="4">
        <v>0.00239825262504663</v>
      </c>
      <c r="H89" s="4">
        <v>0.00115349793342364</v>
      </c>
      <c r="I89" s="4">
        <v>0.00121903987644113</v>
      </c>
      <c r="J89" s="4">
        <v>0.00241035087525234</v>
      </c>
      <c r="K89" s="4">
        <v>0.00184553755644569</v>
      </c>
      <c r="L89" s="4">
        <v>0.000840656567835245</v>
      </c>
      <c r="M89" s="4">
        <v>0.000767990805079859</v>
      </c>
      <c r="N89" s="4">
        <v>0.00335519088356236</v>
      </c>
      <c r="O89" s="4">
        <v>0.00132332705486357</v>
      </c>
      <c r="P89" s="4">
        <v>0.00150400669384975</v>
      </c>
      <c r="Q89" s="4">
        <v>0.000517606931500072</v>
      </c>
      <c r="R89" s="4">
        <v>0.00536704296690666</v>
      </c>
      <c r="S89" s="4">
        <v>0.00232724923753047</v>
      </c>
      <c r="T89" s="4">
        <v>0.00412722102545525</v>
      </c>
      <c r="U89" s="4">
        <v>0.00393443200449481</v>
      </c>
      <c r="V89" s="4">
        <v>0.00186001384369285</v>
      </c>
      <c r="W89" s="4">
        <v>0.00433028529269517</v>
      </c>
      <c r="X89" s="4">
        <v>0.00385279228289807</v>
      </c>
      <c r="Y89" s="4">
        <v>0.00889900559983716</v>
      </c>
      <c r="Z89" s="4">
        <v>0.00289912823693436</v>
      </c>
      <c r="AA89" s="4">
        <v>0.00221942525021629</v>
      </c>
      <c r="AB89" s="4">
        <v>0.00182520070902842</v>
      </c>
      <c r="AC89" s="4">
        <v>0.0104327722034746</v>
      </c>
      <c r="AD89" s="4">
        <v>0.00157049295410353</v>
      </c>
      <c r="AE89" s="4">
        <v>0.00393112563985109</v>
      </c>
      <c r="AF89" s="4">
        <v>0.000781920925425219</v>
      </c>
      <c r="AG89" s="4">
        <v>0.00558168830815602</v>
      </c>
      <c r="AH89" s="4">
        <v>0.00412546954693199</v>
      </c>
      <c r="AI89" s="4">
        <v>0.00426455609452231</v>
      </c>
      <c r="AJ89" s="4">
        <v>0.00201388138869355</v>
      </c>
      <c r="AK89" s="4">
        <v>0.00251166486956845</v>
      </c>
      <c r="AL89" s="4">
        <v>0.00276311933640183</v>
      </c>
      <c r="AM89" s="4">
        <v>0.0288543441698788</v>
      </c>
      <c r="AN89" s="4">
        <v>0.00212470814089385</v>
      </c>
      <c r="AO89" s="4">
        <v>0.00191767339223901</v>
      </c>
    </row>
    <row r="90" ht="14" spans="1:41">
      <c r="A90" s="27" t="s">
        <v>128</v>
      </c>
      <c r="B90" s="4">
        <v>0.00110300233208384</v>
      </c>
      <c r="C90" s="4">
        <v>0.000522268965433851</v>
      </c>
      <c r="D90" s="4">
        <v>-0.000419740624062846</v>
      </c>
      <c r="E90" s="4">
        <v>0.000914118074065672</v>
      </c>
      <c r="F90" s="4">
        <v>0.00063251913789168</v>
      </c>
      <c r="G90" s="4">
        <v>0.00124222596187383</v>
      </c>
      <c r="H90" s="4">
        <v>0.00140903166593528</v>
      </c>
      <c r="I90" s="4">
        <v>0.00268654360093993</v>
      </c>
      <c r="J90" s="4">
        <v>0.00168706645016609</v>
      </c>
      <c r="K90" s="4">
        <v>0.000754139465710073</v>
      </c>
      <c r="L90" s="4">
        <v>0.00106635928059738</v>
      </c>
      <c r="M90" s="4">
        <v>0.000428718068137429</v>
      </c>
      <c r="N90" s="4">
        <v>0.00153093917474026</v>
      </c>
      <c r="O90" s="4">
        <v>0.00197936509038879</v>
      </c>
      <c r="P90" s="4">
        <v>0.00220797186667111</v>
      </c>
      <c r="Q90" s="4">
        <v>0.00157405754706827</v>
      </c>
      <c r="R90" s="4">
        <v>0.00441150685639114</v>
      </c>
      <c r="S90" s="4">
        <v>0.000741633907196078</v>
      </c>
      <c r="T90" s="4">
        <v>0.00210078564067658</v>
      </c>
      <c r="U90" s="4">
        <v>0.00496529826284984</v>
      </c>
      <c r="V90" s="4">
        <v>0.00209070335148924</v>
      </c>
      <c r="W90" s="4">
        <v>0.00249335423371272</v>
      </c>
      <c r="X90" s="4">
        <v>0.00271560868474812</v>
      </c>
      <c r="Y90" s="4">
        <v>0.00119532647215749</v>
      </c>
      <c r="Z90" s="4">
        <v>0.000708446525306676</v>
      </c>
      <c r="AA90" s="4">
        <v>0.00133474297691087</v>
      </c>
      <c r="AB90" s="4">
        <v>0.00139132866816578</v>
      </c>
      <c r="AC90" s="4">
        <v>0.00060836709838927</v>
      </c>
      <c r="AD90" s="4">
        <v>0.000467596364898791</v>
      </c>
      <c r="AE90" s="4">
        <v>0.00202793587306075</v>
      </c>
      <c r="AF90" s="4">
        <v>0.00150983369816508</v>
      </c>
      <c r="AG90" s="4">
        <v>0.00203662772774619</v>
      </c>
      <c r="AH90" s="4">
        <v>0.00220089741961283</v>
      </c>
      <c r="AI90" s="4">
        <v>0.00209893548093197</v>
      </c>
      <c r="AJ90" s="4">
        <v>0.00233262477270049</v>
      </c>
      <c r="AK90" s="4">
        <v>0.001162183612291</v>
      </c>
      <c r="AL90" s="4">
        <v>0.00136568827253624</v>
      </c>
      <c r="AM90" s="4">
        <v>0.00212470814089385</v>
      </c>
      <c r="AN90" s="4">
        <v>0.00560074218683889</v>
      </c>
      <c r="AO90" s="4">
        <v>0.000978787555942603</v>
      </c>
    </row>
    <row r="91" ht="14" spans="1:41">
      <c r="A91" s="27" t="s">
        <v>130</v>
      </c>
      <c r="B91" s="4">
        <v>0.00128519038735149</v>
      </c>
      <c r="C91" s="4">
        <v>0.000113585677214058</v>
      </c>
      <c r="D91" s="4">
        <v>4.89460813498175e-5</v>
      </c>
      <c r="E91" s="4">
        <v>0.000742442001824088</v>
      </c>
      <c r="F91" s="4">
        <v>0.000186463845717788</v>
      </c>
      <c r="G91" s="4">
        <v>0.00129568157444589</v>
      </c>
      <c r="H91" s="4">
        <v>0.00173446352853103</v>
      </c>
      <c r="I91" s="4">
        <v>0.00104709849702887</v>
      </c>
      <c r="J91" s="4">
        <v>0.000827755385985986</v>
      </c>
      <c r="K91" s="4">
        <v>0.00222031648180357</v>
      </c>
      <c r="L91" s="4">
        <v>-0.0020866916738509</v>
      </c>
      <c r="M91" s="4">
        <v>3.92938811651997e-5</v>
      </c>
      <c r="N91" s="4">
        <v>0.000841158480760062</v>
      </c>
      <c r="O91" s="4">
        <v>0.000658217754743903</v>
      </c>
      <c r="P91" s="4">
        <v>0.00187768701038987</v>
      </c>
      <c r="Q91" s="4">
        <v>0.000204016994707553</v>
      </c>
      <c r="R91" s="4">
        <v>0.00102062395996555</v>
      </c>
      <c r="S91" s="4">
        <v>0.0014477437737854</v>
      </c>
      <c r="T91" s="4">
        <v>0.00293355515542663</v>
      </c>
      <c r="U91" s="4">
        <v>0.000611968138029614</v>
      </c>
      <c r="V91" s="4">
        <v>0.00251830482778887</v>
      </c>
      <c r="W91" s="4">
        <v>0.00174310996103162</v>
      </c>
      <c r="X91" s="4">
        <v>0.00209389518538852</v>
      </c>
      <c r="Y91" s="4">
        <v>0.00458109493849177</v>
      </c>
      <c r="Z91" s="4">
        <v>0.00170287698289009</v>
      </c>
      <c r="AA91" s="4">
        <v>0.00162059146805809</v>
      </c>
      <c r="AB91" s="4">
        <v>-0.000128520468695027</v>
      </c>
      <c r="AC91" s="4">
        <v>0.00927843416604453</v>
      </c>
      <c r="AD91" s="4">
        <v>0.000873949901685959</v>
      </c>
      <c r="AE91" s="4">
        <v>0.0019534556611164</v>
      </c>
      <c r="AF91" s="4">
        <v>0.000989101316245922</v>
      </c>
      <c r="AG91" s="4">
        <v>0.00306893656891111</v>
      </c>
      <c r="AH91" s="4">
        <v>0.00426028764829058</v>
      </c>
      <c r="AI91" s="4">
        <v>0.00395979501020512</v>
      </c>
      <c r="AJ91" s="4">
        <v>0.00581739248032342</v>
      </c>
      <c r="AK91" s="4">
        <v>0.0031911083811324</v>
      </c>
      <c r="AL91" s="4">
        <v>0.00437396704706822</v>
      </c>
      <c r="AM91" s="4">
        <v>0.00191767339223901</v>
      </c>
      <c r="AN91" s="4">
        <v>0.000978787555942603</v>
      </c>
      <c r="AO91" s="4">
        <v>0.00963337352595042</v>
      </c>
    </row>
    <row r="92" ht="14" spans="1:1">
      <c r="A92" s="27"/>
    </row>
    <row r="93" ht="14" spans="1:1">
      <c r="A93" s="27"/>
    </row>
    <row r="94" ht="16.4" spans="1:1">
      <c r="A94" s="21" t="s">
        <v>148</v>
      </c>
    </row>
    <row r="95" ht="16.4" spans="1:1">
      <c r="A95" s="21"/>
    </row>
    <row r="96" ht="14" spans="2:41">
      <c r="B96" s="27" t="s">
        <v>2</v>
      </c>
      <c r="C96" s="27" t="s">
        <v>6</v>
      </c>
      <c r="D96" s="27" t="s">
        <v>4</v>
      </c>
      <c r="E96" s="27" t="s">
        <v>5</v>
      </c>
      <c r="F96" s="27" t="s">
        <v>7</v>
      </c>
      <c r="G96" s="27" t="s">
        <v>9</v>
      </c>
      <c r="H96" s="27" t="s">
        <v>10</v>
      </c>
      <c r="I96" s="27" t="s">
        <v>11</v>
      </c>
      <c r="J96" s="27" t="s">
        <v>16</v>
      </c>
      <c r="K96" s="27" t="s">
        <v>17</v>
      </c>
      <c r="L96" s="27" t="s">
        <v>19</v>
      </c>
      <c r="M96" s="27" t="s">
        <v>28</v>
      </c>
      <c r="N96" s="27" t="s">
        <v>30</v>
      </c>
      <c r="O96" s="27" t="s">
        <v>32</v>
      </c>
      <c r="P96" s="27" t="s">
        <v>34</v>
      </c>
      <c r="Q96" s="27" t="s">
        <v>37</v>
      </c>
      <c r="R96" s="27" t="s">
        <v>39</v>
      </c>
      <c r="S96" s="27" t="s">
        <v>40</v>
      </c>
      <c r="T96" s="27" t="s">
        <v>41</v>
      </c>
      <c r="U96" s="27" t="s">
        <v>44</v>
      </c>
      <c r="V96" s="27" t="s">
        <v>49</v>
      </c>
      <c r="W96" s="27" t="s">
        <v>53</v>
      </c>
      <c r="X96" s="27" t="s">
        <v>57</v>
      </c>
      <c r="Y96" s="27" t="s">
        <v>61</v>
      </c>
      <c r="Z96" s="27" t="s">
        <v>63</v>
      </c>
      <c r="AA96" s="27" t="s">
        <v>66</v>
      </c>
      <c r="AB96" s="27" t="s">
        <v>74</v>
      </c>
      <c r="AC96" s="27" t="s">
        <v>75</v>
      </c>
      <c r="AD96" s="27" t="s">
        <v>78</v>
      </c>
      <c r="AE96" s="27" t="s">
        <v>81</v>
      </c>
      <c r="AF96" s="27" t="s">
        <v>82</v>
      </c>
      <c r="AG96" s="27" t="s">
        <v>89</v>
      </c>
      <c r="AH96" s="27" t="s">
        <v>97</v>
      </c>
      <c r="AI96" s="27" t="s">
        <v>101</v>
      </c>
      <c r="AJ96" s="27" t="s">
        <v>107</v>
      </c>
      <c r="AK96" s="27" t="s">
        <v>110</v>
      </c>
      <c r="AL96" s="27" t="s">
        <v>114</v>
      </c>
      <c r="AM96" s="27" t="s">
        <v>127</v>
      </c>
      <c r="AN96" s="27" t="s">
        <v>128</v>
      </c>
      <c r="AO96" s="27" t="s">
        <v>130</v>
      </c>
    </row>
    <row r="97" ht="14" spans="1:41">
      <c r="A97" s="27" t="s">
        <v>2</v>
      </c>
      <c r="B97" s="4">
        <f t="array" ref="B97:AO136">MMULT(TRANSPOSE(Data!B132:AO189-Data!B191:AO191),Data!B132:AO189-Data!B191:AO191)/57*IF(B96:AO96=A97:A136,1,0)</f>
        <v>0.00239956142449895</v>
      </c>
      <c r="C97" s="2">
        <v>0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2">
        <v>0</v>
      </c>
    </row>
    <row r="98" ht="14" spans="1:41">
      <c r="A98" s="27" t="s">
        <v>6</v>
      </c>
      <c r="B98" s="2">
        <v>0</v>
      </c>
      <c r="C98" s="4">
        <v>0.00252399390893863</v>
      </c>
      <c r="D98" s="2">
        <v>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2">
        <v>0</v>
      </c>
    </row>
    <row r="99" ht="14" spans="1:41">
      <c r="A99" s="27" t="s">
        <v>4</v>
      </c>
      <c r="B99" s="2">
        <v>0</v>
      </c>
      <c r="C99" s="2">
        <v>0</v>
      </c>
      <c r="D99" s="4">
        <v>0.00481728628300211</v>
      </c>
      <c r="E99" s="2">
        <v>0</v>
      </c>
      <c r="F99" s="2">
        <v>0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2">
        <v>0</v>
      </c>
      <c r="AB99" s="2">
        <v>0</v>
      </c>
      <c r="AC99" s="2">
        <v>0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0</v>
      </c>
      <c r="AJ99" s="2">
        <v>0</v>
      </c>
      <c r="AK99" s="2">
        <v>0</v>
      </c>
      <c r="AL99" s="2">
        <v>0</v>
      </c>
      <c r="AM99" s="2">
        <v>0</v>
      </c>
      <c r="AN99" s="2">
        <v>0</v>
      </c>
      <c r="AO99" s="2">
        <v>0</v>
      </c>
    </row>
    <row r="100" ht="14" spans="1:41">
      <c r="A100" s="27" t="s">
        <v>5</v>
      </c>
      <c r="B100" s="2">
        <v>0</v>
      </c>
      <c r="C100" s="2">
        <v>0</v>
      </c>
      <c r="D100" s="2">
        <v>0</v>
      </c>
      <c r="E100" s="4">
        <v>0.00701239700500198</v>
      </c>
      <c r="F100" s="2">
        <v>0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2">
        <v>0</v>
      </c>
    </row>
    <row r="101" ht="14" spans="1:41">
      <c r="A101" s="27" t="s">
        <v>7</v>
      </c>
      <c r="B101" s="2">
        <v>0</v>
      </c>
      <c r="C101" s="2">
        <v>0</v>
      </c>
      <c r="D101" s="2">
        <v>0</v>
      </c>
      <c r="E101" s="2">
        <v>0</v>
      </c>
      <c r="F101" s="4">
        <v>0.00423305199538967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</row>
    <row r="102" ht="14" spans="1:41">
      <c r="A102" s="27" t="s">
        <v>9</v>
      </c>
      <c r="B102" s="2">
        <v>0</v>
      </c>
      <c r="C102" s="2">
        <v>0</v>
      </c>
      <c r="D102" s="2">
        <v>0</v>
      </c>
      <c r="E102" s="2">
        <v>0</v>
      </c>
      <c r="F102" s="2">
        <v>0</v>
      </c>
      <c r="G102" s="4">
        <v>0.00329028812457952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  <c r="AA102" s="2">
        <v>0</v>
      </c>
      <c r="AB102" s="2">
        <v>0</v>
      </c>
      <c r="AC102" s="2">
        <v>0</v>
      </c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0</v>
      </c>
      <c r="AJ102" s="2">
        <v>0</v>
      </c>
      <c r="AK102" s="2">
        <v>0</v>
      </c>
      <c r="AL102" s="2">
        <v>0</v>
      </c>
      <c r="AM102" s="2">
        <v>0</v>
      </c>
      <c r="AN102" s="2">
        <v>0</v>
      </c>
      <c r="AO102" s="2">
        <v>0</v>
      </c>
    </row>
    <row r="103" ht="14" spans="1:41">
      <c r="A103" s="27" t="s">
        <v>10</v>
      </c>
      <c r="B103" s="2">
        <v>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  <c r="H103" s="4">
        <v>0.00896408500686384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0</v>
      </c>
      <c r="W103" s="2">
        <v>0</v>
      </c>
      <c r="X103" s="2">
        <v>0</v>
      </c>
      <c r="Y103" s="2">
        <v>0</v>
      </c>
      <c r="Z103" s="2">
        <v>0</v>
      </c>
      <c r="AA103" s="2">
        <v>0</v>
      </c>
      <c r="AB103" s="2">
        <v>0</v>
      </c>
      <c r="AC103" s="2">
        <v>0</v>
      </c>
      <c r="AD103" s="2">
        <v>0</v>
      </c>
      <c r="AE103" s="2">
        <v>0</v>
      </c>
      <c r="AF103" s="2">
        <v>0</v>
      </c>
      <c r="AG103" s="2">
        <v>0</v>
      </c>
      <c r="AH103" s="2">
        <v>0</v>
      </c>
      <c r="AI103" s="2">
        <v>0</v>
      </c>
      <c r="AJ103" s="2">
        <v>0</v>
      </c>
      <c r="AK103" s="2">
        <v>0</v>
      </c>
      <c r="AL103" s="2">
        <v>0</v>
      </c>
      <c r="AM103" s="2">
        <v>0</v>
      </c>
      <c r="AN103" s="2">
        <v>0</v>
      </c>
      <c r="AO103" s="2">
        <v>0</v>
      </c>
    </row>
    <row r="104" ht="14" spans="1:41">
      <c r="A104" s="27" t="s">
        <v>11</v>
      </c>
      <c r="B104" s="2">
        <v>0</v>
      </c>
      <c r="C104" s="2">
        <v>0</v>
      </c>
      <c r="D104" s="2">
        <v>0</v>
      </c>
      <c r="E104" s="2">
        <v>0</v>
      </c>
      <c r="F104" s="2">
        <v>0</v>
      </c>
      <c r="G104" s="2">
        <v>0</v>
      </c>
      <c r="H104" s="2">
        <v>0</v>
      </c>
      <c r="I104" s="4">
        <v>0.00547335301029192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  <c r="AC104" s="2">
        <v>0</v>
      </c>
      <c r="AD104" s="2">
        <v>0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0</v>
      </c>
      <c r="AK104" s="2">
        <v>0</v>
      </c>
      <c r="AL104" s="2">
        <v>0</v>
      </c>
      <c r="AM104" s="2">
        <v>0</v>
      </c>
      <c r="AN104" s="2">
        <v>0</v>
      </c>
      <c r="AO104" s="2">
        <v>0</v>
      </c>
    </row>
    <row r="105" ht="14" spans="1:41">
      <c r="A105" s="27" t="s">
        <v>16</v>
      </c>
      <c r="B105" s="2">
        <v>0</v>
      </c>
      <c r="C105" s="2">
        <v>0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4">
        <v>0.00360427883994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2">
        <v>0</v>
      </c>
    </row>
    <row r="106" ht="14" spans="1:41">
      <c r="A106" s="27" t="s">
        <v>17</v>
      </c>
      <c r="B106" s="2">
        <v>0</v>
      </c>
      <c r="C106" s="2">
        <v>0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4">
        <v>0.00644753018893236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2">
        <v>0</v>
      </c>
    </row>
    <row r="107" ht="14" spans="1:41">
      <c r="A107" s="27" t="s">
        <v>19</v>
      </c>
      <c r="B107" s="2">
        <v>0</v>
      </c>
      <c r="C107" s="2">
        <v>0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4">
        <v>0.00895534391242223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0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0</v>
      </c>
      <c r="AM107" s="2">
        <v>0</v>
      </c>
      <c r="AN107" s="2">
        <v>0</v>
      </c>
      <c r="AO107" s="2">
        <v>0</v>
      </c>
    </row>
    <row r="108" ht="14" spans="1:41">
      <c r="A108" s="27" t="s">
        <v>28</v>
      </c>
      <c r="B108" s="2">
        <v>0</v>
      </c>
      <c r="C108" s="2">
        <v>0</v>
      </c>
      <c r="D108" s="2">
        <v>0</v>
      </c>
      <c r="E108" s="2">
        <v>0</v>
      </c>
      <c r="F108" s="2">
        <v>0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4">
        <v>0.00483190037396029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2">
        <v>0</v>
      </c>
    </row>
    <row r="109" ht="14" spans="1:41">
      <c r="A109" s="27" t="s">
        <v>30</v>
      </c>
      <c r="B109" s="2">
        <v>0</v>
      </c>
      <c r="C109" s="2">
        <v>0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4">
        <v>0.00230982779563246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0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2">
        <v>0</v>
      </c>
    </row>
    <row r="110" ht="14" spans="1:41">
      <c r="A110" s="27" t="s">
        <v>32</v>
      </c>
      <c r="B110" s="2">
        <v>0</v>
      </c>
      <c r="C110" s="2">
        <v>0</v>
      </c>
      <c r="D110" s="2">
        <v>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4">
        <v>0.00312108667113482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2">
        <v>0</v>
      </c>
    </row>
    <row r="111" ht="14" spans="1:41">
      <c r="A111" s="27" t="s">
        <v>34</v>
      </c>
      <c r="B111" s="2">
        <v>0</v>
      </c>
      <c r="C111" s="2">
        <v>0</v>
      </c>
      <c r="D111" s="2">
        <v>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4">
        <v>0.00936673367711772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2">
        <v>0</v>
      </c>
    </row>
    <row r="112" ht="14" spans="1:41">
      <c r="A112" s="27" t="s">
        <v>37</v>
      </c>
      <c r="B112" s="2">
        <v>0</v>
      </c>
      <c r="C112" s="2">
        <v>0</v>
      </c>
      <c r="D112" s="2">
        <v>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4">
        <v>0.0179208060570502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2">
        <v>0</v>
      </c>
    </row>
    <row r="113" ht="14" spans="1:41">
      <c r="A113" s="27" t="s">
        <v>39</v>
      </c>
      <c r="B113" s="2">
        <v>0</v>
      </c>
      <c r="C113" s="2">
        <v>0</v>
      </c>
      <c r="D113" s="2">
        <v>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4">
        <v>0.0142984049137515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2">
        <v>0</v>
      </c>
    </row>
    <row r="114" ht="14" spans="1:41">
      <c r="A114" s="27" t="s">
        <v>40</v>
      </c>
      <c r="B114" s="2">
        <v>0</v>
      </c>
      <c r="C114" s="2">
        <v>0</v>
      </c>
      <c r="D114" s="2">
        <v>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4">
        <v>0.0054340767496654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0</v>
      </c>
      <c r="AF114" s="2">
        <v>0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2">
        <v>0</v>
      </c>
    </row>
    <row r="115" ht="14" spans="1:41">
      <c r="A115" s="27" t="s">
        <v>41</v>
      </c>
      <c r="B115" s="2">
        <v>0</v>
      </c>
      <c r="C115" s="2">
        <v>0</v>
      </c>
      <c r="D115" s="2">
        <v>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4">
        <v>0.00511605011405166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2">
        <v>0</v>
      </c>
    </row>
    <row r="116" ht="14" spans="1:41">
      <c r="A116" s="27" t="s">
        <v>44</v>
      </c>
      <c r="B116" s="2">
        <v>0</v>
      </c>
      <c r="C116" s="2">
        <v>0</v>
      </c>
      <c r="D116" s="2">
        <v>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4">
        <v>0.0240061086255879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0</v>
      </c>
      <c r="AB116" s="2">
        <v>0</v>
      </c>
      <c r="AC116" s="2">
        <v>0</v>
      </c>
      <c r="AD116" s="2">
        <v>0</v>
      </c>
      <c r="AE116" s="2">
        <v>0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2">
        <v>0</v>
      </c>
    </row>
    <row r="117" ht="14" spans="1:41">
      <c r="A117" s="27" t="s">
        <v>49</v>
      </c>
      <c r="B117" s="2">
        <v>0</v>
      </c>
      <c r="C117" s="2">
        <v>0</v>
      </c>
      <c r="D117" s="2">
        <v>0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4">
        <v>0.00673268849875018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2">
        <v>0</v>
      </c>
    </row>
    <row r="118" ht="14" spans="1:41">
      <c r="A118" s="27" t="s">
        <v>53</v>
      </c>
      <c r="B118" s="2">
        <v>0</v>
      </c>
      <c r="C118" s="2">
        <v>0</v>
      </c>
      <c r="D118" s="2">
        <v>0</v>
      </c>
      <c r="E118" s="2">
        <v>0</v>
      </c>
      <c r="F118" s="2">
        <v>0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4">
        <v>0.00568999893659568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2">
        <v>0</v>
      </c>
    </row>
    <row r="119" ht="14" spans="1:41">
      <c r="A119" s="27" t="s">
        <v>57</v>
      </c>
      <c r="B119" s="2">
        <v>0</v>
      </c>
      <c r="C119" s="2">
        <v>0</v>
      </c>
      <c r="D119" s="2">
        <v>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0</v>
      </c>
      <c r="V119" s="2">
        <v>0</v>
      </c>
      <c r="W119" s="2">
        <v>0</v>
      </c>
      <c r="X119" s="4">
        <v>0.00673198349129303</v>
      </c>
      <c r="Y119" s="2">
        <v>0</v>
      </c>
      <c r="Z119" s="2">
        <v>0</v>
      </c>
      <c r="AA119" s="2">
        <v>0</v>
      </c>
      <c r="AB119" s="2">
        <v>0</v>
      </c>
      <c r="AC119" s="2">
        <v>0</v>
      </c>
      <c r="AD119" s="2">
        <v>0</v>
      </c>
      <c r="AE119" s="2">
        <v>0</v>
      </c>
      <c r="AF119" s="2">
        <v>0</v>
      </c>
      <c r="AG119" s="2">
        <v>0</v>
      </c>
      <c r="AH119" s="2">
        <v>0</v>
      </c>
      <c r="AI119" s="2">
        <v>0</v>
      </c>
      <c r="AJ119" s="2">
        <v>0</v>
      </c>
      <c r="AK119" s="2">
        <v>0</v>
      </c>
      <c r="AL119" s="2">
        <v>0</v>
      </c>
      <c r="AM119" s="2">
        <v>0</v>
      </c>
      <c r="AN119" s="2">
        <v>0</v>
      </c>
      <c r="AO119" s="2">
        <v>0</v>
      </c>
    </row>
    <row r="120" ht="14" spans="1:41">
      <c r="A120" s="27" t="s">
        <v>61</v>
      </c>
      <c r="B120" s="2">
        <v>0</v>
      </c>
      <c r="C120" s="2">
        <v>0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4">
        <v>0.0252031246151533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2">
        <v>0</v>
      </c>
    </row>
    <row r="121" ht="14" spans="1:41">
      <c r="A121" s="27" t="s">
        <v>63</v>
      </c>
      <c r="B121" s="2">
        <v>0</v>
      </c>
      <c r="C121" s="2">
        <v>0</v>
      </c>
      <c r="D121" s="2">
        <v>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4">
        <v>0.00240446436889718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2">
        <v>0</v>
      </c>
    </row>
    <row r="122" ht="14" spans="1:41">
      <c r="A122" s="27" t="s">
        <v>66</v>
      </c>
      <c r="B122" s="2">
        <v>0</v>
      </c>
      <c r="C122" s="2">
        <v>0</v>
      </c>
      <c r="D122" s="2">
        <v>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4">
        <v>0.00451443575690337</v>
      </c>
      <c r="AB122" s="2">
        <v>0</v>
      </c>
      <c r="AC122" s="2">
        <v>0</v>
      </c>
      <c r="AD122" s="2">
        <v>0</v>
      </c>
      <c r="AE122" s="2">
        <v>0</v>
      </c>
      <c r="AF122" s="2">
        <v>0</v>
      </c>
      <c r="AG122" s="2">
        <v>0</v>
      </c>
      <c r="AH122" s="2">
        <v>0</v>
      </c>
      <c r="AI122" s="2">
        <v>0</v>
      </c>
      <c r="AJ122" s="2">
        <v>0</v>
      </c>
      <c r="AK122" s="2">
        <v>0</v>
      </c>
      <c r="AL122" s="2">
        <v>0</v>
      </c>
      <c r="AM122" s="2">
        <v>0</v>
      </c>
      <c r="AN122" s="2">
        <v>0</v>
      </c>
      <c r="AO122" s="2">
        <v>0</v>
      </c>
    </row>
    <row r="123" ht="14" spans="1:41">
      <c r="A123" s="27" t="s">
        <v>74</v>
      </c>
      <c r="B123" s="2">
        <v>0</v>
      </c>
      <c r="C123" s="2">
        <v>0</v>
      </c>
      <c r="D123" s="2">
        <v>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0</v>
      </c>
      <c r="V123" s="2">
        <v>0</v>
      </c>
      <c r="W123" s="2">
        <v>0</v>
      </c>
      <c r="X123" s="2">
        <v>0</v>
      </c>
      <c r="Y123" s="2">
        <v>0</v>
      </c>
      <c r="Z123" s="2">
        <v>0</v>
      </c>
      <c r="AA123" s="2">
        <v>0</v>
      </c>
      <c r="AB123" s="4">
        <v>0.00625378084210266</v>
      </c>
      <c r="AC123" s="2">
        <v>0</v>
      </c>
      <c r="AD123" s="2">
        <v>0</v>
      </c>
      <c r="AE123" s="2">
        <v>0</v>
      </c>
      <c r="AF123" s="2">
        <v>0</v>
      </c>
      <c r="AG123" s="2">
        <v>0</v>
      </c>
      <c r="AH123" s="2">
        <v>0</v>
      </c>
      <c r="AI123" s="2">
        <v>0</v>
      </c>
      <c r="AJ123" s="2">
        <v>0</v>
      </c>
      <c r="AK123" s="2">
        <v>0</v>
      </c>
      <c r="AL123" s="2">
        <v>0</v>
      </c>
      <c r="AM123" s="2">
        <v>0</v>
      </c>
      <c r="AN123" s="2">
        <v>0</v>
      </c>
      <c r="AO123" s="2">
        <v>0</v>
      </c>
    </row>
    <row r="124" ht="14" spans="1:41">
      <c r="A124" s="27" t="s">
        <v>75</v>
      </c>
      <c r="B124" s="2">
        <v>0</v>
      </c>
      <c r="C124" s="2">
        <v>0</v>
      </c>
      <c r="D124" s="2">
        <v>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0</v>
      </c>
      <c r="V124" s="2">
        <v>0</v>
      </c>
      <c r="W124" s="2">
        <v>0</v>
      </c>
      <c r="X124" s="2">
        <v>0</v>
      </c>
      <c r="Y124" s="2">
        <v>0</v>
      </c>
      <c r="Z124" s="2">
        <v>0</v>
      </c>
      <c r="AA124" s="2">
        <v>0</v>
      </c>
      <c r="AB124" s="2">
        <v>0</v>
      </c>
      <c r="AC124" s="4">
        <v>0.0321017920626765</v>
      </c>
      <c r="AD124" s="2">
        <v>0</v>
      </c>
      <c r="AE124" s="2">
        <v>0</v>
      </c>
      <c r="AF124" s="2">
        <v>0</v>
      </c>
      <c r="AG124" s="2">
        <v>0</v>
      </c>
      <c r="AH124" s="2">
        <v>0</v>
      </c>
      <c r="AI124" s="2">
        <v>0</v>
      </c>
      <c r="AJ124" s="2">
        <v>0</v>
      </c>
      <c r="AK124" s="2">
        <v>0</v>
      </c>
      <c r="AL124" s="2">
        <v>0</v>
      </c>
      <c r="AM124" s="2">
        <v>0</v>
      </c>
      <c r="AN124" s="2">
        <v>0</v>
      </c>
      <c r="AO124" s="2">
        <v>0</v>
      </c>
    </row>
    <row r="125" ht="14" spans="1:41">
      <c r="A125" s="27" t="s">
        <v>78</v>
      </c>
      <c r="B125" s="2">
        <v>0</v>
      </c>
      <c r="C125" s="2">
        <v>0</v>
      </c>
      <c r="D125" s="2">
        <v>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4">
        <v>0.00192396937335466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2">
        <v>0</v>
      </c>
    </row>
    <row r="126" ht="14" spans="1:41">
      <c r="A126" s="27" t="s">
        <v>81</v>
      </c>
      <c r="B126" s="2">
        <v>0</v>
      </c>
      <c r="C126" s="2">
        <v>0</v>
      </c>
      <c r="D126" s="2">
        <v>0</v>
      </c>
      <c r="E126" s="2">
        <v>0</v>
      </c>
      <c r="F126" s="2">
        <v>0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4">
        <v>0.00577586125251086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2">
        <v>0</v>
      </c>
    </row>
    <row r="127" ht="14" spans="1:41">
      <c r="A127" s="27" t="s">
        <v>82</v>
      </c>
      <c r="B127" s="2">
        <v>0</v>
      </c>
      <c r="C127" s="2">
        <v>0</v>
      </c>
      <c r="D127" s="2">
        <v>0</v>
      </c>
      <c r="E127" s="2">
        <v>0</v>
      </c>
      <c r="F127" s="2">
        <v>0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4">
        <v>0.00243820747274962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2">
        <v>0</v>
      </c>
    </row>
    <row r="128" ht="14" spans="1:41">
      <c r="A128" s="27" t="s">
        <v>89</v>
      </c>
      <c r="B128" s="2">
        <v>0</v>
      </c>
      <c r="C128" s="2">
        <v>0</v>
      </c>
      <c r="D128" s="2">
        <v>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4">
        <v>0.0097318269862282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2">
        <v>0</v>
      </c>
    </row>
    <row r="129" ht="14" spans="1:41">
      <c r="A129" s="27" t="s">
        <v>97</v>
      </c>
      <c r="B129" s="2">
        <v>0</v>
      </c>
      <c r="C129" s="2">
        <v>0</v>
      </c>
      <c r="D129" s="2">
        <v>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4">
        <v>0.015639900734641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2">
        <v>0</v>
      </c>
    </row>
    <row r="130" ht="14" spans="1:41">
      <c r="A130" s="27" t="s">
        <v>101</v>
      </c>
      <c r="B130" s="2">
        <v>0</v>
      </c>
      <c r="C130" s="2">
        <v>0</v>
      </c>
      <c r="D130" s="2">
        <v>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4">
        <v>0.00917726875312055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2">
        <v>0</v>
      </c>
    </row>
    <row r="131" ht="14" spans="1:41">
      <c r="A131" s="27" t="s">
        <v>107</v>
      </c>
      <c r="B131" s="2">
        <v>0</v>
      </c>
      <c r="C131" s="2">
        <v>0</v>
      </c>
      <c r="D131" s="2">
        <v>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4">
        <v>0.0203973447557975</v>
      </c>
      <c r="AK131" s="2">
        <v>0</v>
      </c>
      <c r="AL131" s="2">
        <v>0</v>
      </c>
      <c r="AM131" s="2">
        <v>0</v>
      </c>
      <c r="AN131" s="2">
        <v>0</v>
      </c>
      <c r="AO131" s="2">
        <v>0</v>
      </c>
    </row>
    <row r="132" ht="14" spans="1:41">
      <c r="A132" s="27" t="s">
        <v>110</v>
      </c>
      <c r="B132" s="2">
        <v>0</v>
      </c>
      <c r="C132" s="2">
        <v>0</v>
      </c>
      <c r="D132" s="2">
        <v>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4">
        <v>0.00688201182347131</v>
      </c>
      <c r="AL132" s="2">
        <v>0</v>
      </c>
      <c r="AM132" s="2">
        <v>0</v>
      </c>
      <c r="AN132" s="2">
        <v>0</v>
      </c>
      <c r="AO132" s="2">
        <v>0</v>
      </c>
    </row>
    <row r="133" ht="14" spans="1:41">
      <c r="A133" s="27" t="s">
        <v>114</v>
      </c>
      <c r="B133" s="2">
        <v>0</v>
      </c>
      <c r="C133" s="2">
        <v>0</v>
      </c>
      <c r="D133" s="2">
        <v>0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4">
        <v>0.00629236004747473</v>
      </c>
      <c r="AM133" s="2">
        <v>0</v>
      </c>
      <c r="AN133" s="2">
        <v>0</v>
      </c>
      <c r="AO133" s="2">
        <v>0</v>
      </c>
    </row>
    <row r="134" ht="14" spans="1:41">
      <c r="A134" s="27" t="s">
        <v>127</v>
      </c>
      <c r="B134" s="2">
        <v>0</v>
      </c>
      <c r="C134" s="2">
        <v>0</v>
      </c>
      <c r="D134" s="2">
        <v>0</v>
      </c>
      <c r="E134" s="2">
        <v>0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0</v>
      </c>
      <c r="W134" s="2">
        <v>0</v>
      </c>
      <c r="X134" s="2">
        <v>0</v>
      </c>
      <c r="Y134" s="2">
        <v>0</v>
      </c>
      <c r="Z134" s="2">
        <v>0</v>
      </c>
      <c r="AA134" s="2">
        <v>0</v>
      </c>
      <c r="AB134" s="2">
        <v>0</v>
      </c>
      <c r="AC134" s="2">
        <v>0</v>
      </c>
      <c r="AD134" s="2">
        <v>0</v>
      </c>
      <c r="AE134" s="2">
        <v>0</v>
      </c>
      <c r="AF134" s="2">
        <v>0</v>
      </c>
      <c r="AG134" s="2">
        <v>0</v>
      </c>
      <c r="AH134" s="2">
        <v>0</v>
      </c>
      <c r="AI134" s="2">
        <v>0</v>
      </c>
      <c r="AJ134" s="2">
        <v>0</v>
      </c>
      <c r="AK134" s="2">
        <v>0</v>
      </c>
      <c r="AL134" s="2">
        <v>0</v>
      </c>
      <c r="AM134" s="4">
        <v>0.0288543441698788</v>
      </c>
      <c r="AN134" s="2">
        <v>0</v>
      </c>
      <c r="AO134" s="2">
        <v>0</v>
      </c>
    </row>
    <row r="135" ht="14" spans="1:41">
      <c r="A135" s="27" t="s">
        <v>128</v>
      </c>
      <c r="B135" s="2">
        <v>0</v>
      </c>
      <c r="C135" s="2">
        <v>0</v>
      </c>
      <c r="D135" s="2">
        <v>0</v>
      </c>
      <c r="E135" s="2">
        <v>0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4">
        <v>0.00560074218683889</v>
      </c>
      <c r="AO135" s="2">
        <v>0</v>
      </c>
    </row>
    <row r="136" ht="14" spans="1:41">
      <c r="A136" s="27" t="s">
        <v>130</v>
      </c>
      <c r="B136" s="2">
        <v>0</v>
      </c>
      <c r="C136" s="2">
        <v>0</v>
      </c>
      <c r="D136" s="2">
        <v>0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0</v>
      </c>
      <c r="AI136" s="2">
        <v>0</v>
      </c>
      <c r="AJ136" s="2">
        <v>0</v>
      </c>
      <c r="AK136" s="2">
        <v>0</v>
      </c>
      <c r="AL136" s="2">
        <v>0</v>
      </c>
      <c r="AM136" s="2">
        <v>0</v>
      </c>
      <c r="AN136" s="2">
        <v>0</v>
      </c>
      <c r="AO136" s="4">
        <v>0.00963337352595042</v>
      </c>
    </row>
  </sheetData>
  <conditionalFormatting sqref="B7:AO7">
    <cfRule type="duplicateValues" dxfId="0" priority="2"/>
    <cfRule type="duplicateValues" dxfId="0" priority="1"/>
    <cfRule type="duplicateValues" dxfId="0" priority="3"/>
  </conditionalFormatting>
  <conditionalFormatting sqref="B51:AO51">
    <cfRule type="duplicateValues" dxfId="0" priority="14"/>
    <cfRule type="duplicateValues" dxfId="0" priority="13"/>
    <cfRule type="duplicateValues" dxfId="0" priority="15"/>
  </conditionalFormatting>
  <conditionalFormatting sqref="B96:AO96">
    <cfRule type="duplicateValues" dxfId="0" priority="8"/>
    <cfRule type="duplicateValues" dxfId="0" priority="7"/>
    <cfRule type="duplicateValues" dxfId="0" priority="9"/>
  </conditionalFormatting>
  <conditionalFormatting sqref="A8:A47">
    <cfRule type="duplicateValues" dxfId="0" priority="5"/>
    <cfRule type="duplicateValues" dxfId="0" priority="4"/>
    <cfRule type="duplicateValues" dxfId="0" priority="6"/>
  </conditionalFormatting>
  <conditionalFormatting sqref="A52:A93">
    <cfRule type="duplicateValues" dxfId="0" priority="17"/>
    <cfRule type="duplicateValues" dxfId="0" priority="16"/>
    <cfRule type="duplicateValues" dxfId="0" priority="18"/>
  </conditionalFormatting>
  <conditionalFormatting sqref="A97:A136">
    <cfRule type="duplicateValues" dxfId="0" priority="11"/>
    <cfRule type="duplicateValues" dxfId="0" priority="10"/>
    <cfRule type="duplicateValues" dxfId="0" priority="12"/>
  </conditionalFormatting>
  <pageMargins left="0.699305555555556" right="0.699305555555556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2:AQ94"/>
  <sheetViews>
    <sheetView zoomScale="75" zoomScaleNormal="75" topLeftCell="A76" workbookViewId="0">
      <selection activeCell="F74" sqref="F74"/>
    </sheetView>
  </sheetViews>
  <sheetFormatPr defaultColWidth="11" defaultRowHeight="13.2"/>
  <cols>
    <col min="2" max="2" width="12.6640625" customWidth="1"/>
  </cols>
  <sheetData>
    <row r="2" ht="16.4" spans="1:1">
      <c r="A2" s="21" t="s">
        <v>149</v>
      </c>
    </row>
    <row r="3" ht="14" spans="2:43">
      <c r="B3" s="22" t="s">
        <v>2</v>
      </c>
      <c r="C3" s="22" t="s">
        <v>6</v>
      </c>
      <c r="D3" s="22" t="s">
        <v>4</v>
      </c>
      <c r="E3" s="22" t="s">
        <v>5</v>
      </c>
      <c r="F3" s="22" t="s">
        <v>7</v>
      </c>
      <c r="G3" s="22" t="s">
        <v>9</v>
      </c>
      <c r="H3" s="22" t="s">
        <v>10</v>
      </c>
      <c r="I3" s="22" t="s">
        <v>11</v>
      </c>
      <c r="J3" s="22" t="s">
        <v>16</v>
      </c>
      <c r="K3" s="22" t="s">
        <v>17</v>
      </c>
      <c r="L3" s="22" t="s">
        <v>19</v>
      </c>
      <c r="M3" s="22" t="s">
        <v>28</v>
      </c>
      <c r="N3" s="22" t="s">
        <v>30</v>
      </c>
      <c r="O3" s="22" t="s">
        <v>32</v>
      </c>
      <c r="P3" s="22" t="s">
        <v>34</v>
      </c>
      <c r="Q3" s="22" t="s">
        <v>37</v>
      </c>
      <c r="R3" s="22" t="s">
        <v>39</v>
      </c>
      <c r="S3" s="22" t="s">
        <v>40</v>
      </c>
      <c r="T3" s="22" t="s">
        <v>41</v>
      </c>
      <c r="U3" s="22" t="s">
        <v>44</v>
      </c>
      <c r="V3" s="22" t="s">
        <v>49</v>
      </c>
      <c r="W3" s="22" t="s">
        <v>53</v>
      </c>
      <c r="X3" s="22" t="s">
        <v>57</v>
      </c>
      <c r="Y3" s="22" t="s">
        <v>61</v>
      </c>
      <c r="Z3" s="22" t="s">
        <v>63</v>
      </c>
      <c r="AA3" s="22" t="s">
        <v>66</v>
      </c>
      <c r="AB3" s="22" t="s">
        <v>74</v>
      </c>
      <c r="AC3" s="22" t="s">
        <v>75</v>
      </c>
      <c r="AD3" s="22" t="s">
        <v>78</v>
      </c>
      <c r="AE3" s="22" t="s">
        <v>81</v>
      </c>
      <c r="AF3" s="22" t="s">
        <v>82</v>
      </c>
      <c r="AG3" s="22" t="s">
        <v>89</v>
      </c>
      <c r="AH3" s="22" t="s">
        <v>97</v>
      </c>
      <c r="AI3" s="22" t="s">
        <v>101</v>
      </c>
      <c r="AJ3" s="22" t="s">
        <v>107</v>
      </c>
      <c r="AK3" s="22" t="s">
        <v>110</v>
      </c>
      <c r="AL3" s="22" t="s">
        <v>114</v>
      </c>
      <c r="AM3" s="22" t="s">
        <v>127</v>
      </c>
      <c r="AN3" s="22" t="s">
        <v>128</v>
      </c>
      <c r="AO3" s="22" t="s">
        <v>130</v>
      </c>
      <c r="AQ3" s="22" t="s">
        <v>150</v>
      </c>
    </row>
    <row r="4" ht="14" spans="1:43">
      <c r="A4" s="22" t="s">
        <v>2</v>
      </c>
      <c r="B4" s="4">
        <v>0.00239956142449895</v>
      </c>
      <c r="C4" s="4">
        <v>0.000500193142305293</v>
      </c>
      <c r="D4" s="4">
        <v>0.000781279222909461</v>
      </c>
      <c r="E4" s="4">
        <v>0.000321760777985712</v>
      </c>
      <c r="F4" s="4">
        <v>0.000791428501486469</v>
      </c>
      <c r="G4" s="4">
        <v>0.000696167685954485</v>
      </c>
      <c r="H4" s="4">
        <v>0.000887622815980927</v>
      </c>
      <c r="I4" s="4">
        <v>0.000426362829534417</v>
      </c>
      <c r="J4" s="4">
        <v>0.000704370785419226</v>
      </c>
      <c r="K4" s="4">
        <v>0.000699318846586562</v>
      </c>
      <c r="L4" s="4">
        <v>0.000293066568143092</v>
      </c>
      <c r="M4" s="4">
        <v>2.38004076468422e-5</v>
      </c>
      <c r="N4" s="4">
        <v>0.000629619646500419</v>
      </c>
      <c r="O4" s="4">
        <v>0.000714304927482324</v>
      </c>
      <c r="P4" s="4">
        <v>0.000762292195432631</v>
      </c>
      <c r="Q4" s="4">
        <v>0.00143195812779218</v>
      </c>
      <c r="R4" s="4">
        <v>0.000719170999529596</v>
      </c>
      <c r="S4" s="4">
        <v>0.000670336869852488</v>
      </c>
      <c r="T4" s="4">
        <v>0.000684739231465199</v>
      </c>
      <c r="U4" s="4">
        <v>0.00129120775258408</v>
      </c>
      <c r="V4" s="4">
        <v>0.000579028394606244</v>
      </c>
      <c r="W4" s="4">
        <v>0.000371040162008126</v>
      </c>
      <c r="X4" s="4">
        <v>0.000451622363663848</v>
      </c>
      <c r="Y4" s="4">
        <v>0.000489537496390773</v>
      </c>
      <c r="Z4" s="4">
        <v>0.000622928190809138</v>
      </c>
      <c r="AA4" s="4">
        <v>0.000584609283580302</v>
      </c>
      <c r="AB4" s="4">
        <v>0.000307682911214181</v>
      </c>
      <c r="AC4" s="4">
        <v>0.00101719711836607</v>
      </c>
      <c r="AD4" s="4">
        <v>0.000461306371791634</v>
      </c>
      <c r="AE4" s="4">
        <v>0.000982900256933837</v>
      </c>
      <c r="AF4" s="4">
        <v>0.000494524142610144</v>
      </c>
      <c r="AG4" s="4">
        <v>0.000955522918569703</v>
      </c>
      <c r="AH4" s="4">
        <v>0.00109832038463812</v>
      </c>
      <c r="AI4" s="4">
        <v>0.000924014278809204</v>
      </c>
      <c r="AJ4" s="4">
        <v>0.000301738776349225</v>
      </c>
      <c r="AK4" s="4">
        <v>0.000622542569465842</v>
      </c>
      <c r="AL4" s="4">
        <v>0.000820561187910153</v>
      </c>
      <c r="AM4" s="4">
        <v>0.0014659261072411</v>
      </c>
      <c r="AN4" s="4">
        <v>0.00055150116604192</v>
      </c>
      <c r="AO4" s="4">
        <v>0.000642595193675745</v>
      </c>
      <c r="AQ4" s="9">
        <v>0.0086992847015605</v>
      </c>
    </row>
    <row r="5" ht="14" spans="1:43">
      <c r="A5" s="22" t="s">
        <v>6</v>
      </c>
      <c r="B5" s="4">
        <v>0.000500193142305293</v>
      </c>
      <c r="C5" s="4">
        <v>0.00252399390893863</v>
      </c>
      <c r="D5" s="4">
        <v>0.000607341668581229</v>
      </c>
      <c r="E5" s="4">
        <v>0.000188584273404401</v>
      </c>
      <c r="F5" s="4">
        <v>0.000959223318550871</v>
      </c>
      <c r="G5" s="4">
        <v>0.000595073792246664</v>
      </c>
      <c r="H5" s="4">
        <v>0.000758243456881427</v>
      </c>
      <c r="I5" s="4">
        <v>0.000282561620018637</v>
      </c>
      <c r="J5" s="4">
        <v>0.000471186459369637</v>
      </c>
      <c r="K5" s="4">
        <v>0.00093433790555954</v>
      </c>
      <c r="L5" s="4">
        <v>0.000319840106902747</v>
      </c>
      <c r="M5" s="4">
        <v>0.000311996497363466</v>
      </c>
      <c r="N5" s="4">
        <v>0.000234305722188639</v>
      </c>
      <c r="O5" s="4">
        <v>0.000256363896025517</v>
      </c>
      <c r="P5" s="4">
        <v>0.000294499889306039</v>
      </c>
      <c r="Q5" s="4">
        <v>0.000946860334206112</v>
      </c>
      <c r="R5" s="4">
        <v>0.000154094859801697</v>
      </c>
      <c r="S5" s="4">
        <v>0.00012955837479867</v>
      </c>
      <c r="T5" s="4">
        <v>0.000198040507330278</v>
      </c>
      <c r="U5" s="4">
        <v>0.00135378667347895</v>
      </c>
      <c r="V5" s="4">
        <v>0.000371663252519489</v>
      </c>
      <c r="W5" s="4">
        <v>0.00018469023515439</v>
      </c>
      <c r="X5" s="4">
        <v>-7.75348085743701e-6</v>
      </c>
      <c r="Y5" s="4">
        <v>7.41250003465041e-5</v>
      </c>
      <c r="Z5" s="4">
        <v>0.000382501947784423</v>
      </c>
      <c r="AA5" s="4">
        <v>0.000390975087618902</v>
      </c>
      <c r="AB5" s="4">
        <v>0.000363388710110389</v>
      </c>
      <c r="AC5" s="4">
        <v>-0.000243584347585836</v>
      </c>
      <c r="AD5" s="4">
        <v>0.000534646242596457</v>
      </c>
      <c r="AE5" s="4">
        <v>0.000478913602764056</v>
      </c>
      <c r="AF5" s="4">
        <v>0.000553566998891673</v>
      </c>
      <c r="AG5" s="4">
        <v>0.000121380851731909</v>
      </c>
      <c r="AH5" s="4">
        <v>0.000514398833900236</v>
      </c>
      <c r="AI5" s="4">
        <v>0.000552531752809942</v>
      </c>
      <c r="AJ5" s="4">
        <v>0.000218660568717075</v>
      </c>
      <c r="AK5" s="4">
        <v>0.000360429298766426</v>
      </c>
      <c r="AL5" s="4">
        <v>0.00063085805069389</v>
      </c>
      <c r="AM5" s="4">
        <v>0.000949674938617444</v>
      </c>
      <c r="AN5" s="4">
        <v>0.000261134482716925</v>
      </c>
      <c r="AO5" s="4">
        <v>5.67928386070292e-5</v>
      </c>
      <c r="AQ5" s="9">
        <v>0.00681591475478035</v>
      </c>
    </row>
    <row r="6" ht="14" spans="1:43">
      <c r="A6" s="22" t="s">
        <v>4</v>
      </c>
      <c r="B6" s="4">
        <v>0.000781279222909461</v>
      </c>
      <c r="C6" s="4">
        <v>0.000607341668581229</v>
      </c>
      <c r="D6" s="4">
        <v>0.00481728628300211</v>
      </c>
      <c r="E6" s="4">
        <v>0.000386309850597176</v>
      </c>
      <c r="F6" s="4">
        <v>0.0008990175100807</v>
      </c>
      <c r="G6" s="4">
        <v>0.000330598005344314</v>
      </c>
      <c r="H6" s="4">
        <v>0.00139688804838188</v>
      </c>
      <c r="I6" s="4">
        <v>0.000223512180511715</v>
      </c>
      <c r="J6" s="4">
        <v>0.000286129048463354</v>
      </c>
      <c r="K6" s="4">
        <v>0.000836522495419977</v>
      </c>
      <c r="L6" s="4">
        <v>0.000463657145711025</v>
      </c>
      <c r="M6" s="4">
        <v>0.000344925750117735</v>
      </c>
      <c r="N6" s="4">
        <v>0.000497519336467171</v>
      </c>
      <c r="O6" s="4">
        <v>0.0001365916129094</v>
      </c>
      <c r="P6" s="4">
        <v>0.000568278088737047</v>
      </c>
      <c r="Q6" s="4">
        <v>0.00118129668395363</v>
      </c>
      <c r="R6" s="4">
        <v>2.20596067621599e-5</v>
      </c>
      <c r="S6" s="4">
        <v>0.000814840649782906</v>
      </c>
      <c r="T6" s="4">
        <v>0.000358252363626352</v>
      </c>
      <c r="U6" s="4">
        <v>0.00132653619270325</v>
      </c>
      <c r="V6" s="4">
        <v>0.000321247706992776</v>
      </c>
      <c r="W6" s="4">
        <v>6.34239739396209e-5</v>
      </c>
      <c r="X6" s="4">
        <v>-5.37577459287322e-5</v>
      </c>
      <c r="Y6" s="4">
        <v>0.000597472602985498</v>
      </c>
      <c r="Z6" s="4">
        <v>-8.36601142131239e-5</v>
      </c>
      <c r="AA6" s="4">
        <v>0.000458038526177303</v>
      </c>
      <c r="AB6" s="4">
        <v>-9.69776285094876e-5</v>
      </c>
      <c r="AC6" s="4">
        <v>-0.000870220440962871</v>
      </c>
      <c r="AD6" s="4">
        <v>8.99296328467536e-5</v>
      </c>
      <c r="AE6" s="4">
        <v>0.00024277151013055</v>
      </c>
      <c r="AF6" s="4">
        <v>0.000103168370131377</v>
      </c>
      <c r="AG6" s="4">
        <v>5.01477457873393e-5</v>
      </c>
      <c r="AH6" s="4">
        <v>0.000845843968518906</v>
      </c>
      <c r="AI6" s="4">
        <v>-0.000288865346265018</v>
      </c>
      <c r="AJ6" s="4">
        <v>2.26650351140686e-5</v>
      </c>
      <c r="AK6" s="4">
        <v>0.000213579521090633</v>
      </c>
      <c r="AL6" s="4">
        <v>0.000506549648915891</v>
      </c>
      <c r="AM6" s="4">
        <v>0.000935239019732679</v>
      </c>
      <c r="AN6" s="4">
        <v>-0.000209870312031423</v>
      </c>
      <c r="AO6" s="4">
        <v>2.44730406749088e-5</v>
      </c>
      <c r="AQ6" s="9">
        <v>0.023228877988978</v>
      </c>
    </row>
    <row r="7" ht="14" spans="1:43">
      <c r="A7" s="22" t="s">
        <v>5</v>
      </c>
      <c r="B7" s="4">
        <v>0.000321760777985712</v>
      </c>
      <c r="C7" s="4">
        <v>0.000188584273404401</v>
      </c>
      <c r="D7" s="4">
        <v>0.000386309850597176</v>
      </c>
      <c r="E7" s="4">
        <v>0.00701239700500198</v>
      </c>
      <c r="F7" s="4">
        <v>0.000748832879604114</v>
      </c>
      <c r="G7" s="4">
        <v>0.000275323118701291</v>
      </c>
      <c r="H7" s="4">
        <v>0.00148397654439462</v>
      </c>
      <c r="I7" s="4">
        <v>0.000262788059526224</v>
      </c>
      <c r="J7" s="4">
        <v>0.000857921889343064</v>
      </c>
      <c r="K7" s="4">
        <v>0.00148692147722163</v>
      </c>
      <c r="L7" s="4">
        <v>0.000481924218466798</v>
      </c>
      <c r="M7" s="4">
        <v>0.00100271941924833</v>
      </c>
      <c r="N7" s="4">
        <v>0.000661177042496116</v>
      </c>
      <c r="O7" s="4">
        <v>0.000642159035771398</v>
      </c>
      <c r="P7" s="4">
        <v>0.00081887667424419</v>
      </c>
      <c r="Q7" s="4">
        <v>-0.000478904542436569</v>
      </c>
      <c r="R7" s="4">
        <v>0.00131888130712497</v>
      </c>
      <c r="S7" s="4">
        <v>0.000530642896110437</v>
      </c>
      <c r="T7" s="4">
        <v>0.000775401486070887</v>
      </c>
      <c r="U7" s="4">
        <v>0.00218279117140271</v>
      </c>
      <c r="V7" s="4">
        <v>0.000480017868221678</v>
      </c>
      <c r="W7" s="4">
        <v>0.000389630363903552</v>
      </c>
      <c r="X7" s="4">
        <v>0.000967254704107026</v>
      </c>
      <c r="Y7" s="4">
        <v>0.00182090055627504</v>
      </c>
      <c r="Z7" s="4">
        <v>2.90931635696802e-5</v>
      </c>
      <c r="AA7" s="4">
        <v>0.000830402405152275</v>
      </c>
      <c r="AB7" s="4">
        <v>0.000995352996116536</v>
      </c>
      <c r="AC7" s="4">
        <v>0.0015568361992854</v>
      </c>
      <c r="AD7" s="4">
        <v>-0.000220087813620979</v>
      </c>
      <c r="AE7" s="4">
        <v>8.36025479824708e-5</v>
      </c>
      <c r="AF7" s="4">
        <v>1.7105874773921e-5</v>
      </c>
      <c r="AG7" s="4">
        <v>0.00023848202469557</v>
      </c>
      <c r="AH7" s="4">
        <v>0.000827873203286339</v>
      </c>
      <c r="AI7" s="4">
        <v>0.0010246461627747</v>
      </c>
      <c r="AJ7" s="4">
        <v>0.00182703239185921</v>
      </c>
      <c r="AK7" s="4">
        <v>0.000620557117230763</v>
      </c>
      <c r="AL7" s="4">
        <v>0.00121022706028343</v>
      </c>
      <c r="AM7" s="4">
        <v>0.00136839813154106</v>
      </c>
      <c r="AN7" s="4">
        <v>0.000457059037032836</v>
      </c>
      <c r="AO7" s="4">
        <v>0.000371221000912044</v>
      </c>
      <c r="AQ7" s="9">
        <v>0.0136393822217312</v>
      </c>
    </row>
    <row r="8" ht="14" spans="1:43">
      <c r="A8" s="22" t="s">
        <v>7</v>
      </c>
      <c r="B8" s="4">
        <v>0.000791428501486469</v>
      </c>
      <c r="C8" s="4">
        <v>0.000959223318550871</v>
      </c>
      <c r="D8" s="4">
        <v>0.0008990175100807</v>
      </c>
      <c r="E8" s="4">
        <v>0.000748832879604114</v>
      </c>
      <c r="F8" s="4">
        <v>0.00423305199538967</v>
      </c>
      <c r="G8" s="4">
        <v>0.00085421898858021</v>
      </c>
      <c r="H8" s="4">
        <v>0.00115523775107775</v>
      </c>
      <c r="I8" s="4">
        <v>0.00032261367712786</v>
      </c>
      <c r="J8" s="4">
        <v>0.000901176313639351</v>
      </c>
      <c r="K8" s="4">
        <v>0.00125452898762915</v>
      </c>
      <c r="L8" s="4">
        <v>0.000596250152335189</v>
      </c>
      <c r="M8" s="4">
        <v>0.000504101730819977</v>
      </c>
      <c r="N8" s="4">
        <v>0.000521606477929411</v>
      </c>
      <c r="O8" s="4">
        <v>0.000590332916676164</v>
      </c>
      <c r="P8" s="4">
        <v>0.000477033201019795</v>
      </c>
      <c r="Q8" s="4">
        <v>0.00124644224822624</v>
      </c>
      <c r="R8" s="4">
        <v>0.000566044752882555</v>
      </c>
      <c r="S8" s="4">
        <v>0.000503919709311846</v>
      </c>
      <c r="T8" s="4">
        <v>0.000747623307102557</v>
      </c>
      <c r="U8" s="4">
        <v>0.00234731473821075</v>
      </c>
      <c r="V8" s="4">
        <v>0.000280716927016705</v>
      </c>
      <c r="W8" s="4">
        <v>0.00010255806078895</v>
      </c>
      <c r="X8" s="4">
        <v>0.000227223321915564</v>
      </c>
      <c r="Y8" s="4">
        <v>0.000277015162083766</v>
      </c>
      <c r="Z8" s="4">
        <v>0.000268980514448667</v>
      </c>
      <c r="AA8" s="4">
        <v>0.000680120803811835</v>
      </c>
      <c r="AB8" s="4">
        <v>0.00051408484613695</v>
      </c>
      <c r="AC8" s="4">
        <v>-0.000576990242842221</v>
      </c>
      <c r="AD8" s="4">
        <v>0.000452519838894817</v>
      </c>
      <c r="AE8" s="4">
        <v>0.000384234041914794</v>
      </c>
      <c r="AF8" s="4">
        <v>0.000498315759975197</v>
      </c>
      <c r="AG8" s="4">
        <v>0.000618508783028003</v>
      </c>
      <c r="AH8" s="4">
        <v>0.00121741197861861</v>
      </c>
      <c r="AI8" s="4">
        <v>0.00096255063406793</v>
      </c>
      <c r="AJ8" s="4">
        <v>0.00134825317438246</v>
      </c>
      <c r="AK8" s="4">
        <v>0.000672479944892789</v>
      </c>
      <c r="AL8" s="4">
        <v>0.000875382721192286</v>
      </c>
      <c r="AM8" s="4">
        <v>0.00135287456626763</v>
      </c>
      <c r="AN8" s="4">
        <v>0.00031625956894584</v>
      </c>
      <c r="AO8" s="4">
        <v>9.32319228588942e-5</v>
      </c>
      <c r="AQ8" s="9">
        <v>0.00917210507655319</v>
      </c>
    </row>
    <row r="9" ht="14" spans="1:43">
      <c r="A9" s="22" t="s">
        <v>9</v>
      </c>
      <c r="B9" s="4">
        <v>0.000696167685954485</v>
      </c>
      <c r="C9" s="4">
        <v>0.000595073792246664</v>
      </c>
      <c r="D9" s="4">
        <v>0.000330598005344314</v>
      </c>
      <c r="E9" s="4">
        <v>0.000275323118701291</v>
      </c>
      <c r="F9" s="4">
        <v>0.00085421898858021</v>
      </c>
      <c r="G9" s="4">
        <v>0.00329028812457952</v>
      </c>
      <c r="H9" s="4">
        <v>0.00127627494199325</v>
      </c>
      <c r="I9" s="4">
        <v>0.000963872204926744</v>
      </c>
      <c r="J9" s="4">
        <v>0.000652344419844244</v>
      </c>
      <c r="K9" s="4">
        <v>0.000696900632731725</v>
      </c>
      <c r="L9" s="4">
        <v>0.000598327388077098</v>
      </c>
      <c r="M9" s="4">
        <v>0.000468039441489726</v>
      </c>
      <c r="N9" s="4">
        <v>0.000713652188403223</v>
      </c>
      <c r="O9" s="4">
        <v>0.000608664093491536</v>
      </c>
      <c r="P9" s="4">
        <v>0.000247706681562576</v>
      </c>
      <c r="Q9" s="4">
        <v>0.00111866507023188</v>
      </c>
      <c r="R9" s="4">
        <v>0.00116621516787966</v>
      </c>
      <c r="S9" s="4">
        <v>1.45322259365803e-5</v>
      </c>
      <c r="T9" s="4">
        <v>0.000550758456304003</v>
      </c>
      <c r="U9" s="4">
        <v>0.00184790682290392</v>
      </c>
      <c r="V9" s="4">
        <v>0.00110772636029758</v>
      </c>
      <c r="W9" s="4">
        <v>0.00100462670961975</v>
      </c>
      <c r="X9" s="4">
        <v>0.000118945102045311</v>
      </c>
      <c r="Y9" s="4">
        <v>0.000698082040696316</v>
      </c>
      <c r="Z9" s="4">
        <v>0.000520328057454627</v>
      </c>
      <c r="AA9" s="4">
        <v>0.000427442461162156</v>
      </c>
      <c r="AB9" s="4">
        <v>0.00061204910410547</v>
      </c>
      <c r="AC9" s="4">
        <v>0.000394308952203411</v>
      </c>
      <c r="AD9" s="4">
        <v>0.000338744597982961</v>
      </c>
      <c r="AE9" s="4">
        <v>0.00067364753430273</v>
      </c>
      <c r="AF9" s="4">
        <v>0.000536250658562703</v>
      </c>
      <c r="AG9" s="4">
        <v>0.000684602212479424</v>
      </c>
      <c r="AH9" s="4">
        <v>0.00107547317527318</v>
      </c>
      <c r="AI9" s="4">
        <v>0.0010042099258483</v>
      </c>
      <c r="AJ9" s="4">
        <v>0.000576506947432706</v>
      </c>
      <c r="AK9" s="4">
        <v>0.000300558362255168</v>
      </c>
      <c r="AL9" s="4">
        <v>0.000531735777238177</v>
      </c>
      <c r="AM9" s="4">
        <v>0.00119912631252331</v>
      </c>
      <c r="AN9" s="4">
        <v>0.000621112980936915</v>
      </c>
      <c r="AO9" s="4">
        <v>0.000647840787222945</v>
      </c>
      <c r="AQ9" s="9">
        <v>0.0244672329683616</v>
      </c>
    </row>
    <row r="10" ht="14" spans="1:43">
      <c r="A10" s="22" t="s">
        <v>10</v>
      </c>
      <c r="B10" s="4">
        <v>0.000887622815980927</v>
      </c>
      <c r="C10" s="4">
        <v>0.000758243456881427</v>
      </c>
      <c r="D10" s="4">
        <v>0.00139688804838188</v>
      </c>
      <c r="E10" s="4">
        <v>0.00148397654439462</v>
      </c>
      <c r="F10" s="4">
        <v>0.00115523775107775</v>
      </c>
      <c r="G10" s="4">
        <v>0.00127627494199325</v>
      </c>
      <c r="H10" s="4">
        <v>0.00896408500686384</v>
      </c>
      <c r="I10" s="4">
        <v>0.0011831743912991</v>
      </c>
      <c r="J10" s="4">
        <v>0.000659046228778377</v>
      </c>
      <c r="K10" s="4">
        <v>0.00104316415579522</v>
      </c>
      <c r="L10" s="4">
        <v>0.000737421169425948</v>
      </c>
      <c r="M10" s="4">
        <v>0.000995729277713062</v>
      </c>
      <c r="N10" s="4">
        <v>0.00108405529275301</v>
      </c>
      <c r="O10" s="4">
        <v>0.000829018205853903</v>
      </c>
      <c r="P10" s="4">
        <v>0.00184389708500085</v>
      </c>
      <c r="Q10" s="4">
        <v>0.00125106421523659</v>
      </c>
      <c r="R10" s="4">
        <v>0.00127840912194702</v>
      </c>
      <c r="S10" s="4">
        <v>0.000635332211053893</v>
      </c>
      <c r="T10" s="4">
        <v>0.00114679816853539</v>
      </c>
      <c r="U10" s="4">
        <v>0.00222634448981685</v>
      </c>
      <c r="V10" s="4">
        <v>0.00105726853715244</v>
      </c>
      <c r="W10" s="4">
        <v>0.00113079016164922</v>
      </c>
      <c r="X10" s="4">
        <v>0.000715386907489103</v>
      </c>
      <c r="Y10" s="4">
        <v>0.00203650150285113</v>
      </c>
      <c r="Z10" s="4">
        <v>2.04380732962868e-5</v>
      </c>
      <c r="AA10" s="4">
        <v>0.000996063995329288</v>
      </c>
      <c r="AB10" s="4">
        <v>0.00075927542700048</v>
      </c>
      <c r="AC10" s="4">
        <v>0.000183059066145425</v>
      </c>
      <c r="AD10" s="4">
        <v>4.15734437030181e-5</v>
      </c>
      <c r="AE10" s="4">
        <v>0.00054859702970209</v>
      </c>
      <c r="AF10" s="4">
        <v>0.000270202926422614</v>
      </c>
      <c r="AG10" s="4">
        <v>0.000718452721338083</v>
      </c>
      <c r="AH10" s="4">
        <v>0.000635019219604525</v>
      </c>
      <c r="AI10" s="4">
        <v>0.000384118228551983</v>
      </c>
      <c r="AJ10" s="4">
        <v>0.00183785766919502</v>
      </c>
      <c r="AK10" s="4">
        <v>0.000410923448695239</v>
      </c>
      <c r="AL10" s="4">
        <v>0.001136980184011</v>
      </c>
      <c r="AM10" s="4">
        <v>0.000576748966711818</v>
      </c>
      <c r="AN10" s="4">
        <v>0.000704515832967639</v>
      </c>
      <c r="AO10" s="4">
        <v>0.000867231764265514</v>
      </c>
      <c r="AQ10" s="9">
        <v>0.0192067396660834</v>
      </c>
    </row>
    <row r="11" ht="14" spans="1:43">
      <c r="A11" s="22" t="s">
        <v>11</v>
      </c>
      <c r="B11" s="4">
        <v>0.000426362829534417</v>
      </c>
      <c r="C11" s="4">
        <v>0.000282561620018637</v>
      </c>
      <c r="D11" s="4">
        <v>0.000223512180511715</v>
      </c>
      <c r="E11" s="4">
        <v>0.000262788059526224</v>
      </c>
      <c r="F11" s="4">
        <v>0.00032261367712786</v>
      </c>
      <c r="G11" s="4">
        <v>0.000963872204926744</v>
      </c>
      <c r="H11" s="4">
        <v>0.0011831743912991</v>
      </c>
      <c r="I11" s="4">
        <v>0.00547335301029192</v>
      </c>
      <c r="J11" s="4">
        <v>0.000643825045039575</v>
      </c>
      <c r="K11" s="4">
        <v>0.000185721403298824</v>
      </c>
      <c r="L11" s="4">
        <v>0.000145001501480633</v>
      </c>
      <c r="M11" s="4">
        <v>0.000930686357127514</v>
      </c>
      <c r="N11" s="4">
        <v>0.000773297723830685</v>
      </c>
      <c r="O11" s="4">
        <v>0.000773800951619961</v>
      </c>
      <c r="P11" s="4">
        <v>0.000934216354646328</v>
      </c>
      <c r="Q11" s="4">
        <v>0.00036314901569159</v>
      </c>
      <c r="R11" s="4">
        <v>0.00158950764295616</v>
      </c>
      <c r="S11" s="4">
        <v>-0.000281981236610707</v>
      </c>
      <c r="T11" s="4">
        <v>0.000512535673327605</v>
      </c>
      <c r="U11" s="4">
        <v>0.00317532640655001</v>
      </c>
      <c r="V11" s="4">
        <v>0.00117037063160434</v>
      </c>
      <c r="W11" s="4">
        <v>0.00114402606678214</v>
      </c>
      <c r="X11" s="4">
        <v>0.00100072541460454</v>
      </c>
      <c r="Y11" s="4">
        <v>0.00111061096319952</v>
      </c>
      <c r="Z11" s="4">
        <v>0.000301280322235774</v>
      </c>
      <c r="AA11" s="4">
        <v>0.000843402278228066</v>
      </c>
      <c r="AB11" s="4">
        <v>0.000744783273798932</v>
      </c>
      <c r="AC11" s="4">
        <v>0.000833835501045767</v>
      </c>
      <c r="AD11" s="4">
        <v>0.000159783673037059</v>
      </c>
      <c r="AE11" s="4">
        <v>0.000858929993904079</v>
      </c>
      <c r="AF11" s="4">
        <v>0.000676149533158876</v>
      </c>
      <c r="AG11" s="4">
        <v>0.00111254755831207</v>
      </c>
      <c r="AH11" s="4">
        <v>0.000975047305850768</v>
      </c>
      <c r="AI11" s="4">
        <v>0.00106363706105429</v>
      </c>
      <c r="AJ11" s="4">
        <v>0.000715181670381336</v>
      </c>
      <c r="AK11" s="4">
        <v>0.00034871995683923</v>
      </c>
      <c r="AL11" s="4">
        <v>0.000656619179502511</v>
      </c>
      <c r="AM11" s="4">
        <v>0.000609519938220563</v>
      </c>
      <c r="AN11" s="4">
        <v>0.00134327180046997</v>
      </c>
      <c r="AO11" s="4">
        <v>0.000523549248514434</v>
      </c>
      <c r="AQ11" s="9">
        <v>0.0287080205678702</v>
      </c>
    </row>
    <row r="12" ht="14" spans="1:43">
      <c r="A12" s="22" t="s">
        <v>16</v>
      </c>
      <c r="B12" s="4">
        <v>0.000704370785419226</v>
      </c>
      <c r="C12" s="4">
        <v>0.000471186459369637</v>
      </c>
      <c r="D12" s="4">
        <v>0.000286129048463354</v>
      </c>
      <c r="E12" s="4">
        <v>0.000857921889343064</v>
      </c>
      <c r="F12" s="4">
        <v>0.000901176313639351</v>
      </c>
      <c r="G12" s="4">
        <v>0.000652344419844244</v>
      </c>
      <c r="H12" s="4">
        <v>0.000659046228778377</v>
      </c>
      <c r="I12" s="4">
        <v>0.000643825045039575</v>
      </c>
      <c r="J12" s="4">
        <v>0.00360427883994</v>
      </c>
      <c r="K12" s="4">
        <v>0.00134241687620943</v>
      </c>
      <c r="L12" s="4">
        <v>0.000447195083109481</v>
      </c>
      <c r="M12" s="4">
        <v>0.00016413159897608</v>
      </c>
      <c r="N12" s="4">
        <v>0.000491869160636452</v>
      </c>
      <c r="O12" s="4">
        <v>0.000674185514793505</v>
      </c>
      <c r="P12" s="4">
        <v>0.000729933796186669</v>
      </c>
      <c r="Q12" s="4">
        <v>0.000531789970663903</v>
      </c>
      <c r="R12" s="4">
        <v>0.000668561015118105</v>
      </c>
      <c r="S12" s="4">
        <v>0.000302634898649854</v>
      </c>
      <c r="T12" s="4">
        <v>0.000581038275958478</v>
      </c>
      <c r="U12" s="4">
        <v>0.00185753058764252</v>
      </c>
      <c r="V12" s="4">
        <v>0.000592297361741961</v>
      </c>
      <c r="W12" s="4">
        <v>0.000438621263206469</v>
      </c>
      <c r="X12" s="4">
        <v>0.000651923635244131</v>
      </c>
      <c r="Y12" s="4">
        <v>0.000170662594500716</v>
      </c>
      <c r="Z12" s="4">
        <v>0.000459696866696442</v>
      </c>
      <c r="AA12" s="4">
        <v>0.000506563360062929</v>
      </c>
      <c r="AB12" s="4">
        <v>0.000857418534846376</v>
      </c>
      <c r="AC12" s="4">
        <v>0.000948532070704216</v>
      </c>
      <c r="AD12" s="4">
        <v>0.000265913140566869</v>
      </c>
      <c r="AE12" s="4">
        <v>0.000596598410163498</v>
      </c>
      <c r="AF12" s="4">
        <v>0.000346051642654463</v>
      </c>
      <c r="AG12" s="4">
        <v>0.00152794254772309</v>
      </c>
      <c r="AH12" s="4">
        <v>0.000938927140610968</v>
      </c>
      <c r="AI12" s="4">
        <v>0.00125070359137629</v>
      </c>
      <c r="AJ12" s="4">
        <v>0.00139162541149952</v>
      </c>
      <c r="AK12" s="4">
        <v>0.000979445263138898</v>
      </c>
      <c r="AL12" s="4">
        <v>0.000931681106838538</v>
      </c>
      <c r="AM12" s="4">
        <v>0.00120517543762617</v>
      </c>
      <c r="AN12" s="4">
        <v>0.000843533225083047</v>
      </c>
      <c r="AO12" s="4">
        <v>0.000413877692992993</v>
      </c>
      <c r="AQ12" s="9">
        <v>0.0168291181697331</v>
      </c>
    </row>
    <row r="13" ht="14" spans="1:43">
      <c r="A13" s="22" t="s">
        <v>17</v>
      </c>
      <c r="B13" s="4">
        <v>0.000699318846586562</v>
      </c>
      <c r="C13" s="4">
        <v>0.00093433790555954</v>
      </c>
      <c r="D13" s="4">
        <v>0.000836522495419977</v>
      </c>
      <c r="E13" s="4">
        <v>0.00148692147722163</v>
      </c>
      <c r="F13" s="4">
        <v>0.00125452898762915</v>
      </c>
      <c r="G13" s="4">
        <v>0.000696900632731725</v>
      </c>
      <c r="H13" s="4">
        <v>0.00104316415579522</v>
      </c>
      <c r="I13" s="4">
        <v>0.000185721403298824</v>
      </c>
      <c r="J13" s="4">
        <v>0.00134241687620943</v>
      </c>
      <c r="K13" s="4">
        <v>0.00644753018893236</v>
      </c>
      <c r="L13" s="4">
        <v>0.000519143218410295</v>
      </c>
      <c r="M13" s="4">
        <v>0.000309336941752012</v>
      </c>
      <c r="N13" s="4">
        <v>0.000438023653536151</v>
      </c>
      <c r="O13" s="4">
        <v>0.000502230836741498</v>
      </c>
      <c r="P13" s="4">
        <v>0.00110242740566248</v>
      </c>
      <c r="Q13" s="4">
        <v>0.00180527464716129</v>
      </c>
      <c r="R13" s="4">
        <v>0.000396334336388624</v>
      </c>
      <c r="S13" s="4">
        <v>0.000183646385766443</v>
      </c>
      <c r="T13" s="4">
        <v>0.000423794789916377</v>
      </c>
      <c r="U13" s="4">
        <v>0.00265990186689263</v>
      </c>
      <c r="V13" s="4">
        <v>0.000319184420357697</v>
      </c>
      <c r="W13" s="4">
        <v>-9.07097175447014e-5</v>
      </c>
      <c r="X13" s="4">
        <v>0.000677989327213419</v>
      </c>
      <c r="Y13" s="4">
        <v>-0.000225651102618083</v>
      </c>
      <c r="Z13" s="4">
        <v>0.000346365398439312</v>
      </c>
      <c r="AA13" s="4">
        <v>0.000776727001384385</v>
      </c>
      <c r="AB13" s="4">
        <v>0.000778917724693269</v>
      </c>
      <c r="AC13" s="4">
        <v>0.000765961239255475</v>
      </c>
      <c r="AD13" s="4">
        <v>0.000349216897809468</v>
      </c>
      <c r="AE13" s="4">
        <v>0.000258917787659451</v>
      </c>
      <c r="AF13" s="4">
        <v>0.000506813831655009</v>
      </c>
      <c r="AG13" s="4">
        <v>0.00133134136371551</v>
      </c>
      <c r="AH13" s="4">
        <v>0.00188231597301268</v>
      </c>
      <c r="AI13" s="4">
        <v>0.00118874914089587</v>
      </c>
      <c r="AJ13" s="4">
        <v>0.00231748005907751</v>
      </c>
      <c r="AK13" s="4">
        <v>0.00136323550494103</v>
      </c>
      <c r="AL13" s="4">
        <v>0.0012507015175944</v>
      </c>
      <c r="AM13" s="4">
        <v>0.000922768778222844</v>
      </c>
      <c r="AN13" s="4">
        <v>0.000377069732855036</v>
      </c>
      <c r="AO13" s="4">
        <v>0.00111015824090179</v>
      </c>
      <c r="AQ13" s="9">
        <v>0.00407778592998405</v>
      </c>
    </row>
    <row r="14" ht="14" spans="1:43">
      <c r="A14" s="22" t="s">
        <v>19</v>
      </c>
      <c r="B14" s="4">
        <v>0.000293066568143092</v>
      </c>
      <c r="C14" s="4">
        <v>0.000319840106902747</v>
      </c>
      <c r="D14" s="4">
        <v>0.000463657145711025</v>
      </c>
      <c r="E14" s="4">
        <v>0.000481924218466798</v>
      </c>
      <c r="F14" s="4">
        <v>0.000596250152335189</v>
      </c>
      <c r="G14" s="4">
        <v>0.000598327388077098</v>
      </c>
      <c r="H14" s="4">
        <v>0.000737421169425948</v>
      </c>
      <c r="I14" s="4">
        <v>0.000145001501480633</v>
      </c>
      <c r="J14" s="4">
        <v>0.000447195083109481</v>
      </c>
      <c r="K14" s="4">
        <v>0.000519143218410295</v>
      </c>
      <c r="L14" s="4">
        <v>0.00895534391242223</v>
      </c>
      <c r="M14" s="4">
        <v>0.000456608772596534</v>
      </c>
      <c r="N14" s="4">
        <v>0.000185060421879277</v>
      </c>
      <c r="O14" s="4">
        <v>0.000208008632357003</v>
      </c>
      <c r="P14" s="4">
        <v>0.00104291949131898</v>
      </c>
      <c r="Q14" s="4">
        <v>0.000567347995828346</v>
      </c>
      <c r="R14" s="4">
        <v>0.00204893186984305</v>
      </c>
      <c r="S14" s="4">
        <v>-0.000445384541056529</v>
      </c>
      <c r="T14" s="4">
        <v>0.000149273604190705</v>
      </c>
      <c r="U14" s="4">
        <v>0.00203219379604761</v>
      </c>
      <c r="V14" s="4">
        <v>0.00105582228844738</v>
      </c>
      <c r="W14" s="4">
        <v>0.0005561599820732</v>
      </c>
      <c r="X14" s="4">
        <v>-0.000196484042654628</v>
      </c>
      <c r="Y14" s="4">
        <v>0.00158545329304913</v>
      </c>
      <c r="Z14" s="4">
        <v>-0.00058276377774269</v>
      </c>
      <c r="AA14" s="4">
        <v>0.00035167535605539</v>
      </c>
      <c r="AB14" s="4">
        <v>0.00157140439437723</v>
      </c>
      <c r="AC14" s="4">
        <v>-0.000743627548766113</v>
      </c>
      <c r="AD14" s="4">
        <v>0.000155601121107632</v>
      </c>
      <c r="AE14" s="4">
        <v>0.000696302652176032</v>
      </c>
      <c r="AF14" s="4">
        <v>8.7085606426101e-5</v>
      </c>
      <c r="AG14" s="4">
        <v>0.000324045227568549</v>
      </c>
      <c r="AH14" s="4">
        <v>0.000892613532748322</v>
      </c>
      <c r="AI14" s="4">
        <v>0.000359651005000005</v>
      </c>
      <c r="AJ14" s="4">
        <v>-0.000407320173915036</v>
      </c>
      <c r="AK14" s="4">
        <v>-0.000155972632984227</v>
      </c>
      <c r="AL14" s="4">
        <v>-0.000239033167973599</v>
      </c>
      <c r="AM14" s="4">
        <v>0.000420328283917622</v>
      </c>
      <c r="AN14" s="4">
        <v>0.000533179640298691</v>
      </c>
      <c r="AO14" s="4">
        <v>-0.00104334583692545</v>
      </c>
      <c r="AQ14" s="9">
        <v>0.0080578738688232</v>
      </c>
    </row>
    <row r="15" ht="14" spans="1:43">
      <c r="A15" s="22" t="s">
        <v>28</v>
      </c>
      <c r="B15" s="4">
        <v>2.38004076468422e-5</v>
      </c>
      <c r="C15" s="4">
        <v>0.000311996497363466</v>
      </c>
      <c r="D15" s="4">
        <v>0.000344925750117735</v>
      </c>
      <c r="E15" s="4">
        <v>0.00100271941924833</v>
      </c>
      <c r="F15" s="4">
        <v>0.000504101730819977</v>
      </c>
      <c r="G15" s="4">
        <v>0.000468039441489726</v>
      </c>
      <c r="H15" s="4">
        <v>0.000995729277713062</v>
      </c>
      <c r="I15" s="4">
        <v>0.000930686357127514</v>
      </c>
      <c r="J15" s="4">
        <v>0.00016413159897608</v>
      </c>
      <c r="K15" s="4">
        <v>0.000309336941752012</v>
      </c>
      <c r="L15" s="4">
        <v>0.000456608772596534</v>
      </c>
      <c r="M15" s="4">
        <v>0.00483190037396029</v>
      </c>
      <c r="N15" s="4">
        <v>0.000536970939219521</v>
      </c>
      <c r="O15" s="4">
        <v>0.000131051857269829</v>
      </c>
      <c r="P15" s="4">
        <v>0.000492018202315135</v>
      </c>
      <c r="Q15" s="4">
        <v>-0.000760703529840654</v>
      </c>
      <c r="R15" s="4">
        <v>0.000797930008432903</v>
      </c>
      <c r="S15" s="4">
        <v>-0.000201837034010265</v>
      </c>
      <c r="T15" s="4">
        <v>0.000320056957303069</v>
      </c>
      <c r="U15" s="4">
        <v>0.00130442290227348</v>
      </c>
      <c r="V15" s="4">
        <v>0.000352940616400224</v>
      </c>
      <c r="W15" s="4">
        <v>0.000408057538441077</v>
      </c>
      <c r="X15" s="4">
        <v>3.03657458169937e-5</v>
      </c>
      <c r="Y15" s="4">
        <v>0.000644166696019433</v>
      </c>
      <c r="Z15" s="4">
        <v>-2.88124882962189e-5</v>
      </c>
      <c r="AA15" s="4">
        <v>0.000405936953180328</v>
      </c>
      <c r="AB15" s="4">
        <v>0.000119787227994281</v>
      </c>
      <c r="AC15" s="4">
        <v>-0.000605003620712232</v>
      </c>
      <c r="AD15" s="4">
        <v>0.000130244702225739</v>
      </c>
      <c r="AE15" s="4">
        <v>-5.92783568930082e-5</v>
      </c>
      <c r="AF15" s="4">
        <v>0.000283251444920896</v>
      </c>
      <c r="AG15" s="4">
        <v>-0.000212044701934343</v>
      </c>
      <c r="AH15" s="4">
        <v>0.00032096341180314</v>
      </c>
      <c r="AI15" s="4">
        <v>0.000134188999042748</v>
      </c>
      <c r="AJ15" s="4">
        <v>-9.64483112416507e-5</v>
      </c>
      <c r="AK15" s="4">
        <v>6.69260588131621e-5</v>
      </c>
      <c r="AL15" s="4">
        <v>0.000227052461961902</v>
      </c>
      <c r="AM15" s="4">
        <v>0.00038399540253993</v>
      </c>
      <c r="AN15" s="4">
        <v>0.000214359034068715</v>
      </c>
      <c r="AO15" s="4">
        <v>1.96469405825999e-5</v>
      </c>
      <c r="AQ15" s="9">
        <v>0.0262216125957572</v>
      </c>
    </row>
    <row r="16" ht="14" spans="1:43">
      <c r="A16" s="22" t="s">
        <v>30</v>
      </c>
      <c r="B16" s="4">
        <v>0.000629619646500419</v>
      </c>
      <c r="C16" s="4">
        <v>0.000234305722188639</v>
      </c>
      <c r="D16" s="4">
        <v>0.000497519336467171</v>
      </c>
      <c r="E16" s="4">
        <v>0.000661177042496116</v>
      </c>
      <c r="F16" s="4">
        <v>0.000521606477929411</v>
      </c>
      <c r="G16" s="4">
        <v>0.000713652188403223</v>
      </c>
      <c r="H16" s="4">
        <v>0.00108405529275301</v>
      </c>
      <c r="I16" s="4">
        <v>0.000773297723830685</v>
      </c>
      <c r="J16" s="4">
        <v>0.000491869160636452</v>
      </c>
      <c r="K16" s="4">
        <v>0.000438023653536151</v>
      </c>
      <c r="L16" s="4">
        <v>0.000185060421879277</v>
      </c>
      <c r="M16" s="4">
        <v>0.000536970939219521</v>
      </c>
      <c r="N16" s="4">
        <v>0.00230982779563246</v>
      </c>
      <c r="O16" s="4">
        <v>0.000657108266727334</v>
      </c>
      <c r="P16" s="4">
        <v>0.0010834774593665</v>
      </c>
      <c r="Q16" s="4">
        <v>0.000772008491440078</v>
      </c>
      <c r="R16" s="4">
        <v>0.00165094698669822</v>
      </c>
      <c r="S16" s="4">
        <v>0.000707795899877639</v>
      </c>
      <c r="T16" s="4">
        <v>0.000839785351745</v>
      </c>
      <c r="U16" s="4">
        <v>0.00162089028863256</v>
      </c>
      <c r="V16" s="4">
        <v>0.000609928607744237</v>
      </c>
      <c r="W16" s="4">
        <v>0.00106632111687732</v>
      </c>
      <c r="X16" s="4">
        <v>0.000880929702493698</v>
      </c>
      <c r="Y16" s="4">
        <v>0.00117004423513197</v>
      </c>
      <c r="Z16" s="4">
        <v>0.000450440545415018</v>
      </c>
      <c r="AA16" s="4">
        <v>0.000637949548980532</v>
      </c>
      <c r="AB16" s="4">
        <v>0.000285653960348827</v>
      </c>
      <c r="AC16" s="4">
        <v>0.00054603557178188</v>
      </c>
      <c r="AD16" s="4">
        <v>0.000198582204963895</v>
      </c>
      <c r="AE16" s="4">
        <v>0.000575882590635317</v>
      </c>
      <c r="AF16" s="4">
        <v>0.000277532478359807</v>
      </c>
      <c r="AG16" s="4">
        <v>0.000638442785551423</v>
      </c>
      <c r="AH16" s="4">
        <v>0.000625940968173138</v>
      </c>
      <c r="AI16" s="4">
        <v>0.000921217408798376</v>
      </c>
      <c r="AJ16" s="4">
        <v>0.000823673903544699</v>
      </c>
      <c r="AK16" s="4">
        <v>0.000403841484402913</v>
      </c>
      <c r="AL16" s="4">
        <v>0.000673352559730194</v>
      </c>
      <c r="AM16" s="4">
        <v>0.00167759544178118</v>
      </c>
      <c r="AN16" s="4">
        <v>0.000765469587370128</v>
      </c>
      <c r="AO16" s="4">
        <v>0.000420579240380031</v>
      </c>
      <c r="AQ16" s="9">
        <v>0.0279425717940328</v>
      </c>
    </row>
    <row r="17" ht="14" spans="1:43">
      <c r="A17" s="22" t="s">
        <v>32</v>
      </c>
      <c r="B17" s="4">
        <v>0.000714304927482324</v>
      </c>
      <c r="C17" s="4">
        <v>0.000256363896025517</v>
      </c>
      <c r="D17" s="4">
        <v>0.0001365916129094</v>
      </c>
      <c r="E17" s="4">
        <v>0.000642159035771398</v>
      </c>
      <c r="F17" s="4">
        <v>0.000590332916676164</v>
      </c>
      <c r="G17" s="4">
        <v>0.000608664093491536</v>
      </c>
      <c r="H17" s="4">
        <v>0.000829018205853903</v>
      </c>
      <c r="I17" s="4">
        <v>0.000773800951619961</v>
      </c>
      <c r="J17" s="4">
        <v>0.000674185514793505</v>
      </c>
      <c r="K17" s="4">
        <v>0.000502230836741498</v>
      </c>
      <c r="L17" s="4">
        <v>0.000208008632357003</v>
      </c>
      <c r="M17" s="4">
        <v>0.000131051857269829</v>
      </c>
      <c r="N17" s="4">
        <v>0.000657108266727334</v>
      </c>
      <c r="O17" s="4">
        <v>0.00312108667113482</v>
      </c>
      <c r="P17" s="4">
        <v>0.00122877748650107</v>
      </c>
      <c r="Q17" s="4">
        <v>0.00085936645744177</v>
      </c>
      <c r="R17" s="4">
        <v>0.001218297734616</v>
      </c>
      <c r="S17" s="4">
        <v>0.000472182581034203</v>
      </c>
      <c r="T17" s="4">
        <v>0.000950237310102562</v>
      </c>
      <c r="U17" s="4">
        <v>0.00150391111377894</v>
      </c>
      <c r="V17" s="4">
        <v>0.000755743410122165</v>
      </c>
      <c r="W17" s="4">
        <v>0.000786816619924527</v>
      </c>
      <c r="X17" s="4">
        <v>0.000990388910420583</v>
      </c>
      <c r="Y17" s="4">
        <v>0.000479694469991604</v>
      </c>
      <c r="Z17" s="4">
        <v>0.000454527062890882</v>
      </c>
      <c r="AA17" s="4">
        <v>0.000855349294197226</v>
      </c>
      <c r="AB17" s="4">
        <v>0.000526726344791878</v>
      </c>
      <c r="AC17" s="4">
        <v>0.00128796710331801</v>
      </c>
      <c r="AD17" s="4">
        <v>0.000284100626383126</v>
      </c>
      <c r="AE17" s="4">
        <v>0.00102754049872219</v>
      </c>
      <c r="AF17" s="4">
        <v>0.000250967271137991</v>
      </c>
      <c r="AG17" s="4">
        <v>0.000901356199425229</v>
      </c>
      <c r="AH17" s="4">
        <v>0.000691347854605719</v>
      </c>
      <c r="AI17" s="4">
        <v>0.00124446589937378</v>
      </c>
      <c r="AJ17" s="4">
        <v>0.00127288313205625</v>
      </c>
      <c r="AK17" s="4">
        <v>0.000848150544118072</v>
      </c>
      <c r="AL17" s="4">
        <v>0.000583672669890453</v>
      </c>
      <c r="AM17" s="4">
        <v>0.000661663527431784</v>
      </c>
      <c r="AN17" s="4">
        <v>0.000989682545194395</v>
      </c>
      <c r="AO17" s="4">
        <v>0.000329108877371951</v>
      </c>
      <c r="AQ17" s="9">
        <v>0.0146864203047138</v>
      </c>
    </row>
    <row r="18" ht="14" spans="1:43">
      <c r="A18" s="22" t="s">
        <v>34</v>
      </c>
      <c r="B18" s="4">
        <v>0.000762292195432631</v>
      </c>
      <c r="C18" s="4">
        <v>0.000294499889306039</v>
      </c>
      <c r="D18" s="4">
        <v>0.000568278088737047</v>
      </c>
      <c r="E18" s="4">
        <v>0.00081887667424419</v>
      </c>
      <c r="F18" s="4">
        <v>0.000477033201019795</v>
      </c>
      <c r="G18" s="4">
        <v>0.000247706681562576</v>
      </c>
      <c r="H18" s="4">
        <v>0.00184389708500085</v>
      </c>
      <c r="I18" s="4">
        <v>0.000934216354646328</v>
      </c>
      <c r="J18" s="4">
        <v>0.000729933796186669</v>
      </c>
      <c r="K18" s="4">
        <v>0.00110242740566248</v>
      </c>
      <c r="L18" s="4">
        <v>0.00104291949131898</v>
      </c>
      <c r="M18" s="4">
        <v>0.000492018202315135</v>
      </c>
      <c r="N18" s="4">
        <v>0.0010834774593665</v>
      </c>
      <c r="O18" s="4">
        <v>0.00122877748650107</v>
      </c>
      <c r="P18" s="4">
        <v>0.00936673367711772</v>
      </c>
      <c r="Q18" s="4">
        <v>0.00164948105823604</v>
      </c>
      <c r="R18" s="4">
        <v>0.0023689592930899</v>
      </c>
      <c r="S18" s="4">
        <v>0.00111794605460176</v>
      </c>
      <c r="T18" s="4">
        <v>0.00159815716119634</v>
      </c>
      <c r="U18" s="4">
        <v>0.002342189310913</v>
      </c>
      <c r="V18" s="4">
        <v>0.000896152466858337</v>
      </c>
      <c r="W18" s="4">
        <v>0.00159575344071423</v>
      </c>
      <c r="X18" s="4">
        <v>0.00156037472737558</v>
      </c>
      <c r="Y18" s="4">
        <v>0.0016981993357695</v>
      </c>
      <c r="Z18" s="4">
        <v>9.90900606253665e-5</v>
      </c>
      <c r="AA18" s="4">
        <v>0.0014266897681264</v>
      </c>
      <c r="AB18" s="4">
        <v>0.000729726527054466</v>
      </c>
      <c r="AC18" s="4">
        <v>0.00139904436195987</v>
      </c>
      <c r="AD18" s="4">
        <v>0.000133627927160035</v>
      </c>
      <c r="AE18" s="4">
        <v>0.00103757469081382</v>
      </c>
      <c r="AF18" s="4">
        <v>0.000242301746856337</v>
      </c>
      <c r="AG18" s="4">
        <v>0.000874319717593205</v>
      </c>
      <c r="AH18" s="4">
        <v>-0.000362171839832087</v>
      </c>
      <c r="AI18" s="4">
        <v>0.000888483969416634</v>
      </c>
      <c r="AJ18" s="4">
        <v>0.00165290890139209</v>
      </c>
      <c r="AK18" s="4">
        <v>0.00151660417401395</v>
      </c>
      <c r="AL18" s="4">
        <v>0.00066270425668288</v>
      </c>
      <c r="AM18" s="4">
        <v>0.000752003346924876</v>
      </c>
      <c r="AN18" s="4">
        <v>0.00110398593333556</v>
      </c>
      <c r="AO18" s="4">
        <v>0.000938843505194933</v>
      </c>
      <c r="AQ18" s="9">
        <v>0.0391787173695354</v>
      </c>
    </row>
    <row r="19" ht="14" spans="1:43">
      <c r="A19" s="22" t="s">
        <v>37</v>
      </c>
      <c r="B19" s="4">
        <v>0.00143195812779218</v>
      </c>
      <c r="C19" s="4">
        <v>0.000946860334206112</v>
      </c>
      <c r="D19" s="4">
        <v>0.00118129668395363</v>
      </c>
      <c r="E19" s="4">
        <v>-0.000478904542436569</v>
      </c>
      <c r="F19" s="4">
        <v>0.00124644224822624</v>
      </c>
      <c r="G19" s="4">
        <v>0.00111866507023188</v>
      </c>
      <c r="H19" s="4">
        <v>0.00125106421523659</v>
      </c>
      <c r="I19" s="4">
        <v>0.00036314901569159</v>
      </c>
      <c r="J19" s="4">
        <v>0.000531789970663903</v>
      </c>
      <c r="K19" s="4">
        <v>0.00180527464716129</v>
      </c>
      <c r="L19" s="4">
        <v>0.000567347995828346</v>
      </c>
      <c r="M19" s="4">
        <v>-0.000760703529840654</v>
      </c>
      <c r="N19" s="4">
        <v>0.000772008491440078</v>
      </c>
      <c r="O19" s="4">
        <v>0.00085936645744177</v>
      </c>
      <c r="P19" s="4">
        <v>0.00164948105823604</v>
      </c>
      <c r="Q19" s="4">
        <v>0.0179208060570502</v>
      </c>
      <c r="R19" s="4">
        <v>0.000755342417899735</v>
      </c>
      <c r="S19" s="4">
        <v>0.00103552953857642</v>
      </c>
      <c r="T19" s="4">
        <v>0.000734572741591836</v>
      </c>
      <c r="U19" s="4">
        <v>0.00153204337583682</v>
      </c>
      <c r="V19" s="4">
        <v>6.04673977143348e-5</v>
      </c>
      <c r="W19" s="4">
        <v>0.00035401221388011</v>
      </c>
      <c r="X19" s="4">
        <v>-0.000608212134715727</v>
      </c>
      <c r="Y19" s="4">
        <v>-0.00205948477080869</v>
      </c>
      <c r="Z19" s="4">
        <v>0.000236289695331702</v>
      </c>
      <c r="AA19" s="4">
        <v>0.000433290856393709</v>
      </c>
      <c r="AB19" s="4">
        <v>-0.000537013698610312</v>
      </c>
      <c r="AC19" s="4">
        <v>-0.0015528337285841</v>
      </c>
      <c r="AD19" s="4">
        <v>0.00058604537670575</v>
      </c>
      <c r="AE19" s="4">
        <v>0.000498424076031438</v>
      </c>
      <c r="AF19" s="4">
        <v>0.000624140468922072</v>
      </c>
      <c r="AG19" s="4">
        <v>0.00139966687232432</v>
      </c>
      <c r="AH19" s="4">
        <v>0.00263128105530953</v>
      </c>
      <c r="AI19" s="4">
        <v>0.000760443636704711</v>
      </c>
      <c r="AJ19" s="4">
        <v>0.000414530089166232</v>
      </c>
      <c r="AK19" s="4">
        <v>0.000851683729351463</v>
      </c>
      <c r="AL19" s="4">
        <v>3.02790580838786e-5</v>
      </c>
      <c r="AM19" s="4">
        <v>0.000258803465750036</v>
      </c>
      <c r="AN19" s="4">
        <v>0.000787028773534137</v>
      </c>
      <c r="AO19" s="4">
        <v>0.000102008497353776</v>
      </c>
      <c r="AQ19" s="9">
        <v>0.0114987970943044</v>
      </c>
    </row>
    <row r="20" ht="14" spans="1:43">
      <c r="A20" s="22" t="s">
        <v>39</v>
      </c>
      <c r="B20" s="4">
        <v>0.000719170999529596</v>
      </c>
      <c r="C20" s="4">
        <v>0.000154094859801697</v>
      </c>
      <c r="D20" s="4">
        <v>2.20596067621599e-5</v>
      </c>
      <c r="E20" s="4">
        <v>0.00131888130712497</v>
      </c>
      <c r="F20" s="4">
        <v>0.000566044752882555</v>
      </c>
      <c r="G20" s="4">
        <v>0.00116621516787966</v>
      </c>
      <c r="H20" s="4">
        <v>0.00127840912194702</v>
      </c>
      <c r="I20" s="4">
        <v>0.00158950764295616</v>
      </c>
      <c r="J20" s="4">
        <v>0.000668561015118105</v>
      </c>
      <c r="K20" s="4">
        <v>0.000396334336388624</v>
      </c>
      <c r="L20" s="4">
        <v>0.00204893186984305</v>
      </c>
      <c r="M20" s="4">
        <v>0.000797930008432903</v>
      </c>
      <c r="N20" s="4">
        <v>0.00165094698669822</v>
      </c>
      <c r="O20" s="4">
        <v>0.001218297734616</v>
      </c>
      <c r="P20" s="4">
        <v>0.0023689592930899</v>
      </c>
      <c r="Q20" s="4">
        <v>0.000755342417899735</v>
      </c>
      <c r="R20" s="4">
        <v>0.0142984049137515</v>
      </c>
      <c r="S20" s="4">
        <v>0.00116921226714159</v>
      </c>
      <c r="T20" s="4">
        <v>0.00179652860351578</v>
      </c>
      <c r="U20" s="4">
        <v>0.00349140358542942</v>
      </c>
      <c r="V20" s="4">
        <v>0.00169578796959062</v>
      </c>
      <c r="W20" s="4">
        <v>0.00182782006544007</v>
      </c>
      <c r="X20" s="4">
        <v>0.00152622155781213</v>
      </c>
      <c r="Y20" s="4">
        <v>0.00179474406861562</v>
      </c>
      <c r="Z20" s="4">
        <v>0.000142774345858338</v>
      </c>
      <c r="AA20" s="4">
        <v>0.00151015943724796</v>
      </c>
      <c r="AB20" s="4">
        <v>0.00159168568196047</v>
      </c>
      <c r="AC20" s="4">
        <v>0.00164509466010779</v>
      </c>
      <c r="AD20" s="4">
        <v>-3.8926859567251e-5</v>
      </c>
      <c r="AE20" s="4">
        <v>0.00143775122286193</v>
      </c>
      <c r="AF20" s="4">
        <v>0.000393363231004263</v>
      </c>
      <c r="AG20" s="4">
        <v>0.00157740587683507</v>
      </c>
      <c r="AH20" s="4">
        <v>-3.11139845046768e-5</v>
      </c>
      <c r="AI20" s="4">
        <v>0.00264411233609535</v>
      </c>
      <c r="AJ20" s="4">
        <v>0.00105159444978638</v>
      </c>
      <c r="AK20" s="4">
        <v>0.000637005765041956</v>
      </c>
      <c r="AL20" s="4">
        <v>0.00066760168332159</v>
      </c>
      <c r="AM20" s="4">
        <v>0.00268352148345333</v>
      </c>
      <c r="AN20" s="4">
        <v>0.00220575342819557</v>
      </c>
      <c r="AO20" s="4">
        <v>0.000510311979982773</v>
      </c>
      <c r="AQ20" s="9">
        <v>0.0381085142104432</v>
      </c>
    </row>
    <row r="21" ht="14" spans="1:43">
      <c r="A21" s="22" t="s">
        <v>40</v>
      </c>
      <c r="B21" s="4">
        <v>0.000670336869852488</v>
      </c>
      <c r="C21" s="4">
        <v>0.00012955837479867</v>
      </c>
      <c r="D21" s="4">
        <v>0.000814840649782906</v>
      </c>
      <c r="E21" s="4">
        <v>0.000530642896110437</v>
      </c>
      <c r="F21" s="4">
        <v>0.000503919709311846</v>
      </c>
      <c r="G21" s="4">
        <v>1.45322259365803e-5</v>
      </c>
      <c r="H21" s="4">
        <v>0.000635332211053893</v>
      </c>
      <c r="I21" s="4">
        <v>-0.000281981236610707</v>
      </c>
      <c r="J21" s="4">
        <v>0.000302634898649854</v>
      </c>
      <c r="K21" s="4">
        <v>0.000183646385766443</v>
      </c>
      <c r="L21" s="4">
        <v>-0.000445384541056529</v>
      </c>
      <c r="M21" s="4">
        <v>-0.000201837034010265</v>
      </c>
      <c r="N21" s="4">
        <v>0.000707795899877639</v>
      </c>
      <c r="O21" s="4">
        <v>0.000472182581034203</v>
      </c>
      <c r="P21" s="4">
        <v>0.00111794605460176</v>
      </c>
      <c r="Q21" s="4">
        <v>0.00103552953857642</v>
      </c>
      <c r="R21" s="4">
        <v>0.00116921226714159</v>
      </c>
      <c r="S21" s="4">
        <v>0.0054340767496654</v>
      </c>
      <c r="T21" s="4">
        <v>0.0011650449949682</v>
      </c>
      <c r="U21" s="4">
        <v>-0.000560093652729618</v>
      </c>
      <c r="V21" s="4">
        <v>0.000312638593714498</v>
      </c>
      <c r="W21" s="4">
        <v>0.000506410302049252</v>
      </c>
      <c r="X21" s="4">
        <v>0.00063872219902638</v>
      </c>
      <c r="Y21" s="4">
        <v>0.000827097451764657</v>
      </c>
      <c r="Z21" s="4">
        <v>0.000251362515597868</v>
      </c>
      <c r="AA21" s="4">
        <v>0.000657961910666409</v>
      </c>
      <c r="AB21" s="4">
        <v>-0.000375629543522921</v>
      </c>
      <c r="AC21" s="4">
        <v>0.000520843096104239</v>
      </c>
      <c r="AD21" s="4">
        <v>-1.02118051551843e-5</v>
      </c>
      <c r="AE21" s="4">
        <v>0.000405234326632131</v>
      </c>
      <c r="AF21" s="4">
        <v>-3.5693553410003e-5</v>
      </c>
      <c r="AG21" s="4">
        <v>0.000562382713669064</v>
      </c>
      <c r="AH21" s="4">
        <v>0.000385647171779346</v>
      </c>
      <c r="AI21" s="4">
        <v>0.000413900173357014</v>
      </c>
      <c r="AJ21" s="4">
        <v>0.00113370515116192</v>
      </c>
      <c r="AK21" s="4">
        <v>0.000508295792414205</v>
      </c>
      <c r="AL21" s="4">
        <v>0.0012054005550366</v>
      </c>
      <c r="AM21" s="4">
        <v>0.00116362461876524</v>
      </c>
      <c r="AN21" s="4">
        <v>0.000370816953598039</v>
      </c>
      <c r="AO21" s="4">
        <v>0.000723871886892702</v>
      </c>
      <c r="AQ21" s="9">
        <v>0.00960348107427789</v>
      </c>
    </row>
    <row r="22" ht="14" spans="1:43">
      <c r="A22" s="22" t="s">
        <v>41</v>
      </c>
      <c r="B22" s="4">
        <v>0.000684739231465199</v>
      </c>
      <c r="C22" s="4">
        <v>0.000198040507330278</v>
      </c>
      <c r="D22" s="4">
        <v>0.000358252363626352</v>
      </c>
      <c r="E22" s="4">
        <v>0.000775401486070887</v>
      </c>
      <c r="F22" s="4">
        <v>0.000747623307102557</v>
      </c>
      <c r="G22" s="4">
        <v>0.000550758456304003</v>
      </c>
      <c r="H22" s="4">
        <v>0.00114679816853539</v>
      </c>
      <c r="I22" s="4">
        <v>0.000512535673327605</v>
      </c>
      <c r="J22" s="4">
        <v>0.000581038275958478</v>
      </c>
      <c r="K22" s="4">
        <v>0.000423794789916377</v>
      </c>
      <c r="L22" s="4">
        <v>0.000149273604190705</v>
      </c>
      <c r="M22" s="4">
        <v>0.000320056957303069</v>
      </c>
      <c r="N22" s="4">
        <v>0.000839785351745</v>
      </c>
      <c r="O22" s="4">
        <v>0.000950237310102562</v>
      </c>
      <c r="P22" s="4">
        <v>0.00159815716119634</v>
      </c>
      <c r="Q22" s="4">
        <v>0.000734572741591836</v>
      </c>
      <c r="R22" s="4">
        <v>0.00179652860351578</v>
      </c>
      <c r="S22" s="4">
        <v>0.0011650449949682</v>
      </c>
      <c r="T22" s="4">
        <v>0.00511605011405166</v>
      </c>
      <c r="U22" s="4">
        <v>0.00137482428927316</v>
      </c>
      <c r="V22" s="4">
        <v>0.00102487400049297</v>
      </c>
      <c r="W22" s="4">
        <v>0.00112472336485578</v>
      </c>
      <c r="X22" s="4">
        <v>0.00106833190027923</v>
      </c>
      <c r="Y22" s="4">
        <v>0.0016161070334301</v>
      </c>
      <c r="Z22" s="4">
        <v>0.000562071933200119</v>
      </c>
      <c r="AA22" s="4">
        <v>0.00114465902883465</v>
      </c>
      <c r="AB22" s="4">
        <v>0.000135644023350749</v>
      </c>
      <c r="AC22" s="4">
        <v>0.00194557147586821</v>
      </c>
      <c r="AD22" s="4">
        <v>0.000432976585433298</v>
      </c>
      <c r="AE22" s="4">
        <v>0.000728359896636587</v>
      </c>
      <c r="AF22" s="4">
        <v>0.000457112115780846</v>
      </c>
      <c r="AG22" s="4">
        <v>0.00132671064771539</v>
      </c>
      <c r="AH22" s="4">
        <v>0.00122112973834146</v>
      </c>
      <c r="AI22" s="4">
        <v>0.0011413900930871</v>
      </c>
      <c r="AJ22" s="4">
        <v>0.00201009377544867</v>
      </c>
      <c r="AK22" s="4">
        <v>0.000452715468575884</v>
      </c>
      <c r="AL22" s="4">
        <v>0.00121124118613714</v>
      </c>
      <c r="AM22" s="4">
        <v>0.00206361051272762</v>
      </c>
      <c r="AN22" s="4">
        <v>0.00105039282033829</v>
      </c>
      <c r="AO22" s="4">
        <v>0.00146677757771331</v>
      </c>
      <c r="AQ22" s="9">
        <v>0.0209351919333203</v>
      </c>
    </row>
    <row r="23" ht="14" spans="1:43">
      <c r="A23" s="22" t="s">
        <v>44</v>
      </c>
      <c r="B23" s="4">
        <v>0.00129120775258408</v>
      </c>
      <c r="C23" s="4">
        <v>0.00135378667347895</v>
      </c>
      <c r="D23" s="4">
        <v>0.00132653619270325</v>
      </c>
      <c r="E23" s="4">
        <v>0.00218279117140271</v>
      </c>
      <c r="F23" s="4">
        <v>0.00234731473821075</v>
      </c>
      <c r="G23" s="4">
        <v>0.00184790682290392</v>
      </c>
      <c r="H23" s="4">
        <v>0.00222634448981685</v>
      </c>
      <c r="I23" s="4">
        <v>0.00317532640655001</v>
      </c>
      <c r="J23" s="4">
        <v>0.00185753058764252</v>
      </c>
      <c r="K23" s="4">
        <v>0.00265990186689263</v>
      </c>
      <c r="L23" s="4">
        <v>0.00203219379604761</v>
      </c>
      <c r="M23" s="4">
        <v>0.00130442290227348</v>
      </c>
      <c r="N23" s="4">
        <v>0.00162089028863256</v>
      </c>
      <c r="O23" s="4">
        <v>0.00150391111377894</v>
      </c>
      <c r="P23" s="4">
        <v>0.002342189310913</v>
      </c>
      <c r="Q23" s="4">
        <v>0.00153204337583682</v>
      </c>
      <c r="R23" s="4">
        <v>0.00349140358542942</v>
      </c>
      <c r="S23" s="4">
        <v>-0.000560093652729618</v>
      </c>
      <c r="T23" s="4">
        <v>0.00137482428927316</v>
      </c>
      <c r="U23" s="4">
        <v>0.0240061086255879</v>
      </c>
      <c r="V23" s="4">
        <v>0.00201002634109612</v>
      </c>
      <c r="W23" s="4">
        <v>0.00151006578253834</v>
      </c>
      <c r="X23" s="4">
        <v>0.00194076810333545</v>
      </c>
      <c r="Y23" s="4">
        <v>0.00135960150813437</v>
      </c>
      <c r="Z23" s="4">
        <v>0.000271187677373676</v>
      </c>
      <c r="AA23" s="4">
        <v>0.00229893412593907</v>
      </c>
      <c r="AB23" s="4">
        <v>0.00206850276559153</v>
      </c>
      <c r="AC23" s="4">
        <v>0.00116974309052335</v>
      </c>
      <c r="AD23" s="4">
        <v>0.000739040962363195</v>
      </c>
      <c r="AE23" s="4">
        <v>0.00128890706184378</v>
      </c>
      <c r="AF23" s="4">
        <v>0.00105237997591838</v>
      </c>
      <c r="AG23" s="4">
        <v>0.00182216233709032</v>
      </c>
      <c r="AH23" s="4">
        <v>0.00154020409299371</v>
      </c>
      <c r="AI23" s="4">
        <v>0.0025949300471462</v>
      </c>
      <c r="AJ23" s="4">
        <v>0.00339842660271602</v>
      </c>
      <c r="AK23" s="4">
        <v>0.00212275862497374</v>
      </c>
      <c r="AL23" s="4">
        <v>0.00166192601669696</v>
      </c>
      <c r="AM23" s="4">
        <v>0.0019672160022474</v>
      </c>
      <c r="AN23" s="4">
        <v>0.00248264913142492</v>
      </c>
      <c r="AO23" s="4">
        <v>0.000305984069014807</v>
      </c>
      <c r="AQ23" s="9">
        <v>0.0421824724371946</v>
      </c>
    </row>
    <row r="24" ht="14" spans="1:43">
      <c r="A24" s="22" t="s">
        <v>49</v>
      </c>
      <c r="B24" s="4">
        <v>0.000579028394606244</v>
      </c>
      <c r="C24" s="4">
        <v>0.000371663252519489</v>
      </c>
      <c r="D24" s="4">
        <v>0.000321247706992776</v>
      </c>
      <c r="E24" s="4">
        <v>0.000480017868221678</v>
      </c>
      <c r="F24" s="4">
        <v>0.000280716927016705</v>
      </c>
      <c r="G24" s="4">
        <v>0.00110772636029758</v>
      </c>
      <c r="H24" s="4">
        <v>0.00105726853715244</v>
      </c>
      <c r="I24" s="4">
        <v>0.00117037063160434</v>
      </c>
      <c r="J24" s="4">
        <v>0.000592297361741961</v>
      </c>
      <c r="K24" s="4">
        <v>0.000319184420357697</v>
      </c>
      <c r="L24" s="4">
        <v>0.00105582228844738</v>
      </c>
      <c r="M24" s="4">
        <v>0.000352940616400224</v>
      </c>
      <c r="N24" s="4">
        <v>0.000609928607744237</v>
      </c>
      <c r="O24" s="4">
        <v>0.000755743410122165</v>
      </c>
      <c r="P24" s="4">
        <v>0.000896152466858337</v>
      </c>
      <c r="Q24" s="4">
        <v>6.04673977143348e-5</v>
      </c>
      <c r="R24" s="4">
        <v>0.00169578796959062</v>
      </c>
      <c r="S24" s="4">
        <v>0.000312638593714498</v>
      </c>
      <c r="T24" s="4">
        <v>0.00102487400049297</v>
      </c>
      <c r="U24" s="4">
        <v>0.00201002634109612</v>
      </c>
      <c r="V24" s="4">
        <v>0.00673268849875018</v>
      </c>
      <c r="W24" s="4">
        <v>0.00119061987387667</v>
      </c>
      <c r="X24" s="4">
        <v>0.000924795420312132</v>
      </c>
      <c r="Y24" s="4">
        <v>0.00222916647279302</v>
      </c>
      <c r="Z24" s="4">
        <v>0.000313680638483501</v>
      </c>
      <c r="AA24" s="4">
        <v>0.000802106817036817</v>
      </c>
      <c r="AB24" s="4">
        <v>0.000420009748735212</v>
      </c>
      <c r="AC24" s="4">
        <v>0.00146508440115637</v>
      </c>
      <c r="AD24" s="4">
        <v>0.00048381488335437</v>
      </c>
      <c r="AE24" s="4">
        <v>0.00139531937779818</v>
      </c>
      <c r="AF24" s="4">
        <v>0.000258788050255758</v>
      </c>
      <c r="AG24" s="4">
        <v>0.00103332959706622</v>
      </c>
      <c r="AH24" s="4">
        <v>0.000574367930126624</v>
      </c>
      <c r="AI24" s="4">
        <v>0.00144830368432744</v>
      </c>
      <c r="AJ24" s="4">
        <v>0.00111095849921977</v>
      </c>
      <c r="AK24" s="4">
        <v>0.000742880475709453</v>
      </c>
      <c r="AL24" s="4">
        <v>0.00123677167525704</v>
      </c>
      <c r="AM24" s="4">
        <v>0.000930006921846425</v>
      </c>
      <c r="AN24" s="4">
        <v>0.00104535167574462</v>
      </c>
      <c r="AO24" s="4">
        <v>0.00125915241389443</v>
      </c>
      <c r="AQ24" s="9">
        <v>0.0190557690516597</v>
      </c>
    </row>
    <row r="25" ht="14" spans="1:43">
      <c r="A25" s="22" t="s">
        <v>53</v>
      </c>
      <c r="B25" s="4">
        <v>0.000371040162008126</v>
      </c>
      <c r="C25" s="4">
        <v>0.00018469023515439</v>
      </c>
      <c r="D25" s="4">
        <v>6.34239739396209e-5</v>
      </c>
      <c r="E25" s="4">
        <v>0.000389630363903552</v>
      </c>
      <c r="F25" s="4">
        <v>0.00010255806078895</v>
      </c>
      <c r="G25" s="4">
        <v>0.00100462670961975</v>
      </c>
      <c r="H25" s="4">
        <v>0.00113079016164922</v>
      </c>
      <c r="I25" s="4">
        <v>0.00114402606678214</v>
      </c>
      <c r="J25" s="4">
        <v>0.000438621263206469</v>
      </c>
      <c r="K25" s="4">
        <v>-9.07097175447014e-5</v>
      </c>
      <c r="L25" s="4">
        <v>0.0005561599820732</v>
      </c>
      <c r="M25" s="4">
        <v>0.000408057538441077</v>
      </c>
      <c r="N25" s="4">
        <v>0.00106632111687732</v>
      </c>
      <c r="O25" s="4">
        <v>0.000786816619924527</v>
      </c>
      <c r="P25" s="4">
        <v>0.00159575344071423</v>
      </c>
      <c r="Q25" s="4">
        <v>0.00035401221388011</v>
      </c>
      <c r="R25" s="4">
        <v>0.00182782006544007</v>
      </c>
      <c r="S25" s="4">
        <v>0.000506410302049252</v>
      </c>
      <c r="T25" s="4">
        <v>0.00112472336485578</v>
      </c>
      <c r="U25" s="4">
        <v>0.00151006578253834</v>
      </c>
      <c r="V25" s="4">
        <v>0.00119061987387667</v>
      </c>
      <c r="W25" s="4">
        <v>0.00568999893659568</v>
      </c>
      <c r="X25" s="4">
        <v>0.00104948011063506</v>
      </c>
      <c r="Y25" s="4">
        <v>0.00335402712122617</v>
      </c>
      <c r="Z25" s="4">
        <v>0.000559758618377421</v>
      </c>
      <c r="AA25" s="4">
        <v>0.000898085058675609</v>
      </c>
      <c r="AB25" s="4">
        <v>0.00100338104072883</v>
      </c>
      <c r="AC25" s="4">
        <v>0.00179865202016447</v>
      </c>
      <c r="AD25" s="4">
        <v>0.000148558024437344</v>
      </c>
      <c r="AE25" s="4">
        <v>0.000735820157587413</v>
      </c>
      <c r="AF25" s="4">
        <v>0.000273830354344105</v>
      </c>
      <c r="AG25" s="4">
        <v>0.000190253392829618</v>
      </c>
      <c r="AH25" s="4">
        <v>0.000489190771969913</v>
      </c>
      <c r="AI25" s="4">
        <v>0.00118348491654681</v>
      </c>
      <c r="AJ25" s="4">
        <v>0.000598266700180745</v>
      </c>
      <c r="AK25" s="4">
        <v>0.000505990097403556</v>
      </c>
      <c r="AL25" s="4">
        <v>0.000487931140771634</v>
      </c>
      <c r="AM25" s="4">
        <v>0.00216514264634759</v>
      </c>
      <c r="AN25" s="4">
        <v>0.00124667711685636</v>
      </c>
      <c r="AO25" s="4">
        <v>0.000871554980515812</v>
      </c>
      <c r="AQ25" s="9">
        <v>0.0347022047674913</v>
      </c>
    </row>
    <row r="26" ht="14" spans="1:43">
      <c r="A26" s="22" t="s">
        <v>57</v>
      </c>
      <c r="B26" s="4">
        <v>0.000451622363663848</v>
      </c>
      <c r="C26" s="4">
        <v>-7.75348085743701e-6</v>
      </c>
      <c r="D26" s="4">
        <v>-5.37577459287322e-5</v>
      </c>
      <c r="E26" s="4">
        <v>0.000967254704107026</v>
      </c>
      <c r="F26" s="4">
        <v>0.000227223321915564</v>
      </c>
      <c r="G26" s="4">
        <v>0.000118945102045311</v>
      </c>
      <c r="H26" s="4">
        <v>0.000715386907489103</v>
      </c>
      <c r="I26" s="4">
        <v>0.00100072541460454</v>
      </c>
      <c r="J26" s="4">
        <v>0.000651923635244131</v>
      </c>
      <c r="K26" s="4">
        <v>0.000677989327213419</v>
      </c>
      <c r="L26" s="4">
        <v>-0.000196484042654628</v>
      </c>
      <c r="M26" s="4">
        <v>3.03657458169937e-5</v>
      </c>
      <c r="N26" s="4">
        <v>0.000880929702493698</v>
      </c>
      <c r="O26" s="4">
        <v>0.000990388910420583</v>
      </c>
      <c r="P26" s="4">
        <v>0.00156037472737558</v>
      </c>
      <c r="Q26" s="4">
        <v>-0.000608212134715727</v>
      </c>
      <c r="R26" s="4">
        <v>0.00152622155781213</v>
      </c>
      <c r="S26" s="4">
        <v>0.00063872219902638</v>
      </c>
      <c r="T26" s="4">
        <v>0.00106833190027923</v>
      </c>
      <c r="U26" s="4">
        <v>0.00194076810333545</v>
      </c>
      <c r="V26" s="4">
        <v>0.000924795420312132</v>
      </c>
      <c r="W26" s="4">
        <v>0.00104948011063506</v>
      </c>
      <c r="X26" s="4">
        <v>0.00673198349129303</v>
      </c>
      <c r="Y26" s="4">
        <v>0.00160652866362775</v>
      </c>
      <c r="Z26" s="4">
        <v>0.000460788679824217</v>
      </c>
      <c r="AA26" s="4">
        <v>0.0010054735227213</v>
      </c>
      <c r="AB26" s="4">
        <v>0.00059795431262247</v>
      </c>
      <c r="AC26" s="4">
        <v>0.00296964005817241</v>
      </c>
      <c r="AD26" s="4">
        <v>0.000122347719977579</v>
      </c>
      <c r="AE26" s="4">
        <v>0.00120287646015777</v>
      </c>
      <c r="AF26" s="4">
        <v>0.000315445131708054</v>
      </c>
      <c r="AG26" s="4">
        <v>0.00143280695516555</v>
      </c>
      <c r="AH26" s="4">
        <v>0.00118450143627523</v>
      </c>
      <c r="AI26" s="4">
        <v>0.00148967154257888</v>
      </c>
      <c r="AJ26" s="4">
        <v>0.00203169095897523</v>
      </c>
      <c r="AK26" s="4">
        <v>0.00115590305190447</v>
      </c>
      <c r="AL26" s="4">
        <v>0.00103905869791664</v>
      </c>
      <c r="AM26" s="4">
        <v>0.00192639614144903</v>
      </c>
      <c r="AN26" s="4">
        <v>0.00135780434237406</v>
      </c>
      <c r="AO26" s="4">
        <v>0.00104694759269426</v>
      </c>
      <c r="AQ26" s="9">
        <v>0.0123995126329467</v>
      </c>
    </row>
    <row r="27" ht="14" spans="1:43">
      <c r="A27" s="22" t="s">
        <v>61</v>
      </c>
      <c r="B27" s="4">
        <v>0.000489537496390773</v>
      </c>
      <c r="C27" s="4">
        <v>7.41250003465041e-5</v>
      </c>
      <c r="D27" s="4">
        <v>0.000597472602985498</v>
      </c>
      <c r="E27" s="4">
        <v>0.00182090055627504</v>
      </c>
      <c r="F27" s="4">
        <v>0.000277015162083766</v>
      </c>
      <c r="G27" s="4">
        <v>0.000698082040696316</v>
      </c>
      <c r="H27" s="4">
        <v>0.00203650150285113</v>
      </c>
      <c r="I27" s="4">
        <v>0.00111061096319952</v>
      </c>
      <c r="J27" s="4">
        <v>0.000170662594500716</v>
      </c>
      <c r="K27" s="4">
        <v>-0.000225651102618083</v>
      </c>
      <c r="L27" s="4">
        <v>0.00158545329304913</v>
      </c>
      <c r="M27" s="4">
        <v>0.000644166696019433</v>
      </c>
      <c r="N27" s="4">
        <v>0.00117004423513197</v>
      </c>
      <c r="O27" s="4">
        <v>0.000479694469991604</v>
      </c>
      <c r="P27" s="4">
        <v>0.0016981993357695</v>
      </c>
      <c r="Q27" s="4">
        <v>-0.00205948477080869</v>
      </c>
      <c r="R27" s="4">
        <v>0.00179474406861562</v>
      </c>
      <c r="S27" s="4">
        <v>0.000827097451764657</v>
      </c>
      <c r="T27" s="4">
        <v>0.0016161070334301</v>
      </c>
      <c r="U27" s="4">
        <v>0.00135960150813437</v>
      </c>
      <c r="V27" s="4">
        <v>0.00222916647279302</v>
      </c>
      <c r="W27" s="4">
        <v>0.00335402712122617</v>
      </c>
      <c r="X27" s="4">
        <v>0.00160652866362775</v>
      </c>
      <c r="Y27" s="4">
        <v>0.0252031246151533</v>
      </c>
      <c r="Z27" s="4">
        <v>0.000811476762188229</v>
      </c>
      <c r="AA27" s="4">
        <v>0.00157232406951714</v>
      </c>
      <c r="AB27" s="4">
        <v>0.00153048081572943</v>
      </c>
      <c r="AC27" s="4">
        <v>0.00530493120046585</v>
      </c>
      <c r="AD27" s="4">
        <v>0.000237788916763181</v>
      </c>
      <c r="AE27" s="4">
        <v>0.00126407507347914</v>
      </c>
      <c r="AF27" s="4">
        <v>-5.89279582215951e-5</v>
      </c>
      <c r="AG27" s="4">
        <v>0.000209387864897145</v>
      </c>
      <c r="AH27" s="4">
        <v>0.0022895626067517</v>
      </c>
      <c r="AI27" s="4">
        <v>0.00174196719132638</v>
      </c>
      <c r="AJ27" s="4">
        <v>0.00212802193491994</v>
      </c>
      <c r="AK27" s="4">
        <v>0.000692528207696178</v>
      </c>
      <c r="AL27" s="4">
        <v>0.00257816376006994</v>
      </c>
      <c r="AM27" s="4">
        <v>0.00444950279991858</v>
      </c>
      <c r="AN27" s="4">
        <v>0.000597663236078743</v>
      </c>
      <c r="AO27" s="4">
        <v>0.00229054746924588</v>
      </c>
      <c r="AQ27" s="9">
        <v>0.0486146427742159</v>
      </c>
    </row>
    <row r="28" ht="14" spans="1:43">
      <c r="A28" s="22" t="s">
        <v>63</v>
      </c>
      <c r="B28" s="4">
        <v>0.000622928190809138</v>
      </c>
      <c r="C28" s="4">
        <v>0.000382501947784423</v>
      </c>
      <c r="D28" s="4">
        <v>-8.36601142131239e-5</v>
      </c>
      <c r="E28" s="4">
        <v>2.90931635696802e-5</v>
      </c>
      <c r="F28" s="4">
        <v>0.000268980514448667</v>
      </c>
      <c r="G28" s="4">
        <v>0.000520328057454627</v>
      </c>
      <c r="H28" s="4">
        <v>2.04380732962868e-5</v>
      </c>
      <c r="I28" s="4">
        <v>0.000301280322235774</v>
      </c>
      <c r="J28" s="4">
        <v>0.000459696866696442</v>
      </c>
      <c r="K28" s="4">
        <v>0.000346365398439312</v>
      </c>
      <c r="L28" s="4">
        <v>-0.00058276377774269</v>
      </c>
      <c r="M28" s="4">
        <v>-2.88124882962189e-5</v>
      </c>
      <c r="N28" s="4">
        <v>0.000450440545415018</v>
      </c>
      <c r="O28" s="4">
        <v>0.000454527062890882</v>
      </c>
      <c r="P28" s="4">
        <v>9.90900606253665e-5</v>
      </c>
      <c r="Q28" s="4">
        <v>0.000236289695331702</v>
      </c>
      <c r="R28" s="4">
        <v>0.000142774345858338</v>
      </c>
      <c r="S28" s="4">
        <v>0.000251362515597868</v>
      </c>
      <c r="T28" s="4">
        <v>0.000562071933200119</v>
      </c>
      <c r="U28" s="4">
        <v>0.000271187677373676</v>
      </c>
      <c r="V28" s="4">
        <v>0.000313680638483501</v>
      </c>
      <c r="W28" s="4">
        <v>0.000559758618377421</v>
      </c>
      <c r="X28" s="4">
        <v>0.000460788679824217</v>
      </c>
      <c r="Y28" s="4">
        <v>0.000811476762188229</v>
      </c>
      <c r="Z28" s="4">
        <v>0.00240446436889718</v>
      </c>
      <c r="AA28" s="4">
        <v>0.000326931953988823</v>
      </c>
      <c r="AB28" s="4">
        <v>4.80948450461675e-5</v>
      </c>
      <c r="AC28" s="4">
        <v>0.0016383929226532</v>
      </c>
      <c r="AD28" s="4">
        <v>0.000498140223546956</v>
      </c>
      <c r="AE28" s="4">
        <v>0.000416949380866733</v>
      </c>
      <c r="AF28" s="4">
        <v>0.000627799978902293</v>
      </c>
      <c r="AG28" s="4">
        <v>0.000366302888300506</v>
      </c>
      <c r="AH28" s="4">
        <v>0.000785290229628256</v>
      </c>
      <c r="AI28" s="4">
        <v>0.00088071237967199</v>
      </c>
      <c r="AJ28" s="4">
        <v>0.000215111612501642</v>
      </c>
      <c r="AK28" s="4">
        <v>0.000339308299105752</v>
      </c>
      <c r="AL28" s="4">
        <v>0.000834269188408057</v>
      </c>
      <c r="AM28" s="4">
        <v>0.00144956411846718</v>
      </c>
      <c r="AN28" s="4">
        <v>0.000354223262653338</v>
      </c>
      <c r="AO28" s="4">
        <v>0.000851438491445046</v>
      </c>
      <c r="AQ28" s="9">
        <v>0.0142700080763811</v>
      </c>
    </row>
    <row r="29" ht="14" spans="1:43">
      <c r="A29" s="22" t="s">
        <v>66</v>
      </c>
      <c r="B29" s="4">
        <v>0.000584609283580302</v>
      </c>
      <c r="C29" s="4">
        <v>0.000390975087618902</v>
      </c>
      <c r="D29" s="4">
        <v>0.000458038526177303</v>
      </c>
      <c r="E29" s="4">
        <v>0.000830402405152275</v>
      </c>
      <c r="F29" s="4">
        <v>0.000680120803811835</v>
      </c>
      <c r="G29" s="4">
        <v>0.000427442461162156</v>
      </c>
      <c r="H29" s="4">
        <v>0.000996063995329288</v>
      </c>
      <c r="I29" s="4">
        <v>0.000843402278228066</v>
      </c>
      <c r="J29" s="4">
        <v>0.000506563360062929</v>
      </c>
      <c r="K29" s="4">
        <v>0.000776727001384385</v>
      </c>
      <c r="L29" s="4">
        <v>0.00035167535605539</v>
      </c>
      <c r="M29" s="4">
        <v>0.000405936953180328</v>
      </c>
      <c r="N29" s="4">
        <v>0.000637949548980532</v>
      </c>
      <c r="O29" s="4">
        <v>0.000855349294197226</v>
      </c>
      <c r="P29" s="4">
        <v>0.0014266897681264</v>
      </c>
      <c r="Q29" s="4">
        <v>0.000433290856393709</v>
      </c>
      <c r="R29" s="4">
        <v>0.00151015943724796</v>
      </c>
      <c r="S29" s="4">
        <v>0.000657961910666409</v>
      </c>
      <c r="T29" s="4">
        <v>0.00114465902883465</v>
      </c>
      <c r="U29" s="4">
        <v>0.00229893412593907</v>
      </c>
      <c r="V29" s="4">
        <v>0.000802106817036817</v>
      </c>
      <c r="W29" s="4">
        <v>0.000898085058675609</v>
      </c>
      <c r="X29" s="4">
        <v>0.0010054735227213</v>
      </c>
      <c r="Y29" s="4">
        <v>0.00157232406951714</v>
      </c>
      <c r="Z29" s="4">
        <v>0.000326931953988823</v>
      </c>
      <c r="AA29" s="4">
        <v>0.00451443575690337</v>
      </c>
      <c r="AB29" s="4">
        <v>0.000853565208926838</v>
      </c>
      <c r="AC29" s="4">
        <v>0.00213751082871904</v>
      </c>
      <c r="AD29" s="4">
        <v>0.000351564873282924</v>
      </c>
      <c r="AE29" s="4">
        <v>0.000545463595113033</v>
      </c>
      <c r="AF29" s="4">
        <v>0.000197366738176165</v>
      </c>
      <c r="AG29" s="4">
        <v>0.00077142039513697</v>
      </c>
      <c r="AH29" s="4">
        <v>0.000717351610127999</v>
      </c>
      <c r="AI29" s="4">
        <v>0.00130409106259102</v>
      </c>
      <c r="AJ29" s="4">
        <v>0.00118146769041787</v>
      </c>
      <c r="AK29" s="4">
        <v>0.000806006855022835</v>
      </c>
      <c r="AL29" s="4">
        <v>0.000881671825536437</v>
      </c>
      <c r="AM29" s="4">
        <v>0.00110971262510815</v>
      </c>
      <c r="AN29" s="4">
        <v>0.000667371488455433</v>
      </c>
      <c r="AO29" s="4">
        <v>0.000810295734029045</v>
      </c>
      <c r="AQ29" s="9">
        <v>0.0192880494713926</v>
      </c>
    </row>
    <row r="30" ht="14" spans="1:43">
      <c r="A30" s="22" t="s">
        <v>74</v>
      </c>
      <c r="B30" s="4">
        <v>0.000307682911214181</v>
      </c>
      <c r="C30" s="4">
        <v>0.000363388710110389</v>
      </c>
      <c r="D30" s="4">
        <v>-9.69776285094876e-5</v>
      </c>
      <c r="E30" s="4">
        <v>0.000995352996116536</v>
      </c>
      <c r="F30" s="4">
        <v>0.00051408484613695</v>
      </c>
      <c r="G30" s="4">
        <v>0.00061204910410547</v>
      </c>
      <c r="H30" s="4">
        <v>0.00075927542700048</v>
      </c>
      <c r="I30" s="4">
        <v>0.000744783273798932</v>
      </c>
      <c r="J30" s="4">
        <v>0.000857418534846376</v>
      </c>
      <c r="K30" s="4">
        <v>0.000778917724693269</v>
      </c>
      <c r="L30" s="4">
        <v>0.00157140439437723</v>
      </c>
      <c r="M30" s="4">
        <v>0.000119787227994281</v>
      </c>
      <c r="N30" s="4">
        <v>0.000285653960348827</v>
      </c>
      <c r="O30" s="4">
        <v>0.000526726344791878</v>
      </c>
      <c r="P30" s="4">
        <v>0.000729726527054466</v>
      </c>
      <c r="Q30" s="4">
        <v>-0.000537013698610312</v>
      </c>
      <c r="R30" s="4">
        <v>0.00159168568196047</v>
      </c>
      <c r="S30" s="4">
        <v>-0.000375629543522921</v>
      </c>
      <c r="T30" s="4">
        <v>0.000135644023350749</v>
      </c>
      <c r="U30" s="4">
        <v>0.00206850276559153</v>
      </c>
      <c r="V30" s="4">
        <v>0.000420009748735212</v>
      </c>
      <c r="W30" s="4">
        <v>0.00100338104072883</v>
      </c>
      <c r="X30" s="4">
        <v>0.00059795431262247</v>
      </c>
      <c r="Y30" s="4">
        <v>0.00153048081572943</v>
      </c>
      <c r="Z30" s="4">
        <v>4.80948450461675e-5</v>
      </c>
      <c r="AA30" s="4">
        <v>0.000853565208926838</v>
      </c>
      <c r="AB30" s="4">
        <v>0.00625378084210266</v>
      </c>
      <c r="AC30" s="4">
        <v>0.00120535899885004</v>
      </c>
      <c r="AD30" s="4">
        <v>3.07713849488144e-5</v>
      </c>
      <c r="AE30" s="4">
        <v>0.000655013339409424</v>
      </c>
      <c r="AF30" s="4">
        <v>0.000390208546586613</v>
      </c>
      <c r="AG30" s="4">
        <v>0.000906600721148272</v>
      </c>
      <c r="AH30" s="4">
        <v>0.000621163624225269</v>
      </c>
      <c r="AI30" s="4">
        <v>0.00099768330136878</v>
      </c>
      <c r="AJ30" s="4">
        <v>-0.000366306152835659</v>
      </c>
      <c r="AK30" s="4">
        <v>0.000672621207993021</v>
      </c>
      <c r="AL30" s="4">
        <v>0.000156401529744962</v>
      </c>
      <c r="AM30" s="4">
        <v>0.000912600354514212</v>
      </c>
      <c r="AN30" s="4">
        <v>0.000695664334082891</v>
      </c>
      <c r="AO30" s="4">
        <v>-6.42602343475137e-5</v>
      </c>
      <c r="AQ30" s="9">
        <v>0.0187374719496868</v>
      </c>
    </row>
    <row r="31" ht="14" spans="1:43">
      <c r="A31" s="22" t="s">
        <v>75</v>
      </c>
      <c r="B31" s="4">
        <v>0.00101719711836607</v>
      </c>
      <c r="C31" s="4">
        <v>-0.000243584347585836</v>
      </c>
      <c r="D31" s="4">
        <v>-0.000870220440962871</v>
      </c>
      <c r="E31" s="4">
        <v>0.0015568361992854</v>
      </c>
      <c r="F31" s="4">
        <v>-0.000576990242842221</v>
      </c>
      <c r="G31" s="4">
        <v>0.000394308952203411</v>
      </c>
      <c r="H31" s="4">
        <v>0.000183059066145425</v>
      </c>
      <c r="I31" s="4">
        <v>0.000833835501045767</v>
      </c>
      <c r="J31" s="4">
        <v>0.000948532070704216</v>
      </c>
      <c r="K31" s="4">
        <v>0.000765961239255475</v>
      </c>
      <c r="L31" s="4">
        <v>-0.000743627548766113</v>
      </c>
      <c r="M31" s="4">
        <v>-0.000605003620712232</v>
      </c>
      <c r="N31" s="4">
        <v>0.00054603557178188</v>
      </c>
      <c r="O31" s="4">
        <v>0.00128796710331801</v>
      </c>
      <c r="P31" s="4">
        <v>0.00139904436195987</v>
      </c>
      <c r="Q31" s="4">
        <v>-0.0015528337285841</v>
      </c>
      <c r="R31" s="4">
        <v>0.00164509466010779</v>
      </c>
      <c r="S31" s="4">
        <v>0.000520843096104239</v>
      </c>
      <c r="T31" s="4">
        <v>0.00194557147586821</v>
      </c>
      <c r="U31" s="4">
        <v>0.00116974309052335</v>
      </c>
      <c r="V31" s="4">
        <v>0.00146508440115637</v>
      </c>
      <c r="W31" s="4">
        <v>0.00179865202016447</v>
      </c>
      <c r="X31" s="4">
        <v>0.00296964005817241</v>
      </c>
      <c r="Y31" s="4">
        <v>0.00530493120046585</v>
      </c>
      <c r="Z31" s="4">
        <v>0.0016383929226532</v>
      </c>
      <c r="AA31" s="4">
        <v>0.00213751082871904</v>
      </c>
      <c r="AB31" s="4">
        <v>0.00120535899885004</v>
      </c>
      <c r="AC31" s="4">
        <v>0.0321017920626765</v>
      </c>
      <c r="AD31" s="4">
        <v>0.000866033077317908</v>
      </c>
      <c r="AE31" s="4">
        <v>0.00275923724506377</v>
      </c>
      <c r="AF31" s="4">
        <v>0.000109431572310805</v>
      </c>
      <c r="AG31" s="4">
        <v>0.00275645282282634</v>
      </c>
      <c r="AH31" s="4">
        <v>0.00173091589705327</v>
      </c>
      <c r="AI31" s="4">
        <v>0.00373850743365986</v>
      </c>
      <c r="AJ31" s="4">
        <v>0.00327750752753751</v>
      </c>
      <c r="AK31" s="4">
        <v>0.00192959131684295</v>
      </c>
      <c r="AL31" s="4">
        <v>0.00253480915886537</v>
      </c>
      <c r="AM31" s="4">
        <v>0.00521638610173728</v>
      </c>
      <c r="AN31" s="4">
        <v>0.000304183549194635</v>
      </c>
      <c r="AO31" s="4">
        <v>0.00463921708302226</v>
      </c>
      <c r="AQ31" s="9">
        <v>0.00530276551551986</v>
      </c>
    </row>
    <row r="32" ht="14" spans="1:43">
      <c r="A32" s="22" t="s">
        <v>78</v>
      </c>
      <c r="B32" s="4">
        <v>0.000461306371791634</v>
      </c>
      <c r="C32" s="4">
        <v>0.000534646242596457</v>
      </c>
      <c r="D32" s="4">
        <v>8.99296328467536e-5</v>
      </c>
      <c r="E32" s="4">
        <v>-0.000220087813620979</v>
      </c>
      <c r="F32" s="4">
        <v>0.000452519838894817</v>
      </c>
      <c r="G32" s="4">
        <v>0.000338744597982961</v>
      </c>
      <c r="H32" s="4">
        <v>4.15734437030181e-5</v>
      </c>
      <c r="I32" s="4">
        <v>0.000159783673037059</v>
      </c>
      <c r="J32" s="4">
        <v>0.000265913140566869</v>
      </c>
      <c r="K32" s="4">
        <v>0.000349216897809468</v>
      </c>
      <c r="L32" s="4">
        <v>0.000155601121107632</v>
      </c>
      <c r="M32" s="4">
        <v>0.000130244702225739</v>
      </c>
      <c r="N32" s="4">
        <v>0.000198582204963895</v>
      </c>
      <c r="O32" s="4">
        <v>0.000284100626383126</v>
      </c>
      <c r="P32" s="4">
        <v>0.000133627927160035</v>
      </c>
      <c r="Q32" s="4">
        <v>0.00058604537670575</v>
      </c>
      <c r="R32" s="4">
        <v>-3.8926859567251e-5</v>
      </c>
      <c r="S32" s="4">
        <v>-1.02118051551843e-5</v>
      </c>
      <c r="T32" s="4">
        <v>0.000432976585433298</v>
      </c>
      <c r="U32" s="4">
        <v>0.000739040962363195</v>
      </c>
      <c r="V32" s="4">
        <v>0.00048381488335437</v>
      </c>
      <c r="W32" s="4">
        <v>0.000148558024437344</v>
      </c>
      <c r="X32" s="4">
        <v>0.000122347719977579</v>
      </c>
      <c r="Y32" s="4">
        <v>0.000237788916763181</v>
      </c>
      <c r="Z32" s="4">
        <v>0.000498140223546956</v>
      </c>
      <c r="AA32" s="4">
        <v>0.000351564873282924</v>
      </c>
      <c r="AB32" s="4">
        <v>3.07713849488144e-5</v>
      </c>
      <c r="AC32" s="4">
        <v>0.000866033077317908</v>
      </c>
      <c r="AD32" s="4">
        <v>0.00192396937335466</v>
      </c>
      <c r="AE32" s="4">
        <v>0.000758925477548765</v>
      </c>
      <c r="AF32" s="4">
        <v>0.000479677479463534</v>
      </c>
      <c r="AG32" s="4">
        <v>0.000808507926267473</v>
      </c>
      <c r="AH32" s="4">
        <v>0.000627418758182311</v>
      </c>
      <c r="AI32" s="4">
        <v>0.000688748319958492</v>
      </c>
      <c r="AJ32" s="4">
        <v>0.000675918914048475</v>
      </c>
      <c r="AK32" s="4">
        <v>0.00073377964550233</v>
      </c>
      <c r="AL32" s="4">
        <v>0.000414923310950118</v>
      </c>
      <c r="AM32" s="4">
        <v>0.000785246477051764</v>
      </c>
      <c r="AN32" s="4">
        <v>0.000233798182449396</v>
      </c>
      <c r="AO32" s="4">
        <v>0.00043697495084298</v>
      </c>
      <c r="AQ32" s="9">
        <v>0.0114505928177483</v>
      </c>
    </row>
    <row r="33" ht="14" spans="1:43">
      <c r="A33" s="22" t="s">
        <v>81</v>
      </c>
      <c r="B33" s="4">
        <v>0.000982900256933837</v>
      </c>
      <c r="C33" s="4">
        <v>0.000478913602764056</v>
      </c>
      <c r="D33" s="4">
        <v>0.00024277151013055</v>
      </c>
      <c r="E33" s="4">
        <v>8.36025479824708e-5</v>
      </c>
      <c r="F33" s="4">
        <v>0.000384234041914794</v>
      </c>
      <c r="G33" s="4">
        <v>0.00067364753430273</v>
      </c>
      <c r="H33" s="4">
        <v>0.00054859702970209</v>
      </c>
      <c r="I33" s="4">
        <v>0.000858929993904079</v>
      </c>
      <c r="J33" s="4">
        <v>0.000596598410163498</v>
      </c>
      <c r="K33" s="4">
        <v>0.000258917787659451</v>
      </c>
      <c r="L33" s="4">
        <v>0.000696302652176032</v>
      </c>
      <c r="M33" s="4">
        <v>-5.92783568930082e-5</v>
      </c>
      <c r="N33" s="4">
        <v>0.000575882590635317</v>
      </c>
      <c r="O33" s="4">
        <v>0.00102754049872219</v>
      </c>
      <c r="P33" s="4">
        <v>0.00103757469081382</v>
      </c>
      <c r="Q33" s="4">
        <v>0.000498424076031438</v>
      </c>
      <c r="R33" s="4">
        <v>0.00143775122286193</v>
      </c>
      <c r="S33" s="4">
        <v>0.000405234326632131</v>
      </c>
      <c r="T33" s="4">
        <v>0.000728359896636587</v>
      </c>
      <c r="U33" s="4">
        <v>0.00128890706184378</v>
      </c>
      <c r="V33" s="4">
        <v>0.00139531937779818</v>
      </c>
      <c r="W33" s="4">
        <v>0.000735820157587413</v>
      </c>
      <c r="X33" s="4">
        <v>0.00120287646015777</v>
      </c>
      <c r="Y33" s="4">
        <v>0.00126407507347914</v>
      </c>
      <c r="Z33" s="4">
        <v>0.000416949380866733</v>
      </c>
      <c r="AA33" s="4">
        <v>0.000545463595113033</v>
      </c>
      <c r="AB33" s="4">
        <v>0.000655013339409424</v>
      </c>
      <c r="AC33" s="4">
        <v>0.00275923724506377</v>
      </c>
      <c r="AD33" s="4">
        <v>0.000758925477548765</v>
      </c>
      <c r="AE33" s="4">
        <v>0.00577586125251086</v>
      </c>
      <c r="AF33" s="4">
        <v>0.000399973944380687</v>
      </c>
      <c r="AG33" s="4">
        <v>0.00150471462301859</v>
      </c>
      <c r="AH33" s="4">
        <v>0.000643365686819085</v>
      </c>
      <c r="AI33" s="4">
        <v>0.001794812082047</v>
      </c>
      <c r="AJ33" s="4">
        <v>0.000425228590705494</v>
      </c>
      <c r="AK33" s="4">
        <v>0.00095559960313291</v>
      </c>
      <c r="AL33" s="4">
        <v>0.000774871815375445</v>
      </c>
      <c r="AM33" s="4">
        <v>0.00196556281992554</v>
      </c>
      <c r="AN33" s="4">
        <v>0.00101396793653037</v>
      </c>
      <c r="AO33" s="4">
        <v>0.000976727830558201</v>
      </c>
      <c r="AQ33" s="9">
        <v>0.00552704004300005</v>
      </c>
    </row>
    <row r="34" ht="14" spans="1:43">
      <c r="A34" s="22" t="s">
        <v>82</v>
      </c>
      <c r="B34" s="4">
        <v>0.000494524142610144</v>
      </c>
      <c r="C34" s="4">
        <v>0.000553566998891673</v>
      </c>
      <c r="D34" s="4">
        <v>0.000103168370131377</v>
      </c>
      <c r="E34" s="4">
        <v>1.7105874773921e-5</v>
      </c>
      <c r="F34" s="4">
        <v>0.000498315759975197</v>
      </c>
      <c r="G34" s="4">
        <v>0.000536250658562703</v>
      </c>
      <c r="H34" s="4">
        <v>0.000270202926422614</v>
      </c>
      <c r="I34" s="4">
        <v>0.000676149533158876</v>
      </c>
      <c r="J34" s="4">
        <v>0.000346051642654463</v>
      </c>
      <c r="K34" s="4">
        <v>0.000506813831655009</v>
      </c>
      <c r="L34" s="4">
        <v>8.7085606426101e-5</v>
      </c>
      <c r="M34" s="4">
        <v>0.000283251444920896</v>
      </c>
      <c r="N34" s="4">
        <v>0.000277532478359807</v>
      </c>
      <c r="O34" s="4">
        <v>0.000250967271137991</v>
      </c>
      <c r="P34" s="4">
        <v>0.000242301746856337</v>
      </c>
      <c r="Q34" s="4">
        <v>0.000624140468922072</v>
      </c>
      <c r="R34" s="4">
        <v>0.000393363231004263</v>
      </c>
      <c r="S34" s="4">
        <v>-3.5693553410003e-5</v>
      </c>
      <c r="T34" s="4">
        <v>0.000457112115780846</v>
      </c>
      <c r="U34" s="4">
        <v>0.00105237997591838</v>
      </c>
      <c r="V34" s="4">
        <v>0.000258788050255758</v>
      </c>
      <c r="W34" s="4">
        <v>0.000273830354344105</v>
      </c>
      <c r="X34" s="4">
        <v>0.000315445131708054</v>
      </c>
      <c r="Y34" s="4">
        <v>-5.89279582215951e-5</v>
      </c>
      <c r="Z34" s="4">
        <v>0.000627799978902293</v>
      </c>
      <c r="AA34" s="4">
        <v>0.000197366738176165</v>
      </c>
      <c r="AB34" s="4">
        <v>0.000390208546586613</v>
      </c>
      <c r="AC34" s="4">
        <v>0.000109431572310805</v>
      </c>
      <c r="AD34" s="4">
        <v>0.000479677479463534</v>
      </c>
      <c r="AE34" s="4">
        <v>0.000399973944380687</v>
      </c>
      <c r="AF34" s="4">
        <v>0.00243820747274962</v>
      </c>
      <c r="AG34" s="4">
        <v>0.000297318141306607</v>
      </c>
      <c r="AH34" s="4">
        <v>0.00102690255711146</v>
      </c>
      <c r="AI34" s="4">
        <v>0.000678456131708554</v>
      </c>
      <c r="AJ34" s="4">
        <v>8.11753639483197e-5</v>
      </c>
      <c r="AK34" s="4">
        <v>0.000236036036806219</v>
      </c>
      <c r="AL34" s="4">
        <v>0.000379167166610169</v>
      </c>
      <c r="AM34" s="4">
        <v>0.00039096046271261</v>
      </c>
      <c r="AN34" s="4">
        <v>0.000754916849082541</v>
      </c>
      <c r="AO34" s="4">
        <v>0.000494550658122961</v>
      </c>
      <c r="AQ34" s="9">
        <v>0.00791906487531415</v>
      </c>
    </row>
    <row r="35" ht="14" spans="1:43">
      <c r="A35" s="22" t="s">
        <v>89</v>
      </c>
      <c r="B35" s="4">
        <v>0.000955522918569703</v>
      </c>
      <c r="C35" s="4">
        <v>0.000121380851731909</v>
      </c>
      <c r="D35" s="4">
        <v>5.01477457873393e-5</v>
      </c>
      <c r="E35" s="4">
        <v>0.00023848202469557</v>
      </c>
      <c r="F35" s="4">
        <v>0.000618508783028003</v>
      </c>
      <c r="G35" s="4">
        <v>0.000684602212479424</v>
      </c>
      <c r="H35" s="4">
        <v>0.000718452721338083</v>
      </c>
      <c r="I35" s="4">
        <v>0.00111254755831207</v>
      </c>
      <c r="J35" s="4">
        <v>0.00152794254772309</v>
      </c>
      <c r="K35" s="4">
        <v>0.00133134136371551</v>
      </c>
      <c r="L35" s="4">
        <v>0.000324045227568549</v>
      </c>
      <c r="M35" s="4">
        <v>-0.000212044701934343</v>
      </c>
      <c r="N35" s="4">
        <v>0.000638442785551423</v>
      </c>
      <c r="O35" s="4">
        <v>0.000901356199425229</v>
      </c>
      <c r="P35" s="4">
        <v>0.000874319717593205</v>
      </c>
      <c r="Q35" s="4">
        <v>0.00139966687232432</v>
      </c>
      <c r="R35" s="4">
        <v>0.00157740587683507</v>
      </c>
      <c r="S35" s="4">
        <v>0.000562382713669064</v>
      </c>
      <c r="T35" s="4">
        <v>0.00132671064771539</v>
      </c>
      <c r="U35" s="4">
        <v>0.00182216233709032</v>
      </c>
      <c r="V35" s="4">
        <v>0.00103332959706622</v>
      </c>
      <c r="W35" s="4">
        <v>0.000190253392829618</v>
      </c>
      <c r="X35" s="4">
        <v>0.00143280695516555</v>
      </c>
      <c r="Y35" s="4">
        <v>0.000209387864897145</v>
      </c>
      <c r="Z35" s="4">
        <v>0.000366302888300506</v>
      </c>
      <c r="AA35" s="4">
        <v>0.00077142039513697</v>
      </c>
      <c r="AB35" s="4">
        <v>0.000906600721148272</v>
      </c>
      <c r="AC35" s="4">
        <v>0.00275645282282634</v>
      </c>
      <c r="AD35" s="4">
        <v>0.000808507926267473</v>
      </c>
      <c r="AE35" s="4">
        <v>0.00150471462301859</v>
      </c>
      <c r="AF35" s="4">
        <v>0.000297318141306607</v>
      </c>
      <c r="AG35" s="4">
        <v>0.0097318269862282</v>
      </c>
      <c r="AH35" s="4">
        <v>0.00183632708887688</v>
      </c>
      <c r="AI35" s="4">
        <v>0.00133929997549179</v>
      </c>
      <c r="AJ35" s="4">
        <v>0.00272166431752516</v>
      </c>
      <c r="AK35" s="4">
        <v>0.0017620077816435</v>
      </c>
      <c r="AL35" s="4">
        <v>0.00160245566621432</v>
      </c>
      <c r="AM35" s="4">
        <v>0.00279084415407801</v>
      </c>
      <c r="AN35" s="4">
        <v>0.0010183138638731</v>
      </c>
      <c r="AO35" s="4">
        <v>0.00153446828445556</v>
      </c>
      <c r="AQ35" s="9">
        <v>-0.0100076080529272</v>
      </c>
    </row>
    <row r="36" ht="14" spans="1:43">
      <c r="A36" s="22" t="s">
        <v>97</v>
      </c>
      <c r="B36" s="4">
        <v>0.00109832038463812</v>
      </c>
      <c r="C36" s="4">
        <v>0.000514398833900236</v>
      </c>
      <c r="D36" s="4">
        <v>0.000845843968518906</v>
      </c>
      <c r="E36" s="4">
        <v>0.000827873203286339</v>
      </c>
      <c r="F36" s="4">
        <v>0.00121741197861861</v>
      </c>
      <c r="G36" s="4">
        <v>0.00107547317527318</v>
      </c>
      <c r="H36" s="4">
        <v>0.000635019219604525</v>
      </c>
      <c r="I36" s="4">
        <v>0.000975047305850768</v>
      </c>
      <c r="J36" s="4">
        <v>0.000938927140610968</v>
      </c>
      <c r="K36" s="4">
        <v>0.00188231597301268</v>
      </c>
      <c r="L36" s="4">
        <v>0.000892613532748322</v>
      </c>
      <c r="M36" s="4">
        <v>0.00032096341180314</v>
      </c>
      <c r="N36" s="4">
        <v>0.000625940968173138</v>
      </c>
      <c r="O36" s="4">
        <v>0.000691347854605719</v>
      </c>
      <c r="P36" s="4">
        <v>-0.000362171839832087</v>
      </c>
      <c r="Q36" s="4">
        <v>0.00263128105530953</v>
      </c>
      <c r="R36" s="4">
        <v>-3.11139845046768e-5</v>
      </c>
      <c r="S36" s="4">
        <v>0.000385647171779346</v>
      </c>
      <c r="T36" s="4">
        <v>0.00122112973834146</v>
      </c>
      <c r="U36" s="4">
        <v>0.00154020409299371</v>
      </c>
      <c r="V36" s="4">
        <v>0.000574367930126624</v>
      </c>
      <c r="W36" s="4">
        <v>0.000489190771969913</v>
      </c>
      <c r="X36" s="4">
        <v>0.00118450143627523</v>
      </c>
      <c r="Y36" s="4">
        <v>0.0022895626067517</v>
      </c>
      <c r="Z36" s="4">
        <v>0.000785290229628256</v>
      </c>
      <c r="AA36" s="4">
        <v>0.000717351610127999</v>
      </c>
      <c r="AB36" s="4">
        <v>0.000621163624225269</v>
      </c>
      <c r="AC36" s="4">
        <v>0.00173091589705327</v>
      </c>
      <c r="AD36" s="4">
        <v>0.000627418758182311</v>
      </c>
      <c r="AE36" s="4">
        <v>0.000643365686819085</v>
      </c>
      <c r="AF36" s="4">
        <v>0.00102690255711146</v>
      </c>
      <c r="AG36" s="4">
        <v>0.00183632708887688</v>
      </c>
      <c r="AH36" s="4">
        <v>0.015639900734641</v>
      </c>
      <c r="AI36" s="4">
        <v>0.00182852827045293</v>
      </c>
      <c r="AJ36" s="4">
        <v>0.00179379363208222</v>
      </c>
      <c r="AK36" s="4">
        <v>0.000632526377392258</v>
      </c>
      <c r="AL36" s="4">
        <v>0.00151062265689329</v>
      </c>
      <c r="AM36" s="4">
        <v>0.00206273477346599</v>
      </c>
      <c r="AN36" s="4">
        <v>0.00110044870980642</v>
      </c>
      <c r="AO36" s="4">
        <v>0.00213014382414529</v>
      </c>
      <c r="AQ36" s="9">
        <v>-0.00951772247745107</v>
      </c>
    </row>
    <row r="37" ht="14" spans="1:43">
      <c r="A37" s="22" t="s">
        <v>101</v>
      </c>
      <c r="B37" s="4">
        <v>0.000924014278809204</v>
      </c>
      <c r="C37" s="4">
        <v>0.000552531752809942</v>
      </c>
      <c r="D37" s="4">
        <v>-0.000288865346265018</v>
      </c>
      <c r="E37" s="4">
        <v>0.0010246461627747</v>
      </c>
      <c r="F37" s="4">
        <v>0.00096255063406793</v>
      </c>
      <c r="G37" s="4">
        <v>0.0010042099258483</v>
      </c>
      <c r="H37" s="4">
        <v>0.000384118228551983</v>
      </c>
      <c r="I37" s="4">
        <v>0.00106363706105429</v>
      </c>
      <c r="J37" s="4">
        <v>0.00125070359137629</v>
      </c>
      <c r="K37" s="4">
        <v>0.00118874914089587</v>
      </c>
      <c r="L37" s="4">
        <v>0.000359651005000005</v>
      </c>
      <c r="M37" s="4">
        <v>0.000134188999042748</v>
      </c>
      <c r="N37" s="4">
        <v>0.000921217408798376</v>
      </c>
      <c r="O37" s="4">
        <v>0.00124446589937378</v>
      </c>
      <c r="P37" s="4">
        <v>0.000888483969416634</v>
      </c>
      <c r="Q37" s="4">
        <v>0.000760443636704711</v>
      </c>
      <c r="R37" s="4">
        <v>0.00264411233609535</v>
      </c>
      <c r="S37" s="4">
        <v>0.000413900173357014</v>
      </c>
      <c r="T37" s="4">
        <v>0.0011413900930871</v>
      </c>
      <c r="U37" s="4">
        <v>0.0025949300471462</v>
      </c>
      <c r="V37" s="4">
        <v>0.00144830368432744</v>
      </c>
      <c r="W37" s="4">
        <v>0.00118348491654681</v>
      </c>
      <c r="X37" s="4">
        <v>0.00148967154257888</v>
      </c>
      <c r="Y37" s="4">
        <v>0.00174196719132638</v>
      </c>
      <c r="Z37" s="4">
        <v>0.00088071237967199</v>
      </c>
      <c r="AA37" s="4">
        <v>0.00130409106259102</v>
      </c>
      <c r="AB37" s="4">
        <v>0.00099768330136878</v>
      </c>
      <c r="AC37" s="4">
        <v>0.00373850743365986</v>
      </c>
      <c r="AD37" s="4">
        <v>0.000688748319958492</v>
      </c>
      <c r="AE37" s="4">
        <v>0.001794812082047</v>
      </c>
      <c r="AF37" s="4">
        <v>0.000678456131708554</v>
      </c>
      <c r="AG37" s="4">
        <v>0.00133929997549179</v>
      </c>
      <c r="AH37" s="4">
        <v>0.00182852827045293</v>
      </c>
      <c r="AI37" s="4">
        <v>0.00917726875312055</v>
      </c>
      <c r="AJ37" s="4">
        <v>0.00243022911619023</v>
      </c>
      <c r="AK37" s="4">
        <v>0.00176298927699488</v>
      </c>
      <c r="AL37" s="4">
        <v>0.0011381643122151</v>
      </c>
      <c r="AM37" s="4">
        <v>0.00213227804726116</v>
      </c>
      <c r="AN37" s="4">
        <v>0.00104946774046598</v>
      </c>
      <c r="AO37" s="4">
        <v>0.00197989750510256</v>
      </c>
      <c r="AQ37" s="9">
        <v>0.00330559650171258</v>
      </c>
    </row>
    <row r="38" ht="14" spans="1:43">
      <c r="A38" s="22" t="s">
        <v>107</v>
      </c>
      <c r="B38" s="4">
        <v>0.000301738776349225</v>
      </c>
      <c r="C38" s="4">
        <v>0.000218660568717075</v>
      </c>
      <c r="D38" s="4">
        <v>2.26650351140686e-5</v>
      </c>
      <c r="E38" s="4">
        <v>0.00182703239185921</v>
      </c>
      <c r="F38" s="4">
        <v>0.00134825317438246</v>
      </c>
      <c r="G38" s="4">
        <v>0.000576506947432706</v>
      </c>
      <c r="H38" s="4">
        <v>0.00183785766919502</v>
      </c>
      <c r="I38" s="4">
        <v>0.000715181670381336</v>
      </c>
      <c r="J38" s="4">
        <v>0.00139162541149952</v>
      </c>
      <c r="K38" s="4">
        <v>0.00231748005907751</v>
      </c>
      <c r="L38" s="4">
        <v>-0.000407320173915036</v>
      </c>
      <c r="M38" s="4">
        <v>-9.64483112416507e-5</v>
      </c>
      <c r="N38" s="4">
        <v>0.000823673903544699</v>
      </c>
      <c r="O38" s="4">
        <v>0.00127288313205625</v>
      </c>
      <c r="P38" s="4">
        <v>0.00165290890139209</v>
      </c>
      <c r="Q38" s="4">
        <v>0.000414530089166232</v>
      </c>
      <c r="R38" s="4">
        <v>0.00105159444978638</v>
      </c>
      <c r="S38" s="4">
        <v>0.00113370515116192</v>
      </c>
      <c r="T38" s="4">
        <v>0.00201009377544867</v>
      </c>
      <c r="U38" s="4">
        <v>0.00339842660271602</v>
      </c>
      <c r="V38" s="4">
        <v>0.00111095849921977</v>
      </c>
      <c r="W38" s="4">
        <v>0.000598266700180745</v>
      </c>
      <c r="X38" s="4">
        <v>0.00203169095897523</v>
      </c>
      <c r="Y38" s="4">
        <v>0.00212802193491994</v>
      </c>
      <c r="Z38" s="4">
        <v>0.000215111612501642</v>
      </c>
      <c r="AA38" s="4">
        <v>0.00118146769041787</v>
      </c>
      <c r="AB38" s="4">
        <v>-0.000366306152835659</v>
      </c>
      <c r="AC38" s="4">
        <v>0.00327750752753751</v>
      </c>
      <c r="AD38" s="4">
        <v>0.000675918914048475</v>
      </c>
      <c r="AE38" s="4">
        <v>0.000425228590705494</v>
      </c>
      <c r="AF38" s="4">
        <v>8.11753639483197e-5</v>
      </c>
      <c r="AG38" s="4">
        <v>0.00272166431752516</v>
      </c>
      <c r="AH38" s="4">
        <v>0.00179379363208222</v>
      </c>
      <c r="AI38" s="4">
        <v>0.00243022911619023</v>
      </c>
      <c r="AJ38" s="4">
        <v>0.0203973447557975</v>
      </c>
      <c r="AK38" s="4">
        <v>0.00264863497617387</v>
      </c>
      <c r="AL38" s="4">
        <v>0.0027899219368804</v>
      </c>
      <c r="AM38" s="4">
        <v>0.00100694069434678</v>
      </c>
      <c r="AN38" s="4">
        <v>0.00116631238635025</v>
      </c>
      <c r="AO38" s="4">
        <v>0.00290869624016171</v>
      </c>
      <c r="AQ38" s="9">
        <v>0.017891290286333</v>
      </c>
    </row>
    <row r="39" ht="14" spans="1:43">
      <c r="A39" s="22" t="s">
        <v>110</v>
      </c>
      <c r="B39" s="4">
        <v>0.000622542569465842</v>
      </c>
      <c r="C39" s="4">
        <v>0.000360429298766426</v>
      </c>
      <c r="D39" s="4">
        <v>0.000213579521090633</v>
      </c>
      <c r="E39" s="4">
        <v>0.000620557117230763</v>
      </c>
      <c r="F39" s="4">
        <v>0.000672479944892789</v>
      </c>
      <c r="G39" s="4">
        <v>0.000300558362255168</v>
      </c>
      <c r="H39" s="4">
        <v>0.000410923448695239</v>
      </c>
      <c r="I39" s="4">
        <v>0.00034871995683923</v>
      </c>
      <c r="J39" s="4">
        <v>0.000979445263138898</v>
      </c>
      <c r="K39" s="4">
        <v>0.00136323550494103</v>
      </c>
      <c r="L39" s="4">
        <v>-0.000155972632984227</v>
      </c>
      <c r="M39" s="4">
        <v>6.69260588131621e-5</v>
      </c>
      <c r="N39" s="4">
        <v>0.000403841484402913</v>
      </c>
      <c r="O39" s="4">
        <v>0.000848150544118072</v>
      </c>
      <c r="P39" s="4">
        <v>0.00151660417401395</v>
      </c>
      <c r="Q39" s="4">
        <v>0.000851683729351463</v>
      </c>
      <c r="R39" s="4">
        <v>0.000637005765041956</v>
      </c>
      <c r="S39" s="4">
        <v>0.000508295792414205</v>
      </c>
      <c r="T39" s="4">
        <v>0.000452715468575884</v>
      </c>
      <c r="U39" s="4">
        <v>0.00212275862497374</v>
      </c>
      <c r="V39" s="4">
        <v>0.000742880475709453</v>
      </c>
      <c r="W39" s="4">
        <v>0.000505990097403556</v>
      </c>
      <c r="X39" s="4">
        <v>0.00115590305190447</v>
      </c>
      <c r="Y39" s="4">
        <v>0.000692528207696178</v>
      </c>
      <c r="Z39" s="4">
        <v>0.000339308299105752</v>
      </c>
      <c r="AA39" s="4">
        <v>0.000806006855022835</v>
      </c>
      <c r="AB39" s="4">
        <v>0.000672621207993021</v>
      </c>
      <c r="AC39" s="4">
        <v>0.00192959131684295</v>
      </c>
      <c r="AD39" s="4">
        <v>0.00073377964550233</v>
      </c>
      <c r="AE39" s="4">
        <v>0.00095559960313291</v>
      </c>
      <c r="AF39" s="4">
        <v>0.000236036036806219</v>
      </c>
      <c r="AG39" s="4">
        <v>0.0017620077816435</v>
      </c>
      <c r="AH39" s="4">
        <v>0.000632526377392258</v>
      </c>
      <c r="AI39" s="4">
        <v>0.00176298927699488</v>
      </c>
      <c r="AJ39" s="4">
        <v>0.00264863497617387</v>
      </c>
      <c r="AK39" s="4">
        <v>0.00688201182347131</v>
      </c>
      <c r="AL39" s="4">
        <v>0.00105344855453425</v>
      </c>
      <c r="AM39" s="4">
        <v>0.00125583243478422</v>
      </c>
      <c r="AN39" s="4">
        <v>0.0005810918061455</v>
      </c>
      <c r="AO39" s="4">
        <v>0.0015955541905662</v>
      </c>
      <c r="AQ39" s="9">
        <v>0.0081512257155671</v>
      </c>
    </row>
    <row r="40" ht="14" spans="1:43">
      <c r="A40" s="22" t="s">
        <v>114</v>
      </c>
      <c r="B40" s="4">
        <v>0.000820561187910153</v>
      </c>
      <c r="C40" s="4">
        <v>0.00063085805069389</v>
      </c>
      <c r="D40" s="4">
        <v>0.000506549648915891</v>
      </c>
      <c r="E40" s="4">
        <v>0.00121022706028343</v>
      </c>
      <c r="F40" s="4">
        <v>0.000875382721192286</v>
      </c>
      <c r="G40" s="4">
        <v>0.000531735777238177</v>
      </c>
      <c r="H40" s="4">
        <v>0.001136980184011</v>
      </c>
      <c r="I40" s="4">
        <v>0.000656619179502511</v>
      </c>
      <c r="J40" s="4">
        <v>0.000931681106838538</v>
      </c>
      <c r="K40" s="4">
        <v>0.0012507015175944</v>
      </c>
      <c r="L40" s="4">
        <v>-0.000239033167973599</v>
      </c>
      <c r="M40" s="4">
        <v>0.000227052461961902</v>
      </c>
      <c r="N40" s="4">
        <v>0.000673352559730194</v>
      </c>
      <c r="O40" s="4">
        <v>0.000583672669890453</v>
      </c>
      <c r="P40" s="4">
        <v>0.00066270425668288</v>
      </c>
      <c r="Q40" s="4">
        <v>3.02790580838786e-5</v>
      </c>
      <c r="R40" s="4">
        <v>0.00066760168332159</v>
      </c>
      <c r="S40" s="4">
        <v>0.0012054005550366</v>
      </c>
      <c r="T40" s="4">
        <v>0.00121124118613714</v>
      </c>
      <c r="U40" s="4">
        <v>0.00166192601669696</v>
      </c>
      <c r="V40" s="4">
        <v>0.00123677167525704</v>
      </c>
      <c r="W40" s="4">
        <v>0.000487931140771634</v>
      </c>
      <c r="X40" s="4">
        <v>0.00103905869791664</v>
      </c>
      <c r="Y40" s="4">
        <v>0.00257816376006994</v>
      </c>
      <c r="Z40" s="4">
        <v>0.000834269188408057</v>
      </c>
      <c r="AA40" s="4">
        <v>0.000881671825536437</v>
      </c>
      <c r="AB40" s="4">
        <v>0.000156401529744962</v>
      </c>
      <c r="AC40" s="4">
        <v>0.00253480915886537</v>
      </c>
      <c r="AD40" s="4">
        <v>0.000414923310950118</v>
      </c>
      <c r="AE40" s="4">
        <v>0.000774871815375445</v>
      </c>
      <c r="AF40" s="4">
        <v>0.000379167166610169</v>
      </c>
      <c r="AG40" s="4">
        <v>0.00160245566621432</v>
      </c>
      <c r="AH40" s="4">
        <v>0.00151062265689329</v>
      </c>
      <c r="AI40" s="4">
        <v>0.0011381643122151</v>
      </c>
      <c r="AJ40" s="4">
        <v>0.0027899219368804</v>
      </c>
      <c r="AK40" s="4">
        <v>0.00105344855453425</v>
      </c>
      <c r="AL40" s="4">
        <v>0.00629236004747473</v>
      </c>
      <c r="AM40" s="4">
        <v>0.00138155966820092</v>
      </c>
      <c r="AN40" s="4">
        <v>0.000682844136268118</v>
      </c>
      <c r="AO40" s="4">
        <v>0.00218698352353411</v>
      </c>
      <c r="AQ40" s="9">
        <v>0.00217789633251678</v>
      </c>
    </row>
    <row r="41" ht="14" spans="1:43">
      <c r="A41" s="22" t="s">
        <v>127</v>
      </c>
      <c r="B41" s="4">
        <v>0.0014659261072411</v>
      </c>
      <c r="C41" s="4">
        <v>0.000949674938617444</v>
      </c>
      <c r="D41" s="4">
        <v>0.000935239019732679</v>
      </c>
      <c r="E41" s="4">
        <v>0.00136839813154106</v>
      </c>
      <c r="F41" s="4">
        <v>0.00135287456626763</v>
      </c>
      <c r="G41" s="4">
        <v>0.00119912631252331</v>
      </c>
      <c r="H41" s="4">
        <v>0.000576748966711818</v>
      </c>
      <c r="I41" s="4">
        <v>0.000609519938220563</v>
      </c>
      <c r="J41" s="4">
        <v>0.00120517543762617</v>
      </c>
      <c r="K41" s="4">
        <v>0.000922768778222844</v>
      </c>
      <c r="L41" s="4">
        <v>0.000420328283917622</v>
      </c>
      <c r="M41" s="4">
        <v>0.00038399540253993</v>
      </c>
      <c r="N41" s="4">
        <v>0.00167759544178118</v>
      </c>
      <c r="O41" s="4">
        <v>0.000661663527431784</v>
      </c>
      <c r="P41" s="4">
        <v>0.000752003346924876</v>
      </c>
      <c r="Q41" s="4">
        <v>0.000258803465750036</v>
      </c>
      <c r="R41" s="4">
        <v>0.00268352148345333</v>
      </c>
      <c r="S41" s="4">
        <v>0.00116362461876524</v>
      </c>
      <c r="T41" s="4">
        <v>0.00206361051272762</v>
      </c>
      <c r="U41" s="4">
        <v>0.0019672160022474</v>
      </c>
      <c r="V41" s="4">
        <v>0.000930006921846425</v>
      </c>
      <c r="W41" s="4">
        <v>0.00216514264634759</v>
      </c>
      <c r="X41" s="4">
        <v>0.00192639614144903</v>
      </c>
      <c r="Y41" s="4">
        <v>0.00444950279991858</v>
      </c>
      <c r="Z41" s="4">
        <v>0.00144956411846718</v>
      </c>
      <c r="AA41" s="4">
        <v>0.00110971262510815</v>
      </c>
      <c r="AB41" s="4">
        <v>0.000912600354514212</v>
      </c>
      <c r="AC41" s="4">
        <v>0.00521638610173728</v>
      </c>
      <c r="AD41" s="4">
        <v>0.000785246477051764</v>
      </c>
      <c r="AE41" s="4">
        <v>0.00196556281992554</v>
      </c>
      <c r="AF41" s="4">
        <v>0.00039096046271261</v>
      </c>
      <c r="AG41" s="4">
        <v>0.00279084415407801</v>
      </c>
      <c r="AH41" s="4">
        <v>0.00206273477346599</v>
      </c>
      <c r="AI41" s="4">
        <v>0.00213227804726116</v>
      </c>
      <c r="AJ41" s="4">
        <v>0.00100694069434678</v>
      </c>
      <c r="AK41" s="4">
        <v>0.00125583243478422</v>
      </c>
      <c r="AL41" s="4">
        <v>0.00138155966820092</v>
      </c>
      <c r="AM41" s="4">
        <v>0.0288543441698788</v>
      </c>
      <c r="AN41" s="4">
        <v>0.00106235407044693</v>
      </c>
      <c r="AO41" s="4">
        <v>0.000958836696119506</v>
      </c>
      <c r="AQ41" s="9">
        <v>0.0520527400716057</v>
      </c>
    </row>
    <row r="42" ht="14" spans="1:43">
      <c r="A42" s="22" t="s">
        <v>128</v>
      </c>
      <c r="B42" s="4">
        <v>0.00055150116604192</v>
      </c>
      <c r="C42" s="4">
        <v>0.000261134482716925</v>
      </c>
      <c r="D42" s="4">
        <v>-0.000209870312031423</v>
      </c>
      <c r="E42" s="4">
        <v>0.000457059037032836</v>
      </c>
      <c r="F42" s="4">
        <v>0.00031625956894584</v>
      </c>
      <c r="G42" s="4">
        <v>0.000621112980936915</v>
      </c>
      <c r="H42" s="4">
        <v>0.000704515832967639</v>
      </c>
      <c r="I42" s="4">
        <v>0.00134327180046997</v>
      </c>
      <c r="J42" s="4">
        <v>0.000843533225083047</v>
      </c>
      <c r="K42" s="4">
        <v>0.000377069732855036</v>
      </c>
      <c r="L42" s="4">
        <v>0.000533179640298691</v>
      </c>
      <c r="M42" s="4">
        <v>0.000214359034068715</v>
      </c>
      <c r="N42" s="4">
        <v>0.000765469587370128</v>
      </c>
      <c r="O42" s="4">
        <v>0.000989682545194395</v>
      </c>
      <c r="P42" s="4">
        <v>0.00110398593333556</v>
      </c>
      <c r="Q42" s="4">
        <v>0.000787028773534137</v>
      </c>
      <c r="R42" s="4">
        <v>0.00220575342819557</v>
      </c>
      <c r="S42" s="4">
        <v>0.000370816953598039</v>
      </c>
      <c r="T42" s="4">
        <v>0.00105039282033829</v>
      </c>
      <c r="U42" s="4">
        <v>0.00248264913142492</v>
      </c>
      <c r="V42" s="4">
        <v>0.00104535167574462</v>
      </c>
      <c r="W42" s="4">
        <v>0.00124667711685636</v>
      </c>
      <c r="X42" s="4">
        <v>0.00135780434237406</v>
      </c>
      <c r="Y42" s="4">
        <v>0.000597663236078743</v>
      </c>
      <c r="Z42" s="4">
        <v>0.000354223262653338</v>
      </c>
      <c r="AA42" s="4">
        <v>0.000667371488455433</v>
      </c>
      <c r="AB42" s="4">
        <v>0.000695664334082891</v>
      </c>
      <c r="AC42" s="4">
        <v>0.000304183549194635</v>
      </c>
      <c r="AD42" s="4">
        <v>0.000233798182449396</v>
      </c>
      <c r="AE42" s="4">
        <v>0.00101396793653037</v>
      </c>
      <c r="AF42" s="4">
        <v>0.000754916849082541</v>
      </c>
      <c r="AG42" s="4">
        <v>0.0010183138638731</v>
      </c>
      <c r="AH42" s="4">
        <v>0.00110044870980642</v>
      </c>
      <c r="AI42" s="4">
        <v>0.00104946774046598</v>
      </c>
      <c r="AJ42" s="4">
        <v>0.00116631238635025</v>
      </c>
      <c r="AK42" s="4">
        <v>0.0005810918061455</v>
      </c>
      <c r="AL42" s="4">
        <v>0.000682844136268118</v>
      </c>
      <c r="AM42" s="4">
        <v>0.00106235407044693</v>
      </c>
      <c r="AN42" s="4">
        <v>0.00560074218683889</v>
      </c>
      <c r="AO42" s="4">
        <v>0.000489393777971302</v>
      </c>
      <c r="AQ42" s="9">
        <v>0.0239550629337842</v>
      </c>
    </row>
    <row r="43" ht="14" spans="1:43">
      <c r="A43" s="22" t="s">
        <v>130</v>
      </c>
      <c r="B43" s="4">
        <v>0.000642595193675745</v>
      </c>
      <c r="C43" s="4">
        <v>5.67928386070292e-5</v>
      </c>
      <c r="D43" s="4">
        <v>2.44730406749088e-5</v>
      </c>
      <c r="E43" s="4">
        <v>0.000371221000912044</v>
      </c>
      <c r="F43" s="4">
        <v>9.32319228588942e-5</v>
      </c>
      <c r="G43" s="4">
        <v>0.000647840787222945</v>
      </c>
      <c r="H43" s="4">
        <v>0.000867231764265514</v>
      </c>
      <c r="I43" s="4">
        <v>0.000523549248514434</v>
      </c>
      <c r="J43" s="4">
        <v>0.000413877692992993</v>
      </c>
      <c r="K43" s="4">
        <v>0.00111015824090179</v>
      </c>
      <c r="L43" s="4">
        <v>-0.00104334583692545</v>
      </c>
      <c r="M43" s="4">
        <v>1.96469405825999e-5</v>
      </c>
      <c r="N43" s="4">
        <v>0.000420579240380031</v>
      </c>
      <c r="O43" s="4">
        <v>0.000329108877371951</v>
      </c>
      <c r="P43" s="4">
        <v>0.000938843505194933</v>
      </c>
      <c r="Q43" s="4">
        <v>0.000102008497353776</v>
      </c>
      <c r="R43" s="4">
        <v>0.000510311979982773</v>
      </c>
      <c r="S43" s="4">
        <v>0.000723871886892702</v>
      </c>
      <c r="T43" s="4">
        <v>0.00146677757771331</v>
      </c>
      <c r="U43" s="4">
        <v>0.000305984069014807</v>
      </c>
      <c r="V43" s="4">
        <v>0.00125915241389443</v>
      </c>
      <c r="W43" s="4">
        <v>0.000871554980515812</v>
      </c>
      <c r="X43" s="4">
        <v>0.00104694759269426</v>
      </c>
      <c r="Y43" s="4">
        <v>0.00229054746924588</v>
      </c>
      <c r="Z43" s="4">
        <v>0.000851438491445046</v>
      </c>
      <c r="AA43" s="4">
        <v>0.000810295734029045</v>
      </c>
      <c r="AB43" s="4">
        <v>-6.42602343475137e-5</v>
      </c>
      <c r="AC43" s="4">
        <v>0.00463921708302226</v>
      </c>
      <c r="AD43" s="4">
        <v>0.00043697495084298</v>
      </c>
      <c r="AE43" s="4">
        <v>0.000976727830558201</v>
      </c>
      <c r="AF43" s="4">
        <v>0.000494550658122961</v>
      </c>
      <c r="AG43" s="4">
        <v>0.00153446828445556</v>
      </c>
      <c r="AH43" s="4">
        <v>0.00213014382414529</v>
      </c>
      <c r="AI43" s="4">
        <v>0.00197989750510256</v>
      </c>
      <c r="AJ43" s="4">
        <v>0.00290869624016171</v>
      </c>
      <c r="AK43" s="4">
        <v>0.0015955541905662</v>
      </c>
      <c r="AL43" s="4">
        <v>0.00218698352353411</v>
      </c>
      <c r="AM43" s="4">
        <v>0.000958836696119506</v>
      </c>
      <c r="AN43" s="4">
        <v>0.000489393777971302</v>
      </c>
      <c r="AO43" s="4">
        <v>0.00963337352595042</v>
      </c>
      <c r="AQ43" s="9">
        <v>0.00644644429777322</v>
      </c>
    </row>
    <row r="45" spans="1:2">
      <c r="A45" s="4" t="s">
        <v>151</v>
      </c>
      <c r="B45" s="9">
        <f>0.02/100</f>
        <v>0.0002</v>
      </c>
    </row>
    <row r="47" s="20" customFormat="1" ht="16.4" spans="1:5">
      <c r="A47" s="21" t="s">
        <v>152</v>
      </c>
      <c r="E47" s="21" t="s">
        <v>153</v>
      </c>
    </row>
    <row r="48" ht="27" spans="1:5">
      <c r="A48" s="18" t="s">
        <v>154</v>
      </c>
      <c r="E48" s="18" t="s">
        <v>154</v>
      </c>
    </row>
    <row r="49" ht="14" spans="1:6">
      <c r="A49" s="22" t="s">
        <v>2</v>
      </c>
      <c r="B49" s="9">
        <f t="array" ref="B49:B88">MMULT(MINVERSE(B4:AO43),AQ4:AQ43-B45)/SUM(MMULT(MINVERSE(B4:AO43),AQ4:AQ43-B45))</f>
        <v>-0.0730923572068319</v>
      </c>
      <c r="E49" s="22" t="s">
        <v>2</v>
      </c>
      <c r="F49" s="9">
        <v>0.005</v>
      </c>
    </row>
    <row r="50" ht="14" spans="1:6">
      <c r="A50" s="22" t="s">
        <v>6</v>
      </c>
      <c r="B50" s="9">
        <v>-0.0469601828462478</v>
      </c>
      <c r="E50" s="22" t="s">
        <v>6</v>
      </c>
      <c r="F50" s="9">
        <v>0.005</v>
      </c>
    </row>
    <row r="51" ht="14" spans="1:6">
      <c r="A51" s="22" t="s">
        <v>4</v>
      </c>
      <c r="B51" s="9">
        <v>0.148313506900322</v>
      </c>
      <c r="E51" s="22" t="s">
        <v>4</v>
      </c>
      <c r="F51" s="9">
        <v>0.103346075243806</v>
      </c>
    </row>
    <row r="52" ht="14" spans="1:6">
      <c r="A52" s="22" t="s">
        <v>5</v>
      </c>
      <c r="B52" s="9">
        <v>0.0075646270660951</v>
      </c>
      <c r="E52" s="22" t="s">
        <v>5</v>
      </c>
      <c r="F52" s="9">
        <v>0.005</v>
      </c>
    </row>
    <row r="53" ht="14" spans="1:6">
      <c r="A53" s="22" t="s">
        <v>7</v>
      </c>
      <c r="B53" s="9">
        <v>-0.0347086301544081</v>
      </c>
      <c r="E53" s="22" t="s">
        <v>7</v>
      </c>
      <c r="F53" s="9">
        <v>0.005</v>
      </c>
    </row>
    <row r="54" ht="14" spans="1:6">
      <c r="A54" s="22" t="s">
        <v>9</v>
      </c>
      <c r="B54" s="9">
        <v>0.144436393953476</v>
      </c>
      <c r="E54" s="22" t="s">
        <v>9</v>
      </c>
      <c r="F54" s="9">
        <v>0.0994689622969602</v>
      </c>
    </row>
    <row r="55" ht="14" spans="1:6">
      <c r="A55" s="22" t="s">
        <v>10</v>
      </c>
      <c r="B55" s="9">
        <v>-0.0432992993118421</v>
      </c>
      <c r="E55" s="22" t="s">
        <v>10</v>
      </c>
      <c r="F55" s="9">
        <v>0.005</v>
      </c>
    </row>
    <row r="56" ht="14" spans="1:6">
      <c r="A56" s="22" t="s">
        <v>11</v>
      </c>
      <c r="B56" s="9">
        <v>0.0831539894498937</v>
      </c>
      <c r="E56" s="22" t="s">
        <v>11</v>
      </c>
      <c r="F56" s="9">
        <v>0.0381865577933778</v>
      </c>
    </row>
    <row r="57" ht="14" spans="1:6">
      <c r="A57" s="22" t="s">
        <v>16</v>
      </c>
      <c r="B57" s="9">
        <v>0.113107555583468</v>
      </c>
      <c r="E57" s="22" t="s">
        <v>16</v>
      </c>
      <c r="F57" s="9">
        <v>0.0681401239269525</v>
      </c>
    </row>
    <row r="58" ht="14" spans="1:6">
      <c r="A58" s="22" t="s">
        <v>17</v>
      </c>
      <c r="B58" s="9">
        <v>-0.0296301454552345</v>
      </c>
      <c r="E58" s="22" t="s">
        <v>17</v>
      </c>
      <c r="F58" s="9">
        <v>0.005</v>
      </c>
    </row>
    <row r="59" ht="14" spans="1:6">
      <c r="A59" s="22" t="s">
        <v>19</v>
      </c>
      <c r="B59" s="9">
        <v>-0.0159980604048307</v>
      </c>
      <c r="E59" s="22" t="s">
        <v>19</v>
      </c>
      <c r="F59" s="9">
        <v>0.005</v>
      </c>
    </row>
    <row r="60" ht="14" spans="1:6">
      <c r="A60" s="22" t="s">
        <v>28</v>
      </c>
      <c r="B60" s="9">
        <v>0.110107987824136</v>
      </c>
      <c r="E60" s="22" t="s">
        <v>28</v>
      </c>
      <c r="F60" s="9">
        <v>0.0651405561676205</v>
      </c>
    </row>
    <row r="61" ht="14" spans="1:6">
      <c r="A61" s="22" t="s">
        <v>30</v>
      </c>
      <c r="B61" s="9">
        <v>0.208807588275341</v>
      </c>
      <c r="E61" s="22" t="s">
        <v>30</v>
      </c>
      <c r="F61" s="9">
        <v>0.163840156618825</v>
      </c>
    </row>
    <row r="62" ht="14" spans="1:6">
      <c r="A62" s="22" t="s">
        <v>32</v>
      </c>
      <c r="B62" s="9">
        <v>0.0217964332304218</v>
      </c>
      <c r="E62" s="22" t="s">
        <v>32</v>
      </c>
      <c r="F62" s="9">
        <v>0.005</v>
      </c>
    </row>
    <row r="63" ht="14" spans="1:6">
      <c r="A63" s="22" t="s">
        <v>34</v>
      </c>
      <c r="B63" s="9">
        <v>0.0760996468252525</v>
      </c>
      <c r="E63" s="22" t="s">
        <v>34</v>
      </c>
      <c r="F63" s="9">
        <v>0.0311322151687367</v>
      </c>
    </row>
    <row r="64" ht="14" spans="1:6">
      <c r="A64" s="22" t="s">
        <v>37</v>
      </c>
      <c r="B64" s="9">
        <v>0.014522870953832</v>
      </c>
      <c r="E64" s="22" t="s">
        <v>37</v>
      </c>
      <c r="F64" s="9">
        <v>0.005</v>
      </c>
    </row>
    <row r="65" ht="14" spans="1:6">
      <c r="A65" s="22" t="s">
        <v>39</v>
      </c>
      <c r="B65" s="9">
        <v>0.0233250001349201</v>
      </c>
      <c r="E65" s="22" t="s">
        <v>39</v>
      </c>
      <c r="F65" s="9">
        <v>0.005</v>
      </c>
    </row>
    <row r="66" ht="14" spans="1:6">
      <c r="A66" s="22" t="s">
        <v>40</v>
      </c>
      <c r="B66" s="9">
        <v>0.00917187888958462</v>
      </c>
      <c r="E66" s="22" t="s">
        <v>40</v>
      </c>
      <c r="F66" s="9">
        <v>0.005</v>
      </c>
    </row>
    <row r="67" ht="14" spans="1:6">
      <c r="A67" s="22" t="s">
        <v>41</v>
      </c>
      <c r="B67" s="9">
        <v>0.0276782039613003</v>
      </c>
      <c r="E67" s="22" t="s">
        <v>41</v>
      </c>
      <c r="F67" s="9">
        <v>0.005</v>
      </c>
    </row>
    <row r="68" ht="14" spans="1:6">
      <c r="A68" s="22" t="s">
        <v>44</v>
      </c>
      <c r="B68" s="9">
        <v>0.000232581328834208</v>
      </c>
      <c r="E68" s="22" t="s">
        <v>44</v>
      </c>
      <c r="F68" s="9">
        <v>0.005</v>
      </c>
    </row>
    <row r="69" ht="14" spans="1:6">
      <c r="A69" s="22" t="s">
        <v>49</v>
      </c>
      <c r="B69" s="9">
        <v>0.0124471876765894</v>
      </c>
      <c r="E69" s="22" t="s">
        <v>49</v>
      </c>
      <c r="F69" s="9">
        <v>0.005</v>
      </c>
    </row>
    <row r="70" ht="14" spans="1:6">
      <c r="A70" s="22" t="s">
        <v>53</v>
      </c>
      <c r="B70" s="9">
        <v>0.0439775969068553</v>
      </c>
      <c r="E70" s="22" t="s">
        <v>53</v>
      </c>
      <c r="F70" s="9">
        <v>0.005</v>
      </c>
    </row>
    <row r="71" ht="14" spans="1:6">
      <c r="A71" s="22" t="s">
        <v>57</v>
      </c>
      <c r="B71" s="9">
        <v>-0.00361627405347533</v>
      </c>
      <c r="E71" s="22" t="s">
        <v>57</v>
      </c>
      <c r="F71" s="9">
        <v>0.005</v>
      </c>
    </row>
    <row r="72" ht="14" spans="1:6">
      <c r="A72" s="22" t="s">
        <v>61</v>
      </c>
      <c r="B72" s="9">
        <v>0.0343741543051176</v>
      </c>
      <c r="E72" s="22" t="s">
        <v>61</v>
      </c>
      <c r="F72" s="9">
        <v>0.005</v>
      </c>
    </row>
    <row r="73" ht="14" spans="1:6">
      <c r="A73" s="22" t="s">
        <v>63</v>
      </c>
      <c r="B73" s="9">
        <v>0.125107463469384</v>
      </c>
      <c r="E73" s="22" t="s">
        <v>63</v>
      </c>
      <c r="F73" s="9">
        <v>0.0801400318128682</v>
      </c>
    </row>
    <row r="74" ht="14" spans="1:6">
      <c r="A74" s="22" t="s">
        <v>66</v>
      </c>
      <c r="B74" s="9">
        <v>0.0275713589048403</v>
      </c>
      <c r="E74" s="22" t="s">
        <v>66</v>
      </c>
      <c r="F74" s="9">
        <v>0.005</v>
      </c>
    </row>
    <row r="75" ht="14" spans="1:6">
      <c r="A75" s="22" t="s">
        <v>74</v>
      </c>
      <c r="B75" s="9">
        <v>0.0725565880427236</v>
      </c>
      <c r="E75" s="22" t="s">
        <v>74</v>
      </c>
      <c r="F75" s="9">
        <v>0.0275891563862077</v>
      </c>
    </row>
    <row r="76" ht="14" spans="1:6">
      <c r="A76" s="22" t="s">
        <v>75</v>
      </c>
      <c r="B76" s="9">
        <v>-0.00825776873509185</v>
      </c>
      <c r="E76" s="22" t="s">
        <v>75</v>
      </c>
      <c r="F76" s="9">
        <v>0.005</v>
      </c>
    </row>
    <row r="77" ht="14" spans="1:6">
      <c r="A77" s="22" t="s">
        <v>78</v>
      </c>
      <c r="B77" s="9">
        <v>0.20504289825029</v>
      </c>
      <c r="E77" s="22" t="s">
        <v>78</v>
      </c>
      <c r="F77" s="9">
        <v>0.160075466593774</v>
      </c>
    </row>
    <row r="78" ht="14" spans="1:6">
      <c r="A78" s="22" t="s">
        <v>81</v>
      </c>
      <c r="B78" s="9">
        <v>-0.0537143606787595</v>
      </c>
      <c r="E78" s="22" t="s">
        <v>81</v>
      </c>
      <c r="F78" s="9">
        <v>0.005</v>
      </c>
    </row>
    <row r="79" ht="14" spans="1:6">
      <c r="A79" s="22" t="s">
        <v>82</v>
      </c>
      <c r="B79" s="9">
        <v>-0.0214570275193261</v>
      </c>
      <c r="E79" s="22" t="s">
        <v>82</v>
      </c>
      <c r="F79" s="9">
        <v>0.005</v>
      </c>
    </row>
    <row r="80" ht="14" spans="1:6">
      <c r="A80" s="22" t="s">
        <v>89</v>
      </c>
      <c r="B80" s="9">
        <v>-0.100872835852929</v>
      </c>
      <c r="E80" s="22" t="s">
        <v>89</v>
      </c>
      <c r="F80" s="9">
        <v>0.005</v>
      </c>
    </row>
    <row r="81" ht="14" spans="1:6">
      <c r="A81" s="22" t="s">
        <v>97</v>
      </c>
      <c r="B81" s="9">
        <v>-0.0576960010477945</v>
      </c>
      <c r="E81" s="22" t="s">
        <v>97</v>
      </c>
      <c r="F81" s="9">
        <v>0.005</v>
      </c>
    </row>
    <row r="82" ht="14" spans="1:6">
      <c r="A82" s="22" t="s">
        <v>101</v>
      </c>
      <c r="B82" s="9">
        <v>-0.0751617369228755</v>
      </c>
      <c r="E82" s="22" t="s">
        <v>101</v>
      </c>
      <c r="F82" s="9">
        <v>0.005</v>
      </c>
    </row>
    <row r="83" ht="14" spans="1:6">
      <c r="A83" s="22" t="s">
        <v>107</v>
      </c>
      <c r="B83" s="9">
        <v>0.0260321971839562</v>
      </c>
      <c r="E83" s="22" t="s">
        <v>107</v>
      </c>
      <c r="F83" s="9">
        <v>0.005</v>
      </c>
    </row>
    <row r="84" ht="14" spans="1:6">
      <c r="A84" s="22" t="s">
        <v>110</v>
      </c>
      <c r="B84" s="9">
        <v>-0.00827271147220299</v>
      </c>
      <c r="E84" s="22" t="s">
        <v>110</v>
      </c>
      <c r="F84" s="9">
        <v>0.005</v>
      </c>
    </row>
    <row r="85" ht="14" spans="1:6">
      <c r="A85" s="22" t="s">
        <v>114</v>
      </c>
      <c r="B85" s="9">
        <v>-0.0738158766821115</v>
      </c>
      <c r="E85" s="22" t="s">
        <v>114</v>
      </c>
      <c r="F85" s="9">
        <v>0.005</v>
      </c>
    </row>
    <row r="86" ht="14" spans="1:6">
      <c r="A86" s="22" t="s">
        <v>127</v>
      </c>
      <c r="B86" s="9">
        <v>0.0350406367547628</v>
      </c>
      <c r="E86" s="22" t="s">
        <v>127</v>
      </c>
      <c r="F86" s="9">
        <v>0.005</v>
      </c>
    </row>
    <row r="87" ht="14" spans="1:6">
      <c r="A87" s="22" t="s">
        <v>128</v>
      </c>
      <c r="B87" s="9">
        <v>0.0629071296473876</v>
      </c>
      <c r="E87" s="22" t="s">
        <v>128</v>
      </c>
      <c r="F87" s="9">
        <v>0.0179396979908718</v>
      </c>
    </row>
    <row r="88" ht="14" spans="1:6">
      <c r="A88" s="22" t="s">
        <v>130</v>
      </c>
      <c r="B88" s="9">
        <v>0.0131777928251763</v>
      </c>
      <c r="E88" s="22" t="s">
        <v>130</v>
      </c>
      <c r="F88" s="9">
        <v>0.005</v>
      </c>
    </row>
    <row r="89" ht="14" spans="1:6">
      <c r="A89" s="9"/>
      <c r="B89" s="22"/>
      <c r="D89" s="8"/>
      <c r="F89" s="8">
        <f>SUM(F49:F88)</f>
        <v>0.999999000000001</v>
      </c>
    </row>
    <row r="90" ht="14" spans="1:2">
      <c r="A90" s="9"/>
      <c r="B90" s="22"/>
    </row>
    <row r="92" ht="27" spans="1:2">
      <c r="A92" s="23" t="s">
        <v>155</v>
      </c>
      <c r="B92" s="9">
        <f t="array" ref="B92">MMULT(TRANSPOSE(B49:B88),AQ4:AQ43)</f>
        <v>0.0366409962477323</v>
      </c>
    </row>
    <row r="93" ht="27" spans="1:2">
      <c r="A93" s="23" t="s">
        <v>156</v>
      </c>
      <c r="B93" s="9">
        <f t="array" ref="B93">SQRT(MMULT(MMULT(TRANSPOSE(B49:B88),B4:AO43),B49:B88))</f>
        <v>0.035850535269346</v>
      </c>
    </row>
    <row r="94" ht="49" spans="1:2">
      <c r="A94" s="24" t="s">
        <v>157</v>
      </c>
      <c r="B94" s="9">
        <f>(B92-B45)/B93</f>
        <v>1.01647007426668</v>
      </c>
    </row>
  </sheetData>
  <conditionalFormatting sqref="A4:A43">
    <cfRule type="duplicateValues" dxfId="0" priority="9"/>
    <cfRule type="duplicateValues" dxfId="0" priority="8"/>
    <cfRule type="duplicateValues" dxfId="0" priority="10"/>
  </conditionalFormatting>
  <conditionalFormatting sqref="E49:E88">
    <cfRule type="duplicateValues" dxfId="0" priority="1"/>
  </conditionalFormatting>
  <conditionalFormatting sqref="B3:AO3 AQ3">
    <cfRule type="duplicateValues" dxfId="0" priority="6"/>
    <cfRule type="duplicateValues" dxfId="0" priority="5"/>
    <cfRule type="duplicateValues" dxfId="0" priority="7"/>
  </conditionalFormatting>
  <conditionalFormatting sqref="B89:B90 A49:A88">
    <cfRule type="duplicateValues" dxfId="0" priority="3"/>
  </conditionalFormatting>
  <pageMargins left="0.699305555555556" right="0.699305555555556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Q96"/>
  <sheetViews>
    <sheetView zoomScale="62" zoomScaleNormal="62" workbookViewId="0">
      <selection activeCell="A91" sqref="A91:A94"/>
    </sheetView>
  </sheetViews>
  <sheetFormatPr defaultColWidth="11" defaultRowHeight="13.2"/>
  <cols>
    <col min="1" max="1" width="25.3359375" customWidth="1"/>
    <col min="2" max="2" width="11.6640625" customWidth="1"/>
    <col min="3" max="17" width="11" customWidth="1"/>
    <col min="18" max="18" width="13" customWidth="1"/>
    <col min="19" max="41" width="11" customWidth="1"/>
  </cols>
  <sheetData>
    <row r="1" ht="44" customHeight="1" spans="1:1">
      <c r="A1" s="13" t="s">
        <v>158</v>
      </c>
    </row>
    <row r="2" spans="1:3">
      <c r="A2" s="14" t="s">
        <v>159</v>
      </c>
      <c r="B2" s="9">
        <f>Data!AQ191</f>
        <v>0.0115939770789037</v>
      </c>
      <c r="C2" t="s">
        <v>160</v>
      </c>
    </row>
    <row r="3" spans="1:2">
      <c r="A3" s="14" t="s">
        <v>161</v>
      </c>
      <c r="B3" s="9">
        <v>0.0002</v>
      </c>
    </row>
    <row r="4" spans="1:2">
      <c r="A4" s="14" t="s">
        <v>162</v>
      </c>
      <c r="B4" s="15">
        <f t="array" ref="B4">(B2-B3)/MMULT(MMULT(B8:AO8,B13:AO52),TRANSPOSE(B8:AO8))</f>
        <v>8.65558358533936</v>
      </c>
    </row>
    <row r="6" spans="2:41">
      <c r="B6" s="2" t="s">
        <v>2</v>
      </c>
      <c r="C6" s="2" t="s">
        <v>6</v>
      </c>
      <c r="D6" s="2" t="s">
        <v>4</v>
      </c>
      <c r="E6" s="2" t="s">
        <v>5</v>
      </c>
      <c r="F6" s="2" t="s">
        <v>7</v>
      </c>
      <c r="G6" s="2" t="s">
        <v>9</v>
      </c>
      <c r="H6" s="2" t="s">
        <v>10</v>
      </c>
      <c r="I6" s="2" t="s">
        <v>11</v>
      </c>
      <c r="J6" s="2" t="s">
        <v>16</v>
      </c>
      <c r="K6" s="2" t="s">
        <v>17</v>
      </c>
      <c r="L6" s="2" t="s">
        <v>19</v>
      </c>
      <c r="M6" s="2" t="s">
        <v>28</v>
      </c>
      <c r="N6" s="2" t="s">
        <v>30</v>
      </c>
      <c r="O6" s="2" t="s">
        <v>32</v>
      </c>
      <c r="P6" s="2" t="s">
        <v>34</v>
      </c>
      <c r="Q6" s="2" t="s">
        <v>37</v>
      </c>
      <c r="R6" s="2" t="s">
        <v>39</v>
      </c>
      <c r="S6" s="2" t="s">
        <v>40</v>
      </c>
      <c r="T6" s="2" t="s">
        <v>41</v>
      </c>
      <c r="U6" s="2" t="s">
        <v>44</v>
      </c>
      <c r="V6" s="2" t="s">
        <v>49</v>
      </c>
      <c r="W6" s="2" t="s">
        <v>53</v>
      </c>
      <c r="X6" s="2" t="s">
        <v>57</v>
      </c>
      <c r="Y6" s="2" t="s">
        <v>61</v>
      </c>
      <c r="Z6" s="2" t="s">
        <v>63</v>
      </c>
      <c r="AA6" s="2" t="s">
        <v>66</v>
      </c>
      <c r="AB6" s="2" t="s">
        <v>74</v>
      </c>
      <c r="AC6" s="2" t="s">
        <v>75</v>
      </c>
      <c r="AD6" s="2" t="s">
        <v>78</v>
      </c>
      <c r="AE6" s="2" t="s">
        <v>81</v>
      </c>
      <c r="AF6" s="2" t="s">
        <v>82</v>
      </c>
      <c r="AG6" s="2" t="s">
        <v>89</v>
      </c>
      <c r="AH6" s="2" t="s">
        <v>97</v>
      </c>
      <c r="AI6" s="2" t="s">
        <v>101</v>
      </c>
      <c r="AJ6" s="2" t="s">
        <v>107</v>
      </c>
      <c r="AK6" s="2" t="s">
        <v>110</v>
      </c>
      <c r="AL6" s="2" t="s">
        <v>114</v>
      </c>
      <c r="AM6" s="2" t="s">
        <v>127</v>
      </c>
      <c r="AN6" s="2" t="s">
        <v>128</v>
      </c>
      <c r="AO6" s="2" t="s">
        <v>130</v>
      </c>
    </row>
    <row r="7" spans="1:41">
      <c r="A7" t="s">
        <v>163</v>
      </c>
      <c r="B7" s="16">
        <v>422.434</v>
      </c>
      <c r="C7" s="16">
        <v>206.054</v>
      </c>
      <c r="D7" s="16">
        <v>219.621</v>
      </c>
      <c r="E7" s="16">
        <v>192.782</v>
      </c>
      <c r="F7" s="16">
        <v>121.475</v>
      </c>
      <c r="G7" s="16">
        <v>225.319</v>
      </c>
      <c r="H7" s="16">
        <v>61.792</v>
      </c>
      <c r="I7" s="16">
        <v>53.086</v>
      </c>
      <c r="J7" s="16">
        <v>370.029</v>
      </c>
      <c r="K7" s="16">
        <v>110.936</v>
      </c>
      <c r="L7" s="16">
        <v>61.049</v>
      </c>
      <c r="M7" s="16">
        <v>38.198</v>
      </c>
      <c r="N7" s="16">
        <v>2173</v>
      </c>
      <c r="O7" s="16">
        <v>245.321</v>
      </c>
      <c r="P7" s="16">
        <v>48.669</v>
      </c>
      <c r="Q7" s="16">
        <v>14.857</v>
      </c>
      <c r="R7" s="16">
        <v>516.891</v>
      </c>
      <c r="S7" s="16">
        <v>218.51</v>
      </c>
      <c r="T7" s="16">
        <v>200.601</v>
      </c>
      <c r="U7" s="16">
        <v>124.269</v>
      </c>
      <c r="V7" s="16">
        <v>37.583</v>
      </c>
      <c r="W7" s="16">
        <v>125.358</v>
      </c>
      <c r="X7" s="16">
        <v>32.351</v>
      </c>
      <c r="Y7" s="16">
        <v>25.869</v>
      </c>
      <c r="Z7" s="16">
        <v>181.42</v>
      </c>
      <c r="AA7" s="16">
        <v>232.811</v>
      </c>
      <c r="AB7" s="16">
        <v>17.508</v>
      </c>
      <c r="AC7" s="16">
        <v>16.92</v>
      </c>
      <c r="AD7" s="16">
        <v>338.945</v>
      </c>
      <c r="AE7" s="16">
        <v>149.745</v>
      </c>
      <c r="AF7" s="16">
        <v>140.085</v>
      </c>
      <c r="AG7" s="16">
        <v>44.874</v>
      </c>
      <c r="AH7" s="16">
        <v>9.597</v>
      </c>
      <c r="AI7" s="16">
        <v>59.115</v>
      </c>
      <c r="AJ7" s="16">
        <v>2.171</v>
      </c>
      <c r="AK7" s="16">
        <v>2.38</v>
      </c>
      <c r="AL7" s="16">
        <v>201.765</v>
      </c>
      <c r="AM7" s="16">
        <v>776.592</v>
      </c>
      <c r="AN7" s="16">
        <v>51.49</v>
      </c>
      <c r="AO7" s="16">
        <v>56.566</v>
      </c>
    </row>
    <row r="8" spans="1:42">
      <c r="A8" t="s">
        <v>164</v>
      </c>
      <c r="B8" s="9">
        <f>B7/SUM($B$7:$AO$7)</f>
        <v>0.0519724440264674</v>
      </c>
      <c r="C8" s="9">
        <f>C7/SUM($B$7:$AO$7)</f>
        <v>0.0253510133687859</v>
      </c>
      <c r="D8" s="9">
        <f t="shared" ref="D8:AO8" si="0">D7/SUM($B$7:$AO$7)</f>
        <v>0.0270201738722186</v>
      </c>
      <c r="E8" s="9">
        <f t="shared" si="0"/>
        <v>0.0237181469870097</v>
      </c>
      <c r="F8" s="9">
        <f t="shared" si="0"/>
        <v>0.0149451811125883</v>
      </c>
      <c r="G8" s="9">
        <f t="shared" si="0"/>
        <v>0.0277212040593314</v>
      </c>
      <c r="H8" s="9">
        <f t="shared" si="0"/>
        <v>0.00760232666235074</v>
      </c>
      <c r="I8" s="9">
        <f t="shared" si="0"/>
        <v>0.00653121946526333</v>
      </c>
      <c r="J8" s="9">
        <f t="shared" si="0"/>
        <v>0.045525008618316</v>
      </c>
      <c r="K8" s="9">
        <f t="shared" si="0"/>
        <v>0.0136485582375476</v>
      </c>
      <c r="L8" s="9">
        <f t="shared" si="0"/>
        <v>0.00751091468814492</v>
      </c>
      <c r="M8" s="9">
        <f t="shared" si="0"/>
        <v>0.00469953511536241</v>
      </c>
      <c r="N8" s="9">
        <f t="shared" si="0"/>
        <v>0.267346191048812</v>
      </c>
      <c r="O8" s="9">
        <f t="shared" si="0"/>
        <v>0.0301820685385575</v>
      </c>
      <c r="P8" s="9">
        <f t="shared" si="0"/>
        <v>0.00598779188778399</v>
      </c>
      <c r="Q8" s="9">
        <f t="shared" si="0"/>
        <v>0.00182787039135398</v>
      </c>
      <c r="R8" s="9">
        <f t="shared" si="0"/>
        <v>0.0635935757190112</v>
      </c>
      <c r="S8" s="9">
        <f t="shared" si="0"/>
        <v>0.0268834865191329</v>
      </c>
      <c r="T8" s="9">
        <f t="shared" si="0"/>
        <v>0.0246801257572861</v>
      </c>
      <c r="U8" s="9">
        <f t="shared" si="0"/>
        <v>0.0152889295054969</v>
      </c>
      <c r="V8" s="9">
        <f t="shared" si="0"/>
        <v>0.00462387109902784</v>
      </c>
      <c r="W8" s="9">
        <f t="shared" si="0"/>
        <v>0.0154229101783235</v>
      </c>
      <c r="X8" s="9">
        <f t="shared" si="0"/>
        <v>0.00398017332104009</v>
      </c>
      <c r="Y8" s="9">
        <f t="shared" si="0"/>
        <v>0.00318268689196581</v>
      </c>
      <c r="Z8" s="9">
        <f t="shared" si="0"/>
        <v>0.0223202696640936</v>
      </c>
      <c r="AA8" s="9">
        <f t="shared" si="0"/>
        <v>0.0286429517184836</v>
      </c>
      <c r="AB8" s="9">
        <f t="shared" si="0"/>
        <v>0.00215402536257828</v>
      </c>
      <c r="AC8" s="9">
        <f t="shared" si="0"/>
        <v>0.00208168318110718</v>
      </c>
      <c r="AD8" s="9">
        <f t="shared" si="0"/>
        <v>0.0417007154740172</v>
      </c>
      <c r="AE8" s="9">
        <f t="shared" si="0"/>
        <v>0.0184232652455611</v>
      </c>
      <c r="AF8" s="9">
        <f t="shared" si="0"/>
        <v>0.0172347865499645</v>
      </c>
      <c r="AG8" s="9">
        <f t="shared" si="0"/>
        <v>0.00552088954308531</v>
      </c>
      <c r="AH8" s="9">
        <f t="shared" si="0"/>
        <v>0.00118072774758189</v>
      </c>
      <c r="AI8" s="9">
        <f t="shared" si="0"/>
        <v>0.00727297288718385</v>
      </c>
      <c r="AJ8" s="9">
        <f t="shared" si="0"/>
        <v>0.000267100129207073</v>
      </c>
      <c r="AK8" s="9">
        <f t="shared" si="0"/>
        <v>0.00029281359166874</v>
      </c>
      <c r="AL8" s="9">
        <f t="shared" si="0"/>
        <v>0.0248233337491779</v>
      </c>
      <c r="AM8" s="9">
        <f t="shared" si="0"/>
        <v>0.0955448288996681</v>
      </c>
      <c r="AN8" s="9">
        <f t="shared" si="0"/>
        <v>0.00633486211555606</v>
      </c>
      <c r="AO8" s="9">
        <f t="shared" si="0"/>
        <v>0.00695936706988821</v>
      </c>
      <c r="AP8" s="9"/>
    </row>
    <row r="11" spans="1:1">
      <c r="A11" s="17" t="s">
        <v>165</v>
      </c>
    </row>
    <row r="12" ht="40" spans="1:43">
      <c r="A12" s="2"/>
      <c r="B12" s="2" t="s">
        <v>2</v>
      </c>
      <c r="C12" s="2" t="s">
        <v>6</v>
      </c>
      <c r="D12" s="2" t="s">
        <v>4</v>
      </c>
      <c r="E12" s="2" t="s">
        <v>5</v>
      </c>
      <c r="F12" s="2" t="s">
        <v>7</v>
      </c>
      <c r="G12" s="2" t="s">
        <v>9</v>
      </c>
      <c r="H12" s="2" t="s">
        <v>10</v>
      </c>
      <c r="I12" s="2" t="s">
        <v>11</v>
      </c>
      <c r="J12" s="2" t="s">
        <v>16</v>
      </c>
      <c r="K12" s="2" t="s">
        <v>17</v>
      </c>
      <c r="L12" s="2" t="s">
        <v>19</v>
      </c>
      <c r="M12" s="2" t="s">
        <v>28</v>
      </c>
      <c r="N12" s="2" t="s">
        <v>30</v>
      </c>
      <c r="O12" s="2" t="s">
        <v>32</v>
      </c>
      <c r="P12" s="2" t="s">
        <v>34</v>
      </c>
      <c r="Q12" s="2" t="s">
        <v>37</v>
      </c>
      <c r="R12" s="2" t="s">
        <v>39</v>
      </c>
      <c r="S12" s="2" t="s">
        <v>40</v>
      </c>
      <c r="T12" s="2" t="s">
        <v>41</v>
      </c>
      <c r="U12" s="2" t="s">
        <v>44</v>
      </c>
      <c r="V12" s="2" t="s">
        <v>49</v>
      </c>
      <c r="W12" s="2" t="s">
        <v>53</v>
      </c>
      <c r="X12" s="2" t="s">
        <v>57</v>
      </c>
      <c r="Y12" s="2" t="s">
        <v>61</v>
      </c>
      <c r="Z12" s="2" t="s">
        <v>63</v>
      </c>
      <c r="AA12" s="2" t="s">
        <v>66</v>
      </c>
      <c r="AB12" s="2" t="s">
        <v>74</v>
      </c>
      <c r="AC12" s="2" t="s">
        <v>75</v>
      </c>
      <c r="AD12" s="2" t="s">
        <v>78</v>
      </c>
      <c r="AE12" s="2" t="s">
        <v>81</v>
      </c>
      <c r="AF12" s="2" t="s">
        <v>82</v>
      </c>
      <c r="AG12" s="2" t="s">
        <v>89</v>
      </c>
      <c r="AH12" s="2" t="s">
        <v>97</v>
      </c>
      <c r="AI12" s="2" t="s">
        <v>101</v>
      </c>
      <c r="AJ12" s="2" t="s">
        <v>107</v>
      </c>
      <c r="AK12" s="2" t="s">
        <v>110</v>
      </c>
      <c r="AL12" s="2" t="s">
        <v>114</v>
      </c>
      <c r="AM12" s="2" t="s">
        <v>127</v>
      </c>
      <c r="AN12" s="2" t="s">
        <v>128</v>
      </c>
      <c r="AO12" s="2" t="s">
        <v>130</v>
      </c>
      <c r="AQ12" s="19" t="s">
        <v>166</v>
      </c>
    </row>
    <row r="13" spans="1:43">
      <c r="A13" s="2" t="s">
        <v>2</v>
      </c>
      <c r="B13" s="4">
        <f t="array" ref="B13:AO52">'Shrinkage Matrix'!C3*'Shrinkage Matrix'!B52:AO91+(1-'Shrinkage Matrix'!C3)*'Shrinkage Matrix'!B97:AO136</f>
        <v>0.00239956142449895</v>
      </c>
      <c r="C13" s="4">
        <v>0.000500193142305293</v>
      </c>
      <c r="D13" s="4">
        <v>0.000781279222909461</v>
      </c>
      <c r="E13" s="4">
        <v>0.000321760777985712</v>
      </c>
      <c r="F13" s="4">
        <v>0.000791428501486469</v>
      </c>
      <c r="G13" s="4">
        <v>0.000696167685954485</v>
      </c>
      <c r="H13" s="4">
        <v>0.000887622815980927</v>
      </c>
      <c r="I13" s="4">
        <v>0.000426362829534417</v>
      </c>
      <c r="J13" s="4">
        <v>0.000704370785419226</v>
      </c>
      <c r="K13" s="4">
        <v>0.000699318846586562</v>
      </c>
      <c r="L13" s="4">
        <v>0.000293066568143092</v>
      </c>
      <c r="M13" s="4">
        <v>2.38004076468422e-5</v>
      </c>
      <c r="N13" s="4">
        <v>0.000629619646500419</v>
      </c>
      <c r="O13" s="4">
        <v>0.000714304927482324</v>
      </c>
      <c r="P13" s="4">
        <v>0.000762292195432631</v>
      </c>
      <c r="Q13" s="4">
        <v>0.00143195812779218</v>
      </c>
      <c r="R13" s="4">
        <v>0.000719170999529596</v>
      </c>
      <c r="S13" s="4">
        <v>0.000670336869852488</v>
      </c>
      <c r="T13" s="4">
        <v>0.000684739231465199</v>
      </c>
      <c r="U13" s="4">
        <v>0.00129120775258408</v>
      </c>
      <c r="V13" s="4">
        <v>0.000579028394606244</v>
      </c>
      <c r="W13" s="4">
        <v>0.000371040162008126</v>
      </c>
      <c r="X13" s="4">
        <v>0.000451622363663848</v>
      </c>
      <c r="Y13" s="4">
        <v>0.000489537496390773</v>
      </c>
      <c r="Z13" s="4">
        <v>0.000622928190809138</v>
      </c>
      <c r="AA13" s="4">
        <v>0.000584609283580302</v>
      </c>
      <c r="AB13" s="4">
        <v>0.000307682911214181</v>
      </c>
      <c r="AC13" s="4">
        <v>0.00101719711836607</v>
      </c>
      <c r="AD13" s="4">
        <v>0.000461306371791634</v>
      </c>
      <c r="AE13" s="4">
        <v>0.000982900256933837</v>
      </c>
      <c r="AF13" s="4">
        <v>0.000494524142610144</v>
      </c>
      <c r="AG13" s="4">
        <v>0.000955522918569703</v>
      </c>
      <c r="AH13" s="4">
        <v>0.00109832038463812</v>
      </c>
      <c r="AI13" s="4">
        <v>0.000924014278809204</v>
      </c>
      <c r="AJ13" s="4">
        <v>0.000301738776349225</v>
      </c>
      <c r="AK13" s="4">
        <v>0.000622542569465842</v>
      </c>
      <c r="AL13" s="4">
        <v>0.000820561187910153</v>
      </c>
      <c r="AM13" s="4">
        <v>0.0014659261072411</v>
      </c>
      <c r="AN13" s="4">
        <v>0.00055150116604192</v>
      </c>
      <c r="AO13" s="4">
        <v>0.000642595193675745</v>
      </c>
      <c r="AQ13" s="7">
        <f t="array" ref="AQ13:AQ52">(MMULT(B13:AO52,TRANSPOSE(B8:AO8))*B4)+B3</f>
        <v>0.00730783632546974</v>
      </c>
    </row>
    <row r="14" spans="1:43">
      <c r="A14" s="2" t="s">
        <v>6</v>
      </c>
      <c r="B14" s="4">
        <v>0.000500193142305293</v>
      </c>
      <c r="C14" s="4">
        <v>0.00252399390893863</v>
      </c>
      <c r="D14" s="4">
        <v>0.000607341668581229</v>
      </c>
      <c r="E14" s="4">
        <v>0.000188584273404401</v>
      </c>
      <c r="F14" s="4">
        <v>0.000959223318550871</v>
      </c>
      <c r="G14" s="4">
        <v>0.000595073792246664</v>
      </c>
      <c r="H14" s="4">
        <v>0.000758243456881427</v>
      </c>
      <c r="I14" s="4">
        <v>0.000282561620018637</v>
      </c>
      <c r="J14" s="4">
        <v>0.000471186459369637</v>
      </c>
      <c r="K14" s="4">
        <v>0.00093433790555954</v>
      </c>
      <c r="L14" s="4">
        <v>0.000319840106902747</v>
      </c>
      <c r="M14" s="4">
        <v>0.000311996497363466</v>
      </c>
      <c r="N14" s="4">
        <v>0.000234305722188639</v>
      </c>
      <c r="O14" s="4">
        <v>0.000256363896025517</v>
      </c>
      <c r="P14" s="4">
        <v>0.000294499889306039</v>
      </c>
      <c r="Q14" s="4">
        <v>0.000946860334206112</v>
      </c>
      <c r="R14" s="4">
        <v>0.000154094859801697</v>
      </c>
      <c r="S14" s="4">
        <v>0.00012955837479867</v>
      </c>
      <c r="T14" s="4">
        <v>0.000198040507330278</v>
      </c>
      <c r="U14" s="4">
        <v>0.00135378667347895</v>
      </c>
      <c r="V14" s="4">
        <v>0.000371663252519489</v>
      </c>
      <c r="W14" s="4">
        <v>0.00018469023515439</v>
      </c>
      <c r="X14" s="4">
        <v>-7.75348085743701e-6</v>
      </c>
      <c r="Y14" s="4">
        <v>7.41250003465041e-5</v>
      </c>
      <c r="Z14" s="4">
        <v>0.000382501947784423</v>
      </c>
      <c r="AA14" s="4">
        <v>0.000390975087618902</v>
      </c>
      <c r="AB14" s="4">
        <v>0.000363388710110389</v>
      </c>
      <c r="AC14" s="4">
        <v>-0.000243584347585836</v>
      </c>
      <c r="AD14" s="4">
        <v>0.000534646242596457</v>
      </c>
      <c r="AE14" s="4">
        <v>0.000478913602764056</v>
      </c>
      <c r="AF14" s="4">
        <v>0.000553566998891673</v>
      </c>
      <c r="AG14" s="4">
        <v>0.000121380851731909</v>
      </c>
      <c r="AH14" s="4">
        <v>0.000514398833900236</v>
      </c>
      <c r="AI14" s="4">
        <v>0.000552531752809942</v>
      </c>
      <c r="AJ14" s="4">
        <v>0.000218660568717075</v>
      </c>
      <c r="AK14" s="4">
        <v>0.000360429298766426</v>
      </c>
      <c r="AL14" s="4">
        <v>0.00063085805069389</v>
      </c>
      <c r="AM14" s="4">
        <v>0.000949674938617444</v>
      </c>
      <c r="AN14" s="4">
        <v>0.000261134482716925</v>
      </c>
      <c r="AO14" s="4">
        <v>5.67928386070292e-5</v>
      </c>
      <c r="AQ14" s="7">
        <v>0.00435007755718825</v>
      </c>
    </row>
    <row r="15" spans="1:43">
      <c r="A15" s="2" t="s">
        <v>4</v>
      </c>
      <c r="B15" s="4">
        <v>0.000781279222909461</v>
      </c>
      <c r="C15" s="4">
        <v>0.000607341668581229</v>
      </c>
      <c r="D15" s="4">
        <v>0.00481728628300211</v>
      </c>
      <c r="E15" s="4">
        <v>0.000386309850597176</v>
      </c>
      <c r="F15" s="4">
        <v>0.0008990175100807</v>
      </c>
      <c r="G15" s="4">
        <v>0.000330598005344314</v>
      </c>
      <c r="H15" s="4">
        <v>0.00139688804838188</v>
      </c>
      <c r="I15" s="4">
        <v>0.000223512180511715</v>
      </c>
      <c r="J15" s="4">
        <v>0.000286129048463354</v>
      </c>
      <c r="K15" s="4">
        <v>0.000836522495419977</v>
      </c>
      <c r="L15" s="4">
        <v>0.000463657145711025</v>
      </c>
      <c r="M15" s="4">
        <v>0.000344925750117735</v>
      </c>
      <c r="N15" s="4">
        <v>0.000497519336467171</v>
      </c>
      <c r="O15" s="4">
        <v>0.0001365916129094</v>
      </c>
      <c r="P15" s="4">
        <v>0.000568278088737047</v>
      </c>
      <c r="Q15" s="4">
        <v>0.00118129668395363</v>
      </c>
      <c r="R15" s="4">
        <v>2.20596067621599e-5</v>
      </c>
      <c r="S15" s="4">
        <v>0.000814840649782906</v>
      </c>
      <c r="T15" s="4">
        <v>0.000358252363626352</v>
      </c>
      <c r="U15" s="4">
        <v>0.00132653619270325</v>
      </c>
      <c r="V15" s="4">
        <v>0.000321247706992776</v>
      </c>
      <c r="W15" s="4">
        <v>6.34239739396209e-5</v>
      </c>
      <c r="X15" s="4">
        <v>-5.37577459287322e-5</v>
      </c>
      <c r="Y15" s="4">
        <v>0.000597472602985498</v>
      </c>
      <c r="Z15" s="4">
        <v>-8.36601142131239e-5</v>
      </c>
      <c r="AA15" s="4">
        <v>0.000458038526177303</v>
      </c>
      <c r="AB15" s="4">
        <v>-9.69776285094876e-5</v>
      </c>
      <c r="AC15" s="4">
        <v>-0.000870220440962871</v>
      </c>
      <c r="AD15" s="4">
        <v>8.99296328467536e-5</v>
      </c>
      <c r="AE15" s="4">
        <v>0.00024277151013055</v>
      </c>
      <c r="AF15" s="4">
        <v>0.000103168370131377</v>
      </c>
      <c r="AG15" s="4">
        <v>5.01477457873393e-5</v>
      </c>
      <c r="AH15" s="4">
        <v>0.000845843968518906</v>
      </c>
      <c r="AI15" s="4">
        <v>-0.000288865346265018</v>
      </c>
      <c r="AJ15" s="4">
        <v>2.26650351140686e-5</v>
      </c>
      <c r="AK15" s="4">
        <v>0.000213579521090633</v>
      </c>
      <c r="AL15" s="4">
        <v>0.000506549648915891</v>
      </c>
      <c r="AM15" s="4">
        <v>0.000935239019732679</v>
      </c>
      <c r="AN15" s="4">
        <v>-0.000209870312031423</v>
      </c>
      <c r="AO15" s="4">
        <v>2.44730406749088e-5</v>
      </c>
      <c r="AQ15" s="7">
        <v>0.00520362488950981</v>
      </c>
    </row>
    <row r="16" spans="1:43">
      <c r="A16" s="2" t="s">
        <v>5</v>
      </c>
      <c r="B16" s="4">
        <v>0.000321760777985712</v>
      </c>
      <c r="C16" s="4">
        <v>0.000188584273404401</v>
      </c>
      <c r="D16" s="4">
        <v>0.000386309850597176</v>
      </c>
      <c r="E16" s="4">
        <v>0.00701239700500198</v>
      </c>
      <c r="F16" s="4">
        <v>0.000748832879604114</v>
      </c>
      <c r="G16" s="4">
        <v>0.000275323118701291</v>
      </c>
      <c r="H16" s="4">
        <v>0.00148397654439462</v>
      </c>
      <c r="I16" s="4">
        <v>0.000262788059526224</v>
      </c>
      <c r="J16" s="4">
        <v>0.000857921889343064</v>
      </c>
      <c r="K16" s="4">
        <v>0.00148692147722163</v>
      </c>
      <c r="L16" s="4">
        <v>0.000481924218466798</v>
      </c>
      <c r="M16" s="4">
        <v>0.00100271941924833</v>
      </c>
      <c r="N16" s="4">
        <v>0.000661177042496116</v>
      </c>
      <c r="O16" s="4">
        <v>0.000642159035771398</v>
      </c>
      <c r="P16" s="4">
        <v>0.00081887667424419</v>
      </c>
      <c r="Q16" s="4">
        <v>-0.000478904542436569</v>
      </c>
      <c r="R16" s="4">
        <v>0.00131888130712497</v>
      </c>
      <c r="S16" s="4">
        <v>0.000530642896110437</v>
      </c>
      <c r="T16" s="4">
        <v>0.000775401486070887</v>
      </c>
      <c r="U16" s="4">
        <v>0.00218279117140271</v>
      </c>
      <c r="V16" s="4">
        <v>0.000480017868221678</v>
      </c>
      <c r="W16" s="4">
        <v>0.000389630363903552</v>
      </c>
      <c r="X16" s="4">
        <v>0.000967254704107026</v>
      </c>
      <c r="Y16" s="4">
        <v>0.00182090055627504</v>
      </c>
      <c r="Z16" s="4">
        <v>2.90931635696802e-5</v>
      </c>
      <c r="AA16" s="4">
        <v>0.000830402405152275</v>
      </c>
      <c r="AB16" s="4">
        <v>0.000995352996116536</v>
      </c>
      <c r="AC16" s="4">
        <v>0.0015568361992854</v>
      </c>
      <c r="AD16" s="4">
        <v>-0.000220087813620979</v>
      </c>
      <c r="AE16" s="4">
        <v>8.36025479824708e-5</v>
      </c>
      <c r="AF16" s="4">
        <v>1.7105874773921e-5</v>
      </c>
      <c r="AG16" s="4">
        <v>0.00023848202469557</v>
      </c>
      <c r="AH16" s="4">
        <v>0.000827873203286339</v>
      </c>
      <c r="AI16" s="4">
        <v>0.0010246461627747</v>
      </c>
      <c r="AJ16" s="4">
        <v>0.00182703239185921</v>
      </c>
      <c r="AK16" s="4">
        <v>0.000620557117230763</v>
      </c>
      <c r="AL16" s="4">
        <v>0.00121022706028343</v>
      </c>
      <c r="AM16" s="4">
        <v>0.00136839813154106</v>
      </c>
      <c r="AN16" s="4">
        <v>0.000457059037032836</v>
      </c>
      <c r="AO16" s="4">
        <v>0.000371221000912044</v>
      </c>
      <c r="AQ16" s="7">
        <v>0.00769243459078407</v>
      </c>
    </row>
    <row r="17" spans="1:43">
      <c r="A17" s="2" t="s">
        <v>7</v>
      </c>
      <c r="B17" s="4">
        <v>0.000791428501486469</v>
      </c>
      <c r="C17" s="4">
        <v>0.000959223318550871</v>
      </c>
      <c r="D17" s="4">
        <v>0.0008990175100807</v>
      </c>
      <c r="E17" s="4">
        <v>0.000748832879604114</v>
      </c>
      <c r="F17" s="4">
        <v>0.00423305199538967</v>
      </c>
      <c r="G17" s="4">
        <v>0.00085421898858021</v>
      </c>
      <c r="H17" s="4">
        <v>0.00115523775107775</v>
      </c>
      <c r="I17" s="4">
        <v>0.00032261367712786</v>
      </c>
      <c r="J17" s="4">
        <v>0.000901176313639351</v>
      </c>
      <c r="K17" s="4">
        <v>0.00125452898762915</v>
      </c>
      <c r="L17" s="4">
        <v>0.000596250152335189</v>
      </c>
      <c r="M17" s="4">
        <v>0.000504101730819977</v>
      </c>
      <c r="N17" s="4">
        <v>0.000521606477929411</v>
      </c>
      <c r="O17" s="4">
        <v>0.000590332916676164</v>
      </c>
      <c r="P17" s="4">
        <v>0.000477033201019795</v>
      </c>
      <c r="Q17" s="4">
        <v>0.00124644224822624</v>
      </c>
      <c r="R17" s="4">
        <v>0.000566044752882555</v>
      </c>
      <c r="S17" s="4">
        <v>0.000503919709311846</v>
      </c>
      <c r="T17" s="4">
        <v>0.000747623307102557</v>
      </c>
      <c r="U17" s="4">
        <v>0.00234731473821075</v>
      </c>
      <c r="V17" s="4">
        <v>0.000280716927016705</v>
      </c>
      <c r="W17" s="4">
        <v>0.00010255806078895</v>
      </c>
      <c r="X17" s="4">
        <v>0.000227223321915564</v>
      </c>
      <c r="Y17" s="4">
        <v>0.000277015162083766</v>
      </c>
      <c r="Z17" s="4">
        <v>0.000268980514448667</v>
      </c>
      <c r="AA17" s="4">
        <v>0.000680120803811835</v>
      </c>
      <c r="AB17" s="4">
        <v>0.00051408484613695</v>
      </c>
      <c r="AC17" s="4">
        <v>-0.000576990242842221</v>
      </c>
      <c r="AD17" s="4">
        <v>0.000452519838894817</v>
      </c>
      <c r="AE17" s="4">
        <v>0.000384234041914794</v>
      </c>
      <c r="AF17" s="4">
        <v>0.000498315759975197</v>
      </c>
      <c r="AG17" s="4">
        <v>0.000618508783028003</v>
      </c>
      <c r="AH17" s="4">
        <v>0.00121741197861861</v>
      </c>
      <c r="AI17" s="4">
        <v>0.00096255063406793</v>
      </c>
      <c r="AJ17" s="4">
        <v>0.00134825317438246</v>
      </c>
      <c r="AK17" s="4">
        <v>0.000672479944892789</v>
      </c>
      <c r="AL17" s="4">
        <v>0.000875382721192286</v>
      </c>
      <c r="AM17" s="4">
        <v>0.00135287456626763</v>
      </c>
      <c r="AN17" s="4">
        <v>0.00031625956894584</v>
      </c>
      <c r="AO17" s="4">
        <v>9.32319228588942e-5</v>
      </c>
      <c r="AQ17" s="7">
        <v>0.00684110665267356</v>
      </c>
    </row>
    <row r="18" spans="1:43">
      <c r="A18" s="2" t="s">
        <v>9</v>
      </c>
      <c r="B18" s="4">
        <v>0.000696167685954485</v>
      </c>
      <c r="C18" s="4">
        <v>0.000595073792246664</v>
      </c>
      <c r="D18" s="4">
        <v>0.000330598005344314</v>
      </c>
      <c r="E18" s="4">
        <v>0.000275323118701291</v>
      </c>
      <c r="F18" s="4">
        <v>0.00085421898858021</v>
      </c>
      <c r="G18" s="4">
        <v>0.00329028812457952</v>
      </c>
      <c r="H18" s="4">
        <v>0.00127627494199325</v>
      </c>
      <c r="I18" s="4">
        <v>0.000963872204926744</v>
      </c>
      <c r="J18" s="4">
        <v>0.000652344419844244</v>
      </c>
      <c r="K18" s="4">
        <v>0.000696900632731725</v>
      </c>
      <c r="L18" s="4">
        <v>0.000598327388077098</v>
      </c>
      <c r="M18" s="4">
        <v>0.000468039441489726</v>
      </c>
      <c r="N18" s="4">
        <v>0.000713652188403223</v>
      </c>
      <c r="O18" s="4">
        <v>0.000608664093491536</v>
      </c>
      <c r="P18" s="4">
        <v>0.000247706681562576</v>
      </c>
      <c r="Q18" s="4">
        <v>0.00111866507023188</v>
      </c>
      <c r="R18" s="4">
        <v>0.00116621516787966</v>
      </c>
      <c r="S18" s="4">
        <v>1.45322259365803e-5</v>
      </c>
      <c r="T18" s="4">
        <v>0.000550758456304003</v>
      </c>
      <c r="U18" s="4">
        <v>0.00184790682290392</v>
      </c>
      <c r="V18" s="4">
        <v>0.00110772636029758</v>
      </c>
      <c r="W18" s="4">
        <v>0.00100462670961975</v>
      </c>
      <c r="X18" s="4">
        <v>0.000118945102045311</v>
      </c>
      <c r="Y18" s="4">
        <v>0.000698082040696316</v>
      </c>
      <c r="Z18" s="4">
        <v>0.000520328057454627</v>
      </c>
      <c r="AA18" s="4">
        <v>0.000427442461162156</v>
      </c>
      <c r="AB18" s="4">
        <v>0.00061204910410547</v>
      </c>
      <c r="AC18" s="4">
        <v>0.000394308952203411</v>
      </c>
      <c r="AD18" s="4">
        <v>0.000338744597982961</v>
      </c>
      <c r="AE18" s="4">
        <v>0.00067364753430273</v>
      </c>
      <c r="AF18" s="4">
        <v>0.000536250658562703</v>
      </c>
      <c r="AG18" s="4">
        <v>0.000684602212479424</v>
      </c>
      <c r="AH18" s="4">
        <v>0.00107547317527318</v>
      </c>
      <c r="AI18" s="4">
        <v>0.0010042099258483</v>
      </c>
      <c r="AJ18" s="4">
        <v>0.000576506947432706</v>
      </c>
      <c r="AK18" s="4">
        <v>0.000300558362255168</v>
      </c>
      <c r="AL18" s="4">
        <v>0.000531735777238177</v>
      </c>
      <c r="AM18" s="4">
        <v>0.00119912631252331</v>
      </c>
      <c r="AN18" s="4">
        <v>0.000621112980936915</v>
      </c>
      <c r="AO18" s="4">
        <v>0.000647840787222945</v>
      </c>
      <c r="AQ18" s="7">
        <v>0.0070863294140865</v>
      </c>
    </row>
    <row r="19" spans="1:43">
      <c r="A19" s="2" t="s">
        <v>10</v>
      </c>
      <c r="B19" s="4">
        <v>0.000887622815980927</v>
      </c>
      <c r="C19" s="4">
        <v>0.000758243456881427</v>
      </c>
      <c r="D19" s="4">
        <v>0.00139688804838188</v>
      </c>
      <c r="E19" s="4">
        <v>0.00148397654439462</v>
      </c>
      <c r="F19" s="4">
        <v>0.00115523775107775</v>
      </c>
      <c r="G19" s="4">
        <v>0.00127627494199325</v>
      </c>
      <c r="H19" s="4">
        <v>0.00896408500686384</v>
      </c>
      <c r="I19" s="4">
        <v>0.0011831743912991</v>
      </c>
      <c r="J19" s="4">
        <v>0.000659046228778377</v>
      </c>
      <c r="K19" s="4">
        <v>0.00104316415579522</v>
      </c>
      <c r="L19" s="4">
        <v>0.000737421169425948</v>
      </c>
      <c r="M19" s="4">
        <v>0.000995729277713062</v>
      </c>
      <c r="N19" s="4">
        <v>0.00108405529275301</v>
      </c>
      <c r="O19" s="4">
        <v>0.000829018205853903</v>
      </c>
      <c r="P19" s="4">
        <v>0.00184389708500085</v>
      </c>
      <c r="Q19" s="4">
        <v>0.00125106421523659</v>
      </c>
      <c r="R19" s="4">
        <v>0.00127840912194702</v>
      </c>
      <c r="S19" s="4">
        <v>0.000635332211053893</v>
      </c>
      <c r="T19" s="4">
        <v>0.00114679816853539</v>
      </c>
      <c r="U19" s="4">
        <v>0.00222634448981685</v>
      </c>
      <c r="V19" s="4">
        <v>0.00105726853715244</v>
      </c>
      <c r="W19" s="4">
        <v>0.00113079016164922</v>
      </c>
      <c r="X19" s="4">
        <v>0.000715386907489103</v>
      </c>
      <c r="Y19" s="4">
        <v>0.00203650150285113</v>
      </c>
      <c r="Z19" s="4">
        <v>2.04380732962868e-5</v>
      </c>
      <c r="AA19" s="4">
        <v>0.000996063995329288</v>
      </c>
      <c r="AB19" s="4">
        <v>0.00075927542700048</v>
      </c>
      <c r="AC19" s="4">
        <v>0.000183059066145425</v>
      </c>
      <c r="AD19" s="4">
        <v>4.15734437030181e-5</v>
      </c>
      <c r="AE19" s="4">
        <v>0.00054859702970209</v>
      </c>
      <c r="AF19" s="4">
        <v>0.000270202926422614</v>
      </c>
      <c r="AG19" s="4">
        <v>0.000718452721338083</v>
      </c>
      <c r="AH19" s="4">
        <v>0.000635019219604525</v>
      </c>
      <c r="AI19" s="4">
        <v>0.000384118228551983</v>
      </c>
      <c r="AJ19" s="4">
        <v>0.00183785766919502</v>
      </c>
      <c r="AK19" s="4">
        <v>0.000410923448695239</v>
      </c>
      <c r="AL19" s="4">
        <v>0.001136980184011</v>
      </c>
      <c r="AM19" s="4">
        <v>0.000576748966711818</v>
      </c>
      <c r="AN19" s="4">
        <v>0.000704515832967639</v>
      </c>
      <c r="AO19" s="4">
        <v>0.000867231764265514</v>
      </c>
      <c r="AQ19" s="7">
        <v>0.00878001190525344</v>
      </c>
    </row>
    <row r="20" spans="1:43">
      <c r="A20" s="2" t="s">
        <v>11</v>
      </c>
      <c r="B20" s="4">
        <v>0.000426362829534417</v>
      </c>
      <c r="C20" s="4">
        <v>0.000282561620018637</v>
      </c>
      <c r="D20" s="4">
        <v>0.000223512180511715</v>
      </c>
      <c r="E20" s="4">
        <v>0.000262788059526224</v>
      </c>
      <c r="F20" s="4">
        <v>0.00032261367712786</v>
      </c>
      <c r="G20" s="4">
        <v>0.000963872204926744</v>
      </c>
      <c r="H20" s="4">
        <v>0.0011831743912991</v>
      </c>
      <c r="I20" s="4">
        <v>0.00547335301029192</v>
      </c>
      <c r="J20" s="4">
        <v>0.000643825045039575</v>
      </c>
      <c r="K20" s="4">
        <v>0.000185721403298824</v>
      </c>
      <c r="L20" s="4">
        <v>0.000145001501480633</v>
      </c>
      <c r="M20" s="4">
        <v>0.000930686357127514</v>
      </c>
      <c r="N20" s="4">
        <v>0.000773297723830685</v>
      </c>
      <c r="O20" s="4">
        <v>0.000773800951619961</v>
      </c>
      <c r="P20" s="4">
        <v>0.000934216354646328</v>
      </c>
      <c r="Q20" s="4">
        <v>0.00036314901569159</v>
      </c>
      <c r="R20" s="4">
        <v>0.00158950764295616</v>
      </c>
      <c r="S20" s="4">
        <v>-0.000281981236610707</v>
      </c>
      <c r="T20" s="4">
        <v>0.000512535673327605</v>
      </c>
      <c r="U20" s="4">
        <v>0.00317532640655001</v>
      </c>
      <c r="V20" s="4">
        <v>0.00117037063160434</v>
      </c>
      <c r="W20" s="4">
        <v>0.00114402606678214</v>
      </c>
      <c r="X20" s="4">
        <v>0.00100072541460454</v>
      </c>
      <c r="Y20" s="4">
        <v>0.00111061096319952</v>
      </c>
      <c r="Z20" s="4">
        <v>0.000301280322235774</v>
      </c>
      <c r="AA20" s="4">
        <v>0.000843402278228066</v>
      </c>
      <c r="AB20" s="4">
        <v>0.000744783273798932</v>
      </c>
      <c r="AC20" s="4">
        <v>0.000833835501045767</v>
      </c>
      <c r="AD20" s="4">
        <v>0.000159783673037059</v>
      </c>
      <c r="AE20" s="4">
        <v>0.000858929993904079</v>
      </c>
      <c r="AF20" s="4">
        <v>0.000676149533158876</v>
      </c>
      <c r="AG20" s="4">
        <v>0.00111254755831207</v>
      </c>
      <c r="AH20" s="4">
        <v>0.000975047305850768</v>
      </c>
      <c r="AI20" s="4">
        <v>0.00106363706105429</v>
      </c>
      <c r="AJ20" s="4">
        <v>0.000715181670381336</v>
      </c>
      <c r="AK20" s="4">
        <v>0.00034871995683923</v>
      </c>
      <c r="AL20" s="4">
        <v>0.000656619179502511</v>
      </c>
      <c r="AM20" s="4">
        <v>0.000609519938220563</v>
      </c>
      <c r="AN20" s="4">
        <v>0.00134327180046997</v>
      </c>
      <c r="AO20" s="4">
        <v>0.000523549248514434</v>
      </c>
      <c r="AQ20" s="7">
        <v>0.00666730982285198</v>
      </c>
    </row>
    <row r="21" spans="1:43">
      <c r="A21" s="2" t="s">
        <v>16</v>
      </c>
      <c r="B21" s="4">
        <v>0.000704370785419226</v>
      </c>
      <c r="C21" s="4">
        <v>0.000471186459369637</v>
      </c>
      <c r="D21" s="4">
        <v>0.000286129048463354</v>
      </c>
      <c r="E21" s="4">
        <v>0.000857921889343064</v>
      </c>
      <c r="F21" s="4">
        <v>0.000901176313639351</v>
      </c>
      <c r="G21" s="4">
        <v>0.000652344419844244</v>
      </c>
      <c r="H21" s="4">
        <v>0.000659046228778377</v>
      </c>
      <c r="I21" s="4">
        <v>0.000643825045039575</v>
      </c>
      <c r="J21" s="4">
        <v>0.00360427883994</v>
      </c>
      <c r="K21" s="4">
        <v>0.00134241687620943</v>
      </c>
      <c r="L21" s="4">
        <v>0.000447195083109481</v>
      </c>
      <c r="M21" s="4">
        <v>0.00016413159897608</v>
      </c>
      <c r="N21" s="4">
        <v>0.000491869160636452</v>
      </c>
      <c r="O21" s="4">
        <v>0.000674185514793505</v>
      </c>
      <c r="P21" s="4">
        <v>0.000729933796186669</v>
      </c>
      <c r="Q21" s="4">
        <v>0.000531789970663903</v>
      </c>
      <c r="R21" s="4">
        <v>0.000668561015118105</v>
      </c>
      <c r="S21" s="4">
        <v>0.000302634898649854</v>
      </c>
      <c r="T21" s="4">
        <v>0.000581038275958478</v>
      </c>
      <c r="U21" s="4">
        <v>0.00185753058764252</v>
      </c>
      <c r="V21" s="4">
        <v>0.000592297361741961</v>
      </c>
      <c r="W21" s="4">
        <v>0.000438621263206469</v>
      </c>
      <c r="X21" s="4">
        <v>0.000651923635244131</v>
      </c>
      <c r="Y21" s="4">
        <v>0.000170662594500716</v>
      </c>
      <c r="Z21" s="4">
        <v>0.000459696866696442</v>
      </c>
      <c r="AA21" s="4">
        <v>0.000506563360062929</v>
      </c>
      <c r="AB21" s="4">
        <v>0.000857418534846376</v>
      </c>
      <c r="AC21" s="4">
        <v>0.000948532070704216</v>
      </c>
      <c r="AD21" s="4">
        <v>0.000265913140566869</v>
      </c>
      <c r="AE21" s="4">
        <v>0.000596598410163498</v>
      </c>
      <c r="AF21" s="4">
        <v>0.000346051642654463</v>
      </c>
      <c r="AG21" s="4">
        <v>0.00152794254772309</v>
      </c>
      <c r="AH21" s="4">
        <v>0.000938927140610968</v>
      </c>
      <c r="AI21" s="4">
        <v>0.00125070359137629</v>
      </c>
      <c r="AJ21" s="4">
        <v>0.00139162541149952</v>
      </c>
      <c r="AK21" s="4">
        <v>0.000979445263138898</v>
      </c>
      <c r="AL21" s="4">
        <v>0.000931681106838538</v>
      </c>
      <c r="AM21" s="4">
        <v>0.00120517543762617</v>
      </c>
      <c r="AN21" s="4">
        <v>0.000843533225083047</v>
      </c>
      <c r="AO21" s="4">
        <v>0.000413877692992993</v>
      </c>
      <c r="AQ21" s="7">
        <v>0.00703440478168995</v>
      </c>
    </row>
    <row r="22" spans="1:43">
      <c r="A22" s="2" t="s">
        <v>17</v>
      </c>
      <c r="B22" s="4">
        <v>0.000699318846586562</v>
      </c>
      <c r="C22" s="4">
        <v>0.00093433790555954</v>
      </c>
      <c r="D22" s="4">
        <v>0.000836522495419977</v>
      </c>
      <c r="E22" s="4">
        <v>0.00148692147722163</v>
      </c>
      <c r="F22" s="4">
        <v>0.00125452898762915</v>
      </c>
      <c r="G22" s="4">
        <v>0.000696900632731725</v>
      </c>
      <c r="H22" s="4">
        <v>0.00104316415579522</v>
      </c>
      <c r="I22" s="4">
        <v>0.000185721403298824</v>
      </c>
      <c r="J22" s="4">
        <v>0.00134241687620943</v>
      </c>
      <c r="K22" s="4">
        <v>0.00644753018893236</v>
      </c>
      <c r="L22" s="4">
        <v>0.000519143218410295</v>
      </c>
      <c r="M22" s="4">
        <v>0.000309336941752012</v>
      </c>
      <c r="N22" s="4">
        <v>0.000438023653536151</v>
      </c>
      <c r="O22" s="4">
        <v>0.000502230836741498</v>
      </c>
      <c r="P22" s="4">
        <v>0.00110242740566248</v>
      </c>
      <c r="Q22" s="4">
        <v>0.00180527464716129</v>
      </c>
      <c r="R22" s="4">
        <v>0.000396334336388624</v>
      </c>
      <c r="S22" s="4">
        <v>0.000183646385766443</v>
      </c>
      <c r="T22" s="4">
        <v>0.000423794789916377</v>
      </c>
      <c r="U22" s="4">
        <v>0.00265990186689263</v>
      </c>
      <c r="V22" s="4">
        <v>0.000319184420357697</v>
      </c>
      <c r="W22" s="4">
        <v>-9.07097175447014e-5</v>
      </c>
      <c r="X22" s="4">
        <v>0.000677989327213419</v>
      </c>
      <c r="Y22" s="4">
        <v>-0.000225651102618083</v>
      </c>
      <c r="Z22" s="4">
        <v>0.000346365398439312</v>
      </c>
      <c r="AA22" s="4">
        <v>0.000776727001384385</v>
      </c>
      <c r="AB22" s="4">
        <v>0.000778917724693269</v>
      </c>
      <c r="AC22" s="4">
        <v>0.000765961239255475</v>
      </c>
      <c r="AD22" s="4">
        <v>0.000349216897809468</v>
      </c>
      <c r="AE22" s="4">
        <v>0.000258917787659451</v>
      </c>
      <c r="AF22" s="4">
        <v>0.000506813831655009</v>
      </c>
      <c r="AG22" s="4">
        <v>0.00133134136371551</v>
      </c>
      <c r="AH22" s="4">
        <v>0.00188231597301268</v>
      </c>
      <c r="AI22" s="4">
        <v>0.00118874914089587</v>
      </c>
      <c r="AJ22" s="4">
        <v>0.00231748005907751</v>
      </c>
      <c r="AK22" s="4">
        <v>0.00136323550494103</v>
      </c>
      <c r="AL22" s="4">
        <v>0.0012507015175944</v>
      </c>
      <c r="AM22" s="4">
        <v>0.000922768778222844</v>
      </c>
      <c r="AN22" s="4">
        <v>0.000377069732855036</v>
      </c>
      <c r="AO22" s="4">
        <v>0.00111015824090179</v>
      </c>
      <c r="AQ22" s="7">
        <v>0.00673452991559436</v>
      </c>
    </row>
    <row r="23" spans="1:43">
      <c r="A23" s="2" t="s">
        <v>19</v>
      </c>
      <c r="B23" s="4">
        <v>0.000293066568143092</v>
      </c>
      <c r="C23" s="4">
        <v>0.000319840106902747</v>
      </c>
      <c r="D23" s="4">
        <v>0.000463657145711025</v>
      </c>
      <c r="E23" s="4">
        <v>0.000481924218466798</v>
      </c>
      <c r="F23" s="4">
        <v>0.000596250152335189</v>
      </c>
      <c r="G23" s="4">
        <v>0.000598327388077098</v>
      </c>
      <c r="H23" s="4">
        <v>0.000737421169425948</v>
      </c>
      <c r="I23" s="4">
        <v>0.000145001501480633</v>
      </c>
      <c r="J23" s="4">
        <v>0.000447195083109481</v>
      </c>
      <c r="K23" s="4">
        <v>0.000519143218410295</v>
      </c>
      <c r="L23" s="4">
        <v>0.00895534391242223</v>
      </c>
      <c r="M23" s="4">
        <v>0.000456608772596534</v>
      </c>
      <c r="N23" s="4">
        <v>0.000185060421879277</v>
      </c>
      <c r="O23" s="4">
        <v>0.000208008632357003</v>
      </c>
      <c r="P23" s="4">
        <v>0.00104291949131898</v>
      </c>
      <c r="Q23" s="4">
        <v>0.000567347995828346</v>
      </c>
      <c r="R23" s="4">
        <v>0.00204893186984305</v>
      </c>
      <c r="S23" s="4">
        <v>-0.000445384541056529</v>
      </c>
      <c r="T23" s="4">
        <v>0.000149273604190705</v>
      </c>
      <c r="U23" s="4">
        <v>0.00203219379604761</v>
      </c>
      <c r="V23" s="4">
        <v>0.00105582228844738</v>
      </c>
      <c r="W23" s="4">
        <v>0.0005561599820732</v>
      </c>
      <c r="X23" s="4">
        <v>-0.000196484042654628</v>
      </c>
      <c r="Y23" s="4">
        <v>0.00158545329304913</v>
      </c>
      <c r="Z23" s="4">
        <v>-0.00058276377774269</v>
      </c>
      <c r="AA23" s="4">
        <v>0.00035167535605539</v>
      </c>
      <c r="AB23" s="4">
        <v>0.00157140439437723</v>
      </c>
      <c r="AC23" s="4">
        <v>-0.000743627548766113</v>
      </c>
      <c r="AD23" s="4">
        <v>0.000155601121107632</v>
      </c>
      <c r="AE23" s="4">
        <v>0.000696302652176032</v>
      </c>
      <c r="AF23" s="4">
        <v>8.7085606426101e-5</v>
      </c>
      <c r="AG23" s="4">
        <v>0.000324045227568549</v>
      </c>
      <c r="AH23" s="4">
        <v>0.000892613532748322</v>
      </c>
      <c r="AI23" s="4">
        <v>0.000359651005000005</v>
      </c>
      <c r="AJ23" s="4">
        <v>-0.000407320173915036</v>
      </c>
      <c r="AK23" s="4">
        <v>-0.000155972632984227</v>
      </c>
      <c r="AL23" s="4">
        <v>-0.000239033167973599</v>
      </c>
      <c r="AM23" s="4">
        <v>0.000420328283917622</v>
      </c>
      <c r="AN23" s="4">
        <v>0.000533179640298691</v>
      </c>
      <c r="AO23" s="4">
        <v>-0.00104334583692545</v>
      </c>
      <c r="AQ23" s="7">
        <v>0.00422837198545561</v>
      </c>
    </row>
    <row r="24" spans="1:43">
      <c r="A24" s="2" t="s">
        <v>28</v>
      </c>
      <c r="B24" s="4">
        <v>2.38004076468422e-5</v>
      </c>
      <c r="C24" s="4">
        <v>0.000311996497363466</v>
      </c>
      <c r="D24" s="4">
        <v>0.000344925750117735</v>
      </c>
      <c r="E24" s="4">
        <v>0.00100271941924833</v>
      </c>
      <c r="F24" s="4">
        <v>0.000504101730819977</v>
      </c>
      <c r="G24" s="4">
        <v>0.000468039441489726</v>
      </c>
      <c r="H24" s="4">
        <v>0.000995729277713062</v>
      </c>
      <c r="I24" s="4">
        <v>0.000930686357127514</v>
      </c>
      <c r="J24" s="4">
        <v>0.00016413159897608</v>
      </c>
      <c r="K24" s="4">
        <v>0.000309336941752012</v>
      </c>
      <c r="L24" s="4">
        <v>0.000456608772596534</v>
      </c>
      <c r="M24" s="4">
        <v>0.00483190037396029</v>
      </c>
      <c r="N24" s="4">
        <v>0.000536970939219521</v>
      </c>
      <c r="O24" s="4">
        <v>0.000131051857269829</v>
      </c>
      <c r="P24" s="4">
        <v>0.000492018202315135</v>
      </c>
      <c r="Q24" s="4">
        <v>-0.000760703529840654</v>
      </c>
      <c r="R24" s="4">
        <v>0.000797930008432903</v>
      </c>
      <c r="S24" s="4">
        <v>-0.000201837034010265</v>
      </c>
      <c r="T24" s="4">
        <v>0.000320056957303069</v>
      </c>
      <c r="U24" s="4">
        <v>0.00130442290227348</v>
      </c>
      <c r="V24" s="4">
        <v>0.000352940616400224</v>
      </c>
      <c r="W24" s="4">
        <v>0.000408057538441077</v>
      </c>
      <c r="X24" s="4">
        <v>3.03657458169937e-5</v>
      </c>
      <c r="Y24" s="4">
        <v>0.000644166696019433</v>
      </c>
      <c r="Z24" s="4">
        <v>-2.88124882962189e-5</v>
      </c>
      <c r="AA24" s="4">
        <v>0.000405936953180328</v>
      </c>
      <c r="AB24" s="4">
        <v>0.000119787227994281</v>
      </c>
      <c r="AC24" s="4">
        <v>-0.000605003620712232</v>
      </c>
      <c r="AD24" s="4">
        <v>0.000130244702225739</v>
      </c>
      <c r="AE24" s="4">
        <v>-5.92783568930082e-5</v>
      </c>
      <c r="AF24" s="4">
        <v>0.000283251444920896</v>
      </c>
      <c r="AG24" s="4">
        <v>-0.000212044701934343</v>
      </c>
      <c r="AH24" s="4">
        <v>0.00032096341180314</v>
      </c>
      <c r="AI24" s="4">
        <v>0.000134188999042748</v>
      </c>
      <c r="AJ24" s="4">
        <v>-9.64483112416507e-5</v>
      </c>
      <c r="AK24" s="4">
        <v>6.69260588131621e-5</v>
      </c>
      <c r="AL24" s="4">
        <v>0.000227052461961902</v>
      </c>
      <c r="AM24" s="4">
        <v>0.00038399540253993</v>
      </c>
      <c r="AN24" s="4">
        <v>0.000214359034068715</v>
      </c>
      <c r="AO24" s="4">
        <v>1.96469405825999e-5</v>
      </c>
      <c r="AQ24" s="7">
        <v>0.00374673499456379</v>
      </c>
    </row>
    <row r="25" spans="1:43">
      <c r="A25" s="2" t="s">
        <v>30</v>
      </c>
      <c r="B25" s="4">
        <v>0.000629619646500419</v>
      </c>
      <c r="C25" s="4">
        <v>0.000234305722188639</v>
      </c>
      <c r="D25" s="4">
        <v>0.000497519336467171</v>
      </c>
      <c r="E25" s="4">
        <v>0.000661177042496116</v>
      </c>
      <c r="F25" s="4">
        <v>0.000521606477929411</v>
      </c>
      <c r="G25" s="4">
        <v>0.000713652188403223</v>
      </c>
      <c r="H25" s="4">
        <v>0.00108405529275301</v>
      </c>
      <c r="I25" s="4">
        <v>0.000773297723830685</v>
      </c>
      <c r="J25" s="4">
        <v>0.000491869160636452</v>
      </c>
      <c r="K25" s="4">
        <v>0.000438023653536151</v>
      </c>
      <c r="L25" s="4">
        <v>0.000185060421879277</v>
      </c>
      <c r="M25" s="4">
        <v>0.000536970939219521</v>
      </c>
      <c r="N25" s="4">
        <v>0.00230982779563246</v>
      </c>
      <c r="O25" s="4">
        <v>0.000657108266727334</v>
      </c>
      <c r="P25" s="4">
        <v>0.0010834774593665</v>
      </c>
      <c r="Q25" s="4">
        <v>0.000772008491440078</v>
      </c>
      <c r="R25" s="4">
        <v>0.00165094698669822</v>
      </c>
      <c r="S25" s="4">
        <v>0.000707795899877639</v>
      </c>
      <c r="T25" s="4">
        <v>0.000839785351745</v>
      </c>
      <c r="U25" s="4">
        <v>0.00162089028863256</v>
      </c>
      <c r="V25" s="4">
        <v>0.000609928607744237</v>
      </c>
      <c r="W25" s="4">
        <v>0.00106632111687732</v>
      </c>
      <c r="X25" s="4">
        <v>0.000880929702493698</v>
      </c>
      <c r="Y25" s="4">
        <v>0.00117004423513197</v>
      </c>
      <c r="Z25" s="4">
        <v>0.000450440545415018</v>
      </c>
      <c r="AA25" s="4">
        <v>0.000637949548980532</v>
      </c>
      <c r="AB25" s="4">
        <v>0.000285653960348827</v>
      </c>
      <c r="AC25" s="4">
        <v>0.00054603557178188</v>
      </c>
      <c r="AD25" s="4">
        <v>0.000198582204963895</v>
      </c>
      <c r="AE25" s="4">
        <v>0.000575882590635317</v>
      </c>
      <c r="AF25" s="4">
        <v>0.000277532478359807</v>
      </c>
      <c r="AG25" s="4">
        <v>0.000638442785551423</v>
      </c>
      <c r="AH25" s="4">
        <v>0.000625940968173138</v>
      </c>
      <c r="AI25" s="4">
        <v>0.000921217408798376</v>
      </c>
      <c r="AJ25" s="4">
        <v>0.000823673903544699</v>
      </c>
      <c r="AK25" s="4">
        <v>0.000403841484402913</v>
      </c>
      <c r="AL25" s="4">
        <v>0.000673352559730194</v>
      </c>
      <c r="AM25" s="4">
        <v>0.00167759544178118</v>
      </c>
      <c r="AN25" s="4">
        <v>0.000765469587370128</v>
      </c>
      <c r="AO25" s="4">
        <v>0.000420579240380031</v>
      </c>
      <c r="AQ25" s="7">
        <v>0.0108641171954937</v>
      </c>
    </row>
    <row r="26" spans="1:43">
      <c r="A26" s="2" t="s">
        <v>32</v>
      </c>
      <c r="B26" s="4">
        <v>0.000714304927482324</v>
      </c>
      <c r="C26" s="4">
        <v>0.000256363896025517</v>
      </c>
      <c r="D26" s="4">
        <v>0.0001365916129094</v>
      </c>
      <c r="E26" s="4">
        <v>0.000642159035771398</v>
      </c>
      <c r="F26" s="4">
        <v>0.000590332916676164</v>
      </c>
      <c r="G26" s="4">
        <v>0.000608664093491536</v>
      </c>
      <c r="H26" s="4">
        <v>0.000829018205853903</v>
      </c>
      <c r="I26" s="4">
        <v>0.000773800951619961</v>
      </c>
      <c r="J26" s="4">
        <v>0.000674185514793505</v>
      </c>
      <c r="K26" s="4">
        <v>0.000502230836741498</v>
      </c>
      <c r="L26" s="4">
        <v>0.000208008632357003</v>
      </c>
      <c r="M26" s="4">
        <v>0.000131051857269829</v>
      </c>
      <c r="N26" s="4">
        <v>0.000657108266727334</v>
      </c>
      <c r="O26" s="4">
        <v>0.00312108667113482</v>
      </c>
      <c r="P26" s="4">
        <v>0.00122877748650107</v>
      </c>
      <c r="Q26" s="4">
        <v>0.00085936645744177</v>
      </c>
      <c r="R26" s="4">
        <v>0.001218297734616</v>
      </c>
      <c r="S26" s="4">
        <v>0.000472182581034203</v>
      </c>
      <c r="T26" s="4">
        <v>0.000950237310102562</v>
      </c>
      <c r="U26" s="4">
        <v>0.00150391111377894</v>
      </c>
      <c r="V26" s="4">
        <v>0.000755743410122165</v>
      </c>
      <c r="W26" s="4">
        <v>0.000786816619924527</v>
      </c>
      <c r="X26" s="4">
        <v>0.000990388910420583</v>
      </c>
      <c r="Y26" s="4">
        <v>0.000479694469991604</v>
      </c>
      <c r="Z26" s="4">
        <v>0.000454527062890882</v>
      </c>
      <c r="AA26" s="4">
        <v>0.000855349294197226</v>
      </c>
      <c r="AB26" s="4">
        <v>0.000526726344791878</v>
      </c>
      <c r="AC26" s="4">
        <v>0.00128796710331801</v>
      </c>
      <c r="AD26" s="4">
        <v>0.000284100626383126</v>
      </c>
      <c r="AE26" s="4">
        <v>0.00102754049872219</v>
      </c>
      <c r="AF26" s="4">
        <v>0.000250967271137991</v>
      </c>
      <c r="AG26" s="4">
        <v>0.000901356199425229</v>
      </c>
      <c r="AH26" s="4">
        <v>0.000691347854605719</v>
      </c>
      <c r="AI26" s="4">
        <v>0.00124446589937378</v>
      </c>
      <c r="AJ26" s="4">
        <v>0.00127288313205625</v>
      </c>
      <c r="AK26" s="4">
        <v>0.000848150544118072</v>
      </c>
      <c r="AL26" s="4">
        <v>0.000583672669890453</v>
      </c>
      <c r="AM26" s="4">
        <v>0.000661663527431784</v>
      </c>
      <c r="AN26" s="4">
        <v>0.000989682545194395</v>
      </c>
      <c r="AO26" s="4">
        <v>0.000329108877371951</v>
      </c>
      <c r="AQ26" s="7">
        <v>0.00670123107532913</v>
      </c>
    </row>
    <row r="27" spans="1:43">
      <c r="A27" s="2" t="s">
        <v>34</v>
      </c>
      <c r="B27" s="4">
        <v>0.000762292195432631</v>
      </c>
      <c r="C27" s="4">
        <v>0.000294499889306039</v>
      </c>
      <c r="D27" s="4">
        <v>0.000568278088737047</v>
      </c>
      <c r="E27" s="4">
        <v>0.00081887667424419</v>
      </c>
      <c r="F27" s="4">
        <v>0.000477033201019795</v>
      </c>
      <c r="G27" s="4">
        <v>0.000247706681562576</v>
      </c>
      <c r="H27" s="4">
        <v>0.00184389708500085</v>
      </c>
      <c r="I27" s="4">
        <v>0.000934216354646328</v>
      </c>
      <c r="J27" s="4">
        <v>0.000729933796186669</v>
      </c>
      <c r="K27" s="4">
        <v>0.00110242740566248</v>
      </c>
      <c r="L27" s="4">
        <v>0.00104291949131898</v>
      </c>
      <c r="M27" s="4">
        <v>0.000492018202315135</v>
      </c>
      <c r="N27" s="4">
        <v>0.0010834774593665</v>
      </c>
      <c r="O27" s="4">
        <v>0.00122877748650107</v>
      </c>
      <c r="P27" s="4">
        <v>0.00936673367711772</v>
      </c>
      <c r="Q27" s="4">
        <v>0.00164948105823604</v>
      </c>
      <c r="R27" s="4">
        <v>0.0023689592930899</v>
      </c>
      <c r="S27" s="4">
        <v>0.00111794605460176</v>
      </c>
      <c r="T27" s="4">
        <v>0.00159815716119634</v>
      </c>
      <c r="U27" s="4">
        <v>0.002342189310913</v>
      </c>
      <c r="V27" s="4">
        <v>0.000896152466858337</v>
      </c>
      <c r="W27" s="4">
        <v>0.00159575344071423</v>
      </c>
      <c r="X27" s="4">
        <v>0.00156037472737558</v>
      </c>
      <c r="Y27" s="4">
        <v>0.0016981993357695</v>
      </c>
      <c r="Z27" s="4">
        <v>9.90900606253665e-5</v>
      </c>
      <c r="AA27" s="4">
        <v>0.0014266897681264</v>
      </c>
      <c r="AB27" s="4">
        <v>0.000729726527054466</v>
      </c>
      <c r="AC27" s="4">
        <v>0.00139904436195987</v>
      </c>
      <c r="AD27" s="4">
        <v>0.000133627927160035</v>
      </c>
      <c r="AE27" s="4">
        <v>0.00103757469081382</v>
      </c>
      <c r="AF27" s="4">
        <v>0.000242301746856337</v>
      </c>
      <c r="AG27" s="4">
        <v>0.000874319717593205</v>
      </c>
      <c r="AH27" s="4">
        <v>-0.000362171839832087</v>
      </c>
      <c r="AI27" s="4">
        <v>0.000888483969416634</v>
      </c>
      <c r="AJ27" s="4">
        <v>0.00165290890139209</v>
      </c>
      <c r="AK27" s="4">
        <v>0.00151660417401395</v>
      </c>
      <c r="AL27" s="4">
        <v>0.00066270425668288</v>
      </c>
      <c r="AM27" s="4">
        <v>0.000752003346924876</v>
      </c>
      <c r="AN27" s="4">
        <v>0.00110398593333556</v>
      </c>
      <c r="AO27" s="4">
        <v>0.000938843505194933</v>
      </c>
      <c r="AQ27" s="7">
        <v>0.00925873932640884</v>
      </c>
    </row>
    <row r="28" spans="1:43">
      <c r="A28" s="2" t="s">
        <v>37</v>
      </c>
      <c r="B28" s="4">
        <v>0.00143195812779218</v>
      </c>
      <c r="C28" s="4">
        <v>0.000946860334206112</v>
      </c>
      <c r="D28" s="4">
        <v>0.00118129668395363</v>
      </c>
      <c r="E28" s="4">
        <v>-0.000478904542436569</v>
      </c>
      <c r="F28" s="4">
        <v>0.00124644224822624</v>
      </c>
      <c r="G28" s="4">
        <v>0.00111866507023188</v>
      </c>
      <c r="H28" s="4">
        <v>0.00125106421523659</v>
      </c>
      <c r="I28" s="4">
        <v>0.00036314901569159</v>
      </c>
      <c r="J28" s="4">
        <v>0.000531789970663903</v>
      </c>
      <c r="K28" s="4">
        <v>0.00180527464716129</v>
      </c>
      <c r="L28" s="4">
        <v>0.000567347995828346</v>
      </c>
      <c r="M28" s="4">
        <v>-0.000760703529840654</v>
      </c>
      <c r="N28" s="4">
        <v>0.000772008491440078</v>
      </c>
      <c r="O28" s="4">
        <v>0.00085936645744177</v>
      </c>
      <c r="P28" s="4">
        <v>0.00164948105823604</v>
      </c>
      <c r="Q28" s="4">
        <v>0.0179208060570502</v>
      </c>
      <c r="R28" s="4">
        <v>0.000755342417899735</v>
      </c>
      <c r="S28" s="4">
        <v>0.00103552953857642</v>
      </c>
      <c r="T28" s="4">
        <v>0.000734572741591836</v>
      </c>
      <c r="U28" s="4">
        <v>0.00153204337583682</v>
      </c>
      <c r="V28" s="4">
        <v>6.04673977143348e-5</v>
      </c>
      <c r="W28" s="4">
        <v>0.00035401221388011</v>
      </c>
      <c r="X28" s="4">
        <v>-0.000608212134715727</v>
      </c>
      <c r="Y28" s="4">
        <v>-0.00205948477080869</v>
      </c>
      <c r="Z28" s="4">
        <v>0.000236289695331702</v>
      </c>
      <c r="AA28" s="4">
        <v>0.000433290856393709</v>
      </c>
      <c r="AB28" s="4">
        <v>-0.000537013698610312</v>
      </c>
      <c r="AC28" s="4">
        <v>-0.0015528337285841</v>
      </c>
      <c r="AD28" s="4">
        <v>0.00058604537670575</v>
      </c>
      <c r="AE28" s="4">
        <v>0.000498424076031438</v>
      </c>
      <c r="AF28" s="4">
        <v>0.000624140468922072</v>
      </c>
      <c r="AG28" s="4">
        <v>0.00139966687232432</v>
      </c>
      <c r="AH28" s="4">
        <v>0.00263128105530953</v>
      </c>
      <c r="AI28" s="4">
        <v>0.000760443636704711</v>
      </c>
      <c r="AJ28" s="4">
        <v>0.000414530089166232</v>
      </c>
      <c r="AK28" s="4">
        <v>0.000851683729351463</v>
      </c>
      <c r="AL28" s="4">
        <v>3.02790580838786e-5</v>
      </c>
      <c r="AM28" s="4">
        <v>0.000258803465750036</v>
      </c>
      <c r="AN28" s="4">
        <v>0.000787028773534137</v>
      </c>
      <c r="AO28" s="4">
        <v>0.000102008497353776</v>
      </c>
      <c r="AQ28" s="7">
        <v>0.00647332244191595</v>
      </c>
    </row>
    <row r="29" spans="1:43">
      <c r="A29" s="2" t="s">
        <v>39</v>
      </c>
      <c r="B29" s="4">
        <v>0.000719170999529596</v>
      </c>
      <c r="C29" s="4">
        <v>0.000154094859801697</v>
      </c>
      <c r="D29" s="4">
        <v>2.20596067621599e-5</v>
      </c>
      <c r="E29" s="4">
        <v>0.00131888130712497</v>
      </c>
      <c r="F29" s="4">
        <v>0.000566044752882555</v>
      </c>
      <c r="G29" s="4">
        <v>0.00116621516787966</v>
      </c>
      <c r="H29" s="4">
        <v>0.00127840912194702</v>
      </c>
      <c r="I29" s="4">
        <v>0.00158950764295616</v>
      </c>
      <c r="J29" s="4">
        <v>0.000668561015118105</v>
      </c>
      <c r="K29" s="4">
        <v>0.000396334336388624</v>
      </c>
      <c r="L29" s="4">
        <v>0.00204893186984305</v>
      </c>
      <c r="M29" s="4">
        <v>0.000797930008432903</v>
      </c>
      <c r="N29" s="4">
        <v>0.00165094698669822</v>
      </c>
      <c r="O29" s="4">
        <v>0.001218297734616</v>
      </c>
      <c r="P29" s="4">
        <v>0.0023689592930899</v>
      </c>
      <c r="Q29" s="4">
        <v>0.000755342417899735</v>
      </c>
      <c r="R29" s="4">
        <v>0.0142984049137515</v>
      </c>
      <c r="S29" s="4">
        <v>0.00116921226714159</v>
      </c>
      <c r="T29" s="4">
        <v>0.00179652860351578</v>
      </c>
      <c r="U29" s="4">
        <v>0.00349140358542942</v>
      </c>
      <c r="V29" s="4">
        <v>0.00169578796959062</v>
      </c>
      <c r="W29" s="4">
        <v>0.00182782006544007</v>
      </c>
      <c r="X29" s="4">
        <v>0.00152622155781213</v>
      </c>
      <c r="Y29" s="4">
        <v>0.00179474406861562</v>
      </c>
      <c r="Z29" s="4">
        <v>0.000142774345858338</v>
      </c>
      <c r="AA29" s="4">
        <v>0.00151015943724796</v>
      </c>
      <c r="AB29" s="4">
        <v>0.00159168568196047</v>
      </c>
      <c r="AC29" s="4">
        <v>0.00164509466010779</v>
      </c>
      <c r="AD29" s="4">
        <v>-3.8926859567251e-5</v>
      </c>
      <c r="AE29" s="4">
        <v>0.00143775122286193</v>
      </c>
      <c r="AF29" s="4">
        <v>0.000393363231004263</v>
      </c>
      <c r="AG29" s="4">
        <v>0.00157740587683507</v>
      </c>
      <c r="AH29" s="4">
        <v>-3.11139845046768e-5</v>
      </c>
      <c r="AI29" s="4">
        <v>0.00264411233609535</v>
      </c>
      <c r="AJ29" s="4">
        <v>0.00105159444978638</v>
      </c>
      <c r="AK29" s="4">
        <v>0.000637005765041956</v>
      </c>
      <c r="AL29" s="4">
        <v>0.00066760168332159</v>
      </c>
      <c r="AM29" s="4">
        <v>0.00268352148345333</v>
      </c>
      <c r="AN29" s="4">
        <v>0.00220575342819557</v>
      </c>
      <c r="AO29" s="4">
        <v>0.000510311979982773</v>
      </c>
      <c r="AQ29" s="7">
        <v>0.0190068857974026</v>
      </c>
    </row>
    <row r="30" spans="1:43">
      <c r="A30" s="2" t="s">
        <v>40</v>
      </c>
      <c r="B30" s="4">
        <v>0.000670336869852488</v>
      </c>
      <c r="C30" s="4">
        <v>0.00012955837479867</v>
      </c>
      <c r="D30" s="4">
        <v>0.000814840649782906</v>
      </c>
      <c r="E30" s="4">
        <v>0.000530642896110437</v>
      </c>
      <c r="F30" s="4">
        <v>0.000503919709311846</v>
      </c>
      <c r="G30" s="4">
        <v>1.45322259365803e-5</v>
      </c>
      <c r="H30" s="4">
        <v>0.000635332211053893</v>
      </c>
      <c r="I30" s="4">
        <v>-0.000281981236610707</v>
      </c>
      <c r="J30" s="4">
        <v>0.000302634898649854</v>
      </c>
      <c r="K30" s="4">
        <v>0.000183646385766443</v>
      </c>
      <c r="L30" s="4">
        <v>-0.000445384541056529</v>
      </c>
      <c r="M30" s="4">
        <v>-0.000201837034010265</v>
      </c>
      <c r="N30" s="4">
        <v>0.000707795899877639</v>
      </c>
      <c r="O30" s="4">
        <v>0.000472182581034203</v>
      </c>
      <c r="P30" s="4">
        <v>0.00111794605460176</v>
      </c>
      <c r="Q30" s="4">
        <v>0.00103552953857642</v>
      </c>
      <c r="R30" s="4">
        <v>0.00116921226714159</v>
      </c>
      <c r="S30" s="4">
        <v>0.0054340767496654</v>
      </c>
      <c r="T30" s="4">
        <v>0.0011650449949682</v>
      </c>
      <c r="U30" s="4">
        <v>-0.000560093652729618</v>
      </c>
      <c r="V30" s="4">
        <v>0.000312638593714498</v>
      </c>
      <c r="W30" s="4">
        <v>0.000506410302049252</v>
      </c>
      <c r="X30" s="4">
        <v>0.00063872219902638</v>
      </c>
      <c r="Y30" s="4">
        <v>0.000827097451764657</v>
      </c>
      <c r="Z30" s="4">
        <v>0.000251362515597868</v>
      </c>
      <c r="AA30" s="4">
        <v>0.000657961910666409</v>
      </c>
      <c r="AB30" s="4">
        <v>-0.000375629543522921</v>
      </c>
      <c r="AC30" s="4">
        <v>0.000520843096104239</v>
      </c>
      <c r="AD30" s="4">
        <v>-1.02118051551843e-5</v>
      </c>
      <c r="AE30" s="4">
        <v>0.000405234326632131</v>
      </c>
      <c r="AF30" s="4">
        <v>-3.5693553410003e-5</v>
      </c>
      <c r="AG30" s="4">
        <v>0.000562382713669064</v>
      </c>
      <c r="AH30" s="4">
        <v>0.000385647171779346</v>
      </c>
      <c r="AI30" s="4">
        <v>0.000413900173357014</v>
      </c>
      <c r="AJ30" s="4">
        <v>0.00113370515116192</v>
      </c>
      <c r="AK30" s="4">
        <v>0.000508295792414205</v>
      </c>
      <c r="AL30" s="4">
        <v>0.0012054005550366</v>
      </c>
      <c r="AM30" s="4">
        <v>0.00116362461876524</v>
      </c>
      <c r="AN30" s="4">
        <v>0.000370816953598039</v>
      </c>
      <c r="AO30" s="4">
        <v>0.000723871886892702</v>
      </c>
      <c r="AQ30" s="7">
        <v>0.00668676681165949</v>
      </c>
    </row>
    <row r="31" spans="1:43">
      <c r="A31" s="2" t="s">
        <v>41</v>
      </c>
      <c r="B31" s="4">
        <v>0.000684739231465199</v>
      </c>
      <c r="C31" s="4">
        <v>0.000198040507330278</v>
      </c>
      <c r="D31" s="4">
        <v>0.000358252363626352</v>
      </c>
      <c r="E31" s="4">
        <v>0.000775401486070887</v>
      </c>
      <c r="F31" s="4">
        <v>0.000747623307102557</v>
      </c>
      <c r="G31" s="4">
        <v>0.000550758456304003</v>
      </c>
      <c r="H31" s="4">
        <v>0.00114679816853539</v>
      </c>
      <c r="I31" s="4">
        <v>0.000512535673327605</v>
      </c>
      <c r="J31" s="4">
        <v>0.000581038275958478</v>
      </c>
      <c r="K31" s="4">
        <v>0.000423794789916377</v>
      </c>
      <c r="L31" s="4">
        <v>0.000149273604190705</v>
      </c>
      <c r="M31" s="4">
        <v>0.000320056957303069</v>
      </c>
      <c r="N31" s="4">
        <v>0.000839785351745</v>
      </c>
      <c r="O31" s="4">
        <v>0.000950237310102562</v>
      </c>
      <c r="P31" s="4">
        <v>0.00159815716119634</v>
      </c>
      <c r="Q31" s="4">
        <v>0.000734572741591836</v>
      </c>
      <c r="R31" s="4">
        <v>0.00179652860351578</v>
      </c>
      <c r="S31" s="4">
        <v>0.0011650449949682</v>
      </c>
      <c r="T31" s="4">
        <v>0.00511605011405166</v>
      </c>
      <c r="U31" s="4">
        <v>0.00137482428927316</v>
      </c>
      <c r="V31" s="4">
        <v>0.00102487400049297</v>
      </c>
      <c r="W31" s="4">
        <v>0.00112472336485578</v>
      </c>
      <c r="X31" s="4">
        <v>0.00106833190027923</v>
      </c>
      <c r="Y31" s="4">
        <v>0.0016161070334301</v>
      </c>
      <c r="Z31" s="4">
        <v>0.000562071933200119</v>
      </c>
      <c r="AA31" s="4">
        <v>0.00114465902883465</v>
      </c>
      <c r="AB31" s="4">
        <v>0.000135644023350749</v>
      </c>
      <c r="AC31" s="4">
        <v>0.00194557147586821</v>
      </c>
      <c r="AD31" s="4">
        <v>0.000432976585433298</v>
      </c>
      <c r="AE31" s="4">
        <v>0.000728359896636587</v>
      </c>
      <c r="AF31" s="4">
        <v>0.000457112115780846</v>
      </c>
      <c r="AG31" s="4">
        <v>0.00132671064771539</v>
      </c>
      <c r="AH31" s="4">
        <v>0.00122112973834146</v>
      </c>
      <c r="AI31" s="4">
        <v>0.0011413900930871</v>
      </c>
      <c r="AJ31" s="4">
        <v>0.00201009377544867</v>
      </c>
      <c r="AK31" s="4">
        <v>0.000452715468575884</v>
      </c>
      <c r="AL31" s="4">
        <v>0.00121124118613714</v>
      </c>
      <c r="AM31" s="4">
        <v>0.00206361051272762</v>
      </c>
      <c r="AN31" s="4">
        <v>0.00105039282033829</v>
      </c>
      <c r="AO31" s="4">
        <v>0.00146677757771331</v>
      </c>
      <c r="AQ31" s="7">
        <v>0.0095596877908189</v>
      </c>
    </row>
    <row r="32" spans="1:43">
      <c r="A32" s="2" t="s">
        <v>44</v>
      </c>
      <c r="B32" s="4">
        <v>0.00129120775258408</v>
      </c>
      <c r="C32" s="4">
        <v>0.00135378667347895</v>
      </c>
      <c r="D32" s="4">
        <v>0.00132653619270325</v>
      </c>
      <c r="E32" s="4">
        <v>0.00218279117140271</v>
      </c>
      <c r="F32" s="4">
        <v>0.00234731473821075</v>
      </c>
      <c r="G32" s="4">
        <v>0.00184790682290392</v>
      </c>
      <c r="H32" s="4">
        <v>0.00222634448981685</v>
      </c>
      <c r="I32" s="4">
        <v>0.00317532640655001</v>
      </c>
      <c r="J32" s="4">
        <v>0.00185753058764252</v>
      </c>
      <c r="K32" s="4">
        <v>0.00265990186689263</v>
      </c>
      <c r="L32" s="4">
        <v>0.00203219379604761</v>
      </c>
      <c r="M32" s="4">
        <v>0.00130442290227348</v>
      </c>
      <c r="N32" s="4">
        <v>0.00162089028863256</v>
      </c>
      <c r="O32" s="4">
        <v>0.00150391111377894</v>
      </c>
      <c r="P32" s="4">
        <v>0.002342189310913</v>
      </c>
      <c r="Q32" s="4">
        <v>0.00153204337583682</v>
      </c>
      <c r="R32" s="4">
        <v>0.00349140358542942</v>
      </c>
      <c r="S32" s="4">
        <v>-0.000560093652729618</v>
      </c>
      <c r="T32" s="4">
        <v>0.00137482428927316</v>
      </c>
      <c r="U32" s="4">
        <v>0.0240061086255879</v>
      </c>
      <c r="V32" s="4">
        <v>0.00201002634109612</v>
      </c>
      <c r="W32" s="4">
        <v>0.00151006578253834</v>
      </c>
      <c r="X32" s="4">
        <v>0.00194076810333545</v>
      </c>
      <c r="Y32" s="4">
        <v>0.00135960150813437</v>
      </c>
      <c r="Z32" s="4">
        <v>0.000271187677373676</v>
      </c>
      <c r="AA32" s="4">
        <v>0.00229893412593907</v>
      </c>
      <c r="AB32" s="4">
        <v>0.00206850276559153</v>
      </c>
      <c r="AC32" s="4">
        <v>0.00116974309052335</v>
      </c>
      <c r="AD32" s="4">
        <v>0.000739040962363195</v>
      </c>
      <c r="AE32" s="4">
        <v>0.00128890706184378</v>
      </c>
      <c r="AF32" s="4">
        <v>0.00105237997591838</v>
      </c>
      <c r="AG32" s="4">
        <v>0.00182216233709032</v>
      </c>
      <c r="AH32" s="4">
        <v>0.00154020409299371</v>
      </c>
      <c r="AI32" s="4">
        <v>0.0025949300471462</v>
      </c>
      <c r="AJ32" s="4">
        <v>0.00339842660271602</v>
      </c>
      <c r="AK32" s="4">
        <v>0.00212275862497374</v>
      </c>
      <c r="AL32" s="4">
        <v>0.00166192601669696</v>
      </c>
      <c r="AM32" s="4">
        <v>0.0019672160022474</v>
      </c>
      <c r="AN32" s="4">
        <v>0.00248264913142492</v>
      </c>
      <c r="AO32" s="4">
        <v>0.000305984069014807</v>
      </c>
      <c r="AQ32" s="7">
        <v>0.0178075412425107</v>
      </c>
    </row>
    <row r="33" spans="1:43">
      <c r="A33" s="2" t="s">
        <v>49</v>
      </c>
      <c r="B33" s="4">
        <v>0.000579028394606244</v>
      </c>
      <c r="C33" s="4">
        <v>0.000371663252519489</v>
      </c>
      <c r="D33" s="4">
        <v>0.000321247706992776</v>
      </c>
      <c r="E33" s="4">
        <v>0.000480017868221678</v>
      </c>
      <c r="F33" s="4">
        <v>0.000280716927016705</v>
      </c>
      <c r="G33" s="4">
        <v>0.00110772636029758</v>
      </c>
      <c r="H33" s="4">
        <v>0.00105726853715244</v>
      </c>
      <c r="I33" s="4">
        <v>0.00117037063160434</v>
      </c>
      <c r="J33" s="4">
        <v>0.000592297361741961</v>
      </c>
      <c r="K33" s="4">
        <v>0.000319184420357697</v>
      </c>
      <c r="L33" s="4">
        <v>0.00105582228844738</v>
      </c>
      <c r="M33" s="4">
        <v>0.000352940616400224</v>
      </c>
      <c r="N33" s="4">
        <v>0.000609928607744237</v>
      </c>
      <c r="O33" s="4">
        <v>0.000755743410122165</v>
      </c>
      <c r="P33" s="4">
        <v>0.000896152466858337</v>
      </c>
      <c r="Q33" s="4">
        <v>6.04673977143348e-5</v>
      </c>
      <c r="R33" s="4">
        <v>0.00169578796959062</v>
      </c>
      <c r="S33" s="4">
        <v>0.000312638593714498</v>
      </c>
      <c r="T33" s="4">
        <v>0.00102487400049297</v>
      </c>
      <c r="U33" s="4">
        <v>0.00201002634109612</v>
      </c>
      <c r="V33" s="4">
        <v>0.00673268849875018</v>
      </c>
      <c r="W33" s="4">
        <v>0.00119061987387667</v>
      </c>
      <c r="X33" s="4">
        <v>0.000924795420312132</v>
      </c>
      <c r="Y33" s="4">
        <v>0.00222916647279302</v>
      </c>
      <c r="Z33" s="4">
        <v>0.000313680638483501</v>
      </c>
      <c r="AA33" s="4">
        <v>0.000802106817036817</v>
      </c>
      <c r="AB33" s="4">
        <v>0.000420009748735212</v>
      </c>
      <c r="AC33" s="4">
        <v>0.00146508440115637</v>
      </c>
      <c r="AD33" s="4">
        <v>0.00048381488335437</v>
      </c>
      <c r="AE33" s="4">
        <v>0.00139531937779818</v>
      </c>
      <c r="AF33" s="4">
        <v>0.000258788050255758</v>
      </c>
      <c r="AG33" s="4">
        <v>0.00103332959706622</v>
      </c>
      <c r="AH33" s="4">
        <v>0.000574367930126624</v>
      </c>
      <c r="AI33" s="4">
        <v>0.00144830368432744</v>
      </c>
      <c r="AJ33" s="4">
        <v>0.00111095849921977</v>
      </c>
      <c r="AK33" s="4">
        <v>0.000742880475709453</v>
      </c>
      <c r="AL33" s="4">
        <v>0.00123677167525704</v>
      </c>
      <c r="AM33" s="4">
        <v>0.000930006921846425</v>
      </c>
      <c r="AN33" s="4">
        <v>0.00104535167574462</v>
      </c>
      <c r="AO33" s="4">
        <v>0.00125915241389443</v>
      </c>
      <c r="AQ33" s="7">
        <v>0.00722496520048866</v>
      </c>
    </row>
    <row r="34" spans="1:43">
      <c r="A34" s="2" t="s">
        <v>53</v>
      </c>
      <c r="B34" s="4">
        <v>0.000371040162008126</v>
      </c>
      <c r="C34" s="4">
        <v>0.00018469023515439</v>
      </c>
      <c r="D34" s="4">
        <v>6.34239739396209e-5</v>
      </c>
      <c r="E34" s="4">
        <v>0.000389630363903552</v>
      </c>
      <c r="F34" s="4">
        <v>0.00010255806078895</v>
      </c>
      <c r="G34" s="4">
        <v>0.00100462670961975</v>
      </c>
      <c r="H34" s="4">
        <v>0.00113079016164922</v>
      </c>
      <c r="I34" s="4">
        <v>0.00114402606678214</v>
      </c>
      <c r="J34" s="4">
        <v>0.000438621263206469</v>
      </c>
      <c r="K34" s="4">
        <v>-9.07097175447014e-5</v>
      </c>
      <c r="L34" s="4">
        <v>0.0005561599820732</v>
      </c>
      <c r="M34" s="4">
        <v>0.000408057538441077</v>
      </c>
      <c r="N34" s="4">
        <v>0.00106632111687732</v>
      </c>
      <c r="O34" s="4">
        <v>0.000786816619924527</v>
      </c>
      <c r="P34" s="4">
        <v>0.00159575344071423</v>
      </c>
      <c r="Q34" s="4">
        <v>0.00035401221388011</v>
      </c>
      <c r="R34" s="4">
        <v>0.00182782006544007</v>
      </c>
      <c r="S34" s="4">
        <v>0.000506410302049252</v>
      </c>
      <c r="T34" s="4">
        <v>0.00112472336485578</v>
      </c>
      <c r="U34" s="4">
        <v>0.00151006578253834</v>
      </c>
      <c r="V34" s="4">
        <v>0.00119061987387667</v>
      </c>
      <c r="W34" s="4">
        <v>0.00568999893659568</v>
      </c>
      <c r="X34" s="4">
        <v>0.00104948011063506</v>
      </c>
      <c r="Y34" s="4">
        <v>0.00335402712122617</v>
      </c>
      <c r="Z34" s="4">
        <v>0.000559758618377421</v>
      </c>
      <c r="AA34" s="4">
        <v>0.000898085058675609</v>
      </c>
      <c r="AB34" s="4">
        <v>0.00100338104072883</v>
      </c>
      <c r="AC34" s="4">
        <v>0.00179865202016447</v>
      </c>
      <c r="AD34" s="4">
        <v>0.000148558024437344</v>
      </c>
      <c r="AE34" s="4">
        <v>0.000735820157587413</v>
      </c>
      <c r="AF34" s="4">
        <v>0.000273830354344105</v>
      </c>
      <c r="AG34" s="4">
        <v>0.000190253392829618</v>
      </c>
      <c r="AH34" s="4">
        <v>0.000489190771969913</v>
      </c>
      <c r="AI34" s="4">
        <v>0.00118348491654681</v>
      </c>
      <c r="AJ34" s="4">
        <v>0.000598266700180745</v>
      </c>
      <c r="AK34" s="4">
        <v>0.000505990097403556</v>
      </c>
      <c r="AL34" s="4">
        <v>0.000487931140771634</v>
      </c>
      <c r="AM34" s="4">
        <v>0.00216514264634759</v>
      </c>
      <c r="AN34" s="4">
        <v>0.00124667711685636</v>
      </c>
      <c r="AO34" s="4">
        <v>0.000871554980515812</v>
      </c>
      <c r="AQ34" s="7">
        <v>0.00907296850813031</v>
      </c>
    </row>
    <row r="35" spans="1:43">
      <c r="A35" s="2" t="s">
        <v>57</v>
      </c>
      <c r="B35" s="4">
        <v>0.000451622363663848</v>
      </c>
      <c r="C35" s="4">
        <v>-7.75348085743701e-6</v>
      </c>
      <c r="D35" s="4">
        <v>-5.37577459287322e-5</v>
      </c>
      <c r="E35" s="4">
        <v>0.000967254704107026</v>
      </c>
      <c r="F35" s="4">
        <v>0.000227223321915564</v>
      </c>
      <c r="G35" s="4">
        <v>0.000118945102045311</v>
      </c>
      <c r="H35" s="4">
        <v>0.000715386907489103</v>
      </c>
      <c r="I35" s="4">
        <v>0.00100072541460454</v>
      </c>
      <c r="J35" s="4">
        <v>0.000651923635244131</v>
      </c>
      <c r="K35" s="4">
        <v>0.000677989327213419</v>
      </c>
      <c r="L35" s="4">
        <v>-0.000196484042654628</v>
      </c>
      <c r="M35" s="4">
        <v>3.03657458169937e-5</v>
      </c>
      <c r="N35" s="4">
        <v>0.000880929702493698</v>
      </c>
      <c r="O35" s="4">
        <v>0.000990388910420583</v>
      </c>
      <c r="P35" s="4">
        <v>0.00156037472737558</v>
      </c>
      <c r="Q35" s="4">
        <v>-0.000608212134715727</v>
      </c>
      <c r="R35" s="4">
        <v>0.00152622155781213</v>
      </c>
      <c r="S35" s="4">
        <v>0.00063872219902638</v>
      </c>
      <c r="T35" s="4">
        <v>0.00106833190027923</v>
      </c>
      <c r="U35" s="4">
        <v>0.00194076810333545</v>
      </c>
      <c r="V35" s="4">
        <v>0.000924795420312132</v>
      </c>
      <c r="W35" s="4">
        <v>0.00104948011063506</v>
      </c>
      <c r="X35" s="4">
        <v>0.00673198349129303</v>
      </c>
      <c r="Y35" s="4">
        <v>0.00160652866362775</v>
      </c>
      <c r="Z35" s="4">
        <v>0.000460788679824217</v>
      </c>
      <c r="AA35" s="4">
        <v>0.0010054735227213</v>
      </c>
      <c r="AB35" s="4">
        <v>0.00059795431262247</v>
      </c>
      <c r="AC35" s="4">
        <v>0.00296964005817241</v>
      </c>
      <c r="AD35" s="4">
        <v>0.000122347719977579</v>
      </c>
      <c r="AE35" s="4">
        <v>0.00120287646015777</v>
      </c>
      <c r="AF35" s="4">
        <v>0.000315445131708054</v>
      </c>
      <c r="AG35" s="4">
        <v>0.00143280695516555</v>
      </c>
      <c r="AH35" s="4">
        <v>0.00118450143627523</v>
      </c>
      <c r="AI35" s="4">
        <v>0.00148967154257888</v>
      </c>
      <c r="AJ35" s="4">
        <v>0.00203169095897523</v>
      </c>
      <c r="AK35" s="4">
        <v>0.00115590305190447</v>
      </c>
      <c r="AL35" s="4">
        <v>0.00103905869791664</v>
      </c>
      <c r="AM35" s="4">
        <v>0.00192639614144903</v>
      </c>
      <c r="AN35" s="4">
        <v>0.00135780434237406</v>
      </c>
      <c r="AO35" s="4">
        <v>0.00104694759269426</v>
      </c>
      <c r="AQ35" s="7">
        <v>0.00819188818509846</v>
      </c>
    </row>
    <row r="36" spans="1:43">
      <c r="A36" s="2" t="s">
        <v>61</v>
      </c>
      <c r="B36" s="4">
        <v>0.000489537496390773</v>
      </c>
      <c r="C36" s="4">
        <v>7.41250003465041e-5</v>
      </c>
      <c r="D36" s="4">
        <v>0.000597472602985498</v>
      </c>
      <c r="E36" s="4">
        <v>0.00182090055627504</v>
      </c>
      <c r="F36" s="4">
        <v>0.000277015162083766</v>
      </c>
      <c r="G36" s="4">
        <v>0.000698082040696316</v>
      </c>
      <c r="H36" s="4">
        <v>0.00203650150285113</v>
      </c>
      <c r="I36" s="4">
        <v>0.00111061096319952</v>
      </c>
      <c r="J36" s="4">
        <v>0.000170662594500716</v>
      </c>
      <c r="K36" s="4">
        <v>-0.000225651102618083</v>
      </c>
      <c r="L36" s="4">
        <v>0.00158545329304913</v>
      </c>
      <c r="M36" s="4">
        <v>0.000644166696019433</v>
      </c>
      <c r="N36" s="4">
        <v>0.00117004423513197</v>
      </c>
      <c r="O36" s="4">
        <v>0.000479694469991604</v>
      </c>
      <c r="P36" s="4">
        <v>0.0016981993357695</v>
      </c>
      <c r="Q36" s="4">
        <v>-0.00205948477080869</v>
      </c>
      <c r="R36" s="4">
        <v>0.00179474406861562</v>
      </c>
      <c r="S36" s="4">
        <v>0.000827097451764657</v>
      </c>
      <c r="T36" s="4">
        <v>0.0016161070334301</v>
      </c>
      <c r="U36" s="4">
        <v>0.00135960150813437</v>
      </c>
      <c r="V36" s="4">
        <v>0.00222916647279302</v>
      </c>
      <c r="W36" s="4">
        <v>0.00335402712122617</v>
      </c>
      <c r="X36" s="4">
        <v>0.00160652866362775</v>
      </c>
      <c r="Y36" s="4">
        <v>0.0252031246151533</v>
      </c>
      <c r="Z36" s="4">
        <v>0.000811476762188229</v>
      </c>
      <c r="AA36" s="4">
        <v>0.00157232406951714</v>
      </c>
      <c r="AB36" s="4">
        <v>0.00153048081572943</v>
      </c>
      <c r="AC36" s="4">
        <v>0.00530493120046585</v>
      </c>
      <c r="AD36" s="4">
        <v>0.000237788916763181</v>
      </c>
      <c r="AE36" s="4">
        <v>0.00126407507347914</v>
      </c>
      <c r="AF36" s="4">
        <v>-5.89279582215951e-5</v>
      </c>
      <c r="AG36" s="4">
        <v>0.000209387864897145</v>
      </c>
      <c r="AH36" s="4">
        <v>0.0022895626067517</v>
      </c>
      <c r="AI36" s="4">
        <v>0.00174196719132638</v>
      </c>
      <c r="AJ36" s="4">
        <v>0.00212802193491994</v>
      </c>
      <c r="AK36" s="4">
        <v>0.000692528207696178</v>
      </c>
      <c r="AL36" s="4">
        <v>0.00257816376006994</v>
      </c>
      <c r="AM36" s="4">
        <v>0.00444950279991858</v>
      </c>
      <c r="AN36" s="4">
        <v>0.000597663236078743</v>
      </c>
      <c r="AO36" s="4">
        <v>0.00229054746924588</v>
      </c>
      <c r="AQ36" s="7">
        <v>0.0129038946389467</v>
      </c>
    </row>
    <row r="37" spans="1:43">
      <c r="A37" s="2" t="s">
        <v>63</v>
      </c>
      <c r="B37" s="4">
        <v>0.000622928190809138</v>
      </c>
      <c r="C37" s="4">
        <v>0.000382501947784423</v>
      </c>
      <c r="D37" s="4">
        <v>-8.36601142131239e-5</v>
      </c>
      <c r="E37" s="4">
        <v>2.90931635696802e-5</v>
      </c>
      <c r="F37" s="4">
        <v>0.000268980514448667</v>
      </c>
      <c r="G37" s="4">
        <v>0.000520328057454627</v>
      </c>
      <c r="H37" s="4">
        <v>2.04380732962868e-5</v>
      </c>
      <c r="I37" s="4">
        <v>0.000301280322235774</v>
      </c>
      <c r="J37" s="4">
        <v>0.000459696866696442</v>
      </c>
      <c r="K37" s="4">
        <v>0.000346365398439312</v>
      </c>
      <c r="L37" s="4">
        <v>-0.00058276377774269</v>
      </c>
      <c r="M37" s="4">
        <v>-2.88124882962189e-5</v>
      </c>
      <c r="N37" s="4">
        <v>0.000450440545415018</v>
      </c>
      <c r="O37" s="4">
        <v>0.000454527062890882</v>
      </c>
      <c r="P37" s="4">
        <v>9.90900606253665e-5</v>
      </c>
      <c r="Q37" s="4">
        <v>0.000236289695331702</v>
      </c>
      <c r="R37" s="4">
        <v>0.000142774345858338</v>
      </c>
      <c r="S37" s="4">
        <v>0.000251362515597868</v>
      </c>
      <c r="T37" s="4">
        <v>0.000562071933200119</v>
      </c>
      <c r="U37" s="4">
        <v>0.000271187677373676</v>
      </c>
      <c r="V37" s="4">
        <v>0.000313680638483501</v>
      </c>
      <c r="W37" s="4">
        <v>0.000559758618377421</v>
      </c>
      <c r="X37" s="4">
        <v>0.000460788679824217</v>
      </c>
      <c r="Y37" s="4">
        <v>0.000811476762188229</v>
      </c>
      <c r="Z37" s="4">
        <v>0.00240446436889718</v>
      </c>
      <c r="AA37" s="4">
        <v>0.000326931953988823</v>
      </c>
      <c r="AB37" s="4">
        <v>4.80948450461675e-5</v>
      </c>
      <c r="AC37" s="4">
        <v>0.0016383929226532</v>
      </c>
      <c r="AD37" s="4">
        <v>0.000498140223546956</v>
      </c>
      <c r="AE37" s="4">
        <v>0.000416949380866733</v>
      </c>
      <c r="AF37" s="4">
        <v>0.000627799978902293</v>
      </c>
      <c r="AG37" s="4">
        <v>0.000366302888300506</v>
      </c>
      <c r="AH37" s="4">
        <v>0.000785290229628256</v>
      </c>
      <c r="AI37" s="4">
        <v>0.00088071237967199</v>
      </c>
      <c r="AJ37" s="4">
        <v>0.000215111612501642</v>
      </c>
      <c r="AK37" s="4">
        <v>0.000339308299105752</v>
      </c>
      <c r="AL37" s="4">
        <v>0.000834269188408057</v>
      </c>
      <c r="AM37" s="4">
        <v>0.00144956411846718</v>
      </c>
      <c r="AN37" s="4">
        <v>0.000354223262653338</v>
      </c>
      <c r="AO37" s="4">
        <v>0.000851438491445046</v>
      </c>
      <c r="AQ37" s="7">
        <v>0.00494710339676294</v>
      </c>
    </row>
    <row r="38" spans="1:43">
      <c r="A38" s="2" t="s">
        <v>66</v>
      </c>
      <c r="B38" s="4">
        <v>0.000584609283580302</v>
      </c>
      <c r="C38" s="4">
        <v>0.000390975087618902</v>
      </c>
      <c r="D38" s="4">
        <v>0.000458038526177303</v>
      </c>
      <c r="E38" s="4">
        <v>0.000830402405152275</v>
      </c>
      <c r="F38" s="4">
        <v>0.000680120803811835</v>
      </c>
      <c r="G38" s="4">
        <v>0.000427442461162156</v>
      </c>
      <c r="H38" s="4">
        <v>0.000996063995329288</v>
      </c>
      <c r="I38" s="4">
        <v>0.000843402278228066</v>
      </c>
      <c r="J38" s="4">
        <v>0.000506563360062929</v>
      </c>
      <c r="K38" s="4">
        <v>0.000776727001384385</v>
      </c>
      <c r="L38" s="4">
        <v>0.00035167535605539</v>
      </c>
      <c r="M38" s="4">
        <v>0.000405936953180328</v>
      </c>
      <c r="N38" s="4">
        <v>0.000637949548980532</v>
      </c>
      <c r="O38" s="4">
        <v>0.000855349294197226</v>
      </c>
      <c r="P38" s="4">
        <v>0.0014266897681264</v>
      </c>
      <c r="Q38" s="4">
        <v>0.000433290856393709</v>
      </c>
      <c r="R38" s="4">
        <v>0.00151015943724796</v>
      </c>
      <c r="S38" s="4">
        <v>0.000657961910666409</v>
      </c>
      <c r="T38" s="4">
        <v>0.00114465902883465</v>
      </c>
      <c r="U38" s="4">
        <v>0.00229893412593907</v>
      </c>
      <c r="V38" s="4">
        <v>0.000802106817036817</v>
      </c>
      <c r="W38" s="4">
        <v>0.000898085058675609</v>
      </c>
      <c r="X38" s="4">
        <v>0.0010054735227213</v>
      </c>
      <c r="Y38" s="4">
        <v>0.00157232406951714</v>
      </c>
      <c r="Z38" s="4">
        <v>0.000326931953988823</v>
      </c>
      <c r="AA38" s="4">
        <v>0.00451443575690337</v>
      </c>
      <c r="AB38" s="4">
        <v>0.000853565208926838</v>
      </c>
      <c r="AC38" s="4">
        <v>0.00213751082871904</v>
      </c>
      <c r="AD38" s="4">
        <v>0.000351564873282924</v>
      </c>
      <c r="AE38" s="4">
        <v>0.000545463595113033</v>
      </c>
      <c r="AF38" s="4">
        <v>0.000197366738176165</v>
      </c>
      <c r="AG38" s="4">
        <v>0.00077142039513697</v>
      </c>
      <c r="AH38" s="4">
        <v>0.000717351610127999</v>
      </c>
      <c r="AI38" s="4">
        <v>0.00130409106259102</v>
      </c>
      <c r="AJ38" s="4">
        <v>0.00118146769041787</v>
      </c>
      <c r="AK38" s="4">
        <v>0.000806006855022835</v>
      </c>
      <c r="AL38" s="4">
        <v>0.000881671825536437</v>
      </c>
      <c r="AM38" s="4">
        <v>0.00110971262510815</v>
      </c>
      <c r="AN38" s="4">
        <v>0.000667371488455433</v>
      </c>
      <c r="AO38" s="4">
        <v>0.000810295734029045</v>
      </c>
      <c r="AQ38" s="7">
        <v>0.00780819595800076</v>
      </c>
    </row>
    <row r="39" spans="1:43">
      <c r="A39" s="2" t="s">
        <v>74</v>
      </c>
      <c r="B39" s="4">
        <v>0.000307682911214181</v>
      </c>
      <c r="C39" s="4">
        <v>0.000363388710110389</v>
      </c>
      <c r="D39" s="4">
        <v>-9.69776285094876e-5</v>
      </c>
      <c r="E39" s="4">
        <v>0.000995352996116536</v>
      </c>
      <c r="F39" s="4">
        <v>0.00051408484613695</v>
      </c>
      <c r="G39" s="4">
        <v>0.00061204910410547</v>
      </c>
      <c r="H39" s="4">
        <v>0.00075927542700048</v>
      </c>
      <c r="I39" s="4">
        <v>0.000744783273798932</v>
      </c>
      <c r="J39" s="4">
        <v>0.000857418534846376</v>
      </c>
      <c r="K39" s="4">
        <v>0.000778917724693269</v>
      </c>
      <c r="L39" s="4">
        <v>0.00157140439437723</v>
      </c>
      <c r="M39" s="4">
        <v>0.000119787227994281</v>
      </c>
      <c r="N39" s="4">
        <v>0.000285653960348827</v>
      </c>
      <c r="O39" s="4">
        <v>0.000526726344791878</v>
      </c>
      <c r="P39" s="4">
        <v>0.000729726527054466</v>
      </c>
      <c r="Q39" s="4">
        <v>-0.000537013698610312</v>
      </c>
      <c r="R39" s="4">
        <v>0.00159168568196047</v>
      </c>
      <c r="S39" s="4">
        <v>-0.000375629543522921</v>
      </c>
      <c r="T39" s="4">
        <v>0.000135644023350749</v>
      </c>
      <c r="U39" s="4">
        <v>0.00206850276559153</v>
      </c>
      <c r="V39" s="4">
        <v>0.000420009748735212</v>
      </c>
      <c r="W39" s="4">
        <v>0.00100338104072883</v>
      </c>
      <c r="X39" s="4">
        <v>0.00059795431262247</v>
      </c>
      <c r="Y39" s="4">
        <v>0.00153048081572943</v>
      </c>
      <c r="Z39" s="4">
        <v>4.80948450461675e-5</v>
      </c>
      <c r="AA39" s="4">
        <v>0.000853565208926838</v>
      </c>
      <c r="AB39" s="4">
        <v>0.00625378084210266</v>
      </c>
      <c r="AC39" s="4">
        <v>0.00120535899885004</v>
      </c>
      <c r="AD39" s="4">
        <v>3.07713849488144e-5</v>
      </c>
      <c r="AE39" s="4">
        <v>0.000655013339409424</v>
      </c>
      <c r="AF39" s="4">
        <v>0.000390208546586613</v>
      </c>
      <c r="AG39" s="4">
        <v>0.000906600721148272</v>
      </c>
      <c r="AH39" s="4">
        <v>0.000621163624225269</v>
      </c>
      <c r="AI39" s="4">
        <v>0.00099768330136878</v>
      </c>
      <c r="AJ39" s="4">
        <v>-0.000366306152835659</v>
      </c>
      <c r="AK39" s="4">
        <v>0.000672621207993021</v>
      </c>
      <c r="AL39" s="4">
        <v>0.000156401529744962</v>
      </c>
      <c r="AM39" s="4">
        <v>0.000912600354514212</v>
      </c>
      <c r="AN39" s="4">
        <v>0.000695664334082891</v>
      </c>
      <c r="AO39" s="4">
        <v>-6.42602343475137e-5</v>
      </c>
      <c r="AQ39" s="7">
        <v>0.00504395954194807</v>
      </c>
    </row>
    <row r="40" spans="1:43">
      <c r="A40" s="2" t="s">
        <v>75</v>
      </c>
      <c r="B40" s="4">
        <v>0.00101719711836607</v>
      </c>
      <c r="C40" s="4">
        <v>-0.000243584347585836</v>
      </c>
      <c r="D40" s="4">
        <v>-0.000870220440962871</v>
      </c>
      <c r="E40" s="4">
        <v>0.0015568361992854</v>
      </c>
      <c r="F40" s="4">
        <v>-0.000576990242842221</v>
      </c>
      <c r="G40" s="4">
        <v>0.000394308952203411</v>
      </c>
      <c r="H40" s="4">
        <v>0.000183059066145425</v>
      </c>
      <c r="I40" s="4">
        <v>0.000833835501045767</v>
      </c>
      <c r="J40" s="4">
        <v>0.000948532070704216</v>
      </c>
      <c r="K40" s="4">
        <v>0.000765961239255475</v>
      </c>
      <c r="L40" s="4">
        <v>-0.000743627548766113</v>
      </c>
      <c r="M40" s="4">
        <v>-0.000605003620712232</v>
      </c>
      <c r="N40" s="4">
        <v>0.00054603557178188</v>
      </c>
      <c r="O40" s="4">
        <v>0.00128796710331801</v>
      </c>
      <c r="P40" s="4">
        <v>0.00139904436195987</v>
      </c>
      <c r="Q40" s="4">
        <v>-0.0015528337285841</v>
      </c>
      <c r="R40" s="4">
        <v>0.00164509466010779</v>
      </c>
      <c r="S40" s="4">
        <v>0.000520843096104239</v>
      </c>
      <c r="T40" s="4">
        <v>0.00194557147586821</v>
      </c>
      <c r="U40" s="4">
        <v>0.00116974309052335</v>
      </c>
      <c r="V40" s="4">
        <v>0.00146508440115637</v>
      </c>
      <c r="W40" s="4">
        <v>0.00179865202016447</v>
      </c>
      <c r="X40" s="4">
        <v>0.00296964005817241</v>
      </c>
      <c r="Y40" s="4">
        <v>0.00530493120046585</v>
      </c>
      <c r="Z40" s="4">
        <v>0.0016383929226532</v>
      </c>
      <c r="AA40" s="4">
        <v>0.00213751082871904</v>
      </c>
      <c r="AB40" s="4">
        <v>0.00120535899885004</v>
      </c>
      <c r="AC40" s="4">
        <v>0.0321017920626765</v>
      </c>
      <c r="AD40" s="4">
        <v>0.000866033077317908</v>
      </c>
      <c r="AE40" s="4">
        <v>0.00275923724506377</v>
      </c>
      <c r="AF40" s="4">
        <v>0.000109431572310805</v>
      </c>
      <c r="AG40" s="4">
        <v>0.00275645282282634</v>
      </c>
      <c r="AH40" s="4">
        <v>0.00173091589705327</v>
      </c>
      <c r="AI40" s="4">
        <v>0.00373850743365986</v>
      </c>
      <c r="AJ40" s="4">
        <v>0.00327750752753751</v>
      </c>
      <c r="AK40" s="4">
        <v>0.00192959131684295</v>
      </c>
      <c r="AL40" s="4">
        <v>0.00253480915886537</v>
      </c>
      <c r="AM40" s="4">
        <v>0.00521638610173728</v>
      </c>
      <c r="AN40" s="4">
        <v>0.000304183549194635</v>
      </c>
      <c r="AO40" s="4">
        <v>0.00463921708302226</v>
      </c>
      <c r="AQ40" s="7">
        <v>0.0127511540333141</v>
      </c>
    </row>
    <row r="41" spans="1:43">
      <c r="A41" s="2" t="s">
        <v>78</v>
      </c>
      <c r="B41" s="4">
        <v>0.000461306371791634</v>
      </c>
      <c r="C41" s="4">
        <v>0.000534646242596457</v>
      </c>
      <c r="D41" s="4">
        <v>8.99296328467536e-5</v>
      </c>
      <c r="E41" s="4">
        <v>-0.000220087813620979</v>
      </c>
      <c r="F41" s="4">
        <v>0.000452519838894817</v>
      </c>
      <c r="G41" s="4">
        <v>0.000338744597982961</v>
      </c>
      <c r="H41" s="4">
        <v>4.15734437030181e-5</v>
      </c>
      <c r="I41" s="4">
        <v>0.000159783673037059</v>
      </c>
      <c r="J41" s="4">
        <v>0.000265913140566869</v>
      </c>
      <c r="K41" s="4">
        <v>0.000349216897809468</v>
      </c>
      <c r="L41" s="4">
        <v>0.000155601121107632</v>
      </c>
      <c r="M41" s="4">
        <v>0.000130244702225739</v>
      </c>
      <c r="N41" s="4">
        <v>0.000198582204963895</v>
      </c>
      <c r="O41" s="4">
        <v>0.000284100626383126</v>
      </c>
      <c r="P41" s="4">
        <v>0.000133627927160035</v>
      </c>
      <c r="Q41" s="4">
        <v>0.00058604537670575</v>
      </c>
      <c r="R41" s="4">
        <v>-3.8926859567251e-5</v>
      </c>
      <c r="S41" s="4">
        <v>-1.02118051551843e-5</v>
      </c>
      <c r="T41" s="4">
        <v>0.000432976585433298</v>
      </c>
      <c r="U41" s="4">
        <v>0.000739040962363195</v>
      </c>
      <c r="V41" s="4">
        <v>0.00048381488335437</v>
      </c>
      <c r="W41" s="4">
        <v>0.000148558024437344</v>
      </c>
      <c r="X41" s="4">
        <v>0.000122347719977579</v>
      </c>
      <c r="Y41" s="4">
        <v>0.000237788916763181</v>
      </c>
      <c r="Z41" s="4">
        <v>0.000498140223546956</v>
      </c>
      <c r="AA41" s="4">
        <v>0.000351564873282924</v>
      </c>
      <c r="AB41" s="4">
        <v>3.07713849488144e-5</v>
      </c>
      <c r="AC41" s="4">
        <v>0.000866033077317908</v>
      </c>
      <c r="AD41" s="4">
        <v>0.00192396937335466</v>
      </c>
      <c r="AE41" s="4">
        <v>0.000758925477548765</v>
      </c>
      <c r="AF41" s="4">
        <v>0.000479677479463534</v>
      </c>
      <c r="AG41" s="4">
        <v>0.000808507926267473</v>
      </c>
      <c r="AH41" s="4">
        <v>0.000627418758182311</v>
      </c>
      <c r="AI41" s="4">
        <v>0.000688748319958492</v>
      </c>
      <c r="AJ41" s="4">
        <v>0.000675918914048475</v>
      </c>
      <c r="AK41" s="4">
        <v>0.00073377964550233</v>
      </c>
      <c r="AL41" s="4">
        <v>0.000414923310950118</v>
      </c>
      <c r="AM41" s="4">
        <v>0.000785246477051764</v>
      </c>
      <c r="AN41" s="4">
        <v>0.000233798182449396</v>
      </c>
      <c r="AO41" s="4">
        <v>0.00043697495084298</v>
      </c>
      <c r="AQ41" s="7">
        <v>0.00353623337400019</v>
      </c>
    </row>
    <row r="42" spans="1:43">
      <c r="A42" s="2" t="s">
        <v>81</v>
      </c>
      <c r="B42" s="4">
        <v>0.000982900256933837</v>
      </c>
      <c r="C42" s="4">
        <v>0.000478913602764056</v>
      </c>
      <c r="D42" s="4">
        <v>0.00024277151013055</v>
      </c>
      <c r="E42" s="4">
        <v>8.36025479824708e-5</v>
      </c>
      <c r="F42" s="4">
        <v>0.000384234041914794</v>
      </c>
      <c r="G42" s="4">
        <v>0.00067364753430273</v>
      </c>
      <c r="H42" s="4">
        <v>0.00054859702970209</v>
      </c>
      <c r="I42" s="4">
        <v>0.000858929993904079</v>
      </c>
      <c r="J42" s="4">
        <v>0.000596598410163498</v>
      </c>
      <c r="K42" s="4">
        <v>0.000258917787659451</v>
      </c>
      <c r="L42" s="4">
        <v>0.000696302652176032</v>
      </c>
      <c r="M42" s="4">
        <v>-5.92783568930082e-5</v>
      </c>
      <c r="N42" s="4">
        <v>0.000575882590635317</v>
      </c>
      <c r="O42" s="4">
        <v>0.00102754049872219</v>
      </c>
      <c r="P42" s="4">
        <v>0.00103757469081382</v>
      </c>
      <c r="Q42" s="4">
        <v>0.000498424076031438</v>
      </c>
      <c r="R42" s="4">
        <v>0.00143775122286193</v>
      </c>
      <c r="S42" s="4">
        <v>0.000405234326632131</v>
      </c>
      <c r="T42" s="4">
        <v>0.000728359896636587</v>
      </c>
      <c r="U42" s="4">
        <v>0.00128890706184378</v>
      </c>
      <c r="V42" s="4">
        <v>0.00139531937779818</v>
      </c>
      <c r="W42" s="4">
        <v>0.000735820157587413</v>
      </c>
      <c r="X42" s="4">
        <v>0.00120287646015777</v>
      </c>
      <c r="Y42" s="4">
        <v>0.00126407507347914</v>
      </c>
      <c r="Z42" s="4">
        <v>0.000416949380866733</v>
      </c>
      <c r="AA42" s="4">
        <v>0.000545463595113033</v>
      </c>
      <c r="AB42" s="4">
        <v>0.000655013339409424</v>
      </c>
      <c r="AC42" s="4">
        <v>0.00275923724506377</v>
      </c>
      <c r="AD42" s="4">
        <v>0.000758925477548765</v>
      </c>
      <c r="AE42" s="4">
        <v>0.00577586125251086</v>
      </c>
      <c r="AF42" s="4">
        <v>0.000399973944380687</v>
      </c>
      <c r="AG42" s="4">
        <v>0.00150471462301859</v>
      </c>
      <c r="AH42" s="4">
        <v>0.000643365686819085</v>
      </c>
      <c r="AI42" s="4">
        <v>0.001794812082047</v>
      </c>
      <c r="AJ42" s="4">
        <v>0.000425228590705494</v>
      </c>
      <c r="AK42" s="4">
        <v>0.00095559960313291</v>
      </c>
      <c r="AL42" s="4">
        <v>0.000774871815375445</v>
      </c>
      <c r="AM42" s="4">
        <v>0.00196556281992554</v>
      </c>
      <c r="AN42" s="4">
        <v>0.00101396793653037</v>
      </c>
      <c r="AO42" s="4">
        <v>0.000976727830558201</v>
      </c>
      <c r="AQ42" s="7">
        <v>0.00816427318882568</v>
      </c>
    </row>
    <row r="43" spans="1:43">
      <c r="A43" s="2" t="s">
        <v>82</v>
      </c>
      <c r="B43" s="4">
        <v>0.000494524142610144</v>
      </c>
      <c r="C43" s="4">
        <v>0.000553566998891673</v>
      </c>
      <c r="D43" s="4">
        <v>0.000103168370131377</v>
      </c>
      <c r="E43" s="4">
        <v>1.7105874773921e-5</v>
      </c>
      <c r="F43" s="4">
        <v>0.000498315759975197</v>
      </c>
      <c r="G43" s="4">
        <v>0.000536250658562703</v>
      </c>
      <c r="H43" s="4">
        <v>0.000270202926422614</v>
      </c>
      <c r="I43" s="4">
        <v>0.000676149533158876</v>
      </c>
      <c r="J43" s="4">
        <v>0.000346051642654463</v>
      </c>
      <c r="K43" s="4">
        <v>0.000506813831655009</v>
      </c>
      <c r="L43" s="4">
        <v>8.7085606426101e-5</v>
      </c>
      <c r="M43" s="4">
        <v>0.000283251444920896</v>
      </c>
      <c r="N43" s="4">
        <v>0.000277532478359807</v>
      </c>
      <c r="O43" s="4">
        <v>0.000250967271137991</v>
      </c>
      <c r="P43" s="4">
        <v>0.000242301746856337</v>
      </c>
      <c r="Q43" s="4">
        <v>0.000624140468922072</v>
      </c>
      <c r="R43" s="4">
        <v>0.000393363231004263</v>
      </c>
      <c r="S43" s="4">
        <v>-3.5693553410003e-5</v>
      </c>
      <c r="T43" s="4">
        <v>0.000457112115780846</v>
      </c>
      <c r="U43" s="4">
        <v>0.00105237997591838</v>
      </c>
      <c r="V43" s="4">
        <v>0.000258788050255758</v>
      </c>
      <c r="W43" s="4">
        <v>0.000273830354344105</v>
      </c>
      <c r="X43" s="4">
        <v>0.000315445131708054</v>
      </c>
      <c r="Y43" s="4">
        <v>-5.89279582215951e-5</v>
      </c>
      <c r="Z43" s="4">
        <v>0.000627799978902293</v>
      </c>
      <c r="AA43" s="4">
        <v>0.000197366738176165</v>
      </c>
      <c r="AB43" s="4">
        <v>0.000390208546586613</v>
      </c>
      <c r="AC43" s="4">
        <v>0.000109431572310805</v>
      </c>
      <c r="AD43" s="4">
        <v>0.000479677479463534</v>
      </c>
      <c r="AE43" s="4">
        <v>0.000399973944380687</v>
      </c>
      <c r="AF43" s="4">
        <v>0.00243820747274962</v>
      </c>
      <c r="AG43" s="4">
        <v>0.000297318141306607</v>
      </c>
      <c r="AH43" s="4">
        <v>0.00102690255711146</v>
      </c>
      <c r="AI43" s="4">
        <v>0.000678456131708554</v>
      </c>
      <c r="AJ43" s="4">
        <v>8.11753639483197e-5</v>
      </c>
      <c r="AK43" s="4">
        <v>0.000236036036806219</v>
      </c>
      <c r="AL43" s="4">
        <v>0.000379167166610169</v>
      </c>
      <c r="AM43" s="4">
        <v>0.00039096046271261</v>
      </c>
      <c r="AN43" s="4">
        <v>0.000754916849082541</v>
      </c>
      <c r="AO43" s="4">
        <v>0.000494550658122961</v>
      </c>
      <c r="AQ43" s="7">
        <v>0.00358991019080579</v>
      </c>
    </row>
    <row r="44" spans="1:43">
      <c r="A44" s="2" t="s">
        <v>89</v>
      </c>
      <c r="B44" s="4">
        <v>0.000955522918569703</v>
      </c>
      <c r="C44" s="4">
        <v>0.000121380851731909</v>
      </c>
      <c r="D44" s="4">
        <v>5.01477457873393e-5</v>
      </c>
      <c r="E44" s="4">
        <v>0.00023848202469557</v>
      </c>
      <c r="F44" s="4">
        <v>0.000618508783028003</v>
      </c>
      <c r="G44" s="4">
        <v>0.000684602212479424</v>
      </c>
      <c r="H44" s="4">
        <v>0.000718452721338083</v>
      </c>
      <c r="I44" s="4">
        <v>0.00111254755831207</v>
      </c>
      <c r="J44" s="4">
        <v>0.00152794254772309</v>
      </c>
      <c r="K44" s="4">
        <v>0.00133134136371551</v>
      </c>
      <c r="L44" s="4">
        <v>0.000324045227568549</v>
      </c>
      <c r="M44" s="4">
        <v>-0.000212044701934343</v>
      </c>
      <c r="N44" s="4">
        <v>0.000638442785551423</v>
      </c>
      <c r="O44" s="4">
        <v>0.000901356199425229</v>
      </c>
      <c r="P44" s="4">
        <v>0.000874319717593205</v>
      </c>
      <c r="Q44" s="4">
        <v>0.00139966687232432</v>
      </c>
      <c r="R44" s="4">
        <v>0.00157740587683507</v>
      </c>
      <c r="S44" s="4">
        <v>0.000562382713669064</v>
      </c>
      <c r="T44" s="4">
        <v>0.00132671064771539</v>
      </c>
      <c r="U44" s="4">
        <v>0.00182216233709032</v>
      </c>
      <c r="V44" s="4">
        <v>0.00103332959706622</v>
      </c>
      <c r="W44" s="4">
        <v>0.000190253392829618</v>
      </c>
      <c r="X44" s="4">
        <v>0.00143280695516555</v>
      </c>
      <c r="Y44" s="4">
        <v>0.000209387864897145</v>
      </c>
      <c r="Z44" s="4">
        <v>0.000366302888300506</v>
      </c>
      <c r="AA44" s="4">
        <v>0.00077142039513697</v>
      </c>
      <c r="AB44" s="4">
        <v>0.000906600721148272</v>
      </c>
      <c r="AC44" s="4">
        <v>0.00275645282282634</v>
      </c>
      <c r="AD44" s="4">
        <v>0.000808507926267473</v>
      </c>
      <c r="AE44" s="4">
        <v>0.00150471462301859</v>
      </c>
      <c r="AF44" s="4">
        <v>0.000297318141306607</v>
      </c>
      <c r="AG44" s="4">
        <v>0.0097318269862282</v>
      </c>
      <c r="AH44" s="4">
        <v>0.00183632708887688</v>
      </c>
      <c r="AI44" s="4">
        <v>0.00133929997549179</v>
      </c>
      <c r="AJ44" s="4">
        <v>0.00272166431752516</v>
      </c>
      <c r="AK44" s="4">
        <v>0.0017620077816435</v>
      </c>
      <c r="AL44" s="4">
        <v>0.00160245566621432</v>
      </c>
      <c r="AM44" s="4">
        <v>0.00279084415407801</v>
      </c>
      <c r="AN44" s="4">
        <v>0.0010183138638731</v>
      </c>
      <c r="AO44" s="4">
        <v>0.00153446828445556</v>
      </c>
      <c r="AQ44" s="7">
        <v>0.00955347645255366</v>
      </c>
    </row>
    <row r="45" spans="1:43">
      <c r="A45" s="2" t="s">
        <v>97</v>
      </c>
      <c r="B45" s="4">
        <v>0.00109832038463812</v>
      </c>
      <c r="C45" s="4">
        <v>0.000514398833900236</v>
      </c>
      <c r="D45" s="4">
        <v>0.000845843968518906</v>
      </c>
      <c r="E45" s="4">
        <v>0.000827873203286339</v>
      </c>
      <c r="F45" s="4">
        <v>0.00121741197861861</v>
      </c>
      <c r="G45" s="4">
        <v>0.00107547317527318</v>
      </c>
      <c r="H45" s="4">
        <v>0.000635019219604525</v>
      </c>
      <c r="I45" s="4">
        <v>0.000975047305850768</v>
      </c>
      <c r="J45" s="4">
        <v>0.000938927140610968</v>
      </c>
      <c r="K45" s="4">
        <v>0.00188231597301268</v>
      </c>
      <c r="L45" s="4">
        <v>0.000892613532748322</v>
      </c>
      <c r="M45" s="4">
        <v>0.00032096341180314</v>
      </c>
      <c r="N45" s="4">
        <v>0.000625940968173138</v>
      </c>
      <c r="O45" s="4">
        <v>0.000691347854605719</v>
      </c>
      <c r="P45" s="4">
        <v>-0.000362171839832087</v>
      </c>
      <c r="Q45" s="4">
        <v>0.00263128105530953</v>
      </c>
      <c r="R45" s="4">
        <v>-3.11139845046768e-5</v>
      </c>
      <c r="S45" s="4">
        <v>0.000385647171779346</v>
      </c>
      <c r="T45" s="4">
        <v>0.00122112973834146</v>
      </c>
      <c r="U45" s="4">
        <v>0.00154020409299371</v>
      </c>
      <c r="V45" s="4">
        <v>0.000574367930126624</v>
      </c>
      <c r="W45" s="4">
        <v>0.000489190771969913</v>
      </c>
      <c r="X45" s="4">
        <v>0.00118450143627523</v>
      </c>
      <c r="Y45" s="4">
        <v>0.0022895626067517</v>
      </c>
      <c r="Z45" s="4">
        <v>0.000785290229628256</v>
      </c>
      <c r="AA45" s="4">
        <v>0.000717351610127999</v>
      </c>
      <c r="AB45" s="4">
        <v>0.000621163624225269</v>
      </c>
      <c r="AC45" s="4">
        <v>0.00173091589705327</v>
      </c>
      <c r="AD45" s="4">
        <v>0.000627418758182311</v>
      </c>
      <c r="AE45" s="4">
        <v>0.000643365686819085</v>
      </c>
      <c r="AF45" s="4">
        <v>0.00102690255711146</v>
      </c>
      <c r="AG45" s="4">
        <v>0.00183632708887688</v>
      </c>
      <c r="AH45" s="4">
        <v>0.015639900734641</v>
      </c>
      <c r="AI45" s="4">
        <v>0.00182852827045293</v>
      </c>
      <c r="AJ45" s="4">
        <v>0.00179379363208222</v>
      </c>
      <c r="AK45" s="4">
        <v>0.000632526377392258</v>
      </c>
      <c r="AL45" s="4">
        <v>0.00151062265689329</v>
      </c>
      <c r="AM45" s="4">
        <v>0.00206273477346599</v>
      </c>
      <c r="AN45" s="4">
        <v>0.00110044870980642</v>
      </c>
      <c r="AO45" s="4">
        <v>0.00213014382414529</v>
      </c>
      <c r="AQ45" s="7">
        <v>0.00817412441507468</v>
      </c>
    </row>
    <row r="46" spans="1:43">
      <c r="A46" s="2" t="s">
        <v>101</v>
      </c>
      <c r="B46" s="4">
        <v>0.000924014278809204</v>
      </c>
      <c r="C46" s="4">
        <v>0.000552531752809942</v>
      </c>
      <c r="D46" s="4">
        <v>-0.000288865346265018</v>
      </c>
      <c r="E46" s="4">
        <v>0.0010246461627747</v>
      </c>
      <c r="F46" s="4">
        <v>0.00096255063406793</v>
      </c>
      <c r="G46" s="4">
        <v>0.0010042099258483</v>
      </c>
      <c r="H46" s="4">
        <v>0.000384118228551983</v>
      </c>
      <c r="I46" s="4">
        <v>0.00106363706105429</v>
      </c>
      <c r="J46" s="4">
        <v>0.00125070359137629</v>
      </c>
      <c r="K46" s="4">
        <v>0.00118874914089587</v>
      </c>
      <c r="L46" s="4">
        <v>0.000359651005000005</v>
      </c>
      <c r="M46" s="4">
        <v>0.000134188999042748</v>
      </c>
      <c r="N46" s="4">
        <v>0.000921217408798376</v>
      </c>
      <c r="O46" s="4">
        <v>0.00124446589937378</v>
      </c>
      <c r="P46" s="4">
        <v>0.000888483969416634</v>
      </c>
      <c r="Q46" s="4">
        <v>0.000760443636704711</v>
      </c>
      <c r="R46" s="4">
        <v>0.00264411233609535</v>
      </c>
      <c r="S46" s="4">
        <v>0.000413900173357014</v>
      </c>
      <c r="T46" s="4">
        <v>0.0011413900930871</v>
      </c>
      <c r="U46" s="4">
        <v>0.0025949300471462</v>
      </c>
      <c r="V46" s="4">
        <v>0.00144830368432744</v>
      </c>
      <c r="W46" s="4">
        <v>0.00118348491654681</v>
      </c>
      <c r="X46" s="4">
        <v>0.00148967154257888</v>
      </c>
      <c r="Y46" s="4">
        <v>0.00174196719132638</v>
      </c>
      <c r="Z46" s="4">
        <v>0.00088071237967199</v>
      </c>
      <c r="AA46" s="4">
        <v>0.00130409106259102</v>
      </c>
      <c r="AB46" s="4">
        <v>0.00099768330136878</v>
      </c>
      <c r="AC46" s="4">
        <v>0.00373850743365986</v>
      </c>
      <c r="AD46" s="4">
        <v>0.000688748319958492</v>
      </c>
      <c r="AE46" s="4">
        <v>0.001794812082047</v>
      </c>
      <c r="AF46" s="4">
        <v>0.000678456131708554</v>
      </c>
      <c r="AG46" s="4">
        <v>0.00133929997549179</v>
      </c>
      <c r="AH46" s="4">
        <v>0.00182852827045293</v>
      </c>
      <c r="AI46" s="4">
        <v>0.00917726875312055</v>
      </c>
      <c r="AJ46" s="4">
        <v>0.00243022911619023</v>
      </c>
      <c r="AK46" s="4">
        <v>0.00176298927699488</v>
      </c>
      <c r="AL46" s="4">
        <v>0.0011381643122151</v>
      </c>
      <c r="AM46" s="4">
        <v>0.00213227804726116</v>
      </c>
      <c r="AN46" s="4">
        <v>0.00104946774046598</v>
      </c>
      <c r="AO46" s="4">
        <v>0.00197989750510256</v>
      </c>
      <c r="AQ46" s="7">
        <v>0.0110325093133091</v>
      </c>
    </row>
    <row r="47" spans="1:43">
      <c r="A47" s="2" t="s">
        <v>107</v>
      </c>
      <c r="B47" s="4">
        <v>0.000301738776349225</v>
      </c>
      <c r="C47" s="4">
        <v>0.000218660568717075</v>
      </c>
      <c r="D47" s="4">
        <v>2.26650351140686e-5</v>
      </c>
      <c r="E47" s="4">
        <v>0.00182703239185921</v>
      </c>
      <c r="F47" s="4">
        <v>0.00134825317438246</v>
      </c>
      <c r="G47" s="4">
        <v>0.000576506947432706</v>
      </c>
      <c r="H47" s="4">
        <v>0.00183785766919502</v>
      </c>
      <c r="I47" s="4">
        <v>0.000715181670381336</v>
      </c>
      <c r="J47" s="4">
        <v>0.00139162541149952</v>
      </c>
      <c r="K47" s="4">
        <v>0.00231748005907751</v>
      </c>
      <c r="L47" s="4">
        <v>-0.000407320173915036</v>
      </c>
      <c r="M47" s="4">
        <v>-9.64483112416507e-5</v>
      </c>
      <c r="N47" s="4">
        <v>0.000823673903544699</v>
      </c>
      <c r="O47" s="4">
        <v>0.00127288313205625</v>
      </c>
      <c r="P47" s="4">
        <v>0.00165290890139209</v>
      </c>
      <c r="Q47" s="4">
        <v>0.000414530089166232</v>
      </c>
      <c r="R47" s="4">
        <v>0.00105159444978638</v>
      </c>
      <c r="S47" s="4">
        <v>0.00113370515116192</v>
      </c>
      <c r="T47" s="4">
        <v>0.00201009377544867</v>
      </c>
      <c r="U47" s="4">
        <v>0.00339842660271602</v>
      </c>
      <c r="V47" s="4">
        <v>0.00111095849921977</v>
      </c>
      <c r="W47" s="4">
        <v>0.000598266700180745</v>
      </c>
      <c r="X47" s="4">
        <v>0.00203169095897523</v>
      </c>
      <c r="Y47" s="4">
        <v>0.00212802193491994</v>
      </c>
      <c r="Z47" s="4">
        <v>0.000215111612501642</v>
      </c>
      <c r="AA47" s="4">
        <v>0.00118146769041787</v>
      </c>
      <c r="AB47" s="4">
        <v>-0.000366306152835659</v>
      </c>
      <c r="AC47" s="4">
        <v>0.00327750752753751</v>
      </c>
      <c r="AD47" s="4">
        <v>0.000675918914048475</v>
      </c>
      <c r="AE47" s="4">
        <v>0.000425228590705494</v>
      </c>
      <c r="AF47" s="4">
        <v>8.11753639483197e-5</v>
      </c>
      <c r="AG47" s="4">
        <v>0.00272166431752516</v>
      </c>
      <c r="AH47" s="4">
        <v>0.00179379363208222</v>
      </c>
      <c r="AI47" s="4">
        <v>0.00243022911619023</v>
      </c>
      <c r="AJ47" s="4">
        <v>0.0203973447557975</v>
      </c>
      <c r="AK47" s="4">
        <v>0.00264863497617387</v>
      </c>
      <c r="AL47" s="4">
        <v>0.0027899219368804</v>
      </c>
      <c r="AM47" s="4">
        <v>0.00100694069434678</v>
      </c>
      <c r="AN47" s="4">
        <v>0.00116631238635025</v>
      </c>
      <c r="AO47" s="4">
        <v>0.00290869624016171</v>
      </c>
      <c r="AQ47" s="7">
        <v>0.00907259931424551</v>
      </c>
    </row>
    <row r="48" spans="1:43">
      <c r="A48" s="2" t="s">
        <v>110</v>
      </c>
      <c r="B48" s="4">
        <v>0.000622542569465842</v>
      </c>
      <c r="C48" s="4">
        <v>0.000360429298766426</v>
      </c>
      <c r="D48" s="4">
        <v>0.000213579521090633</v>
      </c>
      <c r="E48" s="4">
        <v>0.000620557117230763</v>
      </c>
      <c r="F48" s="4">
        <v>0.000672479944892789</v>
      </c>
      <c r="G48" s="4">
        <v>0.000300558362255168</v>
      </c>
      <c r="H48" s="4">
        <v>0.000410923448695239</v>
      </c>
      <c r="I48" s="4">
        <v>0.00034871995683923</v>
      </c>
      <c r="J48" s="4">
        <v>0.000979445263138898</v>
      </c>
      <c r="K48" s="4">
        <v>0.00136323550494103</v>
      </c>
      <c r="L48" s="4">
        <v>-0.000155972632984227</v>
      </c>
      <c r="M48" s="4">
        <v>6.69260588131621e-5</v>
      </c>
      <c r="N48" s="4">
        <v>0.000403841484402913</v>
      </c>
      <c r="O48" s="4">
        <v>0.000848150544118072</v>
      </c>
      <c r="P48" s="4">
        <v>0.00151660417401395</v>
      </c>
      <c r="Q48" s="4">
        <v>0.000851683729351463</v>
      </c>
      <c r="R48" s="4">
        <v>0.000637005765041956</v>
      </c>
      <c r="S48" s="4">
        <v>0.000508295792414205</v>
      </c>
      <c r="T48" s="4">
        <v>0.000452715468575884</v>
      </c>
      <c r="U48" s="4">
        <v>0.00212275862497374</v>
      </c>
      <c r="V48" s="4">
        <v>0.000742880475709453</v>
      </c>
      <c r="W48" s="4">
        <v>0.000505990097403556</v>
      </c>
      <c r="X48" s="4">
        <v>0.00115590305190447</v>
      </c>
      <c r="Y48" s="4">
        <v>0.000692528207696178</v>
      </c>
      <c r="Z48" s="4">
        <v>0.000339308299105752</v>
      </c>
      <c r="AA48" s="4">
        <v>0.000806006855022835</v>
      </c>
      <c r="AB48" s="4">
        <v>0.000672621207993021</v>
      </c>
      <c r="AC48" s="4">
        <v>0.00192959131684295</v>
      </c>
      <c r="AD48" s="4">
        <v>0.00073377964550233</v>
      </c>
      <c r="AE48" s="4">
        <v>0.00095559960313291</v>
      </c>
      <c r="AF48" s="4">
        <v>0.000236036036806219</v>
      </c>
      <c r="AG48" s="4">
        <v>0.0017620077816435</v>
      </c>
      <c r="AH48" s="4">
        <v>0.000632526377392258</v>
      </c>
      <c r="AI48" s="4">
        <v>0.00176298927699488</v>
      </c>
      <c r="AJ48" s="4">
        <v>0.00264863497617387</v>
      </c>
      <c r="AK48" s="4">
        <v>0.00688201182347131</v>
      </c>
      <c r="AL48" s="4">
        <v>0.00105344855453425</v>
      </c>
      <c r="AM48" s="4">
        <v>0.00125583243478422</v>
      </c>
      <c r="AN48" s="4">
        <v>0.0005810918061455</v>
      </c>
      <c r="AO48" s="4">
        <v>0.0015955541905662</v>
      </c>
      <c r="AQ48" s="7">
        <v>0.00611602943191298</v>
      </c>
    </row>
    <row r="49" spans="1:43">
      <c r="A49" s="2" t="s">
        <v>114</v>
      </c>
      <c r="B49" s="4">
        <v>0.000820561187910153</v>
      </c>
      <c r="C49" s="4">
        <v>0.00063085805069389</v>
      </c>
      <c r="D49" s="4">
        <v>0.000506549648915891</v>
      </c>
      <c r="E49" s="4">
        <v>0.00121022706028343</v>
      </c>
      <c r="F49" s="4">
        <v>0.000875382721192286</v>
      </c>
      <c r="G49" s="4">
        <v>0.000531735777238177</v>
      </c>
      <c r="H49" s="4">
        <v>0.001136980184011</v>
      </c>
      <c r="I49" s="4">
        <v>0.000656619179502511</v>
      </c>
      <c r="J49" s="4">
        <v>0.000931681106838538</v>
      </c>
      <c r="K49" s="4">
        <v>0.0012507015175944</v>
      </c>
      <c r="L49" s="4">
        <v>-0.000239033167973599</v>
      </c>
      <c r="M49" s="4">
        <v>0.000227052461961902</v>
      </c>
      <c r="N49" s="4">
        <v>0.000673352559730194</v>
      </c>
      <c r="O49" s="4">
        <v>0.000583672669890453</v>
      </c>
      <c r="P49" s="4">
        <v>0.00066270425668288</v>
      </c>
      <c r="Q49" s="4">
        <v>3.02790580838786e-5</v>
      </c>
      <c r="R49" s="4">
        <v>0.00066760168332159</v>
      </c>
      <c r="S49" s="4">
        <v>0.0012054005550366</v>
      </c>
      <c r="T49" s="4">
        <v>0.00121124118613714</v>
      </c>
      <c r="U49" s="4">
        <v>0.00166192601669696</v>
      </c>
      <c r="V49" s="4">
        <v>0.00123677167525704</v>
      </c>
      <c r="W49" s="4">
        <v>0.000487931140771634</v>
      </c>
      <c r="X49" s="4">
        <v>0.00103905869791664</v>
      </c>
      <c r="Y49" s="4">
        <v>0.00257816376006994</v>
      </c>
      <c r="Z49" s="4">
        <v>0.000834269188408057</v>
      </c>
      <c r="AA49" s="4">
        <v>0.000881671825536437</v>
      </c>
      <c r="AB49" s="4">
        <v>0.000156401529744962</v>
      </c>
      <c r="AC49" s="4">
        <v>0.00253480915886537</v>
      </c>
      <c r="AD49" s="4">
        <v>0.000414923310950118</v>
      </c>
      <c r="AE49" s="4">
        <v>0.000774871815375445</v>
      </c>
      <c r="AF49" s="4">
        <v>0.000379167166610169</v>
      </c>
      <c r="AG49" s="4">
        <v>0.00160245566621432</v>
      </c>
      <c r="AH49" s="4">
        <v>0.00151062265689329</v>
      </c>
      <c r="AI49" s="4">
        <v>0.0011381643122151</v>
      </c>
      <c r="AJ49" s="4">
        <v>0.0027899219368804</v>
      </c>
      <c r="AK49" s="4">
        <v>0.00105344855453425</v>
      </c>
      <c r="AL49" s="4">
        <v>0.00629236004747473</v>
      </c>
      <c r="AM49" s="4">
        <v>0.00138155966820092</v>
      </c>
      <c r="AN49" s="4">
        <v>0.000682844136268118</v>
      </c>
      <c r="AO49" s="4">
        <v>0.00218698352353411</v>
      </c>
      <c r="AQ49" s="7">
        <v>0.00862410734344548</v>
      </c>
    </row>
    <row r="50" spans="1:43">
      <c r="A50" s="2" t="s">
        <v>127</v>
      </c>
      <c r="B50" s="4">
        <v>0.0014659261072411</v>
      </c>
      <c r="C50" s="4">
        <v>0.000949674938617444</v>
      </c>
      <c r="D50" s="4">
        <v>0.000935239019732679</v>
      </c>
      <c r="E50" s="4">
        <v>0.00136839813154106</v>
      </c>
      <c r="F50" s="4">
        <v>0.00135287456626763</v>
      </c>
      <c r="G50" s="4">
        <v>0.00119912631252331</v>
      </c>
      <c r="H50" s="4">
        <v>0.000576748966711818</v>
      </c>
      <c r="I50" s="4">
        <v>0.000609519938220563</v>
      </c>
      <c r="J50" s="4">
        <v>0.00120517543762617</v>
      </c>
      <c r="K50" s="4">
        <v>0.000922768778222844</v>
      </c>
      <c r="L50" s="4">
        <v>0.000420328283917622</v>
      </c>
      <c r="M50" s="4">
        <v>0.00038399540253993</v>
      </c>
      <c r="N50" s="4">
        <v>0.00167759544178118</v>
      </c>
      <c r="O50" s="4">
        <v>0.000661663527431784</v>
      </c>
      <c r="P50" s="4">
        <v>0.000752003346924876</v>
      </c>
      <c r="Q50" s="4">
        <v>0.000258803465750036</v>
      </c>
      <c r="R50" s="4">
        <v>0.00268352148345333</v>
      </c>
      <c r="S50" s="4">
        <v>0.00116362461876524</v>
      </c>
      <c r="T50" s="4">
        <v>0.00206361051272762</v>
      </c>
      <c r="U50" s="4">
        <v>0.0019672160022474</v>
      </c>
      <c r="V50" s="4">
        <v>0.000930006921846425</v>
      </c>
      <c r="W50" s="4">
        <v>0.00216514264634759</v>
      </c>
      <c r="X50" s="4">
        <v>0.00192639614144903</v>
      </c>
      <c r="Y50" s="4">
        <v>0.00444950279991858</v>
      </c>
      <c r="Z50" s="4">
        <v>0.00144956411846718</v>
      </c>
      <c r="AA50" s="4">
        <v>0.00110971262510815</v>
      </c>
      <c r="AB50" s="4">
        <v>0.000912600354514212</v>
      </c>
      <c r="AC50" s="4">
        <v>0.00521638610173728</v>
      </c>
      <c r="AD50" s="4">
        <v>0.000785246477051764</v>
      </c>
      <c r="AE50" s="4">
        <v>0.00196556281992554</v>
      </c>
      <c r="AF50" s="4">
        <v>0.00039096046271261</v>
      </c>
      <c r="AG50" s="4">
        <v>0.00279084415407801</v>
      </c>
      <c r="AH50" s="4">
        <v>0.00206273477346599</v>
      </c>
      <c r="AI50" s="4">
        <v>0.00213227804726116</v>
      </c>
      <c r="AJ50" s="4">
        <v>0.00100694069434678</v>
      </c>
      <c r="AK50" s="4">
        <v>0.00125583243478422</v>
      </c>
      <c r="AL50" s="4">
        <v>0.00138155966820092</v>
      </c>
      <c r="AM50" s="4">
        <v>0.0288543441698788</v>
      </c>
      <c r="AN50" s="4">
        <v>0.00106235407044693</v>
      </c>
      <c r="AO50" s="4">
        <v>0.000958836696119506</v>
      </c>
      <c r="AQ50" s="7">
        <v>0.0356824980813691</v>
      </c>
    </row>
    <row r="51" spans="1:43">
      <c r="A51" s="2" t="s">
        <v>128</v>
      </c>
      <c r="B51" s="4">
        <v>0.00055150116604192</v>
      </c>
      <c r="C51" s="4">
        <v>0.000261134482716925</v>
      </c>
      <c r="D51" s="4">
        <v>-0.000209870312031423</v>
      </c>
      <c r="E51" s="4">
        <v>0.000457059037032836</v>
      </c>
      <c r="F51" s="4">
        <v>0.00031625956894584</v>
      </c>
      <c r="G51" s="4">
        <v>0.000621112980936915</v>
      </c>
      <c r="H51" s="4">
        <v>0.000704515832967639</v>
      </c>
      <c r="I51" s="4">
        <v>0.00134327180046997</v>
      </c>
      <c r="J51" s="4">
        <v>0.000843533225083047</v>
      </c>
      <c r="K51" s="4">
        <v>0.000377069732855036</v>
      </c>
      <c r="L51" s="4">
        <v>0.000533179640298691</v>
      </c>
      <c r="M51" s="4">
        <v>0.000214359034068715</v>
      </c>
      <c r="N51" s="4">
        <v>0.000765469587370128</v>
      </c>
      <c r="O51" s="4">
        <v>0.000989682545194395</v>
      </c>
      <c r="P51" s="4">
        <v>0.00110398593333556</v>
      </c>
      <c r="Q51" s="4">
        <v>0.000787028773534137</v>
      </c>
      <c r="R51" s="4">
        <v>0.00220575342819557</v>
      </c>
      <c r="S51" s="4">
        <v>0.000370816953598039</v>
      </c>
      <c r="T51" s="4">
        <v>0.00105039282033829</v>
      </c>
      <c r="U51" s="4">
        <v>0.00248264913142492</v>
      </c>
      <c r="V51" s="4">
        <v>0.00104535167574462</v>
      </c>
      <c r="W51" s="4">
        <v>0.00124667711685636</v>
      </c>
      <c r="X51" s="4">
        <v>0.00135780434237406</v>
      </c>
      <c r="Y51" s="4">
        <v>0.000597663236078743</v>
      </c>
      <c r="Z51" s="4">
        <v>0.000354223262653338</v>
      </c>
      <c r="AA51" s="4">
        <v>0.000667371488455433</v>
      </c>
      <c r="AB51" s="4">
        <v>0.000695664334082891</v>
      </c>
      <c r="AC51" s="4">
        <v>0.000304183549194635</v>
      </c>
      <c r="AD51" s="4">
        <v>0.000233798182449396</v>
      </c>
      <c r="AE51" s="4">
        <v>0.00101396793653037</v>
      </c>
      <c r="AF51" s="4">
        <v>0.000754916849082541</v>
      </c>
      <c r="AG51" s="4">
        <v>0.0010183138638731</v>
      </c>
      <c r="AH51" s="4">
        <v>0.00110044870980642</v>
      </c>
      <c r="AI51" s="4">
        <v>0.00104946774046598</v>
      </c>
      <c r="AJ51" s="4">
        <v>0.00116631238635025</v>
      </c>
      <c r="AK51" s="4">
        <v>0.0005810918061455</v>
      </c>
      <c r="AL51" s="4">
        <v>0.000682844136268118</v>
      </c>
      <c r="AM51" s="4">
        <v>0.00106235407044693</v>
      </c>
      <c r="AN51" s="4">
        <v>0.00560074218683889</v>
      </c>
      <c r="AO51" s="4">
        <v>0.000489393777971302</v>
      </c>
      <c r="AQ51" s="7">
        <v>0.00761012989421547</v>
      </c>
    </row>
    <row r="52" spans="1:43">
      <c r="A52" s="2" t="s">
        <v>130</v>
      </c>
      <c r="B52" s="4">
        <v>0.000642595193675745</v>
      </c>
      <c r="C52" s="4">
        <v>5.67928386070292e-5</v>
      </c>
      <c r="D52" s="4">
        <v>2.44730406749088e-5</v>
      </c>
      <c r="E52" s="4">
        <v>0.000371221000912044</v>
      </c>
      <c r="F52" s="4">
        <v>9.32319228588942e-5</v>
      </c>
      <c r="G52" s="4">
        <v>0.000647840787222945</v>
      </c>
      <c r="H52" s="4">
        <v>0.000867231764265514</v>
      </c>
      <c r="I52" s="4">
        <v>0.000523549248514434</v>
      </c>
      <c r="J52" s="4">
        <v>0.000413877692992993</v>
      </c>
      <c r="K52" s="4">
        <v>0.00111015824090179</v>
      </c>
      <c r="L52" s="4">
        <v>-0.00104334583692545</v>
      </c>
      <c r="M52" s="4">
        <v>1.96469405825999e-5</v>
      </c>
      <c r="N52" s="4">
        <v>0.000420579240380031</v>
      </c>
      <c r="O52" s="4">
        <v>0.000329108877371951</v>
      </c>
      <c r="P52" s="4">
        <v>0.000938843505194933</v>
      </c>
      <c r="Q52" s="4">
        <v>0.000102008497353776</v>
      </c>
      <c r="R52" s="4">
        <v>0.000510311979982773</v>
      </c>
      <c r="S52" s="4">
        <v>0.000723871886892702</v>
      </c>
      <c r="T52" s="4">
        <v>0.00146677757771331</v>
      </c>
      <c r="U52" s="4">
        <v>0.000305984069014807</v>
      </c>
      <c r="V52" s="4">
        <v>0.00125915241389443</v>
      </c>
      <c r="W52" s="4">
        <v>0.000871554980515812</v>
      </c>
      <c r="X52" s="4">
        <v>0.00104694759269426</v>
      </c>
      <c r="Y52" s="4">
        <v>0.00229054746924588</v>
      </c>
      <c r="Z52" s="4">
        <v>0.000851438491445046</v>
      </c>
      <c r="AA52" s="4">
        <v>0.000810295734029045</v>
      </c>
      <c r="AB52" s="4">
        <v>-6.42602343475137e-5</v>
      </c>
      <c r="AC52" s="4">
        <v>0.00463921708302226</v>
      </c>
      <c r="AD52" s="4">
        <v>0.00043697495084298</v>
      </c>
      <c r="AE52" s="4">
        <v>0.000976727830558201</v>
      </c>
      <c r="AF52" s="4">
        <v>0.000494550658122961</v>
      </c>
      <c r="AG52" s="4">
        <v>0.00153446828445556</v>
      </c>
      <c r="AH52" s="4">
        <v>0.00213014382414529</v>
      </c>
      <c r="AI52" s="4">
        <v>0.00197989750510256</v>
      </c>
      <c r="AJ52" s="4">
        <v>0.00290869624016171</v>
      </c>
      <c r="AK52" s="4">
        <v>0.0015955541905662</v>
      </c>
      <c r="AL52" s="4">
        <v>0.00218698352353411</v>
      </c>
      <c r="AM52" s="4">
        <v>0.000958836696119506</v>
      </c>
      <c r="AN52" s="4">
        <v>0.000489393777971302</v>
      </c>
      <c r="AO52" s="4">
        <v>0.00963337352595042</v>
      </c>
      <c r="AQ52" s="7">
        <v>0.00617890556710866</v>
      </c>
    </row>
    <row r="54" ht="27" spans="2:2">
      <c r="B54" s="18" t="s">
        <v>167</v>
      </c>
    </row>
    <row r="55" spans="1:2">
      <c r="A55" s="2" t="s">
        <v>2</v>
      </c>
      <c r="B55" s="9">
        <f t="array" ref="B55:B94">MMULT(MINVERSE(B13:AO52),AQ13:AQ52-B3)/SUM(MMULT(MINVERSE(B13:AO52),AQ13:AQ52-B3))</f>
        <v>0.0519724440264671</v>
      </c>
    </row>
    <row r="56" spans="1:2">
      <c r="A56" s="2" t="s">
        <v>6</v>
      </c>
      <c r="B56" s="9">
        <v>0.025351013368786</v>
      </c>
    </row>
    <row r="57" spans="1:2">
      <c r="A57" s="2" t="s">
        <v>4</v>
      </c>
      <c r="B57" s="9">
        <v>0.0270201738722186</v>
      </c>
    </row>
    <row r="58" spans="1:2">
      <c r="A58" s="2" t="s">
        <v>5</v>
      </c>
      <c r="B58" s="9">
        <v>0.0237181469870097</v>
      </c>
    </row>
    <row r="59" spans="1:2">
      <c r="A59" s="2" t="s">
        <v>7</v>
      </c>
      <c r="B59" s="9">
        <v>0.0149451811125883</v>
      </c>
    </row>
    <row r="60" spans="1:2">
      <c r="A60" s="2" t="s">
        <v>9</v>
      </c>
      <c r="B60" s="9">
        <v>0.0277212040593317</v>
      </c>
    </row>
    <row r="61" spans="1:2">
      <c r="A61" s="2" t="s">
        <v>10</v>
      </c>
      <c r="B61" s="9">
        <v>0.00760232666235071</v>
      </c>
    </row>
    <row r="62" spans="1:2">
      <c r="A62" s="2" t="s">
        <v>11</v>
      </c>
      <c r="B62" s="9">
        <v>0.00653121946526327</v>
      </c>
    </row>
    <row r="63" spans="1:2">
      <c r="A63" s="2" t="s">
        <v>16</v>
      </c>
      <c r="B63" s="9">
        <v>0.0455250086183157</v>
      </c>
    </row>
    <row r="64" spans="1:2">
      <c r="A64" s="2" t="s">
        <v>17</v>
      </c>
      <c r="B64" s="9">
        <v>0.0136485582375476</v>
      </c>
    </row>
    <row r="65" spans="1:2">
      <c r="A65" s="2" t="s">
        <v>19</v>
      </c>
      <c r="B65" s="9">
        <v>0.00751091468814491</v>
      </c>
    </row>
    <row r="66" spans="1:2">
      <c r="A66" s="2" t="s">
        <v>28</v>
      </c>
      <c r="B66" s="9">
        <v>0.0046995351153624</v>
      </c>
    </row>
    <row r="67" spans="1:2">
      <c r="A67" s="2" t="s">
        <v>30</v>
      </c>
      <c r="B67" s="9">
        <v>0.267346191048812</v>
      </c>
    </row>
    <row r="68" spans="1:2">
      <c r="A68" s="2" t="s">
        <v>32</v>
      </c>
      <c r="B68" s="9">
        <v>0.0301820685385572</v>
      </c>
    </row>
    <row r="69" spans="1:2">
      <c r="A69" s="2" t="s">
        <v>34</v>
      </c>
      <c r="B69" s="9">
        <v>0.00598779188778407</v>
      </c>
    </row>
    <row r="70" spans="1:2">
      <c r="A70" s="2" t="s">
        <v>37</v>
      </c>
      <c r="B70" s="9">
        <v>0.00182787039135399</v>
      </c>
    </row>
    <row r="71" spans="1:2">
      <c r="A71" s="2" t="s">
        <v>39</v>
      </c>
      <c r="B71" s="9">
        <v>0.0635935757190112</v>
      </c>
    </row>
    <row r="72" spans="1:2">
      <c r="A72" s="2" t="s">
        <v>40</v>
      </c>
      <c r="B72" s="9">
        <v>0.0268834865191329</v>
      </c>
    </row>
    <row r="73" spans="1:2">
      <c r="A73" s="2" t="s">
        <v>41</v>
      </c>
      <c r="B73" s="9">
        <v>0.0246801257572862</v>
      </c>
    </row>
    <row r="74" spans="1:2">
      <c r="A74" s="2" t="s">
        <v>44</v>
      </c>
      <c r="B74" s="9">
        <v>0.0152889295054969</v>
      </c>
    </row>
    <row r="75" spans="1:2">
      <c r="A75" s="2" t="s">
        <v>49</v>
      </c>
      <c r="B75" s="9">
        <v>0.00462387109902793</v>
      </c>
    </row>
    <row r="76" spans="1:2">
      <c r="A76" s="2" t="s">
        <v>53</v>
      </c>
      <c r="B76" s="9">
        <v>0.0154229101783235</v>
      </c>
    </row>
    <row r="77" spans="1:2">
      <c r="A77" s="2" t="s">
        <v>57</v>
      </c>
      <c r="B77" s="9">
        <v>0.00398017332104004</v>
      </c>
    </row>
    <row r="78" spans="1:2">
      <c r="A78" s="2" t="s">
        <v>61</v>
      </c>
      <c r="B78" s="9">
        <v>0.00318268689196577</v>
      </c>
    </row>
    <row r="79" spans="1:2">
      <c r="A79" s="2" t="s">
        <v>63</v>
      </c>
      <c r="B79" s="9">
        <v>0.0223202696640936</v>
      </c>
    </row>
    <row r="80" spans="1:2">
      <c r="A80" s="2" t="s">
        <v>66</v>
      </c>
      <c r="B80" s="9">
        <v>0.0286429517184837</v>
      </c>
    </row>
    <row r="81" spans="1:2">
      <c r="A81" s="2" t="s">
        <v>74</v>
      </c>
      <c r="B81" s="9">
        <v>0.0021540253625783</v>
      </c>
    </row>
    <row r="82" spans="1:2">
      <c r="A82" s="2" t="s">
        <v>75</v>
      </c>
      <c r="B82" s="9">
        <v>0.00208168318110717</v>
      </c>
    </row>
    <row r="83" spans="1:2">
      <c r="A83" s="2" t="s">
        <v>78</v>
      </c>
      <c r="B83" s="9">
        <v>0.0417007154740172</v>
      </c>
    </row>
    <row r="84" spans="1:2">
      <c r="A84" s="2" t="s">
        <v>81</v>
      </c>
      <c r="B84" s="9">
        <v>0.0184232652455611</v>
      </c>
    </row>
    <row r="85" spans="1:2">
      <c r="A85" s="2" t="s">
        <v>82</v>
      </c>
      <c r="B85" s="9">
        <v>0.0172347865499645</v>
      </c>
    </row>
    <row r="86" spans="1:2">
      <c r="A86" s="2" t="s">
        <v>89</v>
      </c>
      <c r="B86" s="9">
        <v>0.00552088954308531</v>
      </c>
    </row>
    <row r="87" spans="1:2">
      <c r="A87" s="2" t="s">
        <v>97</v>
      </c>
      <c r="B87" s="9">
        <v>0.00118072774758187</v>
      </c>
    </row>
    <row r="88" spans="1:2">
      <c r="A88" s="2" t="s">
        <v>101</v>
      </c>
      <c r="B88" s="9">
        <v>0.00727297288718383</v>
      </c>
    </row>
    <row r="89" spans="1:2">
      <c r="A89" s="2" t="s">
        <v>107</v>
      </c>
      <c r="B89" s="9">
        <v>0.000267100129207095</v>
      </c>
    </row>
    <row r="90" spans="1:2">
      <c r="A90" s="2" t="s">
        <v>110</v>
      </c>
      <c r="B90" s="9">
        <v>0.000292813591668714</v>
      </c>
    </row>
    <row r="91" spans="1:2">
      <c r="A91" s="2" t="s">
        <v>114</v>
      </c>
      <c r="B91" s="9">
        <v>0.0248233337491778</v>
      </c>
    </row>
    <row r="92" spans="1:2">
      <c r="A92" s="2" t="s">
        <v>127</v>
      </c>
      <c r="B92" s="9">
        <v>0.0955448288996682</v>
      </c>
    </row>
    <row r="93" spans="1:2">
      <c r="A93" s="2" t="s">
        <v>128</v>
      </c>
      <c r="B93" s="9">
        <v>0.00633486211555605</v>
      </c>
    </row>
    <row r="94" spans="1:2">
      <c r="A94" s="2" t="s">
        <v>130</v>
      </c>
      <c r="B94" s="9">
        <v>0.00695936706988824</v>
      </c>
    </row>
    <row r="96" spans="1:2">
      <c r="A96" t="s">
        <v>168</v>
      </c>
      <c r="B96" s="8">
        <f>SUM(B55:B94)</f>
        <v>1</v>
      </c>
    </row>
  </sheetData>
  <pageMargins left="0.699305555555556" right="0.699305555555556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O129"/>
  <sheetViews>
    <sheetView tabSelected="1" zoomScale="85" zoomScaleNormal="85" topLeftCell="AL1" workbookViewId="0">
      <selection activeCell="AR24" sqref="AR24"/>
    </sheetView>
  </sheetViews>
  <sheetFormatPr defaultColWidth="11" defaultRowHeight="13.2"/>
  <cols>
    <col min="2" max="17" width="11.1640625" customWidth="1"/>
    <col min="18" max="18" width="13" customWidth="1"/>
    <col min="19" max="22" width="11.1640625" customWidth="1"/>
    <col min="23" max="23" width="13" customWidth="1"/>
    <col min="24" max="30" width="11.1640625" customWidth="1"/>
    <col min="31" max="31" width="13" customWidth="1"/>
    <col min="32" max="32" width="12" customWidth="1"/>
    <col min="33" max="41" width="11.1640625" customWidth="1"/>
  </cols>
  <sheetData>
    <row r="1" ht="18.4" spans="1:1">
      <c r="A1" s="1" t="s">
        <v>169</v>
      </c>
    </row>
    <row r="3" spans="2:41">
      <c r="B3" s="2" t="s">
        <v>2</v>
      </c>
      <c r="C3" s="2" t="s">
        <v>6</v>
      </c>
      <c r="D3" s="2" t="s">
        <v>4</v>
      </c>
      <c r="E3" s="2" t="s">
        <v>5</v>
      </c>
      <c r="F3" s="2" t="s">
        <v>7</v>
      </c>
      <c r="G3" s="2" t="s">
        <v>9</v>
      </c>
      <c r="H3" s="2" t="s">
        <v>10</v>
      </c>
      <c r="I3" s="2" t="s">
        <v>11</v>
      </c>
      <c r="J3" s="2" t="s">
        <v>16</v>
      </c>
      <c r="K3" s="2" t="s">
        <v>17</v>
      </c>
      <c r="L3" s="2" t="s">
        <v>19</v>
      </c>
      <c r="M3" s="2" t="s">
        <v>28</v>
      </c>
      <c r="N3" s="2" t="s">
        <v>30</v>
      </c>
      <c r="O3" s="2" t="s">
        <v>32</v>
      </c>
      <c r="P3" s="2" t="s">
        <v>34</v>
      </c>
      <c r="Q3" s="2" t="s">
        <v>37</v>
      </c>
      <c r="R3" s="2" t="s">
        <v>39</v>
      </c>
      <c r="S3" s="2" t="s">
        <v>40</v>
      </c>
      <c r="T3" s="2" t="s">
        <v>41</v>
      </c>
      <c r="U3" s="2" t="s">
        <v>44</v>
      </c>
      <c r="V3" s="2" t="s">
        <v>49</v>
      </c>
      <c r="W3" s="2" t="s">
        <v>53</v>
      </c>
      <c r="X3" s="2" t="s">
        <v>57</v>
      </c>
      <c r="Y3" s="2" t="s">
        <v>61</v>
      </c>
      <c r="Z3" s="2" t="s">
        <v>63</v>
      </c>
      <c r="AA3" s="2" t="s">
        <v>66</v>
      </c>
      <c r="AB3" s="2" t="s">
        <v>74</v>
      </c>
      <c r="AC3" s="2" t="s">
        <v>75</v>
      </c>
      <c r="AD3" s="2" t="s">
        <v>78</v>
      </c>
      <c r="AE3" s="2" t="s">
        <v>81</v>
      </c>
      <c r="AF3" s="2" t="s">
        <v>82</v>
      </c>
      <c r="AG3" s="2" t="s">
        <v>89</v>
      </c>
      <c r="AH3" s="2" t="s">
        <v>97</v>
      </c>
      <c r="AI3" s="2" t="s">
        <v>101</v>
      </c>
      <c r="AJ3" s="2" t="s">
        <v>107</v>
      </c>
      <c r="AK3" s="2" t="s">
        <v>110</v>
      </c>
      <c r="AL3" s="2" t="s">
        <v>114</v>
      </c>
      <c r="AM3" s="2" t="s">
        <v>127</v>
      </c>
      <c r="AN3" s="2" t="s">
        <v>128</v>
      </c>
      <c r="AO3" s="2" t="s">
        <v>130</v>
      </c>
    </row>
    <row r="4" spans="1:41">
      <c r="A4" s="2" t="s">
        <v>2</v>
      </c>
      <c r="B4" s="3">
        <f t="array" ref="B4:AO43">BLtracking('Black Litterman'!B13:AO52)</f>
        <v>1</v>
      </c>
      <c r="C4" s="4">
        <v>0.208451901751062</v>
      </c>
      <c r="D4" s="4">
        <v>0.325592508252878</v>
      </c>
      <c r="E4" s="4">
        <v>0.134091494679241</v>
      </c>
      <c r="F4" s="4">
        <v>0.329822147249982</v>
      </c>
      <c r="G4" s="4">
        <v>0.290122886143601</v>
      </c>
      <c r="H4" s="4">
        <v>0.369910437348471</v>
      </c>
      <c r="I4" s="4">
        <v>0.177683648845724</v>
      </c>
      <c r="J4" s="4">
        <v>0.293541468965024</v>
      </c>
      <c r="K4" s="4">
        <v>0.291436109718503</v>
      </c>
      <c r="L4" s="4">
        <v>0.12213338868968</v>
      </c>
      <c r="M4" s="4">
        <v>0.00991864905138319</v>
      </c>
      <c r="N4" s="4">
        <v>0.262389468372076</v>
      </c>
      <c r="O4" s="4">
        <v>0.297681451364171</v>
      </c>
      <c r="P4" s="4">
        <v>0.317679800837691</v>
      </c>
      <c r="Q4" s="4">
        <v>0.596758271395862</v>
      </c>
      <c r="R4" s="4">
        <v>0.299709351962001</v>
      </c>
      <c r="S4" s="4">
        <v>0.279358078942472</v>
      </c>
      <c r="T4" s="4">
        <v>0.285360159766771</v>
      </c>
      <c r="U4" s="4">
        <v>0.538101562811088</v>
      </c>
      <c r="V4" s="4">
        <v>0.24130592728092</v>
      </c>
      <c r="W4" s="4">
        <v>0.154628324251213</v>
      </c>
      <c r="X4" s="4">
        <v>0.188210378385355</v>
      </c>
      <c r="Y4" s="4">
        <v>0.204011237800672</v>
      </c>
      <c r="Z4" s="4">
        <v>0.25960085224291</v>
      </c>
      <c r="AA4" s="4">
        <v>0.243631722702149</v>
      </c>
      <c r="AB4" s="4">
        <v>0.128224644750834</v>
      </c>
      <c r="AC4" s="4">
        <v>0.423909597804304</v>
      </c>
      <c r="AD4" s="4">
        <v>0.192246119262381</v>
      </c>
      <c r="AE4" s="4">
        <v>0.409616626979689</v>
      </c>
      <c r="AF4" s="4">
        <v>0.206089386819263</v>
      </c>
      <c r="AG4" s="4">
        <v>0.398207317726499</v>
      </c>
      <c r="AH4" s="4">
        <v>0.457717136733626</v>
      </c>
      <c r="AI4" s="4">
        <v>0.385076318270181</v>
      </c>
      <c r="AJ4" s="4">
        <v>0.125747469211892</v>
      </c>
      <c r="AK4" s="4">
        <v>0.259440147316018</v>
      </c>
      <c r="AL4" s="4">
        <v>0.341962985207388</v>
      </c>
      <c r="AM4" s="4">
        <v>0.610914183014588</v>
      </c>
      <c r="AN4" s="4">
        <v>0.229834152362688</v>
      </c>
      <c r="AO4" s="4">
        <v>0.267796934521035</v>
      </c>
    </row>
    <row r="5" spans="1:41">
      <c r="A5" s="2" t="s">
        <v>6</v>
      </c>
      <c r="B5" s="4">
        <v>0.198175257291184</v>
      </c>
      <c r="C5" s="3">
        <v>1</v>
      </c>
      <c r="D5" s="4">
        <v>0.240627232272769</v>
      </c>
      <c r="E5" s="4">
        <v>0.0747166119286329</v>
      </c>
      <c r="F5" s="4">
        <v>0.380041851588396</v>
      </c>
      <c r="G5" s="4">
        <v>0.235766730711684</v>
      </c>
      <c r="H5" s="4">
        <v>0.300414138954985</v>
      </c>
      <c r="I5" s="4">
        <v>0.111950198856644</v>
      </c>
      <c r="J5" s="4">
        <v>0.186682882910671</v>
      </c>
      <c r="K5" s="4">
        <v>0.370182313931352</v>
      </c>
      <c r="L5" s="4">
        <v>0.126719841030537</v>
      </c>
      <c r="M5" s="4">
        <v>0.123612222778566</v>
      </c>
      <c r="N5" s="4">
        <v>0.092831334243262</v>
      </c>
      <c r="O5" s="4">
        <v>0.101570726901366</v>
      </c>
      <c r="P5" s="4">
        <v>0.116680110939681</v>
      </c>
      <c r="Q5" s="4">
        <v>0.375143668474334</v>
      </c>
      <c r="R5" s="4">
        <v>0.0610519935313537</v>
      </c>
      <c r="S5" s="4">
        <v>0.0513307002603467</v>
      </c>
      <c r="T5" s="4">
        <v>0.0784631478819839</v>
      </c>
      <c r="U5" s="4">
        <v>0.536366854406648</v>
      </c>
      <c r="V5" s="4">
        <v>0.147252040190453</v>
      </c>
      <c r="W5" s="4">
        <v>0.0731738038274642</v>
      </c>
      <c r="X5" s="4">
        <v>-0.00307190949628616</v>
      </c>
      <c r="Y5" s="4">
        <v>0.0293681375711697</v>
      </c>
      <c r="Z5" s="4">
        <v>0.151546303828154</v>
      </c>
      <c r="AA5" s="4">
        <v>0.154903340390117</v>
      </c>
      <c r="AB5" s="4">
        <v>0.143973687425893</v>
      </c>
      <c r="AC5" s="4">
        <v>-0.0965075021469709</v>
      </c>
      <c r="AD5" s="4">
        <v>0.211825488446318</v>
      </c>
      <c r="AE5" s="4">
        <v>0.189744357570754</v>
      </c>
      <c r="AF5" s="4">
        <v>0.219321844213346</v>
      </c>
      <c r="AG5" s="4">
        <v>0.048090786313724</v>
      </c>
      <c r="AH5" s="4">
        <v>0.203803516354977</v>
      </c>
      <c r="AI5" s="4">
        <v>0.218911682335354</v>
      </c>
      <c r="AJ5" s="4">
        <v>0.0866327640263699</v>
      </c>
      <c r="AK5" s="4">
        <v>0.142801176139918</v>
      </c>
      <c r="AL5" s="4">
        <v>0.249944363359884</v>
      </c>
      <c r="AM5" s="4">
        <v>0.376258807620021</v>
      </c>
      <c r="AN5" s="4">
        <v>0.103460821276996</v>
      </c>
      <c r="AO5" s="4">
        <v>0.0225011789473419</v>
      </c>
    </row>
    <row r="6" spans="1:41">
      <c r="A6" s="2" t="s">
        <v>4</v>
      </c>
      <c r="B6" s="4">
        <v>0.162182435714111</v>
      </c>
      <c r="C6" s="4">
        <v>0.126075477541006</v>
      </c>
      <c r="D6" s="3">
        <v>1</v>
      </c>
      <c r="E6" s="4">
        <v>0.080192421189556</v>
      </c>
      <c r="F6" s="4">
        <v>0.186623226701909</v>
      </c>
      <c r="G6" s="4">
        <v>0.0686274358471979</v>
      </c>
      <c r="H6" s="4">
        <v>0.289974057242732</v>
      </c>
      <c r="I6" s="4">
        <v>0.0463979442742239</v>
      </c>
      <c r="J6" s="4">
        <v>0.0593963139523109</v>
      </c>
      <c r="K6" s="4">
        <v>0.17365015203096</v>
      </c>
      <c r="L6" s="4">
        <v>0.0962486176806738</v>
      </c>
      <c r="M6" s="4">
        <v>0.0716016715333719</v>
      </c>
      <c r="N6" s="4">
        <v>0.103277926043689</v>
      </c>
      <c r="O6" s="4">
        <v>0.0283544728058546</v>
      </c>
      <c r="P6" s="4">
        <v>0.117966434908016</v>
      </c>
      <c r="Q6" s="4">
        <v>0.24522036153879</v>
      </c>
      <c r="R6" s="4">
        <v>0.00457926007843827</v>
      </c>
      <c r="S6" s="4">
        <v>0.169149309780091</v>
      </c>
      <c r="T6" s="4">
        <v>0.0743680866321879</v>
      </c>
      <c r="U6" s="4">
        <v>0.275370014313652</v>
      </c>
      <c r="V6" s="4">
        <v>0.0666864471240384</v>
      </c>
      <c r="W6" s="4">
        <v>0.0131659133822737</v>
      </c>
      <c r="X6" s="4">
        <v>-0.0111593421629139</v>
      </c>
      <c r="Y6" s="4">
        <v>0.12402680012888</v>
      </c>
      <c r="Z6" s="4">
        <v>-0.0173666477967731</v>
      </c>
      <c r="AA6" s="4">
        <v>0.095082272314498</v>
      </c>
      <c r="AB6" s="4">
        <v>-0.0201311740287628</v>
      </c>
      <c r="AC6" s="4">
        <v>-0.180645365427722</v>
      </c>
      <c r="AD6" s="4">
        <v>0.0186681105426663</v>
      </c>
      <c r="AE6" s="4">
        <v>0.0503959067135317</v>
      </c>
      <c r="AF6" s="4">
        <v>0.0214162837893627</v>
      </c>
      <c r="AG6" s="4">
        <v>0.0104099575655876</v>
      </c>
      <c r="AH6" s="4">
        <v>0.175585157042354</v>
      </c>
      <c r="AI6" s="4">
        <v>-0.0599643303916325</v>
      </c>
      <c r="AJ6" s="4">
        <v>0.00470493837869728</v>
      </c>
      <c r="AK6" s="4">
        <v>0.0443360656899823</v>
      </c>
      <c r="AL6" s="4">
        <v>0.105152490252294</v>
      </c>
      <c r="AM6" s="4">
        <v>0.194142296054251</v>
      </c>
      <c r="AN6" s="4">
        <v>-0.0435660867347565</v>
      </c>
      <c r="AO6" s="4">
        <v>0.00508025457429473</v>
      </c>
    </row>
    <row r="7" spans="1:41">
      <c r="A7" s="2" t="s">
        <v>5</v>
      </c>
      <c r="B7" s="4">
        <v>0.0458845638311975</v>
      </c>
      <c r="C7" s="4">
        <v>0.0268929829942433</v>
      </c>
      <c r="D7" s="4">
        <v>0.0550895578675337</v>
      </c>
      <c r="E7" s="3">
        <v>1</v>
      </c>
      <c r="F7" s="4">
        <v>0.106787005794162</v>
      </c>
      <c r="G7" s="4">
        <v>0.0392623404671614</v>
      </c>
      <c r="H7" s="4">
        <v>0.211621866722049</v>
      </c>
      <c r="I7" s="4">
        <v>0.0374747834925456</v>
      </c>
      <c r="J7" s="4">
        <v>0.122343599304361</v>
      </c>
      <c r="K7" s="4">
        <v>0.212041827660499</v>
      </c>
      <c r="L7" s="4">
        <v>0.0687246055982055</v>
      </c>
      <c r="M7" s="4">
        <v>0.142992391693323</v>
      </c>
      <c r="N7" s="4">
        <v>0.0942868810799638</v>
      </c>
      <c r="O7" s="4">
        <v>0.0915748260278679</v>
      </c>
      <c r="P7" s="4">
        <v>0.116775572412697</v>
      </c>
      <c r="Q7" s="4">
        <v>-0.0682939859359023</v>
      </c>
      <c r="R7" s="4">
        <v>0.188078528095915</v>
      </c>
      <c r="S7" s="4">
        <v>0.0756721126502003</v>
      </c>
      <c r="T7" s="4">
        <v>0.110575811026927</v>
      </c>
      <c r="U7" s="4">
        <v>0.311276040110923</v>
      </c>
      <c r="V7" s="4">
        <v>0.0684527513030536</v>
      </c>
      <c r="W7" s="4">
        <v>0.0555630783062662</v>
      </c>
      <c r="X7" s="4">
        <v>0.137934960530198</v>
      </c>
      <c r="Y7" s="4">
        <v>0.259668777306274</v>
      </c>
      <c r="Z7" s="4">
        <v>0.00414881866342249</v>
      </c>
      <c r="AA7" s="4">
        <v>0.118419194543598</v>
      </c>
      <c r="AB7" s="4">
        <v>0.141941905942653</v>
      </c>
      <c r="AC7" s="4">
        <v>0.222011987937207</v>
      </c>
      <c r="AD7" s="4">
        <v>-0.0313855324312057</v>
      </c>
      <c r="AE7" s="4">
        <v>0.0119221070801948</v>
      </c>
      <c r="AF7" s="4">
        <v>0.00243937625917632</v>
      </c>
      <c r="AG7" s="4">
        <v>0.0340086313603551</v>
      </c>
      <c r="AH7" s="4">
        <v>0.118058518748413</v>
      </c>
      <c r="AI7" s="4">
        <v>0.146119245964513</v>
      </c>
      <c r="AJ7" s="4">
        <v>0.260543205205863</v>
      </c>
      <c r="AK7" s="4">
        <v>0.0884942932905989</v>
      </c>
      <c r="AL7" s="4">
        <v>0.17258393377046</v>
      </c>
      <c r="AM7" s="4">
        <v>0.195139854541175</v>
      </c>
      <c r="AN7" s="4">
        <v>0.0651787165938856</v>
      </c>
      <c r="AO7" s="4">
        <v>0.0529378186442168</v>
      </c>
    </row>
    <row r="8" spans="1:41">
      <c r="A8" s="2" t="s">
        <v>7</v>
      </c>
      <c r="B8" s="4">
        <v>0.186964039739752</v>
      </c>
      <c r="C8" s="4">
        <v>0.226603245033509</v>
      </c>
      <c r="D8" s="4">
        <v>0.212380455297937</v>
      </c>
      <c r="E8" s="4">
        <v>0.176901413074937</v>
      </c>
      <c r="F8" s="3">
        <v>1</v>
      </c>
      <c r="G8" s="4">
        <v>0.201797424059653</v>
      </c>
      <c r="H8" s="4">
        <v>0.272908944264315</v>
      </c>
      <c r="I8" s="4">
        <v>0.0762130201753316</v>
      </c>
      <c r="J8" s="4">
        <v>0.212890442787106</v>
      </c>
      <c r="K8" s="4">
        <v>0.296365125917539</v>
      </c>
      <c r="L8" s="4">
        <v>0.140855853645214</v>
      </c>
      <c r="M8" s="4">
        <v>0.119087063274679</v>
      </c>
      <c r="N8" s="4">
        <v>0.123222317726668</v>
      </c>
      <c r="O8" s="4">
        <v>0.139457988543281</v>
      </c>
      <c r="P8" s="4">
        <v>0.112692497408334</v>
      </c>
      <c r="Q8" s="4">
        <v>0.294454745555636</v>
      </c>
      <c r="R8" s="4">
        <v>0.133720245699568</v>
      </c>
      <c r="S8" s="4">
        <v>0.119044063210345</v>
      </c>
      <c r="T8" s="4">
        <v>0.176615668297203</v>
      </c>
      <c r="U8" s="4">
        <v>0.5545206486401</v>
      </c>
      <c r="V8" s="4">
        <v>0.0663154923025849</v>
      </c>
      <c r="W8" s="4">
        <v>0.0242279237062642</v>
      </c>
      <c r="X8" s="4">
        <v>0.0536783677977588</v>
      </c>
      <c r="Y8" s="4">
        <v>0.0654410015245431</v>
      </c>
      <c r="Z8" s="4">
        <v>0.0635429271224689</v>
      </c>
      <c r="AA8" s="4">
        <v>0.16066913530771</v>
      </c>
      <c r="AB8" s="4">
        <v>0.121445436223522</v>
      </c>
      <c r="AC8" s="4">
        <v>-0.136305966350198</v>
      </c>
      <c r="AD8" s="4">
        <v>0.10690155457284</v>
      </c>
      <c r="AE8" s="4">
        <v>0.0907699792804986</v>
      </c>
      <c r="AF8" s="4">
        <v>0.117720207670004</v>
      </c>
      <c r="AG8" s="4">
        <v>0.146114147357896</v>
      </c>
      <c r="AH8" s="4">
        <v>0.287596745786379</v>
      </c>
      <c r="AI8" s="4">
        <v>0.227389277314871</v>
      </c>
      <c r="AJ8" s="4">
        <v>0.318506169036166</v>
      </c>
      <c r="AK8" s="4">
        <v>0.158864088044561</v>
      </c>
      <c r="AL8" s="4">
        <v>0.206797063240822</v>
      </c>
      <c r="AM8" s="4">
        <v>0.319597908965229</v>
      </c>
      <c r="AN8" s="4">
        <v>0.0747119499808381</v>
      </c>
      <c r="AO8" s="4">
        <v>0.0220247525805106</v>
      </c>
    </row>
    <row r="9" spans="1:41">
      <c r="A9" s="2" t="s">
        <v>9</v>
      </c>
      <c r="B9" s="4">
        <v>0.211582590823547</v>
      </c>
      <c r="C9" s="4">
        <v>0.180857654319471</v>
      </c>
      <c r="D9" s="4">
        <v>0.100476916557744</v>
      </c>
      <c r="E9" s="4">
        <v>0.0836775103810933</v>
      </c>
      <c r="F9" s="4">
        <v>0.259618293668241</v>
      </c>
      <c r="G9" s="3">
        <v>1</v>
      </c>
      <c r="H9" s="4">
        <v>0.387891544348066</v>
      </c>
      <c r="I9" s="4">
        <v>0.292944620176667</v>
      </c>
      <c r="J9" s="4">
        <v>0.198263615569415</v>
      </c>
      <c r="K9" s="4">
        <v>0.211805351490543</v>
      </c>
      <c r="L9" s="4">
        <v>0.181846502623098</v>
      </c>
      <c r="M9" s="4">
        <v>0.142248770857883</v>
      </c>
      <c r="N9" s="4">
        <v>0.216896563882053</v>
      </c>
      <c r="O9" s="4">
        <v>0.184988083245543</v>
      </c>
      <c r="P9" s="4">
        <v>0.0752841915916504</v>
      </c>
      <c r="Q9" s="4">
        <v>0.339990003269043</v>
      </c>
      <c r="R9" s="4">
        <v>0.354441654871393</v>
      </c>
      <c r="S9" s="4">
        <v>0.00441670315375114</v>
      </c>
      <c r="T9" s="4">
        <v>0.167389126863893</v>
      </c>
      <c r="U9" s="4">
        <v>0.561624621594523</v>
      </c>
      <c r="V9" s="4">
        <v>0.33666545857261</v>
      </c>
      <c r="W9" s="4">
        <v>0.305330922880238</v>
      </c>
      <c r="X9" s="4">
        <v>0.0361503605586248</v>
      </c>
      <c r="Y9" s="4">
        <v>0.212164410612377</v>
      </c>
      <c r="Z9" s="4">
        <v>0.158140575461343</v>
      </c>
      <c r="AA9" s="4">
        <v>0.129910343707903</v>
      </c>
      <c r="AB9" s="4">
        <v>0.186016871754563</v>
      </c>
      <c r="AC9" s="4">
        <v>0.119840250237599</v>
      </c>
      <c r="AD9" s="4">
        <v>0.102952867699467</v>
      </c>
      <c r="AE9" s="4">
        <v>0.204738159333331</v>
      </c>
      <c r="AF9" s="4">
        <v>0.162979848043318</v>
      </c>
      <c r="AG9" s="4">
        <v>0.208067557173861</v>
      </c>
      <c r="AH9" s="4">
        <v>0.326862917335125</v>
      </c>
      <c r="AI9" s="4">
        <v>0.305204251976151</v>
      </c>
      <c r="AJ9" s="4">
        <v>0.175214730626784</v>
      </c>
      <c r="AK9" s="4">
        <v>0.0913471255024444</v>
      </c>
      <c r="AL9" s="4">
        <v>0.161607663859569</v>
      </c>
      <c r="AM9" s="4">
        <v>0.364444166322533</v>
      </c>
      <c r="AN9" s="4">
        <v>0.188771608266461</v>
      </c>
      <c r="AO9" s="4">
        <v>0.196894850144996</v>
      </c>
    </row>
    <row r="10" spans="1:41">
      <c r="A10" s="2" t="s">
        <v>10</v>
      </c>
      <c r="B10" s="4">
        <v>0.0990199016744341</v>
      </c>
      <c r="C10" s="4">
        <v>0.0845868213321088</v>
      </c>
      <c r="D10" s="4">
        <v>0.155831637842823</v>
      </c>
      <c r="E10" s="4">
        <v>0.165546906712546</v>
      </c>
      <c r="F10" s="4">
        <v>0.128874028993832</v>
      </c>
      <c r="G10" s="4">
        <v>0.142376488064984</v>
      </c>
      <c r="H10" s="3">
        <v>1</v>
      </c>
      <c r="I10" s="4">
        <v>0.1319905367244</v>
      </c>
      <c r="J10" s="4">
        <v>0.073520747323764</v>
      </c>
      <c r="K10" s="4">
        <v>0.116371515329949</v>
      </c>
      <c r="L10" s="4">
        <v>0.0822639643489884</v>
      </c>
      <c r="M10" s="4">
        <v>0.11107985666698</v>
      </c>
      <c r="N10" s="4">
        <v>0.120933178558988</v>
      </c>
      <c r="O10" s="4">
        <v>0.0924821892272463</v>
      </c>
      <c r="P10" s="4">
        <v>0.205698304242872</v>
      </c>
      <c r="Q10" s="4">
        <v>0.139564073107144</v>
      </c>
      <c r="R10" s="4">
        <v>0.142614569246961</v>
      </c>
      <c r="S10" s="4">
        <v>0.0708752996616405</v>
      </c>
      <c r="T10" s="4">
        <v>0.127932540538971</v>
      </c>
      <c r="U10" s="4">
        <v>0.248362715002382</v>
      </c>
      <c r="V10" s="4">
        <v>0.117944947682098</v>
      </c>
      <c r="W10" s="4">
        <v>0.126146746799408</v>
      </c>
      <c r="X10" s="4">
        <v>0.079805903998158</v>
      </c>
      <c r="Y10" s="4">
        <v>0.227184537104654</v>
      </c>
      <c r="Z10" s="4">
        <v>0.00227999547981052</v>
      </c>
      <c r="AA10" s="4">
        <v>0.111117196519957</v>
      </c>
      <c r="AB10" s="4">
        <v>0.0847019440823129</v>
      </c>
      <c r="AC10" s="4">
        <v>0.0204213889097722</v>
      </c>
      <c r="AD10" s="4">
        <v>0.00463777883310847</v>
      </c>
      <c r="AE10" s="4">
        <v>0.0611994452620682</v>
      </c>
      <c r="AF10" s="4">
        <v>0.0301428340110249</v>
      </c>
      <c r="AG10" s="4">
        <v>0.0801479147941994</v>
      </c>
      <c r="AH10" s="4">
        <v>0.070840383499073</v>
      </c>
      <c r="AI10" s="4">
        <v>0.0428508016443243</v>
      </c>
      <c r="AJ10" s="4">
        <v>0.205024569466685</v>
      </c>
      <c r="AK10" s="4">
        <v>0.0458410923569548</v>
      </c>
      <c r="AL10" s="4">
        <v>0.126837282683108</v>
      </c>
      <c r="AM10" s="4">
        <v>0.0643399707019956</v>
      </c>
      <c r="AN10" s="4">
        <v>0.0785931673370108</v>
      </c>
      <c r="AO10" s="4">
        <v>0.0967451517473864</v>
      </c>
    </row>
    <row r="11" spans="1:41">
      <c r="A11" s="2" t="s">
        <v>11</v>
      </c>
      <c r="B11" s="4">
        <v>0.0778979226687367</v>
      </c>
      <c r="C11" s="4">
        <v>0.0516249581357747</v>
      </c>
      <c r="D11" s="4">
        <v>0.0408364269747319</v>
      </c>
      <c r="E11" s="4">
        <v>0.0480122621420701</v>
      </c>
      <c r="F11" s="4">
        <v>0.0589426036510395</v>
      </c>
      <c r="G11" s="4">
        <v>0.176102693013644</v>
      </c>
      <c r="H11" s="4">
        <v>0.216169939902341</v>
      </c>
      <c r="I11" s="3">
        <v>1</v>
      </c>
      <c r="J11" s="4">
        <v>0.117629000692802</v>
      </c>
      <c r="K11" s="4">
        <v>0.0339319249004402</v>
      </c>
      <c r="L11" s="4">
        <v>0.0264922619111132</v>
      </c>
      <c r="M11" s="4">
        <v>0.170039527028036</v>
      </c>
      <c r="N11" s="4">
        <v>0.141284094480404</v>
      </c>
      <c r="O11" s="4">
        <v>0.141376035889688</v>
      </c>
      <c r="P11" s="4">
        <v>0.170684469444901</v>
      </c>
      <c r="Q11" s="4">
        <v>0.0663485463131532</v>
      </c>
      <c r="R11" s="4">
        <v>0.290408391340245</v>
      </c>
      <c r="S11" s="4">
        <v>-0.0515189201355146</v>
      </c>
      <c r="T11" s="4">
        <v>0.0936419909996395</v>
      </c>
      <c r="U11" s="4">
        <v>0.580142812016551</v>
      </c>
      <c r="V11" s="4">
        <v>0.213830649951431</v>
      </c>
      <c r="W11" s="4">
        <v>0.209017409370628</v>
      </c>
      <c r="X11" s="4">
        <v>0.182835898346554</v>
      </c>
      <c r="Y11" s="4">
        <v>0.202912357582484</v>
      </c>
      <c r="Z11" s="4">
        <v>0.0550449279754578</v>
      </c>
      <c r="AA11" s="4">
        <v>0.154092432306515</v>
      </c>
      <c r="AB11" s="4">
        <v>0.136074408575231</v>
      </c>
      <c r="AC11" s="4">
        <v>0.152344549945499</v>
      </c>
      <c r="AD11" s="4">
        <v>0.0291930143618741</v>
      </c>
      <c r="AE11" s="4">
        <v>0.156929398174935</v>
      </c>
      <c r="AF11" s="4">
        <v>0.123534793368428</v>
      </c>
      <c r="AG11" s="4">
        <v>0.203266180021656</v>
      </c>
      <c r="AH11" s="4">
        <v>0.178144421530517</v>
      </c>
      <c r="AI11" s="4">
        <v>0.194330067703337</v>
      </c>
      <c r="AJ11" s="4">
        <v>0.130666096090738</v>
      </c>
      <c r="AK11" s="4">
        <v>0.0637123087408227</v>
      </c>
      <c r="AL11" s="4">
        <v>0.119966532081491</v>
      </c>
      <c r="AM11" s="4">
        <v>0.111361342320592</v>
      </c>
      <c r="AN11" s="4">
        <v>0.245420274910849</v>
      </c>
      <c r="AO11" s="4">
        <v>0.0956542082211705</v>
      </c>
    </row>
    <row r="12" spans="1:41">
      <c r="A12" s="2" t="s">
        <v>16</v>
      </c>
      <c r="B12" s="4">
        <v>0.195426274353111</v>
      </c>
      <c r="C12" s="4">
        <v>0.130729746585722</v>
      </c>
      <c r="D12" s="4">
        <v>0.0793859357640925</v>
      </c>
      <c r="E12" s="4">
        <v>0.238028722926816</v>
      </c>
      <c r="F12" s="4">
        <v>0.250029576972006</v>
      </c>
      <c r="G12" s="4">
        <v>0.180991662635931</v>
      </c>
      <c r="H12" s="4">
        <v>0.182851066203676</v>
      </c>
      <c r="I12" s="4">
        <v>0.178627979030139</v>
      </c>
      <c r="J12" s="3">
        <v>1</v>
      </c>
      <c r="K12" s="4">
        <v>0.372450894013453</v>
      </c>
      <c r="L12" s="4">
        <v>0.124073386929443</v>
      </c>
      <c r="M12" s="4">
        <v>0.0455379858953454</v>
      </c>
      <c r="N12" s="4">
        <v>0.136468120941675</v>
      </c>
      <c r="O12" s="4">
        <v>0.187051431016566</v>
      </c>
      <c r="P12" s="4">
        <v>0.202518680879535</v>
      </c>
      <c r="Q12" s="4">
        <v>0.147544070334124</v>
      </c>
      <c r="R12" s="4">
        <v>0.185490924761314</v>
      </c>
      <c r="S12" s="4">
        <v>0.0839654510900417</v>
      </c>
      <c r="T12" s="4">
        <v>0.161207914748391</v>
      </c>
      <c r="U12" s="4">
        <v>0.515368169371004</v>
      </c>
      <c r="V12" s="4">
        <v>0.164331725719595</v>
      </c>
      <c r="W12" s="4">
        <v>0.121694597639336</v>
      </c>
      <c r="X12" s="4">
        <v>0.180874916785013</v>
      </c>
      <c r="Y12" s="4">
        <v>0.0473499976221476</v>
      </c>
      <c r="Z12" s="4">
        <v>0.127541981936141</v>
      </c>
      <c r="AA12" s="4">
        <v>0.140544997365232</v>
      </c>
      <c r="AB12" s="4">
        <v>0.237889068222216</v>
      </c>
      <c r="AC12" s="4">
        <v>0.263168337641714</v>
      </c>
      <c r="AD12" s="4">
        <v>0.0737770723009032</v>
      </c>
      <c r="AE12" s="4">
        <v>0.165525043055057</v>
      </c>
      <c r="AF12" s="4">
        <v>0.0960113404156666</v>
      </c>
      <c r="AG12" s="4">
        <v>0.42392462280985</v>
      </c>
      <c r="AH12" s="4">
        <v>0.260503468878839</v>
      </c>
      <c r="AI12" s="4">
        <v>0.347005225432866</v>
      </c>
      <c r="AJ12" s="4">
        <v>0.386103704319026</v>
      </c>
      <c r="AK12" s="4">
        <v>0.271745141437282</v>
      </c>
      <c r="AL12" s="4">
        <v>0.258493071211451</v>
      </c>
      <c r="AM12" s="4">
        <v>0.33437352967015</v>
      </c>
      <c r="AN12" s="4">
        <v>0.234036616627888</v>
      </c>
      <c r="AO12" s="4">
        <v>0.114829543265827</v>
      </c>
    </row>
    <row r="13" spans="1:41">
      <c r="A13" s="2" t="s">
        <v>17</v>
      </c>
      <c r="B13" s="4">
        <v>0.108463058891448</v>
      </c>
      <c r="C13" s="4">
        <v>0.144914079993514</v>
      </c>
      <c r="D13" s="4">
        <v>0.129743090905713</v>
      </c>
      <c r="E13" s="4">
        <v>0.230618769303948</v>
      </c>
      <c r="F13" s="4">
        <v>0.194575124251863</v>
      </c>
      <c r="G13" s="4">
        <v>0.108087998397899</v>
      </c>
      <c r="H13" s="4">
        <v>0.161792830002701</v>
      </c>
      <c r="I13" s="4">
        <v>0.0288050459410997</v>
      </c>
      <c r="J13" s="4">
        <v>0.208206373118466</v>
      </c>
      <c r="K13" s="3">
        <v>1</v>
      </c>
      <c r="L13" s="4">
        <v>0.0805181524084123</v>
      </c>
      <c r="M13" s="4">
        <v>0.04797758718261</v>
      </c>
      <c r="N13" s="4">
        <v>0.067936658022641</v>
      </c>
      <c r="O13" s="4">
        <v>0.0778950733109575</v>
      </c>
      <c r="P13" s="4">
        <v>0.170984450379911</v>
      </c>
      <c r="Q13" s="4">
        <v>0.279994756792325</v>
      </c>
      <c r="R13" s="4">
        <v>0.061470722086569</v>
      </c>
      <c r="S13" s="4">
        <v>0.0284832145620171</v>
      </c>
      <c r="T13" s="4">
        <v>0.0657297876082613</v>
      </c>
      <c r="U13" s="4">
        <v>0.412545856932713</v>
      </c>
      <c r="V13" s="4">
        <v>0.0495049128898381</v>
      </c>
      <c r="W13" s="4">
        <v>-0.0140689093166886</v>
      </c>
      <c r="X13" s="4">
        <v>0.10515488991075</v>
      </c>
      <c r="Y13" s="4">
        <v>-0.0349980684084937</v>
      </c>
      <c r="Z13" s="4">
        <v>0.0537206322870536</v>
      </c>
      <c r="AA13" s="4">
        <v>0.120468920443008</v>
      </c>
      <c r="AB13" s="4">
        <v>0.120808697573892</v>
      </c>
      <c r="AC13" s="4">
        <v>0.118799170660775</v>
      </c>
      <c r="AD13" s="4">
        <v>0.0541628945621571</v>
      </c>
      <c r="AE13" s="4">
        <v>0.0401576696924818</v>
      </c>
      <c r="AF13" s="4">
        <v>0.0786058873403944</v>
      </c>
      <c r="AG13" s="4">
        <v>0.206488581627869</v>
      </c>
      <c r="AH13" s="4">
        <v>0.291943723853175</v>
      </c>
      <c r="AI13" s="4">
        <v>0.184372791760858</v>
      </c>
      <c r="AJ13" s="4">
        <v>0.359436868253154</v>
      </c>
      <c r="AK13" s="4">
        <v>0.211435303906156</v>
      </c>
      <c r="AL13" s="4">
        <v>0.193981490732888</v>
      </c>
      <c r="AM13" s="4">
        <v>0.143119729754324</v>
      </c>
      <c r="AN13" s="4">
        <v>0.0584828177310908</v>
      </c>
      <c r="AO13" s="4">
        <v>0.172183488618239</v>
      </c>
    </row>
    <row r="14" spans="1:41">
      <c r="A14" s="2" t="s">
        <v>19</v>
      </c>
      <c r="B14" s="4">
        <v>0.0327253281402817</v>
      </c>
      <c r="C14" s="4">
        <v>0.0357149998962169</v>
      </c>
      <c r="D14" s="4">
        <v>0.0517743539773913</v>
      </c>
      <c r="E14" s="4">
        <v>0.0538141497612734</v>
      </c>
      <c r="F14" s="4">
        <v>0.0665803745971287</v>
      </c>
      <c r="G14" s="4">
        <v>0.0668123294792888</v>
      </c>
      <c r="H14" s="4">
        <v>0.0823442602135077</v>
      </c>
      <c r="I14" s="4">
        <v>0.0161916173067901</v>
      </c>
      <c r="J14" s="4">
        <v>0.0499361149591544</v>
      </c>
      <c r="K14" s="4">
        <v>0.0579702157155769</v>
      </c>
      <c r="L14" s="3">
        <v>1</v>
      </c>
      <c r="M14" s="4">
        <v>0.0509872961956445</v>
      </c>
      <c r="N14" s="4">
        <v>0.0206648034613807</v>
      </c>
      <c r="O14" s="4">
        <v>0.0232273192845746</v>
      </c>
      <c r="P14" s="4">
        <v>0.116457782249135</v>
      </c>
      <c r="Q14" s="4">
        <v>0.0633530103786813</v>
      </c>
      <c r="R14" s="4">
        <v>0.22879432547542</v>
      </c>
      <c r="S14" s="4">
        <v>-0.0497339404730981</v>
      </c>
      <c r="T14" s="4">
        <v>0.0166686623819821</v>
      </c>
      <c r="U14" s="4">
        <v>0.226925265620307</v>
      </c>
      <c r="V14" s="4">
        <v>0.117898575283392</v>
      </c>
      <c r="W14" s="4">
        <v>0.0621036989212366</v>
      </c>
      <c r="X14" s="4">
        <v>-0.0219404240167794</v>
      </c>
      <c r="Y14" s="4">
        <v>0.177039911426505</v>
      </c>
      <c r="Z14" s="4">
        <v>-0.0650744162861596</v>
      </c>
      <c r="AA14" s="4">
        <v>0.039269888403456</v>
      </c>
      <c r="AB14" s="4">
        <v>0.175471138768606</v>
      </c>
      <c r="AC14" s="4">
        <v>-0.083037296617342</v>
      </c>
      <c r="AD14" s="4">
        <v>0.0173752256339137</v>
      </c>
      <c r="AE14" s="4">
        <v>0.0777527539964344</v>
      </c>
      <c r="AF14" s="4">
        <v>0.00972442904233994</v>
      </c>
      <c r="AG14" s="4">
        <v>0.0361845654100516</v>
      </c>
      <c r="AH14" s="4">
        <v>0.0996738418398595</v>
      </c>
      <c r="AI14" s="4">
        <v>0.0401604905983702</v>
      </c>
      <c r="AJ14" s="4">
        <v>-0.0454834764469547</v>
      </c>
      <c r="AK14" s="4">
        <v>-0.0174167105707546</v>
      </c>
      <c r="AL14" s="4">
        <v>-0.0266916793270249</v>
      </c>
      <c r="AM14" s="4">
        <v>0.046936029261207</v>
      </c>
      <c r="AN14" s="4">
        <v>0.0595375951513264</v>
      </c>
      <c r="AO14" s="4">
        <v>-0.116505390203741</v>
      </c>
    </row>
    <row r="15" spans="1:41">
      <c r="A15" s="2" t="s">
        <v>28</v>
      </c>
      <c r="B15" s="4">
        <v>0.00492568261032564</v>
      </c>
      <c r="C15" s="4">
        <v>0.0645701428458364</v>
      </c>
      <c r="D15" s="4">
        <v>0.0713851121551642</v>
      </c>
      <c r="E15" s="4">
        <v>0.20752071475896</v>
      </c>
      <c r="F15" s="4">
        <v>0.104327840353796</v>
      </c>
      <c r="G15" s="4">
        <v>0.0968644643445151</v>
      </c>
      <c r="H15" s="4">
        <v>0.206074049680157</v>
      </c>
      <c r="I15" s="4">
        <v>0.192612902812131</v>
      </c>
      <c r="J15" s="4">
        <v>0.0339683325965504</v>
      </c>
      <c r="K15" s="4">
        <v>0.0640197267764598</v>
      </c>
      <c r="L15" s="4">
        <v>0.09449879700692</v>
      </c>
      <c r="M15" s="3">
        <v>1</v>
      </c>
      <c r="N15" s="4">
        <v>0.111130383008996</v>
      </c>
      <c r="O15" s="4">
        <v>0.0271222184083272</v>
      </c>
      <c r="P15" s="4">
        <v>0.101827058555818</v>
      </c>
      <c r="Q15" s="4">
        <v>-0.157433612236746</v>
      </c>
      <c r="R15" s="4">
        <v>0.165137926421879</v>
      </c>
      <c r="S15" s="4">
        <v>-0.041771770605617</v>
      </c>
      <c r="T15" s="4">
        <v>0.0662383187840328</v>
      </c>
      <c r="U15" s="4">
        <v>0.269960636875541</v>
      </c>
      <c r="V15" s="4">
        <v>0.0730438521254007</v>
      </c>
      <c r="W15" s="4">
        <v>0.0844507350855472</v>
      </c>
      <c r="X15" s="4">
        <v>0.0062844312727635</v>
      </c>
      <c r="Y15" s="4">
        <v>0.133315392736764</v>
      </c>
      <c r="Z15" s="4">
        <v>-0.00596297234344751</v>
      </c>
      <c r="AA15" s="4">
        <v>0.0840118631932008</v>
      </c>
      <c r="AB15" s="4">
        <v>0.0247909142828832</v>
      </c>
      <c r="AC15" s="4">
        <v>-0.125210284544084</v>
      </c>
      <c r="AD15" s="4">
        <v>0.0269551712878114</v>
      </c>
      <c r="AE15" s="4">
        <v>-0.0122681248174045</v>
      </c>
      <c r="AF15" s="4">
        <v>0.0586211268856811</v>
      </c>
      <c r="AG15" s="4">
        <v>-0.0438843282194057</v>
      </c>
      <c r="AH15" s="4">
        <v>0.0664259167123667</v>
      </c>
      <c r="AI15" s="4">
        <v>0.0277714747112562</v>
      </c>
      <c r="AJ15" s="4">
        <v>-0.0199607408632476</v>
      </c>
      <c r="AK15" s="4">
        <v>0.0138508772187926</v>
      </c>
      <c r="AL15" s="4">
        <v>0.0469903028600333</v>
      </c>
      <c r="AM15" s="4">
        <v>0.0794708857428701</v>
      </c>
      <c r="AN15" s="4">
        <v>0.0443632975596769</v>
      </c>
      <c r="AO15" s="4">
        <v>0.00406608974979692</v>
      </c>
    </row>
    <row r="16" spans="1:41">
      <c r="A16" s="2" t="s">
        <v>30</v>
      </c>
      <c r="B16" s="4">
        <v>0.272582937867029</v>
      </c>
      <c r="C16" s="4">
        <v>0.101438610545633</v>
      </c>
      <c r="D16" s="4">
        <v>0.215392393064065</v>
      </c>
      <c r="E16" s="4">
        <v>0.286245166737669</v>
      </c>
      <c r="F16" s="4">
        <v>0.22582050441842</v>
      </c>
      <c r="G16" s="4">
        <v>0.308963373699386</v>
      </c>
      <c r="H16" s="4">
        <v>0.469322992303928</v>
      </c>
      <c r="I16" s="4">
        <v>0.334785876805567</v>
      </c>
      <c r="J16" s="4">
        <v>0.212946247147299</v>
      </c>
      <c r="K16" s="4">
        <v>0.189634766004803</v>
      </c>
      <c r="L16" s="4">
        <v>0.0801187093813655</v>
      </c>
      <c r="M16" s="4">
        <v>0.232472282234568</v>
      </c>
      <c r="N16" s="3">
        <v>1</v>
      </c>
      <c r="O16" s="4">
        <v>0.284483660630384</v>
      </c>
      <c r="P16" s="4">
        <v>0.469072829331775</v>
      </c>
      <c r="Q16" s="4">
        <v>0.334227725936899</v>
      </c>
      <c r="R16" s="4">
        <v>0.71474894787391</v>
      </c>
      <c r="S16" s="4">
        <v>0.30642799485571</v>
      </c>
      <c r="T16" s="4">
        <v>0.363570545532835</v>
      </c>
      <c r="U16" s="4">
        <v>0.701736420220339</v>
      </c>
      <c r="V16" s="4">
        <v>0.264058043156949</v>
      </c>
      <c r="W16" s="4">
        <v>0.461645287537699</v>
      </c>
      <c r="X16" s="4">
        <v>0.38138328067547</v>
      </c>
      <c r="Y16" s="4">
        <v>0.506550417890175</v>
      </c>
      <c r="Z16" s="4">
        <v>0.195010444617011</v>
      </c>
      <c r="AA16" s="4">
        <v>0.276189225095827</v>
      </c>
      <c r="AB16" s="4">
        <v>0.123668942286068</v>
      </c>
      <c r="AC16" s="4">
        <v>0.236396658146703</v>
      </c>
      <c r="AD16" s="4">
        <v>0.0859727315340927</v>
      </c>
      <c r="AE16" s="4">
        <v>0.249318408811351</v>
      </c>
      <c r="AF16" s="4">
        <v>0.120152887104649</v>
      </c>
      <c r="AG16" s="4">
        <v>0.276402763339597</v>
      </c>
      <c r="AH16" s="4">
        <v>0.270990317701042</v>
      </c>
      <c r="AI16" s="4">
        <v>0.398825146420118</v>
      </c>
      <c r="AJ16" s="4">
        <v>0.35659537265165</v>
      </c>
      <c r="AK16" s="4">
        <v>0.174836186994769</v>
      </c>
      <c r="AL16" s="4">
        <v>0.291516346371536</v>
      </c>
      <c r="AM16" s="4">
        <v>0.726285935667265</v>
      </c>
      <c r="AN16" s="4">
        <v>0.331396820497838</v>
      </c>
      <c r="AO16" s="4">
        <v>0.182082508997113</v>
      </c>
    </row>
    <row r="17" spans="1:41">
      <c r="A17" s="2" t="s">
        <v>32</v>
      </c>
      <c r="B17" s="4">
        <v>0.228864175445216</v>
      </c>
      <c r="C17" s="4">
        <v>0.0821393069268097</v>
      </c>
      <c r="D17" s="4">
        <v>0.0437641204176286</v>
      </c>
      <c r="E17" s="4">
        <v>0.205748543195025</v>
      </c>
      <c r="F17" s="4">
        <v>0.189143391029741</v>
      </c>
      <c r="G17" s="4">
        <v>0.195016722579584</v>
      </c>
      <c r="H17" s="4">
        <v>0.265618450625235</v>
      </c>
      <c r="I17" s="4">
        <v>0.247926774599505</v>
      </c>
      <c r="J17" s="4">
        <v>0.216009866380408</v>
      </c>
      <c r="K17" s="4">
        <v>0.160915376489333</v>
      </c>
      <c r="L17" s="4">
        <v>0.0666462211000926</v>
      </c>
      <c r="M17" s="4">
        <v>0.0419891759116638</v>
      </c>
      <c r="N17" s="4">
        <v>0.210538295140779</v>
      </c>
      <c r="O17" s="3">
        <v>1</v>
      </c>
      <c r="P17" s="4">
        <v>0.393701814776674</v>
      </c>
      <c r="Q17" s="4">
        <v>0.275342067680968</v>
      </c>
      <c r="R17" s="4">
        <v>0.390344089410703</v>
      </c>
      <c r="S17" s="4">
        <v>0.151287878481926</v>
      </c>
      <c r="T17" s="4">
        <v>0.304457200400993</v>
      </c>
      <c r="U17" s="4">
        <v>0.481854966633184</v>
      </c>
      <c r="V17" s="4">
        <v>0.242141116141251</v>
      </c>
      <c r="W17" s="4">
        <v>0.252097010698662</v>
      </c>
      <c r="X17" s="4">
        <v>0.317321822421702</v>
      </c>
      <c r="Y17" s="4">
        <v>0.15369469692336</v>
      </c>
      <c r="Z17" s="4">
        <v>0.145631028799856</v>
      </c>
      <c r="AA17" s="4">
        <v>0.274054963647076</v>
      </c>
      <c r="AB17" s="4">
        <v>0.168763767332473</v>
      </c>
      <c r="AC17" s="4">
        <v>0.412666240649354</v>
      </c>
      <c r="AD17" s="4">
        <v>0.0910261893751987</v>
      </c>
      <c r="AE17" s="4">
        <v>0.329225236910382</v>
      </c>
      <c r="AF17" s="4">
        <v>0.0804102216894668</v>
      </c>
      <c r="AG17" s="4">
        <v>0.288795632547269</v>
      </c>
      <c r="AH17" s="4">
        <v>0.221508701119904</v>
      </c>
      <c r="AI17" s="4">
        <v>0.398728401515775</v>
      </c>
      <c r="AJ17" s="4">
        <v>0.407833317744245</v>
      </c>
      <c r="AK17" s="4">
        <v>0.271748475286554</v>
      </c>
      <c r="AL17" s="4">
        <v>0.187009439785352</v>
      </c>
      <c r="AM17" s="4">
        <v>0.211997806261242</v>
      </c>
      <c r="AN17" s="4">
        <v>0.317095502136296</v>
      </c>
      <c r="AO17" s="4">
        <v>0.105446888231492</v>
      </c>
    </row>
    <row r="18" spans="1:41">
      <c r="A18" s="2" t="s">
        <v>34</v>
      </c>
      <c r="B18" s="4">
        <v>0.0813829261842747</v>
      </c>
      <c r="C18" s="4">
        <v>0.0314410443872747</v>
      </c>
      <c r="D18" s="4">
        <v>0.0606698245435664</v>
      </c>
      <c r="E18" s="4">
        <v>0.0874239305260326</v>
      </c>
      <c r="F18" s="4">
        <v>0.0509284471474997</v>
      </c>
      <c r="G18" s="4">
        <v>0.0264453639978797</v>
      </c>
      <c r="H18" s="4">
        <v>0.196855931700648</v>
      </c>
      <c r="I18" s="4">
        <v>0.0997376873144748</v>
      </c>
      <c r="J18" s="4">
        <v>0.077928317527576</v>
      </c>
      <c r="K18" s="4">
        <v>0.11769603403539</v>
      </c>
      <c r="L18" s="4">
        <v>0.111342921371488</v>
      </c>
      <c r="M18" s="4">
        <v>0.0525282579045779</v>
      </c>
      <c r="N18" s="4">
        <v>0.115672922569941</v>
      </c>
      <c r="O18" s="4">
        <v>0.131185270005369</v>
      </c>
      <c r="P18" s="3">
        <v>1</v>
      </c>
      <c r="Q18" s="4">
        <v>0.176099920750988</v>
      </c>
      <c r="R18" s="4">
        <v>0.252911994164743</v>
      </c>
      <c r="S18" s="4">
        <v>0.11935281744295</v>
      </c>
      <c r="T18" s="4">
        <v>0.170620540338467</v>
      </c>
      <c r="U18" s="4">
        <v>0.250054009396552</v>
      </c>
      <c r="V18" s="4">
        <v>0.0956739561249163</v>
      </c>
      <c r="W18" s="4">
        <v>0.170363917211882</v>
      </c>
      <c r="X18" s="4">
        <v>0.166586857400192</v>
      </c>
      <c r="Y18" s="4">
        <v>0.181301123135173</v>
      </c>
      <c r="Z18" s="4">
        <v>0.0105789343479933</v>
      </c>
      <c r="AA18" s="4">
        <v>0.152314543928126</v>
      </c>
      <c r="AB18" s="4">
        <v>0.0779061893087808</v>
      </c>
      <c r="AC18" s="4">
        <v>0.149363098192665</v>
      </c>
      <c r="AD18" s="4">
        <v>0.0142662246804858</v>
      </c>
      <c r="AE18" s="4">
        <v>0.110772306182735</v>
      </c>
      <c r="AF18" s="4">
        <v>0.0258683288335893</v>
      </c>
      <c r="AG18" s="4">
        <v>0.093343074302316</v>
      </c>
      <c r="AH18" s="4">
        <v>-0.0386657561020281</v>
      </c>
      <c r="AI18" s="4">
        <v>0.0948552611874872</v>
      </c>
      <c r="AJ18" s="4">
        <v>0.176465880035645</v>
      </c>
      <c r="AK18" s="4">
        <v>0.161913878016934</v>
      </c>
      <c r="AL18" s="4">
        <v>0.0707508379683967</v>
      </c>
      <c r="AM18" s="4">
        <v>0.0802844804653695</v>
      </c>
      <c r="AN18" s="4">
        <v>0.117862423699792</v>
      </c>
      <c r="AO18" s="4">
        <v>0.100231685618271</v>
      </c>
    </row>
    <row r="19" spans="1:41">
      <c r="A19" s="2" t="s">
        <v>37</v>
      </c>
      <c r="B19" s="4">
        <v>0.0799047834809214</v>
      </c>
      <c r="C19" s="4">
        <v>0.052835811692388</v>
      </c>
      <c r="D19" s="4">
        <v>0.0659176088504623</v>
      </c>
      <c r="E19" s="4">
        <v>-0.0267233818005727</v>
      </c>
      <c r="F19" s="4">
        <v>0.0695528004855496</v>
      </c>
      <c r="G19" s="4">
        <v>0.0624226983245426</v>
      </c>
      <c r="H19" s="4">
        <v>0.0698107111507081</v>
      </c>
      <c r="I19" s="4">
        <v>0.0202641005396475</v>
      </c>
      <c r="J19" s="4">
        <v>0.0296744448308278</v>
      </c>
      <c r="K19" s="4">
        <v>0.100736241518058</v>
      </c>
      <c r="L19" s="4">
        <v>0.031658620378024</v>
      </c>
      <c r="M19" s="4">
        <v>-0.0424480644128942</v>
      </c>
      <c r="N19" s="4">
        <v>0.0430788932697791</v>
      </c>
      <c r="O19" s="4">
        <v>0.0479535604986744</v>
      </c>
      <c r="P19" s="4">
        <v>0.0920427938891241</v>
      </c>
      <c r="Q19" s="3">
        <v>1</v>
      </c>
      <c r="R19" s="4">
        <v>0.0421489086760456</v>
      </c>
      <c r="S19" s="4">
        <v>0.0577836474140644</v>
      </c>
      <c r="T19" s="4">
        <v>0.0409899386921185</v>
      </c>
      <c r="U19" s="4">
        <v>0.0854896465571705</v>
      </c>
      <c r="V19" s="4">
        <v>0.00337414497550161</v>
      </c>
      <c r="W19" s="4">
        <v>0.0197542573003203</v>
      </c>
      <c r="X19" s="4">
        <v>-0.0339388827031276</v>
      </c>
      <c r="Y19" s="4">
        <v>-0.114921436248593</v>
      </c>
      <c r="Z19" s="4">
        <v>0.0131852158089029</v>
      </c>
      <c r="AA19" s="4">
        <v>0.0241780897027926</v>
      </c>
      <c r="AB19" s="4">
        <v>-0.0299659343949568</v>
      </c>
      <c r="AC19" s="4">
        <v>-0.0866497703083614</v>
      </c>
      <c r="AD19" s="4">
        <v>0.032701954077294</v>
      </c>
      <c r="AE19" s="4">
        <v>0.0278125924941502</v>
      </c>
      <c r="AF19" s="4">
        <v>0.0348277006589516</v>
      </c>
      <c r="AG19" s="4">
        <v>0.0781028971503029</v>
      </c>
      <c r="AH19" s="4">
        <v>0.146828275856172</v>
      </c>
      <c r="AI19" s="4">
        <v>0.0424335621000454</v>
      </c>
      <c r="AJ19" s="4">
        <v>0.023131218977907</v>
      </c>
      <c r="AK19" s="4">
        <v>0.0475248561164134</v>
      </c>
      <c r="AL19" s="4">
        <v>0.00168960358074778</v>
      </c>
      <c r="AM19" s="4">
        <v>0.0144415080954587</v>
      </c>
      <c r="AN19" s="4">
        <v>0.0439170409538867</v>
      </c>
      <c r="AO19" s="4">
        <v>0.00569218242912936</v>
      </c>
    </row>
    <row r="20" spans="1:41">
      <c r="A20" s="2" t="s">
        <v>39</v>
      </c>
      <c r="B20" s="4">
        <v>0.0502972886743426</v>
      </c>
      <c r="C20" s="4">
        <v>0.0107770664442085</v>
      </c>
      <c r="D20" s="4">
        <v>0.00154280193456713</v>
      </c>
      <c r="E20" s="4">
        <v>0.0922397508729481</v>
      </c>
      <c r="F20" s="4">
        <v>0.0395879649721041</v>
      </c>
      <c r="G20" s="4">
        <v>0.0815626061028703</v>
      </c>
      <c r="H20" s="4">
        <v>0.089409212402253</v>
      </c>
      <c r="I20" s="4">
        <v>0.111166780668483</v>
      </c>
      <c r="J20" s="4">
        <v>0.046757734107468</v>
      </c>
      <c r="K20" s="4">
        <v>0.027718779736574</v>
      </c>
      <c r="L20" s="4">
        <v>0.143297933035348</v>
      </c>
      <c r="M20" s="4">
        <v>0.055805526088123</v>
      </c>
      <c r="N20" s="4">
        <v>0.11546371757247</v>
      </c>
      <c r="O20" s="4">
        <v>0.085205149942586</v>
      </c>
      <c r="P20" s="4">
        <v>0.165679969715472</v>
      </c>
      <c r="Q20" s="4">
        <v>0.0528270406703398</v>
      </c>
      <c r="R20" s="3">
        <v>1</v>
      </c>
      <c r="S20" s="4">
        <v>0.0817722168447684</v>
      </c>
      <c r="T20" s="4">
        <v>0.125645385926088</v>
      </c>
      <c r="U20" s="4">
        <v>0.24418133396625</v>
      </c>
      <c r="V20" s="4">
        <v>0.118599800454643</v>
      </c>
      <c r="W20" s="4">
        <v>0.127833844157132</v>
      </c>
      <c r="X20" s="4">
        <v>0.106740686602342</v>
      </c>
      <c r="Y20" s="4">
        <v>0.125520579354242</v>
      </c>
      <c r="Z20" s="4">
        <v>0.00998533379908868</v>
      </c>
      <c r="AA20" s="4">
        <v>0.105617336084501</v>
      </c>
      <c r="AB20" s="4">
        <v>0.111319108079648</v>
      </c>
      <c r="AC20" s="4">
        <v>0.115054418309669</v>
      </c>
      <c r="AD20" s="4">
        <v>-0.00272246168730424</v>
      </c>
      <c r="AE20" s="4">
        <v>0.100553259719144</v>
      </c>
      <c r="AF20" s="4">
        <v>0.0275109869511351</v>
      </c>
      <c r="AG20" s="4">
        <v>0.110320408909249</v>
      </c>
      <c r="AH20" s="4">
        <v>-0.00217604583814471</v>
      </c>
      <c r="AI20" s="4">
        <v>0.184923587773932</v>
      </c>
      <c r="AJ20" s="4">
        <v>0.0735462770938186</v>
      </c>
      <c r="AK20" s="4">
        <v>0.0445508270946584</v>
      </c>
      <c r="AL20" s="4">
        <v>0.0466906404839273</v>
      </c>
      <c r="AM20" s="4">
        <v>0.187679779642585</v>
      </c>
      <c r="AN20" s="4">
        <v>0.154265698971372</v>
      </c>
      <c r="AO20" s="4">
        <v>0.035690133484189</v>
      </c>
    </row>
    <row r="21" spans="1:41">
      <c r="A21" s="2" t="s">
        <v>40</v>
      </c>
      <c r="B21" s="4">
        <v>0.123358005551497</v>
      </c>
      <c r="C21" s="4">
        <v>0.0238418374945932</v>
      </c>
      <c r="D21" s="4">
        <v>0.149950154795491</v>
      </c>
      <c r="E21" s="4">
        <v>0.0976509756037418</v>
      </c>
      <c r="F21" s="4">
        <v>0.0927332705307988</v>
      </c>
      <c r="G21" s="4">
        <v>0.00267427690223093</v>
      </c>
      <c r="H21" s="4">
        <v>0.116916311697845</v>
      </c>
      <c r="I21" s="4">
        <v>-0.0518912870761478</v>
      </c>
      <c r="J21" s="4">
        <v>0.0556920545276599</v>
      </c>
      <c r="K21" s="4">
        <v>0.0337953242522293</v>
      </c>
      <c r="L21" s="4">
        <v>-0.081961400542227</v>
      </c>
      <c r="M21" s="4">
        <v>-0.0371428382977278</v>
      </c>
      <c r="N21" s="4">
        <v>0.130251362371947</v>
      </c>
      <c r="O21" s="4">
        <v>0.0868928803891622</v>
      </c>
      <c r="P21" s="4">
        <v>0.205728793703659</v>
      </c>
      <c r="Q21" s="4">
        <v>0.19056218494525</v>
      </c>
      <c r="R21" s="4">
        <v>0.215163002107687</v>
      </c>
      <c r="S21" s="3">
        <v>1</v>
      </c>
      <c r="T21" s="4">
        <v>0.214396124427196</v>
      </c>
      <c r="U21" s="4">
        <v>-0.103070618714413</v>
      </c>
      <c r="V21" s="4">
        <v>0.0575329735145439</v>
      </c>
      <c r="W21" s="4">
        <v>0.0931915991213105</v>
      </c>
      <c r="X21" s="4">
        <v>0.117540150507758</v>
      </c>
      <c r="Y21" s="4">
        <v>0.152205699305882</v>
      </c>
      <c r="Z21" s="4">
        <v>0.0462567106019151</v>
      </c>
      <c r="AA21" s="4">
        <v>0.121080717291474</v>
      </c>
      <c r="AB21" s="4">
        <v>-0.0691248138050406</v>
      </c>
      <c r="AC21" s="4">
        <v>0.0958475781808399</v>
      </c>
      <c r="AD21" s="4">
        <v>-0.00187921621751351</v>
      </c>
      <c r="AE21" s="4">
        <v>0.0745728014712127</v>
      </c>
      <c r="AF21" s="4">
        <v>-0.00656846692719252</v>
      </c>
      <c r="AG21" s="4">
        <v>0.103491860637355</v>
      </c>
      <c r="AH21" s="4">
        <v>0.0709682968322249</v>
      </c>
      <c r="AI21" s="4">
        <v>0.0761675243881123</v>
      </c>
      <c r="AJ21" s="4">
        <v>0.208628844123655</v>
      </c>
      <c r="AK21" s="4">
        <v>0.0935385744129401</v>
      </c>
      <c r="AL21" s="4">
        <v>0.221822512004606</v>
      </c>
      <c r="AM21" s="4">
        <v>0.214134741257912</v>
      </c>
      <c r="AN21" s="4">
        <v>0.0682391822347507</v>
      </c>
      <c r="AO21" s="4">
        <v>0.133209728209539</v>
      </c>
    </row>
    <row r="22" spans="1:41">
      <c r="A22" s="2" t="s">
        <v>41</v>
      </c>
      <c r="B22" s="4">
        <v>0.133841384701159</v>
      </c>
      <c r="C22" s="4">
        <v>0.0387096496154999</v>
      </c>
      <c r="D22" s="4">
        <v>0.070025186548189</v>
      </c>
      <c r="E22" s="4">
        <v>0.151562527493853</v>
      </c>
      <c r="F22" s="4">
        <v>0.146132913172439</v>
      </c>
      <c r="G22" s="4">
        <v>0.107653061253505</v>
      </c>
      <c r="H22" s="4">
        <v>0.224156945880106</v>
      </c>
      <c r="I22" s="4">
        <v>0.100181910243585</v>
      </c>
      <c r="J22" s="4">
        <v>0.11357165450014</v>
      </c>
      <c r="K22" s="4">
        <v>0.0828363249907167</v>
      </c>
      <c r="L22" s="4">
        <v>0.0291775101617383</v>
      </c>
      <c r="M22" s="4">
        <v>0.0625593866690253</v>
      </c>
      <c r="N22" s="4">
        <v>0.164147209863809</v>
      </c>
      <c r="O22" s="4">
        <v>0.185736513309879</v>
      </c>
      <c r="P22" s="4">
        <v>0.312381060695021</v>
      </c>
      <c r="Q22" s="4">
        <v>0.143582006668439</v>
      </c>
      <c r="R22" s="4">
        <v>0.351155395953114</v>
      </c>
      <c r="S22" s="4">
        <v>0.22772353065274</v>
      </c>
      <c r="T22" s="3">
        <v>1</v>
      </c>
      <c r="U22" s="4">
        <v>0.268727682220525</v>
      </c>
      <c r="V22" s="4">
        <v>0.200325246556532</v>
      </c>
      <c r="W22" s="4">
        <v>0.219842132071114</v>
      </c>
      <c r="X22" s="4">
        <v>0.208819670734843</v>
      </c>
      <c r="Y22" s="4">
        <v>0.31588960182218</v>
      </c>
      <c r="Z22" s="4">
        <v>0.109864430697491</v>
      </c>
      <c r="AA22" s="4">
        <v>0.223738822591035</v>
      </c>
      <c r="AB22" s="4">
        <v>0.0265134274150659</v>
      </c>
      <c r="AC22" s="4">
        <v>0.380287806510052</v>
      </c>
      <c r="AD22" s="4">
        <v>0.0846310289737177</v>
      </c>
      <c r="AE22" s="4">
        <v>0.142367623537558</v>
      </c>
      <c r="AF22" s="4">
        <v>0.0893486392022136</v>
      </c>
      <c r="AG22" s="4">
        <v>0.259323231426421</v>
      </c>
      <c r="AH22" s="4">
        <v>0.238686039252727</v>
      </c>
      <c r="AI22" s="4">
        <v>0.223099865646776</v>
      </c>
      <c r="AJ22" s="4">
        <v>0.392899547627138</v>
      </c>
      <c r="AK22" s="4">
        <v>0.0884892560634743</v>
      </c>
      <c r="AL22" s="4">
        <v>0.236753190280596</v>
      </c>
      <c r="AM22" s="4">
        <v>0.403360105300717</v>
      </c>
      <c r="AN22" s="4">
        <v>0.205313239104772</v>
      </c>
      <c r="AO22" s="4">
        <v>0.286701174737262</v>
      </c>
    </row>
    <row r="23" spans="1:41">
      <c r="A23" s="2" t="s">
        <v>44</v>
      </c>
      <c r="B23" s="4">
        <v>0.0537866329242466</v>
      </c>
      <c r="C23" s="4">
        <v>0.0563934244651366</v>
      </c>
      <c r="D23" s="4">
        <v>0.0552582766908466</v>
      </c>
      <c r="E23" s="4">
        <v>0.0909264889802298</v>
      </c>
      <c r="F23" s="4">
        <v>0.0977798932272085</v>
      </c>
      <c r="G23" s="4">
        <v>0.0769765250888793</v>
      </c>
      <c r="H23" s="4">
        <v>0.0927407488044028</v>
      </c>
      <c r="I23" s="4">
        <v>0.132271600369477</v>
      </c>
      <c r="J23" s="4">
        <v>0.0773774132498343</v>
      </c>
      <c r="K23" s="4">
        <v>0.110801042700335</v>
      </c>
      <c r="L23" s="4">
        <v>0.084653195057258</v>
      </c>
      <c r="M23" s="4">
        <v>0.054337124046965</v>
      </c>
      <c r="N23" s="4">
        <v>0.0675199097826656</v>
      </c>
      <c r="O23" s="4">
        <v>0.0626470177751316</v>
      </c>
      <c r="P23" s="4">
        <v>0.0975663880990893</v>
      </c>
      <c r="Q23" s="4">
        <v>0.0638188970870454</v>
      </c>
      <c r="R23" s="4">
        <v>0.145438131597387</v>
      </c>
      <c r="S23" s="4">
        <v>-0.0233312971071297</v>
      </c>
      <c r="T23" s="4">
        <v>0.0572697687374348</v>
      </c>
      <c r="U23" s="3">
        <v>1</v>
      </c>
      <c r="V23" s="4">
        <v>0.0837297861325869</v>
      </c>
      <c r="W23" s="4">
        <v>0.0629033970515643</v>
      </c>
      <c r="X23" s="4">
        <v>0.0808447605401071</v>
      </c>
      <c r="Y23" s="4">
        <v>0.0566356475903466</v>
      </c>
      <c r="Z23" s="4">
        <v>0.0112966112752077</v>
      </c>
      <c r="AA23" s="4">
        <v>0.0957645473406155</v>
      </c>
      <c r="AB23" s="4">
        <v>0.0861656838204396</v>
      </c>
      <c r="AC23" s="4">
        <v>0.048726893174037</v>
      </c>
      <c r="AD23" s="4">
        <v>0.0307855377099918</v>
      </c>
      <c r="AE23" s="4">
        <v>0.0536907952032656</v>
      </c>
      <c r="AF23" s="4">
        <v>0.0438380077476055</v>
      </c>
      <c r="AG23" s="4">
        <v>0.0759041111372836</v>
      </c>
      <c r="AH23" s="4">
        <v>0.064158840444137</v>
      </c>
      <c r="AI23" s="4">
        <v>0.108094572411469</v>
      </c>
      <c r="AJ23" s="4">
        <v>0.141565076444488</v>
      </c>
      <c r="AK23" s="4">
        <v>0.0884257693773458</v>
      </c>
      <c r="AL23" s="4">
        <v>0.0692292967018207</v>
      </c>
      <c r="AM23" s="4">
        <v>0.0819464759128254</v>
      </c>
      <c r="AN23" s="4">
        <v>0.103417391387569</v>
      </c>
      <c r="AO23" s="4">
        <v>0.0127460919962956</v>
      </c>
    </row>
    <row r="24" spans="1:41">
      <c r="A24" s="2" t="s">
        <v>49</v>
      </c>
      <c r="B24" s="4">
        <v>0.0860025522811181</v>
      </c>
      <c r="C24" s="4">
        <v>0.055202799385191</v>
      </c>
      <c r="D24" s="4">
        <v>0.0477146250049161</v>
      </c>
      <c r="E24" s="4">
        <v>0.0712966103081683</v>
      </c>
      <c r="F24" s="4">
        <v>0.0416946257158365</v>
      </c>
      <c r="G24" s="4">
        <v>0.164529572473643</v>
      </c>
      <c r="H24" s="4">
        <v>0.157035118637778</v>
      </c>
      <c r="I24" s="4">
        <v>0.173834068191571</v>
      </c>
      <c r="J24" s="4">
        <v>0.0879733797058801</v>
      </c>
      <c r="K24" s="4">
        <v>0.0474081669480103</v>
      </c>
      <c r="L24" s="4">
        <v>0.156820308654318</v>
      </c>
      <c r="M24" s="4">
        <v>0.0524219435468821</v>
      </c>
      <c r="N24" s="4">
        <v>0.0905921323788352</v>
      </c>
      <c r="O24" s="4">
        <v>0.112249870206004</v>
      </c>
      <c r="P24" s="4">
        <v>0.133104697629289</v>
      </c>
      <c r="Q24" s="4">
        <v>0.00898116669523025</v>
      </c>
      <c r="R24" s="4">
        <v>0.251873819783199</v>
      </c>
      <c r="S24" s="4">
        <v>0.0464359213667074</v>
      </c>
      <c r="T24" s="4">
        <v>0.152223588048552</v>
      </c>
      <c r="U24" s="4">
        <v>0.298547354666602</v>
      </c>
      <c r="V24" s="3">
        <v>1</v>
      </c>
      <c r="W24" s="4">
        <v>0.176841669430822</v>
      </c>
      <c r="X24" s="4">
        <v>0.137359009032396</v>
      </c>
      <c r="Y24" s="4">
        <v>0.331096035886234</v>
      </c>
      <c r="Z24" s="4">
        <v>0.0465906953131325</v>
      </c>
      <c r="AA24" s="4">
        <v>0.119136184183438</v>
      </c>
      <c r="AB24" s="4">
        <v>0.0623836597836333</v>
      </c>
      <c r="AC24" s="4">
        <v>0.21760763199253</v>
      </c>
      <c r="AD24" s="4">
        <v>0.0718605774564178</v>
      </c>
      <c r="AE24" s="4">
        <v>0.207245497553793</v>
      </c>
      <c r="AF24" s="4">
        <v>0.0384375499184016</v>
      </c>
      <c r="AG24" s="4">
        <v>0.153479489992451</v>
      </c>
      <c r="AH24" s="4">
        <v>0.0853103377994164</v>
      </c>
      <c r="AI24" s="4">
        <v>0.215115207631586</v>
      </c>
      <c r="AJ24" s="4">
        <v>0.165009639080436</v>
      </c>
      <c r="AK24" s="4">
        <v>0.110339350446312</v>
      </c>
      <c r="AL24" s="4">
        <v>0.183696553833826</v>
      </c>
      <c r="AM24" s="4">
        <v>0.138133068538529</v>
      </c>
      <c r="AN24" s="4">
        <v>0.155265118227091</v>
      </c>
      <c r="AO24" s="4">
        <v>0.187020744258133</v>
      </c>
    </row>
    <row r="25" spans="1:41">
      <c r="A25" s="2" t="s">
        <v>53</v>
      </c>
      <c r="B25" s="4">
        <v>0.0652091794994462</v>
      </c>
      <c r="C25" s="4">
        <v>0.0324587468666365</v>
      </c>
      <c r="D25" s="4">
        <v>0.0111465704381251</v>
      </c>
      <c r="E25" s="4">
        <v>0.06847635091768</v>
      </c>
      <c r="F25" s="4">
        <v>0.0180242671275982</v>
      </c>
      <c r="G25" s="4">
        <v>0.17656008741204</v>
      </c>
      <c r="H25" s="4">
        <v>0.198732930225427</v>
      </c>
      <c r="I25" s="4">
        <v>0.201059100279307</v>
      </c>
      <c r="J25" s="4">
        <v>0.0770863524042934</v>
      </c>
      <c r="K25" s="4">
        <v>-0.0159419568536814</v>
      </c>
      <c r="L25" s="4">
        <v>0.0977434246070262</v>
      </c>
      <c r="M25" s="4">
        <v>0.0717148707738102</v>
      </c>
      <c r="N25" s="4">
        <v>0.187402691768392</v>
      </c>
      <c r="O25" s="4">
        <v>0.138280626884489</v>
      </c>
      <c r="P25" s="4">
        <v>0.280448811765326</v>
      </c>
      <c r="Q25" s="4">
        <v>0.0622165694273248</v>
      </c>
      <c r="R25" s="4">
        <v>0.321233814945782</v>
      </c>
      <c r="S25" s="4">
        <v>0.0890000697174535</v>
      </c>
      <c r="T25" s="4">
        <v>0.197666709148579</v>
      </c>
      <c r="U25" s="4">
        <v>0.265389466564963</v>
      </c>
      <c r="V25" s="4">
        <v>0.209247820103991</v>
      </c>
      <c r="W25" s="3">
        <v>1</v>
      </c>
      <c r="X25" s="4">
        <v>0.18444293616388</v>
      </c>
      <c r="Y25" s="4">
        <v>0.58946006117057</v>
      </c>
      <c r="Z25" s="4">
        <v>0.0983758739878296</v>
      </c>
      <c r="AA25" s="4">
        <v>0.15783571643564</v>
      </c>
      <c r="AB25" s="4">
        <v>0.17634116489469</v>
      </c>
      <c r="AC25" s="4">
        <v>0.31610761973896</v>
      </c>
      <c r="AD25" s="4">
        <v>0.0261086207735261</v>
      </c>
      <c r="AE25" s="4">
        <v>0.129318153796994</v>
      </c>
      <c r="AF25" s="4">
        <v>0.0481248515852865</v>
      </c>
      <c r="AG25" s="4">
        <v>0.0334364549008942</v>
      </c>
      <c r="AH25" s="4">
        <v>0.0859737897003185</v>
      </c>
      <c r="AI25" s="4">
        <v>0.207993873062986</v>
      </c>
      <c r="AJ25" s="4">
        <v>0.105143552195229</v>
      </c>
      <c r="AK25" s="4">
        <v>0.0889262200295399</v>
      </c>
      <c r="AL25" s="4">
        <v>0.0857524133499333</v>
      </c>
      <c r="AM25" s="4">
        <v>0.38051723216015</v>
      </c>
      <c r="AN25" s="4">
        <v>0.21909970999085</v>
      </c>
      <c r="AO25" s="4">
        <v>0.153173135922809</v>
      </c>
    </row>
    <row r="26" spans="1:41">
      <c r="A26" s="2" t="s">
        <v>57</v>
      </c>
      <c r="B26" s="4">
        <v>0.0670860771194647</v>
      </c>
      <c r="C26" s="4">
        <v>-0.00115173794877322</v>
      </c>
      <c r="D26" s="4">
        <v>-0.00798542450353021</v>
      </c>
      <c r="E26" s="4">
        <v>0.143680492585588</v>
      </c>
      <c r="F26" s="4">
        <v>0.0337528043866192</v>
      </c>
      <c r="G26" s="4">
        <v>0.0176686562287551</v>
      </c>
      <c r="H26" s="4">
        <v>0.106266883811341</v>
      </c>
      <c r="I26" s="4">
        <v>0.148652386907788</v>
      </c>
      <c r="J26" s="4">
        <v>0.096839755487712</v>
      </c>
      <c r="K26" s="4">
        <v>0.100711674069063</v>
      </c>
      <c r="L26" s="4">
        <v>-0.0291866495080915</v>
      </c>
      <c r="M26" s="4">
        <v>0.00451066849113162</v>
      </c>
      <c r="N26" s="4">
        <v>0.130857377121181</v>
      </c>
      <c r="O26" s="4">
        <v>0.1471169547135</v>
      </c>
      <c r="P26" s="4">
        <v>0.231785287262474</v>
      </c>
      <c r="Q26" s="4">
        <v>-0.0903466467947185</v>
      </c>
      <c r="R26" s="4">
        <v>0.226712017310515</v>
      </c>
      <c r="S26" s="4">
        <v>0.0948787530231597</v>
      </c>
      <c r="T26" s="4">
        <v>0.158694967339266</v>
      </c>
      <c r="U26" s="4">
        <v>0.288290680725166</v>
      </c>
      <c r="V26" s="4">
        <v>0.137373393964533</v>
      </c>
      <c r="W26" s="4">
        <v>0.155894635213</v>
      </c>
      <c r="X26" s="3">
        <v>1</v>
      </c>
      <c r="Y26" s="4">
        <v>0.238641206667484</v>
      </c>
      <c r="Z26" s="4">
        <v>0.0684476841662177</v>
      </c>
      <c r="AA26" s="4">
        <v>0.149357692873393</v>
      </c>
      <c r="AB26" s="4">
        <v>0.0888229024025161</v>
      </c>
      <c r="AC26" s="4">
        <v>0.441124085050604</v>
      </c>
      <c r="AD26" s="4">
        <v>0.0181740968521121</v>
      </c>
      <c r="AE26" s="4">
        <v>0.178680839267288</v>
      </c>
      <c r="AF26" s="4">
        <v>0.0468576805210593</v>
      </c>
      <c r="AG26" s="4">
        <v>0.212835779680492</v>
      </c>
      <c r="AH26" s="4">
        <v>0.1759513281349</v>
      </c>
      <c r="AI26" s="4">
        <v>0.22128270880426</v>
      </c>
      <c r="AJ26" s="4">
        <v>0.301796782716857</v>
      </c>
      <c r="AK26" s="4">
        <v>0.171703191696694</v>
      </c>
      <c r="AL26" s="4">
        <v>0.154346590311835</v>
      </c>
      <c r="AM26" s="4">
        <v>0.286155802957714</v>
      </c>
      <c r="AN26" s="4">
        <v>0.201694544279588</v>
      </c>
      <c r="AO26" s="4">
        <v>0.155518443271341</v>
      </c>
    </row>
    <row r="27" spans="1:41">
      <c r="A27" s="2" t="s">
        <v>61</v>
      </c>
      <c r="B27" s="4">
        <v>0.0194236827324355</v>
      </c>
      <c r="C27" s="4">
        <v>0.0029411035924465</v>
      </c>
      <c r="D27" s="4">
        <v>0.0237062908710244</v>
      </c>
      <c r="E27" s="4">
        <v>0.0722490002362735</v>
      </c>
      <c r="F27" s="4">
        <v>0.0109913023211896</v>
      </c>
      <c r="G27" s="4">
        <v>0.0276982339037675</v>
      </c>
      <c r="H27" s="4">
        <v>0.0808035326551014</v>
      </c>
      <c r="I27" s="4">
        <v>0.0440663997087</v>
      </c>
      <c r="J27" s="4">
        <v>0.00677148556406</v>
      </c>
      <c r="K27" s="4">
        <v>-0.00895329869068739</v>
      </c>
      <c r="L27" s="4">
        <v>0.0629070132080321</v>
      </c>
      <c r="M27" s="4">
        <v>0.0255590013482745</v>
      </c>
      <c r="N27" s="4">
        <v>0.0464245704847438</v>
      </c>
      <c r="O27" s="4">
        <v>0.0190331348718242</v>
      </c>
      <c r="P27" s="4">
        <v>0.0673805078418118</v>
      </c>
      <c r="Q27" s="4">
        <v>-0.0817154540263009</v>
      </c>
      <c r="R27" s="4">
        <v>0.0712111730597301</v>
      </c>
      <c r="S27" s="4">
        <v>0.0328172583516636</v>
      </c>
      <c r="T27" s="4">
        <v>0.0641232806688747</v>
      </c>
      <c r="U27" s="4">
        <v>0.053945751921447</v>
      </c>
      <c r="V27" s="4">
        <v>0.0884480201098852</v>
      </c>
      <c r="W27" s="4">
        <v>0.133079813413674</v>
      </c>
      <c r="X27" s="4">
        <v>0.0637432337521289</v>
      </c>
      <c r="Y27" s="3">
        <v>1</v>
      </c>
      <c r="Z27" s="4">
        <v>0.0321974665673133</v>
      </c>
      <c r="AA27" s="4">
        <v>0.0623860768665082</v>
      </c>
      <c r="AB27" s="4">
        <v>0.0607258361453023</v>
      </c>
      <c r="AC27" s="4">
        <v>0.210487044026132</v>
      </c>
      <c r="AD27" s="4">
        <v>0.00943489826734465</v>
      </c>
      <c r="AE27" s="4">
        <v>0.0501554903521416</v>
      </c>
      <c r="AF27" s="4">
        <v>-0.00233812113066984</v>
      </c>
      <c r="AG27" s="4">
        <v>0.00830801212526051</v>
      </c>
      <c r="AH27" s="4">
        <v>0.0908443949594688</v>
      </c>
      <c r="AI27" s="4">
        <v>0.069117112180568</v>
      </c>
      <c r="AJ27" s="4">
        <v>0.0844348455762692</v>
      </c>
      <c r="AK27" s="4">
        <v>0.0274778710287294</v>
      </c>
      <c r="AL27" s="4">
        <v>0.102295401837589</v>
      </c>
      <c r="AM27" s="4">
        <v>0.176545681055885</v>
      </c>
      <c r="AN27" s="4">
        <v>0.0237138547384478</v>
      </c>
      <c r="AO27" s="4">
        <v>0.090883471959215</v>
      </c>
    </row>
    <row r="28" spans="1:41">
      <c r="A28" s="2" t="s">
        <v>63</v>
      </c>
      <c r="B28" s="4">
        <v>0.259071500025949</v>
      </c>
      <c r="C28" s="4">
        <v>0.159079898513888</v>
      </c>
      <c r="D28" s="4">
        <v>-0.0347936593676766</v>
      </c>
      <c r="E28" s="4">
        <v>0.0120996442891869</v>
      </c>
      <c r="F28" s="4">
        <v>0.111867124307621</v>
      </c>
      <c r="G28" s="4">
        <v>0.216400818488019</v>
      </c>
      <c r="H28" s="4">
        <v>0.00850005246934094</v>
      </c>
      <c r="I28" s="4">
        <v>0.12530038961399</v>
      </c>
      <c r="J28" s="4">
        <v>0.191184728142711</v>
      </c>
      <c r="K28" s="4">
        <v>0.144050959090808</v>
      </c>
      <c r="L28" s="4">
        <v>-0.242367400108315</v>
      </c>
      <c r="M28" s="4">
        <v>-0.0119829133959818</v>
      </c>
      <c r="N28" s="4">
        <v>0.18733508853018</v>
      </c>
      <c r="O28" s="4">
        <v>0.18903464271311</v>
      </c>
      <c r="P28" s="4">
        <v>0.041210866714076</v>
      </c>
      <c r="Q28" s="4">
        <v>0.0982712401099449</v>
      </c>
      <c r="R28" s="4">
        <v>0.0593788569733817</v>
      </c>
      <c r="S28" s="4">
        <v>0.104539921177188</v>
      </c>
      <c r="T28" s="4">
        <v>0.233761805943465</v>
      </c>
      <c r="U28" s="4">
        <v>0.112785068009994</v>
      </c>
      <c r="V28" s="4">
        <v>0.130457594856094</v>
      </c>
      <c r="W28" s="4">
        <v>0.232799714405482</v>
      </c>
      <c r="X28" s="4">
        <v>0.191638805625371</v>
      </c>
      <c r="Y28" s="4">
        <v>0.337487538881858</v>
      </c>
      <c r="Z28" s="3">
        <v>1</v>
      </c>
      <c r="AA28" s="4">
        <v>0.135968724767908</v>
      </c>
      <c r="AB28" s="4">
        <v>0.0200023113955423</v>
      </c>
      <c r="AC28" s="4">
        <v>0.681396216074791</v>
      </c>
      <c r="AD28" s="4">
        <v>0.207173052755791</v>
      </c>
      <c r="AE28" s="4">
        <v>0.173406346236675</v>
      </c>
      <c r="AF28" s="4">
        <v>0.261097642794448</v>
      </c>
      <c r="AG28" s="4">
        <v>0.152342822392712</v>
      </c>
      <c r="AH28" s="4">
        <v>0.326596742204349</v>
      </c>
      <c r="AI28" s="4">
        <v>0.366282150430007</v>
      </c>
      <c r="AJ28" s="4">
        <v>0.0894634228247284</v>
      </c>
      <c r="AK28" s="4">
        <v>0.141115960583512</v>
      </c>
      <c r="AL28" s="4">
        <v>0.346966750349767</v>
      </c>
      <c r="AM28" s="4">
        <v>0.602863630344428</v>
      </c>
      <c r="AN28" s="4">
        <v>0.147318990139914</v>
      </c>
      <c r="AO28" s="4">
        <v>0.354107344013404</v>
      </c>
    </row>
    <row r="29" spans="1:41">
      <c r="A29" s="2" t="s">
        <v>66</v>
      </c>
      <c r="B29" s="4">
        <v>0.129497752335124</v>
      </c>
      <c r="C29" s="4">
        <v>0.0866055269522956</v>
      </c>
      <c r="D29" s="4">
        <v>0.101460858198476</v>
      </c>
      <c r="E29" s="4">
        <v>0.183943786082778</v>
      </c>
      <c r="F29" s="4">
        <v>0.150654664377893</v>
      </c>
      <c r="G29" s="4">
        <v>0.0946834741215491</v>
      </c>
      <c r="H29" s="4">
        <v>0.220639754105733</v>
      </c>
      <c r="I29" s="4">
        <v>0.186823409091237</v>
      </c>
      <c r="J29" s="4">
        <v>0.112209673000287</v>
      </c>
      <c r="K29" s="4">
        <v>0.172054060177207</v>
      </c>
      <c r="L29" s="4">
        <v>0.0779001795556879</v>
      </c>
      <c r="M29" s="4">
        <v>0.0899197541042818</v>
      </c>
      <c r="N29" s="4">
        <v>0.14131324119631</v>
      </c>
      <c r="O29" s="4">
        <v>0.189469812011223</v>
      </c>
      <c r="P29" s="4">
        <v>0.316028368760092</v>
      </c>
      <c r="Q29" s="4">
        <v>0.0959789616523241</v>
      </c>
      <c r="R29" s="4">
        <v>0.334517870796736</v>
      </c>
      <c r="S29" s="4">
        <v>0.145746211951354</v>
      </c>
      <c r="T29" s="4">
        <v>0.253555281428972</v>
      </c>
      <c r="U29" s="4">
        <v>0.509240633765491</v>
      </c>
      <c r="V29" s="4">
        <v>0.177675984381936</v>
      </c>
      <c r="W29" s="4">
        <v>0.198936280642</v>
      </c>
      <c r="X29" s="4">
        <v>0.22272407380784</v>
      </c>
      <c r="Y29" s="4">
        <v>0.348288059501739</v>
      </c>
      <c r="Z29" s="4">
        <v>0.0724192283584691</v>
      </c>
      <c r="AA29" s="3">
        <v>1</v>
      </c>
      <c r="AB29" s="4">
        <v>0.189074616384027</v>
      </c>
      <c r="AC29" s="4">
        <v>0.473483496902223</v>
      </c>
      <c r="AD29" s="4">
        <v>0.0778757063372359</v>
      </c>
      <c r="AE29" s="4">
        <v>0.120826527275069</v>
      </c>
      <c r="AF29" s="4">
        <v>0.043719026873814</v>
      </c>
      <c r="AG29" s="4">
        <v>0.170878585204659</v>
      </c>
      <c r="AH29" s="4">
        <v>0.158901720781172</v>
      </c>
      <c r="AI29" s="4">
        <v>0.28887133028681</v>
      </c>
      <c r="AJ29" s="4">
        <v>0.261708827866516</v>
      </c>
      <c r="AK29" s="4">
        <v>0.178539888133375</v>
      </c>
      <c r="AL29" s="4">
        <v>0.195300558699546</v>
      </c>
      <c r="AM29" s="4">
        <v>0.245814246755245</v>
      </c>
      <c r="AN29" s="4">
        <v>0.147830542816985</v>
      </c>
      <c r="AO29" s="4">
        <v>0.179489924691023</v>
      </c>
    </row>
    <row r="30" spans="1:41">
      <c r="A30" s="2" t="s">
        <v>74</v>
      </c>
      <c r="B30" s="4">
        <v>0.0491995033057046</v>
      </c>
      <c r="C30" s="4">
        <v>0.0581070426491328</v>
      </c>
      <c r="D30" s="4">
        <v>-0.0155070398144751</v>
      </c>
      <c r="E30" s="4">
        <v>0.159160197846312</v>
      </c>
      <c r="F30" s="4">
        <v>0.0822038474191404</v>
      </c>
      <c r="G30" s="4">
        <v>0.0978686525093652</v>
      </c>
      <c r="H30" s="4">
        <v>0.121410622816964</v>
      </c>
      <c r="I30" s="4">
        <v>0.119093280145794</v>
      </c>
      <c r="J30" s="4">
        <v>0.137104026587234</v>
      </c>
      <c r="K30" s="4">
        <v>0.12455149042789</v>
      </c>
      <c r="L30" s="4">
        <v>0.251272699516105</v>
      </c>
      <c r="M30" s="4">
        <v>0.0191543693357194</v>
      </c>
      <c r="N30" s="4">
        <v>0.0456770020506162</v>
      </c>
      <c r="O30" s="4">
        <v>0.0842252643785932</v>
      </c>
      <c r="P30" s="4">
        <v>0.116685657121479</v>
      </c>
      <c r="Q30" s="4">
        <v>-0.0858702458830899</v>
      </c>
      <c r="R30" s="4">
        <v>0.254515743699345</v>
      </c>
      <c r="S30" s="4">
        <v>-0.0600643919265688</v>
      </c>
      <c r="T30" s="4">
        <v>0.0216899227484189</v>
      </c>
      <c r="U30" s="4">
        <v>0.330760354067038</v>
      </c>
      <c r="V30" s="4">
        <v>0.0671609318170471</v>
      </c>
      <c r="W30" s="4">
        <v>0.16044390842316</v>
      </c>
      <c r="X30" s="4">
        <v>0.0956148492759502</v>
      </c>
      <c r="Y30" s="4">
        <v>0.244728885512856</v>
      </c>
      <c r="Z30" s="4">
        <v>0.00769052294291736</v>
      </c>
      <c r="AA30" s="4">
        <v>0.136487867176339</v>
      </c>
      <c r="AB30" s="3">
        <v>1</v>
      </c>
      <c r="AC30" s="4">
        <v>0.192740844184231</v>
      </c>
      <c r="AD30" s="4">
        <v>0.0049204450436847</v>
      </c>
      <c r="AE30" s="4">
        <v>0.104738774182754</v>
      </c>
      <c r="AF30" s="4">
        <v>0.0623956221746038</v>
      </c>
      <c r="AG30" s="4">
        <v>0.144968418951415</v>
      </c>
      <c r="AH30" s="4">
        <v>0.0993260940715057</v>
      </c>
      <c r="AI30" s="4">
        <v>0.159532821273816</v>
      </c>
      <c r="AJ30" s="4">
        <v>-0.0585735512779016</v>
      </c>
      <c r="AK30" s="4">
        <v>0.107554329928657</v>
      </c>
      <c r="AL30" s="4">
        <v>0.0250091158762731</v>
      </c>
      <c r="AM30" s="4">
        <v>0.145927779939179</v>
      </c>
      <c r="AN30" s="4">
        <v>0.111239001117441</v>
      </c>
      <c r="AO30" s="4">
        <v>-0.0102754215361835</v>
      </c>
    </row>
    <row r="31" spans="1:41">
      <c r="A31" s="2" t="s">
        <v>75</v>
      </c>
      <c r="B31" s="4">
        <v>0.0316866147653086</v>
      </c>
      <c r="C31" s="4">
        <v>-0.00758787382057224</v>
      </c>
      <c r="D31" s="4">
        <v>-0.0271081576774227</v>
      </c>
      <c r="E31" s="4">
        <v>0.04849686261271</v>
      </c>
      <c r="F31" s="4">
        <v>-0.0179737704896876</v>
      </c>
      <c r="G31" s="4">
        <v>0.0122830822476686</v>
      </c>
      <c r="H31" s="4">
        <v>0.00570245629240931</v>
      </c>
      <c r="I31" s="4">
        <v>0.0259747337288137</v>
      </c>
      <c r="J31" s="4">
        <v>0.0295476361211323</v>
      </c>
      <c r="K31" s="4">
        <v>0.0238603887832801</v>
      </c>
      <c r="L31" s="4">
        <v>-0.0231646740254947</v>
      </c>
      <c r="M31" s="4">
        <v>-0.0188464126716355</v>
      </c>
      <c r="N31" s="4">
        <v>0.0170095043515261</v>
      </c>
      <c r="O31" s="4">
        <v>0.0401213458988005</v>
      </c>
      <c r="P31" s="4">
        <v>0.0435815034633686</v>
      </c>
      <c r="Q31" s="4">
        <v>-0.0483721820125275</v>
      </c>
      <c r="R31" s="4">
        <v>0.0512461938852467</v>
      </c>
      <c r="S31" s="4">
        <v>0.0162247358367823</v>
      </c>
      <c r="T31" s="4">
        <v>0.0606063197988953</v>
      </c>
      <c r="U31" s="4">
        <v>0.0364385604467036</v>
      </c>
      <c r="V31" s="4">
        <v>0.0456387107079846</v>
      </c>
      <c r="W31" s="4">
        <v>0.0560296452189564</v>
      </c>
      <c r="X31" s="4">
        <v>0.092506986911335</v>
      </c>
      <c r="Y31" s="4">
        <v>0.165253428534717</v>
      </c>
      <c r="Z31" s="4">
        <v>0.0510374286723418</v>
      </c>
      <c r="AA31" s="4">
        <v>0.0665854050934509</v>
      </c>
      <c r="AB31" s="4">
        <v>0.0375480283623001</v>
      </c>
      <c r="AC31" s="3">
        <v>1</v>
      </c>
      <c r="AD31" s="4">
        <v>0.0269777174939966</v>
      </c>
      <c r="AE31" s="4">
        <v>0.0859527480483505</v>
      </c>
      <c r="AF31" s="4">
        <v>0.003408892939595</v>
      </c>
      <c r="AG31" s="4">
        <v>0.0858660107648995</v>
      </c>
      <c r="AH31" s="4">
        <v>0.0539196034188302</v>
      </c>
      <c r="AI31" s="4">
        <v>0.116457904479622</v>
      </c>
      <c r="AJ31" s="4">
        <v>0.102097338402118</v>
      </c>
      <c r="AK31" s="4">
        <v>0.0601085233209274</v>
      </c>
      <c r="AL31" s="4">
        <v>0.0789616091810806</v>
      </c>
      <c r="AM31" s="4">
        <v>0.162495168230878</v>
      </c>
      <c r="AN31" s="4">
        <v>0.00947559402916629</v>
      </c>
      <c r="AO31" s="4">
        <v>0.144515828710264</v>
      </c>
    </row>
    <row r="32" spans="1:41">
      <c r="A32" s="2" t="s">
        <v>78</v>
      </c>
      <c r="B32" s="4">
        <v>0.239768043182149</v>
      </c>
      <c r="C32" s="4">
        <v>0.277887085938504</v>
      </c>
      <c r="D32" s="4">
        <v>0.0467417174577737</v>
      </c>
      <c r="E32" s="4">
        <v>-0.114392576445867</v>
      </c>
      <c r="F32" s="4">
        <v>0.235201165445683</v>
      </c>
      <c r="G32" s="4">
        <v>0.176065483512516</v>
      </c>
      <c r="H32" s="4">
        <v>0.0216081629358423</v>
      </c>
      <c r="I32" s="4">
        <v>0.08304896909999</v>
      </c>
      <c r="J32" s="4">
        <v>0.138210693085628</v>
      </c>
      <c r="K32" s="4">
        <v>0.181508553434282</v>
      </c>
      <c r="L32" s="4">
        <v>0.0808750509558909</v>
      </c>
      <c r="M32" s="4">
        <v>0.0676958292733333</v>
      </c>
      <c r="N32" s="4">
        <v>0.103214847239301</v>
      </c>
      <c r="O32" s="4">
        <v>0.14766379876815</v>
      </c>
      <c r="P32" s="4">
        <v>0.0694542901829248</v>
      </c>
      <c r="Q32" s="4">
        <v>0.304602237864063</v>
      </c>
      <c r="R32" s="4">
        <v>-0.0202325775588504</v>
      </c>
      <c r="S32" s="4">
        <v>-0.00530767552571737</v>
      </c>
      <c r="T32" s="4">
        <v>0.225043387607752</v>
      </c>
      <c r="U32" s="4">
        <v>0.384123038858249</v>
      </c>
      <c r="V32" s="4">
        <v>0.251467039992837</v>
      </c>
      <c r="W32" s="4">
        <v>0.0772143395288645</v>
      </c>
      <c r="X32" s="4">
        <v>0.0635913033086653</v>
      </c>
      <c r="Y32" s="4">
        <v>0.123592880456599</v>
      </c>
      <c r="Z32" s="4">
        <v>0.258912761526131</v>
      </c>
      <c r="AA32" s="4">
        <v>0.182728934333258</v>
      </c>
      <c r="AB32" s="4">
        <v>0.0159936979117089</v>
      </c>
      <c r="AC32" s="4">
        <v>0.450128307296222</v>
      </c>
      <c r="AD32" s="3">
        <v>1</v>
      </c>
      <c r="AE32" s="4">
        <v>0.3944581904781</v>
      </c>
      <c r="AF32" s="4">
        <v>0.249316587938799</v>
      </c>
      <c r="AG32" s="4">
        <v>0.420229104197093</v>
      </c>
      <c r="AH32" s="4">
        <v>0.326106416698481</v>
      </c>
      <c r="AI32" s="4">
        <v>0.357982995725955</v>
      </c>
      <c r="AJ32" s="4">
        <v>0.351314799190348</v>
      </c>
      <c r="AK32" s="4">
        <v>0.381388423155042</v>
      </c>
      <c r="AL32" s="4">
        <v>0.215660039445769</v>
      </c>
      <c r="AM32" s="4">
        <v>0.408138761420404</v>
      </c>
      <c r="AN32" s="4">
        <v>0.121518661204955</v>
      </c>
      <c r="AO32" s="4">
        <v>0.227121573188591</v>
      </c>
    </row>
    <row r="33" spans="1:41">
      <c r="A33" s="2" t="s">
        <v>81</v>
      </c>
      <c r="B33" s="4">
        <v>0.170173799882495</v>
      </c>
      <c r="C33" s="4">
        <v>0.0829163966769225</v>
      </c>
      <c r="D33" s="4">
        <v>0.0420320882924627</v>
      </c>
      <c r="E33" s="4">
        <v>0.0144744730400384</v>
      </c>
      <c r="F33" s="4">
        <v>0.066524112182882</v>
      </c>
      <c r="G33" s="4">
        <v>0.116631529888272</v>
      </c>
      <c r="H33" s="4">
        <v>0.0949809917029441</v>
      </c>
      <c r="I33" s="4">
        <v>0.148710288622444</v>
      </c>
      <c r="J33" s="4">
        <v>0.103291679644165</v>
      </c>
      <c r="K33" s="4">
        <v>0.0448275636030722</v>
      </c>
      <c r="L33" s="4">
        <v>0.120553909059595</v>
      </c>
      <c r="M33" s="4">
        <v>-0.0102631199576061</v>
      </c>
      <c r="N33" s="4">
        <v>0.0997050596367722</v>
      </c>
      <c r="O33" s="4">
        <v>0.177902559254779</v>
      </c>
      <c r="P33" s="4">
        <v>0.179639822608753</v>
      </c>
      <c r="Q33" s="4">
        <v>0.0862943298395135</v>
      </c>
      <c r="R33" s="4">
        <v>0.248924127503395</v>
      </c>
      <c r="S33" s="4">
        <v>0.0701599828867027</v>
      </c>
      <c r="T33" s="4">
        <v>0.126104119332845</v>
      </c>
      <c r="U33" s="4">
        <v>0.223154090012719</v>
      </c>
      <c r="V33" s="4">
        <v>0.241577717468821</v>
      </c>
      <c r="W33" s="4">
        <v>0.127395746784523</v>
      </c>
      <c r="X33" s="4">
        <v>0.208259237466077</v>
      </c>
      <c r="Y33" s="4">
        <v>0.218854819777679</v>
      </c>
      <c r="Z33" s="4">
        <v>0.0721882612200004</v>
      </c>
      <c r="AA33" s="4">
        <v>0.0944384865332269</v>
      </c>
      <c r="AB33" s="4">
        <v>0.113405310614877</v>
      </c>
      <c r="AC33" s="4">
        <v>0.47771875473364</v>
      </c>
      <c r="AD33" s="4">
        <v>0.131396071403005</v>
      </c>
      <c r="AE33" s="3">
        <v>1</v>
      </c>
      <c r="AF33" s="4">
        <v>0.0692492300099508</v>
      </c>
      <c r="AG33" s="4">
        <v>0.260517792452938</v>
      </c>
      <c r="AH33" s="4">
        <v>0.111388701821638</v>
      </c>
      <c r="AI33" s="4">
        <v>0.310743628279984</v>
      </c>
      <c r="AJ33" s="4">
        <v>0.0736216768573935</v>
      </c>
      <c r="AK33" s="4">
        <v>0.165447118854785</v>
      </c>
      <c r="AL33" s="4">
        <v>0.134156930282665</v>
      </c>
      <c r="AM33" s="4">
        <v>0.340306446778146</v>
      </c>
      <c r="AN33" s="4">
        <v>0.175552682483428</v>
      </c>
      <c r="AO33" s="4">
        <v>0.169105140836547</v>
      </c>
    </row>
    <row r="34" spans="1:41">
      <c r="A34" s="2" t="s">
        <v>82</v>
      </c>
      <c r="B34" s="4">
        <v>0.20282283117296</v>
      </c>
      <c r="C34" s="4">
        <v>0.227038512956161</v>
      </c>
      <c r="D34" s="4">
        <v>0.0423132039764574</v>
      </c>
      <c r="E34" s="4">
        <v>0.00701575848860405</v>
      </c>
      <c r="F34" s="4">
        <v>0.204377915146505</v>
      </c>
      <c r="G34" s="4">
        <v>0.219936434678367</v>
      </c>
      <c r="H34" s="4">
        <v>0.11082031756629</v>
      </c>
      <c r="I34" s="4">
        <v>0.277314191148946</v>
      </c>
      <c r="J34" s="4">
        <v>0.141928710547431</v>
      </c>
      <c r="K34" s="4">
        <v>0.207863291913983</v>
      </c>
      <c r="L34" s="4">
        <v>0.0357170615706024</v>
      </c>
      <c r="M34" s="4">
        <v>0.116172002623496</v>
      </c>
      <c r="N34" s="4">
        <v>0.113826440719923</v>
      </c>
      <c r="O34" s="4">
        <v>0.102931056500688</v>
      </c>
      <c r="P34" s="4">
        <v>0.0993770011635178</v>
      </c>
      <c r="Q34" s="4">
        <v>0.255983330334976</v>
      </c>
      <c r="R34" s="4">
        <v>0.161332960956214</v>
      </c>
      <c r="S34" s="4">
        <v>-0.014639260115855</v>
      </c>
      <c r="T34" s="4">
        <v>0.187478760888773</v>
      </c>
      <c r="U34" s="4">
        <v>0.431620355396412</v>
      </c>
      <c r="V34" s="4">
        <v>0.106138650278156</v>
      </c>
      <c r="W34" s="4">
        <v>0.112308061313298</v>
      </c>
      <c r="X34" s="4">
        <v>0.129375836647863</v>
      </c>
      <c r="Y34" s="4">
        <v>-0.0241685577951005</v>
      </c>
      <c r="Z34" s="4">
        <v>0.25748423213317</v>
      </c>
      <c r="AA34" s="4">
        <v>0.0809474748896535</v>
      </c>
      <c r="AB34" s="4">
        <v>0.160039106986481</v>
      </c>
      <c r="AC34" s="4">
        <v>0.0448819772451096</v>
      </c>
      <c r="AD34" s="4">
        <v>0.196733659799095</v>
      </c>
      <c r="AE34" s="4">
        <v>0.164044261553192</v>
      </c>
      <c r="AF34" s="3">
        <v>1</v>
      </c>
      <c r="AG34" s="4">
        <v>0.121941280481482</v>
      </c>
      <c r="AH34" s="4">
        <v>0.421171113856609</v>
      </c>
      <c r="AI34" s="4">
        <v>0.27826021341139</v>
      </c>
      <c r="AJ34" s="4">
        <v>0.0332930502656431</v>
      </c>
      <c r="AK34" s="4">
        <v>0.0968071993233767</v>
      </c>
      <c r="AL34" s="4">
        <v>0.155510624443528</v>
      </c>
      <c r="AM34" s="4">
        <v>0.160347495888738</v>
      </c>
      <c r="AN34" s="4">
        <v>0.309619610931307</v>
      </c>
      <c r="AO34" s="4">
        <v>0.202833706175646</v>
      </c>
    </row>
    <row r="35" spans="1:41">
      <c r="A35" s="2" t="s">
        <v>89</v>
      </c>
      <c r="B35" s="4">
        <v>0.0981853581986087</v>
      </c>
      <c r="C35" s="4">
        <v>0.0124725657272451</v>
      </c>
      <c r="D35" s="4">
        <v>0.00515296314436178</v>
      </c>
      <c r="E35" s="4">
        <v>0.0245053703721874</v>
      </c>
      <c r="F35" s="4">
        <v>0.0635552588330304</v>
      </c>
      <c r="G35" s="4">
        <v>0.0703467307267407</v>
      </c>
      <c r="H35" s="4">
        <v>0.0738250610450419</v>
      </c>
      <c r="I35" s="4">
        <v>0.114320523770764</v>
      </c>
      <c r="J35" s="4">
        <v>0.157004697050752</v>
      </c>
      <c r="K35" s="4">
        <v>0.136802818792353</v>
      </c>
      <c r="L35" s="4">
        <v>0.0332974710737373</v>
      </c>
      <c r="M35" s="4">
        <v>-0.0217887866517164</v>
      </c>
      <c r="N35" s="4">
        <v>0.0656035897940749</v>
      </c>
      <c r="O35" s="4">
        <v>0.0926194229203586</v>
      </c>
      <c r="P35" s="4">
        <v>0.0898412722328994</v>
      </c>
      <c r="Q35" s="4">
        <v>0.143823649383105</v>
      </c>
      <c r="R35" s="4">
        <v>0.16208733252937</v>
      </c>
      <c r="S35" s="4">
        <v>0.0577879892917238</v>
      </c>
      <c r="T35" s="4">
        <v>0.136326986658605</v>
      </c>
      <c r="U35" s="4">
        <v>0.187237436471992</v>
      </c>
      <c r="V35" s="4">
        <v>0.106180432361623</v>
      </c>
      <c r="W35" s="4">
        <v>0.0195496069852917</v>
      </c>
      <c r="X35" s="4">
        <v>0.147228979429367</v>
      </c>
      <c r="Y35" s="4">
        <v>0.0215157816917066</v>
      </c>
      <c r="Z35" s="4">
        <v>0.0376396835680364</v>
      </c>
      <c r="AA35" s="4">
        <v>0.0792677876650119</v>
      </c>
      <c r="AB35" s="4">
        <v>0.0931583270470416</v>
      </c>
      <c r="AC35" s="4">
        <v>0.283241042686752</v>
      </c>
      <c r="AD35" s="4">
        <v>0.0830787402418495</v>
      </c>
      <c r="AE35" s="4">
        <v>0.154617897045226</v>
      </c>
      <c r="AF35" s="4">
        <v>0.030551112522587</v>
      </c>
      <c r="AG35" s="3">
        <v>1</v>
      </c>
      <c r="AH35" s="4">
        <v>0.188692944446662</v>
      </c>
      <c r="AI35" s="4">
        <v>0.137620610948702</v>
      </c>
      <c r="AJ35" s="4">
        <v>0.279666327954316</v>
      </c>
      <c r="AK35" s="4">
        <v>0.181056217310169</v>
      </c>
      <c r="AL35" s="4">
        <v>0.164661339384887</v>
      </c>
      <c r="AM35" s="4">
        <v>0.286774945550041</v>
      </c>
      <c r="AN35" s="4">
        <v>0.104637481257542</v>
      </c>
      <c r="AO35" s="4">
        <v>0.157675253231179</v>
      </c>
    </row>
    <row r="36" spans="1:41">
      <c r="A36" s="2" t="s">
        <v>97</v>
      </c>
      <c r="B36" s="4">
        <v>0.0702255342455876</v>
      </c>
      <c r="C36" s="4">
        <v>0.0328901597668641</v>
      </c>
      <c r="D36" s="4">
        <v>0.0540824384291288</v>
      </c>
      <c r="E36" s="4">
        <v>0.0529334052263308</v>
      </c>
      <c r="F36" s="4">
        <v>0.0778401346194064</v>
      </c>
      <c r="G36" s="4">
        <v>0.0687647059607675</v>
      </c>
      <c r="H36" s="4">
        <v>0.0406025095925331</v>
      </c>
      <c r="I36" s="4">
        <v>0.0623435738112536</v>
      </c>
      <c r="J36" s="4">
        <v>0.0600340856723808</v>
      </c>
      <c r="K36" s="4">
        <v>0.120353447566551</v>
      </c>
      <c r="L36" s="4">
        <v>0.0570728387534624</v>
      </c>
      <c r="M36" s="4">
        <v>0.020522087527847</v>
      </c>
      <c r="N36" s="4">
        <v>0.0400220550496677</v>
      </c>
      <c r="O36" s="4">
        <v>0.0442041075794328</v>
      </c>
      <c r="P36" s="4">
        <v>-0.0231569142270775</v>
      </c>
      <c r="Q36" s="4">
        <v>0.168241544492765</v>
      </c>
      <c r="R36" s="4">
        <v>-0.00198939782499784</v>
      </c>
      <c r="S36" s="4">
        <v>0.024657904057228</v>
      </c>
      <c r="T36" s="4">
        <v>0.0780778445503023</v>
      </c>
      <c r="U36" s="4">
        <v>0.098479147606244</v>
      </c>
      <c r="V36" s="4">
        <v>0.0367245252941057</v>
      </c>
      <c r="W36" s="4">
        <v>0.0312783808714591</v>
      </c>
      <c r="X36" s="4">
        <v>0.0757358666383136</v>
      </c>
      <c r="Y36" s="4">
        <v>0.146392400156385</v>
      </c>
      <c r="Z36" s="4">
        <v>0.050210691420113</v>
      </c>
      <c r="AA36" s="4">
        <v>0.0458667623470992</v>
      </c>
      <c r="AB36" s="4">
        <v>0.0397165963367944</v>
      </c>
      <c r="AC36" s="4">
        <v>0.110673074364177</v>
      </c>
      <c r="AD36" s="4">
        <v>0.0401165435016244</v>
      </c>
      <c r="AE36" s="4">
        <v>0.0411361745662546</v>
      </c>
      <c r="AF36" s="4">
        <v>0.065659148004499</v>
      </c>
      <c r="AG36" s="4">
        <v>0.117412963166038</v>
      </c>
      <c r="AH36" s="3">
        <v>1</v>
      </c>
      <c r="AI36" s="4">
        <v>0.116914314321887</v>
      </c>
      <c r="AJ36" s="4">
        <v>0.114693415419775</v>
      </c>
      <c r="AK36" s="4">
        <v>0.0404431196926506</v>
      </c>
      <c r="AL36" s="4">
        <v>0.0965877394315805</v>
      </c>
      <c r="AM36" s="4">
        <v>0.131889249712258</v>
      </c>
      <c r="AN36" s="4">
        <v>0.0703616172811776</v>
      </c>
      <c r="AO36" s="4">
        <v>0.136199318671327</v>
      </c>
    </row>
    <row r="37" spans="1:41">
      <c r="A37" s="2" t="s">
        <v>101</v>
      </c>
      <c r="B37" s="4">
        <v>0.100685106175518</v>
      </c>
      <c r="C37" s="4">
        <v>0.0602065568388268</v>
      </c>
      <c r="D37" s="4">
        <v>-0.0314761781566868</v>
      </c>
      <c r="E37" s="4">
        <v>0.111650447463064</v>
      </c>
      <c r="F37" s="4">
        <v>0.104884215550583</v>
      </c>
      <c r="G37" s="4">
        <v>0.109423615332922</v>
      </c>
      <c r="H37" s="4">
        <v>0.0418553971650194</v>
      </c>
      <c r="I37" s="4">
        <v>0.115899086064427</v>
      </c>
      <c r="J37" s="4">
        <v>0.136282768329195</v>
      </c>
      <c r="K37" s="4">
        <v>0.129531908988898</v>
      </c>
      <c r="L37" s="4">
        <v>0.0391893290558492</v>
      </c>
      <c r="M37" s="4">
        <v>0.0146218883474584</v>
      </c>
      <c r="N37" s="4">
        <v>0.100380345566881</v>
      </c>
      <c r="O37" s="4">
        <v>0.135603078960788</v>
      </c>
      <c r="P37" s="4">
        <v>0.0968135502313281</v>
      </c>
      <c r="Q37" s="4">
        <v>0.0828616505805322</v>
      </c>
      <c r="R37" s="4">
        <v>0.288115386747965</v>
      </c>
      <c r="S37" s="4">
        <v>0.0451005832444729</v>
      </c>
      <c r="T37" s="4">
        <v>0.124371435967699</v>
      </c>
      <c r="U37" s="4">
        <v>0.282756244472392</v>
      </c>
      <c r="V37" s="4">
        <v>0.157814238995122</v>
      </c>
      <c r="W37" s="4">
        <v>0.128958293407762</v>
      </c>
      <c r="X37" s="4">
        <v>0.162321882757585</v>
      </c>
      <c r="Y37" s="4">
        <v>0.189813248166462</v>
      </c>
      <c r="Z37" s="4">
        <v>0.0959667198775802</v>
      </c>
      <c r="AA37" s="4">
        <v>0.142100127791026</v>
      </c>
      <c r="AB37" s="4">
        <v>0.108712442471464</v>
      </c>
      <c r="AC37" s="4">
        <v>0.407366018608603</v>
      </c>
      <c r="AD37" s="4">
        <v>0.0750493789041861</v>
      </c>
      <c r="AE37" s="4">
        <v>0.195571485409175</v>
      </c>
      <c r="AF37" s="4">
        <v>0.0739278918335979</v>
      </c>
      <c r="AG37" s="4">
        <v>0.145936662804648</v>
      </c>
      <c r="AH37" s="4">
        <v>0.19924536587546</v>
      </c>
      <c r="AI37" s="3">
        <v>1</v>
      </c>
      <c r="AJ37" s="4">
        <v>0.264809627086913</v>
      </c>
      <c r="AK37" s="4">
        <v>0.192103917235224</v>
      </c>
      <c r="AL37" s="4">
        <v>0.124019939138002</v>
      </c>
      <c r="AM37" s="4">
        <v>0.232343424238951</v>
      </c>
      <c r="AN37" s="4">
        <v>0.114355127728948</v>
      </c>
      <c r="AO37" s="4">
        <v>0.215739296555888</v>
      </c>
    </row>
    <row r="38" spans="1:41">
      <c r="A38" s="2" t="s">
        <v>107</v>
      </c>
      <c r="B38" s="4">
        <v>0.0147930419356893</v>
      </c>
      <c r="C38" s="4">
        <v>0.0107200506406564</v>
      </c>
      <c r="D38" s="4">
        <v>0.00111117576260148</v>
      </c>
      <c r="E38" s="4">
        <v>0.0895720699793496</v>
      </c>
      <c r="F38" s="4">
        <v>0.0660994453211492</v>
      </c>
      <c r="G38" s="4">
        <v>0.0282638232738037</v>
      </c>
      <c r="H38" s="4">
        <v>0.090102789907135</v>
      </c>
      <c r="I38" s="4">
        <v>0.0350624887181976</v>
      </c>
      <c r="J38" s="4">
        <v>0.0682258121417485</v>
      </c>
      <c r="K38" s="4">
        <v>0.11361675192644</v>
      </c>
      <c r="L38" s="4">
        <v>-0.0199692743732865</v>
      </c>
      <c r="M38" s="4">
        <v>-0.00472847384776578</v>
      </c>
      <c r="N38" s="4">
        <v>0.0403814277498344</v>
      </c>
      <c r="O38" s="4">
        <v>0.0624043544537564</v>
      </c>
      <c r="P38" s="4">
        <v>0.0810354936478825</v>
      </c>
      <c r="Q38" s="4">
        <v>0.0203227475992144</v>
      </c>
      <c r="R38" s="4">
        <v>0.0515554579469219</v>
      </c>
      <c r="S38" s="4">
        <v>0.0555810162908431</v>
      </c>
      <c r="T38" s="4">
        <v>0.0985468353608793</v>
      </c>
      <c r="U38" s="4">
        <v>0.16661122530422</v>
      </c>
      <c r="V38" s="4">
        <v>0.0544658391825244</v>
      </c>
      <c r="W38" s="4">
        <v>0.0293306166730697</v>
      </c>
      <c r="X38" s="4">
        <v>0.0996056586432785</v>
      </c>
      <c r="Y38" s="4">
        <v>0.104328380012065</v>
      </c>
      <c r="Z38" s="4">
        <v>0.0105460595522121</v>
      </c>
      <c r="AA38" s="4">
        <v>0.0579226220158907</v>
      </c>
      <c r="AB38" s="4">
        <v>-0.017958521426253</v>
      </c>
      <c r="AC38" s="4">
        <v>0.160683048052417</v>
      </c>
      <c r="AD38" s="4">
        <v>0.033137593257395</v>
      </c>
      <c r="AE38" s="4">
        <v>0.0208472522181905</v>
      </c>
      <c r="AF38" s="4">
        <v>0.00397970250148601</v>
      </c>
      <c r="AG38" s="4">
        <v>0.13343228494246</v>
      </c>
      <c r="AH38" s="4">
        <v>0.0879425069075412</v>
      </c>
      <c r="AI38" s="4">
        <v>0.119144385962271</v>
      </c>
      <c r="AJ38" s="3">
        <v>1</v>
      </c>
      <c r="AK38" s="4">
        <v>0.129851949255359</v>
      </c>
      <c r="AL38" s="4">
        <v>0.136778682239385</v>
      </c>
      <c r="AM38" s="4">
        <v>0.0493662634231143</v>
      </c>
      <c r="AN38" s="4">
        <v>0.0571796182451027</v>
      </c>
      <c r="AO38" s="4">
        <v>0.142601709927709</v>
      </c>
    </row>
    <row r="39" spans="1:41">
      <c r="A39" s="2" t="s">
        <v>110</v>
      </c>
      <c r="B39" s="4">
        <v>0.0904593867948093</v>
      </c>
      <c r="C39" s="4">
        <v>0.0523726648561065</v>
      </c>
      <c r="D39" s="4">
        <v>0.0310344600632933</v>
      </c>
      <c r="E39" s="4">
        <v>0.0901708879828328</v>
      </c>
      <c r="F39" s="4">
        <v>0.0977156044108027</v>
      </c>
      <c r="G39" s="4">
        <v>0.0436730377634785</v>
      </c>
      <c r="H39" s="4">
        <v>0.0597097853412243</v>
      </c>
      <c r="I39" s="4">
        <v>0.0506712231516241</v>
      </c>
      <c r="J39" s="4">
        <v>0.142319613546503</v>
      </c>
      <c r="K39" s="4">
        <v>0.198086771704122</v>
      </c>
      <c r="L39" s="4">
        <v>-0.0226638135744373</v>
      </c>
      <c r="M39" s="4">
        <v>0.00972478114392492</v>
      </c>
      <c r="N39" s="4">
        <v>0.0586807309783455</v>
      </c>
      <c r="O39" s="4">
        <v>0.123241657508554</v>
      </c>
      <c r="P39" s="4">
        <v>0.22037221279416</v>
      </c>
      <c r="Q39" s="4">
        <v>0.123755051749079</v>
      </c>
      <c r="R39" s="4">
        <v>0.0925609809139572</v>
      </c>
      <c r="S39" s="4">
        <v>0.0738586049330294</v>
      </c>
      <c r="T39" s="4">
        <v>0.0657824310954951</v>
      </c>
      <c r="U39" s="4">
        <v>0.30845030195008</v>
      </c>
      <c r="V39" s="4">
        <v>0.10794524839028</v>
      </c>
      <c r="W39" s="4">
        <v>0.0735235728130924</v>
      </c>
      <c r="X39" s="4">
        <v>0.167960050280969</v>
      </c>
      <c r="Y39" s="4">
        <v>0.100628744248054</v>
      </c>
      <c r="Z39" s="4">
        <v>0.0493036495445316</v>
      </c>
      <c r="AA39" s="4">
        <v>0.11711791198526</v>
      </c>
      <c r="AB39" s="4">
        <v>0.0977361308359027</v>
      </c>
      <c r="AC39" s="4">
        <v>0.280381865991863</v>
      </c>
      <c r="AD39" s="4">
        <v>0.106622839995676</v>
      </c>
      <c r="AE39" s="4">
        <v>0.138854687792574</v>
      </c>
      <c r="AF39" s="4">
        <v>0.0342975343345402</v>
      </c>
      <c r="AG39" s="4">
        <v>0.256030914627917</v>
      </c>
      <c r="AH39" s="4">
        <v>0.0919100974565326</v>
      </c>
      <c r="AI39" s="4">
        <v>0.256173532132298</v>
      </c>
      <c r="AJ39" s="4">
        <v>0.384863473663416</v>
      </c>
      <c r="AK39" s="3">
        <v>1</v>
      </c>
      <c r="AL39" s="4">
        <v>0.15307276150579</v>
      </c>
      <c r="AM39" s="4">
        <v>0.182480423893079</v>
      </c>
      <c r="AN39" s="4">
        <v>0.0844363277848011</v>
      </c>
      <c r="AO39" s="4">
        <v>0.231844151316991</v>
      </c>
    </row>
    <row r="40" spans="1:41">
      <c r="A40" s="2" t="s">
        <v>114</v>
      </c>
      <c r="B40" s="4">
        <v>0.13040594971031</v>
      </c>
      <c r="C40" s="4">
        <v>0.100257780218261</v>
      </c>
      <c r="D40" s="4">
        <v>0.0805023306190467</v>
      </c>
      <c r="E40" s="4">
        <v>0.192332773578194</v>
      </c>
      <c r="F40" s="4">
        <v>0.139118345833309</v>
      </c>
      <c r="G40" s="4">
        <v>0.0845049827451586</v>
      </c>
      <c r="H40" s="4">
        <v>0.180692168825796</v>
      </c>
      <c r="I40" s="4">
        <v>0.104351813079423</v>
      </c>
      <c r="J40" s="4">
        <v>0.148065447591869</v>
      </c>
      <c r="K40" s="4">
        <v>0.198765091024366</v>
      </c>
      <c r="L40" s="4">
        <v>-0.0379878402014723</v>
      </c>
      <c r="M40" s="4">
        <v>0.0360838318609921</v>
      </c>
      <c r="N40" s="4">
        <v>0.107011130108555</v>
      </c>
      <c r="O40" s="4">
        <v>0.0927589434626669</v>
      </c>
      <c r="P40" s="4">
        <v>0.105318871088573</v>
      </c>
      <c r="Q40" s="4">
        <v>0.00481203520704926</v>
      </c>
      <c r="R40" s="4">
        <v>0.106097184249575</v>
      </c>
      <c r="S40" s="4">
        <v>0.191565731449261</v>
      </c>
      <c r="T40" s="4">
        <v>0.192493941382651</v>
      </c>
      <c r="U40" s="4">
        <v>0.264118074006895</v>
      </c>
      <c r="V40" s="4">
        <v>0.196551320319533</v>
      </c>
      <c r="W40" s="4">
        <v>0.0775434236264741</v>
      </c>
      <c r="X40" s="4">
        <v>0.165130203942103</v>
      </c>
      <c r="Y40" s="4">
        <v>0.409729217752665</v>
      </c>
      <c r="Z40" s="4">
        <v>0.132584464670433</v>
      </c>
      <c r="AA40" s="4">
        <v>0.14011782842755</v>
      </c>
      <c r="AB40" s="4">
        <v>0.0248557820221571</v>
      </c>
      <c r="AC40" s="4">
        <v>0.402839179535292</v>
      </c>
      <c r="AD40" s="4">
        <v>0.0659408088252413</v>
      </c>
      <c r="AE40" s="4">
        <v>0.123144862901864</v>
      </c>
      <c r="AF40" s="4">
        <v>0.0602583392796059</v>
      </c>
      <c r="AG40" s="4">
        <v>0.25466687445157</v>
      </c>
      <c r="AH40" s="4">
        <v>0.24007250785014</v>
      </c>
      <c r="AI40" s="4">
        <v>0.180880353893905</v>
      </c>
      <c r="AJ40" s="4">
        <v>0.443382437723039</v>
      </c>
      <c r="AK40" s="4">
        <v>0.167417081442602</v>
      </c>
      <c r="AL40" s="3">
        <v>1</v>
      </c>
      <c r="AM40" s="4">
        <v>0.219561445590731</v>
      </c>
      <c r="AN40" s="4">
        <v>0.108519558816753</v>
      </c>
      <c r="AO40" s="4">
        <v>0.347561726766064</v>
      </c>
    </row>
    <row r="41" spans="1:41">
      <c r="A41" s="2" t="s">
        <v>127</v>
      </c>
      <c r="B41" s="4">
        <v>0.0508043467774044</v>
      </c>
      <c r="C41" s="4">
        <v>0.0329127195900303</v>
      </c>
      <c r="D41" s="4">
        <v>0.0324124164537062</v>
      </c>
      <c r="E41" s="4">
        <v>0.0474243366435456</v>
      </c>
      <c r="F41" s="4">
        <v>0.0468863391350237</v>
      </c>
      <c r="G41" s="4">
        <v>0.0415579125785534</v>
      </c>
      <c r="H41" s="4">
        <v>0.0199882888800463</v>
      </c>
      <c r="I41" s="4">
        <v>0.0211240267542398</v>
      </c>
      <c r="J41" s="4">
        <v>0.0417675560577898</v>
      </c>
      <c r="K41" s="4">
        <v>0.0319802374571427</v>
      </c>
      <c r="L41" s="4">
        <v>0.01456724441363</v>
      </c>
      <c r="M41" s="4">
        <v>0.0133080620470586</v>
      </c>
      <c r="N41" s="4">
        <v>0.058140134182375</v>
      </c>
      <c r="O41" s="4">
        <v>0.0229311580792226</v>
      </c>
      <c r="P41" s="4">
        <v>0.0260620495304793</v>
      </c>
      <c r="Q41" s="4">
        <v>0.0089693068130865</v>
      </c>
      <c r="R41" s="4">
        <v>0.0930023384920555</v>
      </c>
      <c r="S41" s="4">
        <v>0.0403275365371136</v>
      </c>
      <c r="T41" s="4">
        <v>0.071518191527009</v>
      </c>
      <c r="U41" s="4">
        <v>0.0681774637006304</v>
      </c>
      <c r="V41" s="4">
        <v>0.0322310885449708</v>
      </c>
      <c r="W41" s="4">
        <v>0.0750369730672234</v>
      </c>
      <c r="X41" s="4">
        <v>0.0667627768667157</v>
      </c>
      <c r="Y41" s="4">
        <v>0.154205646599428</v>
      </c>
      <c r="Z41" s="4">
        <v>0.0502372921710828</v>
      </c>
      <c r="AA41" s="4">
        <v>0.0384591179260481</v>
      </c>
      <c r="AB41" s="4">
        <v>0.0316278321607767</v>
      </c>
      <c r="AC41" s="4">
        <v>0.180783388145162</v>
      </c>
      <c r="AD41" s="4">
        <v>0.0272141509239877</v>
      </c>
      <c r="AE41" s="4">
        <v>0.0681201696477097</v>
      </c>
      <c r="AF41" s="4">
        <v>0.0135494489291057</v>
      </c>
      <c r="AG41" s="4">
        <v>0.0967218016686511</v>
      </c>
      <c r="AH41" s="4">
        <v>0.0714878411833494</v>
      </c>
      <c r="AI41" s="4">
        <v>0.0738979903583134</v>
      </c>
      <c r="AJ41" s="4">
        <v>0.0348973689513945</v>
      </c>
      <c r="AK41" s="4">
        <v>0.0435231668198925</v>
      </c>
      <c r="AL41" s="4">
        <v>0.0478804737361917</v>
      </c>
      <c r="AM41" s="3">
        <v>1</v>
      </c>
      <c r="AN41" s="4">
        <v>0.0368178207133165</v>
      </c>
      <c r="AO41" s="4">
        <v>0.0332302370303201</v>
      </c>
    </row>
    <row r="42" spans="1:41">
      <c r="A42" s="2" t="s">
        <v>128</v>
      </c>
      <c r="B42" s="4">
        <v>0.0984693006112449</v>
      </c>
      <c r="C42" s="4">
        <v>0.0466249782628027</v>
      </c>
      <c r="D42" s="4">
        <v>-0.0374718751605089</v>
      </c>
      <c r="E42" s="4">
        <v>0.0816068695514806</v>
      </c>
      <c r="F42" s="4">
        <v>0.0564674392063634</v>
      </c>
      <c r="G42" s="4">
        <v>0.11089833458081</v>
      </c>
      <c r="H42" s="4">
        <v>0.12578972740848</v>
      </c>
      <c r="I42" s="4">
        <v>0.239838177809095</v>
      </c>
      <c r="J42" s="4">
        <v>0.150610972071747</v>
      </c>
      <c r="K42" s="4">
        <v>0.0673249580637915</v>
      </c>
      <c r="L42" s="4">
        <v>0.0951980331377513</v>
      </c>
      <c r="M42" s="4">
        <v>0.0382733264481329</v>
      </c>
      <c r="N42" s="4">
        <v>0.136672884027566</v>
      </c>
      <c r="O42" s="4">
        <v>0.176705606539083</v>
      </c>
      <c r="P42" s="4">
        <v>0.19711422102767</v>
      </c>
      <c r="Q42" s="4">
        <v>0.140522228533134</v>
      </c>
      <c r="R42" s="4">
        <v>0.393832344823663</v>
      </c>
      <c r="S42" s="4">
        <v>0.0662085383021944</v>
      </c>
      <c r="T42" s="4">
        <v>0.187545290480714</v>
      </c>
      <c r="U42" s="4">
        <v>0.44327145378319</v>
      </c>
      <c r="V42" s="4">
        <v>0.186645205380294</v>
      </c>
      <c r="W42" s="4">
        <v>0.222591412935576</v>
      </c>
      <c r="X42" s="4">
        <v>0.242432930686355</v>
      </c>
      <c r="Y42" s="4">
        <v>0.106711435045731</v>
      </c>
      <c r="Z42" s="4">
        <v>0.0632457718703286</v>
      </c>
      <c r="AA42" s="4">
        <v>0.119157687712118</v>
      </c>
      <c r="AB42" s="4">
        <v>0.124209312065394</v>
      </c>
      <c r="AC42" s="4">
        <v>0.0543112928692614</v>
      </c>
      <c r="AD42" s="4">
        <v>0.0417441429456965</v>
      </c>
      <c r="AE42" s="4">
        <v>0.181041708885134</v>
      </c>
      <c r="AF42" s="4">
        <v>0.134788716191313</v>
      </c>
      <c r="AG42" s="4">
        <v>0.181817664499183</v>
      </c>
      <c r="AH42" s="4">
        <v>0.196482657672111</v>
      </c>
      <c r="AI42" s="4">
        <v>0.187380119537034</v>
      </c>
      <c r="AJ42" s="4">
        <v>0.208242469916031</v>
      </c>
      <c r="AK42" s="4">
        <v>0.103752643267708</v>
      </c>
      <c r="AL42" s="4">
        <v>0.121920294398254</v>
      </c>
      <c r="AM42" s="4">
        <v>0.189680944954641</v>
      </c>
      <c r="AN42" s="3">
        <v>1</v>
      </c>
      <c r="AO42" s="4">
        <v>0.0873801652790449</v>
      </c>
    </row>
    <row r="43" spans="1:41">
      <c r="A43" s="2" t="s">
        <v>130</v>
      </c>
      <c r="B43" s="4">
        <v>0.0667051051165741</v>
      </c>
      <c r="C43" s="4">
        <v>0.00589542577727734</v>
      </c>
      <c r="D43" s="4">
        <v>0.00254044344994857</v>
      </c>
      <c r="E43" s="4">
        <v>0.0385348912208218</v>
      </c>
      <c r="F43" s="4">
        <v>0.00967801389697448</v>
      </c>
      <c r="G43" s="4">
        <v>0.0672496281264075</v>
      </c>
      <c r="H43" s="4">
        <v>0.0900236829735047</v>
      </c>
      <c r="I43" s="4">
        <v>0.0543474461053643</v>
      </c>
      <c r="J43" s="4">
        <v>0.0429629030658977</v>
      </c>
      <c r="K43" s="4">
        <v>0.115240859073017</v>
      </c>
      <c r="L43" s="4">
        <v>-0.108305344344313</v>
      </c>
      <c r="M43" s="4">
        <v>0.00203946629181095</v>
      </c>
      <c r="N43" s="4">
        <v>0.0436585625219527</v>
      </c>
      <c r="O43" s="4">
        <v>0.0341634087462089</v>
      </c>
      <c r="P43" s="4">
        <v>0.0974573966913951</v>
      </c>
      <c r="Q43" s="4">
        <v>0.0105890731921674</v>
      </c>
      <c r="R43" s="4">
        <v>0.0529733409182249</v>
      </c>
      <c r="S43" s="4">
        <v>0.0751420968929247</v>
      </c>
      <c r="T43" s="4">
        <v>0.152260012939611</v>
      </c>
      <c r="U43" s="4">
        <v>0.0317629196242153</v>
      </c>
      <c r="V43" s="4">
        <v>0.130707317691204</v>
      </c>
      <c r="W43" s="4">
        <v>0.0904724578744936</v>
      </c>
      <c r="X43" s="4">
        <v>0.108679227466265</v>
      </c>
      <c r="Y43" s="4">
        <v>0.237772101650123</v>
      </c>
      <c r="Z43" s="4">
        <v>0.0883842497284505</v>
      </c>
      <c r="AA43" s="4">
        <v>0.0841133930752573</v>
      </c>
      <c r="AB43" s="4">
        <v>-0.0066705847307186</v>
      </c>
      <c r="AC43" s="4">
        <v>0.481577618736066</v>
      </c>
      <c r="AD43" s="4">
        <v>0.0453605322855856</v>
      </c>
      <c r="AE43" s="4">
        <v>0.101390009214019</v>
      </c>
      <c r="AF43" s="4">
        <v>0.0513372243680512</v>
      </c>
      <c r="AG43" s="4">
        <v>0.159286700585418</v>
      </c>
      <c r="AH43" s="4">
        <v>0.221121273706153</v>
      </c>
      <c r="AI43" s="4">
        <v>0.205524835071442</v>
      </c>
      <c r="AJ43" s="4">
        <v>0.301939526410582</v>
      </c>
      <c r="AK43" s="4">
        <v>0.165627771649058</v>
      </c>
      <c r="AL43" s="4">
        <v>0.227021563904151</v>
      </c>
      <c r="AM43" s="4">
        <v>0.0995328057753172</v>
      </c>
      <c r="AN43" s="4">
        <v>0.050801910322793</v>
      </c>
      <c r="AO43" s="3">
        <v>1</v>
      </c>
    </row>
    <row r="46" ht="53" spans="2:8">
      <c r="B46" s="5" t="s">
        <v>170</v>
      </c>
      <c r="C46" s="6" t="s">
        <v>171</v>
      </c>
      <c r="E46" s="10" t="s">
        <v>172</v>
      </c>
      <c r="G46" s="10" t="s">
        <v>173</v>
      </c>
      <c r="H46" s="5" t="s">
        <v>174</v>
      </c>
    </row>
    <row r="47" spans="1:8">
      <c r="A47" s="2" t="s">
        <v>2</v>
      </c>
      <c r="B47" s="7">
        <v>0.00730783632546974</v>
      </c>
      <c r="C47" s="8">
        <v>0</v>
      </c>
      <c r="E47" s="7">
        <f t="array" ref="E47:E86">B47:B86+MMULT(TRANSPOSE(tracking),C47:C86)</f>
        <v>0.00983985358893237</v>
      </c>
      <c r="G47" s="9">
        <f t="array" ref="G47:G86">MMULT(MINVERSE(varcov),E47:E86-'Black Litterman'!B3)/SUM(MMULT(MINVERSE(varcov),E47:E86-'Black Litterman'!B3))</f>
        <v>0.0341522559008317</v>
      </c>
      <c r="H47" s="9">
        <v>0.0519724440264671</v>
      </c>
    </row>
    <row r="48" spans="1:8">
      <c r="A48" s="2" t="s">
        <v>6</v>
      </c>
      <c r="B48" s="7">
        <v>0.00435007755718825</v>
      </c>
      <c r="C48" s="7">
        <v>0.00565</v>
      </c>
      <c r="E48" s="7">
        <v>0.0106098557488807</v>
      </c>
      <c r="G48" s="9">
        <v>0.186604365697621</v>
      </c>
      <c r="H48" s="9">
        <v>0.025351013368786</v>
      </c>
    </row>
    <row r="49" spans="1:8">
      <c r="A49" s="2" t="s">
        <v>4</v>
      </c>
      <c r="B49" s="7">
        <v>0.00520362488950981</v>
      </c>
      <c r="C49" s="8">
        <v>0</v>
      </c>
      <c r="E49" s="7">
        <v>0.00767727557824032</v>
      </c>
      <c r="G49" s="9">
        <v>0.0177555608525749</v>
      </c>
      <c r="H49" s="9">
        <v>0.0270201738722186</v>
      </c>
    </row>
    <row r="50" spans="1:8">
      <c r="A50" s="2" t="s">
        <v>5</v>
      </c>
      <c r="B50" s="7">
        <v>0.00769243459078407</v>
      </c>
      <c r="C50" s="8">
        <v>0</v>
      </c>
      <c r="E50" s="7">
        <v>0.00970280717231167</v>
      </c>
      <c r="G50" s="9">
        <v>0.015585725100428</v>
      </c>
      <c r="H50" s="9">
        <v>0.0237181469870097</v>
      </c>
    </row>
    <row r="51" spans="1:8">
      <c r="A51" s="2" t="s">
        <v>7</v>
      </c>
      <c r="B51" s="7">
        <v>0.00684110665267356</v>
      </c>
      <c r="C51" s="8">
        <v>0</v>
      </c>
      <c r="E51" s="7">
        <v>0.0102534455047698</v>
      </c>
      <c r="G51" s="9">
        <v>0.00982081292119848</v>
      </c>
      <c r="H51" s="9">
        <v>0.0149451811125883</v>
      </c>
    </row>
    <row r="52" spans="1:8">
      <c r="A52" s="2" t="s">
        <v>9</v>
      </c>
      <c r="B52" s="7">
        <v>0.0070863294140865</v>
      </c>
      <c r="C52" s="8">
        <v>0</v>
      </c>
      <c r="E52" s="7">
        <v>0.00990504743101312</v>
      </c>
      <c r="G52" s="9">
        <v>0.0182162234747195</v>
      </c>
      <c r="H52" s="9">
        <v>0.0277212040593317</v>
      </c>
    </row>
    <row r="53" spans="1:8">
      <c r="A53" s="2" t="s">
        <v>10</v>
      </c>
      <c r="B53" s="7">
        <v>0.00878001190525344</v>
      </c>
      <c r="C53" s="8">
        <v>0</v>
      </c>
      <c r="E53" s="7">
        <v>0.012903948083362</v>
      </c>
      <c r="G53" s="9">
        <v>0.00499565895885317</v>
      </c>
      <c r="H53" s="9">
        <v>0.00760232666235071</v>
      </c>
    </row>
    <row r="54" spans="1:8">
      <c r="A54" s="2" t="s">
        <v>11</v>
      </c>
      <c r="B54" s="7">
        <v>0.00666730982285198</v>
      </c>
      <c r="C54" s="8">
        <v>0</v>
      </c>
      <c r="E54" s="7">
        <v>0.00909532227955331</v>
      </c>
      <c r="G54" s="9">
        <v>0.00429181045264237</v>
      </c>
      <c r="H54" s="9">
        <v>0.00653121946526327</v>
      </c>
    </row>
    <row r="55" spans="1:8">
      <c r="A55" s="2" t="s">
        <v>16</v>
      </c>
      <c r="B55" s="7">
        <v>0.00703440478168995</v>
      </c>
      <c r="C55" s="8">
        <v>0</v>
      </c>
      <c r="E55" s="7">
        <v>0.0092167021481585</v>
      </c>
      <c r="G55" s="9">
        <v>0.0299155018268625</v>
      </c>
      <c r="H55" s="9">
        <v>0.0455250086183157</v>
      </c>
    </row>
    <row r="56" spans="1:8">
      <c r="A56" s="2" t="s">
        <v>17</v>
      </c>
      <c r="B56" s="7">
        <v>0.00673452991559436</v>
      </c>
      <c r="C56" s="8">
        <v>0</v>
      </c>
      <c r="E56" s="7">
        <v>0.00998825670510516</v>
      </c>
      <c r="G56" s="9">
        <v>0.00896877301688473</v>
      </c>
      <c r="H56" s="9">
        <v>0.0136485582375476</v>
      </c>
    </row>
    <row r="57" spans="1:8">
      <c r="A57" s="2" t="s">
        <v>19</v>
      </c>
      <c r="B57" s="7">
        <v>0.00422837198545561</v>
      </c>
      <c r="C57" s="8">
        <v>0</v>
      </c>
      <c r="E57" s="7">
        <v>0.00544677247253962</v>
      </c>
      <c r="G57" s="9">
        <v>0.00493559010517593</v>
      </c>
      <c r="H57" s="9">
        <v>0.00751091468814491</v>
      </c>
    </row>
    <row r="58" spans="1:8">
      <c r="A58" s="2" t="s">
        <v>28</v>
      </c>
      <c r="B58" s="7">
        <v>0.00374673499456379</v>
      </c>
      <c r="C58" s="8">
        <v>0</v>
      </c>
      <c r="E58" s="7">
        <v>0.00560466578221515</v>
      </c>
      <c r="G58" s="9">
        <v>0.00308816968070746</v>
      </c>
      <c r="H58" s="9">
        <v>0.0046995351153624</v>
      </c>
    </row>
    <row r="59" spans="1:8">
      <c r="A59" s="2" t="s">
        <v>30</v>
      </c>
      <c r="B59" s="7">
        <v>0.0108641171954937</v>
      </c>
      <c r="C59" s="9">
        <f>1.5%-1.086%</f>
        <v>0.00414</v>
      </c>
      <c r="E59" s="7">
        <v>0.0158383451672102</v>
      </c>
      <c r="G59" s="9">
        <v>0.311751750450082</v>
      </c>
      <c r="H59" s="9">
        <v>0.267346191048812</v>
      </c>
    </row>
    <row r="60" spans="1:8">
      <c r="A60" s="2" t="s">
        <v>32</v>
      </c>
      <c r="B60" s="7">
        <v>0.00670123107532913</v>
      </c>
      <c r="C60" s="8">
        <v>0</v>
      </c>
      <c r="E60" s="7">
        <v>0.00886814873713468</v>
      </c>
      <c r="G60" s="9">
        <v>0.0198333125881153</v>
      </c>
      <c r="H60" s="9">
        <v>0.0301820685385572</v>
      </c>
    </row>
    <row r="61" spans="1:8">
      <c r="A61" s="2" t="s">
        <v>34</v>
      </c>
      <c r="B61" s="7">
        <v>0.00925873932640884</v>
      </c>
      <c r="C61" s="8">
        <v>0</v>
      </c>
      <c r="E61" s="7">
        <v>0.0125526157226864</v>
      </c>
      <c r="G61" s="9">
        <v>0.00393471203179104</v>
      </c>
      <c r="H61" s="9">
        <v>0.00598779188778407</v>
      </c>
    </row>
    <row r="62" spans="1:8">
      <c r="A62" s="2" t="s">
        <v>37</v>
      </c>
      <c r="B62" s="7">
        <v>0.00647332244191595</v>
      </c>
      <c r="C62" s="8">
        <v>0</v>
      </c>
      <c r="E62" s="7">
        <v>0.0101869540302712</v>
      </c>
      <c r="G62" s="9">
        <v>0.00120113453443299</v>
      </c>
      <c r="H62" s="9">
        <v>0.00182787039135399</v>
      </c>
    </row>
    <row r="63" spans="1:8">
      <c r="A63" s="2" t="s">
        <v>39</v>
      </c>
      <c r="B63" s="7">
        <v>0.0190068857974026</v>
      </c>
      <c r="C63" s="8">
        <v>0</v>
      </c>
      <c r="E63" s="7">
        <v>0.023044087826386</v>
      </c>
      <c r="G63" s="9">
        <v>0.0417887615694686</v>
      </c>
      <c r="H63" s="9">
        <v>0.0635935757190112</v>
      </c>
    </row>
    <row r="64" spans="1:8">
      <c r="A64" s="2" t="s">
        <v>40</v>
      </c>
      <c r="B64" s="7">
        <v>0.00668676681165949</v>
      </c>
      <c r="C64" s="8">
        <v>0</v>
      </c>
      <c r="E64" s="7">
        <v>0.00856484430329415</v>
      </c>
      <c r="G64" s="9">
        <v>0.0176657405343575</v>
      </c>
      <c r="H64" s="9">
        <v>0.0268834865191329</v>
      </c>
    </row>
    <row r="65" spans="1:8">
      <c r="A65" s="2" t="s">
        <v>41</v>
      </c>
      <c r="B65" s="7">
        <v>0.0095596877908189</v>
      </c>
      <c r="C65" s="8">
        <v>0</v>
      </c>
      <c r="E65" s="7">
        <v>0.0120639301255643</v>
      </c>
      <c r="G65" s="9">
        <v>0.0162178628755328</v>
      </c>
      <c r="H65" s="9">
        <v>0.0246801257572862</v>
      </c>
    </row>
    <row r="66" spans="1:8">
      <c r="A66" s="2" t="s">
        <v>44</v>
      </c>
      <c r="B66" s="7">
        <v>0.0178075412425107</v>
      </c>
      <c r="C66" s="8">
        <v>0</v>
      </c>
      <c r="E66" s="7">
        <v>0.0248593584290579</v>
      </c>
      <c r="G66" s="9">
        <v>0.0100466976818638</v>
      </c>
      <c r="H66" s="9">
        <v>0.0152889295054969</v>
      </c>
    </row>
    <row r="67" spans="1:8">
      <c r="A67" s="2" t="s">
        <v>49</v>
      </c>
      <c r="B67" s="7">
        <v>0.00722496520048866</v>
      </c>
      <c r="C67" s="8">
        <v>0</v>
      </c>
      <c r="E67" s="7">
        <v>0.009539570466969</v>
      </c>
      <c r="G67" s="9">
        <v>0.00303844916252243</v>
      </c>
      <c r="H67" s="9">
        <v>0.00462387109902793</v>
      </c>
    </row>
    <row r="68" spans="1:8">
      <c r="A68" s="2" t="s">
        <v>53</v>
      </c>
      <c r="B68" s="7">
        <v>0.00907296850813031</v>
      </c>
      <c r="C68" s="8">
        <v>0</v>
      </c>
      <c r="E68" s="7">
        <v>0.011833641334173</v>
      </c>
      <c r="G68" s="9">
        <v>0.0101347393799185</v>
      </c>
      <c r="H68" s="9">
        <v>0.0154229101783235</v>
      </c>
    </row>
    <row r="69" spans="1:8">
      <c r="A69" s="2" t="s">
        <v>57</v>
      </c>
      <c r="B69" s="7">
        <v>0.00819188818509846</v>
      </c>
      <c r="C69" s="8">
        <v>0</v>
      </c>
      <c r="E69" s="7">
        <v>0.0102416262036635</v>
      </c>
      <c r="G69" s="9">
        <v>0.00261546094927915</v>
      </c>
      <c r="H69" s="9">
        <v>0.00398017332104004</v>
      </c>
    </row>
    <row r="70" spans="1:8">
      <c r="A70" s="2" t="s">
        <v>61</v>
      </c>
      <c r="B70" s="7">
        <v>0.0129038946389467</v>
      </c>
      <c r="C70" s="8">
        <v>0</v>
      </c>
      <c r="E70" s="7">
        <v>0.0159303225228851</v>
      </c>
      <c r="G70" s="9">
        <v>0.00209141477224516</v>
      </c>
      <c r="H70" s="9">
        <v>0.00318268689196577</v>
      </c>
    </row>
    <row r="71" spans="1:8">
      <c r="A71" s="2" t="s">
        <v>63</v>
      </c>
      <c r="B71" s="7">
        <v>0.00494710339676294</v>
      </c>
      <c r="C71" s="8">
        <v>0</v>
      </c>
      <c r="E71" s="7">
        <v>0.006769412011541</v>
      </c>
      <c r="G71" s="9">
        <v>0.0146671486327542</v>
      </c>
      <c r="H71" s="9">
        <v>0.0223202696640936</v>
      </c>
    </row>
    <row r="72" spans="1:8">
      <c r="A72" s="2" t="s">
        <v>66</v>
      </c>
      <c r="B72" s="7">
        <v>0.00780819595800076</v>
      </c>
      <c r="C72" s="9">
        <f>1%-B72</f>
        <v>0.00219180404199924</v>
      </c>
      <c r="E72" s="7">
        <v>0.0120186272651009</v>
      </c>
      <c r="G72" s="9">
        <v>0.0556813148136786</v>
      </c>
      <c r="H72" s="9">
        <v>0.0286429517184837</v>
      </c>
    </row>
    <row r="73" spans="1:8">
      <c r="A73" s="2" t="s">
        <v>74</v>
      </c>
      <c r="B73" s="7">
        <v>0.00504395954194807</v>
      </c>
      <c r="C73" s="8">
        <v>0</v>
      </c>
      <c r="E73" s="7">
        <v>0.00678381480539865</v>
      </c>
      <c r="G73" s="9">
        <v>0.00141545826404074</v>
      </c>
      <c r="H73" s="9">
        <v>0.0021540253625783</v>
      </c>
    </row>
    <row r="74" spans="1:8">
      <c r="A74" s="2" t="s">
        <v>75</v>
      </c>
      <c r="B74" s="7">
        <v>0.0127511540333141</v>
      </c>
      <c r="C74" s="8">
        <v>0</v>
      </c>
      <c r="E74" s="7">
        <v>0.0142223518532413</v>
      </c>
      <c r="G74" s="9">
        <v>0.00136792059787347</v>
      </c>
      <c r="H74" s="9">
        <v>0.00208168318110717</v>
      </c>
    </row>
    <row r="75" spans="1:8">
      <c r="A75" s="2" t="s">
        <v>78</v>
      </c>
      <c r="B75" s="7">
        <v>0.00353623337400019</v>
      </c>
      <c r="C75" s="8">
        <v>0</v>
      </c>
      <c r="E75" s="7">
        <v>0.00525966278019653</v>
      </c>
      <c r="G75" s="9">
        <v>0.0274024732296819</v>
      </c>
      <c r="H75" s="9">
        <v>0.0417007154740172</v>
      </c>
    </row>
    <row r="76" spans="1:8">
      <c r="A76" s="2" t="s">
        <v>81</v>
      </c>
      <c r="B76" s="7">
        <v>0.00816427318882568</v>
      </c>
      <c r="C76" s="8">
        <v>0</v>
      </c>
      <c r="E76" s="7">
        <v>0.0105333350924417</v>
      </c>
      <c r="G76" s="9">
        <v>0.0121063398302932</v>
      </c>
      <c r="H76" s="9">
        <v>0.0184232652455611</v>
      </c>
    </row>
    <row r="77" spans="1:8">
      <c r="A77" s="2" t="s">
        <v>82</v>
      </c>
      <c r="B77" s="7">
        <v>0.00358991019080579</v>
      </c>
      <c r="C77" s="8">
        <v>0</v>
      </c>
      <c r="E77" s="7">
        <v>0.00542233510303874</v>
      </c>
      <c r="G77" s="9">
        <v>0.0113253638861172</v>
      </c>
      <c r="H77" s="9">
        <v>0.0172347865499645</v>
      </c>
    </row>
    <row r="78" spans="1:8">
      <c r="A78" s="2" t="s">
        <v>89</v>
      </c>
      <c r="B78" s="7">
        <v>0.00955347645255366</v>
      </c>
      <c r="C78" s="8">
        <v>0</v>
      </c>
      <c r="E78" s="7">
        <v>0.0113440292091948</v>
      </c>
      <c r="G78" s="9">
        <v>0.00362790005372184</v>
      </c>
      <c r="H78" s="9">
        <v>0.00552088954308531</v>
      </c>
    </row>
    <row r="79" spans="1:8">
      <c r="A79" s="2" t="s">
        <v>97</v>
      </c>
      <c r="B79" s="7">
        <v>0.00817412441507468</v>
      </c>
      <c r="C79" s="8">
        <v>0</v>
      </c>
      <c r="E79" s="7">
        <v>0.0107957956316514</v>
      </c>
      <c r="G79" s="9">
        <v>0.00077588262280092</v>
      </c>
      <c r="H79" s="9">
        <v>0.00118072774758187</v>
      </c>
    </row>
    <row r="80" spans="1:8">
      <c r="A80" s="2" t="s">
        <v>101</v>
      </c>
      <c r="B80" s="7">
        <v>0.0110325093133091</v>
      </c>
      <c r="C80" s="8">
        <v>0</v>
      </c>
      <c r="E80" s="7">
        <v>0.0145536457740235</v>
      </c>
      <c r="G80" s="9">
        <v>0.00477923322359865</v>
      </c>
      <c r="H80" s="9">
        <v>0.00727297288718383</v>
      </c>
    </row>
    <row r="81" spans="1:8">
      <c r="A81" s="2" t="s">
        <v>107</v>
      </c>
      <c r="B81" s="7">
        <v>0.00907259931424551</v>
      </c>
      <c r="C81" s="8">
        <v>0</v>
      </c>
      <c r="E81" s="7">
        <v>0.011611993740517</v>
      </c>
      <c r="G81" s="9">
        <v>0.000175517471512032</v>
      </c>
      <c r="H81" s="9">
        <v>0.000267100129207095</v>
      </c>
    </row>
    <row r="82" spans="1:8">
      <c r="A82" s="2" t="s">
        <v>110</v>
      </c>
      <c r="B82" s="7">
        <v>0.00611602943191298</v>
      </c>
      <c r="C82" s="8">
        <v>0</v>
      </c>
      <c r="E82" s="7">
        <v>0.00803800233973069</v>
      </c>
      <c r="G82" s="9">
        <v>0.000192414363057845</v>
      </c>
      <c r="H82" s="9">
        <v>0.000292813591668714</v>
      </c>
    </row>
    <row r="83" spans="1:8">
      <c r="A83" s="2" t="s">
        <v>114</v>
      </c>
      <c r="B83" s="7">
        <v>0.00862410734344548</v>
      </c>
      <c r="C83" s="8">
        <v>0</v>
      </c>
      <c r="E83" s="7">
        <v>0.0116712312243694</v>
      </c>
      <c r="G83" s="9">
        <v>0.0163119680514148</v>
      </c>
      <c r="H83" s="9">
        <v>0.0248233337491778</v>
      </c>
    </row>
    <row r="84" spans="1:8">
      <c r="A84" s="2" t="s">
        <v>127</v>
      </c>
      <c r="B84" s="7">
        <v>0.0356824980813691</v>
      </c>
      <c r="C84" s="8">
        <v>0</v>
      </c>
      <c r="E84" s="7">
        <v>0.0413539607777038</v>
      </c>
      <c r="G84" s="9">
        <v>0.0627846449730346</v>
      </c>
      <c r="H84" s="9">
        <v>0.0955448288996682</v>
      </c>
    </row>
    <row r="85" spans="1:8">
      <c r="A85" s="2" t="s">
        <v>128</v>
      </c>
      <c r="B85" s="7">
        <v>0.00761012989421547</v>
      </c>
      <c r="C85" s="8">
        <v>0</v>
      </c>
      <c r="E85" s="7">
        <v>0.00989068195256875</v>
      </c>
      <c r="G85" s="9">
        <v>0.00416277964447425</v>
      </c>
      <c r="H85" s="9">
        <v>0.00633486211555605</v>
      </c>
    </row>
    <row r="86" spans="1:8">
      <c r="A86" s="2" t="s">
        <v>130</v>
      </c>
      <c r="B86" s="7">
        <v>0.00617890556710866</v>
      </c>
      <c r="C86" s="8">
        <v>0</v>
      </c>
      <c r="E86" s="7">
        <v>0.00745326555784512</v>
      </c>
      <c r="G86" s="9">
        <v>0.00457315582383632</v>
      </c>
      <c r="H86" s="9">
        <v>0.00695936706988824</v>
      </c>
    </row>
    <row r="87" spans="1:8">
      <c r="A87" s="2"/>
      <c r="B87" s="7"/>
      <c r="C87" s="8"/>
      <c r="E87" s="7"/>
      <c r="G87" s="9">
        <f>SUM(G47:G86)</f>
        <v>1</v>
      </c>
      <c r="H87" s="9">
        <f>SUM(H47:H86)</f>
        <v>1</v>
      </c>
    </row>
    <row r="89" spans="1:41">
      <c r="A89" s="11"/>
      <c r="B89" s="11" t="s">
        <v>2</v>
      </c>
      <c r="C89" s="11" t="s">
        <v>6</v>
      </c>
      <c r="D89" s="11" t="s">
        <v>4</v>
      </c>
      <c r="E89" s="11" t="s">
        <v>5</v>
      </c>
      <c r="F89" s="11" t="s">
        <v>7</v>
      </c>
      <c r="G89" s="11" t="s">
        <v>9</v>
      </c>
      <c r="H89" s="11" t="s">
        <v>10</v>
      </c>
      <c r="I89" s="11" t="s">
        <v>11</v>
      </c>
      <c r="J89" s="11" t="s">
        <v>16</v>
      </c>
      <c r="K89" s="11" t="s">
        <v>17</v>
      </c>
      <c r="L89" s="11" t="s">
        <v>19</v>
      </c>
      <c r="M89" s="11" t="s">
        <v>28</v>
      </c>
      <c r="N89" s="11" t="s">
        <v>30</v>
      </c>
      <c r="O89" s="11" t="s">
        <v>32</v>
      </c>
      <c r="P89" s="11" t="s">
        <v>34</v>
      </c>
      <c r="Q89" s="11" t="s">
        <v>37</v>
      </c>
      <c r="R89" s="11" t="s">
        <v>39</v>
      </c>
      <c r="S89" s="11" t="s">
        <v>40</v>
      </c>
      <c r="T89" s="11" t="s">
        <v>41</v>
      </c>
      <c r="U89" s="11" t="s">
        <v>44</v>
      </c>
      <c r="V89" s="11" t="s">
        <v>49</v>
      </c>
      <c r="W89" s="11" t="s">
        <v>53</v>
      </c>
      <c r="X89" s="11" t="s">
        <v>57</v>
      </c>
      <c r="Y89" s="11" t="s">
        <v>61</v>
      </c>
      <c r="Z89" s="11" t="s">
        <v>63</v>
      </c>
      <c r="AA89" s="11" t="s">
        <v>66</v>
      </c>
      <c r="AB89" s="11" t="s">
        <v>74</v>
      </c>
      <c r="AC89" s="11" t="s">
        <v>75</v>
      </c>
      <c r="AD89" s="11" t="s">
        <v>78</v>
      </c>
      <c r="AE89" s="11" t="s">
        <v>81</v>
      </c>
      <c r="AF89" s="11" t="s">
        <v>82</v>
      </c>
      <c r="AG89" s="11" t="s">
        <v>89</v>
      </c>
      <c r="AH89" s="11" t="s">
        <v>97</v>
      </c>
      <c r="AI89" s="11" t="s">
        <v>101</v>
      </c>
      <c r="AJ89" s="11" t="s">
        <v>107</v>
      </c>
      <c r="AK89" s="11" t="s">
        <v>110</v>
      </c>
      <c r="AL89" s="11" t="s">
        <v>114</v>
      </c>
      <c r="AM89" s="11" t="s">
        <v>127</v>
      </c>
      <c r="AN89" s="11" t="s">
        <v>128</v>
      </c>
      <c r="AO89" s="11" t="s">
        <v>130</v>
      </c>
    </row>
    <row r="90" spans="1:41">
      <c r="A90" s="11" t="s">
        <v>2</v>
      </c>
      <c r="B90" s="12">
        <v>0.00239956142449895</v>
      </c>
      <c r="C90" s="12">
        <v>0.000500193142305293</v>
      </c>
      <c r="D90" s="12">
        <v>0.000781279222909461</v>
      </c>
      <c r="E90" s="12">
        <v>0.000321760777985712</v>
      </c>
      <c r="F90" s="12">
        <v>0.000791428501486469</v>
      </c>
      <c r="G90" s="12">
        <v>0.000696167685954485</v>
      </c>
      <c r="H90" s="12">
        <v>0.000887622815980927</v>
      </c>
      <c r="I90" s="12">
        <v>0.000426362829534417</v>
      </c>
      <c r="J90" s="12">
        <v>0.000704370785419226</v>
      </c>
      <c r="K90" s="12">
        <v>0.000699318846586562</v>
      </c>
      <c r="L90" s="12">
        <v>0.000293066568143092</v>
      </c>
      <c r="M90" s="12">
        <v>2.38004076468422e-5</v>
      </c>
      <c r="N90" s="12">
        <v>0.000629619646500419</v>
      </c>
      <c r="O90" s="12">
        <v>0.000714304927482324</v>
      </c>
      <c r="P90" s="12">
        <v>0.000762292195432631</v>
      </c>
      <c r="Q90" s="12">
        <v>0.00143195812779218</v>
      </c>
      <c r="R90" s="12">
        <v>0.000719170999529596</v>
      </c>
      <c r="S90" s="12">
        <v>0.000670336869852488</v>
      </c>
      <c r="T90" s="12">
        <v>0.000684739231465199</v>
      </c>
      <c r="U90" s="12">
        <v>0.00129120775258408</v>
      </c>
      <c r="V90" s="12">
        <v>0.000579028394606244</v>
      </c>
      <c r="W90" s="12">
        <v>0.000371040162008126</v>
      </c>
      <c r="X90" s="12">
        <v>0.000451622363663848</v>
      </c>
      <c r="Y90" s="12">
        <v>0.000489537496390773</v>
      </c>
      <c r="Z90" s="12">
        <v>0.000622928190809138</v>
      </c>
      <c r="AA90" s="12">
        <v>0.000584609283580302</v>
      </c>
      <c r="AB90" s="12">
        <v>0.000307682911214181</v>
      </c>
      <c r="AC90" s="12">
        <v>0.00101719711836607</v>
      </c>
      <c r="AD90" s="12">
        <v>0.000461306371791634</v>
      </c>
      <c r="AE90" s="12">
        <v>0.000982900256933837</v>
      </c>
      <c r="AF90" s="12">
        <v>0.000494524142610144</v>
      </c>
      <c r="AG90" s="12">
        <v>0.000955522918569703</v>
      </c>
      <c r="AH90" s="12">
        <v>0.00109832038463812</v>
      </c>
      <c r="AI90" s="12">
        <v>0.000924014278809204</v>
      </c>
      <c r="AJ90" s="12">
        <v>0.000301738776349225</v>
      </c>
      <c r="AK90" s="12">
        <v>0.000622542569465842</v>
      </c>
      <c r="AL90" s="12">
        <v>0.000820561187910153</v>
      </c>
      <c r="AM90" s="12">
        <v>0.0014659261072411</v>
      </c>
      <c r="AN90" s="12">
        <v>0.00055150116604192</v>
      </c>
      <c r="AO90" s="12">
        <v>0.000642595193675745</v>
      </c>
    </row>
    <row r="91" spans="1:41">
      <c r="A91" s="11" t="s">
        <v>6</v>
      </c>
      <c r="B91" s="12">
        <v>0.000500193142305293</v>
      </c>
      <c r="C91" s="12">
        <v>0.00252399390893863</v>
      </c>
      <c r="D91" s="12">
        <v>0.000607341668581229</v>
      </c>
      <c r="E91" s="12">
        <v>0.000188584273404401</v>
      </c>
      <c r="F91" s="12">
        <v>0.000959223318550871</v>
      </c>
      <c r="G91" s="12">
        <v>0.000595073792246664</v>
      </c>
      <c r="H91" s="12">
        <v>0.000758243456881427</v>
      </c>
      <c r="I91" s="12">
        <v>0.000282561620018637</v>
      </c>
      <c r="J91" s="12">
        <v>0.000471186459369637</v>
      </c>
      <c r="K91" s="12">
        <v>0.00093433790555954</v>
      </c>
      <c r="L91" s="12">
        <v>0.000319840106902747</v>
      </c>
      <c r="M91" s="12">
        <v>0.000311996497363466</v>
      </c>
      <c r="N91" s="12">
        <v>0.000234305722188639</v>
      </c>
      <c r="O91" s="12">
        <v>0.000256363896025517</v>
      </c>
      <c r="P91" s="12">
        <v>0.000294499889306039</v>
      </c>
      <c r="Q91" s="12">
        <v>0.000946860334206112</v>
      </c>
      <c r="R91" s="12">
        <v>0.000154094859801697</v>
      </c>
      <c r="S91" s="12">
        <v>0.00012955837479867</v>
      </c>
      <c r="T91" s="12">
        <v>0.000198040507330278</v>
      </c>
      <c r="U91" s="12">
        <v>0.00135378667347895</v>
      </c>
      <c r="V91" s="12">
        <v>0.000371663252519489</v>
      </c>
      <c r="W91" s="12">
        <v>0.00018469023515439</v>
      </c>
      <c r="X91" s="12">
        <v>-7.75348085743701e-6</v>
      </c>
      <c r="Y91" s="12">
        <v>7.41250003465041e-5</v>
      </c>
      <c r="Z91" s="12">
        <v>0.000382501947784423</v>
      </c>
      <c r="AA91" s="12">
        <v>0.000390975087618902</v>
      </c>
      <c r="AB91" s="12">
        <v>0.000363388710110389</v>
      </c>
      <c r="AC91" s="12">
        <v>-0.000243584347585836</v>
      </c>
      <c r="AD91" s="12">
        <v>0.000534646242596457</v>
      </c>
      <c r="AE91" s="12">
        <v>0.000478913602764056</v>
      </c>
      <c r="AF91" s="12">
        <v>0.000553566998891673</v>
      </c>
      <c r="AG91" s="12">
        <v>0.000121380851731909</v>
      </c>
      <c r="AH91" s="12">
        <v>0.000514398833900236</v>
      </c>
      <c r="AI91" s="12">
        <v>0.000552531752809942</v>
      </c>
      <c r="AJ91" s="12">
        <v>0.000218660568717075</v>
      </c>
      <c r="AK91" s="12">
        <v>0.000360429298766426</v>
      </c>
      <c r="AL91" s="12">
        <v>0.00063085805069389</v>
      </c>
      <c r="AM91" s="12">
        <v>0.000949674938617444</v>
      </c>
      <c r="AN91" s="12">
        <v>0.000261134482716925</v>
      </c>
      <c r="AO91" s="12">
        <v>5.67928386070292e-5</v>
      </c>
    </row>
    <row r="92" spans="1:41">
      <c r="A92" s="11" t="s">
        <v>4</v>
      </c>
      <c r="B92" s="12">
        <v>0.000781279222909461</v>
      </c>
      <c r="C92" s="12">
        <v>0.000607341668581229</v>
      </c>
      <c r="D92" s="12">
        <v>0.00481728628300211</v>
      </c>
      <c r="E92" s="12">
        <v>0.000386309850597176</v>
      </c>
      <c r="F92" s="12">
        <v>0.0008990175100807</v>
      </c>
      <c r="G92" s="12">
        <v>0.000330598005344314</v>
      </c>
      <c r="H92" s="12">
        <v>0.00139688804838188</v>
      </c>
      <c r="I92" s="12">
        <v>0.000223512180511715</v>
      </c>
      <c r="J92" s="12">
        <v>0.000286129048463354</v>
      </c>
      <c r="K92" s="12">
        <v>0.000836522495419977</v>
      </c>
      <c r="L92" s="12">
        <v>0.000463657145711025</v>
      </c>
      <c r="M92" s="12">
        <v>0.000344925750117735</v>
      </c>
      <c r="N92" s="12">
        <v>0.000497519336467171</v>
      </c>
      <c r="O92" s="12">
        <v>0.0001365916129094</v>
      </c>
      <c r="P92" s="12">
        <v>0.000568278088737047</v>
      </c>
      <c r="Q92" s="12">
        <v>0.00118129668395363</v>
      </c>
      <c r="R92" s="12">
        <v>2.20596067621599e-5</v>
      </c>
      <c r="S92" s="12">
        <v>0.000814840649782906</v>
      </c>
      <c r="T92" s="12">
        <v>0.000358252363626352</v>
      </c>
      <c r="U92" s="12">
        <v>0.00132653619270325</v>
      </c>
      <c r="V92" s="12">
        <v>0.000321247706992776</v>
      </c>
      <c r="W92" s="12">
        <v>6.34239739396209e-5</v>
      </c>
      <c r="X92" s="12">
        <v>-5.37577459287322e-5</v>
      </c>
      <c r="Y92" s="12">
        <v>0.000597472602985498</v>
      </c>
      <c r="Z92" s="12">
        <v>-8.36601142131239e-5</v>
      </c>
      <c r="AA92" s="12">
        <v>0.000458038526177303</v>
      </c>
      <c r="AB92" s="12">
        <v>-9.69776285094876e-5</v>
      </c>
      <c r="AC92" s="12">
        <v>-0.000870220440962871</v>
      </c>
      <c r="AD92" s="12">
        <v>8.99296328467536e-5</v>
      </c>
      <c r="AE92" s="12">
        <v>0.00024277151013055</v>
      </c>
      <c r="AF92" s="12">
        <v>0.000103168370131377</v>
      </c>
      <c r="AG92" s="12">
        <v>5.01477457873393e-5</v>
      </c>
      <c r="AH92" s="12">
        <v>0.000845843968518906</v>
      </c>
      <c r="AI92" s="12">
        <v>-0.000288865346265018</v>
      </c>
      <c r="AJ92" s="12">
        <v>2.26650351140686e-5</v>
      </c>
      <c r="AK92" s="12">
        <v>0.000213579521090633</v>
      </c>
      <c r="AL92" s="12">
        <v>0.000506549648915891</v>
      </c>
      <c r="AM92" s="12">
        <v>0.000935239019732679</v>
      </c>
      <c r="AN92" s="12">
        <v>-0.000209870312031423</v>
      </c>
      <c r="AO92" s="12">
        <v>2.44730406749088e-5</v>
      </c>
    </row>
    <row r="93" spans="1:41">
      <c r="A93" s="11" t="s">
        <v>5</v>
      </c>
      <c r="B93" s="12">
        <v>0.000321760777985712</v>
      </c>
      <c r="C93" s="12">
        <v>0.000188584273404401</v>
      </c>
      <c r="D93" s="12">
        <v>0.000386309850597176</v>
      </c>
      <c r="E93" s="12">
        <v>0.00701239700500198</v>
      </c>
      <c r="F93" s="12">
        <v>0.000748832879604114</v>
      </c>
      <c r="G93" s="12">
        <v>0.000275323118701291</v>
      </c>
      <c r="H93" s="12">
        <v>0.00148397654439462</v>
      </c>
      <c r="I93" s="12">
        <v>0.000262788059526224</v>
      </c>
      <c r="J93" s="12">
        <v>0.000857921889343064</v>
      </c>
      <c r="K93" s="12">
        <v>0.00148692147722163</v>
      </c>
      <c r="L93" s="12">
        <v>0.000481924218466798</v>
      </c>
      <c r="M93" s="12">
        <v>0.00100271941924833</v>
      </c>
      <c r="N93" s="12">
        <v>0.000661177042496116</v>
      </c>
      <c r="O93" s="12">
        <v>0.000642159035771398</v>
      </c>
      <c r="P93" s="12">
        <v>0.00081887667424419</v>
      </c>
      <c r="Q93" s="12">
        <v>-0.000478904542436569</v>
      </c>
      <c r="R93" s="12">
        <v>0.00131888130712497</v>
      </c>
      <c r="S93" s="12">
        <v>0.000530642896110437</v>
      </c>
      <c r="T93" s="12">
        <v>0.000775401486070887</v>
      </c>
      <c r="U93" s="12">
        <v>0.00218279117140271</v>
      </c>
      <c r="V93" s="12">
        <v>0.000480017868221678</v>
      </c>
      <c r="W93" s="12">
        <v>0.000389630363903552</v>
      </c>
      <c r="X93" s="12">
        <v>0.000967254704107026</v>
      </c>
      <c r="Y93" s="12">
        <v>0.00182090055627504</v>
      </c>
      <c r="Z93" s="12">
        <v>2.90931635696802e-5</v>
      </c>
      <c r="AA93" s="12">
        <v>0.000830402405152275</v>
      </c>
      <c r="AB93" s="12">
        <v>0.000995352996116536</v>
      </c>
      <c r="AC93" s="12">
        <v>0.0015568361992854</v>
      </c>
      <c r="AD93" s="12">
        <v>-0.000220087813620979</v>
      </c>
      <c r="AE93" s="12">
        <v>8.36025479824708e-5</v>
      </c>
      <c r="AF93" s="12">
        <v>1.7105874773921e-5</v>
      </c>
      <c r="AG93" s="12">
        <v>0.00023848202469557</v>
      </c>
      <c r="AH93" s="12">
        <v>0.000827873203286339</v>
      </c>
      <c r="AI93" s="12">
        <v>0.0010246461627747</v>
      </c>
      <c r="AJ93" s="12">
        <v>0.00182703239185921</v>
      </c>
      <c r="AK93" s="12">
        <v>0.000620557117230763</v>
      </c>
      <c r="AL93" s="12">
        <v>0.00121022706028343</v>
      </c>
      <c r="AM93" s="12">
        <v>0.00136839813154106</v>
      </c>
      <c r="AN93" s="12">
        <v>0.000457059037032836</v>
      </c>
      <c r="AO93" s="12">
        <v>0.000371221000912044</v>
      </c>
    </row>
    <row r="94" spans="1:41">
      <c r="A94" s="11" t="s">
        <v>7</v>
      </c>
      <c r="B94" s="12">
        <v>0.000791428501486469</v>
      </c>
      <c r="C94" s="12">
        <v>0.000959223318550871</v>
      </c>
      <c r="D94" s="12">
        <v>0.0008990175100807</v>
      </c>
      <c r="E94" s="12">
        <v>0.000748832879604114</v>
      </c>
      <c r="F94" s="12">
        <v>0.00423305199538967</v>
      </c>
      <c r="G94" s="12">
        <v>0.00085421898858021</v>
      </c>
      <c r="H94" s="12">
        <v>0.00115523775107775</v>
      </c>
      <c r="I94" s="12">
        <v>0.00032261367712786</v>
      </c>
      <c r="J94" s="12">
        <v>0.000901176313639351</v>
      </c>
      <c r="K94" s="12">
        <v>0.00125452898762915</v>
      </c>
      <c r="L94" s="12">
        <v>0.000596250152335189</v>
      </c>
      <c r="M94" s="12">
        <v>0.000504101730819977</v>
      </c>
      <c r="N94" s="12">
        <v>0.000521606477929411</v>
      </c>
      <c r="O94" s="12">
        <v>0.000590332916676164</v>
      </c>
      <c r="P94" s="12">
        <v>0.000477033201019795</v>
      </c>
      <c r="Q94" s="12">
        <v>0.00124644224822624</v>
      </c>
      <c r="R94" s="12">
        <v>0.000566044752882555</v>
      </c>
      <c r="S94" s="12">
        <v>0.000503919709311846</v>
      </c>
      <c r="T94" s="12">
        <v>0.000747623307102557</v>
      </c>
      <c r="U94" s="12">
        <v>0.00234731473821075</v>
      </c>
      <c r="V94" s="12">
        <v>0.000280716927016705</v>
      </c>
      <c r="W94" s="12">
        <v>0.00010255806078895</v>
      </c>
      <c r="X94" s="12">
        <v>0.000227223321915564</v>
      </c>
      <c r="Y94" s="12">
        <v>0.000277015162083766</v>
      </c>
      <c r="Z94" s="12">
        <v>0.000268980514448667</v>
      </c>
      <c r="AA94" s="12">
        <v>0.000680120803811835</v>
      </c>
      <c r="AB94" s="12">
        <v>0.00051408484613695</v>
      </c>
      <c r="AC94" s="12">
        <v>-0.000576990242842221</v>
      </c>
      <c r="AD94" s="12">
        <v>0.000452519838894817</v>
      </c>
      <c r="AE94" s="12">
        <v>0.000384234041914794</v>
      </c>
      <c r="AF94" s="12">
        <v>0.000498315759975197</v>
      </c>
      <c r="AG94" s="12">
        <v>0.000618508783028003</v>
      </c>
      <c r="AH94" s="12">
        <v>0.00121741197861861</v>
      </c>
      <c r="AI94" s="12">
        <v>0.00096255063406793</v>
      </c>
      <c r="AJ94" s="12">
        <v>0.00134825317438246</v>
      </c>
      <c r="AK94" s="12">
        <v>0.000672479944892789</v>
      </c>
      <c r="AL94" s="12">
        <v>0.000875382721192286</v>
      </c>
      <c r="AM94" s="12">
        <v>0.00135287456626763</v>
      </c>
      <c r="AN94" s="12">
        <v>0.00031625956894584</v>
      </c>
      <c r="AO94" s="12">
        <v>9.32319228588942e-5</v>
      </c>
    </row>
    <row r="95" spans="1:41">
      <c r="A95" s="11" t="s">
        <v>9</v>
      </c>
      <c r="B95" s="12">
        <v>0.000696167685954485</v>
      </c>
      <c r="C95" s="12">
        <v>0.000595073792246664</v>
      </c>
      <c r="D95" s="12">
        <v>0.000330598005344314</v>
      </c>
      <c r="E95" s="12">
        <v>0.000275323118701291</v>
      </c>
      <c r="F95" s="12">
        <v>0.00085421898858021</v>
      </c>
      <c r="G95" s="12">
        <v>0.00329028812457952</v>
      </c>
      <c r="H95" s="12">
        <v>0.00127627494199325</v>
      </c>
      <c r="I95" s="12">
        <v>0.000963872204926744</v>
      </c>
      <c r="J95" s="12">
        <v>0.000652344419844244</v>
      </c>
      <c r="K95" s="12">
        <v>0.000696900632731725</v>
      </c>
      <c r="L95" s="12">
        <v>0.000598327388077098</v>
      </c>
      <c r="M95" s="12">
        <v>0.000468039441489726</v>
      </c>
      <c r="N95" s="12">
        <v>0.000713652188403223</v>
      </c>
      <c r="O95" s="12">
        <v>0.000608664093491536</v>
      </c>
      <c r="P95" s="12">
        <v>0.000247706681562576</v>
      </c>
      <c r="Q95" s="12">
        <v>0.00111866507023188</v>
      </c>
      <c r="R95" s="12">
        <v>0.00116621516787966</v>
      </c>
      <c r="S95" s="12">
        <v>1.45322259365803e-5</v>
      </c>
      <c r="T95" s="12">
        <v>0.000550758456304003</v>
      </c>
      <c r="U95" s="12">
        <v>0.00184790682290392</v>
      </c>
      <c r="V95" s="12">
        <v>0.00110772636029758</v>
      </c>
      <c r="W95" s="12">
        <v>0.00100462670961975</v>
      </c>
      <c r="X95" s="12">
        <v>0.000118945102045311</v>
      </c>
      <c r="Y95" s="12">
        <v>0.000698082040696316</v>
      </c>
      <c r="Z95" s="12">
        <v>0.000520328057454627</v>
      </c>
      <c r="AA95" s="12">
        <v>0.000427442461162156</v>
      </c>
      <c r="AB95" s="12">
        <v>0.00061204910410547</v>
      </c>
      <c r="AC95" s="12">
        <v>0.000394308952203411</v>
      </c>
      <c r="AD95" s="12">
        <v>0.000338744597982961</v>
      </c>
      <c r="AE95" s="12">
        <v>0.00067364753430273</v>
      </c>
      <c r="AF95" s="12">
        <v>0.000536250658562703</v>
      </c>
      <c r="AG95" s="12">
        <v>0.000684602212479424</v>
      </c>
      <c r="AH95" s="12">
        <v>0.00107547317527318</v>
      </c>
      <c r="AI95" s="12">
        <v>0.0010042099258483</v>
      </c>
      <c r="AJ95" s="12">
        <v>0.000576506947432706</v>
      </c>
      <c r="AK95" s="12">
        <v>0.000300558362255168</v>
      </c>
      <c r="AL95" s="12">
        <v>0.000531735777238177</v>
      </c>
      <c r="AM95" s="12">
        <v>0.00119912631252331</v>
      </c>
      <c r="AN95" s="12">
        <v>0.000621112980936915</v>
      </c>
      <c r="AO95" s="12">
        <v>0.000647840787222945</v>
      </c>
    </row>
    <row r="96" spans="1:41">
      <c r="A96" s="11" t="s">
        <v>10</v>
      </c>
      <c r="B96" s="12">
        <v>0.000887622815980927</v>
      </c>
      <c r="C96" s="12">
        <v>0.000758243456881427</v>
      </c>
      <c r="D96" s="12">
        <v>0.00139688804838188</v>
      </c>
      <c r="E96" s="12">
        <v>0.00148397654439462</v>
      </c>
      <c r="F96" s="12">
        <v>0.00115523775107775</v>
      </c>
      <c r="G96" s="12">
        <v>0.00127627494199325</v>
      </c>
      <c r="H96" s="12">
        <v>0.00896408500686384</v>
      </c>
      <c r="I96" s="12">
        <v>0.0011831743912991</v>
      </c>
      <c r="J96" s="12">
        <v>0.000659046228778377</v>
      </c>
      <c r="K96" s="12">
        <v>0.00104316415579522</v>
      </c>
      <c r="L96" s="12">
        <v>0.000737421169425948</v>
      </c>
      <c r="M96" s="12">
        <v>0.000995729277713062</v>
      </c>
      <c r="N96" s="12">
        <v>0.00108405529275301</v>
      </c>
      <c r="O96" s="12">
        <v>0.000829018205853903</v>
      </c>
      <c r="P96" s="12">
        <v>0.00184389708500085</v>
      </c>
      <c r="Q96" s="12">
        <v>0.00125106421523659</v>
      </c>
      <c r="R96" s="12">
        <v>0.00127840912194702</v>
      </c>
      <c r="S96" s="12">
        <v>0.000635332211053893</v>
      </c>
      <c r="T96" s="12">
        <v>0.00114679816853539</v>
      </c>
      <c r="U96" s="12">
        <v>0.00222634448981685</v>
      </c>
      <c r="V96" s="12">
        <v>0.00105726853715244</v>
      </c>
      <c r="W96" s="12">
        <v>0.00113079016164922</v>
      </c>
      <c r="X96" s="12">
        <v>0.000715386907489103</v>
      </c>
      <c r="Y96" s="12">
        <v>0.00203650150285113</v>
      </c>
      <c r="Z96" s="12">
        <v>2.04380732962868e-5</v>
      </c>
      <c r="AA96" s="12">
        <v>0.000996063995329288</v>
      </c>
      <c r="AB96" s="12">
        <v>0.00075927542700048</v>
      </c>
      <c r="AC96" s="12">
        <v>0.000183059066145425</v>
      </c>
      <c r="AD96" s="12">
        <v>4.15734437030181e-5</v>
      </c>
      <c r="AE96" s="12">
        <v>0.00054859702970209</v>
      </c>
      <c r="AF96" s="12">
        <v>0.000270202926422614</v>
      </c>
      <c r="AG96" s="12">
        <v>0.000718452721338083</v>
      </c>
      <c r="AH96" s="12">
        <v>0.000635019219604525</v>
      </c>
      <c r="AI96" s="12">
        <v>0.000384118228551983</v>
      </c>
      <c r="AJ96" s="12">
        <v>0.00183785766919502</v>
      </c>
      <c r="AK96" s="12">
        <v>0.000410923448695239</v>
      </c>
      <c r="AL96" s="12">
        <v>0.001136980184011</v>
      </c>
      <c r="AM96" s="12">
        <v>0.000576748966711818</v>
      </c>
      <c r="AN96" s="12">
        <v>0.000704515832967639</v>
      </c>
      <c r="AO96" s="12">
        <v>0.000867231764265514</v>
      </c>
    </row>
    <row r="97" spans="1:41">
      <c r="A97" s="11" t="s">
        <v>11</v>
      </c>
      <c r="B97" s="12">
        <v>0.000426362829534417</v>
      </c>
      <c r="C97" s="12">
        <v>0.000282561620018637</v>
      </c>
      <c r="D97" s="12">
        <v>0.000223512180511715</v>
      </c>
      <c r="E97" s="12">
        <v>0.000262788059526224</v>
      </c>
      <c r="F97" s="12">
        <v>0.00032261367712786</v>
      </c>
      <c r="G97" s="12">
        <v>0.000963872204926744</v>
      </c>
      <c r="H97" s="12">
        <v>0.0011831743912991</v>
      </c>
      <c r="I97" s="12">
        <v>0.00547335301029192</v>
      </c>
      <c r="J97" s="12">
        <v>0.000643825045039575</v>
      </c>
      <c r="K97" s="12">
        <v>0.000185721403298824</v>
      </c>
      <c r="L97" s="12">
        <v>0.000145001501480633</v>
      </c>
      <c r="M97" s="12">
        <v>0.000930686357127514</v>
      </c>
      <c r="N97" s="12">
        <v>0.000773297723830685</v>
      </c>
      <c r="O97" s="12">
        <v>0.000773800951619961</v>
      </c>
      <c r="P97" s="12">
        <v>0.000934216354646328</v>
      </c>
      <c r="Q97" s="12">
        <v>0.00036314901569159</v>
      </c>
      <c r="R97" s="12">
        <v>0.00158950764295616</v>
      </c>
      <c r="S97" s="12">
        <v>-0.000281981236610707</v>
      </c>
      <c r="T97" s="12">
        <v>0.000512535673327605</v>
      </c>
      <c r="U97" s="12">
        <v>0.00317532640655001</v>
      </c>
      <c r="V97" s="12">
        <v>0.00117037063160434</v>
      </c>
      <c r="W97" s="12">
        <v>0.00114402606678214</v>
      </c>
      <c r="X97" s="12">
        <v>0.00100072541460454</v>
      </c>
      <c r="Y97" s="12">
        <v>0.00111061096319952</v>
      </c>
      <c r="Z97" s="12">
        <v>0.000301280322235774</v>
      </c>
      <c r="AA97" s="12">
        <v>0.000843402278228066</v>
      </c>
      <c r="AB97" s="12">
        <v>0.000744783273798932</v>
      </c>
      <c r="AC97" s="12">
        <v>0.000833835501045767</v>
      </c>
      <c r="AD97" s="12">
        <v>0.000159783673037059</v>
      </c>
      <c r="AE97" s="12">
        <v>0.000858929993904079</v>
      </c>
      <c r="AF97" s="12">
        <v>0.000676149533158876</v>
      </c>
      <c r="AG97" s="12">
        <v>0.00111254755831207</v>
      </c>
      <c r="AH97" s="12">
        <v>0.000975047305850768</v>
      </c>
      <c r="AI97" s="12">
        <v>0.00106363706105429</v>
      </c>
      <c r="AJ97" s="12">
        <v>0.000715181670381336</v>
      </c>
      <c r="AK97" s="12">
        <v>0.00034871995683923</v>
      </c>
      <c r="AL97" s="12">
        <v>0.000656619179502511</v>
      </c>
      <c r="AM97" s="12">
        <v>0.000609519938220563</v>
      </c>
      <c r="AN97" s="12">
        <v>0.00134327180046997</v>
      </c>
      <c r="AO97" s="12">
        <v>0.000523549248514434</v>
      </c>
    </row>
    <row r="98" spans="1:41">
      <c r="A98" s="11" t="s">
        <v>16</v>
      </c>
      <c r="B98" s="12">
        <v>0.000704370785419226</v>
      </c>
      <c r="C98" s="12">
        <v>0.000471186459369637</v>
      </c>
      <c r="D98" s="12">
        <v>0.000286129048463354</v>
      </c>
      <c r="E98" s="12">
        <v>0.000857921889343064</v>
      </c>
      <c r="F98" s="12">
        <v>0.000901176313639351</v>
      </c>
      <c r="G98" s="12">
        <v>0.000652344419844244</v>
      </c>
      <c r="H98" s="12">
        <v>0.000659046228778377</v>
      </c>
      <c r="I98" s="12">
        <v>0.000643825045039575</v>
      </c>
      <c r="J98" s="12">
        <v>0.00360427883994</v>
      </c>
      <c r="K98" s="12">
        <v>0.00134241687620943</v>
      </c>
      <c r="L98" s="12">
        <v>0.000447195083109481</v>
      </c>
      <c r="M98" s="12">
        <v>0.00016413159897608</v>
      </c>
      <c r="N98" s="12">
        <v>0.000491869160636452</v>
      </c>
      <c r="O98" s="12">
        <v>0.000674185514793505</v>
      </c>
      <c r="P98" s="12">
        <v>0.000729933796186669</v>
      </c>
      <c r="Q98" s="12">
        <v>0.000531789970663903</v>
      </c>
      <c r="R98" s="12">
        <v>0.000668561015118105</v>
      </c>
      <c r="S98" s="12">
        <v>0.000302634898649854</v>
      </c>
      <c r="T98" s="12">
        <v>0.000581038275958478</v>
      </c>
      <c r="U98" s="12">
        <v>0.00185753058764252</v>
      </c>
      <c r="V98" s="12">
        <v>0.000592297361741961</v>
      </c>
      <c r="W98" s="12">
        <v>0.000438621263206469</v>
      </c>
      <c r="X98" s="12">
        <v>0.000651923635244131</v>
      </c>
      <c r="Y98" s="12">
        <v>0.000170662594500716</v>
      </c>
      <c r="Z98" s="12">
        <v>0.000459696866696442</v>
      </c>
      <c r="AA98" s="12">
        <v>0.000506563360062929</v>
      </c>
      <c r="AB98" s="12">
        <v>0.000857418534846376</v>
      </c>
      <c r="AC98" s="12">
        <v>0.000948532070704216</v>
      </c>
      <c r="AD98" s="12">
        <v>0.000265913140566869</v>
      </c>
      <c r="AE98" s="12">
        <v>0.000596598410163498</v>
      </c>
      <c r="AF98" s="12">
        <v>0.000346051642654463</v>
      </c>
      <c r="AG98" s="12">
        <v>0.00152794254772309</v>
      </c>
      <c r="AH98" s="12">
        <v>0.000938927140610968</v>
      </c>
      <c r="AI98" s="12">
        <v>0.00125070359137629</v>
      </c>
      <c r="AJ98" s="12">
        <v>0.00139162541149952</v>
      </c>
      <c r="AK98" s="12">
        <v>0.000979445263138898</v>
      </c>
      <c r="AL98" s="12">
        <v>0.000931681106838538</v>
      </c>
      <c r="AM98" s="12">
        <v>0.00120517543762617</v>
      </c>
      <c r="AN98" s="12">
        <v>0.000843533225083047</v>
      </c>
      <c r="AO98" s="12">
        <v>0.000413877692992993</v>
      </c>
    </row>
    <row r="99" spans="1:41">
      <c r="A99" s="11" t="s">
        <v>17</v>
      </c>
      <c r="B99" s="12">
        <v>0.000699318846586562</v>
      </c>
      <c r="C99" s="12">
        <v>0.00093433790555954</v>
      </c>
      <c r="D99" s="12">
        <v>0.000836522495419977</v>
      </c>
      <c r="E99" s="12">
        <v>0.00148692147722163</v>
      </c>
      <c r="F99" s="12">
        <v>0.00125452898762915</v>
      </c>
      <c r="G99" s="12">
        <v>0.000696900632731725</v>
      </c>
      <c r="H99" s="12">
        <v>0.00104316415579522</v>
      </c>
      <c r="I99" s="12">
        <v>0.000185721403298824</v>
      </c>
      <c r="J99" s="12">
        <v>0.00134241687620943</v>
      </c>
      <c r="K99" s="12">
        <v>0.00644753018893236</v>
      </c>
      <c r="L99" s="12">
        <v>0.000519143218410295</v>
      </c>
      <c r="M99" s="12">
        <v>0.000309336941752012</v>
      </c>
      <c r="N99" s="12">
        <v>0.000438023653536151</v>
      </c>
      <c r="O99" s="12">
        <v>0.000502230836741498</v>
      </c>
      <c r="P99" s="12">
        <v>0.00110242740566248</v>
      </c>
      <c r="Q99" s="12">
        <v>0.00180527464716129</v>
      </c>
      <c r="R99" s="12">
        <v>0.000396334336388624</v>
      </c>
      <c r="S99" s="12">
        <v>0.000183646385766443</v>
      </c>
      <c r="T99" s="12">
        <v>0.000423794789916377</v>
      </c>
      <c r="U99" s="12">
        <v>0.00265990186689263</v>
      </c>
      <c r="V99" s="12">
        <v>0.000319184420357697</v>
      </c>
      <c r="W99" s="12">
        <v>-9.07097175447014e-5</v>
      </c>
      <c r="X99" s="12">
        <v>0.000677989327213419</v>
      </c>
      <c r="Y99" s="12">
        <v>-0.000225651102618083</v>
      </c>
      <c r="Z99" s="12">
        <v>0.000346365398439312</v>
      </c>
      <c r="AA99" s="12">
        <v>0.000776727001384385</v>
      </c>
      <c r="AB99" s="12">
        <v>0.000778917724693269</v>
      </c>
      <c r="AC99" s="12">
        <v>0.000765961239255475</v>
      </c>
      <c r="AD99" s="12">
        <v>0.000349216897809468</v>
      </c>
      <c r="AE99" s="12">
        <v>0.000258917787659451</v>
      </c>
      <c r="AF99" s="12">
        <v>0.000506813831655009</v>
      </c>
      <c r="AG99" s="12">
        <v>0.00133134136371551</v>
      </c>
      <c r="AH99" s="12">
        <v>0.00188231597301268</v>
      </c>
      <c r="AI99" s="12">
        <v>0.00118874914089587</v>
      </c>
      <c r="AJ99" s="12">
        <v>0.00231748005907751</v>
      </c>
      <c r="AK99" s="12">
        <v>0.00136323550494103</v>
      </c>
      <c r="AL99" s="12">
        <v>0.0012507015175944</v>
      </c>
      <c r="AM99" s="12">
        <v>0.000922768778222844</v>
      </c>
      <c r="AN99" s="12">
        <v>0.000377069732855036</v>
      </c>
      <c r="AO99" s="12">
        <v>0.00111015824090179</v>
      </c>
    </row>
    <row r="100" spans="1:41">
      <c r="A100" s="11" t="s">
        <v>19</v>
      </c>
      <c r="B100" s="12">
        <v>0.000293066568143092</v>
      </c>
      <c r="C100" s="12">
        <v>0.000319840106902747</v>
      </c>
      <c r="D100" s="12">
        <v>0.000463657145711025</v>
      </c>
      <c r="E100" s="12">
        <v>0.000481924218466798</v>
      </c>
      <c r="F100" s="12">
        <v>0.000596250152335189</v>
      </c>
      <c r="G100" s="12">
        <v>0.000598327388077098</v>
      </c>
      <c r="H100" s="12">
        <v>0.000737421169425948</v>
      </c>
      <c r="I100" s="12">
        <v>0.000145001501480633</v>
      </c>
      <c r="J100" s="12">
        <v>0.000447195083109481</v>
      </c>
      <c r="K100" s="12">
        <v>0.000519143218410295</v>
      </c>
      <c r="L100" s="12">
        <v>0.00895534391242223</v>
      </c>
      <c r="M100" s="12">
        <v>0.000456608772596534</v>
      </c>
      <c r="N100" s="12">
        <v>0.000185060421879277</v>
      </c>
      <c r="O100" s="12">
        <v>0.000208008632357003</v>
      </c>
      <c r="P100" s="12">
        <v>0.00104291949131898</v>
      </c>
      <c r="Q100" s="12">
        <v>0.000567347995828346</v>
      </c>
      <c r="R100" s="12">
        <v>0.00204893186984305</v>
      </c>
      <c r="S100" s="12">
        <v>-0.000445384541056529</v>
      </c>
      <c r="T100" s="12">
        <v>0.000149273604190705</v>
      </c>
      <c r="U100" s="12">
        <v>0.00203219379604761</v>
      </c>
      <c r="V100" s="12">
        <v>0.00105582228844738</v>
      </c>
      <c r="W100" s="12">
        <v>0.0005561599820732</v>
      </c>
      <c r="X100" s="12">
        <v>-0.000196484042654628</v>
      </c>
      <c r="Y100" s="12">
        <v>0.00158545329304913</v>
      </c>
      <c r="Z100" s="12">
        <v>-0.00058276377774269</v>
      </c>
      <c r="AA100" s="12">
        <v>0.00035167535605539</v>
      </c>
      <c r="AB100" s="12">
        <v>0.00157140439437723</v>
      </c>
      <c r="AC100" s="12">
        <v>-0.000743627548766113</v>
      </c>
      <c r="AD100" s="12">
        <v>0.000155601121107632</v>
      </c>
      <c r="AE100" s="12">
        <v>0.000696302652176032</v>
      </c>
      <c r="AF100" s="12">
        <v>8.7085606426101e-5</v>
      </c>
      <c r="AG100" s="12">
        <v>0.000324045227568549</v>
      </c>
      <c r="AH100" s="12">
        <v>0.000892613532748322</v>
      </c>
      <c r="AI100" s="12">
        <v>0.000359651005000005</v>
      </c>
      <c r="AJ100" s="12">
        <v>-0.000407320173915036</v>
      </c>
      <c r="AK100" s="12">
        <v>-0.000155972632984227</v>
      </c>
      <c r="AL100" s="12">
        <v>-0.000239033167973599</v>
      </c>
      <c r="AM100" s="12">
        <v>0.000420328283917622</v>
      </c>
      <c r="AN100" s="12">
        <v>0.000533179640298691</v>
      </c>
      <c r="AO100" s="12">
        <v>-0.00104334583692545</v>
      </c>
    </row>
    <row r="101" spans="1:41">
      <c r="A101" s="11" t="s">
        <v>28</v>
      </c>
      <c r="B101" s="12">
        <v>2.38004076468422e-5</v>
      </c>
      <c r="C101" s="12">
        <v>0.000311996497363466</v>
      </c>
      <c r="D101" s="12">
        <v>0.000344925750117735</v>
      </c>
      <c r="E101" s="12">
        <v>0.00100271941924833</v>
      </c>
      <c r="F101" s="12">
        <v>0.000504101730819977</v>
      </c>
      <c r="G101" s="12">
        <v>0.000468039441489726</v>
      </c>
      <c r="H101" s="12">
        <v>0.000995729277713062</v>
      </c>
      <c r="I101" s="12">
        <v>0.000930686357127514</v>
      </c>
      <c r="J101" s="12">
        <v>0.00016413159897608</v>
      </c>
      <c r="K101" s="12">
        <v>0.000309336941752012</v>
      </c>
      <c r="L101" s="12">
        <v>0.000456608772596534</v>
      </c>
      <c r="M101" s="12">
        <v>0.00483190037396029</v>
      </c>
      <c r="N101" s="12">
        <v>0.000536970939219521</v>
      </c>
      <c r="O101" s="12">
        <v>0.000131051857269829</v>
      </c>
      <c r="P101" s="12">
        <v>0.000492018202315135</v>
      </c>
      <c r="Q101" s="12">
        <v>-0.000760703529840654</v>
      </c>
      <c r="R101" s="12">
        <v>0.000797930008432903</v>
      </c>
      <c r="S101" s="12">
        <v>-0.000201837034010265</v>
      </c>
      <c r="T101" s="12">
        <v>0.000320056957303069</v>
      </c>
      <c r="U101" s="12">
        <v>0.00130442290227348</v>
      </c>
      <c r="V101" s="12">
        <v>0.000352940616400224</v>
      </c>
      <c r="W101" s="12">
        <v>0.000408057538441077</v>
      </c>
      <c r="X101" s="12">
        <v>3.03657458169937e-5</v>
      </c>
      <c r="Y101" s="12">
        <v>0.000644166696019433</v>
      </c>
      <c r="Z101" s="12">
        <v>-2.88124882962189e-5</v>
      </c>
      <c r="AA101" s="12">
        <v>0.000405936953180328</v>
      </c>
      <c r="AB101" s="12">
        <v>0.000119787227994281</v>
      </c>
      <c r="AC101" s="12">
        <v>-0.000605003620712232</v>
      </c>
      <c r="AD101" s="12">
        <v>0.000130244702225739</v>
      </c>
      <c r="AE101" s="12">
        <v>-5.92783568930082e-5</v>
      </c>
      <c r="AF101" s="12">
        <v>0.000283251444920896</v>
      </c>
      <c r="AG101" s="12">
        <v>-0.000212044701934343</v>
      </c>
      <c r="AH101" s="12">
        <v>0.00032096341180314</v>
      </c>
      <c r="AI101" s="12">
        <v>0.000134188999042748</v>
      </c>
      <c r="AJ101" s="12">
        <v>-9.64483112416507e-5</v>
      </c>
      <c r="AK101" s="12">
        <v>6.69260588131621e-5</v>
      </c>
      <c r="AL101" s="12">
        <v>0.000227052461961902</v>
      </c>
      <c r="AM101" s="12">
        <v>0.00038399540253993</v>
      </c>
      <c r="AN101" s="12">
        <v>0.000214359034068715</v>
      </c>
      <c r="AO101" s="12">
        <v>1.96469405825999e-5</v>
      </c>
    </row>
    <row r="102" spans="1:41">
      <c r="A102" s="11" t="s">
        <v>30</v>
      </c>
      <c r="B102" s="12">
        <v>0.000629619646500419</v>
      </c>
      <c r="C102" s="12">
        <v>0.000234305722188639</v>
      </c>
      <c r="D102" s="12">
        <v>0.000497519336467171</v>
      </c>
      <c r="E102" s="12">
        <v>0.000661177042496116</v>
      </c>
      <c r="F102" s="12">
        <v>0.000521606477929411</v>
      </c>
      <c r="G102" s="12">
        <v>0.000713652188403223</v>
      </c>
      <c r="H102" s="12">
        <v>0.00108405529275301</v>
      </c>
      <c r="I102" s="12">
        <v>0.000773297723830685</v>
      </c>
      <c r="J102" s="12">
        <v>0.000491869160636452</v>
      </c>
      <c r="K102" s="12">
        <v>0.000438023653536151</v>
      </c>
      <c r="L102" s="12">
        <v>0.000185060421879277</v>
      </c>
      <c r="M102" s="12">
        <v>0.000536970939219521</v>
      </c>
      <c r="N102" s="12">
        <v>0.00230982779563246</v>
      </c>
      <c r="O102" s="12">
        <v>0.000657108266727334</v>
      </c>
      <c r="P102" s="12">
        <v>0.0010834774593665</v>
      </c>
      <c r="Q102" s="12">
        <v>0.000772008491440078</v>
      </c>
      <c r="R102" s="12">
        <v>0.00165094698669822</v>
      </c>
      <c r="S102" s="12">
        <v>0.000707795899877639</v>
      </c>
      <c r="T102" s="12">
        <v>0.000839785351745</v>
      </c>
      <c r="U102" s="12">
        <v>0.00162089028863256</v>
      </c>
      <c r="V102" s="12">
        <v>0.000609928607744237</v>
      </c>
      <c r="W102" s="12">
        <v>0.00106632111687732</v>
      </c>
      <c r="X102" s="12">
        <v>0.000880929702493698</v>
      </c>
      <c r="Y102" s="12">
        <v>0.00117004423513197</v>
      </c>
      <c r="Z102" s="12">
        <v>0.000450440545415018</v>
      </c>
      <c r="AA102" s="12">
        <v>0.000637949548980532</v>
      </c>
      <c r="AB102" s="12">
        <v>0.000285653960348827</v>
      </c>
      <c r="AC102" s="12">
        <v>0.00054603557178188</v>
      </c>
      <c r="AD102" s="12">
        <v>0.000198582204963895</v>
      </c>
      <c r="AE102" s="12">
        <v>0.000575882590635317</v>
      </c>
      <c r="AF102" s="12">
        <v>0.000277532478359807</v>
      </c>
      <c r="AG102" s="12">
        <v>0.000638442785551423</v>
      </c>
      <c r="AH102" s="12">
        <v>0.000625940968173138</v>
      </c>
      <c r="AI102" s="12">
        <v>0.000921217408798376</v>
      </c>
      <c r="AJ102" s="12">
        <v>0.000823673903544699</v>
      </c>
      <c r="AK102" s="12">
        <v>0.000403841484402913</v>
      </c>
      <c r="AL102" s="12">
        <v>0.000673352559730194</v>
      </c>
      <c r="AM102" s="12">
        <v>0.00167759544178118</v>
      </c>
      <c r="AN102" s="12">
        <v>0.000765469587370128</v>
      </c>
      <c r="AO102" s="12">
        <v>0.000420579240380031</v>
      </c>
    </row>
    <row r="103" spans="1:41">
      <c r="A103" s="11" t="s">
        <v>32</v>
      </c>
      <c r="B103" s="12">
        <v>0.000714304927482324</v>
      </c>
      <c r="C103" s="12">
        <v>0.000256363896025517</v>
      </c>
      <c r="D103" s="12">
        <v>0.0001365916129094</v>
      </c>
      <c r="E103" s="12">
        <v>0.000642159035771398</v>
      </c>
      <c r="F103" s="12">
        <v>0.000590332916676164</v>
      </c>
      <c r="G103" s="12">
        <v>0.000608664093491536</v>
      </c>
      <c r="H103" s="12">
        <v>0.000829018205853903</v>
      </c>
      <c r="I103" s="12">
        <v>0.000773800951619961</v>
      </c>
      <c r="J103" s="12">
        <v>0.000674185514793505</v>
      </c>
      <c r="K103" s="12">
        <v>0.000502230836741498</v>
      </c>
      <c r="L103" s="12">
        <v>0.000208008632357003</v>
      </c>
      <c r="M103" s="12">
        <v>0.000131051857269829</v>
      </c>
      <c r="N103" s="12">
        <v>0.000657108266727334</v>
      </c>
      <c r="O103" s="12">
        <v>0.00312108667113482</v>
      </c>
      <c r="P103" s="12">
        <v>0.00122877748650107</v>
      </c>
      <c r="Q103" s="12">
        <v>0.00085936645744177</v>
      </c>
      <c r="R103" s="12">
        <v>0.001218297734616</v>
      </c>
      <c r="S103" s="12">
        <v>0.000472182581034203</v>
      </c>
      <c r="T103" s="12">
        <v>0.000950237310102562</v>
      </c>
      <c r="U103" s="12">
        <v>0.00150391111377894</v>
      </c>
      <c r="V103" s="12">
        <v>0.000755743410122165</v>
      </c>
      <c r="W103" s="12">
        <v>0.000786816619924527</v>
      </c>
      <c r="X103" s="12">
        <v>0.000990388910420583</v>
      </c>
      <c r="Y103" s="12">
        <v>0.000479694469991604</v>
      </c>
      <c r="Z103" s="12">
        <v>0.000454527062890882</v>
      </c>
      <c r="AA103" s="12">
        <v>0.000855349294197226</v>
      </c>
      <c r="AB103" s="12">
        <v>0.000526726344791878</v>
      </c>
      <c r="AC103" s="12">
        <v>0.00128796710331801</v>
      </c>
      <c r="AD103" s="12">
        <v>0.000284100626383126</v>
      </c>
      <c r="AE103" s="12">
        <v>0.00102754049872219</v>
      </c>
      <c r="AF103" s="12">
        <v>0.000250967271137991</v>
      </c>
      <c r="AG103" s="12">
        <v>0.000901356199425229</v>
      </c>
      <c r="AH103" s="12">
        <v>0.000691347854605719</v>
      </c>
      <c r="AI103" s="12">
        <v>0.00124446589937378</v>
      </c>
      <c r="AJ103" s="12">
        <v>0.00127288313205625</v>
      </c>
      <c r="AK103" s="12">
        <v>0.000848150544118072</v>
      </c>
      <c r="AL103" s="12">
        <v>0.000583672669890453</v>
      </c>
      <c r="AM103" s="12">
        <v>0.000661663527431784</v>
      </c>
      <c r="AN103" s="12">
        <v>0.000989682545194395</v>
      </c>
      <c r="AO103" s="12">
        <v>0.000329108877371951</v>
      </c>
    </row>
    <row r="104" spans="1:41">
      <c r="A104" s="11" t="s">
        <v>34</v>
      </c>
      <c r="B104" s="12">
        <v>0.000762292195432631</v>
      </c>
      <c r="C104" s="12">
        <v>0.000294499889306039</v>
      </c>
      <c r="D104" s="12">
        <v>0.000568278088737047</v>
      </c>
      <c r="E104" s="12">
        <v>0.00081887667424419</v>
      </c>
      <c r="F104" s="12">
        <v>0.000477033201019795</v>
      </c>
      <c r="G104" s="12">
        <v>0.000247706681562576</v>
      </c>
      <c r="H104" s="12">
        <v>0.00184389708500085</v>
      </c>
      <c r="I104" s="12">
        <v>0.000934216354646328</v>
      </c>
      <c r="J104" s="12">
        <v>0.000729933796186669</v>
      </c>
      <c r="K104" s="12">
        <v>0.00110242740566248</v>
      </c>
      <c r="L104" s="12">
        <v>0.00104291949131898</v>
      </c>
      <c r="M104" s="12">
        <v>0.000492018202315135</v>
      </c>
      <c r="N104" s="12">
        <v>0.0010834774593665</v>
      </c>
      <c r="O104" s="12">
        <v>0.00122877748650107</v>
      </c>
      <c r="P104" s="12">
        <v>0.00936673367711772</v>
      </c>
      <c r="Q104" s="12">
        <v>0.00164948105823604</v>
      </c>
      <c r="R104" s="12">
        <v>0.0023689592930899</v>
      </c>
      <c r="S104" s="12">
        <v>0.00111794605460176</v>
      </c>
      <c r="T104" s="12">
        <v>0.00159815716119634</v>
      </c>
      <c r="U104" s="12">
        <v>0.002342189310913</v>
      </c>
      <c r="V104" s="12">
        <v>0.000896152466858337</v>
      </c>
      <c r="W104" s="12">
        <v>0.00159575344071423</v>
      </c>
      <c r="X104" s="12">
        <v>0.00156037472737558</v>
      </c>
      <c r="Y104" s="12">
        <v>0.0016981993357695</v>
      </c>
      <c r="Z104" s="12">
        <v>9.90900606253665e-5</v>
      </c>
      <c r="AA104" s="12">
        <v>0.0014266897681264</v>
      </c>
      <c r="AB104" s="12">
        <v>0.000729726527054466</v>
      </c>
      <c r="AC104" s="12">
        <v>0.00139904436195987</v>
      </c>
      <c r="AD104" s="12">
        <v>0.000133627927160035</v>
      </c>
      <c r="AE104" s="12">
        <v>0.00103757469081382</v>
      </c>
      <c r="AF104" s="12">
        <v>0.000242301746856337</v>
      </c>
      <c r="AG104" s="12">
        <v>0.000874319717593205</v>
      </c>
      <c r="AH104" s="12">
        <v>-0.000362171839832087</v>
      </c>
      <c r="AI104" s="12">
        <v>0.000888483969416634</v>
      </c>
      <c r="AJ104" s="12">
        <v>0.00165290890139209</v>
      </c>
      <c r="AK104" s="12">
        <v>0.00151660417401395</v>
      </c>
      <c r="AL104" s="12">
        <v>0.00066270425668288</v>
      </c>
      <c r="AM104" s="12">
        <v>0.000752003346924876</v>
      </c>
      <c r="AN104" s="12">
        <v>0.00110398593333556</v>
      </c>
      <c r="AO104" s="12">
        <v>0.000938843505194933</v>
      </c>
    </row>
    <row r="105" spans="1:41">
      <c r="A105" s="11" t="s">
        <v>37</v>
      </c>
      <c r="B105" s="12">
        <v>0.00143195812779218</v>
      </c>
      <c r="C105" s="12">
        <v>0.000946860334206112</v>
      </c>
      <c r="D105" s="12">
        <v>0.00118129668395363</v>
      </c>
      <c r="E105" s="12">
        <v>-0.000478904542436569</v>
      </c>
      <c r="F105" s="12">
        <v>0.00124644224822624</v>
      </c>
      <c r="G105" s="12">
        <v>0.00111866507023188</v>
      </c>
      <c r="H105" s="12">
        <v>0.00125106421523659</v>
      </c>
      <c r="I105" s="12">
        <v>0.00036314901569159</v>
      </c>
      <c r="J105" s="12">
        <v>0.000531789970663903</v>
      </c>
      <c r="K105" s="12">
        <v>0.00180527464716129</v>
      </c>
      <c r="L105" s="12">
        <v>0.000567347995828346</v>
      </c>
      <c r="M105" s="12">
        <v>-0.000760703529840654</v>
      </c>
      <c r="N105" s="12">
        <v>0.000772008491440078</v>
      </c>
      <c r="O105" s="12">
        <v>0.00085936645744177</v>
      </c>
      <c r="P105" s="12">
        <v>0.00164948105823604</v>
      </c>
      <c r="Q105" s="12">
        <v>0.0179208060570502</v>
      </c>
      <c r="R105" s="12">
        <v>0.000755342417899735</v>
      </c>
      <c r="S105" s="12">
        <v>0.00103552953857642</v>
      </c>
      <c r="T105" s="12">
        <v>0.000734572741591836</v>
      </c>
      <c r="U105" s="12">
        <v>0.00153204337583682</v>
      </c>
      <c r="V105" s="12">
        <v>6.04673977143348e-5</v>
      </c>
      <c r="W105" s="12">
        <v>0.00035401221388011</v>
      </c>
      <c r="X105" s="12">
        <v>-0.000608212134715727</v>
      </c>
      <c r="Y105" s="12">
        <v>-0.00205948477080869</v>
      </c>
      <c r="Z105" s="12">
        <v>0.000236289695331702</v>
      </c>
      <c r="AA105" s="12">
        <v>0.000433290856393709</v>
      </c>
      <c r="AB105" s="12">
        <v>-0.000537013698610312</v>
      </c>
      <c r="AC105" s="12">
        <v>-0.0015528337285841</v>
      </c>
      <c r="AD105" s="12">
        <v>0.00058604537670575</v>
      </c>
      <c r="AE105" s="12">
        <v>0.000498424076031438</v>
      </c>
      <c r="AF105" s="12">
        <v>0.000624140468922072</v>
      </c>
      <c r="AG105" s="12">
        <v>0.00139966687232432</v>
      </c>
      <c r="AH105" s="12">
        <v>0.00263128105530953</v>
      </c>
      <c r="AI105" s="12">
        <v>0.000760443636704711</v>
      </c>
      <c r="AJ105" s="12">
        <v>0.000414530089166232</v>
      </c>
      <c r="AK105" s="12">
        <v>0.000851683729351463</v>
      </c>
      <c r="AL105" s="12">
        <v>3.02790580838786e-5</v>
      </c>
      <c r="AM105" s="12">
        <v>0.000258803465750036</v>
      </c>
      <c r="AN105" s="12">
        <v>0.000787028773534137</v>
      </c>
      <c r="AO105" s="12">
        <v>0.000102008497353776</v>
      </c>
    </row>
    <row r="106" spans="1:41">
      <c r="A106" s="11" t="s">
        <v>39</v>
      </c>
      <c r="B106" s="12">
        <v>0.000719170999529596</v>
      </c>
      <c r="C106" s="12">
        <v>0.000154094859801697</v>
      </c>
      <c r="D106" s="12">
        <v>2.20596067621599e-5</v>
      </c>
      <c r="E106" s="12">
        <v>0.00131888130712497</v>
      </c>
      <c r="F106" s="12">
        <v>0.000566044752882555</v>
      </c>
      <c r="G106" s="12">
        <v>0.00116621516787966</v>
      </c>
      <c r="H106" s="12">
        <v>0.00127840912194702</v>
      </c>
      <c r="I106" s="12">
        <v>0.00158950764295616</v>
      </c>
      <c r="J106" s="12">
        <v>0.000668561015118105</v>
      </c>
      <c r="K106" s="12">
        <v>0.000396334336388624</v>
      </c>
      <c r="L106" s="12">
        <v>0.00204893186984305</v>
      </c>
      <c r="M106" s="12">
        <v>0.000797930008432903</v>
      </c>
      <c r="N106" s="12">
        <v>0.00165094698669822</v>
      </c>
      <c r="O106" s="12">
        <v>0.001218297734616</v>
      </c>
      <c r="P106" s="12">
        <v>0.0023689592930899</v>
      </c>
      <c r="Q106" s="12">
        <v>0.000755342417899735</v>
      </c>
      <c r="R106" s="12">
        <v>0.0142984049137515</v>
      </c>
      <c r="S106" s="12">
        <v>0.00116921226714159</v>
      </c>
      <c r="T106" s="12">
        <v>0.00179652860351578</v>
      </c>
      <c r="U106" s="12">
        <v>0.00349140358542942</v>
      </c>
      <c r="V106" s="12">
        <v>0.00169578796959062</v>
      </c>
      <c r="W106" s="12">
        <v>0.00182782006544007</v>
      </c>
      <c r="X106" s="12">
        <v>0.00152622155781213</v>
      </c>
      <c r="Y106" s="12">
        <v>0.00179474406861562</v>
      </c>
      <c r="Z106" s="12">
        <v>0.000142774345858338</v>
      </c>
      <c r="AA106" s="12">
        <v>0.00151015943724796</v>
      </c>
      <c r="AB106" s="12">
        <v>0.00159168568196047</v>
      </c>
      <c r="AC106" s="12">
        <v>0.00164509466010779</v>
      </c>
      <c r="AD106" s="12">
        <v>-3.8926859567251e-5</v>
      </c>
      <c r="AE106" s="12">
        <v>0.00143775122286193</v>
      </c>
      <c r="AF106" s="12">
        <v>0.000393363231004263</v>
      </c>
      <c r="AG106" s="12">
        <v>0.00157740587683507</v>
      </c>
      <c r="AH106" s="12">
        <v>-3.11139845046768e-5</v>
      </c>
      <c r="AI106" s="12">
        <v>0.00264411233609535</v>
      </c>
      <c r="AJ106" s="12">
        <v>0.00105159444978638</v>
      </c>
      <c r="AK106" s="12">
        <v>0.000637005765041956</v>
      </c>
      <c r="AL106" s="12">
        <v>0.00066760168332159</v>
      </c>
      <c r="AM106" s="12">
        <v>0.00268352148345333</v>
      </c>
      <c r="AN106" s="12">
        <v>0.00220575342819557</v>
      </c>
      <c r="AO106" s="12">
        <v>0.000510311979982773</v>
      </c>
    </row>
    <row r="107" spans="1:41">
      <c r="A107" s="11" t="s">
        <v>40</v>
      </c>
      <c r="B107" s="12">
        <v>0.000670336869852488</v>
      </c>
      <c r="C107" s="12">
        <v>0.00012955837479867</v>
      </c>
      <c r="D107" s="12">
        <v>0.000814840649782906</v>
      </c>
      <c r="E107" s="12">
        <v>0.000530642896110437</v>
      </c>
      <c r="F107" s="12">
        <v>0.000503919709311846</v>
      </c>
      <c r="G107" s="12">
        <v>1.45322259365803e-5</v>
      </c>
      <c r="H107" s="12">
        <v>0.000635332211053893</v>
      </c>
      <c r="I107" s="12">
        <v>-0.000281981236610707</v>
      </c>
      <c r="J107" s="12">
        <v>0.000302634898649854</v>
      </c>
      <c r="K107" s="12">
        <v>0.000183646385766443</v>
      </c>
      <c r="L107" s="12">
        <v>-0.000445384541056529</v>
      </c>
      <c r="M107" s="12">
        <v>-0.000201837034010265</v>
      </c>
      <c r="N107" s="12">
        <v>0.000707795899877639</v>
      </c>
      <c r="O107" s="12">
        <v>0.000472182581034203</v>
      </c>
      <c r="P107" s="12">
        <v>0.00111794605460176</v>
      </c>
      <c r="Q107" s="12">
        <v>0.00103552953857642</v>
      </c>
      <c r="R107" s="12">
        <v>0.00116921226714159</v>
      </c>
      <c r="S107" s="12">
        <v>0.0054340767496654</v>
      </c>
      <c r="T107" s="12">
        <v>0.0011650449949682</v>
      </c>
      <c r="U107" s="12">
        <v>-0.000560093652729618</v>
      </c>
      <c r="V107" s="12">
        <v>0.000312638593714498</v>
      </c>
      <c r="W107" s="12">
        <v>0.000506410302049252</v>
      </c>
      <c r="X107" s="12">
        <v>0.00063872219902638</v>
      </c>
      <c r="Y107" s="12">
        <v>0.000827097451764657</v>
      </c>
      <c r="Z107" s="12">
        <v>0.000251362515597868</v>
      </c>
      <c r="AA107" s="12">
        <v>0.000657961910666409</v>
      </c>
      <c r="AB107" s="12">
        <v>-0.000375629543522921</v>
      </c>
      <c r="AC107" s="12">
        <v>0.000520843096104239</v>
      </c>
      <c r="AD107" s="12">
        <v>-1.02118051551843e-5</v>
      </c>
      <c r="AE107" s="12">
        <v>0.000405234326632131</v>
      </c>
      <c r="AF107" s="12">
        <v>-3.5693553410003e-5</v>
      </c>
      <c r="AG107" s="12">
        <v>0.000562382713669064</v>
      </c>
      <c r="AH107" s="12">
        <v>0.000385647171779346</v>
      </c>
      <c r="AI107" s="12">
        <v>0.000413900173357014</v>
      </c>
      <c r="AJ107" s="12">
        <v>0.00113370515116192</v>
      </c>
      <c r="AK107" s="12">
        <v>0.000508295792414205</v>
      </c>
      <c r="AL107" s="12">
        <v>0.0012054005550366</v>
      </c>
      <c r="AM107" s="12">
        <v>0.00116362461876524</v>
      </c>
      <c r="AN107" s="12">
        <v>0.000370816953598039</v>
      </c>
      <c r="AO107" s="12">
        <v>0.000723871886892702</v>
      </c>
    </row>
    <row r="108" spans="1:41">
      <c r="A108" s="11" t="s">
        <v>41</v>
      </c>
      <c r="B108" s="12">
        <v>0.000684739231465199</v>
      </c>
      <c r="C108" s="12">
        <v>0.000198040507330278</v>
      </c>
      <c r="D108" s="12">
        <v>0.000358252363626352</v>
      </c>
      <c r="E108" s="12">
        <v>0.000775401486070887</v>
      </c>
      <c r="F108" s="12">
        <v>0.000747623307102557</v>
      </c>
      <c r="G108" s="12">
        <v>0.000550758456304003</v>
      </c>
      <c r="H108" s="12">
        <v>0.00114679816853539</v>
      </c>
      <c r="I108" s="12">
        <v>0.000512535673327605</v>
      </c>
      <c r="J108" s="12">
        <v>0.000581038275958478</v>
      </c>
      <c r="K108" s="12">
        <v>0.000423794789916377</v>
      </c>
      <c r="L108" s="12">
        <v>0.000149273604190705</v>
      </c>
      <c r="M108" s="12">
        <v>0.000320056957303069</v>
      </c>
      <c r="N108" s="12">
        <v>0.000839785351745</v>
      </c>
      <c r="O108" s="12">
        <v>0.000950237310102562</v>
      </c>
      <c r="P108" s="12">
        <v>0.00159815716119634</v>
      </c>
      <c r="Q108" s="12">
        <v>0.000734572741591836</v>
      </c>
      <c r="R108" s="12">
        <v>0.00179652860351578</v>
      </c>
      <c r="S108" s="12">
        <v>0.0011650449949682</v>
      </c>
      <c r="T108" s="12">
        <v>0.00511605011405166</v>
      </c>
      <c r="U108" s="12">
        <v>0.00137482428927316</v>
      </c>
      <c r="V108" s="12">
        <v>0.00102487400049297</v>
      </c>
      <c r="W108" s="12">
        <v>0.00112472336485578</v>
      </c>
      <c r="X108" s="12">
        <v>0.00106833190027923</v>
      </c>
      <c r="Y108" s="12">
        <v>0.0016161070334301</v>
      </c>
      <c r="Z108" s="12">
        <v>0.000562071933200119</v>
      </c>
      <c r="AA108" s="12">
        <v>0.00114465902883465</v>
      </c>
      <c r="AB108" s="12">
        <v>0.000135644023350749</v>
      </c>
      <c r="AC108" s="12">
        <v>0.00194557147586821</v>
      </c>
      <c r="AD108" s="12">
        <v>0.000432976585433298</v>
      </c>
      <c r="AE108" s="12">
        <v>0.000728359896636587</v>
      </c>
      <c r="AF108" s="12">
        <v>0.000457112115780846</v>
      </c>
      <c r="AG108" s="12">
        <v>0.00132671064771539</v>
      </c>
      <c r="AH108" s="12">
        <v>0.00122112973834146</v>
      </c>
      <c r="AI108" s="12">
        <v>0.0011413900930871</v>
      </c>
      <c r="AJ108" s="12">
        <v>0.00201009377544867</v>
      </c>
      <c r="AK108" s="12">
        <v>0.000452715468575884</v>
      </c>
      <c r="AL108" s="12">
        <v>0.00121124118613714</v>
      </c>
      <c r="AM108" s="12">
        <v>0.00206361051272762</v>
      </c>
      <c r="AN108" s="12">
        <v>0.00105039282033829</v>
      </c>
      <c r="AO108" s="12">
        <v>0.00146677757771331</v>
      </c>
    </row>
    <row r="109" spans="1:41">
      <c r="A109" s="11" t="s">
        <v>44</v>
      </c>
      <c r="B109" s="12">
        <v>0.00129120775258408</v>
      </c>
      <c r="C109" s="12">
        <v>0.00135378667347895</v>
      </c>
      <c r="D109" s="12">
        <v>0.00132653619270325</v>
      </c>
      <c r="E109" s="12">
        <v>0.00218279117140271</v>
      </c>
      <c r="F109" s="12">
        <v>0.00234731473821075</v>
      </c>
      <c r="G109" s="12">
        <v>0.00184790682290392</v>
      </c>
      <c r="H109" s="12">
        <v>0.00222634448981685</v>
      </c>
      <c r="I109" s="12">
        <v>0.00317532640655001</v>
      </c>
      <c r="J109" s="12">
        <v>0.00185753058764252</v>
      </c>
      <c r="K109" s="12">
        <v>0.00265990186689263</v>
      </c>
      <c r="L109" s="12">
        <v>0.00203219379604761</v>
      </c>
      <c r="M109" s="12">
        <v>0.00130442290227348</v>
      </c>
      <c r="N109" s="12">
        <v>0.00162089028863256</v>
      </c>
      <c r="O109" s="12">
        <v>0.00150391111377894</v>
      </c>
      <c r="P109" s="12">
        <v>0.002342189310913</v>
      </c>
      <c r="Q109" s="12">
        <v>0.00153204337583682</v>
      </c>
      <c r="R109" s="12">
        <v>0.00349140358542942</v>
      </c>
      <c r="S109" s="12">
        <v>-0.000560093652729618</v>
      </c>
      <c r="T109" s="12">
        <v>0.00137482428927316</v>
      </c>
      <c r="U109" s="12">
        <v>0.0240061086255879</v>
      </c>
      <c r="V109" s="12">
        <v>0.00201002634109612</v>
      </c>
      <c r="W109" s="12">
        <v>0.00151006578253834</v>
      </c>
      <c r="X109" s="12">
        <v>0.00194076810333545</v>
      </c>
      <c r="Y109" s="12">
        <v>0.00135960150813437</v>
      </c>
      <c r="Z109" s="12">
        <v>0.000271187677373676</v>
      </c>
      <c r="AA109" s="12">
        <v>0.00229893412593907</v>
      </c>
      <c r="AB109" s="12">
        <v>0.00206850276559153</v>
      </c>
      <c r="AC109" s="12">
        <v>0.00116974309052335</v>
      </c>
      <c r="AD109" s="12">
        <v>0.000739040962363195</v>
      </c>
      <c r="AE109" s="12">
        <v>0.00128890706184378</v>
      </c>
      <c r="AF109" s="12">
        <v>0.00105237997591838</v>
      </c>
      <c r="AG109" s="12">
        <v>0.00182216233709032</v>
      </c>
      <c r="AH109" s="12">
        <v>0.00154020409299371</v>
      </c>
      <c r="AI109" s="12">
        <v>0.0025949300471462</v>
      </c>
      <c r="AJ109" s="12">
        <v>0.00339842660271602</v>
      </c>
      <c r="AK109" s="12">
        <v>0.00212275862497374</v>
      </c>
      <c r="AL109" s="12">
        <v>0.00166192601669696</v>
      </c>
      <c r="AM109" s="12">
        <v>0.0019672160022474</v>
      </c>
      <c r="AN109" s="12">
        <v>0.00248264913142492</v>
      </c>
      <c r="AO109" s="12">
        <v>0.000305984069014807</v>
      </c>
    </row>
    <row r="110" spans="1:41">
      <c r="A110" s="11" t="s">
        <v>49</v>
      </c>
      <c r="B110" s="12">
        <v>0.000579028394606244</v>
      </c>
      <c r="C110" s="12">
        <v>0.000371663252519489</v>
      </c>
      <c r="D110" s="12">
        <v>0.000321247706992776</v>
      </c>
      <c r="E110" s="12">
        <v>0.000480017868221678</v>
      </c>
      <c r="F110" s="12">
        <v>0.000280716927016705</v>
      </c>
      <c r="G110" s="12">
        <v>0.00110772636029758</v>
      </c>
      <c r="H110" s="12">
        <v>0.00105726853715244</v>
      </c>
      <c r="I110" s="12">
        <v>0.00117037063160434</v>
      </c>
      <c r="J110" s="12">
        <v>0.000592297361741961</v>
      </c>
      <c r="K110" s="12">
        <v>0.000319184420357697</v>
      </c>
      <c r="L110" s="12">
        <v>0.00105582228844738</v>
      </c>
      <c r="M110" s="12">
        <v>0.000352940616400224</v>
      </c>
      <c r="N110" s="12">
        <v>0.000609928607744237</v>
      </c>
      <c r="O110" s="12">
        <v>0.000755743410122165</v>
      </c>
      <c r="P110" s="12">
        <v>0.000896152466858337</v>
      </c>
      <c r="Q110" s="12">
        <v>6.04673977143348e-5</v>
      </c>
      <c r="R110" s="12">
        <v>0.00169578796959062</v>
      </c>
      <c r="S110" s="12">
        <v>0.000312638593714498</v>
      </c>
      <c r="T110" s="12">
        <v>0.00102487400049297</v>
      </c>
      <c r="U110" s="12">
        <v>0.00201002634109612</v>
      </c>
      <c r="V110" s="12">
        <v>0.00673268849875018</v>
      </c>
      <c r="W110" s="12">
        <v>0.00119061987387667</v>
      </c>
      <c r="X110" s="12">
        <v>0.000924795420312132</v>
      </c>
      <c r="Y110" s="12">
        <v>0.00222916647279302</v>
      </c>
      <c r="Z110" s="12">
        <v>0.000313680638483501</v>
      </c>
      <c r="AA110" s="12">
        <v>0.000802106817036817</v>
      </c>
      <c r="AB110" s="12">
        <v>0.000420009748735212</v>
      </c>
      <c r="AC110" s="12">
        <v>0.00146508440115637</v>
      </c>
      <c r="AD110" s="12">
        <v>0.00048381488335437</v>
      </c>
      <c r="AE110" s="12">
        <v>0.00139531937779818</v>
      </c>
      <c r="AF110" s="12">
        <v>0.000258788050255758</v>
      </c>
      <c r="AG110" s="12">
        <v>0.00103332959706622</v>
      </c>
      <c r="AH110" s="12">
        <v>0.000574367930126624</v>
      </c>
      <c r="AI110" s="12">
        <v>0.00144830368432744</v>
      </c>
      <c r="AJ110" s="12">
        <v>0.00111095849921977</v>
      </c>
      <c r="AK110" s="12">
        <v>0.000742880475709453</v>
      </c>
      <c r="AL110" s="12">
        <v>0.00123677167525704</v>
      </c>
      <c r="AM110" s="12">
        <v>0.000930006921846425</v>
      </c>
      <c r="AN110" s="12">
        <v>0.00104535167574462</v>
      </c>
      <c r="AO110" s="12">
        <v>0.00125915241389443</v>
      </c>
    </row>
    <row r="111" spans="1:41">
      <c r="A111" s="11" t="s">
        <v>53</v>
      </c>
      <c r="B111" s="12">
        <v>0.000371040162008126</v>
      </c>
      <c r="C111" s="12">
        <v>0.00018469023515439</v>
      </c>
      <c r="D111" s="12">
        <v>6.34239739396209e-5</v>
      </c>
      <c r="E111" s="12">
        <v>0.000389630363903552</v>
      </c>
      <c r="F111" s="12">
        <v>0.00010255806078895</v>
      </c>
      <c r="G111" s="12">
        <v>0.00100462670961975</v>
      </c>
      <c r="H111" s="12">
        <v>0.00113079016164922</v>
      </c>
      <c r="I111" s="12">
        <v>0.00114402606678214</v>
      </c>
      <c r="J111" s="12">
        <v>0.000438621263206469</v>
      </c>
      <c r="K111" s="12">
        <v>-9.07097175447014e-5</v>
      </c>
      <c r="L111" s="12">
        <v>0.0005561599820732</v>
      </c>
      <c r="M111" s="12">
        <v>0.000408057538441077</v>
      </c>
      <c r="N111" s="12">
        <v>0.00106632111687732</v>
      </c>
      <c r="O111" s="12">
        <v>0.000786816619924527</v>
      </c>
      <c r="P111" s="12">
        <v>0.00159575344071423</v>
      </c>
      <c r="Q111" s="12">
        <v>0.00035401221388011</v>
      </c>
      <c r="R111" s="12">
        <v>0.00182782006544007</v>
      </c>
      <c r="S111" s="12">
        <v>0.000506410302049252</v>
      </c>
      <c r="T111" s="12">
        <v>0.00112472336485578</v>
      </c>
      <c r="U111" s="12">
        <v>0.00151006578253834</v>
      </c>
      <c r="V111" s="12">
        <v>0.00119061987387667</v>
      </c>
      <c r="W111" s="12">
        <v>0.00568999893659568</v>
      </c>
      <c r="X111" s="12">
        <v>0.00104948011063506</v>
      </c>
      <c r="Y111" s="12">
        <v>0.00335402712122617</v>
      </c>
      <c r="Z111" s="12">
        <v>0.000559758618377421</v>
      </c>
      <c r="AA111" s="12">
        <v>0.000898085058675609</v>
      </c>
      <c r="AB111" s="12">
        <v>0.00100338104072883</v>
      </c>
      <c r="AC111" s="12">
        <v>0.00179865202016447</v>
      </c>
      <c r="AD111" s="12">
        <v>0.000148558024437344</v>
      </c>
      <c r="AE111" s="12">
        <v>0.000735820157587413</v>
      </c>
      <c r="AF111" s="12">
        <v>0.000273830354344105</v>
      </c>
      <c r="AG111" s="12">
        <v>0.000190253392829618</v>
      </c>
      <c r="AH111" s="12">
        <v>0.000489190771969913</v>
      </c>
      <c r="AI111" s="12">
        <v>0.00118348491654681</v>
      </c>
      <c r="AJ111" s="12">
        <v>0.000598266700180745</v>
      </c>
      <c r="AK111" s="12">
        <v>0.000505990097403556</v>
      </c>
      <c r="AL111" s="12">
        <v>0.000487931140771634</v>
      </c>
      <c r="AM111" s="12">
        <v>0.00216514264634759</v>
      </c>
      <c r="AN111" s="12">
        <v>0.00124667711685636</v>
      </c>
      <c r="AO111" s="12">
        <v>0.000871554980515812</v>
      </c>
    </row>
    <row r="112" spans="1:41">
      <c r="A112" s="11" t="s">
        <v>57</v>
      </c>
      <c r="B112" s="12">
        <v>0.000451622363663848</v>
      </c>
      <c r="C112" s="12">
        <v>-7.75348085743701e-6</v>
      </c>
      <c r="D112" s="12">
        <v>-5.37577459287322e-5</v>
      </c>
      <c r="E112" s="12">
        <v>0.000967254704107026</v>
      </c>
      <c r="F112" s="12">
        <v>0.000227223321915564</v>
      </c>
      <c r="G112" s="12">
        <v>0.000118945102045311</v>
      </c>
      <c r="H112" s="12">
        <v>0.000715386907489103</v>
      </c>
      <c r="I112" s="12">
        <v>0.00100072541460454</v>
      </c>
      <c r="J112" s="12">
        <v>0.000651923635244131</v>
      </c>
      <c r="K112" s="12">
        <v>0.000677989327213419</v>
      </c>
      <c r="L112" s="12">
        <v>-0.000196484042654628</v>
      </c>
      <c r="M112" s="12">
        <v>3.03657458169937e-5</v>
      </c>
      <c r="N112" s="12">
        <v>0.000880929702493698</v>
      </c>
      <c r="O112" s="12">
        <v>0.000990388910420583</v>
      </c>
      <c r="P112" s="12">
        <v>0.00156037472737558</v>
      </c>
      <c r="Q112" s="12">
        <v>-0.000608212134715727</v>
      </c>
      <c r="R112" s="12">
        <v>0.00152622155781213</v>
      </c>
      <c r="S112" s="12">
        <v>0.00063872219902638</v>
      </c>
      <c r="T112" s="12">
        <v>0.00106833190027923</v>
      </c>
      <c r="U112" s="12">
        <v>0.00194076810333545</v>
      </c>
      <c r="V112" s="12">
        <v>0.000924795420312132</v>
      </c>
      <c r="W112" s="12">
        <v>0.00104948011063506</v>
      </c>
      <c r="X112" s="12">
        <v>0.00673198349129303</v>
      </c>
      <c r="Y112" s="12">
        <v>0.00160652866362775</v>
      </c>
      <c r="Z112" s="12">
        <v>0.000460788679824217</v>
      </c>
      <c r="AA112" s="12">
        <v>0.0010054735227213</v>
      </c>
      <c r="AB112" s="12">
        <v>0.00059795431262247</v>
      </c>
      <c r="AC112" s="12">
        <v>0.00296964005817241</v>
      </c>
      <c r="AD112" s="12">
        <v>0.000122347719977579</v>
      </c>
      <c r="AE112" s="12">
        <v>0.00120287646015777</v>
      </c>
      <c r="AF112" s="12">
        <v>0.000315445131708054</v>
      </c>
      <c r="AG112" s="12">
        <v>0.00143280695516555</v>
      </c>
      <c r="AH112" s="12">
        <v>0.00118450143627523</v>
      </c>
      <c r="AI112" s="12">
        <v>0.00148967154257888</v>
      </c>
      <c r="AJ112" s="12">
        <v>0.00203169095897523</v>
      </c>
      <c r="AK112" s="12">
        <v>0.00115590305190447</v>
      </c>
      <c r="AL112" s="12">
        <v>0.00103905869791664</v>
      </c>
      <c r="AM112" s="12">
        <v>0.00192639614144903</v>
      </c>
      <c r="AN112" s="12">
        <v>0.00135780434237406</v>
      </c>
      <c r="AO112" s="12">
        <v>0.00104694759269426</v>
      </c>
    </row>
    <row r="113" spans="1:41">
      <c r="A113" s="11" t="s">
        <v>61</v>
      </c>
      <c r="B113" s="12">
        <v>0.000489537496390773</v>
      </c>
      <c r="C113" s="12">
        <v>7.41250003465041e-5</v>
      </c>
      <c r="D113" s="12">
        <v>0.000597472602985498</v>
      </c>
      <c r="E113" s="12">
        <v>0.00182090055627504</v>
      </c>
      <c r="F113" s="12">
        <v>0.000277015162083766</v>
      </c>
      <c r="G113" s="12">
        <v>0.000698082040696316</v>
      </c>
      <c r="H113" s="12">
        <v>0.00203650150285113</v>
      </c>
      <c r="I113" s="12">
        <v>0.00111061096319952</v>
      </c>
      <c r="J113" s="12">
        <v>0.000170662594500716</v>
      </c>
      <c r="K113" s="12">
        <v>-0.000225651102618083</v>
      </c>
      <c r="L113" s="12">
        <v>0.00158545329304913</v>
      </c>
      <c r="M113" s="12">
        <v>0.000644166696019433</v>
      </c>
      <c r="N113" s="12">
        <v>0.00117004423513197</v>
      </c>
      <c r="O113" s="12">
        <v>0.000479694469991604</v>
      </c>
      <c r="P113" s="12">
        <v>0.0016981993357695</v>
      </c>
      <c r="Q113" s="12">
        <v>-0.00205948477080869</v>
      </c>
      <c r="R113" s="12">
        <v>0.00179474406861562</v>
      </c>
      <c r="S113" s="12">
        <v>0.000827097451764657</v>
      </c>
      <c r="T113" s="12">
        <v>0.0016161070334301</v>
      </c>
      <c r="U113" s="12">
        <v>0.00135960150813437</v>
      </c>
      <c r="V113" s="12">
        <v>0.00222916647279302</v>
      </c>
      <c r="W113" s="12">
        <v>0.00335402712122617</v>
      </c>
      <c r="X113" s="12">
        <v>0.00160652866362775</v>
      </c>
      <c r="Y113" s="12">
        <v>0.0252031246151533</v>
      </c>
      <c r="Z113" s="12">
        <v>0.000811476762188229</v>
      </c>
      <c r="AA113" s="12">
        <v>0.00157232406951714</v>
      </c>
      <c r="AB113" s="12">
        <v>0.00153048081572943</v>
      </c>
      <c r="AC113" s="12">
        <v>0.00530493120046585</v>
      </c>
      <c r="AD113" s="12">
        <v>0.000237788916763181</v>
      </c>
      <c r="AE113" s="12">
        <v>0.00126407507347914</v>
      </c>
      <c r="AF113" s="12">
        <v>-5.89279582215951e-5</v>
      </c>
      <c r="AG113" s="12">
        <v>0.000209387864897145</v>
      </c>
      <c r="AH113" s="12">
        <v>0.0022895626067517</v>
      </c>
      <c r="AI113" s="12">
        <v>0.00174196719132638</v>
      </c>
      <c r="AJ113" s="12">
        <v>0.00212802193491994</v>
      </c>
      <c r="AK113" s="12">
        <v>0.000692528207696178</v>
      </c>
      <c r="AL113" s="12">
        <v>0.00257816376006994</v>
      </c>
      <c r="AM113" s="12">
        <v>0.00444950279991858</v>
      </c>
      <c r="AN113" s="12">
        <v>0.000597663236078743</v>
      </c>
      <c r="AO113" s="12">
        <v>0.00229054746924588</v>
      </c>
    </row>
    <row r="114" spans="1:41">
      <c r="A114" s="11" t="s">
        <v>63</v>
      </c>
      <c r="B114" s="12">
        <v>0.000622928190809138</v>
      </c>
      <c r="C114" s="12">
        <v>0.000382501947784423</v>
      </c>
      <c r="D114" s="12">
        <v>-8.36601142131239e-5</v>
      </c>
      <c r="E114" s="12">
        <v>2.90931635696802e-5</v>
      </c>
      <c r="F114" s="12">
        <v>0.000268980514448667</v>
      </c>
      <c r="G114" s="12">
        <v>0.000520328057454627</v>
      </c>
      <c r="H114" s="12">
        <v>2.04380732962868e-5</v>
      </c>
      <c r="I114" s="12">
        <v>0.000301280322235774</v>
      </c>
      <c r="J114" s="12">
        <v>0.000459696866696442</v>
      </c>
      <c r="K114" s="12">
        <v>0.000346365398439312</v>
      </c>
      <c r="L114" s="12">
        <v>-0.00058276377774269</v>
      </c>
      <c r="M114" s="12">
        <v>-2.88124882962189e-5</v>
      </c>
      <c r="N114" s="12">
        <v>0.000450440545415018</v>
      </c>
      <c r="O114" s="12">
        <v>0.000454527062890882</v>
      </c>
      <c r="P114" s="12">
        <v>9.90900606253665e-5</v>
      </c>
      <c r="Q114" s="12">
        <v>0.000236289695331702</v>
      </c>
      <c r="R114" s="12">
        <v>0.000142774345858338</v>
      </c>
      <c r="S114" s="12">
        <v>0.000251362515597868</v>
      </c>
      <c r="T114" s="12">
        <v>0.000562071933200119</v>
      </c>
      <c r="U114" s="12">
        <v>0.000271187677373676</v>
      </c>
      <c r="V114" s="12">
        <v>0.000313680638483501</v>
      </c>
      <c r="W114" s="12">
        <v>0.000559758618377421</v>
      </c>
      <c r="X114" s="12">
        <v>0.000460788679824217</v>
      </c>
      <c r="Y114" s="12">
        <v>0.000811476762188229</v>
      </c>
      <c r="Z114" s="12">
        <v>0.00240446436889718</v>
      </c>
      <c r="AA114" s="12">
        <v>0.000326931953988823</v>
      </c>
      <c r="AB114" s="12">
        <v>4.80948450461675e-5</v>
      </c>
      <c r="AC114" s="12">
        <v>0.0016383929226532</v>
      </c>
      <c r="AD114" s="12">
        <v>0.000498140223546956</v>
      </c>
      <c r="AE114" s="12">
        <v>0.000416949380866733</v>
      </c>
      <c r="AF114" s="12">
        <v>0.000627799978902293</v>
      </c>
      <c r="AG114" s="12">
        <v>0.000366302888300506</v>
      </c>
      <c r="AH114" s="12">
        <v>0.000785290229628256</v>
      </c>
      <c r="AI114" s="12">
        <v>0.00088071237967199</v>
      </c>
      <c r="AJ114" s="12">
        <v>0.000215111612501642</v>
      </c>
      <c r="AK114" s="12">
        <v>0.000339308299105752</v>
      </c>
      <c r="AL114" s="12">
        <v>0.000834269188408057</v>
      </c>
      <c r="AM114" s="12">
        <v>0.00144956411846718</v>
      </c>
      <c r="AN114" s="12">
        <v>0.000354223262653338</v>
      </c>
      <c r="AO114" s="12">
        <v>0.000851438491445046</v>
      </c>
    </row>
    <row r="115" spans="1:41">
      <c r="A115" s="11" t="s">
        <v>66</v>
      </c>
      <c r="B115" s="12">
        <v>0.000584609283580302</v>
      </c>
      <c r="C115" s="12">
        <v>0.000390975087618902</v>
      </c>
      <c r="D115" s="12">
        <v>0.000458038526177303</v>
      </c>
      <c r="E115" s="12">
        <v>0.000830402405152275</v>
      </c>
      <c r="F115" s="12">
        <v>0.000680120803811835</v>
      </c>
      <c r="G115" s="12">
        <v>0.000427442461162156</v>
      </c>
      <c r="H115" s="12">
        <v>0.000996063995329288</v>
      </c>
      <c r="I115" s="12">
        <v>0.000843402278228066</v>
      </c>
      <c r="J115" s="12">
        <v>0.000506563360062929</v>
      </c>
      <c r="K115" s="12">
        <v>0.000776727001384385</v>
      </c>
      <c r="L115" s="12">
        <v>0.00035167535605539</v>
      </c>
      <c r="M115" s="12">
        <v>0.000405936953180328</v>
      </c>
      <c r="N115" s="12">
        <v>0.000637949548980532</v>
      </c>
      <c r="O115" s="12">
        <v>0.000855349294197226</v>
      </c>
      <c r="P115" s="12">
        <v>0.0014266897681264</v>
      </c>
      <c r="Q115" s="12">
        <v>0.000433290856393709</v>
      </c>
      <c r="R115" s="12">
        <v>0.00151015943724796</v>
      </c>
      <c r="S115" s="12">
        <v>0.000657961910666409</v>
      </c>
      <c r="T115" s="12">
        <v>0.00114465902883465</v>
      </c>
      <c r="U115" s="12">
        <v>0.00229893412593907</v>
      </c>
      <c r="V115" s="12">
        <v>0.000802106817036817</v>
      </c>
      <c r="W115" s="12">
        <v>0.000898085058675609</v>
      </c>
      <c r="X115" s="12">
        <v>0.0010054735227213</v>
      </c>
      <c r="Y115" s="12">
        <v>0.00157232406951714</v>
      </c>
      <c r="Z115" s="12">
        <v>0.000326931953988823</v>
      </c>
      <c r="AA115" s="12">
        <v>0.00451443575690337</v>
      </c>
      <c r="AB115" s="12">
        <v>0.000853565208926838</v>
      </c>
      <c r="AC115" s="12">
        <v>0.00213751082871904</v>
      </c>
      <c r="AD115" s="12">
        <v>0.000351564873282924</v>
      </c>
      <c r="AE115" s="12">
        <v>0.000545463595113033</v>
      </c>
      <c r="AF115" s="12">
        <v>0.000197366738176165</v>
      </c>
      <c r="AG115" s="12">
        <v>0.00077142039513697</v>
      </c>
      <c r="AH115" s="12">
        <v>0.000717351610127999</v>
      </c>
      <c r="AI115" s="12">
        <v>0.00130409106259102</v>
      </c>
      <c r="AJ115" s="12">
        <v>0.00118146769041787</v>
      </c>
      <c r="AK115" s="12">
        <v>0.000806006855022835</v>
      </c>
      <c r="AL115" s="12">
        <v>0.000881671825536437</v>
      </c>
      <c r="AM115" s="12">
        <v>0.00110971262510815</v>
      </c>
      <c r="AN115" s="12">
        <v>0.000667371488455433</v>
      </c>
      <c r="AO115" s="12">
        <v>0.000810295734029045</v>
      </c>
    </row>
    <row r="116" spans="1:41">
      <c r="A116" s="11" t="s">
        <v>74</v>
      </c>
      <c r="B116" s="12">
        <v>0.000307682911214181</v>
      </c>
      <c r="C116" s="12">
        <v>0.000363388710110389</v>
      </c>
      <c r="D116" s="12">
        <v>-9.69776285094876e-5</v>
      </c>
      <c r="E116" s="12">
        <v>0.000995352996116536</v>
      </c>
      <c r="F116" s="12">
        <v>0.00051408484613695</v>
      </c>
      <c r="G116" s="12">
        <v>0.00061204910410547</v>
      </c>
      <c r="H116" s="12">
        <v>0.00075927542700048</v>
      </c>
      <c r="I116" s="12">
        <v>0.000744783273798932</v>
      </c>
      <c r="J116" s="12">
        <v>0.000857418534846376</v>
      </c>
      <c r="K116" s="12">
        <v>0.000778917724693269</v>
      </c>
      <c r="L116" s="12">
        <v>0.00157140439437723</v>
      </c>
      <c r="M116" s="12">
        <v>0.000119787227994281</v>
      </c>
      <c r="N116" s="12">
        <v>0.000285653960348827</v>
      </c>
      <c r="O116" s="12">
        <v>0.000526726344791878</v>
      </c>
      <c r="P116" s="12">
        <v>0.000729726527054466</v>
      </c>
      <c r="Q116" s="12">
        <v>-0.000537013698610312</v>
      </c>
      <c r="R116" s="12">
        <v>0.00159168568196047</v>
      </c>
      <c r="S116" s="12">
        <v>-0.000375629543522921</v>
      </c>
      <c r="T116" s="12">
        <v>0.000135644023350749</v>
      </c>
      <c r="U116" s="12">
        <v>0.00206850276559153</v>
      </c>
      <c r="V116" s="12">
        <v>0.000420009748735212</v>
      </c>
      <c r="W116" s="12">
        <v>0.00100338104072883</v>
      </c>
      <c r="X116" s="12">
        <v>0.00059795431262247</v>
      </c>
      <c r="Y116" s="12">
        <v>0.00153048081572943</v>
      </c>
      <c r="Z116" s="12">
        <v>4.80948450461675e-5</v>
      </c>
      <c r="AA116" s="12">
        <v>0.000853565208926838</v>
      </c>
      <c r="AB116" s="12">
        <v>0.00625378084210266</v>
      </c>
      <c r="AC116" s="12">
        <v>0.00120535899885004</v>
      </c>
      <c r="AD116" s="12">
        <v>3.07713849488144e-5</v>
      </c>
      <c r="AE116" s="12">
        <v>0.000655013339409424</v>
      </c>
      <c r="AF116" s="12">
        <v>0.000390208546586613</v>
      </c>
      <c r="AG116" s="12">
        <v>0.000906600721148272</v>
      </c>
      <c r="AH116" s="12">
        <v>0.000621163624225269</v>
      </c>
      <c r="AI116" s="12">
        <v>0.00099768330136878</v>
      </c>
      <c r="AJ116" s="12">
        <v>-0.000366306152835659</v>
      </c>
      <c r="AK116" s="12">
        <v>0.000672621207993021</v>
      </c>
      <c r="AL116" s="12">
        <v>0.000156401529744962</v>
      </c>
      <c r="AM116" s="12">
        <v>0.000912600354514212</v>
      </c>
      <c r="AN116" s="12">
        <v>0.000695664334082891</v>
      </c>
      <c r="AO116" s="12">
        <v>-6.42602343475137e-5</v>
      </c>
    </row>
    <row r="117" spans="1:41">
      <c r="A117" s="11" t="s">
        <v>75</v>
      </c>
      <c r="B117" s="12">
        <v>0.00101719711836607</v>
      </c>
      <c r="C117" s="12">
        <v>-0.000243584347585836</v>
      </c>
      <c r="D117" s="12">
        <v>-0.000870220440962871</v>
      </c>
      <c r="E117" s="12">
        <v>0.0015568361992854</v>
      </c>
      <c r="F117" s="12">
        <v>-0.000576990242842221</v>
      </c>
      <c r="G117" s="12">
        <v>0.000394308952203411</v>
      </c>
      <c r="H117" s="12">
        <v>0.000183059066145425</v>
      </c>
      <c r="I117" s="12">
        <v>0.000833835501045767</v>
      </c>
      <c r="J117" s="12">
        <v>0.000948532070704216</v>
      </c>
      <c r="K117" s="12">
        <v>0.000765961239255475</v>
      </c>
      <c r="L117" s="12">
        <v>-0.000743627548766113</v>
      </c>
      <c r="M117" s="12">
        <v>-0.000605003620712232</v>
      </c>
      <c r="N117" s="12">
        <v>0.00054603557178188</v>
      </c>
      <c r="O117" s="12">
        <v>0.00128796710331801</v>
      </c>
      <c r="P117" s="12">
        <v>0.00139904436195987</v>
      </c>
      <c r="Q117" s="12">
        <v>-0.0015528337285841</v>
      </c>
      <c r="R117" s="12">
        <v>0.00164509466010779</v>
      </c>
      <c r="S117" s="12">
        <v>0.000520843096104239</v>
      </c>
      <c r="T117" s="12">
        <v>0.00194557147586821</v>
      </c>
      <c r="U117" s="12">
        <v>0.00116974309052335</v>
      </c>
      <c r="V117" s="12">
        <v>0.00146508440115637</v>
      </c>
      <c r="W117" s="12">
        <v>0.00179865202016447</v>
      </c>
      <c r="X117" s="12">
        <v>0.00296964005817241</v>
      </c>
      <c r="Y117" s="12">
        <v>0.00530493120046585</v>
      </c>
      <c r="Z117" s="12">
        <v>0.0016383929226532</v>
      </c>
      <c r="AA117" s="12">
        <v>0.00213751082871904</v>
      </c>
      <c r="AB117" s="12">
        <v>0.00120535899885004</v>
      </c>
      <c r="AC117" s="12">
        <v>0.0321017920626765</v>
      </c>
      <c r="AD117" s="12">
        <v>0.000866033077317908</v>
      </c>
      <c r="AE117" s="12">
        <v>0.00275923724506377</v>
      </c>
      <c r="AF117" s="12">
        <v>0.000109431572310805</v>
      </c>
      <c r="AG117" s="12">
        <v>0.00275645282282634</v>
      </c>
      <c r="AH117" s="12">
        <v>0.00173091589705327</v>
      </c>
      <c r="AI117" s="12">
        <v>0.00373850743365986</v>
      </c>
      <c r="AJ117" s="12">
        <v>0.00327750752753751</v>
      </c>
      <c r="AK117" s="12">
        <v>0.00192959131684295</v>
      </c>
      <c r="AL117" s="12">
        <v>0.00253480915886537</v>
      </c>
      <c r="AM117" s="12">
        <v>0.00521638610173728</v>
      </c>
      <c r="AN117" s="12">
        <v>0.000304183549194635</v>
      </c>
      <c r="AO117" s="12">
        <v>0.00463921708302226</v>
      </c>
    </row>
    <row r="118" spans="1:41">
      <c r="A118" s="11" t="s">
        <v>78</v>
      </c>
      <c r="B118" s="12">
        <v>0.000461306371791634</v>
      </c>
      <c r="C118" s="12">
        <v>0.000534646242596457</v>
      </c>
      <c r="D118" s="12">
        <v>8.99296328467536e-5</v>
      </c>
      <c r="E118" s="12">
        <v>-0.000220087813620979</v>
      </c>
      <c r="F118" s="12">
        <v>0.000452519838894817</v>
      </c>
      <c r="G118" s="12">
        <v>0.000338744597982961</v>
      </c>
      <c r="H118" s="12">
        <v>4.15734437030181e-5</v>
      </c>
      <c r="I118" s="12">
        <v>0.000159783673037059</v>
      </c>
      <c r="J118" s="12">
        <v>0.000265913140566869</v>
      </c>
      <c r="K118" s="12">
        <v>0.000349216897809468</v>
      </c>
      <c r="L118" s="12">
        <v>0.000155601121107632</v>
      </c>
      <c r="M118" s="12">
        <v>0.000130244702225739</v>
      </c>
      <c r="N118" s="12">
        <v>0.000198582204963895</v>
      </c>
      <c r="O118" s="12">
        <v>0.000284100626383126</v>
      </c>
      <c r="P118" s="12">
        <v>0.000133627927160035</v>
      </c>
      <c r="Q118" s="12">
        <v>0.00058604537670575</v>
      </c>
      <c r="R118" s="12">
        <v>-3.8926859567251e-5</v>
      </c>
      <c r="S118" s="12">
        <v>-1.02118051551843e-5</v>
      </c>
      <c r="T118" s="12">
        <v>0.000432976585433298</v>
      </c>
      <c r="U118" s="12">
        <v>0.000739040962363195</v>
      </c>
      <c r="V118" s="12">
        <v>0.00048381488335437</v>
      </c>
      <c r="W118" s="12">
        <v>0.000148558024437344</v>
      </c>
      <c r="X118" s="12">
        <v>0.000122347719977579</v>
      </c>
      <c r="Y118" s="12">
        <v>0.000237788916763181</v>
      </c>
      <c r="Z118" s="12">
        <v>0.000498140223546956</v>
      </c>
      <c r="AA118" s="12">
        <v>0.000351564873282924</v>
      </c>
      <c r="AB118" s="12">
        <v>3.07713849488144e-5</v>
      </c>
      <c r="AC118" s="12">
        <v>0.000866033077317908</v>
      </c>
      <c r="AD118" s="12">
        <v>0.00192396937335466</v>
      </c>
      <c r="AE118" s="12">
        <v>0.000758925477548765</v>
      </c>
      <c r="AF118" s="12">
        <v>0.000479677479463534</v>
      </c>
      <c r="AG118" s="12">
        <v>0.000808507926267473</v>
      </c>
      <c r="AH118" s="12">
        <v>0.000627418758182311</v>
      </c>
      <c r="AI118" s="12">
        <v>0.000688748319958492</v>
      </c>
      <c r="AJ118" s="12">
        <v>0.000675918914048475</v>
      </c>
      <c r="AK118" s="12">
        <v>0.00073377964550233</v>
      </c>
      <c r="AL118" s="12">
        <v>0.000414923310950118</v>
      </c>
      <c r="AM118" s="12">
        <v>0.000785246477051764</v>
      </c>
      <c r="AN118" s="12">
        <v>0.000233798182449396</v>
      </c>
      <c r="AO118" s="12">
        <v>0.00043697495084298</v>
      </c>
    </row>
    <row r="119" spans="1:41">
      <c r="A119" s="11" t="s">
        <v>81</v>
      </c>
      <c r="B119" s="12">
        <v>0.000982900256933837</v>
      </c>
      <c r="C119" s="12">
        <v>0.000478913602764056</v>
      </c>
      <c r="D119" s="12">
        <v>0.00024277151013055</v>
      </c>
      <c r="E119" s="12">
        <v>8.36025479824708e-5</v>
      </c>
      <c r="F119" s="12">
        <v>0.000384234041914794</v>
      </c>
      <c r="G119" s="12">
        <v>0.00067364753430273</v>
      </c>
      <c r="H119" s="12">
        <v>0.00054859702970209</v>
      </c>
      <c r="I119" s="12">
        <v>0.000858929993904079</v>
      </c>
      <c r="J119" s="12">
        <v>0.000596598410163498</v>
      </c>
      <c r="K119" s="12">
        <v>0.000258917787659451</v>
      </c>
      <c r="L119" s="12">
        <v>0.000696302652176032</v>
      </c>
      <c r="M119" s="12">
        <v>-5.92783568930082e-5</v>
      </c>
      <c r="N119" s="12">
        <v>0.000575882590635317</v>
      </c>
      <c r="O119" s="12">
        <v>0.00102754049872219</v>
      </c>
      <c r="P119" s="12">
        <v>0.00103757469081382</v>
      </c>
      <c r="Q119" s="12">
        <v>0.000498424076031438</v>
      </c>
      <c r="R119" s="12">
        <v>0.00143775122286193</v>
      </c>
      <c r="S119" s="12">
        <v>0.000405234326632131</v>
      </c>
      <c r="T119" s="12">
        <v>0.000728359896636587</v>
      </c>
      <c r="U119" s="12">
        <v>0.00128890706184378</v>
      </c>
      <c r="V119" s="12">
        <v>0.00139531937779818</v>
      </c>
      <c r="W119" s="12">
        <v>0.000735820157587413</v>
      </c>
      <c r="X119" s="12">
        <v>0.00120287646015777</v>
      </c>
      <c r="Y119" s="12">
        <v>0.00126407507347914</v>
      </c>
      <c r="Z119" s="12">
        <v>0.000416949380866733</v>
      </c>
      <c r="AA119" s="12">
        <v>0.000545463595113033</v>
      </c>
      <c r="AB119" s="12">
        <v>0.000655013339409424</v>
      </c>
      <c r="AC119" s="12">
        <v>0.00275923724506377</v>
      </c>
      <c r="AD119" s="12">
        <v>0.000758925477548765</v>
      </c>
      <c r="AE119" s="12">
        <v>0.00577586125251086</v>
      </c>
      <c r="AF119" s="12">
        <v>0.000399973944380687</v>
      </c>
      <c r="AG119" s="12">
        <v>0.00150471462301859</v>
      </c>
      <c r="AH119" s="12">
        <v>0.000643365686819085</v>
      </c>
      <c r="AI119" s="12">
        <v>0.001794812082047</v>
      </c>
      <c r="AJ119" s="12">
        <v>0.000425228590705494</v>
      </c>
      <c r="AK119" s="12">
        <v>0.00095559960313291</v>
      </c>
      <c r="AL119" s="12">
        <v>0.000774871815375445</v>
      </c>
      <c r="AM119" s="12">
        <v>0.00196556281992554</v>
      </c>
      <c r="AN119" s="12">
        <v>0.00101396793653037</v>
      </c>
      <c r="AO119" s="12">
        <v>0.000976727830558201</v>
      </c>
    </row>
    <row r="120" spans="1:41">
      <c r="A120" s="11" t="s">
        <v>82</v>
      </c>
      <c r="B120" s="12">
        <v>0.000494524142610144</v>
      </c>
      <c r="C120" s="12">
        <v>0.000553566998891673</v>
      </c>
      <c r="D120" s="12">
        <v>0.000103168370131377</v>
      </c>
      <c r="E120" s="12">
        <v>1.7105874773921e-5</v>
      </c>
      <c r="F120" s="12">
        <v>0.000498315759975197</v>
      </c>
      <c r="G120" s="12">
        <v>0.000536250658562703</v>
      </c>
      <c r="H120" s="12">
        <v>0.000270202926422614</v>
      </c>
      <c r="I120" s="12">
        <v>0.000676149533158876</v>
      </c>
      <c r="J120" s="12">
        <v>0.000346051642654463</v>
      </c>
      <c r="K120" s="12">
        <v>0.000506813831655009</v>
      </c>
      <c r="L120" s="12">
        <v>8.7085606426101e-5</v>
      </c>
      <c r="M120" s="12">
        <v>0.000283251444920896</v>
      </c>
      <c r="N120" s="12">
        <v>0.000277532478359807</v>
      </c>
      <c r="O120" s="12">
        <v>0.000250967271137991</v>
      </c>
      <c r="P120" s="12">
        <v>0.000242301746856337</v>
      </c>
      <c r="Q120" s="12">
        <v>0.000624140468922072</v>
      </c>
      <c r="R120" s="12">
        <v>0.000393363231004263</v>
      </c>
      <c r="S120" s="12">
        <v>-3.5693553410003e-5</v>
      </c>
      <c r="T120" s="12">
        <v>0.000457112115780846</v>
      </c>
      <c r="U120" s="12">
        <v>0.00105237997591838</v>
      </c>
      <c r="V120" s="12">
        <v>0.000258788050255758</v>
      </c>
      <c r="W120" s="12">
        <v>0.000273830354344105</v>
      </c>
      <c r="X120" s="12">
        <v>0.000315445131708054</v>
      </c>
      <c r="Y120" s="12">
        <v>-5.89279582215951e-5</v>
      </c>
      <c r="Z120" s="12">
        <v>0.000627799978902293</v>
      </c>
      <c r="AA120" s="12">
        <v>0.000197366738176165</v>
      </c>
      <c r="AB120" s="12">
        <v>0.000390208546586613</v>
      </c>
      <c r="AC120" s="12">
        <v>0.000109431572310805</v>
      </c>
      <c r="AD120" s="12">
        <v>0.000479677479463534</v>
      </c>
      <c r="AE120" s="12">
        <v>0.000399973944380687</v>
      </c>
      <c r="AF120" s="12">
        <v>0.00243820747274962</v>
      </c>
      <c r="AG120" s="12">
        <v>0.000297318141306607</v>
      </c>
      <c r="AH120" s="12">
        <v>0.00102690255711146</v>
      </c>
      <c r="AI120" s="12">
        <v>0.000678456131708554</v>
      </c>
      <c r="AJ120" s="12">
        <v>8.11753639483197e-5</v>
      </c>
      <c r="AK120" s="12">
        <v>0.000236036036806219</v>
      </c>
      <c r="AL120" s="12">
        <v>0.000379167166610169</v>
      </c>
      <c r="AM120" s="12">
        <v>0.00039096046271261</v>
      </c>
      <c r="AN120" s="12">
        <v>0.000754916849082541</v>
      </c>
      <c r="AO120" s="12">
        <v>0.000494550658122961</v>
      </c>
    </row>
    <row r="121" spans="1:41">
      <c r="A121" s="11" t="s">
        <v>89</v>
      </c>
      <c r="B121" s="12">
        <v>0.000955522918569703</v>
      </c>
      <c r="C121" s="12">
        <v>0.000121380851731909</v>
      </c>
      <c r="D121" s="12">
        <v>5.01477457873393e-5</v>
      </c>
      <c r="E121" s="12">
        <v>0.00023848202469557</v>
      </c>
      <c r="F121" s="12">
        <v>0.000618508783028003</v>
      </c>
      <c r="G121" s="12">
        <v>0.000684602212479424</v>
      </c>
      <c r="H121" s="12">
        <v>0.000718452721338083</v>
      </c>
      <c r="I121" s="12">
        <v>0.00111254755831207</v>
      </c>
      <c r="J121" s="12">
        <v>0.00152794254772309</v>
      </c>
      <c r="K121" s="12">
        <v>0.00133134136371551</v>
      </c>
      <c r="L121" s="12">
        <v>0.000324045227568549</v>
      </c>
      <c r="M121" s="12">
        <v>-0.000212044701934343</v>
      </c>
      <c r="N121" s="12">
        <v>0.000638442785551423</v>
      </c>
      <c r="O121" s="12">
        <v>0.000901356199425229</v>
      </c>
      <c r="P121" s="12">
        <v>0.000874319717593205</v>
      </c>
      <c r="Q121" s="12">
        <v>0.00139966687232432</v>
      </c>
      <c r="R121" s="12">
        <v>0.00157740587683507</v>
      </c>
      <c r="S121" s="12">
        <v>0.000562382713669064</v>
      </c>
      <c r="T121" s="12">
        <v>0.00132671064771539</v>
      </c>
      <c r="U121" s="12">
        <v>0.00182216233709032</v>
      </c>
      <c r="V121" s="12">
        <v>0.00103332959706622</v>
      </c>
      <c r="W121" s="12">
        <v>0.000190253392829618</v>
      </c>
      <c r="X121" s="12">
        <v>0.00143280695516555</v>
      </c>
      <c r="Y121" s="12">
        <v>0.000209387864897145</v>
      </c>
      <c r="Z121" s="12">
        <v>0.000366302888300506</v>
      </c>
      <c r="AA121" s="12">
        <v>0.00077142039513697</v>
      </c>
      <c r="AB121" s="12">
        <v>0.000906600721148272</v>
      </c>
      <c r="AC121" s="12">
        <v>0.00275645282282634</v>
      </c>
      <c r="AD121" s="12">
        <v>0.000808507926267473</v>
      </c>
      <c r="AE121" s="12">
        <v>0.00150471462301859</v>
      </c>
      <c r="AF121" s="12">
        <v>0.000297318141306607</v>
      </c>
      <c r="AG121" s="12">
        <v>0.0097318269862282</v>
      </c>
      <c r="AH121" s="12">
        <v>0.00183632708887688</v>
      </c>
      <c r="AI121" s="12">
        <v>0.00133929997549179</v>
      </c>
      <c r="AJ121" s="12">
        <v>0.00272166431752516</v>
      </c>
      <c r="AK121" s="12">
        <v>0.0017620077816435</v>
      </c>
      <c r="AL121" s="12">
        <v>0.00160245566621432</v>
      </c>
      <c r="AM121" s="12">
        <v>0.00279084415407801</v>
      </c>
      <c r="AN121" s="12">
        <v>0.0010183138638731</v>
      </c>
      <c r="AO121" s="12">
        <v>0.00153446828445556</v>
      </c>
    </row>
    <row r="122" spans="1:41">
      <c r="A122" s="11" t="s">
        <v>97</v>
      </c>
      <c r="B122" s="12">
        <v>0.00109832038463812</v>
      </c>
      <c r="C122" s="12">
        <v>0.000514398833900236</v>
      </c>
      <c r="D122" s="12">
        <v>0.000845843968518906</v>
      </c>
      <c r="E122" s="12">
        <v>0.000827873203286339</v>
      </c>
      <c r="F122" s="12">
        <v>0.00121741197861861</v>
      </c>
      <c r="G122" s="12">
        <v>0.00107547317527318</v>
      </c>
      <c r="H122" s="12">
        <v>0.000635019219604525</v>
      </c>
      <c r="I122" s="12">
        <v>0.000975047305850768</v>
      </c>
      <c r="J122" s="12">
        <v>0.000938927140610968</v>
      </c>
      <c r="K122" s="12">
        <v>0.00188231597301268</v>
      </c>
      <c r="L122" s="12">
        <v>0.000892613532748322</v>
      </c>
      <c r="M122" s="12">
        <v>0.00032096341180314</v>
      </c>
      <c r="N122" s="12">
        <v>0.000625940968173138</v>
      </c>
      <c r="O122" s="12">
        <v>0.000691347854605719</v>
      </c>
      <c r="P122" s="12">
        <v>-0.000362171839832087</v>
      </c>
      <c r="Q122" s="12">
        <v>0.00263128105530953</v>
      </c>
      <c r="R122" s="12">
        <v>-3.11139845046768e-5</v>
      </c>
      <c r="S122" s="12">
        <v>0.000385647171779346</v>
      </c>
      <c r="T122" s="12">
        <v>0.00122112973834146</v>
      </c>
      <c r="U122" s="12">
        <v>0.00154020409299371</v>
      </c>
      <c r="V122" s="12">
        <v>0.000574367930126624</v>
      </c>
      <c r="W122" s="12">
        <v>0.000489190771969913</v>
      </c>
      <c r="X122" s="12">
        <v>0.00118450143627523</v>
      </c>
      <c r="Y122" s="12">
        <v>0.0022895626067517</v>
      </c>
      <c r="Z122" s="12">
        <v>0.000785290229628256</v>
      </c>
      <c r="AA122" s="12">
        <v>0.000717351610127999</v>
      </c>
      <c r="AB122" s="12">
        <v>0.000621163624225269</v>
      </c>
      <c r="AC122" s="12">
        <v>0.00173091589705327</v>
      </c>
      <c r="AD122" s="12">
        <v>0.000627418758182311</v>
      </c>
      <c r="AE122" s="12">
        <v>0.000643365686819085</v>
      </c>
      <c r="AF122" s="12">
        <v>0.00102690255711146</v>
      </c>
      <c r="AG122" s="12">
        <v>0.00183632708887688</v>
      </c>
      <c r="AH122" s="12">
        <v>0.015639900734641</v>
      </c>
      <c r="AI122" s="12">
        <v>0.00182852827045293</v>
      </c>
      <c r="AJ122" s="12">
        <v>0.00179379363208222</v>
      </c>
      <c r="AK122" s="12">
        <v>0.000632526377392258</v>
      </c>
      <c r="AL122" s="12">
        <v>0.00151062265689329</v>
      </c>
      <c r="AM122" s="12">
        <v>0.00206273477346599</v>
      </c>
      <c r="AN122" s="12">
        <v>0.00110044870980642</v>
      </c>
      <c r="AO122" s="12">
        <v>0.00213014382414529</v>
      </c>
    </row>
    <row r="123" spans="1:41">
      <c r="A123" s="11" t="s">
        <v>101</v>
      </c>
      <c r="B123" s="12">
        <v>0.000924014278809204</v>
      </c>
      <c r="C123" s="12">
        <v>0.000552531752809942</v>
      </c>
      <c r="D123" s="12">
        <v>-0.000288865346265018</v>
      </c>
      <c r="E123" s="12">
        <v>0.0010246461627747</v>
      </c>
      <c r="F123" s="12">
        <v>0.00096255063406793</v>
      </c>
      <c r="G123" s="12">
        <v>0.0010042099258483</v>
      </c>
      <c r="H123" s="12">
        <v>0.000384118228551983</v>
      </c>
      <c r="I123" s="12">
        <v>0.00106363706105429</v>
      </c>
      <c r="J123" s="12">
        <v>0.00125070359137629</v>
      </c>
      <c r="K123" s="12">
        <v>0.00118874914089587</v>
      </c>
      <c r="L123" s="12">
        <v>0.000359651005000005</v>
      </c>
      <c r="M123" s="12">
        <v>0.000134188999042748</v>
      </c>
      <c r="N123" s="12">
        <v>0.000921217408798376</v>
      </c>
      <c r="O123" s="12">
        <v>0.00124446589937378</v>
      </c>
      <c r="P123" s="12">
        <v>0.000888483969416634</v>
      </c>
      <c r="Q123" s="12">
        <v>0.000760443636704711</v>
      </c>
      <c r="R123" s="12">
        <v>0.00264411233609535</v>
      </c>
      <c r="S123" s="12">
        <v>0.000413900173357014</v>
      </c>
      <c r="T123" s="12">
        <v>0.0011413900930871</v>
      </c>
      <c r="U123" s="12">
        <v>0.0025949300471462</v>
      </c>
      <c r="V123" s="12">
        <v>0.00144830368432744</v>
      </c>
      <c r="W123" s="12">
        <v>0.00118348491654681</v>
      </c>
      <c r="X123" s="12">
        <v>0.00148967154257888</v>
      </c>
      <c r="Y123" s="12">
        <v>0.00174196719132638</v>
      </c>
      <c r="Z123" s="12">
        <v>0.00088071237967199</v>
      </c>
      <c r="AA123" s="12">
        <v>0.00130409106259102</v>
      </c>
      <c r="AB123" s="12">
        <v>0.00099768330136878</v>
      </c>
      <c r="AC123" s="12">
        <v>0.00373850743365986</v>
      </c>
      <c r="AD123" s="12">
        <v>0.000688748319958492</v>
      </c>
      <c r="AE123" s="12">
        <v>0.001794812082047</v>
      </c>
      <c r="AF123" s="12">
        <v>0.000678456131708554</v>
      </c>
      <c r="AG123" s="12">
        <v>0.00133929997549179</v>
      </c>
      <c r="AH123" s="12">
        <v>0.00182852827045293</v>
      </c>
      <c r="AI123" s="12">
        <v>0.00917726875312055</v>
      </c>
      <c r="AJ123" s="12">
        <v>0.00243022911619023</v>
      </c>
      <c r="AK123" s="12">
        <v>0.00176298927699488</v>
      </c>
      <c r="AL123" s="12">
        <v>0.0011381643122151</v>
      </c>
      <c r="AM123" s="12">
        <v>0.00213227804726116</v>
      </c>
      <c r="AN123" s="12">
        <v>0.00104946774046598</v>
      </c>
      <c r="AO123" s="12">
        <v>0.00197989750510256</v>
      </c>
    </row>
    <row r="124" spans="1:41">
      <c r="A124" s="11" t="s">
        <v>107</v>
      </c>
      <c r="B124" s="12">
        <v>0.000301738776349225</v>
      </c>
      <c r="C124" s="12">
        <v>0.000218660568717075</v>
      </c>
      <c r="D124" s="12">
        <v>2.26650351140686e-5</v>
      </c>
      <c r="E124" s="12">
        <v>0.00182703239185921</v>
      </c>
      <c r="F124" s="12">
        <v>0.00134825317438246</v>
      </c>
      <c r="G124" s="12">
        <v>0.000576506947432706</v>
      </c>
      <c r="H124" s="12">
        <v>0.00183785766919502</v>
      </c>
      <c r="I124" s="12">
        <v>0.000715181670381336</v>
      </c>
      <c r="J124" s="12">
        <v>0.00139162541149952</v>
      </c>
      <c r="K124" s="12">
        <v>0.00231748005907751</v>
      </c>
      <c r="L124" s="12">
        <v>-0.000407320173915036</v>
      </c>
      <c r="M124" s="12">
        <v>-9.64483112416507e-5</v>
      </c>
      <c r="N124" s="12">
        <v>0.000823673903544699</v>
      </c>
      <c r="O124" s="12">
        <v>0.00127288313205625</v>
      </c>
      <c r="P124" s="12">
        <v>0.00165290890139209</v>
      </c>
      <c r="Q124" s="12">
        <v>0.000414530089166232</v>
      </c>
      <c r="R124" s="12">
        <v>0.00105159444978638</v>
      </c>
      <c r="S124" s="12">
        <v>0.00113370515116192</v>
      </c>
      <c r="T124" s="12">
        <v>0.00201009377544867</v>
      </c>
      <c r="U124" s="12">
        <v>0.00339842660271602</v>
      </c>
      <c r="V124" s="12">
        <v>0.00111095849921977</v>
      </c>
      <c r="W124" s="12">
        <v>0.000598266700180745</v>
      </c>
      <c r="X124" s="12">
        <v>0.00203169095897523</v>
      </c>
      <c r="Y124" s="12">
        <v>0.00212802193491994</v>
      </c>
      <c r="Z124" s="12">
        <v>0.000215111612501642</v>
      </c>
      <c r="AA124" s="12">
        <v>0.00118146769041787</v>
      </c>
      <c r="AB124" s="12">
        <v>-0.000366306152835659</v>
      </c>
      <c r="AC124" s="12">
        <v>0.00327750752753751</v>
      </c>
      <c r="AD124" s="12">
        <v>0.000675918914048475</v>
      </c>
      <c r="AE124" s="12">
        <v>0.000425228590705494</v>
      </c>
      <c r="AF124" s="12">
        <v>8.11753639483197e-5</v>
      </c>
      <c r="AG124" s="12">
        <v>0.00272166431752516</v>
      </c>
      <c r="AH124" s="12">
        <v>0.00179379363208222</v>
      </c>
      <c r="AI124" s="12">
        <v>0.00243022911619023</v>
      </c>
      <c r="AJ124" s="12">
        <v>0.0203973447557975</v>
      </c>
      <c r="AK124" s="12">
        <v>0.00264863497617387</v>
      </c>
      <c r="AL124" s="12">
        <v>0.0027899219368804</v>
      </c>
      <c r="AM124" s="12">
        <v>0.00100694069434678</v>
      </c>
      <c r="AN124" s="12">
        <v>0.00116631238635025</v>
      </c>
      <c r="AO124" s="12">
        <v>0.00290869624016171</v>
      </c>
    </row>
    <row r="125" spans="1:41">
      <c r="A125" s="11" t="s">
        <v>110</v>
      </c>
      <c r="B125" s="12">
        <v>0.000622542569465842</v>
      </c>
      <c r="C125" s="12">
        <v>0.000360429298766426</v>
      </c>
      <c r="D125" s="12">
        <v>0.000213579521090633</v>
      </c>
      <c r="E125" s="12">
        <v>0.000620557117230763</v>
      </c>
      <c r="F125" s="12">
        <v>0.000672479944892789</v>
      </c>
      <c r="G125" s="12">
        <v>0.000300558362255168</v>
      </c>
      <c r="H125" s="12">
        <v>0.000410923448695239</v>
      </c>
      <c r="I125" s="12">
        <v>0.00034871995683923</v>
      </c>
      <c r="J125" s="12">
        <v>0.000979445263138898</v>
      </c>
      <c r="K125" s="12">
        <v>0.00136323550494103</v>
      </c>
      <c r="L125" s="12">
        <v>-0.000155972632984227</v>
      </c>
      <c r="M125" s="12">
        <v>6.69260588131621e-5</v>
      </c>
      <c r="N125" s="12">
        <v>0.000403841484402913</v>
      </c>
      <c r="O125" s="12">
        <v>0.000848150544118072</v>
      </c>
      <c r="P125" s="12">
        <v>0.00151660417401395</v>
      </c>
      <c r="Q125" s="12">
        <v>0.000851683729351463</v>
      </c>
      <c r="R125" s="12">
        <v>0.000637005765041956</v>
      </c>
      <c r="S125" s="12">
        <v>0.000508295792414205</v>
      </c>
      <c r="T125" s="12">
        <v>0.000452715468575884</v>
      </c>
      <c r="U125" s="12">
        <v>0.00212275862497374</v>
      </c>
      <c r="V125" s="12">
        <v>0.000742880475709453</v>
      </c>
      <c r="W125" s="12">
        <v>0.000505990097403556</v>
      </c>
      <c r="X125" s="12">
        <v>0.00115590305190447</v>
      </c>
      <c r="Y125" s="12">
        <v>0.000692528207696178</v>
      </c>
      <c r="Z125" s="12">
        <v>0.000339308299105752</v>
      </c>
      <c r="AA125" s="12">
        <v>0.000806006855022835</v>
      </c>
      <c r="AB125" s="12">
        <v>0.000672621207993021</v>
      </c>
      <c r="AC125" s="12">
        <v>0.00192959131684295</v>
      </c>
      <c r="AD125" s="12">
        <v>0.00073377964550233</v>
      </c>
      <c r="AE125" s="12">
        <v>0.00095559960313291</v>
      </c>
      <c r="AF125" s="12">
        <v>0.000236036036806219</v>
      </c>
      <c r="AG125" s="12">
        <v>0.0017620077816435</v>
      </c>
      <c r="AH125" s="12">
        <v>0.000632526377392258</v>
      </c>
      <c r="AI125" s="12">
        <v>0.00176298927699488</v>
      </c>
      <c r="AJ125" s="12">
        <v>0.00264863497617387</v>
      </c>
      <c r="AK125" s="12">
        <v>0.00688201182347131</v>
      </c>
      <c r="AL125" s="12">
        <v>0.00105344855453425</v>
      </c>
      <c r="AM125" s="12">
        <v>0.00125583243478422</v>
      </c>
      <c r="AN125" s="12">
        <v>0.0005810918061455</v>
      </c>
      <c r="AO125" s="12">
        <v>0.0015955541905662</v>
      </c>
    </row>
    <row r="126" spans="1:41">
      <c r="A126" s="11" t="s">
        <v>114</v>
      </c>
      <c r="B126" s="12">
        <v>0.000820561187910153</v>
      </c>
      <c r="C126" s="12">
        <v>0.00063085805069389</v>
      </c>
      <c r="D126" s="12">
        <v>0.000506549648915891</v>
      </c>
      <c r="E126" s="12">
        <v>0.00121022706028343</v>
      </c>
      <c r="F126" s="12">
        <v>0.000875382721192286</v>
      </c>
      <c r="G126" s="12">
        <v>0.000531735777238177</v>
      </c>
      <c r="H126" s="12">
        <v>0.001136980184011</v>
      </c>
      <c r="I126" s="12">
        <v>0.000656619179502511</v>
      </c>
      <c r="J126" s="12">
        <v>0.000931681106838538</v>
      </c>
      <c r="K126" s="12">
        <v>0.0012507015175944</v>
      </c>
      <c r="L126" s="12">
        <v>-0.000239033167973599</v>
      </c>
      <c r="M126" s="12">
        <v>0.000227052461961902</v>
      </c>
      <c r="N126" s="12">
        <v>0.000673352559730194</v>
      </c>
      <c r="O126" s="12">
        <v>0.000583672669890453</v>
      </c>
      <c r="P126" s="12">
        <v>0.00066270425668288</v>
      </c>
      <c r="Q126" s="12">
        <v>3.02790580838786e-5</v>
      </c>
      <c r="R126" s="12">
        <v>0.00066760168332159</v>
      </c>
      <c r="S126" s="12">
        <v>0.0012054005550366</v>
      </c>
      <c r="T126" s="12">
        <v>0.00121124118613714</v>
      </c>
      <c r="U126" s="12">
        <v>0.00166192601669696</v>
      </c>
      <c r="V126" s="12">
        <v>0.00123677167525704</v>
      </c>
      <c r="W126" s="12">
        <v>0.000487931140771634</v>
      </c>
      <c r="X126" s="12">
        <v>0.00103905869791664</v>
      </c>
      <c r="Y126" s="12">
        <v>0.00257816376006994</v>
      </c>
      <c r="Z126" s="12">
        <v>0.000834269188408057</v>
      </c>
      <c r="AA126" s="12">
        <v>0.000881671825536437</v>
      </c>
      <c r="AB126" s="12">
        <v>0.000156401529744962</v>
      </c>
      <c r="AC126" s="12">
        <v>0.00253480915886537</v>
      </c>
      <c r="AD126" s="12">
        <v>0.000414923310950118</v>
      </c>
      <c r="AE126" s="12">
        <v>0.000774871815375445</v>
      </c>
      <c r="AF126" s="12">
        <v>0.000379167166610169</v>
      </c>
      <c r="AG126" s="12">
        <v>0.00160245566621432</v>
      </c>
      <c r="AH126" s="12">
        <v>0.00151062265689329</v>
      </c>
      <c r="AI126" s="12">
        <v>0.0011381643122151</v>
      </c>
      <c r="AJ126" s="12">
        <v>0.0027899219368804</v>
      </c>
      <c r="AK126" s="12">
        <v>0.00105344855453425</v>
      </c>
      <c r="AL126" s="12">
        <v>0.00629236004747473</v>
      </c>
      <c r="AM126" s="12">
        <v>0.00138155966820092</v>
      </c>
      <c r="AN126" s="12">
        <v>0.000682844136268118</v>
      </c>
      <c r="AO126" s="12">
        <v>0.00218698352353411</v>
      </c>
    </row>
    <row r="127" spans="1:41">
      <c r="A127" s="11" t="s">
        <v>127</v>
      </c>
      <c r="B127" s="12">
        <v>0.0014659261072411</v>
      </c>
      <c r="C127" s="12">
        <v>0.000949674938617444</v>
      </c>
      <c r="D127" s="12">
        <v>0.000935239019732679</v>
      </c>
      <c r="E127" s="12">
        <v>0.00136839813154106</v>
      </c>
      <c r="F127" s="12">
        <v>0.00135287456626763</v>
      </c>
      <c r="G127" s="12">
        <v>0.00119912631252331</v>
      </c>
      <c r="H127" s="12">
        <v>0.000576748966711818</v>
      </c>
      <c r="I127" s="12">
        <v>0.000609519938220563</v>
      </c>
      <c r="J127" s="12">
        <v>0.00120517543762617</v>
      </c>
      <c r="K127" s="12">
        <v>0.000922768778222844</v>
      </c>
      <c r="L127" s="12">
        <v>0.000420328283917622</v>
      </c>
      <c r="M127" s="12">
        <v>0.00038399540253993</v>
      </c>
      <c r="N127" s="12">
        <v>0.00167759544178118</v>
      </c>
      <c r="O127" s="12">
        <v>0.000661663527431784</v>
      </c>
      <c r="P127" s="12">
        <v>0.000752003346924876</v>
      </c>
      <c r="Q127" s="12">
        <v>0.000258803465750036</v>
      </c>
      <c r="R127" s="12">
        <v>0.00268352148345333</v>
      </c>
      <c r="S127" s="12">
        <v>0.00116362461876524</v>
      </c>
      <c r="T127" s="12">
        <v>0.00206361051272762</v>
      </c>
      <c r="U127" s="12">
        <v>0.0019672160022474</v>
      </c>
      <c r="V127" s="12">
        <v>0.000930006921846425</v>
      </c>
      <c r="W127" s="12">
        <v>0.00216514264634759</v>
      </c>
      <c r="X127" s="12">
        <v>0.00192639614144903</v>
      </c>
      <c r="Y127" s="12">
        <v>0.00444950279991858</v>
      </c>
      <c r="Z127" s="12">
        <v>0.00144956411846718</v>
      </c>
      <c r="AA127" s="12">
        <v>0.00110971262510815</v>
      </c>
      <c r="AB127" s="12">
        <v>0.000912600354514212</v>
      </c>
      <c r="AC127" s="12">
        <v>0.00521638610173728</v>
      </c>
      <c r="AD127" s="12">
        <v>0.000785246477051764</v>
      </c>
      <c r="AE127" s="12">
        <v>0.00196556281992554</v>
      </c>
      <c r="AF127" s="12">
        <v>0.00039096046271261</v>
      </c>
      <c r="AG127" s="12">
        <v>0.00279084415407801</v>
      </c>
      <c r="AH127" s="12">
        <v>0.00206273477346599</v>
      </c>
      <c r="AI127" s="12">
        <v>0.00213227804726116</v>
      </c>
      <c r="AJ127" s="12">
        <v>0.00100694069434678</v>
      </c>
      <c r="AK127" s="12">
        <v>0.00125583243478422</v>
      </c>
      <c r="AL127" s="12">
        <v>0.00138155966820092</v>
      </c>
      <c r="AM127" s="12">
        <v>0.0288543441698788</v>
      </c>
      <c r="AN127" s="12">
        <v>0.00106235407044693</v>
      </c>
      <c r="AO127" s="12">
        <v>0.000958836696119506</v>
      </c>
    </row>
    <row r="128" spans="1:41">
      <c r="A128" s="11" t="s">
        <v>128</v>
      </c>
      <c r="B128" s="12">
        <v>0.00055150116604192</v>
      </c>
      <c r="C128" s="12">
        <v>0.000261134482716925</v>
      </c>
      <c r="D128" s="12">
        <v>-0.000209870312031423</v>
      </c>
      <c r="E128" s="12">
        <v>0.000457059037032836</v>
      </c>
      <c r="F128" s="12">
        <v>0.00031625956894584</v>
      </c>
      <c r="G128" s="12">
        <v>0.000621112980936915</v>
      </c>
      <c r="H128" s="12">
        <v>0.000704515832967639</v>
      </c>
      <c r="I128" s="12">
        <v>0.00134327180046997</v>
      </c>
      <c r="J128" s="12">
        <v>0.000843533225083047</v>
      </c>
      <c r="K128" s="12">
        <v>0.000377069732855036</v>
      </c>
      <c r="L128" s="12">
        <v>0.000533179640298691</v>
      </c>
      <c r="M128" s="12">
        <v>0.000214359034068715</v>
      </c>
      <c r="N128" s="12">
        <v>0.000765469587370128</v>
      </c>
      <c r="O128" s="12">
        <v>0.000989682545194395</v>
      </c>
      <c r="P128" s="12">
        <v>0.00110398593333556</v>
      </c>
      <c r="Q128" s="12">
        <v>0.000787028773534137</v>
      </c>
      <c r="R128" s="12">
        <v>0.00220575342819557</v>
      </c>
      <c r="S128" s="12">
        <v>0.000370816953598039</v>
      </c>
      <c r="T128" s="12">
        <v>0.00105039282033829</v>
      </c>
      <c r="U128" s="12">
        <v>0.00248264913142492</v>
      </c>
      <c r="V128" s="12">
        <v>0.00104535167574462</v>
      </c>
      <c r="W128" s="12">
        <v>0.00124667711685636</v>
      </c>
      <c r="X128" s="12">
        <v>0.00135780434237406</v>
      </c>
      <c r="Y128" s="12">
        <v>0.000597663236078743</v>
      </c>
      <c r="Z128" s="12">
        <v>0.000354223262653338</v>
      </c>
      <c r="AA128" s="12">
        <v>0.000667371488455433</v>
      </c>
      <c r="AB128" s="12">
        <v>0.000695664334082891</v>
      </c>
      <c r="AC128" s="12">
        <v>0.000304183549194635</v>
      </c>
      <c r="AD128" s="12">
        <v>0.000233798182449396</v>
      </c>
      <c r="AE128" s="12">
        <v>0.00101396793653037</v>
      </c>
      <c r="AF128" s="12">
        <v>0.000754916849082541</v>
      </c>
      <c r="AG128" s="12">
        <v>0.0010183138638731</v>
      </c>
      <c r="AH128" s="12">
        <v>0.00110044870980642</v>
      </c>
      <c r="AI128" s="12">
        <v>0.00104946774046598</v>
      </c>
      <c r="AJ128" s="12">
        <v>0.00116631238635025</v>
      </c>
      <c r="AK128" s="12">
        <v>0.0005810918061455</v>
      </c>
      <c r="AL128" s="12">
        <v>0.000682844136268118</v>
      </c>
      <c r="AM128" s="12">
        <v>0.00106235407044693</v>
      </c>
      <c r="AN128" s="12">
        <v>0.00560074218683889</v>
      </c>
      <c r="AO128" s="12">
        <v>0.000489393777971302</v>
      </c>
    </row>
    <row r="129" spans="1:41">
      <c r="A129" s="11" t="s">
        <v>130</v>
      </c>
      <c r="B129" s="12">
        <v>0.000642595193675745</v>
      </c>
      <c r="C129" s="12">
        <v>5.67928386070292e-5</v>
      </c>
      <c r="D129" s="12">
        <v>2.44730406749088e-5</v>
      </c>
      <c r="E129" s="12">
        <v>0.000371221000912044</v>
      </c>
      <c r="F129" s="12">
        <v>9.32319228588942e-5</v>
      </c>
      <c r="G129" s="12">
        <v>0.000647840787222945</v>
      </c>
      <c r="H129" s="12">
        <v>0.000867231764265514</v>
      </c>
      <c r="I129" s="12">
        <v>0.000523549248514434</v>
      </c>
      <c r="J129" s="12">
        <v>0.000413877692992993</v>
      </c>
      <c r="K129" s="12">
        <v>0.00111015824090179</v>
      </c>
      <c r="L129" s="12">
        <v>-0.00104334583692545</v>
      </c>
      <c r="M129" s="12">
        <v>1.96469405825999e-5</v>
      </c>
      <c r="N129" s="12">
        <v>0.000420579240380031</v>
      </c>
      <c r="O129" s="12">
        <v>0.000329108877371951</v>
      </c>
      <c r="P129" s="12">
        <v>0.000938843505194933</v>
      </c>
      <c r="Q129" s="12">
        <v>0.000102008497353776</v>
      </c>
      <c r="R129" s="12">
        <v>0.000510311979982773</v>
      </c>
      <c r="S129" s="12">
        <v>0.000723871886892702</v>
      </c>
      <c r="T129" s="12">
        <v>0.00146677757771331</v>
      </c>
      <c r="U129" s="12">
        <v>0.000305984069014807</v>
      </c>
      <c r="V129" s="12">
        <v>0.00125915241389443</v>
      </c>
      <c r="W129" s="12">
        <v>0.000871554980515812</v>
      </c>
      <c r="X129" s="12">
        <v>0.00104694759269426</v>
      </c>
      <c r="Y129" s="12">
        <v>0.00229054746924588</v>
      </c>
      <c r="Z129" s="12">
        <v>0.000851438491445046</v>
      </c>
      <c r="AA129" s="12">
        <v>0.000810295734029045</v>
      </c>
      <c r="AB129" s="12">
        <v>-6.42602343475137e-5</v>
      </c>
      <c r="AC129" s="12">
        <v>0.00463921708302226</v>
      </c>
      <c r="AD129" s="12">
        <v>0.00043697495084298</v>
      </c>
      <c r="AE129" s="12">
        <v>0.000976727830558201</v>
      </c>
      <c r="AF129" s="12">
        <v>0.000494550658122961</v>
      </c>
      <c r="AG129" s="12">
        <v>0.00153446828445556</v>
      </c>
      <c r="AH129" s="12">
        <v>0.00213014382414529</v>
      </c>
      <c r="AI129" s="12">
        <v>0.00197989750510256</v>
      </c>
      <c r="AJ129" s="12">
        <v>0.00290869624016171</v>
      </c>
      <c r="AK129" s="12">
        <v>0.0015955541905662</v>
      </c>
      <c r="AL129" s="12">
        <v>0.00218698352353411</v>
      </c>
      <c r="AM129" s="12">
        <v>0.000958836696119506</v>
      </c>
      <c r="AN129" s="12">
        <v>0.000489393777971302</v>
      </c>
      <c r="AO129" s="12">
        <v>0.00963337352595042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Data</vt:lpstr>
      <vt:lpstr>Original Correlation</vt:lpstr>
      <vt:lpstr>Correlation Matrix(Selected)</vt:lpstr>
      <vt:lpstr>Variance Covariance matrix </vt:lpstr>
      <vt:lpstr>Single-Index Variance-Covarianc</vt:lpstr>
      <vt:lpstr>Constant Correlation Model</vt:lpstr>
      <vt:lpstr>Shrinkage Matrix</vt:lpstr>
      <vt:lpstr>No Short Sale Constrains</vt:lpstr>
      <vt:lpstr>Black Litterman</vt:lpstr>
      <vt:lpstr>3 opinions changed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Microsoft Office User</cp:lastModifiedBy>
  <dcterms:created xsi:type="dcterms:W3CDTF">2012-07-05T09:21:00Z</dcterms:created>
  <dcterms:modified xsi:type="dcterms:W3CDTF">2022-10-29T15:38:25Z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1033-3.2.0.6370</vt:lpwstr>
  </property>
</Properties>
</file>