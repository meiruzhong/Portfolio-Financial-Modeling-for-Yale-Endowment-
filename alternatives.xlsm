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815" windowHeight="7860" firstSheet="1" activeTab="4"/>
  </bookViews>
  <sheets>
    <sheet name="Price" sheetId="1" r:id="rId1"/>
    <sheet name="Return" sheetId="2" r:id="rId2"/>
    <sheet name="VAR-COV" sheetId="3" r:id="rId3"/>
    <sheet name="Results" sheetId="4" r:id="rId4"/>
    <sheet name="Black Litterman" sheetId="5" r:id="rId5"/>
    <sheet name="Final Portfolio" sheetId="6" r:id="rId6"/>
  </sheets>
  <functionGroups builtInGroupCount="17"/>
  <definedNames>
    <definedName name="solver_adj" localSheetId="5" hidden="1">'Final Portfolio'!$J$2:$J$5</definedName>
    <definedName name="solver_adj" localSheetId="3" hidden="1">Results!$D$17:$D$18</definedName>
    <definedName name="solver_cvg" localSheetId="5" hidden="1">0.0001</definedName>
    <definedName name="solver_cvg" localSheetId="3" hidden="1">0.0001</definedName>
    <definedName name="solver_drv" localSheetId="5" hidden="1">2</definedName>
    <definedName name="solver_drv" localSheetId="3" hidden="1">1</definedName>
    <definedName name="solver_eng" localSheetId="5" hidden="1">1</definedName>
    <definedName name="solver_eng" localSheetId="3" hidden="1">1</definedName>
    <definedName name="solver_est" localSheetId="5" hidden="1">1</definedName>
    <definedName name="solver_est" localSheetId="3" hidden="1">1</definedName>
    <definedName name="solver_itr" localSheetId="5" hidden="1">2147483647</definedName>
    <definedName name="solver_itr" localSheetId="3" hidden="1">2147483647</definedName>
    <definedName name="solver_lhs1" localSheetId="5" hidden="1">'Final Portfolio'!$J$3</definedName>
    <definedName name="solver_lhs1" localSheetId="3" hidden="1">Results!$D$19</definedName>
    <definedName name="solver_lhs2" localSheetId="5" hidden="1">'Final Portfolio'!$J$5</definedName>
    <definedName name="solver_lhs3" localSheetId="5" hidden="1">'Final Portfolio'!$J$6</definedName>
    <definedName name="solver_mip" localSheetId="5" hidden="1">2147483647</definedName>
    <definedName name="solver_mip" localSheetId="3" hidden="1">2147483647</definedName>
    <definedName name="solver_mni" localSheetId="5" hidden="1">30</definedName>
    <definedName name="solver_mni" localSheetId="3" hidden="1">30</definedName>
    <definedName name="solver_mrt" localSheetId="5" hidden="1">0.075</definedName>
    <definedName name="solver_mrt" localSheetId="3" hidden="1">0.075</definedName>
    <definedName name="solver_msl" localSheetId="5" hidden="1">2</definedName>
    <definedName name="solver_msl" localSheetId="3" hidden="1">2</definedName>
    <definedName name="solver_neg" localSheetId="5" hidden="1">1</definedName>
    <definedName name="solver_neg" localSheetId="3" hidden="1">2</definedName>
    <definedName name="solver_nod" localSheetId="5" hidden="1">2147483647</definedName>
    <definedName name="solver_nod" localSheetId="3" hidden="1">2147483647</definedName>
    <definedName name="solver_num" localSheetId="5" hidden="1">3</definedName>
    <definedName name="solver_num" localSheetId="3" hidden="1">1</definedName>
    <definedName name="solver_nwt" localSheetId="5" hidden="1">1</definedName>
    <definedName name="solver_nwt" localSheetId="3" hidden="1">1</definedName>
    <definedName name="solver_opt" localSheetId="5" hidden="1">'Final Portfolio'!$B$8</definedName>
    <definedName name="solver_opt" localSheetId="3" hidden="1">Results!$B$24</definedName>
    <definedName name="solver_pre" localSheetId="5" hidden="1">0.000001</definedName>
    <definedName name="solver_pre" localSheetId="3" hidden="1">0.000001</definedName>
    <definedName name="solver_rbv" localSheetId="5" hidden="1">2</definedName>
    <definedName name="solver_rbv" localSheetId="3" hidden="1">1</definedName>
    <definedName name="solver_rel1" localSheetId="5" hidden="1">1</definedName>
    <definedName name="solver_rel1" localSheetId="3" hidden="1">2</definedName>
    <definedName name="solver_rel2" localSheetId="5" hidden="1">2</definedName>
    <definedName name="solver_rel3" localSheetId="5" hidden="1">2</definedName>
    <definedName name="solver_rhs1" localSheetId="5" hidden="1">0.5</definedName>
    <definedName name="solver_rhs1" localSheetId="3" hidden="1">1</definedName>
    <definedName name="solver_rhs2" localSheetId="5" hidden="1">3%</definedName>
    <definedName name="solver_rhs3" localSheetId="5" hidden="1">1</definedName>
    <definedName name="solver_rlx" localSheetId="5" hidden="1">2</definedName>
    <definedName name="solver_rlx" localSheetId="3" hidden="1">2</definedName>
    <definedName name="solver_rsd" localSheetId="5" hidden="1">0</definedName>
    <definedName name="solver_rsd" localSheetId="3" hidden="1">0</definedName>
    <definedName name="solver_scl" localSheetId="5" hidden="1">2</definedName>
    <definedName name="solver_scl" localSheetId="3" hidden="1">1</definedName>
    <definedName name="solver_sho" localSheetId="5" hidden="1">2</definedName>
    <definedName name="solver_sho" localSheetId="3" hidden="1">2</definedName>
    <definedName name="solver_ssz" localSheetId="5" hidden="1">100</definedName>
    <definedName name="solver_ssz" localSheetId="3" hidden="1">100</definedName>
    <definedName name="solver_tim" localSheetId="5" hidden="1">2147483647</definedName>
    <definedName name="solver_tim" localSheetId="3" hidden="1">2147483647</definedName>
    <definedName name="solver_tol" localSheetId="5" hidden="1">0.01</definedName>
    <definedName name="solver_tol" localSheetId="3" hidden="1">0.01</definedName>
    <definedName name="solver_typ" localSheetId="5" hidden="1">3</definedName>
    <definedName name="solver_typ" localSheetId="3" hidden="1">1</definedName>
    <definedName name="solver_val" localSheetId="5" hidden="1">0.009167</definedName>
    <definedName name="solver_val" localSheetId="3" hidden="1">0</definedName>
    <definedName name="solver_ver" localSheetId="5" hidden="1">3</definedName>
    <definedName name="solver_ver" localSheetId="3" hidden="1">3</definedName>
  </definedNames>
  <calcPr calcId="145621"/>
</workbook>
</file>

<file path=xl/calcChain.xml><?xml version="1.0" encoding="utf-8"?>
<calcChain xmlns="http://schemas.openxmlformats.org/spreadsheetml/2006/main">
  <c r="C2" i="5" l="1"/>
  <c r="B2" i="5" l="1"/>
  <c r="B8" i="6" l="1"/>
  <c r="B9" i="6"/>
  <c r="K6" i="6"/>
  <c r="J6" i="6"/>
  <c r="E26" i="5"/>
  <c r="C24" i="4"/>
  <c r="C23" i="4"/>
  <c r="C22" i="4" a="1"/>
  <c r="C22" i="4" s="1"/>
  <c r="C21" i="4" a="1"/>
  <c r="C21" i="4" s="1"/>
  <c r="B27" i="5" l="1"/>
  <c r="C24" i="5" s="1"/>
  <c r="C8" i="5"/>
  <c r="M24" i="5" s="1" a="1"/>
  <c r="M24" i="5" s="1"/>
  <c r="B8" i="5"/>
  <c r="B14" i="4"/>
  <c r="G12" i="5"/>
  <c r="C19" i="5"/>
  <c r="C27" i="5"/>
  <c r="C4" i="5"/>
  <c r="E25" i="5" l="1"/>
  <c r="E24" i="5"/>
  <c r="K24" i="5" s="1" a="1"/>
  <c r="K24" i="5" s="1"/>
  <c r="M25" i="5"/>
  <c r="B4" i="5" a="1"/>
  <c r="B4" i="5" s="1"/>
  <c r="F12" i="5" s="1" a="1"/>
  <c r="B42" i="2"/>
  <c r="B2" i="4" a="1"/>
  <c r="K25" i="5" l="1"/>
  <c r="K26" i="5" s="1"/>
  <c r="F12" i="5"/>
  <c r="F13" i="5"/>
  <c r="B2" i="4"/>
  <c r="C2" i="4"/>
  <c r="B3" i="4"/>
  <c r="C3" i="4"/>
  <c r="E11" i="4" a="1"/>
  <c r="E11" i="4" s="1"/>
  <c r="F11" i="4" s="1"/>
  <c r="B11" i="4" a="1"/>
  <c r="A11" i="4" a="1"/>
  <c r="A11" i="4" s="1"/>
  <c r="A6" i="4" a="1"/>
  <c r="A6" i="4" s="1"/>
  <c r="A2" i="4" a="1"/>
  <c r="A2" i="4" s="1"/>
  <c r="A16" i="3" a="1"/>
  <c r="A16" i="3" s="1"/>
  <c r="A10" i="3" a="1"/>
  <c r="A10" i="3" s="1"/>
  <c r="A3" i="3" a="1"/>
  <c r="A6" i="3" s="1"/>
  <c r="E40" i="2"/>
  <c r="D40" i="2"/>
  <c r="C40" i="2"/>
  <c r="B40" i="2"/>
  <c r="E39" i="2"/>
  <c r="D39" i="2"/>
  <c r="C39" i="2"/>
  <c r="B39" i="2"/>
  <c r="E38" i="2"/>
  <c r="D38" i="2"/>
  <c r="C38" i="2"/>
  <c r="B38" i="2"/>
  <c r="E37" i="2"/>
  <c r="D37" i="2"/>
  <c r="C37" i="2"/>
  <c r="B37" i="2"/>
  <c r="E36" i="2"/>
  <c r="D36" i="2"/>
  <c r="C36" i="2"/>
  <c r="B36" i="2"/>
  <c r="E35" i="2"/>
  <c r="D35" i="2"/>
  <c r="C35" i="2"/>
  <c r="B35" i="2"/>
  <c r="E34" i="2"/>
  <c r="D34" i="2"/>
  <c r="C34" i="2"/>
  <c r="B34" i="2"/>
  <c r="E33" i="2"/>
  <c r="D33" i="2"/>
  <c r="C33" i="2"/>
  <c r="B33" i="2"/>
  <c r="E32" i="2"/>
  <c r="D32" i="2"/>
  <c r="C32" i="2"/>
  <c r="B32" i="2"/>
  <c r="E31" i="2"/>
  <c r="D31" i="2"/>
  <c r="C31" i="2"/>
  <c r="B31" i="2"/>
  <c r="E30" i="2"/>
  <c r="D30" i="2"/>
  <c r="C30" i="2"/>
  <c r="B30" i="2"/>
  <c r="E29" i="2"/>
  <c r="D29" i="2"/>
  <c r="C29" i="2"/>
  <c r="B29" i="2"/>
  <c r="E28" i="2"/>
  <c r="D28" i="2"/>
  <c r="C28" i="2"/>
  <c r="B28" i="2"/>
  <c r="E27" i="2"/>
  <c r="D27" i="2"/>
  <c r="C27" i="2"/>
  <c r="B27" i="2"/>
  <c r="E26" i="2"/>
  <c r="D26" i="2"/>
  <c r="C26" i="2"/>
  <c r="B26" i="2"/>
  <c r="E25" i="2"/>
  <c r="D25" i="2"/>
  <c r="C25" i="2"/>
  <c r="B25" i="2"/>
  <c r="E24" i="2"/>
  <c r="D24" i="2"/>
  <c r="C24" i="2"/>
  <c r="B24" i="2"/>
  <c r="E23" i="2"/>
  <c r="D23" i="2"/>
  <c r="C23" i="2"/>
  <c r="B23" i="2"/>
  <c r="E22" i="2"/>
  <c r="D22" i="2"/>
  <c r="C22" i="2"/>
  <c r="B22" i="2"/>
  <c r="E21" i="2"/>
  <c r="D21" i="2"/>
  <c r="C21" i="2"/>
  <c r="B21" i="2"/>
  <c r="E20" i="2"/>
  <c r="D20" i="2"/>
  <c r="C20" i="2"/>
  <c r="B20" i="2"/>
  <c r="E19" i="2"/>
  <c r="D19" i="2"/>
  <c r="C19" i="2"/>
  <c r="B19" i="2"/>
  <c r="E18" i="2"/>
  <c r="D18" i="2"/>
  <c r="C18" i="2"/>
  <c r="B18" i="2"/>
  <c r="E17" i="2"/>
  <c r="D17" i="2"/>
  <c r="C17" i="2"/>
  <c r="B17" i="2"/>
  <c r="E16" i="2"/>
  <c r="D16" i="2"/>
  <c r="C16" i="2"/>
  <c r="B16" i="2"/>
  <c r="E15" i="2"/>
  <c r="D15" i="2"/>
  <c r="C15" i="2"/>
  <c r="B15" i="2"/>
  <c r="E14" i="2"/>
  <c r="D14" i="2"/>
  <c r="C14" i="2"/>
  <c r="B14" i="2"/>
  <c r="E13" i="2"/>
  <c r="D13" i="2"/>
  <c r="C13" i="2"/>
  <c r="B13" i="2"/>
  <c r="E12" i="2"/>
  <c r="D12" i="2"/>
  <c r="C12" i="2"/>
  <c r="B12" i="2"/>
  <c r="E11" i="2"/>
  <c r="D11" i="2"/>
  <c r="C11" i="2"/>
  <c r="B11" i="2"/>
  <c r="E10" i="2"/>
  <c r="D10" i="2"/>
  <c r="C10" i="2"/>
  <c r="B10" i="2"/>
  <c r="E9" i="2"/>
  <c r="D9" i="2"/>
  <c r="C9" i="2"/>
  <c r="B9" i="2"/>
  <c r="E8" i="2"/>
  <c r="D8" i="2"/>
  <c r="C8" i="2"/>
  <c r="B8" i="2"/>
  <c r="E7" i="2"/>
  <c r="D7" i="2"/>
  <c r="C7" i="2"/>
  <c r="B7" i="2"/>
  <c r="E6" i="2"/>
  <c r="D6" i="2"/>
  <c r="C6" i="2"/>
  <c r="B6" i="2"/>
  <c r="E5" i="2"/>
  <c r="D5" i="2"/>
  <c r="C5" i="2"/>
  <c r="B5" i="2"/>
  <c r="E4" i="2"/>
  <c r="D4" i="2"/>
  <c r="C4" i="2"/>
  <c r="B4" i="2"/>
  <c r="E3" i="2"/>
  <c r="D3" i="2"/>
  <c r="C3" i="2"/>
  <c r="B3" i="2"/>
  <c r="E2" i="2"/>
  <c r="E42" i="2" s="1"/>
  <c r="D2" i="2"/>
  <c r="D42" i="2" s="1"/>
  <c r="C2" i="2"/>
  <c r="C42" i="2" s="1"/>
  <c r="B2" i="2"/>
  <c r="K41" i="1"/>
  <c r="J41" i="1"/>
  <c r="I41" i="1"/>
  <c r="H41" i="1"/>
  <c r="K40" i="1"/>
  <c r="J40" i="1"/>
  <c r="I40" i="1"/>
  <c r="H40" i="1"/>
  <c r="K39" i="1"/>
  <c r="J39" i="1"/>
  <c r="I39" i="1"/>
  <c r="H39" i="1"/>
  <c r="K38" i="1"/>
  <c r="J38" i="1"/>
  <c r="I38" i="1"/>
  <c r="H38" i="1"/>
  <c r="K37" i="1"/>
  <c r="J37" i="1"/>
  <c r="I37" i="1"/>
  <c r="H37" i="1"/>
  <c r="K36" i="1"/>
  <c r="J36" i="1"/>
  <c r="I36" i="1"/>
  <c r="H36" i="1"/>
  <c r="K35" i="1"/>
  <c r="J35" i="1"/>
  <c r="I35" i="1"/>
  <c r="H35" i="1"/>
  <c r="K34" i="1"/>
  <c r="J34" i="1"/>
  <c r="I34" i="1"/>
  <c r="H34" i="1"/>
  <c r="K33" i="1"/>
  <c r="J33" i="1"/>
  <c r="I33" i="1"/>
  <c r="H33" i="1"/>
  <c r="K32" i="1"/>
  <c r="J32" i="1"/>
  <c r="I32" i="1"/>
  <c r="H32" i="1"/>
  <c r="K31" i="1"/>
  <c r="J31" i="1"/>
  <c r="I31" i="1"/>
  <c r="H31" i="1"/>
  <c r="K30" i="1"/>
  <c r="J30" i="1"/>
  <c r="I30" i="1"/>
  <c r="H30" i="1"/>
  <c r="K29" i="1"/>
  <c r="J29" i="1"/>
  <c r="I29" i="1"/>
  <c r="H29" i="1"/>
  <c r="K28" i="1"/>
  <c r="J28" i="1"/>
  <c r="I28" i="1"/>
  <c r="H28" i="1"/>
  <c r="K27" i="1"/>
  <c r="J27" i="1"/>
  <c r="I27" i="1"/>
  <c r="H27" i="1"/>
  <c r="K26" i="1"/>
  <c r="J26" i="1"/>
  <c r="I26" i="1"/>
  <c r="H26" i="1"/>
  <c r="K25" i="1"/>
  <c r="J25" i="1"/>
  <c r="I25" i="1"/>
  <c r="H25" i="1"/>
  <c r="K24" i="1"/>
  <c r="J24" i="1"/>
  <c r="I24" i="1"/>
  <c r="H24" i="1"/>
  <c r="K23" i="1"/>
  <c r="J23" i="1"/>
  <c r="I23" i="1"/>
  <c r="H23" i="1"/>
  <c r="K22" i="1"/>
  <c r="J22" i="1"/>
  <c r="I22" i="1"/>
  <c r="H22" i="1"/>
  <c r="K21" i="1"/>
  <c r="J21" i="1"/>
  <c r="I21" i="1"/>
  <c r="H21" i="1"/>
  <c r="K20" i="1"/>
  <c r="J20" i="1"/>
  <c r="I20" i="1"/>
  <c r="H20" i="1"/>
  <c r="K19" i="1"/>
  <c r="J19" i="1"/>
  <c r="I19" i="1"/>
  <c r="H19" i="1"/>
  <c r="K18" i="1"/>
  <c r="J18" i="1"/>
  <c r="I18" i="1"/>
  <c r="H18" i="1"/>
  <c r="K17" i="1"/>
  <c r="J17" i="1"/>
  <c r="I17" i="1"/>
  <c r="H17" i="1"/>
  <c r="K16" i="1"/>
  <c r="J16" i="1"/>
  <c r="I16" i="1"/>
  <c r="H16" i="1"/>
  <c r="K15" i="1"/>
  <c r="J15" i="1"/>
  <c r="I15" i="1"/>
  <c r="H15" i="1"/>
  <c r="K14" i="1"/>
  <c r="J14" i="1"/>
  <c r="I14" i="1"/>
  <c r="H14" i="1"/>
  <c r="K13" i="1"/>
  <c r="J13" i="1"/>
  <c r="I13" i="1"/>
  <c r="H13" i="1"/>
  <c r="K12" i="1"/>
  <c r="J12" i="1"/>
  <c r="I12" i="1"/>
  <c r="H12" i="1"/>
  <c r="K11" i="1"/>
  <c r="J11" i="1"/>
  <c r="I11" i="1"/>
  <c r="H11" i="1"/>
  <c r="K10" i="1"/>
  <c r="J10" i="1"/>
  <c r="I10" i="1"/>
  <c r="H10" i="1"/>
  <c r="K9" i="1"/>
  <c r="J9" i="1"/>
  <c r="I9" i="1"/>
  <c r="H9" i="1"/>
  <c r="K8" i="1"/>
  <c r="J8" i="1"/>
  <c r="I8" i="1"/>
  <c r="H8" i="1"/>
  <c r="K7" i="1"/>
  <c r="J7" i="1"/>
  <c r="I7" i="1"/>
  <c r="H7" i="1"/>
  <c r="K6" i="1"/>
  <c r="J6" i="1"/>
  <c r="I6" i="1"/>
  <c r="H6" i="1"/>
  <c r="K5" i="1"/>
  <c r="J5" i="1"/>
  <c r="I5" i="1"/>
  <c r="H5" i="1"/>
  <c r="K4" i="1"/>
  <c r="J4" i="1"/>
  <c r="I4" i="1"/>
  <c r="H4" i="1"/>
  <c r="K3" i="1"/>
  <c r="J3" i="1"/>
  <c r="I3" i="1"/>
  <c r="H3" i="1"/>
  <c r="B16" i="3" a="1"/>
  <c r="B10" i="3" a="1"/>
  <c r="B3" i="3" a="1"/>
  <c r="B16" i="5" l="1" a="1"/>
  <c r="B16" i="5" s="1"/>
  <c r="B19" i="5" a="1"/>
  <c r="E12" i="4"/>
  <c r="F12" i="4" s="1"/>
  <c r="A12" i="4"/>
  <c r="A7" i="4"/>
  <c r="A3" i="4"/>
  <c r="B16" i="3"/>
  <c r="C16" i="3"/>
  <c r="C17" i="3"/>
  <c r="B17" i="3"/>
  <c r="A17" i="3"/>
  <c r="B10" i="3"/>
  <c r="B11" i="3"/>
  <c r="B12" i="3"/>
  <c r="B13" i="3"/>
  <c r="C10" i="3"/>
  <c r="C11" i="3"/>
  <c r="C12" i="3"/>
  <c r="C13" i="3"/>
  <c r="E10" i="3"/>
  <c r="E11" i="3"/>
  <c r="E12" i="3"/>
  <c r="E13" i="3"/>
  <c r="D10" i="3"/>
  <c r="D11" i="3"/>
  <c r="D12" i="3"/>
  <c r="D13" i="3"/>
  <c r="A12" i="3"/>
  <c r="A13" i="3"/>
  <c r="A11" i="3"/>
  <c r="B3" i="3"/>
  <c r="B4" i="3"/>
  <c r="B5" i="3"/>
  <c r="B6" i="3"/>
  <c r="C3" i="3"/>
  <c r="C4" i="3"/>
  <c r="C5" i="3"/>
  <c r="C6" i="3"/>
  <c r="E3" i="3"/>
  <c r="E4" i="3"/>
  <c r="E5" i="3"/>
  <c r="E6" i="3"/>
  <c r="D3" i="3"/>
  <c r="D4" i="3"/>
  <c r="D5" i="3"/>
  <c r="D6" i="3"/>
  <c r="A4" i="3"/>
  <c r="A5" i="3"/>
  <c r="A3" i="3"/>
  <c r="B19" i="5" l="1"/>
  <c r="B21" i="5" s="1"/>
  <c r="B20" i="5"/>
  <c r="B6" i="4" a="1"/>
  <c r="B6" i="4" l="1"/>
  <c r="B11" i="4" s="1"/>
  <c r="B7" i="4"/>
  <c r="B12" i="4" s="1"/>
  <c r="C7" i="4"/>
  <c r="C12" i="4" s="1"/>
  <c r="C6" i="4"/>
  <c r="C11" i="4" s="1"/>
  <c r="B17" i="4" l="1" a="1"/>
  <c r="B17" i="4" s="1"/>
  <c r="B18" i="4" l="1"/>
  <c r="B22" i="4" a="1"/>
  <c r="B22" i="4" s="1"/>
  <c r="B23" i="4" s="1"/>
  <c r="B21" i="4" a="1"/>
  <c r="B21" i="4" s="1"/>
  <c r="D19" i="4"/>
  <c r="B24" i="4" l="1"/>
</calcChain>
</file>

<file path=xl/sharedStrings.xml><?xml version="1.0" encoding="utf-8"?>
<sst xmlns="http://schemas.openxmlformats.org/spreadsheetml/2006/main" count="361" uniqueCount="258">
  <si>
    <t>Date</t>
  </si>
  <si>
    <t>GII</t>
  </si>
  <si>
    <t>NANR</t>
  </si>
  <si>
    <t>RWR</t>
  </si>
  <si>
    <t>GLD</t>
  </si>
  <si>
    <t>30-Sep-2016</t>
  </si>
  <si>
    <t>47.712291</t>
  </si>
  <si>
    <t>34.048971</t>
  </si>
  <si>
    <t>97.360156</t>
  </si>
  <si>
    <t>126.153559</t>
  </si>
  <si>
    <t>30-Nov-2016</t>
  </si>
  <si>
    <t>44.447962</t>
  </si>
  <si>
    <t>34.702368</t>
  </si>
  <si>
    <t>90.619883</t>
  </si>
  <si>
    <t>112.301677</t>
  </si>
  <si>
    <t>30-Dec-2016</t>
  </si>
  <si>
    <t>44.888393</t>
  </si>
  <si>
    <t>33.476553</t>
  </si>
  <si>
    <t>93.267132</t>
  </si>
  <si>
    <t>110.453973</t>
  </si>
  <si>
    <t>30-Jan-2017</t>
  </si>
  <si>
    <t>45.135824</t>
  </si>
  <si>
    <t>34.384411</t>
  </si>
  <si>
    <t>91.710492</t>
  </si>
  <si>
    <t>113.627467</t>
  </si>
  <si>
    <t>30-Mar-2017</t>
  </si>
  <si>
    <t>48.379728</t>
  </si>
  <si>
    <t>33.298353</t>
  </si>
  <si>
    <t>91.821292</t>
  </si>
  <si>
    <t>118.886422</t>
  </si>
  <si>
    <t>30-May-2017</t>
  </si>
  <si>
    <t>50.948561</t>
  </si>
  <si>
    <t>31.907265</t>
  </si>
  <si>
    <t>91.452631</t>
  </si>
  <si>
    <t>120.128784</t>
  </si>
  <si>
    <t>30-Jun-2017</t>
  </si>
  <si>
    <t>50.306000</t>
  </si>
  <si>
    <t>30.994332</t>
  </si>
  <si>
    <t>92.992826</t>
  </si>
  <si>
    <t>118.143457</t>
  </si>
  <si>
    <t>30-Aug-2017</t>
  </si>
  <si>
    <t>52.348031</t>
  </si>
  <si>
    <t>32.363221</t>
  </si>
  <si>
    <t>92.650608</t>
  </si>
  <si>
    <t>124.361454</t>
  </si>
  <si>
    <t>30-Oct-2017</t>
  </si>
  <si>
    <t>52.157152</t>
  </si>
  <si>
    <t>33.562393</t>
  </si>
  <si>
    <t>91.466418</t>
  </si>
  <si>
    <t>120.811176</t>
  </si>
  <si>
    <t>30-Nov-2017</t>
  </si>
  <si>
    <t>53.206747</t>
  </si>
  <si>
    <t>33.873604</t>
  </si>
  <si>
    <t>94.314418</t>
  </si>
  <si>
    <t>121.548593</t>
  </si>
  <si>
    <t>30-Jan-2018</t>
  </si>
  <si>
    <t>51.932548</t>
  </si>
  <si>
    <t>36.458135</t>
  </si>
  <si>
    <t>88.371719</t>
  </si>
  <si>
    <t>127.607811</t>
  </si>
  <si>
    <t>30-Apr-2018</t>
  </si>
  <si>
    <t>50.103412</t>
  </si>
  <si>
    <t>35.164147</t>
  </si>
  <si>
    <t>87.392513</t>
  </si>
  <si>
    <t>124.476473</t>
  </si>
  <si>
    <t>30-May-2018</t>
  </si>
  <si>
    <t>49.089750</t>
  </si>
  <si>
    <t>36.430116</t>
  </si>
  <si>
    <t>91.137842</t>
  </si>
  <si>
    <t>123.250862</t>
  </si>
  <si>
    <t>30-Jul-2018</t>
  </si>
  <si>
    <t>50.076090</t>
  </si>
  <si>
    <t>35.879510</t>
  </si>
  <si>
    <t>92.511560</t>
  </si>
  <si>
    <t>115.884920</t>
  </si>
  <si>
    <t>30-Aug-2018</t>
  </si>
  <si>
    <t>49.312362</t>
  </si>
  <si>
    <t>33.972081</t>
  </si>
  <si>
    <t>96.798340</t>
  </si>
  <si>
    <t>113.336471</t>
  </si>
  <si>
    <t>30-Oct-2018</t>
  </si>
  <si>
    <t>46.506572</t>
  </si>
  <si>
    <t>31.058622</t>
  </si>
  <si>
    <t>92.104754</t>
  </si>
  <si>
    <t>115.919572</t>
  </si>
  <si>
    <t>30-Nov-2018</t>
  </si>
  <si>
    <t>47.441875</t>
  </si>
  <si>
    <t>31.322132</t>
  </si>
  <si>
    <t>95.270442</t>
  </si>
  <si>
    <t>115.137014</t>
  </si>
  <si>
    <t>30-Jan-2019</t>
  </si>
  <si>
    <t>48.425953</t>
  </si>
  <si>
    <t>31.315339</t>
  </si>
  <si>
    <t>95.170955</t>
  </si>
  <si>
    <t>123.865545</t>
  </si>
  <si>
    <t>30-Apr-2019</t>
  </si>
  <si>
    <t>52.009723</t>
  </si>
  <si>
    <t>32.218185</t>
  </si>
  <si>
    <t>98.702309</t>
  </si>
  <si>
    <t>121.061066</t>
  </si>
  <si>
    <t>30-May-2019</t>
  </si>
  <si>
    <t>51.149218</t>
  </si>
  <si>
    <t>29.407967</t>
  </si>
  <si>
    <t>97.878091</t>
  </si>
  <si>
    <t>120.893953</t>
  </si>
  <si>
    <t>30-Jul-2019</t>
  </si>
  <si>
    <t>52.274868</t>
  </si>
  <si>
    <t>32.471608</t>
  </si>
  <si>
    <t>101.003209</t>
  </si>
  <si>
    <t>134.487061</t>
  </si>
  <si>
    <t>30-Aug-2019</t>
  </si>
  <si>
    <t>52.206194</t>
  </si>
  <si>
    <t>31.342810</t>
  </si>
  <si>
    <t>102.721016</t>
  </si>
  <si>
    <t>144.108877</t>
  </si>
  <si>
    <t>30-Sep-2019</t>
  </si>
  <si>
    <t>53.314049</t>
  </si>
  <si>
    <t>31.368467</t>
  </si>
  <si>
    <t>104.595843</t>
  </si>
  <si>
    <t>139.996817</t>
  </si>
  <si>
    <t>30-Oct-2019</t>
  </si>
  <si>
    <t>53.845481</t>
  </si>
  <si>
    <t>31.012833</t>
  </si>
  <si>
    <t>105.895210</t>
  </si>
  <si>
    <t>140.591865</t>
  </si>
  <si>
    <t>30-Dec-2019</t>
  </si>
  <si>
    <t>54.849387</t>
  </si>
  <si>
    <t>33.550661</t>
  </si>
  <si>
    <t>101.269906</t>
  </si>
  <si>
    <t>142.630865</t>
  </si>
  <si>
    <t>30-Jan-2020</t>
  </si>
  <si>
    <t>56.016794</t>
  </si>
  <si>
    <t>31.813894</t>
  </si>
  <si>
    <t>103.757038</t>
  </si>
  <si>
    <t>148.561610</t>
  </si>
  <si>
    <t>30-Mar-2020</t>
  </si>
  <si>
    <t>39.196792</t>
  </si>
  <si>
    <t>21.701502</t>
  </si>
  <si>
    <t>73.413096</t>
  </si>
  <si>
    <t>152.230782</t>
  </si>
  <si>
    <t>30-Apr-2020</t>
  </si>
  <si>
    <t>42.547340</t>
  </si>
  <si>
    <t>28.342859</t>
  </si>
  <si>
    <t>77.889027</t>
  </si>
  <si>
    <t>160.122228</t>
  </si>
  <si>
    <t>30-Jun-2020</t>
  </si>
  <si>
    <t>43.651466</t>
  </si>
  <si>
    <t>29.086931</t>
  </si>
  <si>
    <t>78.073676</t>
  </si>
  <si>
    <t>166.158075</t>
  </si>
  <si>
    <t>30-Jul-2020</t>
  </si>
  <si>
    <t>45.096995</t>
  </si>
  <si>
    <t>30.115953</t>
  </si>
  <si>
    <t>80.687684</t>
  </si>
  <si>
    <t>183.915681</t>
  </si>
  <si>
    <t>30-Sep-2020</t>
  </si>
  <si>
    <t>44.290366</t>
  </si>
  <si>
    <t>28.495132</t>
  </si>
  <si>
    <t>78.037317</t>
  </si>
  <si>
    <t>177.146757</t>
  </si>
  <si>
    <t>30-Oct-2020</t>
  </si>
  <si>
    <t>43.798716</t>
  </si>
  <si>
    <t>27.899120</t>
  </si>
  <si>
    <t>75.999485</t>
  </si>
  <si>
    <t>176.614097</t>
  </si>
  <si>
    <t>30-Nov-2020</t>
  </si>
  <si>
    <t>49.415017</t>
  </si>
  <si>
    <t>32.362122</t>
  </si>
  <si>
    <t>85.291375</t>
  </si>
  <si>
    <t>165.358416</t>
  </si>
  <si>
    <t>30-Dec-2020</t>
  </si>
  <si>
    <t>50.046680</t>
  </si>
  <si>
    <t>33.458136</t>
  </si>
  <si>
    <t>85.880845</t>
  </si>
  <si>
    <t>177.035793</t>
  </si>
  <si>
    <t>30-Mar-2021</t>
  </si>
  <si>
    <t>51.062101</t>
  </si>
  <si>
    <t>38.582941</t>
  </si>
  <si>
    <t>95.661753</t>
  </si>
  <si>
    <t>157.773226</t>
  </si>
  <si>
    <t>30-Apr-2021</t>
  </si>
  <si>
    <t>53.308291</t>
  </si>
  <si>
    <t>40.347877</t>
  </si>
  <si>
    <t>102.322874</t>
  </si>
  <si>
    <t>165.561146</t>
  </si>
  <si>
    <t>30-Jun-2021</t>
  </si>
  <si>
    <t>52.163305</t>
  </si>
  <si>
    <t>41.653036</t>
  </si>
  <si>
    <t>104.871896</t>
  </si>
  <si>
    <t>165.028797</t>
  </si>
  <si>
    <t>30-Jul-2021</t>
  </si>
  <si>
    <t>52.651422</t>
  </si>
  <si>
    <t>40.372257</t>
  </si>
  <si>
    <t>110.428083</t>
  </si>
  <si>
    <t>170.834023</t>
  </si>
  <si>
    <t>30-Aug-2021</t>
  </si>
  <si>
    <t>53.518215</t>
  </si>
  <si>
    <t>39.011785</t>
  </si>
  <si>
    <t>111.703083</t>
  </si>
  <si>
    <t>168.226783</t>
  </si>
  <si>
    <t>30-Sep-2021</t>
  </si>
  <si>
    <t>52.870111</t>
  </si>
  <si>
    <t>39.845420</t>
  </si>
  <si>
    <t>105.374151</t>
  </si>
  <si>
    <t>162.959960</t>
  </si>
  <si>
    <t>Fund Name:</t>
  </si>
  <si>
    <t>SPDR® S&amp;P® Global Infrastructure ETF</t>
  </si>
  <si>
    <t>Ticker Symbol:</t>
  </si>
  <si>
    <t>SPDR® S&amp;P® North American Natural Resources ETF</t>
  </si>
  <si>
    <t>SPDR® Dow Jones® REIT ETF</t>
  </si>
  <si>
    <t>SPDR® Gold Shares</t>
  </si>
  <si>
    <t>Average</t>
  </si>
  <si>
    <t>var-cov</t>
  </si>
  <si>
    <t>corr</t>
  </si>
  <si>
    <t>lamda</t>
  </si>
  <si>
    <t>mean</t>
  </si>
  <si>
    <t>risk-free rate</t>
  </si>
  <si>
    <t>mean-c</t>
  </si>
  <si>
    <t>z</t>
  </si>
  <si>
    <t>portfolio_mean</t>
  </si>
  <si>
    <t>portfolio_var</t>
  </si>
  <si>
    <t>sharpe ratio</t>
  </si>
  <si>
    <t>sigma</t>
  </si>
  <si>
    <t>Anticipated benchmark return</t>
  </si>
  <si>
    <t>Current T-bill rate</t>
  </si>
  <si>
    <t>Normalizing factor</t>
  </si>
  <si>
    <t>Market cap (million $)</t>
  </si>
  <si>
    <t>Benchmark proportions</t>
  </si>
  <si>
    <t>Variance-covariance matrix</t>
  </si>
  <si>
    <t>With normalizing factor</t>
  </si>
  <si>
    <t>Check:  The expected return
of the benchmark?</t>
  </si>
  <si>
    <t>&lt;--  {=MMULT(B8:D8,F12:F14)}</t>
  </si>
  <si>
    <t>Additional check:
Optimal portfolio</t>
  </si>
  <si>
    <t>Sum of proportions</t>
  </si>
  <si>
    <t>Expected benchmark returns, no opinions</t>
  </si>
  <si>
    <r>
      <t xml:space="preserve">Analyst
opinion,
delta, </t>
    </r>
    <r>
      <rPr>
        <sz val="10"/>
        <rFont val="Symbol"/>
        <family val="1"/>
        <charset val="2"/>
      </rPr>
      <t>d</t>
    </r>
  </si>
  <si>
    <t>Returns
adjusted for opinions</t>
  </si>
  <si>
    <t>Opinion-adjusted optimized portfolio</t>
  </si>
  <si>
    <t>Portfolio
benchmark, no opinions</t>
  </si>
  <si>
    <t>GM</t>
  </si>
  <si>
    <t>&lt;--  =A25+B12/$B$12*$B$25</t>
  </si>
  <si>
    <t>HD</t>
  </si>
  <si>
    <t>&lt;--  =A26+B13/$B$12*$B$25</t>
  </si>
  <si>
    <t>Cells J25:J34 contain the array formula {=MMULT(MINVERSE(B12:K21),D25:D34-B3)/SUM(MMULT(MINVERSE(B12:K21),D25:D34-B3))}</t>
  </si>
  <si>
    <t>sum</t>
  </si>
  <si>
    <t>expected RWR return</t>
  </si>
  <si>
    <t>black litterman</t>
  </si>
  <si>
    <t>Portfolio mean</t>
  </si>
  <si>
    <t>Portfolio sigma</t>
  </si>
  <si>
    <t>Equity</t>
  </si>
  <si>
    <t>optimized</t>
  </si>
  <si>
    <t>Bond</t>
  </si>
  <si>
    <t>Alternative</t>
  </si>
  <si>
    <t>short sales allowed (optimized)</t>
  </si>
  <si>
    <t>Return Objective</t>
  </si>
  <si>
    <t>traditional optimized</t>
  </si>
  <si>
    <t>Cash</t>
  </si>
  <si>
    <t>Black Litterman - Alternative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</si>
</sst>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%"/>
    <numFmt numFmtId="165" formatCode="[$-409]d\-mmm\-yy;@"/>
    <numFmt numFmtId="166" formatCode="0.000%"/>
    <numFmt numFmtId="167" formatCode="0.0000"/>
    <numFmt numFmtId="168" formatCode="0.0000000%"/>
  </numFmts>
  <fonts count="15">
    <font>
      <sz val="11"/>
      <color theme="1"/>
      <name val="Calibri"/>
      <charset val="134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宋体"/>
      <charset val="134"/>
    </font>
    <font>
      <sz val="10"/>
      <color indexed="63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4"/>
      <name val="Arial"/>
      <family val="2"/>
    </font>
    <font>
      <sz val="10"/>
      <name val="Symbol"/>
      <family val="1"/>
      <charset val="2"/>
    </font>
    <font>
      <sz val="9"/>
      <name val="Arial"/>
      <family val="2"/>
    </font>
    <font>
      <sz val="11"/>
      <color theme="1"/>
      <name val="Times New Roman"/>
      <family val="1"/>
    </font>
    <font>
      <sz val="1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8" fillId="0" borderId="0" applyFont="0" applyFill="0" applyBorder="0" applyAlignment="0" applyProtection="0"/>
    <xf numFmtId="165" fontId="2" fillId="0" borderId="0"/>
    <xf numFmtId="9" fontId="2" fillId="0" borderId="0" applyFont="0" applyFill="0" applyBorder="0" applyAlignment="0" applyProtection="0"/>
    <xf numFmtId="165" fontId="2" fillId="0" borderId="0"/>
    <xf numFmtId="0" fontId="8" fillId="0" borderId="0"/>
    <xf numFmtId="9" fontId="2" fillId="0" borderId="0" applyFont="0" applyFill="0" applyBorder="0" applyAlignment="0" applyProtection="0"/>
    <xf numFmtId="165" fontId="9" fillId="0" borderId="0"/>
    <xf numFmtId="0" fontId="8" fillId="0" borderId="0"/>
    <xf numFmtId="9" fontId="8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61">
    <xf numFmtId="0" fontId="0" fillId="0" borderId="0" xfId="0">
      <alignment vertical="center"/>
    </xf>
    <xf numFmtId="0" fontId="1" fillId="0" borderId="0" xfId="0" applyFont="1" applyFill="1" applyAlignment="1">
      <alignment horizontal="left"/>
    </xf>
    <xf numFmtId="10" fontId="0" fillId="0" borderId="0" xfId="1" applyNumberFormat="1" applyFont="1">
      <alignment vertical="center"/>
    </xf>
    <xf numFmtId="0" fontId="1" fillId="0" borderId="0" xfId="0" applyFont="1" applyFill="1" applyAlignment="1"/>
    <xf numFmtId="164" fontId="0" fillId="0" borderId="0" xfId="1" applyNumberFormat="1" applyFont="1">
      <alignment vertical="center"/>
    </xf>
    <xf numFmtId="0" fontId="3" fillId="0" borderId="0" xfId="0" applyFont="1">
      <alignment vertical="center"/>
    </xf>
    <xf numFmtId="0" fontId="0" fillId="2" borderId="0" xfId="0" applyFill="1">
      <alignment vertical="center"/>
    </xf>
    <xf numFmtId="0" fontId="4" fillId="0" borderId="0" xfId="0" applyNumberFormat="1" applyFont="1" applyFill="1" applyBorder="1" applyAlignment="1" applyProtection="1">
      <alignment vertical="center"/>
    </xf>
    <xf numFmtId="10" fontId="5" fillId="0" borderId="0" xfId="0" applyNumberFormat="1" applyFont="1" applyFill="1" applyBorder="1" applyAlignment="1" applyProtection="1">
      <alignment vertical="center"/>
    </xf>
    <xf numFmtId="9" fontId="0" fillId="0" borderId="0" xfId="1" applyFont="1">
      <alignment vertical="center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2">
      <alignment vertical="center"/>
    </xf>
    <xf numFmtId="0" fontId="1" fillId="0" borderId="0" xfId="2" applyFont="1" applyFill="1" applyAlignment="1">
      <alignment horizontal="left"/>
    </xf>
    <xf numFmtId="0" fontId="8" fillId="0" borderId="0" xfId="10"/>
    <xf numFmtId="10" fontId="8" fillId="0" borderId="0" xfId="10" applyNumberFormat="1"/>
    <xf numFmtId="0" fontId="8" fillId="0" borderId="0" xfId="10" applyAlignment="1">
      <alignment horizontal="center"/>
    </xf>
    <xf numFmtId="0" fontId="8" fillId="0" borderId="0" xfId="10" applyAlignment="1">
      <alignment horizontal="center" wrapText="1"/>
    </xf>
    <xf numFmtId="0" fontId="7" fillId="0" borderId="0" xfId="10" applyFont="1"/>
    <xf numFmtId="167" fontId="8" fillId="0" borderId="0" xfId="10" applyNumberFormat="1"/>
    <xf numFmtId="164" fontId="8" fillId="0" borderId="0" xfId="10" applyNumberFormat="1"/>
    <xf numFmtId="0" fontId="8" fillId="3" borderId="0" xfId="10" applyFill="1" applyAlignment="1">
      <alignment wrapText="1"/>
    </xf>
    <xf numFmtId="0" fontId="8" fillId="3" borderId="0" xfId="10" applyFill="1"/>
    <xf numFmtId="10" fontId="8" fillId="3" borderId="0" xfId="11" applyNumberFormat="1" applyFill="1"/>
    <xf numFmtId="0" fontId="8" fillId="0" borderId="0" xfId="10" applyAlignment="1">
      <alignment horizontal="center" vertical="center"/>
    </xf>
    <xf numFmtId="0" fontId="8" fillId="0" borderId="0" xfId="10" applyAlignment="1">
      <alignment horizontal="center" vertical="center" wrapText="1"/>
    </xf>
    <xf numFmtId="4" fontId="8" fillId="3" borderId="0" xfId="11" applyNumberFormat="1" applyFill="1"/>
    <xf numFmtId="10" fontId="8" fillId="5" borderId="0" xfId="11" applyNumberFormat="1" applyFill="1"/>
    <xf numFmtId="0" fontId="8" fillId="4" borderId="0" xfId="10" applyFill="1" applyAlignment="1">
      <alignment horizontal="center" wrapText="1"/>
    </xf>
    <xf numFmtId="164" fontId="8" fillId="0" borderId="0" xfId="1" applyNumberFormat="1" applyFont="1" applyAlignment="1"/>
    <xf numFmtId="10" fontId="8" fillId="0" borderId="0" xfId="1" applyNumberFormat="1" applyFont="1" applyAlignment="1"/>
    <xf numFmtId="0" fontId="3" fillId="2" borderId="0" xfId="0" applyFont="1" applyFill="1">
      <alignment vertical="center"/>
    </xf>
    <xf numFmtId="2" fontId="8" fillId="0" borderId="0" xfId="1" applyNumberFormat="1" applyFont="1" applyAlignment="1"/>
    <xf numFmtId="0" fontId="8" fillId="0" borderId="0" xfId="10"/>
    <xf numFmtId="10" fontId="8" fillId="0" borderId="0" xfId="11" applyNumberFormat="1" applyFont="1"/>
    <xf numFmtId="0" fontId="8" fillId="0" borderId="0" xfId="10" applyAlignment="1">
      <alignment wrapText="1"/>
    </xf>
    <xf numFmtId="0" fontId="8" fillId="0" borderId="0" xfId="10" applyAlignment="1">
      <alignment horizontal="center"/>
    </xf>
    <xf numFmtId="10" fontId="8" fillId="3" borderId="0" xfId="11" applyNumberFormat="1" applyFont="1" applyFill="1"/>
    <xf numFmtId="10" fontId="8" fillId="0" borderId="0" xfId="11" applyNumberFormat="1" applyAlignment="1">
      <alignment horizontal="center"/>
    </xf>
    <xf numFmtId="0" fontId="8" fillId="0" borderId="0" xfId="10" applyAlignment="1">
      <alignment horizontal="center" vertical="center" wrapText="1"/>
    </xf>
    <xf numFmtId="0" fontId="8" fillId="0" borderId="0" xfId="10" applyAlignment="1">
      <alignment vertical="center" wrapText="1"/>
    </xf>
    <xf numFmtId="0" fontId="8" fillId="0" borderId="0" xfId="10" applyAlignment="1"/>
    <xf numFmtId="0" fontId="8" fillId="0" borderId="0" xfId="10" applyFont="1" applyAlignment="1">
      <alignment horizontal="center" vertical="center" wrapText="1"/>
    </xf>
    <xf numFmtId="10" fontId="8" fillId="2" borderId="0" xfId="10" applyNumberFormat="1" applyFill="1"/>
    <xf numFmtId="166" fontId="0" fillId="0" borderId="0" xfId="1" applyNumberFormat="1" applyFont="1">
      <alignment vertical="center"/>
    </xf>
    <xf numFmtId="0" fontId="13" fillId="0" borderId="0" xfId="0" applyFont="1" applyAlignment="1">
      <alignment horizontal="center" vertical="center"/>
    </xf>
    <xf numFmtId="165" fontId="13" fillId="0" borderId="0" xfId="9" applyFont="1" applyAlignment="1">
      <alignment horizontal="center" vertical="center"/>
    </xf>
    <xf numFmtId="165" fontId="13" fillId="0" borderId="0" xfId="9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10" fontId="13" fillId="0" borderId="0" xfId="12" applyNumberFormat="1" applyFont="1" applyAlignment="1">
      <alignment horizontal="center" vertical="center"/>
    </xf>
    <xf numFmtId="165" fontId="14" fillId="0" borderId="0" xfId="9" applyFont="1" applyFill="1" applyAlignment="1">
      <alignment horizontal="center" vertical="center" wrapText="1"/>
    </xf>
    <xf numFmtId="10" fontId="13" fillId="0" borderId="0" xfId="1" applyNumberFormat="1" applyFont="1" applyAlignment="1">
      <alignment horizontal="center" vertical="center"/>
    </xf>
    <xf numFmtId="9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168" fontId="0" fillId="0" borderId="0" xfId="0" applyNumberFormat="1">
      <alignment vertical="center"/>
    </xf>
    <xf numFmtId="166" fontId="2" fillId="0" borderId="0" xfId="1" applyNumberFormat="1" applyFont="1">
      <alignment vertical="center"/>
    </xf>
    <xf numFmtId="10" fontId="6" fillId="2" borderId="0" xfId="1" applyNumberFormat="1" applyFont="1" applyFill="1">
      <alignment vertical="center"/>
    </xf>
    <xf numFmtId="0" fontId="10" fillId="0" borderId="0" xfId="10" applyFont="1" applyAlignment="1">
      <alignment horizontal="center" vertical="center" wrapText="1"/>
    </xf>
    <xf numFmtId="0" fontId="12" fillId="4" borderId="0" xfId="10" applyFont="1" applyFill="1" applyAlignment="1">
      <alignment horizontal="left" vertical="center" wrapText="1"/>
    </xf>
    <xf numFmtId="0" fontId="13" fillId="0" borderId="0" xfId="0" applyFont="1" applyAlignment="1">
      <alignment horizontal="center" vertical="center"/>
    </xf>
  </cellXfs>
  <cellStyles count="13">
    <cellStyle name="Normal 2" xfId="6"/>
    <cellStyle name="Normal 2 2" xfId="4"/>
    <cellStyle name="Normal 3" xfId="7"/>
    <cellStyle name="Percent 2" xfId="8"/>
    <cellStyle name="Percent 2 2" xfId="5"/>
    <cellStyle name="Percent 3" xfId="3"/>
    <cellStyle name="常规" xfId="0" builtinId="0"/>
    <cellStyle name="常规 2" xfId="9"/>
    <cellStyle name="常规 3" xfId="10"/>
    <cellStyle name="常规 4" xfId="2"/>
    <cellStyle name="百分比" xfId="1" builtinId="5"/>
    <cellStyle name="百分比 2" xfId="11"/>
    <cellStyle name="百分比 3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55"/>
  <sheetViews>
    <sheetView topLeftCell="A37" workbookViewId="0">
      <selection activeCell="G50" sqref="G50"/>
    </sheetView>
  </sheetViews>
  <sheetFormatPr defaultColWidth="9" defaultRowHeight="15"/>
  <cols>
    <col min="1" max="1" width="12.42578125" customWidth="1"/>
    <col min="8" max="11" width="13.7109375"/>
  </cols>
  <sheetData>
    <row r="1" spans="1:1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G1" s="1"/>
      <c r="H1" s="1" t="s">
        <v>1</v>
      </c>
      <c r="I1" s="1" t="s">
        <v>2</v>
      </c>
      <c r="J1" s="1" t="s">
        <v>3</v>
      </c>
      <c r="K1" s="1" t="s">
        <v>4</v>
      </c>
    </row>
    <row r="2" spans="1:11">
      <c r="A2" s="1" t="s">
        <v>5</v>
      </c>
      <c r="B2" s="1" t="s">
        <v>6</v>
      </c>
      <c r="C2" s="1" t="s">
        <v>7</v>
      </c>
      <c r="D2" s="1" t="s">
        <v>8</v>
      </c>
      <c r="E2" s="1" t="s">
        <v>9</v>
      </c>
    </row>
    <row r="3" spans="1:11">
      <c r="A3" s="1" t="s">
        <v>10</v>
      </c>
      <c r="B3" s="1" t="s">
        <v>11</v>
      </c>
      <c r="C3" s="1" t="s">
        <v>12</v>
      </c>
      <c r="D3" s="1" t="s">
        <v>13</v>
      </c>
      <c r="E3" s="1" t="s">
        <v>14</v>
      </c>
      <c r="H3" s="4">
        <f>LN(B3/B2)</f>
        <v>-7.0869926018333612E-2</v>
      </c>
      <c r="I3" s="4">
        <f>LN(C3/C2)</f>
        <v>1.9008114824794184E-2</v>
      </c>
      <c r="J3" s="4">
        <f>LN(D3/D2)</f>
        <v>-7.1743402846285054E-2</v>
      </c>
      <c r="K3" s="4">
        <f>LN(E3/E2)</f>
        <v>-0.11631109228710274</v>
      </c>
    </row>
    <row r="4" spans="1:11">
      <c r="A4" s="1" t="s">
        <v>15</v>
      </c>
      <c r="B4" s="1" t="s">
        <v>16</v>
      </c>
      <c r="C4" s="1" t="s">
        <v>17</v>
      </c>
      <c r="D4" s="1" t="s">
        <v>18</v>
      </c>
      <c r="E4" s="1" t="s">
        <v>19</v>
      </c>
      <c r="H4" s="4">
        <f t="shared" ref="H4:H41" si="0">LN(B4/B3)</f>
        <v>9.8601418942465685E-3</v>
      </c>
      <c r="I4" s="4">
        <f t="shared" ref="I4:I41" si="1">LN(C4/C3)</f>
        <v>-3.5962643367764245E-2</v>
      </c>
      <c r="J4" s="4">
        <f t="shared" ref="J4:J41" si="2">LN(D4/D3)</f>
        <v>2.8794114696437983E-2</v>
      </c>
      <c r="K4" s="4">
        <f t="shared" ref="K4:K41" si="3">LN(E4/E3)</f>
        <v>-1.6589894600703287E-2</v>
      </c>
    </row>
    <row r="5" spans="1:11">
      <c r="A5" s="1" t="s">
        <v>20</v>
      </c>
      <c r="B5" s="1" t="s">
        <v>21</v>
      </c>
      <c r="C5" s="1" t="s">
        <v>22</v>
      </c>
      <c r="D5" s="1" t="s">
        <v>23</v>
      </c>
      <c r="E5" s="1" t="s">
        <v>24</v>
      </c>
      <c r="H5" s="4">
        <f t="shared" si="0"/>
        <v>5.497001391349174E-3</v>
      </c>
      <c r="I5" s="4">
        <f t="shared" si="1"/>
        <v>2.6758009731184942E-2</v>
      </c>
      <c r="J5" s="4">
        <f t="shared" si="2"/>
        <v>-1.6830973535747897E-2</v>
      </c>
      <c r="K5" s="4">
        <f t="shared" si="3"/>
        <v>2.8326363786324214E-2</v>
      </c>
    </row>
    <row r="6" spans="1:11">
      <c r="A6" s="1" t="s">
        <v>25</v>
      </c>
      <c r="B6" s="1" t="s">
        <v>26</v>
      </c>
      <c r="C6" s="1" t="s">
        <v>27</v>
      </c>
      <c r="D6" s="1" t="s">
        <v>28</v>
      </c>
      <c r="E6" s="1" t="s">
        <v>29</v>
      </c>
      <c r="H6" s="4">
        <f t="shared" si="0"/>
        <v>6.9404628082602185E-2</v>
      </c>
      <c r="I6" s="4">
        <f t="shared" si="1"/>
        <v>-3.2095356758998474E-2</v>
      </c>
      <c r="J6" s="4">
        <f t="shared" si="2"/>
        <v>1.2074204374424556E-3</v>
      </c>
      <c r="K6" s="4">
        <f t="shared" si="3"/>
        <v>4.5243336338624679E-2</v>
      </c>
    </row>
    <row r="7" spans="1:11">
      <c r="A7" s="1" t="s">
        <v>30</v>
      </c>
      <c r="B7" s="1" t="s">
        <v>31</v>
      </c>
      <c r="C7" s="1" t="s">
        <v>32</v>
      </c>
      <c r="D7" s="1" t="s">
        <v>33</v>
      </c>
      <c r="E7" s="1" t="s">
        <v>34</v>
      </c>
      <c r="H7" s="4">
        <f t="shared" si="0"/>
        <v>5.1735632885863143E-2</v>
      </c>
      <c r="I7" s="4">
        <f t="shared" si="1"/>
        <v>-4.2674209495760063E-2</v>
      </c>
      <c r="J7" s="4">
        <f t="shared" si="2"/>
        <v>-4.0230654879702191E-3</v>
      </c>
      <c r="K7" s="4">
        <f t="shared" si="3"/>
        <v>1.0395766942869311E-2</v>
      </c>
    </row>
    <row r="8" spans="1:11">
      <c r="A8" s="1" t="s">
        <v>35</v>
      </c>
      <c r="B8" s="1" t="s">
        <v>36</v>
      </c>
      <c r="C8" s="1" t="s">
        <v>37</v>
      </c>
      <c r="D8" s="1" t="s">
        <v>38</v>
      </c>
      <c r="E8" s="1" t="s">
        <v>39</v>
      </c>
      <c r="H8" s="4">
        <f t="shared" si="0"/>
        <v>-1.2692161607901127E-2</v>
      </c>
      <c r="I8" s="4">
        <f t="shared" si="1"/>
        <v>-2.9029377749584924E-2</v>
      </c>
      <c r="J8" s="4">
        <f t="shared" si="2"/>
        <v>1.6701206150278439E-2</v>
      </c>
      <c r="K8" s="4">
        <f t="shared" si="3"/>
        <v>-1.6664743970978852E-2</v>
      </c>
    </row>
    <row r="9" spans="1:11">
      <c r="A9" s="1" t="s">
        <v>40</v>
      </c>
      <c r="B9" s="1" t="s">
        <v>41</v>
      </c>
      <c r="C9" s="1" t="s">
        <v>42</v>
      </c>
      <c r="D9" s="1" t="s">
        <v>43</v>
      </c>
      <c r="E9" s="1" t="s">
        <v>44</v>
      </c>
      <c r="H9" s="4">
        <f t="shared" si="0"/>
        <v>3.9789970097660173E-2</v>
      </c>
      <c r="I9" s="4">
        <f t="shared" si="1"/>
        <v>4.3218274643202999E-2</v>
      </c>
      <c r="J9" s="4">
        <f t="shared" si="2"/>
        <v>-3.6868353516920503E-3</v>
      </c>
      <c r="K9" s="4">
        <f t="shared" si="3"/>
        <v>5.1292653640900819E-2</v>
      </c>
    </row>
    <row r="10" spans="1:11">
      <c r="A10" s="1" t="s">
        <v>45</v>
      </c>
      <c r="B10" s="1" t="s">
        <v>46</v>
      </c>
      <c r="C10" s="1" t="s">
        <v>47</v>
      </c>
      <c r="D10" s="1" t="s">
        <v>48</v>
      </c>
      <c r="E10" s="1" t="s">
        <v>49</v>
      </c>
      <c r="H10" s="4">
        <f t="shared" si="0"/>
        <v>-3.6530094830800226E-3</v>
      </c>
      <c r="I10" s="4">
        <f t="shared" si="1"/>
        <v>3.6383560480427679E-2</v>
      </c>
      <c r="J10" s="4">
        <f t="shared" si="2"/>
        <v>-1.2863626520158603E-2</v>
      </c>
      <c r="K10" s="4">
        <f t="shared" si="3"/>
        <v>-2.8963479206925533E-2</v>
      </c>
    </row>
    <row r="11" spans="1:11">
      <c r="A11" s="1" t="s">
        <v>50</v>
      </c>
      <c r="B11" s="1" t="s">
        <v>51</v>
      </c>
      <c r="C11" s="1" t="s">
        <v>52</v>
      </c>
      <c r="D11" s="1" t="s">
        <v>53</v>
      </c>
      <c r="E11" s="1" t="s">
        <v>54</v>
      </c>
      <c r="H11" s="4">
        <f t="shared" si="0"/>
        <v>1.9923896713771049E-2</v>
      </c>
      <c r="I11" s="4">
        <f t="shared" si="1"/>
        <v>9.2298838365277025E-3</v>
      </c>
      <c r="J11" s="4">
        <f t="shared" si="2"/>
        <v>3.0662184447034085E-2</v>
      </c>
      <c r="K11" s="4">
        <f t="shared" si="3"/>
        <v>6.0853274341823582E-3</v>
      </c>
    </row>
    <row r="12" spans="1:11">
      <c r="A12" s="1" t="s">
        <v>55</v>
      </c>
      <c r="B12" s="1" t="s">
        <v>56</v>
      </c>
      <c r="C12" s="1" t="s">
        <v>57</v>
      </c>
      <c r="D12" s="1" t="s">
        <v>58</v>
      </c>
      <c r="E12" s="1" t="s">
        <v>59</v>
      </c>
      <c r="H12" s="4">
        <f t="shared" si="0"/>
        <v>-2.423948891149269E-2</v>
      </c>
      <c r="I12" s="4">
        <f t="shared" si="1"/>
        <v>7.3528547976279293E-2</v>
      </c>
      <c r="J12" s="4">
        <f t="shared" si="2"/>
        <v>-6.5082075324529726E-2</v>
      </c>
      <c r="K12" s="4">
        <f t="shared" si="3"/>
        <v>4.8647458558890834E-2</v>
      </c>
    </row>
    <row r="13" spans="1:11">
      <c r="A13" s="1" t="s">
        <v>60</v>
      </c>
      <c r="B13" s="1" t="s">
        <v>61</v>
      </c>
      <c r="C13" s="1" t="s">
        <v>62</v>
      </c>
      <c r="D13" s="1" t="s">
        <v>63</v>
      </c>
      <c r="E13" s="1" t="s">
        <v>64</v>
      </c>
      <c r="H13" s="4">
        <f t="shared" si="0"/>
        <v>-3.585661313870446E-2</v>
      </c>
      <c r="I13" s="4">
        <f t="shared" si="1"/>
        <v>-3.6137603602892837E-2</v>
      </c>
      <c r="J13" s="4">
        <f t="shared" si="2"/>
        <v>-1.1142382266945165E-2</v>
      </c>
      <c r="K13" s="4">
        <f t="shared" si="3"/>
        <v>-2.4844857610911219E-2</v>
      </c>
    </row>
    <row r="14" spans="1:11">
      <c r="A14" s="1" t="s">
        <v>65</v>
      </c>
      <c r="B14" s="1" t="s">
        <v>66</v>
      </c>
      <c r="C14" s="1" t="s">
        <v>67</v>
      </c>
      <c r="D14" s="1" t="s">
        <v>68</v>
      </c>
      <c r="E14" s="1" t="s">
        <v>69</v>
      </c>
      <c r="H14" s="4">
        <f t="shared" si="0"/>
        <v>-2.0438854194184453E-2</v>
      </c>
      <c r="I14" s="4">
        <f t="shared" si="1"/>
        <v>3.5368782812279113E-2</v>
      </c>
      <c r="J14" s="4">
        <f t="shared" si="2"/>
        <v>4.1963492320579658E-2</v>
      </c>
      <c r="K14" s="4">
        <f t="shared" si="3"/>
        <v>-9.89491934662577E-3</v>
      </c>
    </row>
    <row r="15" spans="1:11">
      <c r="A15" s="1" t="s">
        <v>70</v>
      </c>
      <c r="B15" s="1" t="s">
        <v>71</v>
      </c>
      <c r="C15" s="1" t="s">
        <v>72</v>
      </c>
      <c r="D15" s="1" t="s">
        <v>73</v>
      </c>
      <c r="E15" s="1" t="s">
        <v>74</v>
      </c>
      <c r="H15" s="4">
        <f t="shared" si="0"/>
        <v>1.9893393293861437E-2</v>
      </c>
      <c r="I15" s="4">
        <f t="shared" si="1"/>
        <v>-1.5229414740137209E-2</v>
      </c>
      <c r="J15" s="4">
        <f t="shared" si="2"/>
        <v>1.4960501985709604E-2</v>
      </c>
      <c r="K15" s="4">
        <f t="shared" si="3"/>
        <v>-6.1624177098425659E-2</v>
      </c>
    </row>
    <row r="16" spans="1:11">
      <c r="A16" s="1" t="s">
        <v>75</v>
      </c>
      <c r="B16" s="1" t="s">
        <v>76</v>
      </c>
      <c r="C16" s="1" t="s">
        <v>77</v>
      </c>
      <c r="D16" s="1" t="s">
        <v>78</v>
      </c>
      <c r="E16" s="1" t="s">
        <v>79</v>
      </c>
      <c r="H16" s="4">
        <f t="shared" si="0"/>
        <v>-1.5368848540863355E-2</v>
      </c>
      <c r="I16" s="4">
        <f t="shared" si="1"/>
        <v>-5.462734023270454E-2</v>
      </c>
      <c r="J16" s="4">
        <f t="shared" si="2"/>
        <v>4.5296235692278052E-2</v>
      </c>
      <c r="K16" s="4">
        <f t="shared" si="3"/>
        <v>-2.2236615861739407E-2</v>
      </c>
    </row>
    <row r="17" spans="1:11">
      <c r="A17" s="1" t="s">
        <v>80</v>
      </c>
      <c r="B17" s="1" t="s">
        <v>81</v>
      </c>
      <c r="C17" s="1" t="s">
        <v>82</v>
      </c>
      <c r="D17" s="1" t="s">
        <v>83</v>
      </c>
      <c r="E17" s="1" t="s">
        <v>84</v>
      </c>
      <c r="H17" s="4">
        <f t="shared" si="0"/>
        <v>-5.8581164183060502E-2</v>
      </c>
      <c r="I17" s="4">
        <f t="shared" si="1"/>
        <v>-8.9662589238785909E-2</v>
      </c>
      <c r="J17" s="4">
        <f t="shared" si="2"/>
        <v>-4.9703285639319229E-2</v>
      </c>
      <c r="K17" s="4">
        <f t="shared" si="3"/>
        <v>2.2535591951108075E-2</v>
      </c>
    </row>
    <row r="18" spans="1:11">
      <c r="A18" s="1" t="s">
        <v>85</v>
      </c>
      <c r="B18" s="1" t="s">
        <v>86</v>
      </c>
      <c r="C18" s="1" t="s">
        <v>87</v>
      </c>
      <c r="D18" s="1" t="s">
        <v>88</v>
      </c>
      <c r="E18" s="1" t="s">
        <v>89</v>
      </c>
      <c r="H18" s="4">
        <f t="shared" si="0"/>
        <v>1.9911641577172387E-2</v>
      </c>
      <c r="I18" s="4">
        <f t="shared" si="1"/>
        <v>8.4484893330067333E-3</v>
      </c>
      <c r="J18" s="4">
        <f t="shared" si="2"/>
        <v>3.3793045417871634E-2</v>
      </c>
      <c r="K18" s="4">
        <f t="shared" si="3"/>
        <v>-6.773760538707989E-3</v>
      </c>
    </row>
    <row r="19" spans="1:11">
      <c r="A19" s="1" t="s">
        <v>90</v>
      </c>
      <c r="B19" s="1" t="s">
        <v>91</v>
      </c>
      <c r="C19" s="1" t="s">
        <v>92</v>
      </c>
      <c r="D19" s="1" t="s">
        <v>93</v>
      </c>
      <c r="E19" s="1" t="s">
        <v>94</v>
      </c>
      <c r="H19" s="4">
        <f t="shared" si="0"/>
        <v>2.0530611499608869E-2</v>
      </c>
      <c r="I19" s="4">
        <f t="shared" si="1"/>
        <v>-2.1689892386076264E-4</v>
      </c>
      <c r="J19" s="4">
        <f t="shared" si="2"/>
        <v>-1.0448044450139477E-3</v>
      </c>
      <c r="K19" s="4">
        <f t="shared" si="3"/>
        <v>7.3073817529235974E-2</v>
      </c>
    </row>
    <row r="20" spans="1:11">
      <c r="A20" s="1" t="s">
        <v>95</v>
      </c>
      <c r="B20" s="1" t="s">
        <v>96</v>
      </c>
      <c r="C20" s="1" t="s">
        <v>97</v>
      </c>
      <c r="D20" s="1" t="s">
        <v>98</v>
      </c>
      <c r="E20" s="1" t="s">
        <v>99</v>
      </c>
      <c r="H20" s="4">
        <f t="shared" si="0"/>
        <v>7.1394792855122291E-2</v>
      </c>
      <c r="I20" s="4">
        <f t="shared" si="1"/>
        <v>2.8423003289238906E-2</v>
      </c>
      <c r="J20" s="4">
        <f t="shared" si="2"/>
        <v>3.6433539580706907E-2</v>
      </c>
      <c r="K20" s="4">
        <f t="shared" si="3"/>
        <v>-2.290156681888144E-2</v>
      </c>
    </row>
    <row r="21" spans="1:11">
      <c r="A21" s="1" t="s">
        <v>100</v>
      </c>
      <c r="B21" s="1" t="s">
        <v>101</v>
      </c>
      <c r="C21" s="1" t="s">
        <v>102</v>
      </c>
      <c r="D21" s="1" t="s">
        <v>103</v>
      </c>
      <c r="E21" s="1" t="s">
        <v>104</v>
      </c>
      <c r="H21" s="4">
        <f t="shared" si="0"/>
        <v>-1.668347795871215E-2</v>
      </c>
      <c r="I21" s="4">
        <f t="shared" si="1"/>
        <v>-9.1265420662002938E-2</v>
      </c>
      <c r="J21" s="4">
        <f t="shared" si="2"/>
        <v>-8.3856053787700474E-3</v>
      </c>
      <c r="K21" s="4">
        <f t="shared" si="3"/>
        <v>-1.3813561484581727E-3</v>
      </c>
    </row>
    <row r="22" spans="1:11">
      <c r="A22" s="1" t="s">
        <v>105</v>
      </c>
      <c r="B22" s="1" t="s">
        <v>106</v>
      </c>
      <c r="C22" s="1" t="s">
        <v>107</v>
      </c>
      <c r="D22" s="1" t="s">
        <v>108</v>
      </c>
      <c r="E22" s="1" t="s">
        <v>109</v>
      </c>
      <c r="H22" s="4">
        <f t="shared" si="0"/>
        <v>2.1768516290684495E-2</v>
      </c>
      <c r="I22" s="4">
        <f t="shared" si="1"/>
        <v>9.9100483495816433E-2</v>
      </c>
      <c r="J22" s="4">
        <f t="shared" si="2"/>
        <v>3.1429553703124592E-2</v>
      </c>
      <c r="K22" s="4">
        <f t="shared" si="3"/>
        <v>0.10655425384353032</v>
      </c>
    </row>
    <row r="23" spans="1:11">
      <c r="A23" s="1" t="s">
        <v>110</v>
      </c>
      <c r="B23" s="1" t="s">
        <v>111</v>
      </c>
      <c r="C23" s="1" t="s">
        <v>112</v>
      </c>
      <c r="D23" s="1" t="s">
        <v>113</v>
      </c>
      <c r="E23" s="1" t="s">
        <v>114</v>
      </c>
      <c r="H23" s="4">
        <f t="shared" si="0"/>
        <v>-1.3145733509032983E-3</v>
      </c>
      <c r="I23" s="4">
        <f t="shared" si="1"/>
        <v>-3.538121284224028E-2</v>
      </c>
      <c r="J23" s="4">
        <f t="shared" si="2"/>
        <v>1.6864442244708889E-2</v>
      </c>
      <c r="K23" s="4">
        <f t="shared" si="3"/>
        <v>6.9101110490710285E-2</v>
      </c>
    </row>
    <row r="24" spans="1:11">
      <c r="A24" s="1" t="s">
        <v>115</v>
      </c>
      <c r="B24" s="1" t="s">
        <v>116</v>
      </c>
      <c r="C24" s="1" t="s">
        <v>117</v>
      </c>
      <c r="D24" s="1" t="s">
        <v>118</v>
      </c>
      <c r="E24" s="1" t="s">
        <v>119</v>
      </c>
      <c r="H24" s="4">
        <f t="shared" si="0"/>
        <v>2.0998733076453006E-2</v>
      </c>
      <c r="I24" s="4">
        <f t="shared" si="1"/>
        <v>8.1825798034849235E-4</v>
      </c>
      <c r="J24" s="4">
        <f t="shared" si="2"/>
        <v>1.8087078108820515E-2</v>
      </c>
      <c r="K24" s="4">
        <f t="shared" si="3"/>
        <v>-2.8949417524963134E-2</v>
      </c>
    </row>
    <row r="25" spans="1:11">
      <c r="A25" s="1" t="s">
        <v>120</v>
      </c>
      <c r="B25" s="1" t="s">
        <v>121</v>
      </c>
      <c r="C25" s="1" t="s">
        <v>122</v>
      </c>
      <c r="D25" s="1" t="s">
        <v>123</v>
      </c>
      <c r="E25" s="1" t="s">
        <v>124</v>
      </c>
      <c r="H25" s="4">
        <f t="shared" si="0"/>
        <v>9.9186018600552379E-3</v>
      </c>
      <c r="I25" s="4">
        <f t="shared" si="1"/>
        <v>-1.140206609686132E-2</v>
      </c>
      <c r="J25" s="4">
        <f t="shared" si="2"/>
        <v>1.2346211266773542E-2</v>
      </c>
      <c r="K25" s="4">
        <f t="shared" si="3"/>
        <v>4.241431891135264E-3</v>
      </c>
    </row>
    <row r="26" spans="1:11">
      <c r="A26" s="1" t="s">
        <v>125</v>
      </c>
      <c r="B26" s="1" t="s">
        <v>126</v>
      </c>
      <c r="C26" s="1" t="s">
        <v>127</v>
      </c>
      <c r="D26" s="1" t="s">
        <v>128</v>
      </c>
      <c r="E26" s="1" t="s">
        <v>129</v>
      </c>
      <c r="H26" s="4">
        <f t="shared" si="0"/>
        <v>1.8472528934911518E-2</v>
      </c>
      <c r="I26" s="4">
        <f t="shared" si="1"/>
        <v>7.8655478594941083E-2</v>
      </c>
      <c r="J26" s="4">
        <f t="shared" si="2"/>
        <v>-4.466073110201034E-2</v>
      </c>
      <c r="K26" s="4">
        <f t="shared" si="3"/>
        <v>1.4398810632029422E-2</v>
      </c>
    </row>
    <row r="27" spans="1:11">
      <c r="A27" s="1" t="s">
        <v>130</v>
      </c>
      <c r="B27" s="1" t="s">
        <v>131</v>
      </c>
      <c r="C27" s="1" t="s">
        <v>132</v>
      </c>
      <c r="D27" s="1" t="s">
        <v>133</v>
      </c>
      <c r="E27" s="1" t="s">
        <v>134</v>
      </c>
      <c r="H27" s="4">
        <f t="shared" si="0"/>
        <v>2.1060527908995812E-2</v>
      </c>
      <c r="I27" s="4">
        <f t="shared" si="1"/>
        <v>-5.3153452556872767E-2</v>
      </c>
      <c r="J27" s="4">
        <f t="shared" si="2"/>
        <v>2.4262703822567185E-2</v>
      </c>
      <c r="K27" s="4">
        <f t="shared" si="3"/>
        <v>4.0739825198108988E-2</v>
      </c>
    </row>
    <row r="28" spans="1:11">
      <c r="A28" s="1" t="s">
        <v>135</v>
      </c>
      <c r="B28" s="1" t="s">
        <v>136</v>
      </c>
      <c r="C28" s="1" t="s">
        <v>137</v>
      </c>
      <c r="D28" s="1" t="s">
        <v>138</v>
      </c>
      <c r="E28" s="1" t="s">
        <v>139</v>
      </c>
      <c r="H28" s="4">
        <f t="shared" si="0"/>
        <v>-0.35705663192050274</v>
      </c>
      <c r="I28" s="4">
        <f t="shared" si="1"/>
        <v>-0.38252163786322613</v>
      </c>
      <c r="J28" s="4">
        <f t="shared" si="2"/>
        <v>-0.34594965363050739</v>
      </c>
      <c r="K28" s="4">
        <f t="shared" si="3"/>
        <v>2.4397917663941331E-2</v>
      </c>
    </row>
    <row r="29" spans="1:11">
      <c r="A29" s="1" t="s">
        <v>140</v>
      </c>
      <c r="B29" s="1" t="s">
        <v>141</v>
      </c>
      <c r="C29" s="1" t="s">
        <v>142</v>
      </c>
      <c r="D29" s="1" t="s">
        <v>143</v>
      </c>
      <c r="E29" s="1" t="s">
        <v>144</v>
      </c>
      <c r="H29" s="4">
        <f t="shared" si="0"/>
        <v>8.202243166374211E-2</v>
      </c>
      <c r="I29" s="4">
        <f t="shared" si="1"/>
        <v>0.26699363657873249</v>
      </c>
      <c r="J29" s="4">
        <f t="shared" si="2"/>
        <v>5.9182743553856991E-2</v>
      </c>
      <c r="K29" s="4">
        <f t="shared" si="3"/>
        <v>5.0539776569869937E-2</v>
      </c>
    </row>
    <row r="30" spans="1:11">
      <c r="A30" s="1" t="s">
        <v>145</v>
      </c>
      <c r="B30" s="1" t="s">
        <v>146</v>
      </c>
      <c r="C30" s="1" t="s">
        <v>147</v>
      </c>
      <c r="D30" s="1" t="s">
        <v>148</v>
      </c>
      <c r="E30" s="1" t="s">
        <v>149</v>
      </c>
      <c r="H30" s="4">
        <f t="shared" si="0"/>
        <v>2.5619528682894722E-2</v>
      </c>
      <c r="I30" s="4">
        <f t="shared" si="1"/>
        <v>2.5913855450044748E-2</v>
      </c>
      <c r="J30" s="4">
        <f t="shared" si="2"/>
        <v>2.3678620942305306E-3</v>
      </c>
      <c r="K30" s="4">
        <f t="shared" si="3"/>
        <v>3.7002145690038409E-2</v>
      </c>
    </row>
    <row r="31" spans="1:11">
      <c r="A31" s="1" t="s">
        <v>150</v>
      </c>
      <c r="B31" s="1" t="s">
        <v>151</v>
      </c>
      <c r="C31" s="1" t="s">
        <v>152</v>
      </c>
      <c r="D31" s="1" t="s">
        <v>153</v>
      </c>
      <c r="E31" s="1" t="s">
        <v>154</v>
      </c>
      <c r="H31" s="4">
        <f t="shared" si="0"/>
        <v>3.2578747517471536E-2</v>
      </c>
      <c r="I31" s="4">
        <f t="shared" si="1"/>
        <v>3.4766064584740762E-2</v>
      </c>
      <c r="J31" s="4">
        <f t="shared" si="2"/>
        <v>3.2933004034850812E-2</v>
      </c>
      <c r="K31" s="4">
        <f t="shared" si="3"/>
        <v>0.10153780286141098</v>
      </c>
    </row>
    <row r="32" spans="1:11">
      <c r="A32" s="1" t="s">
        <v>155</v>
      </c>
      <c r="B32" s="1" t="s">
        <v>156</v>
      </c>
      <c r="C32" s="1" t="s">
        <v>157</v>
      </c>
      <c r="D32" s="1" t="s">
        <v>158</v>
      </c>
      <c r="E32" s="1" t="s">
        <v>159</v>
      </c>
      <c r="H32" s="4">
        <f t="shared" si="0"/>
        <v>-1.8048432959646126E-2</v>
      </c>
      <c r="I32" s="4">
        <f t="shared" si="1"/>
        <v>-5.5321765686554975E-2</v>
      </c>
      <c r="J32" s="4">
        <f t="shared" si="2"/>
        <v>-3.3398813648366381E-2</v>
      </c>
      <c r="K32" s="4">
        <f t="shared" si="3"/>
        <v>-3.7498872519076382E-2</v>
      </c>
    </row>
    <row r="33" spans="1:11">
      <c r="A33" s="1" t="s">
        <v>160</v>
      </c>
      <c r="B33" s="1" t="s">
        <v>161</v>
      </c>
      <c r="C33" s="1" t="s">
        <v>162</v>
      </c>
      <c r="D33" s="1" t="s">
        <v>163</v>
      </c>
      <c r="E33" s="1" t="s">
        <v>164</v>
      </c>
      <c r="H33" s="4">
        <f t="shared" si="0"/>
        <v>-1.116267973316472E-2</v>
      </c>
      <c r="I33" s="4">
        <f t="shared" si="1"/>
        <v>-2.1138118556633837E-2</v>
      </c>
      <c r="J33" s="4">
        <f t="shared" si="2"/>
        <v>-2.646057141110103E-2</v>
      </c>
      <c r="K33" s="4">
        <f t="shared" si="3"/>
        <v>-3.0114151778984207E-3</v>
      </c>
    </row>
    <row r="34" spans="1:11">
      <c r="A34" s="1" t="s">
        <v>165</v>
      </c>
      <c r="B34" s="1" t="s">
        <v>166</v>
      </c>
      <c r="C34" s="1" t="s">
        <v>167</v>
      </c>
      <c r="D34" s="1" t="s">
        <v>168</v>
      </c>
      <c r="E34" s="1" t="s">
        <v>169</v>
      </c>
      <c r="H34" s="4">
        <f t="shared" si="0"/>
        <v>0.12064986396896941</v>
      </c>
      <c r="I34" s="4">
        <f t="shared" si="1"/>
        <v>0.14839351771279502</v>
      </c>
      <c r="J34" s="4">
        <f t="shared" si="2"/>
        <v>0.11534677172141927</v>
      </c>
      <c r="K34" s="4">
        <f t="shared" si="3"/>
        <v>-6.5851773218630033E-2</v>
      </c>
    </row>
    <row r="35" spans="1:11">
      <c r="A35" s="1" t="s">
        <v>170</v>
      </c>
      <c r="B35" s="1" t="s">
        <v>171</v>
      </c>
      <c r="C35" s="1" t="s">
        <v>172</v>
      </c>
      <c r="D35" s="1" t="s">
        <v>173</v>
      </c>
      <c r="E35" s="1" t="s">
        <v>174</v>
      </c>
      <c r="H35" s="4">
        <f t="shared" si="0"/>
        <v>1.2701804041539371E-2</v>
      </c>
      <c r="I35" s="4">
        <f t="shared" si="1"/>
        <v>3.3306320874442186E-2</v>
      </c>
      <c r="J35" s="4">
        <f t="shared" si="2"/>
        <v>6.8874766038389762E-3</v>
      </c>
      <c r="K35" s="4">
        <f t="shared" si="3"/>
        <v>6.8236596241547653E-2</v>
      </c>
    </row>
    <row r="36" spans="1:11">
      <c r="A36" s="1" t="s">
        <v>175</v>
      </c>
      <c r="B36" s="1" t="s">
        <v>176</v>
      </c>
      <c r="C36" s="1" t="s">
        <v>177</v>
      </c>
      <c r="D36" s="1" t="s">
        <v>178</v>
      </c>
      <c r="E36" s="1" t="s">
        <v>179</v>
      </c>
      <c r="H36" s="4">
        <f t="shared" si="0"/>
        <v>2.008638874148308E-2</v>
      </c>
      <c r="I36" s="4">
        <f t="shared" si="1"/>
        <v>0.14251525008152721</v>
      </c>
      <c r="J36" s="4">
        <f t="shared" si="2"/>
        <v>0.10785775113024133</v>
      </c>
      <c r="K36" s="4">
        <f t="shared" si="3"/>
        <v>-0.11519320892187211</v>
      </c>
    </row>
    <row r="37" spans="1:11">
      <c r="A37" s="1" t="s">
        <v>180</v>
      </c>
      <c r="B37" s="1" t="s">
        <v>181</v>
      </c>
      <c r="C37" s="1" t="s">
        <v>182</v>
      </c>
      <c r="D37" s="1" t="s">
        <v>183</v>
      </c>
      <c r="E37" s="1" t="s">
        <v>184</v>
      </c>
      <c r="H37" s="4">
        <f t="shared" si="0"/>
        <v>4.304931390932723E-2</v>
      </c>
      <c r="I37" s="4">
        <f t="shared" si="1"/>
        <v>4.4728542929691174E-2</v>
      </c>
      <c r="J37" s="4">
        <f t="shared" si="2"/>
        <v>6.7314681823308728E-2</v>
      </c>
      <c r="K37" s="4">
        <f t="shared" si="3"/>
        <v>4.8181865271238224E-2</v>
      </c>
    </row>
    <row r="38" spans="1:11">
      <c r="A38" s="1" t="s">
        <v>185</v>
      </c>
      <c r="B38" s="1" t="s">
        <v>186</v>
      </c>
      <c r="C38" s="1" t="s">
        <v>187</v>
      </c>
      <c r="D38" s="1" t="s">
        <v>188</v>
      </c>
      <c r="E38" s="1" t="s">
        <v>189</v>
      </c>
      <c r="H38" s="4">
        <f t="shared" si="0"/>
        <v>-2.1712594204405522E-2</v>
      </c>
      <c r="I38" s="4">
        <f t="shared" si="1"/>
        <v>3.1835480403834479E-2</v>
      </c>
      <c r="J38" s="4">
        <f t="shared" si="2"/>
        <v>2.460632198352404E-2</v>
      </c>
      <c r="K38" s="4">
        <f t="shared" si="3"/>
        <v>-3.2206028732063448E-3</v>
      </c>
    </row>
    <row r="39" spans="1:11">
      <c r="A39" s="1" t="s">
        <v>190</v>
      </c>
      <c r="B39" s="1" t="s">
        <v>191</v>
      </c>
      <c r="C39" s="1" t="s">
        <v>192</v>
      </c>
      <c r="D39" s="1" t="s">
        <v>193</v>
      </c>
      <c r="E39" s="1" t="s">
        <v>194</v>
      </c>
      <c r="H39" s="4">
        <f t="shared" si="0"/>
        <v>9.3139684211427792E-3</v>
      </c>
      <c r="I39" s="4">
        <f t="shared" si="1"/>
        <v>-3.1231417959108262E-2</v>
      </c>
      <c r="J39" s="4">
        <f t="shared" si="2"/>
        <v>5.1624909285245595E-2</v>
      </c>
      <c r="K39" s="4">
        <f t="shared" si="3"/>
        <v>3.4572473464280058E-2</v>
      </c>
    </row>
    <row r="40" spans="1:11">
      <c r="A40" s="1" t="s">
        <v>195</v>
      </c>
      <c r="B40" s="1" t="s">
        <v>196</v>
      </c>
      <c r="C40" s="1" t="s">
        <v>197</v>
      </c>
      <c r="D40" s="1" t="s">
        <v>198</v>
      </c>
      <c r="E40" s="1" t="s">
        <v>199</v>
      </c>
      <c r="H40" s="4">
        <f t="shared" si="0"/>
        <v>1.6328816483576099E-2</v>
      </c>
      <c r="I40" s="4">
        <f t="shared" si="1"/>
        <v>-3.4279061184629013E-2</v>
      </c>
      <c r="J40" s="4">
        <f t="shared" si="2"/>
        <v>1.1479829915306375E-2</v>
      </c>
      <c r="K40" s="4">
        <f t="shared" si="3"/>
        <v>-1.5379491490979185E-2</v>
      </c>
    </row>
    <row r="41" spans="1:11">
      <c r="A41" s="1" t="s">
        <v>200</v>
      </c>
      <c r="B41" s="1" t="s">
        <v>201</v>
      </c>
      <c r="C41" s="1" t="s">
        <v>202</v>
      </c>
      <c r="D41" s="1" t="s">
        <v>203</v>
      </c>
      <c r="E41" s="1" t="s">
        <v>204</v>
      </c>
      <c r="H41" s="4">
        <f t="shared" si="0"/>
        <v>-1.2183893511376481E-2</v>
      </c>
      <c r="I41" s="4">
        <f t="shared" si="1"/>
        <v>2.1143687670134213E-2</v>
      </c>
      <c r="J41" s="4">
        <f t="shared" si="2"/>
        <v>-5.8326947060405983E-2</v>
      </c>
      <c r="K41" s="4">
        <f t="shared" si="3"/>
        <v>-3.1808441458984357E-2</v>
      </c>
    </row>
    <row r="45" spans="1:11">
      <c r="A45" s="3" t="s">
        <v>205</v>
      </c>
      <c r="B45" s="3" t="s">
        <v>206</v>
      </c>
    </row>
    <row r="46" spans="1:11">
      <c r="A46" s="3" t="s">
        <v>207</v>
      </c>
      <c r="B46" s="3" t="s">
        <v>1</v>
      </c>
    </row>
    <row r="48" spans="1:11">
      <c r="A48" s="3" t="s">
        <v>205</v>
      </c>
      <c r="B48" s="3" t="s">
        <v>208</v>
      </c>
    </row>
    <row r="49" spans="1:2">
      <c r="A49" s="3" t="s">
        <v>207</v>
      </c>
      <c r="B49" s="3" t="s">
        <v>2</v>
      </c>
    </row>
    <row r="51" spans="1:2">
      <c r="A51" s="3" t="s">
        <v>205</v>
      </c>
      <c r="B51" s="3" t="s">
        <v>209</v>
      </c>
    </row>
    <row r="52" spans="1:2">
      <c r="A52" s="3" t="s">
        <v>207</v>
      </c>
      <c r="B52" s="3" t="s">
        <v>3</v>
      </c>
    </row>
    <row r="54" spans="1:2">
      <c r="A54" s="3" t="s">
        <v>205</v>
      </c>
      <c r="B54" s="3" t="s">
        <v>210</v>
      </c>
    </row>
    <row r="55" spans="1:2">
      <c r="A55" s="3" t="s">
        <v>207</v>
      </c>
      <c r="B55" s="3" t="s">
        <v>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4"/>
  <sheetViews>
    <sheetView topLeftCell="A21" workbookViewId="0">
      <selection activeCell="E45" sqref="E45"/>
    </sheetView>
  </sheetViews>
  <sheetFormatPr defaultColWidth="9" defaultRowHeight="15"/>
  <cols>
    <col min="1" max="1" width="12.42578125" customWidth="1"/>
    <col min="2" max="5" width="13.7109375"/>
  </cols>
  <sheetData>
    <row r="1" spans="1: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>
      <c r="A2" s="1" t="s">
        <v>10</v>
      </c>
      <c r="B2" s="2">
        <f>LN(Price!B3/Price!B2)</f>
        <v>-7.0869926018333612E-2</v>
      </c>
      <c r="C2" s="2">
        <f>LN(Price!C3/Price!C2)</f>
        <v>1.9008114824794184E-2</v>
      </c>
      <c r="D2" s="2">
        <f>LN(Price!D3/Price!D2)</f>
        <v>-7.1743402846285054E-2</v>
      </c>
      <c r="E2" s="2">
        <f>LN(Price!E3/Price!E2)</f>
        <v>-0.11631109228710274</v>
      </c>
    </row>
    <row r="3" spans="1:5">
      <c r="A3" s="1" t="s">
        <v>15</v>
      </c>
      <c r="B3" s="2">
        <f>LN(Price!B4/Price!B3)</f>
        <v>9.8601418942465685E-3</v>
      </c>
      <c r="C3" s="2">
        <f>LN(Price!C4/Price!C3)</f>
        <v>-3.5962643367764245E-2</v>
      </c>
      <c r="D3" s="2">
        <f>LN(Price!D4/Price!D3)</f>
        <v>2.8794114696437983E-2</v>
      </c>
      <c r="E3" s="2">
        <f>LN(Price!E4/Price!E3)</f>
        <v>-1.6589894600703287E-2</v>
      </c>
    </row>
    <row r="4" spans="1:5">
      <c r="A4" s="1" t="s">
        <v>20</v>
      </c>
      <c r="B4" s="2">
        <f>LN(Price!B5/Price!B4)</f>
        <v>5.497001391349174E-3</v>
      </c>
      <c r="C4" s="2">
        <f>LN(Price!C5/Price!C4)</f>
        <v>2.6758009731184942E-2</v>
      </c>
      <c r="D4" s="2">
        <f>LN(Price!D5/Price!D4)</f>
        <v>-1.6830973535747897E-2</v>
      </c>
      <c r="E4" s="2">
        <f>LN(Price!E5/Price!E4)</f>
        <v>2.8326363786324214E-2</v>
      </c>
    </row>
    <row r="5" spans="1:5">
      <c r="A5" s="1" t="s">
        <v>25</v>
      </c>
      <c r="B5" s="2">
        <f>LN(Price!B6/Price!B5)</f>
        <v>6.9404628082602185E-2</v>
      </c>
      <c r="C5" s="2">
        <f>LN(Price!C6/Price!C5)</f>
        <v>-3.2095356758998474E-2</v>
      </c>
      <c r="D5" s="2">
        <f>LN(Price!D6/Price!D5)</f>
        <v>1.2074204374424556E-3</v>
      </c>
      <c r="E5" s="2">
        <f>LN(Price!E6/Price!E5)</f>
        <v>4.5243336338624679E-2</v>
      </c>
    </row>
    <row r="6" spans="1:5">
      <c r="A6" s="1" t="s">
        <v>30</v>
      </c>
      <c r="B6" s="2">
        <f>LN(Price!B7/Price!B6)</f>
        <v>5.1735632885863143E-2</v>
      </c>
      <c r="C6" s="2">
        <f>LN(Price!C7/Price!C6)</f>
        <v>-4.2674209495760063E-2</v>
      </c>
      <c r="D6" s="2">
        <f>LN(Price!D7/Price!D6)</f>
        <v>-4.0230654879702191E-3</v>
      </c>
      <c r="E6" s="2">
        <f>LN(Price!E7/Price!E6)</f>
        <v>1.0395766942869311E-2</v>
      </c>
    </row>
    <row r="7" spans="1:5">
      <c r="A7" s="1" t="s">
        <v>35</v>
      </c>
      <c r="B7" s="2">
        <f>LN(Price!B8/Price!B7)</f>
        <v>-1.2692161607901127E-2</v>
      </c>
      <c r="C7" s="2">
        <f>LN(Price!C8/Price!C7)</f>
        <v>-2.9029377749584924E-2</v>
      </c>
      <c r="D7" s="2">
        <f>LN(Price!D8/Price!D7)</f>
        <v>1.6701206150278439E-2</v>
      </c>
      <c r="E7" s="2">
        <f>LN(Price!E8/Price!E7)</f>
        <v>-1.6664743970978852E-2</v>
      </c>
    </row>
    <row r="8" spans="1:5">
      <c r="A8" s="1" t="s">
        <v>40</v>
      </c>
      <c r="B8" s="2">
        <f>LN(Price!B9/Price!B8)</f>
        <v>3.9789970097660173E-2</v>
      </c>
      <c r="C8" s="2">
        <f>LN(Price!C9/Price!C8)</f>
        <v>4.3218274643202999E-2</v>
      </c>
      <c r="D8" s="2">
        <f>LN(Price!D9/Price!D8)</f>
        <v>-3.6868353516920503E-3</v>
      </c>
      <c r="E8" s="2">
        <f>LN(Price!E9/Price!E8)</f>
        <v>5.1292653640900819E-2</v>
      </c>
    </row>
    <row r="9" spans="1:5">
      <c r="A9" s="1" t="s">
        <v>45</v>
      </c>
      <c r="B9" s="2">
        <f>LN(Price!B10/Price!B9)</f>
        <v>-3.6530094830800226E-3</v>
      </c>
      <c r="C9" s="2">
        <f>LN(Price!C10/Price!C9)</f>
        <v>3.6383560480427679E-2</v>
      </c>
      <c r="D9" s="2">
        <f>LN(Price!D10/Price!D9)</f>
        <v>-1.2863626520158603E-2</v>
      </c>
      <c r="E9" s="2">
        <f>LN(Price!E10/Price!E9)</f>
        <v>-2.8963479206925533E-2</v>
      </c>
    </row>
    <row r="10" spans="1:5">
      <c r="A10" s="1" t="s">
        <v>50</v>
      </c>
      <c r="B10" s="2">
        <f>LN(Price!B11/Price!B10)</f>
        <v>1.9923896713771049E-2</v>
      </c>
      <c r="C10" s="2">
        <f>LN(Price!C11/Price!C10)</f>
        <v>9.2298838365277025E-3</v>
      </c>
      <c r="D10" s="2">
        <f>LN(Price!D11/Price!D10)</f>
        <v>3.0662184447034085E-2</v>
      </c>
      <c r="E10" s="2">
        <f>LN(Price!E11/Price!E10)</f>
        <v>6.0853274341823582E-3</v>
      </c>
    </row>
    <row r="11" spans="1:5">
      <c r="A11" s="1" t="s">
        <v>55</v>
      </c>
      <c r="B11" s="2">
        <f>LN(Price!B12/Price!B11)</f>
        <v>-2.423948891149269E-2</v>
      </c>
      <c r="C11" s="2">
        <f>LN(Price!C12/Price!C11)</f>
        <v>7.3528547976279293E-2</v>
      </c>
      <c r="D11" s="2">
        <f>LN(Price!D12/Price!D11)</f>
        <v>-6.5082075324529726E-2</v>
      </c>
      <c r="E11" s="2">
        <f>LN(Price!E12/Price!E11)</f>
        <v>4.8647458558890834E-2</v>
      </c>
    </row>
    <row r="12" spans="1:5">
      <c r="A12" s="1" t="s">
        <v>60</v>
      </c>
      <c r="B12" s="2">
        <f>LN(Price!B13/Price!B12)</f>
        <v>-3.585661313870446E-2</v>
      </c>
      <c r="C12" s="2">
        <f>LN(Price!C13/Price!C12)</f>
        <v>-3.6137603602892837E-2</v>
      </c>
      <c r="D12" s="2">
        <f>LN(Price!D13/Price!D12)</f>
        <v>-1.1142382266945165E-2</v>
      </c>
      <c r="E12" s="2">
        <f>LN(Price!E13/Price!E12)</f>
        <v>-2.4844857610911219E-2</v>
      </c>
    </row>
    <row r="13" spans="1:5">
      <c r="A13" s="1" t="s">
        <v>65</v>
      </c>
      <c r="B13" s="2">
        <f>LN(Price!B14/Price!B13)</f>
        <v>-2.0438854194184453E-2</v>
      </c>
      <c r="C13" s="2">
        <f>LN(Price!C14/Price!C13)</f>
        <v>3.5368782812279113E-2</v>
      </c>
      <c r="D13" s="2">
        <f>LN(Price!D14/Price!D13)</f>
        <v>4.1963492320579658E-2</v>
      </c>
      <c r="E13" s="2">
        <f>LN(Price!E14/Price!E13)</f>
        <v>-9.89491934662577E-3</v>
      </c>
    </row>
    <row r="14" spans="1:5">
      <c r="A14" s="1" t="s">
        <v>70</v>
      </c>
      <c r="B14" s="2">
        <f>LN(Price!B15/Price!B14)</f>
        <v>1.9893393293861437E-2</v>
      </c>
      <c r="C14" s="2">
        <f>LN(Price!C15/Price!C14)</f>
        <v>-1.5229414740137209E-2</v>
      </c>
      <c r="D14" s="2">
        <f>LN(Price!D15/Price!D14)</f>
        <v>1.4960501985709604E-2</v>
      </c>
      <c r="E14" s="2">
        <f>LN(Price!E15/Price!E14)</f>
        <v>-6.1624177098425659E-2</v>
      </c>
    </row>
    <row r="15" spans="1:5">
      <c r="A15" s="1" t="s">
        <v>75</v>
      </c>
      <c r="B15" s="2">
        <f>LN(Price!B16/Price!B15)</f>
        <v>-1.5368848540863355E-2</v>
      </c>
      <c r="C15" s="2">
        <f>LN(Price!C16/Price!C15)</f>
        <v>-5.462734023270454E-2</v>
      </c>
      <c r="D15" s="2">
        <f>LN(Price!D16/Price!D15)</f>
        <v>4.5296235692278052E-2</v>
      </c>
      <c r="E15" s="2">
        <f>LN(Price!E16/Price!E15)</f>
        <v>-2.2236615861739407E-2</v>
      </c>
    </row>
    <row r="16" spans="1:5">
      <c r="A16" s="1" t="s">
        <v>80</v>
      </c>
      <c r="B16" s="2">
        <f>LN(Price!B17/Price!B16)</f>
        <v>-5.8581164183060502E-2</v>
      </c>
      <c r="C16" s="2">
        <f>LN(Price!C17/Price!C16)</f>
        <v>-8.9662589238785909E-2</v>
      </c>
      <c r="D16" s="2">
        <f>LN(Price!D17/Price!D16)</f>
        <v>-4.9703285639319229E-2</v>
      </c>
      <c r="E16" s="2">
        <f>LN(Price!E17/Price!E16)</f>
        <v>2.2535591951108075E-2</v>
      </c>
    </row>
    <row r="17" spans="1:5">
      <c r="A17" s="1" t="s">
        <v>85</v>
      </c>
      <c r="B17" s="2">
        <f>LN(Price!B18/Price!B17)</f>
        <v>1.9911641577172387E-2</v>
      </c>
      <c r="C17" s="2">
        <f>LN(Price!C18/Price!C17)</f>
        <v>8.4484893330067333E-3</v>
      </c>
      <c r="D17" s="2">
        <f>LN(Price!D18/Price!D17)</f>
        <v>3.3793045417871634E-2</v>
      </c>
      <c r="E17" s="2">
        <f>LN(Price!E18/Price!E17)</f>
        <v>-6.773760538707989E-3</v>
      </c>
    </row>
    <row r="18" spans="1:5">
      <c r="A18" s="1" t="s">
        <v>90</v>
      </c>
      <c r="B18" s="2">
        <f>LN(Price!B19/Price!B18)</f>
        <v>2.0530611499608869E-2</v>
      </c>
      <c r="C18" s="2">
        <f>LN(Price!C19/Price!C18)</f>
        <v>-2.1689892386076264E-4</v>
      </c>
      <c r="D18" s="2">
        <f>LN(Price!D19/Price!D18)</f>
        <v>-1.0448044450139477E-3</v>
      </c>
      <c r="E18" s="2">
        <f>LN(Price!E19/Price!E18)</f>
        <v>7.3073817529235974E-2</v>
      </c>
    </row>
    <row r="19" spans="1:5">
      <c r="A19" s="1" t="s">
        <v>95</v>
      </c>
      <c r="B19" s="2">
        <f>LN(Price!B20/Price!B19)</f>
        <v>7.1394792855122291E-2</v>
      </c>
      <c r="C19" s="2">
        <f>LN(Price!C20/Price!C19)</f>
        <v>2.8423003289238906E-2</v>
      </c>
      <c r="D19" s="2">
        <f>LN(Price!D20/Price!D19)</f>
        <v>3.6433539580706907E-2</v>
      </c>
      <c r="E19" s="2">
        <f>LN(Price!E20/Price!E19)</f>
        <v>-2.290156681888144E-2</v>
      </c>
    </row>
    <row r="20" spans="1:5">
      <c r="A20" s="1" t="s">
        <v>100</v>
      </c>
      <c r="B20" s="2">
        <f>LN(Price!B21/Price!B20)</f>
        <v>-1.668347795871215E-2</v>
      </c>
      <c r="C20" s="2">
        <f>LN(Price!C21/Price!C20)</f>
        <v>-9.1265420662002938E-2</v>
      </c>
      <c r="D20" s="2">
        <f>LN(Price!D21/Price!D20)</f>
        <v>-8.3856053787700474E-3</v>
      </c>
      <c r="E20" s="2">
        <f>LN(Price!E21/Price!E20)</f>
        <v>-1.3813561484581727E-3</v>
      </c>
    </row>
    <row r="21" spans="1:5">
      <c r="A21" s="1" t="s">
        <v>105</v>
      </c>
      <c r="B21" s="2">
        <f>LN(Price!B22/Price!B21)</f>
        <v>2.1768516290684495E-2</v>
      </c>
      <c r="C21" s="2">
        <f>LN(Price!C22/Price!C21)</f>
        <v>9.9100483495816433E-2</v>
      </c>
      <c r="D21" s="2">
        <f>LN(Price!D22/Price!D21)</f>
        <v>3.1429553703124592E-2</v>
      </c>
      <c r="E21" s="2">
        <f>LN(Price!E22/Price!E21)</f>
        <v>0.10655425384353032</v>
      </c>
    </row>
    <row r="22" spans="1:5">
      <c r="A22" s="1" t="s">
        <v>110</v>
      </c>
      <c r="B22" s="2">
        <f>LN(Price!B23/Price!B22)</f>
        <v>-1.3145733509032983E-3</v>
      </c>
      <c r="C22" s="2">
        <f>LN(Price!C23/Price!C22)</f>
        <v>-3.538121284224028E-2</v>
      </c>
      <c r="D22" s="2">
        <f>LN(Price!D23/Price!D22)</f>
        <v>1.6864442244708889E-2</v>
      </c>
      <c r="E22" s="2">
        <f>LN(Price!E23/Price!E22)</f>
        <v>6.9101110490710285E-2</v>
      </c>
    </row>
    <row r="23" spans="1:5">
      <c r="A23" s="1" t="s">
        <v>115</v>
      </c>
      <c r="B23" s="2">
        <f>LN(Price!B24/Price!B23)</f>
        <v>2.0998733076453006E-2</v>
      </c>
      <c r="C23" s="2">
        <f>LN(Price!C24/Price!C23)</f>
        <v>8.1825798034849235E-4</v>
      </c>
      <c r="D23" s="2">
        <f>LN(Price!D24/Price!D23)</f>
        <v>1.8087078108820515E-2</v>
      </c>
      <c r="E23" s="2">
        <f>LN(Price!E24/Price!E23)</f>
        <v>-2.8949417524963134E-2</v>
      </c>
    </row>
    <row r="24" spans="1:5">
      <c r="A24" s="1" t="s">
        <v>120</v>
      </c>
      <c r="B24" s="2">
        <f>LN(Price!B25/Price!B24)</f>
        <v>9.9186018600552379E-3</v>
      </c>
      <c r="C24" s="2">
        <f>LN(Price!C25/Price!C24)</f>
        <v>-1.140206609686132E-2</v>
      </c>
      <c r="D24" s="2">
        <f>LN(Price!D25/Price!D24)</f>
        <v>1.2346211266773542E-2</v>
      </c>
      <c r="E24" s="2">
        <f>LN(Price!E25/Price!E24)</f>
        <v>4.241431891135264E-3</v>
      </c>
    </row>
    <row r="25" spans="1:5">
      <c r="A25" s="1" t="s">
        <v>125</v>
      </c>
      <c r="B25" s="2">
        <f>LN(Price!B26/Price!B25)</f>
        <v>1.8472528934911518E-2</v>
      </c>
      <c r="C25" s="2">
        <f>LN(Price!C26/Price!C25)</f>
        <v>7.8655478594941083E-2</v>
      </c>
      <c r="D25" s="2">
        <f>LN(Price!D26/Price!D25)</f>
        <v>-4.466073110201034E-2</v>
      </c>
      <c r="E25" s="2">
        <f>LN(Price!E26/Price!E25)</f>
        <v>1.4398810632029422E-2</v>
      </c>
    </row>
    <row r="26" spans="1:5">
      <c r="A26" s="1" t="s">
        <v>130</v>
      </c>
      <c r="B26" s="2">
        <f>LN(Price!B27/Price!B26)</f>
        <v>2.1060527908995812E-2</v>
      </c>
      <c r="C26" s="2">
        <f>LN(Price!C27/Price!C26)</f>
        <v>-5.3153452556872767E-2</v>
      </c>
      <c r="D26" s="2">
        <f>LN(Price!D27/Price!D26)</f>
        <v>2.4262703822567185E-2</v>
      </c>
      <c r="E26" s="2">
        <f>LN(Price!E27/Price!E26)</f>
        <v>4.0739825198108988E-2</v>
      </c>
    </row>
    <row r="27" spans="1:5">
      <c r="A27" s="1" t="s">
        <v>135</v>
      </c>
      <c r="B27" s="2">
        <f>LN(Price!B28/Price!B27)</f>
        <v>-0.35705663192050274</v>
      </c>
      <c r="C27" s="2">
        <f>LN(Price!C28/Price!C27)</f>
        <v>-0.38252163786322613</v>
      </c>
      <c r="D27" s="2">
        <f>LN(Price!D28/Price!D27)</f>
        <v>-0.34594965363050739</v>
      </c>
      <c r="E27" s="2">
        <f>LN(Price!E28/Price!E27)</f>
        <v>2.4397917663941331E-2</v>
      </c>
    </row>
    <row r="28" spans="1:5">
      <c r="A28" s="1" t="s">
        <v>140</v>
      </c>
      <c r="B28" s="2">
        <f>LN(Price!B29/Price!B28)</f>
        <v>8.202243166374211E-2</v>
      </c>
      <c r="C28" s="2">
        <f>LN(Price!C29/Price!C28)</f>
        <v>0.26699363657873249</v>
      </c>
      <c r="D28" s="2">
        <f>LN(Price!D29/Price!D28)</f>
        <v>5.9182743553856991E-2</v>
      </c>
      <c r="E28" s="2">
        <f>LN(Price!E29/Price!E28)</f>
        <v>5.0539776569869937E-2</v>
      </c>
    </row>
    <row r="29" spans="1:5">
      <c r="A29" s="1" t="s">
        <v>145</v>
      </c>
      <c r="B29" s="2">
        <f>LN(Price!B30/Price!B29)</f>
        <v>2.5619528682894722E-2</v>
      </c>
      <c r="C29" s="2">
        <f>LN(Price!C30/Price!C29)</f>
        <v>2.5913855450044748E-2</v>
      </c>
      <c r="D29" s="2">
        <f>LN(Price!D30/Price!D29)</f>
        <v>2.3678620942305306E-3</v>
      </c>
      <c r="E29" s="2">
        <f>LN(Price!E30/Price!E29)</f>
        <v>3.7002145690038409E-2</v>
      </c>
    </row>
    <row r="30" spans="1:5">
      <c r="A30" s="1" t="s">
        <v>150</v>
      </c>
      <c r="B30" s="2">
        <f>LN(Price!B31/Price!B30)</f>
        <v>3.2578747517471536E-2</v>
      </c>
      <c r="C30" s="2">
        <f>LN(Price!C31/Price!C30)</f>
        <v>3.4766064584740762E-2</v>
      </c>
      <c r="D30" s="2">
        <f>LN(Price!D31/Price!D30)</f>
        <v>3.2933004034850812E-2</v>
      </c>
      <c r="E30" s="2">
        <f>LN(Price!E31/Price!E30)</f>
        <v>0.10153780286141098</v>
      </c>
    </row>
    <row r="31" spans="1:5">
      <c r="A31" s="1" t="s">
        <v>155</v>
      </c>
      <c r="B31" s="2">
        <f>LN(Price!B32/Price!B31)</f>
        <v>-1.8048432959646126E-2</v>
      </c>
      <c r="C31" s="2">
        <f>LN(Price!C32/Price!C31)</f>
        <v>-5.5321765686554975E-2</v>
      </c>
      <c r="D31" s="2">
        <f>LN(Price!D32/Price!D31)</f>
        <v>-3.3398813648366381E-2</v>
      </c>
      <c r="E31" s="2">
        <f>LN(Price!E32/Price!E31)</f>
        <v>-3.7498872519076382E-2</v>
      </c>
    </row>
    <row r="32" spans="1:5">
      <c r="A32" s="1" t="s">
        <v>160</v>
      </c>
      <c r="B32" s="2">
        <f>LN(Price!B33/Price!B32)</f>
        <v>-1.116267973316472E-2</v>
      </c>
      <c r="C32" s="2">
        <f>LN(Price!C33/Price!C32)</f>
        <v>-2.1138118556633837E-2</v>
      </c>
      <c r="D32" s="2">
        <f>LN(Price!D33/Price!D32)</f>
        <v>-2.646057141110103E-2</v>
      </c>
      <c r="E32" s="2">
        <f>LN(Price!E33/Price!E32)</f>
        <v>-3.0114151778984207E-3</v>
      </c>
    </row>
    <row r="33" spans="1:6">
      <c r="A33" s="1" t="s">
        <v>165</v>
      </c>
      <c r="B33" s="2">
        <f>LN(Price!B34/Price!B33)</f>
        <v>0.12064986396896941</v>
      </c>
      <c r="C33" s="2">
        <f>LN(Price!C34/Price!C33)</f>
        <v>0.14839351771279502</v>
      </c>
      <c r="D33" s="2">
        <f>LN(Price!D34/Price!D33)</f>
        <v>0.11534677172141927</v>
      </c>
      <c r="E33" s="2">
        <f>LN(Price!E34/Price!E33)</f>
        <v>-6.5851773218630033E-2</v>
      </c>
    </row>
    <row r="34" spans="1:6">
      <c r="A34" s="1" t="s">
        <v>170</v>
      </c>
      <c r="B34" s="2">
        <f>LN(Price!B35/Price!B34)</f>
        <v>1.2701804041539371E-2</v>
      </c>
      <c r="C34" s="2">
        <f>LN(Price!C35/Price!C34)</f>
        <v>3.3306320874442186E-2</v>
      </c>
      <c r="D34" s="2">
        <f>LN(Price!D35/Price!D34)</f>
        <v>6.8874766038389762E-3</v>
      </c>
      <c r="E34" s="2">
        <f>LN(Price!E35/Price!E34)</f>
        <v>6.8236596241547653E-2</v>
      </c>
    </row>
    <row r="35" spans="1:6">
      <c r="A35" s="1" t="s">
        <v>175</v>
      </c>
      <c r="B35" s="2">
        <f>LN(Price!B36/Price!B35)</f>
        <v>2.008638874148308E-2</v>
      </c>
      <c r="C35" s="2">
        <f>LN(Price!C36/Price!C35)</f>
        <v>0.14251525008152721</v>
      </c>
      <c r="D35" s="2">
        <f>LN(Price!D36/Price!D35)</f>
        <v>0.10785775113024133</v>
      </c>
      <c r="E35" s="2">
        <f>LN(Price!E36/Price!E35)</f>
        <v>-0.11519320892187211</v>
      </c>
    </row>
    <row r="36" spans="1:6">
      <c r="A36" s="1" t="s">
        <v>180</v>
      </c>
      <c r="B36" s="2">
        <f>LN(Price!B37/Price!B36)</f>
        <v>4.304931390932723E-2</v>
      </c>
      <c r="C36" s="2">
        <f>LN(Price!C37/Price!C36)</f>
        <v>4.4728542929691174E-2</v>
      </c>
      <c r="D36" s="2">
        <f>LN(Price!D37/Price!D36)</f>
        <v>6.7314681823308728E-2</v>
      </c>
      <c r="E36" s="2">
        <f>LN(Price!E37/Price!E36)</f>
        <v>4.8181865271238224E-2</v>
      </c>
    </row>
    <row r="37" spans="1:6">
      <c r="A37" s="1" t="s">
        <v>185</v>
      </c>
      <c r="B37" s="2">
        <f>LN(Price!B38/Price!B37)</f>
        <v>-2.1712594204405522E-2</v>
      </c>
      <c r="C37" s="2">
        <f>LN(Price!C38/Price!C37)</f>
        <v>3.1835480403834479E-2</v>
      </c>
      <c r="D37" s="2">
        <f>LN(Price!D38/Price!D37)</f>
        <v>2.460632198352404E-2</v>
      </c>
      <c r="E37" s="2">
        <f>LN(Price!E38/Price!E37)</f>
        <v>-3.2206028732063448E-3</v>
      </c>
    </row>
    <row r="38" spans="1:6">
      <c r="A38" s="1" t="s">
        <v>190</v>
      </c>
      <c r="B38" s="2">
        <f>LN(Price!B39/Price!B38)</f>
        <v>9.3139684211427792E-3</v>
      </c>
      <c r="C38" s="2">
        <f>LN(Price!C39/Price!C38)</f>
        <v>-3.1231417959108262E-2</v>
      </c>
      <c r="D38" s="2">
        <f>LN(Price!D39/Price!D38)</f>
        <v>5.1624909285245595E-2</v>
      </c>
      <c r="E38" s="2">
        <f>LN(Price!E39/Price!E38)</f>
        <v>3.4572473464280058E-2</v>
      </c>
    </row>
    <row r="39" spans="1:6">
      <c r="A39" s="1" t="s">
        <v>195</v>
      </c>
      <c r="B39" s="2">
        <f>LN(Price!B40/Price!B39)</f>
        <v>1.6328816483576099E-2</v>
      </c>
      <c r="C39" s="2">
        <f>LN(Price!C40/Price!C39)</f>
        <v>-3.4279061184629013E-2</v>
      </c>
      <c r="D39" s="2">
        <f>LN(Price!D40/Price!D39)</f>
        <v>1.1479829915306375E-2</v>
      </c>
      <c r="E39" s="2">
        <f>LN(Price!E40/Price!E39)</f>
        <v>-1.5379491490979185E-2</v>
      </c>
    </row>
    <row r="40" spans="1:6">
      <c r="A40" s="1" t="s">
        <v>200</v>
      </c>
      <c r="B40" s="2">
        <f>LN(Price!B41/Price!B40)</f>
        <v>-1.2183893511376481E-2</v>
      </c>
      <c r="C40" s="2">
        <f>LN(Price!C41/Price!C40)</f>
        <v>2.1143687670134213E-2</v>
      </c>
      <c r="D40" s="2">
        <f>LN(Price!D41/Price!D40)</f>
        <v>-5.8326947060405983E-2</v>
      </c>
      <c r="E40" s="2">
        <f>LN(Price!E41/Price!E40)</f>
        <v>-3.1808441458984357E-2</v>
      </c>
    </row>
    <row r="41" spans="1:6">
      <c r="F41" s="11"/>
    </row>
    <row r="42" spans="1:6">
      <c r="A42" t="s">
        <v>211</v>
      </c>
      <c r="B42" s="2">
        <f>AVERAGE(B2:B40)</f>
        <v>2.6320290275941654E-3</v>
      </c>
      <c r="C42" s="2">
        <f>AVERAGE(C2:C40)</f>
        <v>4.0309655324454203E-3</v>
      </c>
      <c r="D42" s="2">
        <f>AVERAGE(D2:D40)</f>
        <v>2.0282130351623896E-3</v>
      </c>
      <c r="E42" s="2">
        <f>AVERAGE(E2:E40)</f>
        <v>6.5642215211514634E-3</v>
      </c>
    </row>
    <row r="44" spans="1:6">
      <c r="A44" s="3"/>
    </row>
    <row r="45" spans="1:6">
      <c r="A45" s="3"/>
    </row>
    <row r="47" spans="1:6">
      <c r="A47" s="3"/>
    </row>
    <row r="48" spans="1:6">
      <c r="A48" s="3"/>
    </row>
    <row r="50" spans="1:1">
      <c r="A50" s="3"/>
    </row>
    <row r="51" spans="1:1">
      <c r="A51" s="3"/>
    </row>
    <row r="53" spans="1:1">
      <c r="A53" s="3"/>
    </row>
    <row r="54" spans="1:1">
      <c r="A54" s="3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7"/>
  <sheetViews>
    <sheetView workbookViewId="0">
      <selection activeCell="A15" sqref="A15:C17"/>
    </sheetView>
  </sheetViews>
  <sheetFormatPr defaultColWidth="9" defaultRowHeight="15"/>
  <cols>
    <col min="2" max="2" width="9.140625" bestFit="1" customWidth="1"/>
    <col min="3" max="3" width="12.7109375" bestFit="1" customWidth="1"/>
    <col min="4" max="5" width="9.140625" bestFit="1" customWidth="1"/>
  </cols>
  <sheetData>
    <row r="1" spans="1:5">
      <c r="A1" t="s">
        <v>212</v>
      </c>
    </row>
    <row r="2" spans="1:5">
      <c r="B2" s="1" t="s">
        <v>1</v>
      </c>
      <c r="C2" s="1" t="s">
        <v>2</v>
      </c>
      <c r="D2" s="1" t="s">
        <v>3</v>
      </c>
      <c r="E2" s="1" t="s">
        <v>4</v>
      </c>
    </row>
    <row r="3" spans="1:5">
      <c r="A3" t="str">
        <f t="array" ref="A3:A6">TRANSPOSE(B2:E2)</f>
        <v>GII</v>
      </c>
      <c r="B3">
        <f t="array" ref="B3:E6">VarCovar(Return!B2:E40)</f>
        <v>4.8212858325601569E-3</v>
      </c>
      <c r="C3">
        <v>4.9815743328940907E-3</v>
      </c>
      <c r="D3">
        <v>4.3010671607501758E-3</v>
      </c>
      <c r="E3">
        <v>1.9945434621382798E-4</v>
      </c>
    </row>
    <row r="4" spans="1:5">
      <c r="A4" t="str">
        <v>NANR</v>
      </c>
      <c r="B4">
        <v>4.9815743328940907E-3</v>
      </c>
      <c r="C4">
        <v>8.6683830748908609E-3</v>
      </c>
      <c r="D4">
        <v>4.728626894969337E-3</v>
      </c>
      <c r="E4">
        <v>-9.7689377854041627E-5</v>
      </c>
    </row>
    <row r="5" spans="1:5">
      <c r="A5" t="str">
        <v>RWR</v>
      </c>
      <c r="B5">
        <v>4.3010671607501758E-3</v>
      </c>
      <c r="C5">
        <v>4.728626894969337E-3</v>
      </c>
      <c r="D5">
        <v>4.9386408005517171E-3</v>
      </c>
      <c r="E5">
        <v>-2.5595470952966606E-4</v>
      </c>
    </row>
    <row r="6" spans="1:5">
      <c r="A6" t="str">
        <v>GLD</v>
      </c>
      <c r="B6">
        <v>1.9945434621382798E-4</v>
      </c>
      <c r="C6">
        <v>-9.7689377854041627E-5</v>
      </c>
      <c r="D6">
        <v>-2.5595470952966606E-4</v>
      </c>
      <c r="E6">
        <v>2.4945262094925305E-3</v>
      </c>
    </row>
    <row r="8" spans="1:5">
      <c r="A8" s="5" t="s">
        <v>213</v>
      </c>
    </row>
    <row r="9" spans="1:5">
      <c r="B9" s="1" t="s">
        <v>1</v>
      </c>
      <c r="C9" s="1" t="s">
        <v>2</v>
      </c>
      <c r="D9" s="1" t="s">
        <v>3</v>
      </c>
      <c r="E9" s="1" t="s">
        <v>4</v>
      </c>
    </row>
    <row r="10" spans="1:5">
      <c r="A10" t="str">
        <f t="array" ref="A10:A13">TRANSPOSE(B9:E9)</f>
        <v>GII</v>
      </c>
      <c r="B10">
        <f t="array" ref="B10:E13">CorrMatrixTriangular(Return!B2:E40)</f>
        <v>1</v>
      </c>
      <c r="C10" s="6">
        <v>0.77057715141998973</v>
      </c>
      <c r="D10" s="6">
        <v>0.8814365684246307</v>
      </c>
      <c r="E10">
        <v>5.7513265765379462E-2</v>
      </c>
    </row>
    <row r="11" spans="1:5">
      <c r="A11" t="str">
        <v>NANR</v>
      </c>
      <c r="B11" t="str">
        <v/>
      </c>
      <c r="C11">
        <v>1.0000000000000002</v>
      </c>
      <c r="D11" s="6">
        <v>0.72270703169271655</v>
      </c>
      <c r="E11">
        <v>-2.1007978309225895E-2</v>
      </c>
    </row>
    <row r="12" spans="1:5">
      <c r="A12" t="str">
        <v>RWR</v>
      </c>
      <c r="B12" t="str">
        <v/>
      </c>
      <c r="C12" t="str">
        <v/>
      </c>
      <c r="D12">
        <v>1.0000000000000002</v>
      </c>
      <c r="E12">
        <v>-7.292314143600212E-2</v>
      </c>
    </row>
    <row r="13" spans="1:5">
      <c r="A13" t="str">
        <v>GLD</v>
      </c>
      <c r="B13" t="str">
        <v/>
      </c>
      <c r="C13" t="str">
        <v/>
      </c>
      <c r="D13" t="str">
        <v/>
      </c>
      <c r="E13">
        <v>1</v>
      </c>
    </row>
    <row r="15" spans="1:5">
      <c r="B15" s="1" t="s">
        <v>3</v>
      </c>
      <c r="C15" s="1" t="s">
        <v>4</v>
      </c>
    </row>
    <row r="16" spans="1:5">
      <c r="A16" t="str">
        <f t="array" ref="A16:A17">TRANSPOSE(B15:C15)</f>
        <v>RWR</v>
      </c>
      <c r="B16">
        <f t="array" ref="B16:C17">CorrMatrixTriangular(Return!D2:E40)</f>
        <v>1.0000000000000002</v>
      </c>
      <c r="C16">
        <v>-7.292314143600212E-2</v>
      </c>
    </row>
    <row r="17" spans="1:3">
      <c r="A17" t="str">
        <v>GLD</v>
      </c>
      <c r="B17" t="str">
        <v/>
      </c>
      <c r="C17">
        <v>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4"/>
  <sheetViews>
    <sheetView zoomScale="90" zoomScaleNormal="90" workbookViewId="0">
      <selection activeCell="C11" sqref="C11"/>
    </sheetView>
  </sheetViews>
  <sheetFormatPr defaultRowHeight="15"/>
  <cols>
    <col min="1" max="1" width="16.7109375" customWidth="1"/>
    <col min="2" max="3" width="12.7109375" bestFit="1" customWidth="1"/>
  </cols>
  <sheetData>
    <row r="1" spans="1:6">
      <c r="B1" s="1" t="s">
        <v>3</v>
      </c>
      <c r="C1" s="1" t="s">
        <v>4</v>
      </c>
    </row>
    <row r="2" spans="1:6">
      <c r="A2" t="str">
        <f t="array" ref="A2:A3">TRANSPOSE(B1:C1)</f>
        <v>RWR</v>
      </c>
      <c r="B2">
        <f t="array" ref="B2:C3">VarCovar(Return!D2:E40)</f>
        <v>4.9386408005517171E-3</v>
      </c>
      <c r="C2">
        <v>-2.5595470952966606E-4</v>
      </c>
    </row>
    <row r="3" spans="1:6">
      <c r="A3" t="str">
        <v>GLD</v>
      </c>
      <c r="B3">
        <v>-2.5595470952966606E-4</v>
      </c>
      <c r="C3">
        <v>2.4945262094925305E-3</v>
      </c>
    </row>
    <row r="5" spans="1:6">
      <c r="B5" s="1" t="s">
        <v>3</v>
      </c>
      <c r="C5" s="1" t="s">
        <v>4</v>
      </c>
    </row>
    <row r="6" spans="1:6">
      <c r="A6" t="str">
        <f t="array" ref="A6:A7">TRANSPOSE(B5:C5)</f>
        <v>RWR</v>
      </c>
      <c r="B6">
        <f t="array" ref="B6:C7">B2:C3*IF(B5:C5=A6:A7,1,0)</f>
        <v>4.9386408005517171E-3</v>
      </c>
      <c r="C6">
        <v>0</v>
      </c>
    </row>
    <row r="7" spans="1:6">
      <c r="A7" t="str">
        <v>GLD</v>
      </c>
      <c r="B7">
        <v>0</v>
      </c>
      <c r="C7">
        <v>2.4945262094925305E-3</v>
      </c>
    </row>
    <row r="9" spans="1:6">
      <c r="A9" s="32" t="s">
        <v>214</v>
      </c>
      <c r="B9" s="6">
        <v>0.5</v>
      </c>
    </row>
    <row r="10" spans="1:6">
      <c r="B10" s="1" t="s">
        <v>3</v>
      </c>
      <c r="C10" s="1" t="s">
        <v>4</v>
      </c>
      <c r="E10" s="5" t="s">
        <v>215</v>
      </c>
      <c r="F10" s="5" t="s">
        <v>217</v>
      </c>
    </row>
    <row r="11" spans="1:6">
      <c r="A11" t="str">
        <f t="array" ref="A11:A12">TRANSPOSE(B10:C10)</f>
        <v>RWR</v>
      </c>
      <c r="B11">
        <f t="array" ref="B11:C12">B2:C3*B9+(1-B9)*B6:C7</f>
        <v>4.9386408005517171E-3</v>
      </c>
      <c r="C11">
        <v>-1.2797735476483303E-4</v>
      </c>
      <c r="E11" s="10">
        <f t="array" ref="E11:E12">TRANSPOSE(Return!D42:E42)</f>
        <v>2.0282130351623896E-3</v>
      </c>
      <c r="F11" s="11">
        <f>E11-B14</f>
        <v>1.8282130351623895E-3</v>
      </c>
    </row>
    <row r="12" spans="1:6">
      <c r="A12" t="str">
        <v>GLD</v>
      </c>
      <c r="B12">
        <v>-1.2797735476483303E-4</v>
      </c>
      <c r="C12">
        <v>2.4945262094925305E-3</v>
      </c>
      <c r="E12" s="10">
        <v>6.5642215211514634E-3</v>
      </c>
      <c r="F12" s="11">
        <f>E12-B14</f>
        <v>6.3642215211514638E-3</v>
      </c>
    </row>
    <row r="14" spans="1:6">
      <c r="A14" s="7" t="s">
        <v>216</v>
      </c>
      <c r="B14" s="8">
        <f>0.02%</f>
        <v>2.0000000000000001E-4</v>
      </c>
    </row>
    <row r="16" spans="1:6">
      <c r="A16" s="5" t="s">
        <v>218</v>
      </c>
      <c r="D16" s="12" t="s">
        <v>250</v>
      </c>
      <c r="E16" s="12" t="s">
        <v>246</v>
      </c>
    </row>
    <row r="17" spans="1:6">
      <c r="A17" t="s">
        <v>3</v>
      </c>
      <c r="B17">
        <f t="array" ref="B17:B18">MMULT(MINVERSE(B11:C12),F11:F12)</f>
        <v>0.43687866778505818</v>
      </c>
      <c r="D17" s="4">
        <v>0.14511509464574629</v>
      </c>
      <c r="E17" s="10">
        <v>0.14019460277742007</v>
      </c>
      <c r="F17" s="9"/>
    </row>
    <row r="18" spans="1:6">
      <c r="A18" t="s">
        <v>4</v>
      </c>
      <c r="B18">
        <v>2.5736879704759033</v>
      </c>
      <c r="D18" s="4">
        <v>0.85488490509093129</v>
      </c>
      <c r="E18" s="10">
        <v>0.85980539722257987</v>
      </c>
      <c r="F18" s="9"/>
    </row>
    <row r="19" spans="1:6">
      <c r="D19" s="4">
        <f>SUM(D17:D18)</f>
        <v>0.99999999973667753</v>
      </c>
      <c r="E19" s="10">
        <v>1</v>
      </c>
    </row>
    <row r="20" spans="1:6">
      <c r="B20" s="12" t="s">
        <v>250</v>
      </c>
      <c r="C20" s="12" t="s">
        <v>246</v>
      </c>
    </row>
    <row r="21" spans="1:6">
      <c r="A21" s="5" t="s">
        <v>219</v>
      </c>
      <c r="B21" s="10">
        <f t="array" ref="B21">MMULT(TRANSPOSE(D17:D18),E11:E12)</f>
        <v>5.9059782186647444E-3</v>
      </c>
      <c r="C21" s="10">
        <f t="array" ref="C21">MMULT(TRANSPOSE(E17:E18),E11:E12)</f>
        <v>5.9282976132632179E-3</v>
      </c>
    </row>
    <row r="22" spans="1:6">
      <c r="A22" s="5" t="s">
        <v>220</v>
      </c>
      <c r="B22" s="10">
        <f t="array" ref="B22">MMULT(MMULT(TRANSPOSE(D17:D18),B11:C12),D17:D18)</f>
        <v>1.8953170317720413E-3</v>
      </c>
      <c r="C22" s="10">
        <f t="array" ref="C22">MMULT(MMULT(TRANSPOSE(E17:E18),B11:C12),E17:E18)</f>
        <v>1.9103305662821265E-3</v>
      </c>
    </row>
    <row r="23" spans="1:6">
      <c r="A23" s="12" t="s">
        <v>222</v>
      </c>
      <c r="B23" s="10">
        <f>SQRT(B22)</f>
        <v>4.353523896537196E-2</v>
      </c>
      <c r="C23" s="10">
        <f>SQRT(C22)</f>
        <v>4.3707328519164E-2</v>
      </c>
    </row>
    <row r="24" spans="1:6">
      <c r="A24" s="12" t="s">
        <v>221</v>
      </c>
      <c r="B24" s="57">
        <f>(B21-B14)/B23</f>
        <v>0.13106573787738468</v>
      </c>
      <c r="C24" s="10">
        <f>(C21-B14)/C23</f>
        <v>0.13106034633875135</v>
      </c>
      <c r="D24" s="1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4"/>
  <sheetViews>
    <sheetView tabSelected="1" workbookViewId="0">
      <selection activeCell="C3" sqref="C3"/>
    </sheetView>
  </sheetViews>
  <sheetFormatPr defaultRowHeight="15"/>
  <cols>
    <col min="1" max="1" width="18.42578125" customWidth="1"/>
    <col min="2" max="2" width="11.140625" customWidth="1"/>
    <col min="6" max="6" width="22.7109375" bestFit="1" customWidth="1"/>
  </cols>
  <sheetData>
    <row r="1" spans="1:13" ht="18">
      <c r="A1" s="58" t="s">
        <v>257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</row>
    <row r="2" spans="1:13">
      <c r="A2" s="23" t="s">
        <v>223</v>
      </c>
      <c r="B2" s="24">
        <f>11%/12</f>
        <v>9.1666666666666667E-3</v>
      </c>
      <c r="C2" s="15" t="str">
        <f ca="1">getformula(B2)</f>
        <v>&lt;--  =11%/12</v>
      </c>
      <c r="D2" s="15"/>
      <c r="E2" s="15"/>
      <c r="F2" s="15"/>
      <c r="G2" s="15"/>
      <c r="H2" s="15"/>
      <c r="I2" s="15"/>
      <c r="J2" s="15"/>
      <c r="K2" s="15"/>
      <c r="L2" s="15"/>
      <c r="M2" s="15"/>
    </row>
    <row r="3" spans="1:13">
      <c r="A3" s="15" t="s">
        <v>224</v>
      </c>
      <c r="B3" s="16">
        <v>2.0000000000000001E-4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</row>
    <row r="4" spans="1:13">
      <c r="A4" s="23" t="s">
        <v>225</v>
      </c>
      <c r="B4" s="27">
        <f t="array" ref="B4">(B2-B3)/MMULT(MMULT(B8:C8,B12:C13),TRANSPOSE(B8:C8))</f>
        <v>3.8406189426535433</v>
      </c>
      <c r="C4" s="15" t="str">
        <f ca="1">getformula(B4)</f>
        <v>&lt;--  {=(B2-B3)/MMULT(MMULT(B8:C8,B12:C13),TRANSPOSE(B8:C8))}</v>
      </c>
      <c r="D4" s="15"/>
      <c r="E4" s="15"/>
      <c r="F4" s="15"/>
      <c r="G4" s="15"/>
      <c r="H4" s="15"/>
      <c r="I4" s="15"/>
      <c r="J4" s="15"/>
      <c r="K4" s="15"/>
      <c r="L4" s="15"/>
      <c r="M4" s="15"/>
    </row>
    <row r="6" spans="1:13">
      <c r="A6" s="17"/>
      <c r="B6" s="17" t="s">
        <v>3</v>
      </c>
      <c r="C6" s="17" t="s">
        <v>4</v>
      </c>
      <c r="D6" s="14"/>
      <c r="E6" s="26"/>
      <c r="F6" s="26"/>
      <c r="G6" s="26"/>
      <c r="H6" s="26"/>
      <c r="I6" s="26"/>
      <c r="J6" s="26"/>
      <c r="K6" s="25"/>
      <c r="L6" s="17"/>
      <c r="M6" s="17"/>
    </row>
    <row r="7" spans="1:13">
      <c r="A7" s="15" t="s">
        <v>226</v>
      </c>
      <c r="B7">
        <v>1831.57</v>
      </c>
      <c r="C7" s="13">
        <v>55455.27</v>
      </c>
      <c r="D7" s="15"/>
      <c r="E7" s="15"/>
      <c r="F7" s="15"/>
      <c r="G7" s="15"/>
      <c r="H7" s="15"/>
      <c r="I7" s="15"/>
      <c r="J7" s="15"/>
      <c r="K7" s="15"/>
      <c r="L7" s="15"/>
      <c r="M7" s="15"/>
    </row>
    <row r="8" spans="1:13">
      <c r="A8" s="15" t="s">
        <v>227</v>
      </c>
      <c r="B8" s="30">
        <f>B7/SUM($B$7:$C$7)</f>
        <v>3.1971915364855177E-2</v>
      </c>
      <c r="C8" s="30">
        <f>C7/SUM($B$7:$C$7)</f>
        <v>0.96802808463514478</v>
      </c>
      <c r="D8" s="30"/>
      <c r="E8" s="13"/>
      <c r="F8" s="13"/>
      <c r="G8" s="13"/>
      <c r="H8" s="13"/>
      <c r="I8" s="13"/>
      <c r="J8" s="13"/>
      <c r="K8" s="13"/>
      <c r="L8" s="13"/>
      <c r="M8" s="13"/>
    </row>
    <row r="10" spans="1:13">
      <c r="A10" s="19" t="s">
        <v>228</v>
      </c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</row>
    <row r="11" spans="1:13">
      <c r="A11" s="15"/>
      <c r="B11" s="17" t="s">
        <v>3</v>
      </c>
      <c r="C11" s="17" t="s">
        <v>4</v>
      </c>
      <c r="D11" s="17"/>
      <c r="E11" s="17"/>
      <c r="F11" s="18" t="s">
        <v>229</v>
      </c>
      <c r="G11" s="17"/>
      <c r="H11" s="17"/>
      <c r="I11" s="17"/>
      <c r="J11" s="17"/>
      <c r="K11" s="17"/>
      <c r="L11" s="15"/>
      <c r="M11" s="13"/>
    </row>
    <row r="12" spans="1:13">
      <c r="A12" s="17" t="s">
        <v>3</v>
      </c>
      <c r="B12" s="20">
        <v>4.9386408005517171E-3</v>
      </c>
      <c r="C12" s="20">
        <v>-1.2797735476483303E-4</v>
      </c>
      <c r="D12" s="20"/>
      <c r="E12" s="20"/>
      <c r="F12" s="31">
        <f t="array" ref="F12:F13">(MMULT(B12:C13,TRANSPOSE(B8:C8))*B4)+B3</f>
        <v>3.3062763875795181E-4</v>
      </c>
      <c r="G12" s="20" t="str">
        <f ca="1">getformula(F12)</f>
        <v>&lt;--  {=(MMULT(B12:C13,TRANSPOSE(B8:C8))*B4)+B3}</v>
      </c>
      <c r="H12" s="20"/>
      <c r="I12" s="20"/>
      <c r="J12" s="20"/>
      <c r="K12" s="20"/>
      <c r="L12" s="15"/>
      <c r="M12" s="13"/>
    </row>
    <row r="13" spans="1:13" ht="15" customHeight="1">
      <c r="A13" s="17" t="s">
        <v>4</v>
      </c>
      <c r="B13" s="20">
        <v>-1.2797735476483303E-4</v>
      </c>
      <c r="C13" s="20">
        <v>2.4945262094925305E-3</v>
      </c>
      <c r="D13" s="20"/>
      <c r="E13" s="20"/>
      <c r="F13" s="31">
        <v>9.4585023028892785E-3</v>
      </c>
      <c r="G13" s="20"/>
      <c r="H13" s="13"/>
    </row>
    <row r="14" spans="1:13">
      <c r="A14" s="17"/>
      <c r="B14" s="20"/>
      <c r="C14" s="20"/>
      <c r="D14" s="20"/>
      <c r="E14" s="20"/>
      <c r="F14" s="33"/>
      <c r="G14" s="20"/>
      <c r="H14" s="13"/>
    </row>
    <row r="15" spans="1:13">
      <c r="A15" s="17"/>
      <c r="B15" s="20"/>
      <c r="C15" s="20"/>
      <c r="D15" s="20"/>
      <c r="E15" s="20"/>
      <c r="F15" s="20"/>
      <c r="G15" s="20"/>
      <c r="H15" s="13"/>
    </row>
    <row r="16" spans="1:13" ht="38.25">
      <c r="A16" s="22" t="s">
        <v>230</v>
      </c>
      <c r="B16" s="24">
        <f t="array" ref="B16">MMULT(B8:C8,F12:F13)</f>
        <v>9.1666666666666667E-3</v>
      </c>
      <c r="C16" s="20" t="s">
        <v>231</v>
      </c>
      <c r="D16" s="20"/>
      <c r="E16" s="20"/>
      <c r="F16" s="20"/>
      <c r="G16" s="20"/>
      <c r="H16" s="20"/>
      <c r="I16" s="20"/>
      <c r="J16" s="20"/>
      <c r="K16" s="20"/>
      <c r="L16" s="15"/>
      <c r="M16" s="13"/>
    </row>
    <row r="17" spans="1:14">
      <c r="A17" s="17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5"/>
      <c r="M17" s="13"/>
    </row>
    <row r="18" spans="1:14" ht="25.5">
      <c r="A18" s="29" t="s">
        <v>232</v>
      </c>
      <c r="B18" s="29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</row>
    <row r="19" spans="1:14">
      <c r="A19" s="17" t="s">
        <v>3</v>
      </c>
      <c r="B19" s="28">
        <f t="array" ref="B19:B20">MMULT(MINVERSE(B12:C13),F12:F13-B3)/SUM(MMULT(MINVERSE(B12:C13),F12:F13-B3))</f>
        <v>3.1971915364855177E-2</v>
      </c>
      <c r="C19" s="15" t="str">
        <f ca="1">getformula(B19)</f>
        <v>&lt;--  {=MMULT(MINVERSE(B12:C13),F12:F13-B3)/SUM(MMULT(MINVERSE(B12:C13),F12:F13-B3))}</v>
      </c>
      <c r="D19" s="15"/>
      <c r="E19" s="15"/>
      <c r="F19" s="15"/>
      <c r="G19" s="15"/>
      <c r="H19" s="15"/>
      <c r="I19" s="15"/>
      <c r="J19" s="15"/>
      <c r="K19" s="15"/>
      <c r="L19" s="15"/>
      <c r="M19" s="15"/>
    </row>
    <row r="20" spans="1:14">
      <c r="A20" s="17" t="s">
        <v>4</v>
      </c>
      <c r="B20" s="28">
        <v>0.96802808463514489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</row>
    <row r="21" spans="1:14">
      <c r="A21" s="15" t="s">
        <v>233</v>
      </c>
      <c r="B21" s="21">
        <f>SUM(B19:B20)</f>
        <v>1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</row>
    <row r="23" spans="1:14" ht="51">
      <c r="B23" s="40" t="s">
        <v>234</v>
      </c>
      <c r="C23" s="43" t="s">
        <v>235</v>
      </c>
      <c r="D23" s="41"/>
      <c r="E23" s="40" t="s">
        <v>236</v>
      </c>
      <c r="F23" s="41"/>
      <c r="G23" s="41"/>
      <c r="H23" s="41"/>
      <c r="I23" s="41"/>
      <c r="J23" s="41"/>
      <c r="K23" s="43" t="s">
        <v>237</v>
      </c>
      <c r="L23" s="40"/>
      <c r="M23" s="40" t="s">
        <v>238</v>
      </c>
      <c r="N23" s="13"/>
    </row>
    <row r="24" spans="1:14">
      <c r="A24" s="37" t="s">
        <v>3</v>
      </c>
      <c r="B24" s="39">
        <v>3.0634740850554439E-4</v>
      </c>
      <c r="C24" s="44">
        <f>B27-B24</f>
        <v>1.943652591494456E-3</v>
      </c>
      <c r="D24" s="37" t="s">
        <v>3</v>
      </c>
      <c r="E24" s="38">
        <f>B24+B12/$B$12*$C$24</f>
        <v>2.2500000000000003E-3</v>
      </c>
      <c r="F24" s="42" t="s">
        <v>240</v>
      </c>
      <c r="G24" s="36"/>
      <c r="H24" s="36"/>
      <c r="I24" s="34"/>
      <c r="J24" s="34"/>
      <c r="K24" s="38">
        <f t="array" ref="K24:K25">MMULT(MINVERSE(B12:C13),E24:E25-B3)/SUM(MMULT(MINVERSE(B12:C13),E24:E25-B3))</f>
        <v>0.14019460277742007</v>
      </c>
      <c r="L24" s="37" t="s">
        <v>239</v>
      </c>
      <c r="M24" s="35">
        <f t="array" ref="M24:M25">TRANSPOSE(B8:C8)</f>
        <v>3.1971915364855177E-2</v>
      </c>
      <c r="N24" s="13"/>
    </row>
    <row r="25" spans="1:14">
      <c r="A25" s="37" t="s">
        <v>4</v>
      </c>
      <c r="B25" s="39">
        <v>7.7375910941737992E-3</v>
      </c>
      <c r="C25" s="35">
        <v>0</v>
      </c>
      <c r="D25" s="37" t="s">
        <v>4</v>
      </c>
      <c r="E25" s="38">
        <f>B25+B13/$B$12*$C$24</f>
        <v>7.6872242974605244E-3</v>
      </c>
      <c r="F25" s="42" t="s">
        <v>242</v>
      </c>
      <c r="G25" s="36"/>
      <c r="H25" s="36"/>
      <c r="I25" s="34"/>
      <c r="J25" s="34"/>
      <c r="K25" s="38">
        <v>0.85980539722257987</v>
      </c>
      <c r="L25" s="37" t="s">
        <v>241</v>
      </c>
      <c r="M25" s="35">
        <v>0.96802808463514478</v>
      </c>
      <c r="N25" s="13"/>
    </row>
    <row r="26" spans="1:14">
      <c r="B26" s="36"/>
      <c r="C26" s="36"/>
      <c r="D26" s="34"/>
      <c r="E26" s="10">
        <f>2.7%/12</f>
        <v>2.2500000000000003E-3</v>
      </c>
      <c r="J26" s="12" t="s">
        <v>244</v>
      </c>
      <c r="K26" s="11">
        <f>SUM(K24:K25)</f>
        <v>1</v>
      </c>
    </row>
    <row r="27" spans="1:14">
      <c r="A27" s="34" t="s">
        <v>245</v>
      </c>
      <c r="B27" s="45">
        <f>2.7%/12</f>
        <v>2.2500000000000003E-3</v>
      </c>
      <c r="C27" t="str">
        <f ca="1">getformula(B27)</f>
        <v>&lt;--  =2.7%/12</v>
      </c>
    </row>
    <row r="28" spans="1:14">
      <c r="A28" s="59" t="s">
        <v>243</v>
      </c>
      <c r="B28" s="59"/>
      <c r="C28" s="59"/>
    </row>
    <row r="29" spans="1:14">
      <c r="A29" s="59"/>
      <c r="B29" s="59"/>
      <c r="C29" s="59"/>
    </row>
    <row r="30" spans="1:14">
      <c r="A30" s="59"/>
      <c r="B30" s="59"/>
      <c r="C30" s="59"/>
    </row>
    <row r="31" spans="1:14">
      <c r="A31" s="59"/>
      <c r="B31" s="59"/>
      <c r="C31" s="59"/>
    </row>
    <row r="32" spans="1:14">
      <c r="A32" s="59"/>
      <c r="B32" s="59"/>
      <c r="C32" s="59"/>
    </row>
    <row r="33" spans="1:4">
      <c r="A33" s="59"/>
      <c r="B33" s="59"/>
      <c r="C33" s="59"/>
    </row>
    <row r="34" spans="1:4">
      <c r="A34" s="34"/>
      <c r="B34" s="34"/>
      <c r="C34" s="34"/>
      <c r="D34" s="34"/>
    </row>
  </sheetData>
  <mergeCells count="2">
    <mergeCell ref="A1:M1"/>
    <mergeCell ref="A28:C3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L1" sqref="L1"/>
    </sheetView>
  </sheetViews>
  <sheetFormatPr defaultRowHeight="15"/>
  <cols>
    <col min="1" max="1" width="20.85546875" customWidth="1"/>
    <col min="2" max="2" width="12.28515625" customWidth="1"/>
    <col min="3" max="3" width="12.85546875" customWidth="1"/>
    <col min="4" max="5" width="9.42578125" bestFit="1" customWidth="1"/>
    <col min="6" max="6" width="10.85546875" customWidth="1"/>
    <col min="7" max="7" width="11.5703125" customWidth="1"/>
    <col min="9" max="9" width="13" customWidth="1"/>
    <col min="10" max="10" width="10.7109375" customWidth="1"/>
  </cols>
  <sheetData>
    <row r="1" spans="1:12" ht="45">
      <c r="A1" s="46"/>
      <c r="B1" s="60" t="s">
        <v>249</v>
      </c>
      <c r="C1" s="60"/>
      <c r="D1" s="60" t="s">
        <v>252</v>
      </c>
      <c r="E1" s="60"/>
      <c r="F1" s="60" t="s">
        <v>251</v>
      </c>
      <c r="G1" s="60"/>
      <c r="J1" s="12" t="s">
        <v>250</v>
      </c>
      <c r="K1" s="54" t="s">
        <v>246</v>
      </c>
      <c r="L1" s="54"/>
    </row>
    <row r="2" spans="1:12" ht="47.25" customHeight="1">
      <c r="A2" s="47"/>
      <c r="B2" s="48" t="s">
        <v>253</v>
      </c>
      <c r="C2" s="48" t="s">
        <v>246</v>
      </c>
      <c r="D2" s="46" t="s">
        <v>250</v>
      </c>
      <c r="E2" s="49" t="s">
        <v>246</v>
      </c>
      <c r="F2" s="46" t="s">
        <v>250</v>
      </c>
      <c r="G2" s="49" t="s">
        <v>246</v>
      </c>
      <c r="I2" t="s">
        <v>249</v>
      </c>
      <c r="J2" s="53">
        <v>0.10209665237006395</v>
      </c>
      <c r="K2" s="50">
        <v>1.8174000141796529E-2</v>
      </c>
      <c r="L2" s="50"/>
    </row>
    <row r="3" spans="1:12">
      <c r="A3" s="48" t="s">
        <v>247</v>
      </c>
      <c r="B3" s="50">
        <v>3.6640996247732274E-2</v>
      </c>
      <c r="C3" s="50">
        <v>2.1046373024475082E-2</v>
      </c>
      <c r="D3" s="52">
        <v>5.9059782186647444E-3</v>
      </c>
      <c r="E3" s="52">
        <v>5.9282976132632179E-3</v>
      </c>
      <c r="F3" s="52">
        <v>6.5137599139295371E-3</v>
      </c>
      <c r="G3" s="52">
        <v>1.2540924698367375E-2</v>
      </c>
      <c r="I3" t="s">
        <v>252</v>
      </c>
      <c r="J3" s="53">
        <v>0.37223413129627991</v>
      </c>
      <c r="K3" s="52">
        <v>0.47685661627649595</v>
      </c>
      <c r="L3" s="52"/>
    </row>
    <row r="4" spans="1:12">
      <c r="A4" s="48" t="s">
        <v>248</v>
      </c>
      <c r="B4" s="50">
        <v>3.5850535269346034E-2</v>
      </c>
      <c r="C4" s="50">
        <v>3.289917882829408E-2</v>
      </c>
      <c r="D4" s="52">
        <v>4.353523896537196E-2</v>
      </c>
      <c r="E4" s="52">
        <v>4.3707328519164E-2</v>
      </c>
      <c r="F4" s="52">
        <v>2.1224915161937436E-2</v>
      </c>
      <c r="G4" s="52">
        <v>4.3745585687175674E-2</v>
      </c>
      <c r="I4" t="s">
        <v>251</v>
      </c>
      <c r="J4" s="53">
        <v>0.49566921633365618</v>
      </c>
      <c r="K4" s="52">
        <v>0.47496938358170754</v>
      </c>
      <c r="L4" s="52"/>
    </row>
    <row r="5" spans="1:12">
      <c r="A5" s="51" t="s">
        <v>221</v>
      </c>
      <c r="B5" s="50">
        <v>1.0164700742666768</v>
      </c>
      <c r="C5" s="50">
        <v>0.63364417492836334</v>
      </c>
      <c r="D5" s="52">
        <v>0.13106573787738468</v>
      </c>
      <c r="E5" s="52">
        <v>0.13106034633875135</v>
      </c>
      <c r="F5" s="52">
        <v>0.29746926504808746</v>
      </c>
      <c r="G5" s="52">
        <v>0.28210674298927496</v>
      </c>
      <c r="I5" s="12" t="s">
        <v>256</v>
      </c>
      <c r="J5" s="53">
        <v>0.03</v>
      </c>
      <c r="K5" s="53">
        <v>0.03</v>
      </c>
      <c r="L5" s="11"/>
    </row>
    <row r="6" spans="1:12">
      <c r="I6" s="12" t="s">
        <v>244</v>
      </c>
      <c r="J6" s="53">
        <f>SUM(J2:J5)</f>
        <v>1</v>
      </c>
      <c r="K6" s="11">
        <f>SUM(K2:K5)</f>
        <v>1</v>
      </c>
    </row>
    <row r="7" spans="1:12">
      <c r="A7" s="54" t="s">
        <v>254</v>
      </c>
    </row>
    <row r="8" spans="1:12">
      <c r="A8" s="12" t="s">
        <v>255</v>
      </c>
      <c r="B8" s="45">
        <f>B3*J2+D3*J3+F3*J4+J5*0</f>
        <v>9.1679999999999991E-3</v>
      </c>
      <c r="C8" s="56"/>
    </row>
    <row r="9" spans="1:12">
      <c r="A9" s="12" t="s">
        <v>246</v>
      </c>
      <c r="B9" s="45">
        <f>C3*K2+E3*K3+G3*K4+K5*0</f>
        <v>9.1660000000000005E-3</v>
      </c>
      <c r="C9" s="55"/>
    </row>
    <row r="10" spans="1:12">
      <c r="A10" s="12"/>
    </row>
  </sheetData>
  <mergeCells count="3">
    <mergeCell ref="F1:G1"/>
    <mergeCell ref="D1:E1"/>
    <mergeCell ref="B1:C1"/>
  </mergeCell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Price</vt:lpstr>
      <vt:lpstr>Return</vt:lpstr>
      <vt:lpstr>VAR-COV</vt:lpstr>
      <vt:lpstr>Results</vt:lpstr>
      <vt:lpstr>Black Litterman</vt:lpstr>
      <vt:lpstr>Final Portfolio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1</cp:lastModifiedBy>
  <dcterms:created xsi:type="dcterms:W3CDTF">2021-10-03T01:51:20Z</dcterms:created>
  <dcterms:modified xsi:type="dcterms:W3CDTF">2021-10-08T13:50:42Z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60FF8D07C6A3489186EEC109CA302A96</vt:lpwstr>
  </property>
  <property fmtid="{D5CDD505-2E9C-101B-9397-08002B2CF9AE}" pid="3" name="KSOProductBuildVer">
    <vt:lpwstr>2052-11.1.0.10938</vt:lpwstr>
  </property>
</Properties>
</file>