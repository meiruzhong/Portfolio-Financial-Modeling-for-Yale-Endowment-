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815" windowHeight="7410" activeTab="4"/>
  </bookViews>
  <sheets>
    <sheet name="NAV" sheetId="1" r:id="rId1"/>
    <sheet name="Return" sheetId="2" r:id="rId2"/>
    <sheet name="VAR-COV" sheetId="3" r:id="rId3"/>
    <sheet name="results" sheetId="4" r:id="rId4"/>
    <sheet name="Black Litterman" sheetId="5" r:id="rId5"/>
  </sheets>
  <functionGroups builtInGroupCount="17"/>
  <definedNames>
    <definedName name="solver_adj" localSheetId="3" hidden="1">results!$D$23:$D$25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results!$D$26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results!$B$31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hs1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B2" i="5" l="1"/>
  <c r="D8" i="5" l="1"/>
  <c r="C8" i="5"/>
  <c r="B8" i="5"/>
  <c r="B4" i="5" s="1" a="1"/>
  <c r="B4" i="5" s="1"/>
  <c r="D26" i="4"/>
  <c r="F16" i="4" a="1"/>
  <c r="F16" i="4" s="1"/>
  <c r="A18" i="4"/>
  <c r="A16" i="4" a="1"/>
  <c r="A17" i="4" s="1"/>
  <c r="A9" i="4" a="1"/>
  <c r="A9" i="4" s="1"/>
  <c r="A5" i="4"/>
  <c r="A3" i="4" a="1"/>
  <c r="A4" i="4" s="1"/>
  <c r="A19" i="3"/>
  <c r="A18" i="3" a="1"/>
  <c r="A20" i="3" s="1"/>
  <c r="A18" i="3"/>
  <c r="A14" i="3"/>
  <c r="A12" i="3"/>
  <c r="A11" i="3" a="1"/>
  <c r="A15" i="3" s="1"/>
  <c r="A11" i="3"/>
  <c r="A4" i="3"/>
  <c r="A3" i="3" a="1"/>
  <c r="A7" i="3" s="1"/>
  <c r="A3" i="3"/>
  <c r="F42" i="2"/>
  <c r="E42" i="2"/>
  <c r="D42" i="2"/>
  <c r="C42" i="2"/>
  <c r="B42" i="2"/>
  <c r="L41" i="1"/>
  <c r="K41" i="1"/>
  <c r="J41" i="1"/>
  <c r="I41" i="1"/>
  <c r="H41" i="1"/>
  <c r="L40" i="1"/>
  <c r="K40" i="1"/>
  <c r="J40" i="1"/>
  <c r="I40" i="1"/>
  <c r="H40" i="1"/>
  <c r="L39" i="1"/>
  <c r="K39" i="1"/>
  <c r="J39" i="1"/>
  <c r="I39" i="1"/>
  <c r="H39" i="1"/>
  <c r="L38" i="1"/>
  <c r="K38" i="1"/>
  <c r="J38" i="1"/>
  <c r="I38" i="1"/>
  <c r="H38" i="1"/>
  <c r="L37" i="1"/>
  <c r="K37" i="1"/>
  <c r="J37" i="1"/>
  <c r="I37" i="1"/>
  <c r="H37" i="1"/>
  <c r="L36" i="1"/>
  <c r="K36" i="1"/>
  <c r="J36" i="1"/>
  <c r="I36" i="1"/>
  <c r="H36" i="1"/>
  <c r="L35" i="1"/>
  <c r="K35" i="1"/>
  <c r="J35" i="1"/>
  <c r="I35" i="1"/>
  <c r="H35" i="1"/>
  <c r="L34" i="1"/>
  <c r="K34" i="1"/>
  <c r="J34" i="1"/>
  <c r="I34" i="1"/>
  <c r="H34" i="1"/>
  <c r="L33" i="1"/>
  <c r="K33" i="1"/>
  <c r="J33" i="1"/>
  <c r="I33" i="1"/>
  <c r="H33" i="1"/>
  <c r="L32" i="1"/>
  <c r="K32" i="1"/>
  <c r="J32" i="1"/>
  <c r="I32" i="1"/>
  <c r="H32" i="1"/>
  <c r="L31" i="1"/>
  <c r="K31" i="1"/>
  <c r="J31" i="1"/>
  <c r="I31" i="1"/>
  <c r="H31" i="1"/>
  <c r="L30" i="1"/>
  <c r="K30" i="1"/>
  <c r="J30" i="1"/>
  <c r="I30" i="1"/>
  <c r="H30" i="1"/>
  <c r="L29" i="1"/>
  <c r="K29" i="1"/>
  <c r="J29" i="1"/>
  <c r="I29" i="1"/>
  <c r="H29" i="1"/>
  <c r="L28" i="1"/>
  <c r="K28" i="1"/>
  <c r="J28" i="1"/>
  <c r="I28" i="1"/>
  <c r="H28" i="1"/>
  <c r="L27" i="1"/>
  <c r="K27" i="1"/>
  <c r="J27" i="1"/>
  <c r="I27" i="1"/>
  <c r="H27" i="1"/>
  <c r="L26" i="1"/>
  <c r="K26" i="1"/>
  <c r="J26" i="1"/>
  <c r="I26" i="1"/>
  <c r="H26" i="1"/>
  <c r="L25" i="1"/>
  <c r="K25" i="1"/>
  <c r="J25" i="1"/>
  <c r="I25" i="1"/>
  <c r="H25" i="1"/>
  <c r="L24" i="1"/>
  <c r="K24" i="1"/>
  <c r="J24" i="1"/>
  <c r="I24" i="1"/>
  <c r="H24" i="1"/>
  <c r="L23" i="1"/>
  <c r="K23" i="1"/>
  <c r="J23" i="1"/>
  <c r="I23" i="1"/>
  <c r="H23" i="1"/>
  <c r="L22" i="1"/>
  <c r="K22" i="1"/>
  <c r="J22" i="1"/>
  <c r="I22" i="1"/>
  <c r="H22" i="1"/>
  <c r="L21" i="1"/>
  <c r="K21" i="1"/>
  <c r="J21" i="1"/>
  <c r="I21" i="1"/>
  <c r="H21" i="1"/>
  <c r="L20" i="1"/>
  <c r="K20" i="1"/>
  <c r="J20" i="1"/>
  <c r="I20" i="1"/>
  <c r="H20" i="1"/>
  <c r="L19" i="1"/>
  <c r="K19" i="1"/>
  <c r="J19" i="1"/>
  <c r="I19" i="1"/>
  <c r="H19" i="1"/>
  <c r="L18" i="1"/>
  <c r="K18" i="1"/>
  <c r="J18" i="1"/>
  <c r="I18" i="1"/>
  <c r="H18" i="1"/>
  <c r="L17" i="1"/>
  <c r="K17" i="1"/>
  <c r="J17" i="1"/>
  <c r="I17" i="1"/>
  <c r="H17" i="1"/>
  <c r="L16" i="1"/>
  <c r="K16" i="1"/>
  <c r="J16" i="1"/>
  <c r="I16" i="1"/>
  <c r="H16" i="1"/>
  <c r="L15" i="1"/>
  <c r="K15" i="1"/>
  <c r="J15" i="1"/>
  <c r="I15" i="1"/>
  <c r="H15" i="1"/>
  <c r="L14" i="1"/>
  <c r="K14" i="1"/>
  <c r="J14" i="1"/>
  <c r="I14" i="1"/>
  <c r="H14" i="1"/>
  <c r="L13" i="1"/>
  <c r="K13" i="1"/>
  <c r="J13" i="1"/>
  <c r="I13" i="1"/>
  <c r="H13" i="1"/>
  <c r="L12" i="1"/>
  <c r="K12" i="1"/>
  <c r="J12" i="1"/>
  <c r="I12" i="1"/>
  <c r="H12" i="1"/>
  <c r="L11" i="1"/>
  <c r="K11" i="1"/>
  <c r="J11" i="1"/>
  <c r="I11" i="1"/>
  <c r="H11" i="1"/>
  <c r="L10" i="1"/>
  <c r="K10" i="1"/>
  <c r="J10" i="1"/>
  <c r="I10" i="1"/>
  <c r="H10" i="1"/>
  <c r="L9" i="1"/>
  <c r="K9" i="1"/>
  <c r="J9" i="1"/>
  <c r="I9" i="1"/>
  <c r="H9" i="1"/>
  <c r="L8" i="1"/>
  <c r="K8" i="1"/>
  <c r="J8" i="1"/>
  <c r="I8" i="1"/>
  <c r="H8" i="1"/>
  <c r="L7" i="1"/>
  <c r="K7" i="1"/>
  <c r="J7" i="1"/>
  <c r="I7" i="1"/>
  <c r="H7" i="1"/>
  <c r="L6" i="1"/>
  <c r="K6" i="1"/>
  <c r="J6" i="1"/>
  <c r="I6" i="1"/>
  <c r="H6" i="1"/>
  <c r="L5" i="1"/>
  <c r="K5" i="1"/>
  <c r="J5" i="1"/>
  <c r="I5" i="1"/>
  <c r="H5" i="1"/>
  <c r="L4" i="1"/>
  <c r="K4" i="1"/>
  <c r="J4" i="1"/>
  <c r="I4" i="1"/>
  <c r="H4" i="1"/>
  <c r="L3" i="1"/>
  <c r="K3" i="1"/>
  <c r="J3" i="1"/>
  <c r="I3" i="1"/>
  <c r="H3" i="1"/>
  <c r="G12" i="5"/>
  <c r="C4" i="5"/>
  <c r="B18" i="3" a="1"/>
  <c r="C16" i="5"/>
  <c r="B3" i="4" a="1"/>
  <c r="B11" i="3" a="1"/>
  <c r="B3" i="3" a="1"/>
  <c r="C2" i="5"/>
  <c r="D7" i="3" l="1"/>
  <c r="E6" i="3"/>
  <c r="F5" i="3"/>
  <c r="B5" i="3"/>
  <c r="C4" i="3"/>
  <c r="D3" i="3"/>
  <c r="C7" i="3"/>
  <c r="D6" i="3"/>
  <c r="E5" i="3"/>
  <c r="F4" i="3"/>
  <c r="B4" i="3"/>
  <c r="C3" i="3"/>
  <c r="F7" i="3"/>
  <c r="B7" i="3"/>
  <c r="C6" i="3"/>
  <c r="D5" i="3"/>
  <c r="E4" i="3"/>
  <c r="F3" i="3"/>
  <c r="E7" i="3"/>
  <c r="F6" i="3"/>
  <c r="B6" i="3"/>
  <c r="C5" i="3"/>
  <c r="D4" i="3"/>
  <c r="E3" i="3"/>
  <c r="B3" i="3"/>
  <c r="D15" i="3"/>
  <c r="E14" i="3"/>
  <c r="F13" i="3"/>
  <c r="B13" i="3"/>
  <c r="C12" i="3"/>
  <c r="D11" i="3"/>
  <c r="C15" i="3"/>
  <c r="D14" i="3"/>
  <c r="E13" i="3"/>
  <c r="F12" i="3"/>
  <c r="B12" i="3"/>
  <c r="C11" i="3"/>
  <c r="F15" i="3"/>
  <c r="B15" i="3"/>
  <c r="C14" i="3"/>
  <c r="D13" i="3"/>
  <c r="E12" i="3"/>
  <c r="F11" i="3"/>
  <c r="E15" i="3"/>
  <c r="F14" i="3"/>
  <c r="B14" i="3"/>
  <c r="C13" i="3"/>
  <c r="D12" i="3"/>
  <c r="E11" i="3"/>
  <c r="B11" i="3"/>
  <c r="B22" i="3" s="1"/>
  <c r="D4" i="4"/>
  <c r="C3" i="4"/>
  <c r="D5" i="4"/>
  <c r="C4" i="4"/>
  <c r="C5" i="4"/>
  <c r="B4" i="4"/>
  <c r="B3" i="4"/>
  <c r="B5" i="4"/>
  <c r="D3" i="4"/>
  <c r="D20" i="3"/>
  <c r="C19" i="3"/>
  <c r="C20" i="3"/>
  <c r="B19" i="3"/>
  <c r="B18" i="3"/>
  <c r="B20" i="3"/>
  <c r="D18" i="3"/>
  <c r="D19" i="3"/>
  <c r="C18" i="3"/>
  <c r="G16" i="4"/>
  <c r="F12" i="5" a="1"/>
  <c r="A5" i="3"/>
  <c r="A13" i="3"/>
  <c r="A3" i="4"/>
  <c r="A10" i="4"/>
  <c r="A16" i="4"/>
  <c r="F17" i="4"/>
  <c r="G17" i="4" s="1"/>
  <c r="A6" i="3"/>
  <c r="A11" i="4"/>
  <c r="F18" i="4"/>
  <c r="G18" i="4" s="1"/>
  <c r="F12" i="5" l="1"/>
  <c r="F14" i="5"/>
  <c r="F13" i="5"/>
  <c r="B28" i="4" a="1"/>
  <c r="B28" i="4" s="1"/>
  <c r="C28" i="4" a="1"/>
  <c r="C28" i="4" s="1"/>
  <c r="B9" i="4" a="1"/>
  <c r="C11" i="4" l="1"/>
  <c r="B10" i="4"/>
  <c r="B9" i="4"/>
  <c r="B16" i="4" s="1" a="1"/>
  <c r="B11" i="4"/>
  <c r="D9" i="4"/>
  <c r="D10" i="4"/>
  <c r="C9" i="4"/>
  <c r="D11" i="4"/>
  <c r="C10" i="4"/>
  <c r="B19" i="5" a="1"/>
  <c r="B16" i="5" a="1"/>
  <c r="B16" i="5" s="1"/>
  <c r="B19" i="5" l="1"/>
  <c r="B21" i="5"/>
  <c r="B20" i="5"/>
  <c r="D17" i="4"/>
  <c r="C16" i="4"/>
  <c r="D18" i="4"/>
  <c r="C17" i="4"/>
  <c r="C18" i="4"/>
  <c r="B17" i="4"/>
  <c r="B16" i="4"/>
  <c r="B18" i="4"/>
  <c r="D16" i="4"/>
  <c r="B23" i="4" l="1" a="1"/>
  <c r="C29" i="4" a="1"/>
  <c r="C29" i="4" s="1"/>
  <c r="C30" i="4" s="1"/>
  <c r="C31" i="4" s="1"/>
  <c r="B29" i="4" a="1"/>
  <c r="B29" i="4" s="1"/>
  <c r="B30" i="4" s="1"/>
  <c r="B31" i="4" s="1"/>
  <c r="B22" i="5"/>
  <c r="B23" i="4" l="1"/>
  <c r="B25" i="4"/>
  <c r="B24" i="4"/>
</calcChain>
</file>

<file path=xl/sharedStrings.xml><?xml version="1.0" encoding="utf-8"?>
<sst xmlns="http://schemas.openxmlformats.org/spreadsheetml/2006/main" count="406" uniqueCount="277">
  <si>
    <t>Date</t>
  </si>
  <si>
    <t>TIPX</t>
  </si>
  <si>
    <t>BWX</t>
  </si>
  <si>
    <t>IBND</t>
  </si>
  <si>
    <t>CWB</t>
  </si>
  <si>
    <t>SRLN</t>
  </si>
  <si>
    <t>30-Sep-2016</t>
  </si>
  <si>
    <t>19.835900</t>
  </si>
  <si>
    <t>28.871642</t>
  </si>
  <si>
    <t>33.362810</t>
  </si>
  <si>
    <t>46.268532</t>
  </si>
  <si>
    <t>47.249535</t>
  </si>
  <si>
    <t>30-Nov-2016</t>
  </si>
  <si>
    <t>19.513563</t>
  </si>
  <si>
    <t>26.177068</t>
  </si>
  <si>
    <t>30.731755</t>
  </si>
  <si>
    <t>45.555031</t>
  </si>
  <si>
    <t>47.255406</t>
  </si>
  <si>
    <t>30-Dec-2016</t>
  </si>
  <si>
    <t>19.492522</t>
  </si>
  <si>
    <t>25.962119</t>
  </si>
  <si>
    <t>30.771332</t>
  </si>
  <si>
    <t>45.495972</t>
  </si>
  <si>
    <t>47.425976</t>
  </si>
  <si>
    <t>30-Jan-2017</t>
  </si>
  <si>
    <t>19.612172</t>
  </si>
  <si>
    <t>26.149121</t>
  </si>
  <si>
    <t>30.911080</t>
  </si>
  <si>
    <t>46.874160</t>
  </si>
  <si>
    <t>47.523977</t>
  </si>
  <si>
    <t>30-Mar-2017</t>
  </si>
  <si>
    <t>19.653128</t>
  </si>
  <si>
    <t>26.720310</t>
  </si>
  <si>
    <t>31.321535</t>
  </si>
  <si>
    <t>47.921679</t>
  </si>
  <si>
    <t>47.455671</t>
  </si>
  <si>
    <t>30-May-2017</t>
  </si>
  <si>
    <t>19.621646</t>
  </si>
  <si>
    <t>27.503450</t>
  </si>
  <si>
    <t>32.807884</t>
  </si>
  <si>
    <t>49.041113</t>
  </si>
  <si>
    <t>47.547545</t>
  </si>
  <si>
    <t>30-Jun-2017</t>
  </si>
  <si>
    <t>19.458036</t>
  </si>
  <si>
    <t>27.564693</t>
  </si>
  <si>
    <t>33.175301</t>
  </si>
  <si>
    <t>49.532764</t>
  </si>
  <si>
    <t>47.409551</t>
  </si>
  <si>
    <t>30-Aug-2017</t>
  </si>
  <si>
    <t>19.579127</t>
  </si>
  <si>
    <t>28.576272</t>
  </si>
  <si>
    <t>34.936148</t>
  </si>
  <si>
    <t>50.674183</t>
  </si>
  <si>
    <t>47.364278</t>
  </si>
  <si>
    <t>30-Oct-2017</t>
  </si>
  <si>
    <t>19.531084</t>
  </si>
  <si>
    <t>27.850907</t>
  </si>
  <si>
    <t>34.262263</t>
  </si>
  <si>
    <t>51.459252</t>
  </si>
  <si>
    <t>47.489576</t>
  </si>
  <si>
    <t>30-Nov-2017</t>
  </si>
  <si>
    <t>19.467661</t>
  </si>
  <si>
    <t>28.438912</t>
  </si>
  <si>
    <t>35.055948</t>
  </si>
  <si>
    <t>51.628289</t>
  </si>
  <si>
    <t>47.368800</t>
  </si>
  <si>
    <t>30-Jan-2018</t>
  </si>
  <si>
    <t>19.131853</t>
  </si>
  <si>
    <t>29.209087</t>
  </si>
  <si>
    <t>36.262441</t>
  </si>
  <si>
    <t>52.977875</t>
  </si>
  <si>
    <t>47.601164</t>
  </si>
  <si>
    <t>30-Apr-2018</t>
  </si>
  <si>
    <t>19.172191</t>
  </si>
  <si>
    <t>28.690123</t>
  </si>
  <si>
    <t>35.173493</t>
  </si>
  <si>
    <t>51.398741</t>
  </si>
  <si>
    <t>47.401751</t>
  </si>
  <si>
    <t>30-May-2018</t>
  </si>
  <si>
    <t>19.226356</t>
  </si>
  <si>
    <t>27.987763</t>
  </si>
  <si>
    <t>33.695205</t>
  </si>
  <si>
    <t>53.448289</t>
  </si>
  <si>
    <t>47.234358</t>
  </si>
  <si>
    <t>30-Jul-2018</t>
  </si>
  <si>
    <t>19.109535</t>
  </si>
  <si>
    <t>27.834991</t>
  </si>
  <si>
    <t>33.938750</t>
  </si>
  <si>
    <t>52.909268</t>
  </si>
  <si>
    <t>47.184047</t>
  </si>
  <si>
    <t>30-Aug-2018</t>
  </si>
  <si>
    <t>19.159113</t>
  </si>
  <si>
    <t>27.654568</t>
  </si>
  <si>
    <t>33.786172</t>
  </si>
  <si>
    <t>54.245836</t>
  </si>
  <si>
    <t>47.224341</t>
  </si>
  <si>
    <t>30-Oct-2018</t>
  </si>
  <si>
    <t>18.867598</t>
  </si>
  <si>
    <t>26.965996</t>
  </si>
  <si>
    <t>32.763926</t>
  </si>
  <si>
    <t>49.687135</t>
  </si>
  <si>
    <t>47.100496</t>
  </si>
  <si>
    <t>30-Nov-2018</t>
  </si>
  <si>
    <t>18.871904</t>
  </si>
  <si>
    <t>27.034331</t>
  </si>
  <si>
    <t>32.344553</t>
  </si>
  <si>
    <t>51.373372</t>
  </si>
  <si>
    <t>46.495989</t>
  </si>
  <si>
    <t>30-Jan-2019</t>
  </si>
  <si>
    <t>18.989713</t>
  </si>
  <si>
    <t>27.864975</t>
  </si>
  <si>
    <t>33.043431</t>
  </si>
  <si>
    <t>49.892683</t>
  </si>
  <si>
    <t>45.928730</t>
  </si>
  <si>
    <t>30-Apr-2019</t>
  </si>
  <si>
    <t>19.378978</t>
  </si>
  <si>
    <t>27.708110</t>
  </si>
  <si>
    <t>33.331973</t>
  </si>
  <si>
    <t>53.418212</t>
  </si>
  <si>
    <t>46.781797</t>
  </si>
  <si>
    <t>30-May-2019</t>
  </si>
  <si>
    <t>19.417928</t>
  </si>
  <si>
    <t>27.805433</t>
  </si>
  <si>
    <t>32.884031</t>
  </si>
  <si>
    <t>50.965689</t>
  </si>
  <si>
    <t>46.331625</t>
  </si>
  <si>
    <t>30-Jul-2019</t>
  </si>
  <si>
    <t>19.504282</t>
  </si>
  <si>
    <t>28.600323</t>
  </si>
  <si>
    <t>33.762670</t>
  </si>
  <si>
    <t>53.942402</t>
  </si>
  <si>
    <t>46.420319</t>
  </si>
  <si>
    <t>30-Aug-2019</t>
  </si>
  <si>
    <t>19.724035</t>
  </si>
  <si>
    <t>29.096666</t>
  </si>
  <si>
    <t>33.668246</t>
  </si>
  <si>
    <t>52.695964</t>
  </si>
  <si>
    <t>46.059584</t>
  </si>
  <si>
    <t>30-Sep-2019</t>
  </si>
  <si>
    <t>19.542023</t>
  </si>
  <si>
    <t>28.701387</t>
  </si>
  <si>
    <t>33.134288</t>
  </si>
  <si>
    <t>52.385257</t>
  </si>
  <si>
    <t>46.264881</t>
  </si>
  <si>
    <t>30-Oct-2019</t>
  </si>
  <si>
    <t>19.484001</t>
  </si>
  <si>
    <t>28.725832</t>
  </si>
  <si>
    <t>33.716903</t>
  </si>
  <si>
    <t>53.353340</t>
  </si>
  <si>
    <t>45.892019</t>
  </si>
  <si>
    <t>30-Dec-2019</t>
  </si>
  <si>
    <t>19.613907</t>
  </si>
  <si>
    <t>28.667656</t>
  </si>
  <si>
    <t>33.869221</t>
  </si>
  <si>
    <t>55.319665</t>
  </si>
  <si>
    <t>46.504162</t>
  </si>
  <si>
    <t>30-Jan-2020</t>
  </si>
  <si>
    <t>19.832650</t>
  </si>
  <si>
    <t>28.821449</t>
  </si>
  <si>
    <t>33.806004</t>
  </si>
  <si>
    <t>57.760294</t>
  </si>
  <si>
    <t>46.676902</t>
  </si>
  <si>
    <t>30-Mar-2020</t>
  </si>
  <si>
    <t>19.756487</t>
  </si>
  <si>
    <t>27.882467</t>
  </si>
  <si>
    <t>31.094727</t>
  </si>
  <si>
    <t>48.103319</t>
  </si>
  <si>
    <t>40.132621</t>
  </si>
  <si>
    <t>30-Apr-2020</t>
  </si>
  <si>
    <t>20.016192</t>
  </si>
  <si>
    <t>28.290761</t>
  </si>
  <si>
    <t>32.480820</t>
  </si>
  <si>
    <t>53.272404</t>
  </si>
  <si>
    <t>41.860612</t>
  </si>
  <si>
    <t>30-Jun-2020</t>
  </si>
  <si>
    <t>20.301246</t>
  </si>
  <si>
    <t>28.790845</t>
  </si>
  <si>
    <t>33.548339</t>
  </si>
  <si>
    <t>60.236340</t>
  </si>
  <si>
    <t>43.361796</t>
  </si>
  <si>
    <t>30-Jul-2020</t>
  </si>
  <si>
    <t>20.556761</t>
  </si>
  <si>
    <t>29.976482</t>
  </si>
  <si>
    <t>35.782591</t>
  </si>
  <si>
    <t>64.932041</t>
  </si>
  <si>
    <t>44.257668</t>
  </si>
  <si>
    <t>30-Sep-2020</t>
  </si>
  <si>
    <t>20.742247</t>
  </si>
  <si>
    <t>29.799523</t>
  </si>
  <si>
    <t>35.515607</t>
  </si>
  <si>
    <t>68.949522</t>
  </si>
  <si>
    <t>44.637468</t>
  </si>
  <si>
    <t>30-Oct-2020</t>
  </si>
  <si>
    <t>20.570732</t>
  </si>
  <si>
    <t>29.899678</t>
  </si>
  <si>
    <t>35.520554</t>
  </si>
  <si>
    <t>68.779661</t>
  </si>
  <si>
    <t>44.330978</t>
  </si>
  <si>
    <t>30-Nov-2020</t>
  </si>
  <si>
    <t>20.677894</t>
  </si>
  <si>
    <t>30.610700</t>
  </si>
  <si>
    <t>36.849665</t>
  </si>
  <si>
    <t>78.063692</t>
  </si>
  <si>
    <t>45.189792</t>
  </si>
  <si>
    <t>30-Dec-2020</t>
  </si>
  <si>
    <t>20.848740</t>
  </si>
  <si>
    <t>31.250120</t>
  </si>
  <si>
    <t>37.896641</t>
  </si>
  <si>
    <t>82.523613</t>
  </si>
  <si>
    <t>45.410232</t>
  </si>
  <si>
    <t>30-Mar-2021</t>
  </si>
  <si>
    <t>20.872055</t>
  </si>
  <si>
    <t>29.167688</t>
  </si>
  <si>
    <t>35.714122</t>
  </si>
  <si>
    <t>82.084006</t>
  </si>
  <si>
    <t>45.854240</t>
  </si>
  <si>
    <t>30-Apr-2021</t>
  </si>
  <si>
    <t>21.094555</t>
  </si>
  <si>
    <t>29.643535</t>
  </si>
  <si>
    <t>36.644238</t>
  </si>
  <si>
    <t>85.558005</t>
  </si>
  <si>
    <t>45.953598</t>
  </si>
  <si>
    <t>30-Jun-2021</t>
  </si>
  <si>
    <t>21.123397</t>
  </si>
  <si>
    <t>29.346183</t>
  </si>
  <si>
    <t>36.224473</t>
  </si>
  <si>
    <t>86.872768</t>
  </si>
  <si>
    <t>46.305107</t>
  </si>
  <si>
    <t>30-Jul-2021</t>
  </si>
  <si>
    <t>21.483992</t>
  </si>
  <si>
    <t>29.717166</t>
  </si>
  <si>
    <t>36.661541</t>
  </si>
  <si>
    <t>85.843089</t>
  </si>
  <si>
    <t>45.891757</t>
  </si>
  <si>
    <t>30-Aug-2021</t>
  </si>
  <si>
    <t>21.351040</t>
  </si>
  <si>
    <t>29.567581</t>
  </si>
  <si>
    <t>36.338762</t>
  </si>
  <si>
    <t>87.293046</t>
  </si>
  <si>
    <t>45.922856</t>
  </si>
  <si>
    <t>30-Sep-2021</t>
  </si>
  <si>
    <t>21.080319</t>
  </si>
  <si>
    <t>28.677362</t>
  </si>
  <si>
    <t>35.282022</t>
  </si>
  <si>
    <t>85.340436</t>
  </si>
  <si>
    <t>46.089056</t>
  </si>
  <si>
    <t>Average</t>
  </si>
  <si>
    <t>var-cov</t>
  </si>
  <si>
    <t>corr</t>
  </si>
  <si>
    <t>average</t>
  </si>
  <si>
    <t>ESTIMATING THE VARIANCE-COVARIANCE MATRIX USING _x000D_
THE SHRINKAGE APPROACH</t>
  </si>
  <si>
    <r>
      <rPr>
        <b/>
        <sz val="10"/>
        <rFont val="Arial"/>
        <family val="2"/>
      </rPr>
      <t xml:space="preserve">Shrinkage factor </t>
    </r>
    <r>
      <rPr>
        <b/>
        <sz val="10"/>
        <rFont val="Symbol"/>
        <family val="1"/>
        <charset val="2"/>
      </rPr>
      <t>l</t>
    </r>
  </si>
  <si>
    <t>return</t>
  </si>
  <si>
    <t>return - c</t>
  </si>
  <si>
    <t>risk-free rate</t>
  </si>
  <si>
    <t>z</t>
  </si>
  <si>
    <t>optimized%</t>
  </si>
  <si>
    <t>Black Litterman</t>
  </si>
  <si>
    <t>optimized</t>
  </si>
  <si>
    <t>black litterman</t>
  </si>
  <si>
    <t>Portfolio.mean</t>
  </si>
  <si>
    <t>portfolio.var</t>
  </si>
  <si>
    <t>sigma</t>
  </si>
  <si>
    <t>sharpe ratio</t>
  </si>
  <si>
    <r>
      <rPr>
        <b/>
        <sz val="14"/>
        <rFont val="Arial"/>
        <family val="2"/>
      </rPr>
      <t xml:space="preserve">SUPER DUPER BENCHMARK PORTFOLIO—WHAT DOES THE MARKET THINK?
</t>
    </r>
    <r>
      <rPr>
        <b/>
        <sz val="12"/>
        <rFont val="Arial"/>
        <family val="2"/>
      </rPr>
      <t>Normalizing factor computed in cell B4, based on anticipated benchmark return
The expected returns make the benchmark optimal</t>
    </r>
  </si>
  <si>
    <t>Anticipated benchmark return</t>
  </si>
  <si>
    <t>Current T-bill rate</t>
  </si>
  <si>
    <t>Normalizing factor</t>
  </si>
  <si>
    <t>Market cap (million $)</t>
  </si>
  <si>
    <t>Benchmark proportions</t>
  </si>
  <si>
    <t>Variance-covariance matrix</t>
  </si>
  <si>
    <t>With normalizing factor</t>
  </si>
  <si>
    <t>Cells M12:M21 contain the array formula {=(MMULT(B12:K21,TRANSPOSE(B8:K8))*B4)+B3}</t>
  </si>
  <si>
    <t>Check:  The expected return
of the benchmark?</t>
  </si>
  <si>
    <t>Additional check:
Optimal portfolio</t>
  </si>
  <si>
    <t>&lt;--  {=MMULT(MINVERSE(B12:K21),M12:M21-B3)/SUM(MMULT(MINVERSE(B12:K21),M12:M21-B3))}</t>
  </si>
  <si>
    <t>Sum of proportions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</si>
</sst>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8" formatCode="0.00000000_ ;\-0.00000000\ "/>
    <numFmt numFmtId="169" formatCode="[$-409]d\-mmm\-yy;@"/>
    <numFmt numFmtId="171" formatCode="0.0%"/>
    <numFmt numFmtId="172" formatCode="0.0000%"/>
    <numFmt numFmtId="173" formatCode="0.000%"/>
  </numFmts>
  <fonts count="12">
    <font>
      <sz val="11"/>
      <color theme="1"/>
      <name val="Calibri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sz val="11"/>
      <color indexed="8"/>
      <name val="Calibri"/>
      <charset val="134"/>
      <scheme val="minor"/>
    </font>
    <font>
      <b/>
      <sz val="10"/>
      <name val="Arial"/>
      <family val="2"/>
    </font>
    <font>
      <b/>
      <sz val="14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10"/>
      <color rgb="FF1A1A1A"/>
      <name val="Arial"/>
      <family val="2"/>
    </font>
    <font>
      <b/>
      <sz val="11"/>
      <color theme="1"/>
      <name val="Calibri"/>
      <charset val="134"/>
      <scheme val="minor"/>
    </font>
    <font>
      <sz val="11"/>
      <color theme="1"/>
      <name val="Arial"/>
      <family val="2"/>
    </font>
    <font>
      <b/>
      <sz val="12"/>
      <name val="Arial"/>
      <family val="2"/>
    </font>
    <font>
      <b/>
      <sz val="1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9" fontId="2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9" fontId="6" fillId="0" borderId="0"/>
    <xf numFmtId="9" fontId="6" fillId="0" borderId="0" applyFont="0" applyFill="0" applyBorder="0" applyAlignment="0" applyProtection="0"/>
    <xf numFmtId="169" fontId="6" fillId="0" borderId="0"/>
    <xf numFmtId="0" fontId="2" fillId="0" borderId="0"/>
    <xf numFmtId="9" fontId="6" fillId="0" borderId="0" applyFont="0" applyFill="0" applyBorder="0" applyAlignment="0" applyProtection="0"/>
    <xf numFmtId="169" fontId="9" fillId="0" borderId="0"/>
    <xf numFmtId="0" fontId="2" fillId="0" borderId="0"/>
  </cellStyleXfs>
  <cellXfs count="40">
    <xf numFmtId="0" fontId="0" fillId="0" borderId="0" xfId="0">
      <alignment vertical="center"/>
    </xf>
    <xf numFmtId="0" fontId="2" fillId="2" borderId="0" xfId="10" applyFill="1"/>
    <xf numFmtId="10" fontId="2" fillId="2" borderId="0" xfId="3" applyNumberFormat="1" applyFill="1"/>
    <xf numFmtId="0" fontId="2" fillId="0" borderId="0" xfId="10"/>
    <xf numFmtId="10" fontId="2" fillId="0" borderId="0" xfId="10" applyNumberFormat="1"/>
    <xf numFmtId="4" fontId="2" fillId="2" borderId="0" xfId="3" applyNumberFormat="1" applyFill="1"/>
    <xf numFmtId="0" fontId="2" fillId="0" borderId="0" xfId="10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left"/>
    </xf>
    <xf numFmtId="0" fontId="2" fillId="0" borderId="0" xfId="10" applyAlignment="1">
      <alignment horizontal="center" vertical="center" wrapText="1"/>
    </xf>
    <xf numFmtId="171" fontId="2" fillId="0" borderId="0" xfId="2" applyNumberFormat="1" applyFont="1" applyAlignment="1"/>
    <xf numFmtId="0" fontId="4" fillId="0" borderId="0" xfId="10" applyFont="1"/>
    <xf numFmtId="0" fontId="2" fillId="0" borderId="0" xfId="10" applyAlignment="1">
      <alignment horizontal="center" wrapText="1"/>
    </xf>
    <xf numFmtId="164" fontId="2" fillId="0" borderId="0" xfId="10" applyNumberFormat="1"/>
    <xf numFmtId="10" fontId="2" fillId="0" borderId="0" xfId="2" applyNumberFormat="1" applyFont="1" applyAlignment="1"/>
    <xf numFmtId="0" fontId="2" fillId="2" borderId="0" xfId="10" applyFill="1" applyAlignment="1">
      <alignment wrapText="1"/>
    </xf>
    <xf numFmtId="0" fontId="2" fillId="3" borderId="0" xfId="10" applyFill="1" applyAlignment="1">
      <alignment horizontal="center" wrapText="1"/>
    </xf>
    <xf numFmtId="10" fontId="2" fillId="4" borderId="0" xfId="3" applyNumberFormat="1" applyFill="1"/>
    <xf numFmtId="171" fontId="2" fillId="0" borderId="0" xfId="10" applyNumberFormat="1"/>
    <xf numFmtId="0" fontId="2" fillId="0" borderId="0" xfId="10" applyAlignment="1">
      <alignment horizontal="center" vertical="center"/>
    </xf>
    <xf numFmtId="0" fontId="4" fillId="2" borderId="0" xfId="7" applyFont="1" applyFill="1" applyAlignment="1">
      <alignment horizontal="center"/>
    </xf>
    <xf numFmtId="0" fontId="2" fillId="2" borderId="0" xfId="7" applyFill="1"/>
    <xf numFmtId="0" fontId="6" fillId="0" borderId="0" xfId="0" applyFont="1">
      <alignment vertical="center"/>
    </xf>
    <xf numFmtId="0" fontId="0" fillId="5" borderId="0" xfId="0" applyFill="1">
      <alignment vertical="center"/>
    </xf>
    <xf numFmtId="10" fontId="0" fillId="0" borderId="0" xfId="2" applyNumberFormat="1" applyFont="1">
      <alignment vertical="center"/>
    </xf>
    <xf numFmtId="10" fontId="7" fillId="0" borderId="0" xfId="2" applyNumberFormat="1" applyFont="1">
      <alignment vertical="center"/>
    </xf>
    <xf numFmtId="9" fontId="0" fillId="0" borderId="0" xfId="2" applyFont="1">
      <alignment vertical="center"/>
    </xf>
    <xf numFmtId="172" fontId="0" fillId="0" borderId="0" xfId="2" applyNumberFormat="1" applyFont="1">
      <alignment vertical="center"/>
    </xf>
    <xf numFmtId="9" fontId="0" fillId="0" borderId="0" xfId="0" applyNumberFormat="1">
      <alignment vertical="center"/>
    </xf>
    <xf numFmtId="173" fontId="0" fillId="0" borderId="0" xfId="2" applyNumberFormat="1" applyFont="1">
      <alignment vertical="center"/>
    </xf>
    <xf numFmtId="171" fontId="8" fillId="5" borderId="0" xfId="2" applyNumberFormat="1" applyFont="1" applyFill="1">
      <alignment vertical="center"/>
    </xf>
    <xf numFmtId="168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ill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10" applyFont="1" applyAlignment="1">
      <alignment horizontal="center" vertical="center" wrapText="1"/>
    </xf>
    <xf numFmtId="164" fontId="2" fillId="3" borderId="0" xfId="10" applyNumberFormat="1" applyFill="1" applyAlignment="1">
      <alignment vertical="center" wrapText="1"/>
    </xf>
    <xf numFmtId="0" fontId="2" fillId="3" borderId="0" xfId="10" applyFill="1" applyAlignment="1">
      <alignment vertical="center" wrapText="1"/>
    </xf>
  </cellXfs>
  <cellStyles count="11">
    <cellStyle name="Normal 2" xfId="6"/>
    <cellStyle name="Normal 2 2" xfId="4"/>
    <cellStyle name="Normal 3" xfId="7"/>
    <cellStyle name="Percent 2" xfId="8"/>
    <cellStyle name="Percent 2 2" xfId="5"/>
    <cellStyle name="Percent 3" xfId="1"/>
    <cellStyle name="常规" xfId="0" builtinId="0"/>
    <cellStyle name="常规 2" xfId="9"/>
    <cellStyle name="常规 3" xfId="10"/>
    <cellStyle name="百分比" xfId="2" builtinId="5"/>
    <cellStyle name="百分比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1"/>
  <sheetViews>
    <sheetView topLeftCell="A37" workbookViewId="0">
      <selection activeCell="A44" sqref="A44:F65"/>
    </sheetView>
  </sheetViews>
  <sheetFormatPr defaultColWidth="9" defaultRowHeight="15"/>
  <cols>
    <col min="1" max="1" width="15.28515625" customWidth="1"/>
    <col min="2" max="2" width="14.5703125" customWidth="1"/>
    <col min="3" max="3" width="11.7109375" customWidth="1"/>
    <col min="4" max="4" width="13.140625" customWidth="1"/>
    <col min="5" max="5" width="13.5703125" customWidth="1"/>
    <col min="6" max="6" width="12" customWidth="1"/>
    <col min="8" max="8" width="13.7109375"/>
  </cols>
  <sheetData>
    <row r="1" spans="1:12">
      <c r="A1" s="8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12">
      <c r="A2" s="8" t="s">
        <v>6</v>
      </c>
      <c r="B2" s="8" t="s">
        <v>7</v>
      </c>
      <c r="C2" s="8" t="s">
        <v>8</v>
      </c>
      <c r="D2" s="8" t="s">
        <v>9</v>
      </c>
      <c r="E2" s="8" t="s">
        <v>10</v>
      </c>
      <c r="F2" s="8" t="s">
        <v>11</v>
      </c>
    </row>
    <row r="3" spans="1:12">
      <c r="A3" s="8" t="s">
        <v>12</v>
      </c>
      <c r="B3" s="8" t="s">
        <v>13</v>
      </c>
      <c r="C3" s="8" t="s">
        <v>14</v>
      </c>
      <c r="D3" s="8" t="s">
        <v>15</v>
      </c>
      <c r="E3" s="8" t="s">
        <v>16</v>
      </c>
      <c r="F3" s="8" t="s">
        <v>17</v>
      </c>
      <c r="H3" s="24">
        <f>LN(B3/B2)</f>
        <v>-1.638366501873367E-2</v>
      </c>
      <c r="I3" s="24">
        <f>LN(C3/C2)</f>
        <v>-9.7976107385442879E-2</v>
      </c>
      <c r="J3" s="24">
        <f>LN(D3/D2)</f>
        <v>-8.214532172977379E-2</v>
      </c>
      <c r="K3" s="24">
        <f>LN(E3/E2)</f>
        <v>-1.5541007933073879E-2</v>
      </c>
      <c r="L3" s="24">
        <f>LN(F3/F2)</f>
        <v>1.2424747204588089E-4</v>
      </c>
    </row>
    <row r="4" spans="1:12">
      <c r="A4" s="8" t="s">
        <v>18</v>
      </c>
      <c r="B4" s="8" t="s">
        <v>19</v>
      </c>
      <c r="C4" s="8" t="s">
        <v>20</v>
      </c>
      <c r="D4" s="8" t="s">
        <v>21</v>
      </c>
      <c r="E4" s="8" t="s">
        <v>22</v>
      </c>
      <c r="F4" s="8" t="s">
        <v>23</v>
      </c>
      <c r="H4" s="24">
        <f t="shared" ref="H4:H22" si="0">LN(B4/B3)</f>
        <v>-1.0788574162651841E-3</v>
      </c>
      <c r="I4" s="24">
        <f t="shared" ref="I4:I41" si="1">LN(C4/C3)</f>
        <v>-8.2452462389903843E-3</v>
      </c>
      <c r="J4" s="24">
        <f t="shared" ref="J4:J41" si="2">LN(D4/D3)</f>
        <v>1.2869924874756233E-3</v>
      </c>
      <c r="K4" s="24">
        <f t="shared" ref="K4:K41" si="3">LN(E4/E3)</f>
        <v>-1.2972730961045011E-3</v>
      </c>
      <c r="L4" s="24">
        <f t="shared" ref="L4:L41" si="4">LN(F4/F3)</f>
        <v>3.6030353787259153E-3</v>
      </c>
    </row>
    <row r="5" spans="1:12">
      <c r="A5" s="8" t="s">
        <v>24</v>
      </c>
      <c r="B5" s="8" t="s">
        <v>25</v>
      </c>
      <c r="C5" s="8" t="s">
        <v>26</v>
      </c>
      <c r="D5" s="8" t="s">
        <v>27</v>
      </c>
      <c r="E5" s="8" t="s">
        <v>28</v>
      </c>
      <c r="F5" s="8" t="s">
        <v>29</v>
      </c>
      <c r="H5" s="24">
        <f t="shared" si="0"/>
        <v>6.1194890510582684E-3</v>
      </c>
      <c r="I5" s="24">
        <f t="shared" si="1"/>
        <v>7.1770620967311271E-3</v>
      </c>
      <c r="J5" s="24">
        <f t="shared" si="2"/>
        <v>4.5312183676617622E-3</v>
      </c>
      <c r="K5" s="24">
        <f t="shared" si="3"/>
        <v>2.9842769564420543E-2</v>
      </c>
      <c r="L5" s="24">
        <f t="shared" si="4"/>
        <v>2.0642671576709937E-3</v>
      </c>
    </row>
    <row r="6" spans="1:12">
      <c r="A6" s="8" t="s">
        <v>30</v>
      </c>
      <c r="B6" s="8" t="s">
        <v>31</v>
      </c>
      <c r="C6" s="8" t="s">
        <v>32</v>
      </c>
      <c r="D6" s="8" t="s">
        <v>33</v>
      </c>
      <c r="E6" s="8" t="s">
        <v>34</v>
      </c>
      <c r="F6" s="8" t="s">
        <v>35</v>
      </c>
      <c r="H6" s="24">
        <f t="shared" si="0"/>
        <v>2.0861175059396224E-3</v>
      </c>
      <c r="I6" s="24">
        <f t="shared" si="1"/>
        <v>2.1608374218305641E-2</v>
      </c>
      <c r="J6" s="24">
        <f t="shared" si="2"/>
        <v>1.3191184456303228E-2</v>
      </c>
      <c r="K6" s="24">
        <f t="shared" si="3"/>
        <v>2.210142662598736E-2</v>
      </c>
      <c r="L6" s="24">
        <f t="shared" si="4"/>
        <v>-1.4383294361315641E-3</v>
      </c>
    </row>
    <row r="7" spans="1:12">
      <c r="A7" s="8" t="s">
        <v>36</v>
      </c>
      <c r="B7" s="8" t="s">
        <v>37</v>
      </c>
      <c r="C7" s="8" t="s">
        <v>38</v>
      </c>
      <c r="D7" s="8" t="s">
        <v>39</v>
      </c>
      <c r="E7" s="8" t="s">
        <v>40</v>
      </c>
      <c r="F7" s="8" t="s">
        <v>41</v>
      </c>
      <c r="H7" s="24">
        <f t="shared" si="0"/>
        <v>-1.6031667931569263E-3</v>
      </c>
      <c r="I7" s="24">
        <f t="shared" si="1"/>
        <v>2.8887500951664855E-2</v>
      </c>
      <c r="J7" s="24">
        <f t="shared" si="2"/>
        <v>4.6362972221758454E-2</v>
      </c>
      <c r="K7" s="24">
        <f t="shared" si="3"/>
        <v>2.3090996372978404E-2</v>
      </c>
      <c r="L7" s="24">
        <f t="shared" si="4"/>
        <v>1.93412460143409E-3</v>
      </c>
    </row>
    <row r="8" spans="1:12">
      <c r="A8" s="8" t="s">
        <v>42</v>
      </c>
      <c r="B8" s="8" t="s">
        <v>43</v>
      </c>
      <c r="C8" s="8" t="s">
        <v>44</v>
      </c>
      <c r="D8" s="8" t="s">
        <v>45</v>
      </c>
      <c r="E8" s="8" t="s">
        <v>46</v>
      </c>
      <c r="F8" s="8" t="s">
        <v>47</v>
      </c>
      <c r="H8" s="24">
        <f t="shared" si="0"/>
        <v>-8.373197913757395E-3</v>
      </c>
      <c r="I8" s="24">
        <f t="shared" si="1"/>
        <v>2.224263318601333E-3</v>
      </c>
      <c r="J8" s="24">
        <f t="shared" si="2"/>
        <v>1.1136800913809404E-2</v>
      </c>
      <c r="K8" s="24">
        <f t="shared" si="3"/>
        <v>9.9753624770451965E-3</v>
      </c>
      <c r="L8" s="24">
        <f t="shared" si="4"/>
        <v>-2.9064515018773374E-3</v>
      </c>
    </row>
    <row r="9" spans="1:12">
      <c r="A9" s="8" t="s">
        <v>48</v>
      </c>
      <c r="B9" s="8" t="s">
        <v>49</v>
      </c>
      <c r="C9" s="8" t="s">
        <v>50</v>
      </c>
      <c r="D9" s="8" t="s">
        <v>51</v>
      </c>
      <c r="E9" s="8" t="s">
        <v>52</v>
      </c>
      <c r="F9" s="8" t="s">
        <v>53</v>
      </c>
      <c r="H9" s="24">
        <f t="shared" si="0"/>
        <v>6.2039031055165185E-3</v>
      </c>
      <c r="I9" s="24">
        <f t="shared" si="1"/>
        <v>3.6041008458013599E-2</v>
      </c>
      <c r="J9" s="24">
        <f t="shared" si="2"/>
        <v>5.1716399217802571E-2</v>
      </c>
      <c r="K9" s="24">
        <f t="shared" si="3"/>
        <v>2.2782220253778546E-2</v>
      </c>
      <c r="L9" s="24">
        <f t="shared" si="4"/>
        <v>-9.5539040516464053E-4</v>
      </c>
    </row>
    <row r="10" spans="1:12">
      <c r="A10" s="8" t="s">
        <v>54</v>
      </c>
      <c r="B10" s="8" t="s">
        <v>55</v>
      </c>
      <c r="C10" s="8" t="s">
        <v>56</v>
      </c>
      <c r="D10" s="8" t="s">
        <v>57</v>
      </c>
      <c r="E10" s="8" t="s">
        <v>58</v>
      </c>
      <c r="F10" s="8" t="s">
        <v>59</v>
      </c>
      <c r="H10" s="24">
        <f t="shared" si="0"/>
        <v>-2.456802095244774E-3</v>
      </c>
      <c r="I10" s="24">
        <f t="shared" si="1"/>
        <v>-2.5711189957887483E-2</v>
      </c>
      <c r="J10" s="24">
        <f t="shared" si="2"/>
        <v>-1.9477508070654431E-2</v>
      </c>
      <c r="K10" s="24">
        <f t="shared" si="3"/>
        <v>1.537370132655534E-2</v>
      </c>
      <c r="L10" s="24">
        <f t="shared" si="4"/>
        <v>2.6419184375761789E-3</v>
      </c>
    </row>
    <row r="11" spans="1:12">
      <c r="A11" s="8" t="s">
        <v>60</v>
      </c>
      <c r="B11" s="8" t="s">
        <v>61</v>
      </c>
      <c r="C11" s="8" t="s">
        <v>62</v>
      </c>
      <c r="D11" s="8" t="s">
        <v>63</v>
      </c>
      <c r="E11" s="8" t="s">
        <v>64</v>
      </c>
      <c r="F11" s="8" t="s">
        <v>65</v>
      </c>
      <c r="H11" s="24">
        <f t="shared" si="0"/>
        <v>-3.2525690718373931E-3</v>
      </c>
      <c r="I11" s="24">
        <f t="shared" si="1"/>
        <v>2.0892815057820702E-2</v>
      </c>
      <c r="J11" s="24">
        <f t="shared" si="2"/>
        <v>2.2900755089599659E-2</v>
      </c>
      <c r="K11" s="24">
        <f t="shared" si="3"/>
        <v>3.2794875085812186E-3</v>
      </c>
      <c r="L11" s="24">
        <f t="shared" si="4"/>
        <v>-2.5464501998939165E-3</v>
      </c>
    </row>
    <row r="12" spans="1:12">
      <c r="A12" s="8" t="s">
        <v>66</v>
      </c>
      <c r="B12" s="8" t="s">
        <v>67</v>
      </c>
      <c r="C12" s="8" t="s">
        <v>68</v>
      </c>
      <c r="D12" s="8" t="s">
        <v>69</v>
      </c>
      <c r="E12" s="8" t="s">
        <v>70</v>
      </c>
      <c r="F12" s="8" t="s">
        <v>71</v>
      </c>
      <c r="H12" s="24">
        <f t="shared" si="0"/>
        <v>-1.7400036302448862E-2</v>
      </c>
      <c r="I12" s="24">
        <f t="shared" si="1"/>
        <v>2.6721511266357984E-2</v>
      </c>
      <c r="J12" s="24">
        <f t="shared" si="2"/>
        <v>3.3837222909964833E-2</v>
      </c>
      <c r="K12" s="24">
        <f t="shared" si="3"/>
        <v>2.5804614869307577E-2</v>
      </c>
      <c r="L12" s="24">
        <f t="shared" si="4"/>
        <v>4.8934305940275683E-3</v>
      </c>
    </row>
    <row r="13" spans="1:12">
      <c r="A13" s="8" t="s">
        <v>72</v>
      </c>
      <c r="B13" s="8" t="s">
        <v>73</v>
      </c>
      <c r="C13" s="8" t="s">
        <v>74</v>
      </c>
      <c r="D13" s="8" t="s">
        <v>75</v>
      </c>
      <c r="E13" s="8" t="s">
        <v>76</v>
      </c>
      <c r="F13" s="8" t="s">
        <v>77</v>
      </c>
      <c r="H13" s="24">
        <f t="shared" si="0"/>
        <v>2.1062013667224951E-3</v>
      </c>
      <c r="I13" s="24">
        <f t="shared" si="1"/>
        <v>-1.7926942299953202E-2</v>
      </c>
      <c r="J13" s="24">
        <f t="shared" si="2"/>
        <v>-3.0489763266582943E-2</v>
      </c>
      <c r="K13" s="24">
        <f t="shared" si="3"/>
        <v>-3.0260695566534997E-2</v>
      </c>
      <c r="L13" s="24">
        <f t="shared" si="4"/>
        <v>-4.1980457728964873E-3</v>
      </c>
    </row>
    <row r="14" spans="1:12">
      <c r="A14" s="8" t="s">
        <v>78</v>
      </c>
      <c r="B14" s="8" t="s">
        <v>79</v>
      </c>
      <c r="C14" s="8" t="s">
        <v>80</v>
      </c>
      <c r="D14" s="8" t="s">
        <v>81</v>
      </c>
      <c r="E14" s="8" t="s">
        <v>82</v>
      </c>
      <c r="F14" s="8" t="s">
        <v>83</v>
      </c>
      <c r="H14" s="24">
        <f t="shared" si="0"/>
        <v>2.8212023713164607E-3</v>
      </c>
      <c r="I14" s="24">
        <f t="shared" si="1"/>
        <v>-2.4785538259193125E-2</v>
      </c>
      <c r="J14" s="24">
        <f t="shared" si="2"/>
        <v>-4.2937216786056942E-2</v>
      </c>
      <c r="K14" s="24">
        <f t="shared" si="3"/>
        <v>3.9100947735531265E-2</v>
      </c>
      <c r="L14" s="24">
        <f t="shared" si="4"/>
        <v>-3.5376174346568564E-3</v>
      </c>
    </row>
    <row r="15" spans="1:12">
      <c r="A15" s="8" t="s">
        <v>84</v>
      </c>
      <c r="B15" s="8" t="s">
        <v>85</v>
      </c>
      <c r="C15" s="8" t="s">
        <v>86</v>
      </c>
      <c r="D15" s="8" t="s">
        <v>87</v>
      </c>
      <c r="E15" s="8" t="s">
        <v>88</v>
      </c>
      <c r="F15" s="8" t="s">
        <v>89</v>
      </c>
      <c r="H15" s="24">
        <f t="shared" si="0"/>
        <v>-6.0946209182222251E-3</v>
      </c>
      <c r="I15" s="24">
        <f t="shared" si="1"/>
        <v>-5.4734806314900132E-3</v>
      </c>
      <c r="J15" s="24">
        <f t="shared" si="2"/>
        <v>7.2018870599852569E-3</v>
      </c>
      <c r="K15" s="24">
        <f t="shared" si="3"/>
        <v>-1.0136103726736147E-2</v>
      </c>
      <c r="L15" s="24">
        <f t="shared" si="4"/>
        <v>-1.0657033395473075E-3</v>
      </c>
    </row>
    <row r="16" spans="1:12">
      <c r="A16" s="8" t="s">
        <v>90</v>
      </c>
      <c r="B16" s="8" t="s">
        <v>91</v>
      </c>
      <c r="C16" s="8" t="s">
        <v>92</v>
      </c>
      <c r="D16" s="8" t="s">
        <v>93</v>
      </c>
      <c r="E16" s="8" t="s">
        <v>94</v>
      </c>
      <c r="F16" s="8" t="s">
        <v>95</v>
      </c>
      <c r="H16" s="24">
        <f t="shared" si="0"/>
        <v>2.5910519617535544E-3</v>
      </c>
      <c r="I16" s="24">
        <f t="shared" si="1"/>
        <v>-6.5029760218740223E-3</v>
      </c>
      <c r="J16" s="24">
        <f t="shared" si="2"/>
        <v>-4.5058230747632337E-3</v>
      </c>
      <c r="K16" s="24">
        <f t="shared" si="3"/>
        <v>2.4947711707822489E-2</v>
      </c>
      <c r="L16" s="24">
        <f t="shared" si="4"/>
        <v>8.5361064414504338E-4</v>
      </c>
    </row>
    <row r="17" spans="1:12">
      <c r="A17" s="8" t="s">
        <v>96</v>
      </c>
      <c r="B17" s="8" t="s">
        <v>97</v>
      </c>
      <c r="C17" s="8" t="s">
        <v>98</v>
      </c>
      <c r="D17" s="8" t="s">
        <v>99</v>
      </c>
      <c r="E17" s="8" t="s">
        <v>100</v>
      </c>
      <c r="F17" s="8" t="s">
        <v>101</v>
      </c>
      <c r="H17" s="24">
        <f t="shared" si="0"/>
        <v>-1.5332417827575997E-2</v>
      </c>
      <c r="I17" s="24">
        <f t="shared" si="1"/>
        <v>-2.5214257402681035E-2</v>
      </c>
      <c r="J17" s="24">
        <f t="shared" si="2"/>
        <v>-3.0723513279298665E-2</v>
      </c>
      <c r="K17" s="24">
        <f t="shared" si="3"/>
        <v>-8.7780187238706467E-2</v>
      </c>
      <c r="L17" s="24">
        <f t="shared" si="4"/>
        <v>-2.6259270644561033E-3</v>
      </c>
    </row>
    <row r="18" spans="1:12">
      <c r="A18" s="8" t="s">
        <v>102</v>
      </c>
      <c r="B18" s="8" t="s">
        <v>103</v>
      </c>
      <c r="C18" s="8" t="s">
        <v>104</v>
      </c>
      <c r="D18" s="8" t="s">
        <v>105</v>
      </c>
      <c r="E18" s="8" t="s">
        <v>106</v>
      </c>
      <c r="F18" s="8" t="s">
        <v>107</v>
      </c>
      <c r="H18" s="24">
        <f t="shared" si="0"/>
        <v>2.2819591094154428E-4</v>
      </c>
      <c r="I18" s="24">
        <f t="shared" si="1"/>
        <v>2.5309119508382309E-3</v>
      </c>
      <c r="J18" s="24">
        <f t="shared" si="2"/>
        <v>-1.2882463429621778E-2</v>
      </c>
      <c r="K18" s="24">
        <f t="shared" si="3"/>
        <v>3.3373937274209002E-2</v>
      </c>
      <c r="L18" s="24">
        <f t="shared" si="4"/>
        <v>-1.291748094413262E-2</v>
      </c>
    </row>
    <row r="19" spans="1:12">
      <c r="A19" s="8" t="s">
        <v>108</v>
      </c>
      <c r="B19" s="8" t="s">
        <v>109</v>
      </c>
      <c r="C19" s="8" t="s">
        <v>110</v>
      </c>
      <c r="D19" s="8" t="s">
        <v>111</v>
      </c>
      <c r="E19" s="8" t="s">
        <v>112</v>
      </c>
      <c r="F19" s="8" t="s">
        <v>113</v>
      </c>
      <c r="H19" s="24">
        <f t="shared" si="0"/>
        <v>6.2231563012993254E-3</v>
      </c>
      <c r="I19" s="24">
        <f t="shared" si="1"/>
        <v>3.0262947010481604E-2</v>
      </c>
      <c r="J19" s="24">
        <f t="shared" si="2"/>
        <v>2.1377157442349515E-2</v>
      </c>
      <c r="K19" s="24">
        <f t="shared" si="3"/>
        <v>-2.9245625010597298E-2</v>
      </c>
      <c r="L19" s="24">
        <f t="shared" si="4"/>
        <v>-1.2275203625856617E-2</v>
      </c>
    </row>
    <row r="20" spans="1:12">
      <c r="A20" s="8" t="s">
        <v>114</v>
      </c>
      <c r="B20" s="8" t="s">
        <v>115</v>
      </c>
      <c r="C20" s="8" t="s">
        <v>116</v>
      </c>
      <c r="D20" s="8" t="s">
        <v>117</v>
      </c>
      <c r="E20" s="8" t="s">
        <v>118</v>
      </c>
      <c r="F20" s="8" t="s">
        <v>119</v>
      </c>
      <c r="H20" s="24">
        <f t="shared" si="0"/>
        <v>2.0291458801465309E-2</v>
      </c>
      <c r="I20" s="24">
        <f t="shared" si="1"/>
        <v>-5.6453737132019363E-3</v>
      </c>
      <c r="J20" s="24">
        <f t="shared" si="2"/>
        <v>8.6942994001846016E-3</v>
      </c>
      <c r="K20" s="24">
        <f t="shared" si="3"/>
        <v>6.8277377772171702E-2</v>
      </c>
      <c r="L20" s="24">
        <f t="shared" si="4"/>
        <v>1.8403327087816293E-2</v>
      </c>
    </row>
    <row r="21" spans="1:12">
      <c r="A21" s="8" t="s">
        <v>120</v>
      </c>
      <c r="B21" s="8" t="s">
        <v>121</v>
      </c>
      <c r="C21" s="8" t="s">
        <v>122</v>
      </c>
      <c r="D21" s="8" t="s">
        <v>123</v>
      </c>
      <c r="E21" s="8" t="s">
        <v>124</v>
      </c>
      <c r="F21" s="8" t="s">
        <v>125</v>
      </c>
      <c r="H21" s="24">
        <f t="shared" si="0"/>
        <v>2.0078927472209512E-3</v>
      </c>
      <c r="I21" s="24">
        <f t="shared" si="1"/>
        <v>3.50628313194016E-3</v>
      </c>
      <c r="J21" s="24">
        <f t="shared" si="2"/>
        <v>-1.3529926490088431E-2</v>
      </c>
      <c r="K21" s="24">
        <f t="shared" si="3"/>
        <v>-4.6999094900686246E-2</v>
      </c>
      <c r="L21" s="24">
        <f t="shared" si="4"/>
        <v>-9.6694009910620257E-3</v>
      </c>
    </row>
    <row r="22" spans="1:12">
      <c r="A22" s="8" t="s">
        <v>126</v>
      </c>
      <c r="B22" s="8" t="s">
        <v>127</v>
      </c>
      <c r="C22" s="8" t="s">
        <v>128</v>
      </c>
      <c r="D22" s="8" t="s">
        <v>129</v>
      </c>
      <c r="E22" s="8" t="s">
        <v>130</v>
      </c>
      <c r="F22" s="8" t="s">
        <v>131</v>
      </c>
      <c r="H22" s="24">
        <f t="shared" si="0"/>
        <v>4.4372681657998776E-3</v>
      </c>
      <c r="I22" s="24">
        <f t="shared" si="1"/>
        <v>2.8186578211337566E-2</v>
      </c>
      <c r="J22" s="24">
        <f t="shared" si="2"/>
        <v>2.6368594281073496E-2</v>
      </c>
      <c r="K22" s="24">
        <f t="shared" si="3"/>
        <v>5.6764206069719665E-2</v>
      </c>
      <c r="L22" s="24">
        <f t="shared" si="4"/>
        <v>1.9124995813420524E-3</v>
      </c>
    </row>
    <row r="23" spans="1:12">
      <c r="A23" s="8" t="s">
        <v>132</v>
      </c>
      <c r="B23" s="8" t="s">
        <v>133</v>
      </c>
      <c r="C23" s="8" t="s">
        <v>134</v>
      </c>
      <c r="D23" s="8" t="s">
        <v>135</v>
      </c>
      <c r="E23" s="8" t="s">
        <v>136</v>
      </c>
      <c r="F23" s="8" t="s">
        <v>137</v>
      </c>
      <c r="H23" s="24">
        <f t="shared" ref="H23:H41" si="5">LN(B23/B22)</f>
        <v>1.1203911641246692E-2</v>
      </c>
      <c r="I23" s="24">
        <f t="shared" si="1"/>
        <v>1.7205585698689269E-2</v>
      </c>
      <c r="J23" s="24">
        <f t="shared" si="2"/>
        <v>-2.8006163142584497E-3</v>
      </c>
      <c r="K23" s="24">
        <f t="shared" si="3"/>
        <v>-2.3377979506085552E-2</v>
      </c>
      <c r="L23" s="24">
        <f t="shared" si="4"/>
        <v>-7.8014102066256853E-3</v>
      </c>
    </row>
    <row r="24" spans="1:12">
      <c r="A24" s="8" t="s">
        <v>138</v>
      </c>
      <c r="B24" s="8" t="s">
        <v>139</v>
      </c>
      <c r="C24" s="8" t="s">
        <v>140</v>
      </c>
      <c r="D24" s="8" t="s">
        <v>141</v>
      </c>
      <c r="E24" s="8" t="s">
        <v>142</v>
      </c>
      <c r="F24" s="8" t="s">
        <v>143</v>
      </c>
      <c r="H24" s="24">
        <f t="shared" si="5"/>
        <v>-9.270770374574383E-3</v>
      </c>
      <c r="I24" s="24">
        <f t="shared" si="1"/>
        <v>-1.3678148043045802E-2</v>
      </c>
      <c r="J24" s="24">
        <f t="shared" si="2"/>
        <v>-1.5986500507358364E-2</v>
      </c>
      <c r="K24" s="24">
        <f t="shared" si="3"/>
        <v>-5.913671396919359E-3</v>
      </c>
      <c r="L24" s="24">
        <f t="shared" si="4"/>
        <v>4.4473009049522698E-3</v>
      </c>
    </row>
    <row r="25" spans="1:12">
      <c r="A25" s="8" t="s">
        <v>144</v>
      </c>
      <c r="B25" s="8" t="s">
        <v>145</v>
      </c>
      <c r="C25" s="8" t="s">
        <v>146</v>
      </c>
      <c r="D25" s="8" t="s">
        <v>147</v>
      </c>
      <c r="E25" s="8" t="s">
        <v>148</v>
      </c>
      <c r="F25" s="8" t="s">
        <v>149</v>
      </c>
      <c r="H25" s="24">
        <f t="shared" si="5"/>
        <v>-2.9735052052060917E-3</v>
      </c>
      <c r="I25" s="24">
        <f t="shared" si="1"/>
        <v>8.5133850818834545E-4</v>
      </c>
      <c r="J25" s="24">
        <f t="shared" si="2"/>
        <v>1.7430646856472141E-2</v>
      </c>
      <c r="K25" s="24">
        <f t="shared" si="3"/>
        <v>1.8311384446493682E-2</v>
      </c>
      <c r="L25" s="24">
        <f t="shared" si="4"/>
        <v>-8.091939606594413E-3</v>
      </c>
    </row>
    <row r="26" spans="1:12">
      <c r="A26" s="8" t="s">
        <v>150</v>
      </c>
      <c r="B26" s="8" t="s">
        <v>151</v>
      </c>
      <c r="C26" s="8" t="s">
        <v>152</v>
      </c>
      <c r="D26" s="8" t="s">
        <v>153</v>
      </c>
      <c r="E26" s="8" t="s">
        <v>154</v>
      </c>
      <c r="F26" s="8" t="s">
        <v>155</v>
      </c>
      <c r="H26" s="24">
        <f t="shared" si="5"/>
        <v>6.6451881792637712E-3</v>
      </c>
      <c r="I26" s="24">
        <f t="shared" si="1"/>
        <v>-2.0272690143663913E-3</v>
      </c>
      <c r="J26" s="24">
        <f t="shared" si="2"/>
        <v>4.5073825473584466E-3</v>
      </c>
      <c r="K26" s="24">
        <f t="shared" si="3"/>
        <v>3.6191869878229983E-2</v>
      </c>
      <c r="L26" s="24">
        <f t="shared" si="4"/>
        <v>1.3250590011962122E-2</v>
      </c>
    </row>
    <row r="27" spans="1:12">
      <c r="A27" s="8" t="s">
        <v>156</v>
      </c>
      <c r="B27" s="8" t="s">
        <v>157</v>
      </c>
      <c r="C27" s="8" t="s">
        <v>158</v>
      </c>
      <c r="D27" s="8" t="s">
        <v>159</v>
      </c>
      <c r="E27" s="8" t="s">
        <v>160</v>
      </c>
      <c r="F27" s="8" t="s">
        <v>161</v>
      </c>
      <c r="H27" s="24">
        <f t="shared" si="5"/>
        <v>1.1090714060694539E-2</v>
      </c>
      <c r="I27" s="24">
        <f t="shared" si="1"/>
        <v>5.3503482747185305E-3</v>
      </c>
      <c r="J27" s="24">
        <f t="shared" si="2"/>
        <v>-1.8682470102593647E-3</v>
      </c>
      <c r="K27" s="24">
        <f t="shared" si="3"/>
        <v>4.317313349716214E-2</v>
      </c>
      <c r="L27" s="24">
        <f t="shared" si="4"/>
        <v>3.7076244993408981E-3</v>
      </c>
    </row>
    <row r="28" spans="1:12">
      <c r="A28" s="8" t="s">
        <v>162</v>
      </c>
      <c r="B28" s="8" t="s">
        <v>163</v>
      </c>
      <c r="C28" s="8" t="s">
        <v>164</v>
      </c>
      <c r="D28" s="8" t="s">
        <v>165</v>
      </c>
      <c r="E28" s="8" t="s">
        <v>166</v>
      </c>
      <c r="F28" s="8" t="s">
        <v>167</v>
      </c>
      <c r="H28" s="24">
        <f t="shared" si="5"/>
        <v>-3.8476763948467477E-3</v>
      </c>
      <c r="I28" s="24">
        <f t="shared" si="1"/>
        <v>-3.312179854471814E-2</v>
      </c>
      <c r="J28" s="24">
        <f t="shared" si="2"/>
        <v>-8.3600164879409106E-2</v>
      </c>
      <c r="K28" s="24">
        <f t="shared" si="3"/>
        <v>-0.18295040778913388</v>
      </c>
      <c r="L28" s="24">
        <f t="shared" si="4"/>
        <v>-0.15105994358397093</v>
      </c>
    </row>
    <row r="29" spans="1:12">
      <c r="A29" s="8" t="s">
        <v>168</v>
      </c>
      <c r="B29" s="8" t="s">
        <v>169</v>
      </c>
      <c r="C29" s="8" t="s">
        <v>170</v>
      </c>
      <c r="D29" s="8" t="s">
        <v>171</v>
      </c>
      <c r="E29" s="8" t="s">
        <v>172</v>
      </c>
      <c r="F29" s="8" t="s">
        <v>173</v>
      </c>
      <c r="H29" s="24">
        <f t="shared" si="5"/>
        <v>1.3059652891118443E-2</v>
      </c>
      <c r="I29" s="24">
        <f t="shared" si="1"/>
        <v>1.4537216568537049E-2</v>
      </c>
      <c r="J29" s="24">
        <f t="shared" si="2"/>
        <v>4.3611506309452132E-2</v>
      </c>
      <c r="K29" s="24">
        <f t="shared" si="3"/>
        <v>0.10206727169066086</v>
      </c>
      <c r="L29" s="24">
        <f t="shared" si="4"/>
        <v>4.2155842193769055E-2</v>
      </c>
    </row>
    <row r="30" spans="1:12">
      <c r="A30" s="8" t="s">
        <v>174</v>
      </c>
      <c r="B30" s="8" t="s">
        <v>175</v>
      </c>
      <c r="C30" s="8" t="s">
        <v>176</v>
      </c>
      <c r="D30" s="8" t="s">
        <v>177</v>
      </c>
      <c r="E30" s="8" t="s">
        <v>178</v>
      </c>
      <c r="F30" s="8" t="s">
        <v>179</v>
      </c>
      <c r="H30" s="24">
        <f t="shared" si="5"/>
        <v>1.4140717469765182E-2</v>
      </c>
      <c r="I30" s="24">
        <f t="shared" si="1"/>
        <v>1.7522169745950601E-2</v>
      </c>
      <c r="J30" s="24">
        <f t="shared" si="2"/>
        <v>3.2337592715184757E-2</v>
      </c>
      <c r="K30" s="24">
        <f t="shared" si="3"/>
        <v>0.12285737617290249</v>
      </c>
      <c r="L30" s="24">
        <f t="shared" si="4"/>
        <v>3.5233439864358805E-2</v>
      </c>
    </row>
    <row r="31" spans="1:12">
      <c r="A31" s="8" t="s">
        <v>180</v>
      </c>
      <c r="B31" s="8" t="s">
        <v>181</v>
      </c>
      <c r="C31" s="8" t="s">
        <v>182</v>
      </c>
      <c r="D31" s="8" t="s">
        <v>183</v>
      </c>
      <c r="E31" s="8" t="s">
        <v>184</v>
      </c>
      <c r="F31" s="8" t="s">
        <v>185</v>
      </c>
      <c r="H31" s="24">
        <f t="shared" si="5"/>
        <v>1.2507625791447438E-2</v>
      </c>
      <c r="I31" s="24">
        <f t="shared" si="1"/>
        <v>4.0355686230122083E-2</v>
      </c>
      <c r="J31" s="24">
        <f t="shared" si="2"/>
        <v>6.4474136220200248E-2</v>
      </c>
      <c r="K31" s="24">
        <f t="shared" si="3"/>
        <v>7.5065375204455567E-2</v>
      </c>
      <c r="L31" s="24">
        <f t="shared" si="4"/>
        <v>2.0449867639091807E-2</v>
      </c>
    </row>
    <row r="32" spans="1:12">
      <c r="A32" s="8" t="s">
        <v>186</v>
      </c>
      <c r="B32" s="8" t="s">
        <v>187</v>
      </c>
      <c r="C32" s="8" t="s">
        <v>188</v>
      </c>
      <c r="D32" s="8" t="s">
        <v>189</v>
      </c>
      <c r="E32" s="8" t="s">
        <v>190</v>
      </c>
      <c r="F32" s="8" t="s">
        <v>191</v>
      </c>
      <c r="H32" s="24">
        <f t="shared" si="5"/>
        <v>8.98264903631249E-3</v>
      </c>
      <c r="I32" s="24">
        <f t="shared" si="1"/>
        <v>-5.920754220562251E-3</v>
      </c>
      <c r="J32" s="24">
        <f t="shared" si="2"/>
        <v>-7.4892565420371397E-3</v>
      </c>
      <c r="K32" s="24">
        <f t="shared" si="3"/>
        <v>6.0033471777252025E-2</v>
      </c>
      <c r="L32" s="24">
        <f t="shared" si="4"/>
        <v>8.5449514574063388E-3</v>
      </c>
    </row>
    <row r="33" spans="1:12">
      <c r="A33" s="8" t="s">
        <v>192</v>
      </c>
      <c r="B33" s="8" t="s">
        <v>193</v>
      </c>
      <c r="C33" s="8" t="s">
        <v>194</v>
      </c>
      <c r="D33" s="8" t="s">
        <v>195</v>
      </c>
      <c r="E33" s="8" t="s">
        <v>196</v>
      </c>
      <c r="F33" s="8" t="s">
        <v>197</v>
      </c>
      <c r="H33" s="24">
        <f t="shared" si="5"/>
        <v>-8.3032494659377766E-3</v>
      </c>
      <c r="I33" s="24">
        <f t="shared" si="1"/>
        <v>3.355324436042429E-3</v>
      </c>
      <c r="J33" s="24">
        <f t="shared" si="2"/>
        <v>1.3928117562524541E-4</v>
      </c>
      <c r="K33" s="24">
        <f t="shared" si="3"/>
        <v>-2.4665954218407202E-3</v>
      </c>
      <c r="L33" s="24">
        <f t="shared" si="4"/>
        <v>-6.8898857115208701E-3</v>
      </c>
    </row>
    <row r="34" spans="1:12">
      <c r="A34" s="8" t="s">
        <v>198</v>
      </c>
      <c r="B34" s="8" t="s">
        <v>199</v>
      </c>
      <c r="C34" s="8" t="s">
        <v>200</v>
      </c>
      <c r="D34" s="8" t="s">
        <v>201</v>
      </c>
      <c r="E34" s="8" t="s">
        <v>202</v>
      </c>
      <c r="F34" s="8" t="s">
        <v>203</v>
      </c>
      <c r="H34" s="24">
        <f t="shared" si="5"/>
        <v>5.1959180939817971E-3</v>
      </c>
      <c r="I34" s="24">
        <f t="shared" si="1"/>
        <v>2.3501909931640249E-2</v>
      </c>
      <c r="J34" s="24">
        <f t="shared" si="2"/>
        <v>3.6735012835745602E-2</v>
      </c>
      <c r="K34" s="24">
        <f t="shared" si="3"/>
        <v>0.12661698135145277</v>
      </c>
      <c r="L34" s="24">
        <f t="shared" si="4"/>
        <v>1.9187510301605253E-2</v>
      </c>
    </row>
    <row r="35" spans="1:12">
      <c r="A35" s="8" t="s">
        <v>204</v>
      </c>
      <c r="B35" s="8" t="s">
        <v>205</v>
      </c>
      <c r="C35" s="8" t="s">
        <v>206</v>
      </c>
      <c r="D35" s="8" t="s">
        <v>207</v>
      </c>
      <c r="E35" s="8" t="s">
        <v>208</v>
      </c>
      <c r="F35" s="8" t="s">
        <v>209</v>
      </c>
      <c r="H35" s="24">
        <f t="shared" si="5"/>
        <v>8.228307833810523E-3</v>
      </c>
      <c r="I35" s="24">
        <f t="shared" si="1"/>
        <v>2.0673595135514471E-2</v>
      </c>
      <c r="J35" s="24">
        <f t="shared" si="2"/>
        <v>2.8015952507420269E-2</v>
      </c>
      <c r="K35" s="24">
        <f t="shared" si="3"/>
        <v>5.5559412984777054E-2</v>
      </c>
      <c r="L35" s="24">
        <f t="shared" si="4"/>
        <v>4.8662334792676024E-3</v>
      </c>
    </row>
    <row r="36" spans="1:12">
      <c r="A36" s="8" t="s">
        <v>210</v>
      </c>
      <c r="B36" s="8" t="s">
        <v>211</v>
      </c>
      <c r="C36" s="8" t="s">
        <v>212</v>
      </c>
      <c r="D36" s="8" t="s">
        <v>213</v>
      </c>
      <c r="E36" s="8" t="s">
        <v>214</v>
      </c>
      <c r="F36" s="8" t="s">
        <v>215</v>
      </c>
      <c r="H36" s="24">
        <f t="shared" si="5"/>
        <v>1.1176681761245067E-3</v>
      </c>
      <c r="I36" s="24">
        <f t="shared" si="1"/>
        <v>-6.8961694949807403E-2</v>
      </c>
      <c r="J36" s="24">
        <f t="shared" si="2"/>
        <v>-5.9316295395925915E-2</v>
      </c>
      <c r="K36" s="24">
        <f t="shared" si="3"/>
        <v>-5.3412842954754071E-3</v>
      </c>
      <c r="L36" s="24">
        <f t="shared" si="4"/>
        <v>9.7302157867140537E-3</v>
      </c>
    </row>
    <row r="37" spans="1:12">
      <c r="A37" s="8" t="s">
        <v>216</v>
      </c>
      <c r="B37" s="8" t="s">
        <v>217</v>
      </c>
      <c r="C37" s="8" t="s">
        <v>218</v>
      </c>
      <c r="D37" s="8" t="s">
        <v>219</v>
      </c>
      <c r="E37" s="8" t="s">
        <v>220</v>
      </c>
      <c r="F37" s="8" t="s">
        <v>221</v>
      </c>
      <c r="H37" s="24">
        <f t="shared" si="5"/>
        <v>1.060376736738622E-2</v>
      </c>
      <c r="I37" s="24">
        <f t="shared" si="1"/>
        <v>1.6182536598632377E-2</v>
      </c>
      <c r="J37" s="24">
        <f t="shared" si="2"/>
        <v>2.5710014259578563E-2</v>
      </c>
      <c r="K37" s="24">
        <f t="shared" si="3"/>
        <v>4.1451380697444827E-2</v>
      </c>
      <c r="L37" s="24">
        <f t="shared" si="4"/>
        <v>2.1644783485859406E-3</v>
      </c>
    </row>
    <row r="38" spans="1:12">
      <c r="A38" s="8" t="s">
        <v>222</v>
      </c>
      <c r="B38" s="8" t="s">
        <v>223</v>
      </c>
      <c r="C38" s="8" t="s">
        <v>224</v>
      </c>
      <c r="D38" s="8" t="s">
        <v>225</v>
      </c>
      <c r="E38" s="8" t="s">
        <v>226</v>
      </c>
      <c r="F38" s="8" t="s">
        <v>227</v>
      </c>
      <c r="H38" s="24">
        <f t="shared" si="5"/>
        <v>1.3663383996954902E-3</v>
      </c>
      <c r="I38" s="24">
        <f t="shared" si="1"/>
        <v>-1.0081571114461046E-2</v>
      </c>
      <c r="J38" s="24">
        <f t="shared" si="2"/>
        <v>-1.1521258919194949E-2</v>
      </c>
      <c r="K38" s="24">
        <f t="shared" si="3"/>
        <v>1.525004449676476E-2</v>
      </c>
      <c r="L38" s="24">
        <f t="shared" si="4"/>
        <v>7.6201091462030392E-3</v>
      </c>
    </row>
    <row r="39" spans="1:12">
      <c r="A39" s="8" t="s">
        <v>228</v>
      </c>
      <c r="B39" s="8" t="s">
        <v>229</v>
      </c>
      <c r="C39" s="8" t="s">
        <v>230</v>
      </c>
      <c r="D39" s="8" t="s">
        <v>231</v>
      </c>
      <c r="E39" s="8" t="s">
        <v>232</v>
      </c>
      <c r="F39" s="8" t="s">
        <v>233</v>
      </c>
      <c r="H39" s="24">
        <f t="shared" si="5"/>
        <v>1.6926810965733341E-2</v>
      </c>
      <c r="I39" s="24">
        <f t="shared" si="1"/>
        <v>1.2562371931240914E-2</v>
      </c>
      <c r="J39" s="24">
        <f t="shared" si="2"/>
        <v>1.1993336306745431E-2</v>
      </c>
      <c r="K39" s="24">
        <f t="shared" si="3"/>
        <v>-1.1923528239079299E-2</v>
      </c>
      <c r="L39" s="24">
        <f t="shared" si="4"/>
        <v>-8.9667425027907897E-3</v>
      </c>
    </row>
    <row r="40" spans="1:12">
      <c r="A40" s="8" t="s">
        <v>234</v>
      </c>
      <c r="B40" s="8" t="s">
        <v>235</v>
      </c>
      <c r="C40" s="8" t="s">
        <v>236</v>
      </c>
      <c r="D40" s="8" t="s">
        <v>237</v>
      </c>
      <c r="E40" s="8" t="s">
        <v>238</v>
      </c>
      <c r="F40" s="8" t="s">
        <v>239</v>
      </c>
      <c r="H40" s="24">
        <f t="shared" si="5"/>
        <v>-6.2076492409683312E-3</v>
      </c>
      <c r="I40" s="24">
        <f t="shared" si="1"/>
        <v>-5.0463340068826754E-3</v>
      </c>
      <c r="J40" s="24">
        <f t="shared" si="2"/>
        <v>-8.8432811994723099E-3</v>
      </c>
      <c r="K40" s="24">
        <f t="shared" si="3"/>
        <v>1.6749720085933416E-2</v>
      </c>
      <c r="L40" s="24">
        <f t="shared" si="4"/>
        <v>6.7743031687807318E-4</v>
      </c>
    </row>
    <row r="41" spans="1:12">
      <c r="A41" s="8" t="s">
        <v>240</v>
      </c>
      <c r="B41" s="8" t="s">
        <v>241</v>
      </c>
      <c r="C41" s="8" t="s">
        <v>242</v>
      </c>
      <c r="D41" s="8" t="s">
        <v>243</v>
      </c>
      <c r="E41" s="8" t="s">
        <v>244</v>
      </c>
      <c r="F41" s="8" t="s">
        <v>245</v>
      </c>
      <c r="H41" s="24">
        <f t="shared" si="5"/>
        <v>-1.2760594046053376E-2</v>
      </c>
      <c r="I41" s="24">
        <f t="shared" si="1"/>
        <v>-3.0570493607001457E-2</v>
      </c>
      <c r="J41" s="24">
        <f t="shared" si="2"/>
        <v>-2.9511452822645955E-2</v>
      </c>
      <c r="K41" s="24">
        <f t="shared" si="3"/>
        <v>-2.2622416592767716E-2</v>
      </c>
      <c r="L41" s="24">
        <f t="shared" si="4"/>
        <v>3.6125796571338125E-3</v>
      </c>
    </row>
    <row r="45" spans="1:12">
      <c r="A45" s="7"/>
      <c r="B45" s="7"/>
    </row>
    <row r="46" spans="1:12">
      <c r="A46" s="7"/>
      <c r="B46" s="7"/>
    </row>
    <row r="48" spans="1:12">
      <c r="A48" s="7"/>
      <c r="B48" s="7"/>
    </row>
    <row r="49" spans="1:2">
      <c r="A49" s="7"/>
      <c r="B49" s="7"/>
    </row>
    <row r="51" spans="1:2">
      <c r="A51" s="7"/>
      <c r="B51" s="7"/>
    </row>
    <row r="52" spans="1:2">
      <c r="A52" s="7"/>
      <c r="B52" s="7"/>
    </row>
    <row r="54" spans="1:2">
      <c r="A54" s="7"/>
      <c r="B54" s="7"/>
    </row>
    <row r="55" spans="1:2">
      <c r="A55" s="7"/>
      <c r="B55" s="7"/>
    </row>
    <row r="57" spans="1:2">
      <c r="A57" s="7"/>
      <c r="B57" s="7"/>
    </row>
    <row r="58" spans="1:2">
      <c r="A58" s="7"/>
      <c r="B58" s="7"/>
    </row>
    <row r="60" spans="1:2">
      <c r="A60" s="7"/>
      <c r="B60" s="7"/>
    </row>
    <row r="61" spans="1:2">
      <c r="A61" s="7"/>
      <c r="B61" s="7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2"/>
  <sheetViews>
    <sheetView workbookViewId="0">
      <selection activeCell="I42" sqref="I42:K42"/>
    </sheetView>
  </sheetViews>
  <sheetFormatPr defaultColWidth="9" defaultRowHeight="15"/>
  <cols>
    <col min="1" max="1" width="12.28515625" customWidth="1"/>
    <col min="2" max="2" width="8.28515625" customWidth="1"/>
    <col min="3" max="3" width="13.7109375"/>
    <col min="4" max="5" width="12.5703125"/>
    <col min="6" max="6" width="13.7109375"/>
    <col min="8" max="8" width="12.28515625" customWidth="1"/>
    <col min="9" max="9" width="8.28515625" customWidth="1"/>
  </cols>
  <sheetData>
    <row r="1" spans="1:11">
      <c r="A1" s="8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8" t="s">
        <v>5</v>
      </c>
      <c r="H1" s="8" t="s">
        <v>0</v>
      </c>
      <c r="I1" s="7" t="s">
        <v>1</v>
      </c>
      <c r="J1" s="8" t="s">
        <v>2</v>
      </c>
      <c r="K1" s="8" t="s">
        <v>4</v>
      </c>
    </row>
    <row r="2" spans="1:11">
      <c r="A2" s="8" t="s">
        <v>12</v>
      </c>
      <c r="B2" s="24">
        <v>-1.6383665018733701E-2</v>
      </c>
      <c r="C2" s="24">
        <v>-9.7976107385442907E-2</v>
      </c>
      <c r="D2" s="24">
        <v>-8.2145321729773804E-2</v>
      </c>
      <c r="E2" s="24">
        <v>-1.55410079330739E-2</v>
      </c>
      <c r="F2" s="24">
        <v>1.24247472045881E-4</v>
      </c>
      <c r="H2" s="8" t="s">
        <v>12</v>
      </c>
      <c r="I2" s="24">
        <v>-1.6383665018733701E-2</v>
      </c>
      <c r="J2" s="24">
        <v>-9.7976107385442907E-2</v>
      </c>
      <c r="K2" s="24">
        <v>-1.55410079330739E-2</v>
      </c>
    </row>
    <row r="3" spans="1:11">
      <c r="A3" s="8" t="s">
        <v>18</v>
      </c>
      <c r="B3" s="24">
        <v>-1.07885741626518E-3</v>
      </c>
      <c r="C3" s="24">
        <v>-8.2452462389903808E-3</v>
      </c>
      <c r="D3" s="24">
        <v>1.28699248747562E-3</v>
      </c>
      <c r="E3" s="24">
        <v>-1.2972730961045001E-3</v>
      </c>
      <c r="F3" s="24">
        <v>3.6030353787259201E-3</v>
      </c>
      <c r="H3" s="8" t="s">
        <v>18</v>
      </c>
      <c r="I3" s="24">
        <v>-1.07885741626518E-3</v>
      </c>
      <c r="J3" s="24">
        <v>-8.2452462389903808E-3</v>
      </c>
      <c r="K3" s="24">
        <v>-1.2972730961045001E-3</v>
      </c>
    </row>
    <row r="4" spans="1:11">
      <c r="A4" s="8" t="s">
        <v>24</v>
      </c>
      <c r="B4" s="24">
        <v>6.1194890510582701E-3</v>
      </c>
      <c r="C4" s="24">
        <v>7.1770620967311297E-3</v>
      </c>
      <c r="D4" s="24">
        <v>4.5312183676617596E-3</v>
      </c>
      <c r="E4" s="24">
        <v>2.9842769564420502E-2</v>
      </c>
      <c r="F4" s="24">
        <v>2.0642671576709898E-3</v>
      </c>
      <c r="H4" s="8" t="s">
        <v>24</v>
      </c>
      <c r="I4" s="24">
        <v>6.1194890510582701E-3</v>
      </c>
      <c r="J4" s="24">
        <v>7.1770620967311297E-3</v>
      </c>
      <c r="K4" s="24">
        <v>2.9842769564420502E-2</v>
      </c>
    </row>
    <row r="5" spans="1:11">
      <c r="A5" s="8" t="s">
        <v>30</v>
      </c>
      <c r="B5" s="24">
        <v>2.0861175059396198E-3</v>
      </c>
      <c r="C5" s="24">
        <v>2.1608374218305599E-2</v>
      </c>
      <c r="D5" s="24">
        <v>1.31911844563032E-2</v>
      </c>
      <c r="E5" s="24">
        <v>2.2101426625987401E-2</v>
      </c>
      <c r="F5" s="24">
        <v>-1.43832943613156E-3</v>
      </c>
      <c r="H5" s="8" t="s">
        <v>30</v>
      </c>
      <c r="I5" s="24">
        <v>2.0861175059396198E-3</v>
      </c>
      <c r="J5" s="24">
        <v>2.1608374218305599E-2</v>
      </c>
      <c r="K5" s="24">
        <v>2.2101426625987401E-2</v>
      </c>
    </row>
    <row r="6" spans="1:11">
      <c r="A6" s="8" t="s">
        <v>36</v>
      </c>
      <c r="B6" s="24">
        <v>-1.6031667931569299E-3</v>
      </c>
      <c r="C6" s="24">
        <v>2.88875009516649E-2</v>
      </c>
      <c r="D6" s="24">
        <v>4.6362972221758503E-2</v>
      </c>
      <c r="E6" s="24">
        <v>2.3090996372978401E-2</v>
      </c>
      <c r="F6" s="24">
        <v>1.93412460143409E-3</v>
      </c>
      <c r="H6" s="8" t="s">
        <v>36</v>
      </c>
      <c r="I6" s="24">
        <v>-1.6031667931569299E-3</v>
      </c>
      <c r="J6" s="24">
        <v>2.88875009516649E-2</v>
      </c>
      <c r="K6" s="24">
        <v>2.3090996372978401E-2</v>
      </c>
    </row>
    <row r="7" spans="1:11">
      <c r="A7" s="8" t="s">
        <v>42</v>
      </c>
      <c r="B7" s="24">
        <v>-8.3731979137574002E-3</v>
      </c>
      <c r="C7" s="24">
        <v>2.22426331860133E-3</v>
      </c>
      <c r="D7" s="24">
        <v>1.11368009138094E-2</v>
      </c>
      <c r="E7" s="24">
        <v>9.9753624770452E-3</v>
      </c>
      <c r="F7" s="24">
        <v>-2.90645150187734E-3</v>
      </c>
      <c r="H7" s="8" t="s">
        <v>42</v>
      </c>
      <c r="I7" s="24">
        <v>-8.3731979137574002E-3</v>
      </c>
      <c r="J7" s="24">
        <v>2.22426331860133E-3</v>
      </c>
      <c r="K7" s="24">
        <v>9.9753624770452E-3</v>
      </c>
    </row>
    <row r="8" spans="1:11">
      <c r="A8" s="8" t="s">
        <v>48</v>
      </c>
      <c r="B8" s="24">
        <v>6.2039031055165202E-3</v>
      </c>
      <c r="C8" s="24">
        <v>3.6041008458013599E-2</v>
      </c>
      <c r="D8" s="24">
        <v>5.1716399217802599E-2</v>
      </c>
      <c r="E8" s="24">
        <v>2.2782220253778501E-2</v>
      </c>
      <c r="F8" s="24">
        <v>-9.5539040516464096E-4</v>
      </c>
      <c r="H8" s="8" t="s">
        <v>48</v>
      </c>
      <c r="I8" s="24">
        <v>6.2039031055165202E-3</v>
      </c>
      <c r="J8" s="24">
        <v>3.6041008458013599E-2</v>
      </c>
      <c r="K8" s="24">
        <v>2.2782220253778501E-2</v>
      </c>
    </row>
    <row r="9" spans="1:11">
      <c r="A9" s="8" t="s">
        <v>54</v>
      </c>
      <c r="B9" s="24">
        <v>-2.4568020952447701E-3</v>
      </c>
      <c r="C9" s="24">
        <v>-2.5711189957887501E-2</v>
      </c>
      <c r="D9" s="24">
        <v>-1.94775080706544E-2</v>
      </c>
      <c r="E9" s="24">
        <v>1.53737013265553E-2</v>
      </c>
      <c r="F9" s="24">
        <v>2.6419184375761802E-3</v>
      </c>
      <c r="H9" s="8" t="s">
        <v>54</v>
      </c>
      <c r="I9" s="24">
        <v>-2.4568020952447701E-3</v>
      </c>
      <c r="J9" s="24">
        <v>-2.5711189957887501E-2</v>
      </c>
      <c r="K9" s="24">
        <v>1.53737013265553E-2</v>
      </c>
    </row>
    <row r="10" spans="1:11">
      <c r="A10" s="8" t="s">
        <v>60</v>
      </c>
      <c r="B10" s="24">
        <v>-3.2525690718373901E-3</v>
      </c>
      <c r="C10" s="24">
        <v>2.0892815057820702E-2</v>
      </c>
      <c r="D10" s="24">
        <v>2.2900755089599701E-2</v>
      </c>
      <c r="E10" s="24">
        <v>3.2794875085812199E-3</v>
      </c>
      <c r="F10" s="24">
        <v>-2.54645019989392E-3</v>
      </c>
      <c r="H10" s="8" t="s">
        <v>60</v>
      </c>
      <c r="I10" s="24">
        <v>-3.2525690718373901E-3</v>
      </c>
      <c r="J10" s="24">
        <v>2.0892815057820702E-2</v>
      </c>
      <c r="K10" s="24">
        <v>3.2794875085812199E-3</v>
      </c>
    </row>
    <row r="11" spans="1:11">
      <c r="A11" s="8" t="s">
        <v>66</v>
      </c>
      <c r="B11" s="24">
        <v>-1.74000363024489E-2</v>
      </c>
      <c r="C11" s="24">
        <v>2.6721511266358002E-2</v>
      </c>
      <c r="D11" s="24">
        <v>3.3837222909964798E-2</v>
      </c>
      <c r="E11" s="24">
        <v>2.5804614869307602E-2</v>
      </c>
      <c r="F11" s="24">
        <v>4.89343059402757E-3</v>
      </c>
      <c r="H11" s="8" t="s">
        <v>66</v>
      </c>
      <c r="I11" s="24">
        <v>-1.74000363024489E-2</v>
      </c>
      <c r="J11" s="24">
        <v>2.6721511266358002E-2</v>
      </c>
      <c r="K11" s="24">
        <v>2.5804614869307602E-2</v>
      </c>
    </row>
    <row r="12" spans="1:11">
      <c r="A12" s="8" t="s">
        <v>72</v>
      </c>
      <c r="B12" s="24">
        <v>2.1062013667224998E-3</v>
      </c>
      <c r="C12" s="24">
        <v>-1.7926942299953199E-2</v>
      </c>
      <c r="D12" s="24">
        <v>-3.0489763266582901E-2</v>
      </c>
      <c r="E12" s="24">
        <v>-3.0260695566535E-2</v>
      </c>
      <c r="F12" s="24">
        <v>-4.1980457728964899E-3</v>
      </c>
      <c r="H12" s="8" t="s">
        <v>72</v>
      </c>
      <c r="I12" s="24">
        <v>2.1062013667224998E-3</v>
      </c>
      <c r="J12" s="24">
        <v>-1.7926942299953199E-2</v>
      </c>
      <c r="K12" s="24">
        <v>-3.0260695566535E-2</v>
      </c>
    </row>
    <row r="13" spans="1:11">
      <c r="A13" s="8" t="s">
        <v>78</v>
      </c>
      <c r="B13" s="24">
        <v>2.8212023713164599E-3</v>
      </c>
      <c r="C13" s="24">
        <v>-2.47855382591931E-2</v>
      </c>
      <c r="D13" s="24">
        <v>-4.29372167860569E-2</v>
      </c>
      <c r="E13" s="24">
        <v>3.91009477355313E-2</v>
      </c>
      <c r="F13" s="24">
        <v>-3.5376174346568598E-3</v>
      </c>
      <c r="H13" s="8" t="s">
        <v>78</v>
      </c>
      <c r="I13" s="24">
        <v>2.8212023713164599E-3</v>
      </c>
      <c r="J13" s="24">
        <v>-2.47855382591931E-2</v>
      </c>
      <c r="K13" s="24">
        <v>3.91009477355313E-2</v>
      </c>
    </row>
    <row r="14" spans="1:11">
      <c r="A14" s="8" t="s">
        <v>84</v>
      </c>
      <c r="B14" s="24">
        <v>-6.0946209182222303E-3</v>
      </c>
      <c r="C14" s="24">
        <v>-5.4734806314900098E-3</v>
      </c>
      <c r="D14" s="24">
        <v>7.2018870599852604E-3</v>
      </c>
      <c r="E14" s="24">
        <v>-1.0136103726736101E-2</v>
      </c>
      <c r="F14" s="24">
        <v>-1.0657033395473101E-3</v>
      </c>
      <c r="H14" s="8" t="s">
        <v>84</v>
      </c>
      <c r="I14" s="24">
        <v>-6.0946209182222303E-3</v>
      </c>
      <c r="J14" s="24">
        <v>-5.4734806314900098E-3</v>
      </c>
      <c r="K14" s="24">
        <v>-1.0136103726736101E-2</v>
      </c>
    </row>
    <row r="15" spans="1:11">
      <c r="A15" s="8" t="s">
        <v>90</v>
      </c>
      <c r="B15" s="24">
        <v>2.5910519617535501E-3</v>
      </c>
      <c r="C15" s="24">
        <v>-6.5029760218740197E-3</v>
      </c>
      <c r="D15" s="24">
        <v>-4.5058230747632303E-3</v>
      </c>
      <c r="E15" s="24">
        <v>2.4947711707822499E-2</v>
      </c>
      <c r="F15" s="24">
        <v>8.5361064414504295E-4</v>
      </c>
      <c r="H15" s="8" t="s">
        <v>90</v>
      </c>
      <c r="I15" s="24">
        <v>2.5910519617535501E-3</v>
      </c>
      <c r="J15" s="24">
        <v>-6.5029760218740197E-3</v>
      </c>
      <c r="K15" s="24">
        <v>2.4947711707822499E-2</v>
      </c>
    </row>
    <row r="16" spans="1:11">
      <c r="A16" s="8" t="s">
        <v>96</v>
      </c>
      <c r="B16" s="24">
        <v>-1.5332417827576E-2</v>
      </c>
      <c r="C16" s="24">
        <v>-2.5214257402681E-2</v>
      </c>
      <c r="D16" s="24">
        <v>-3.07235132792987E-2</v>
      </c>
      <c r="E16" s="24">
        <v>-8.7780187238706495E-2</v>
      </c>
      <c r="F16" s="24">
        <v>-2.6259270644560999E-3</v>
      </c>
      <c r="H16" s="8" t="s">
        <v>96</v>
      </c>
      <c r="I16" s="24">
        <v>-1.5332417827576E-2</v>
      </c>
      <c r="J16" s="24">
        <v>-2.5214257402681E-2</v>
      </c>
      <c r="K16" s="24">
        <v>-8.7780187238706495E-2</v>
      </c>
    </row>
    <row r="17" spans="1:11">
      <c r="A17" s="8" t="s">
        <v>102</v>
      </c>
      <c r="B17" s="24">
        <v>2.28195910941544E-4</v>
      </c>
      <c r="C17" s="24">
        <v>2.53091195083823E-3</v>
      </c>
      <c r="D17" s="24">
        <v>-1.28824634296218E-2</v>
      </c>
      <c r="E17" s="24">
        <v>3.3373937274209002E-2</v>
      </c>
      <c r="F17" s="24">
        <v>-1.2917480944132601E-2</v>
      </c>
      <c r="H17" s="8" t="s">
        <v>102</v>
      </c>
      <c r="I17" s="24">
        <v>2.28195910941544E-4</v>
      </c>
      <c r="J17" s="24">
        <v>2.53091195083823E-3</v>
      </c>
      <c r="K17" s="24">
        <v>3.3373937274209002E-2</v>
      </c>
    </row>
    <row r="18" spans="1:11">
      <c r="A18" s="8" t="s">
        <v>108</v>
      </c>
      <c r="B18" s="24">
        <v>6.2231563012993298E-3</v>
      </c>
      <c r="C18" s="24">
        <v>3.02629470104816E-2</v>
      </c>
      <c r="D18" s="24">
        <v>2.1377157442349502E-2</v>
      </c>
      <c r="E18" s="24">
        <v>-2.9245625010597302E-2</v>
      </c>
      <c r="F18" s="24">
        <v>-1.2275203625856599E-2</v>
      </c>
      <c r="H18" s="8" t="s">
        <v>108</v>
      </c>
      <c r="I18" s="24">
        <v>6.2231563012993298E-3</v>
      </c>
      <c r="J18" s="24">
        <v>3.02629470104816E-2</v>
      </c>
      <c r="K18" s="24">
        <v>-2.9245625010597302E-2</v>
      </c>
    </row>
    <row r="19" spans="1:11">
      <c r="A19" s="8" t="s">
        <v>114</v>
      </c>
      <c r="B19" s="24">
        <v>2.0291458801465299E-2</v>
      </c>
      <c r="C19" s="24">
        <v>-5.6453737132019398E-3</v>
      </c>
      <c r="D19" s="24">
        <v>8.6942994001845998E-3</v>
      </c>
      <c r="E19" s="24">
        <v>6.8277377772171702E-2</v>
      </c>
      <c r="F19" s="24">
        <v>1.84033270878163E-2</v>
      </c>
      <c r="H19" s="8" t="s">
        <v>114</v>
      </c>
      <c r="I19" s="24">
        <v>2.0291458801465299E-2</v>
      </c>
      <c r="J19" s="24">
        <v>-5.6453737132019398E-3</v>
      </c>
      <c r="K19" s="24">
        <v>6.8277377772171702E-2</v>
      </c>
    </row>
    <row r="20" spans="1:11">
      <c r="A20" s="8" t="s">
        <v>120</v>
      </c>
      <c r="B20" s="24">
        <v>2.0078927472209499E-3</v>
      </c>
      <c r="C20" s="24">
        <v>3.50628313194016E-3</v>
      </c>
      <c r="D20" s="24">
        <v>-1.35299264900884E-2</v>
      </c>
      <c r="E20" s="24">
        <v>-4.6999094900686197E-2</v>
      </c>
      <c r="F20" s="24">
        <v>-9.6694009910620292E-3</v>
      </c>
      <c r="H20" s="8" t="s">
        <v>120</v>
      </c>
      <c r="I20" s="24">
        <v>2.0078927472209499E-3</v>
      </c>
      <c r="J20" s="24">
        <v>3.50628313194016E-3</v>
      </c>
      <c r="K20" s="24">
        <v>-4.6999094900686197E-2</v>
      </c>
    </row>
    <row r="21" spans="1:11">
      <c r="A21" s="8" t="s">
        <v>126</v>
      </c>
      <c r="B21" s="24">
        <v>4.4372681657998802E-3</v>
      </c>
      <c r="C21" s="24">
        <v>2.8186578211337601E-2</v>
      </c>
      <c r="D21" s="24">
        <v>2.63685942810735E-2</v>
      </c>
      <c r="E21" s="24">
        <v>5.67642060697197E-2</v>
      </c>
      <c r="F21" s="24">
        <v>1.91249958134205E-3</v>
      </c>
      <c r="H21" s="8" t="s">
        <v>126</v>
      </c>
      <c r="I21" s="24">
        <v>4.4372681657998802E-3</v>
      </c>
      <c r="J21" s="24">
        <v>2.8186578211337601E-2</v>
      </c>
      <c r="K21" s="24">
        <v>5.67642060697197E-2</v>
      </c>
    </row>
    <row r="22" spans="1:11">
      <c r="A22" s="8" t="s">
        <v>132</v>
      </c>
      <c r="B22" s="24">
        <v>1.12039116412467E-2</v>
      </c>
      <c r="C22" s="24">
        <v>1.72055856986893E-2</v>
      </c>
      <c r="D22" s="24">
        <v>-2.8006163142584501E-3</v>
      </c>
      <c r="E22" s="24">
        <v>-2.3377979506085601E-2</v>
      </c>
      <c r="F22" s="24">
        <v>-7.8014102066256896E-3</v>
      </c>
      <c r="H22" s="8" t="s">
        <v>132</v>
      </c>
      <c r="I22" s="24">
        <v>1.12039116412467E-2</v>
      </c>
      <c r="J22" s="24">
        <v>1.72055856986893E-2</v>
      </c>
      <c r="K22" s="24">
        <v>-2.3377979506085601E-2</v>
      </c>
    </row>
    <row r="23" spans="1:11">
      <c r="A23" s="8" t="s">
        <v>138</v>
      </c>
      <c r="B23" s="24">
        <v>-9.2707703745743796E-3</v>
      </c>
      <c r="C23" s="24">
        <v>-1.3678148043045801E-2</v>
      </c>
      <c r="D23" s="24">
        <v>-1.5986500507358399E-2</v>
      </c>
      <c r="E23" s="24">
        <v>-5.9136713969193599E-3</v>
      </c>
      <c r="F23" s="24">
        <v>4.4473009049522698E-3</v>
      </c>
      <c r="H23" s="8" t="s">
        <v>138</v>
      </c>
      <c r="I23" s="24">
        <v>-9.2707703745743796E-3</v>
      </c>
      <c r="J23" s="24">
        <v>-1.3678148043045801E-2</v>
      </c>
      <c r="K23" s="24">
        <v>-5.9136713969193599E-3</v>
      </c>
    </row>
    <row r="24" spans="1:11">
      <c r="A24" s="8" t="s">
        <v>144</v>
      </c>
      <c r="B24" s="24">
        <v>-2.97350520520609E-3</v>
      </c>
      <c r="C24" s="24">
        <v>8.5133850818834502E-4</v>
      </c>
      <c r="D24" s="24">
        <v>1.7430646856472099E-2</v>
      </c>
      <c r="E24" s="24">
        <v>1.83113844464937E-2</v>
      </c>
      <c r="F24" s="24">
        <v>-8.0919396065944095E-3</v>
      </c>
      <c r="H24" s="8" t="s">
        <v>144</v>
      </c>
      <c r="I24" s="24">
        <v>-2.97350520520609E-3</v>
      </c>
      <c r="J24" s="24">
        <v>8.5133850818834502E-4</v>
      </c>
      <c r="K24" s="24">
        <v>1.83113844464937E-2</v>
      </c>
    </row>
    <row r="25" spans="1:11">
      <c r="A25" s="8" t="s">
        <v>150</v>
      </c>
      <c r="B25" s="24">
        <v>6.6451881792637703E-3</v>
      </c>
      <c r="C25" s="24">
        <v>-2.02726901436639E-3</v>
      </c>
      <c r="D25" s="24">
        <v>4.5073825473584501E-3</v>
      </c>
      <c r="E25" s="24">
        <v>3.6191869878229997E-2</v>
      </c>
      <c r="F25" s="24">
        <v>1.3250590011962099E-2</v>
      </c>
      <c r="H25" s="8" t="s">
        <v>150</v>
      </c>
      <c r="I25" s="24">
        <v>6.6451881792637703E-3</v>
      </c>
      <c r="J25" s="24">
        <v>-2.02726901436639E-3</v>
      </c>
      <c r="K25" s="24">
        <v>3.6191869878229997E-2</v>
      </c>
    </row>
    <row r="26" spans="1:11">
      <c r="A26" s="8" t="s">
        <v>156</v>
      </c>
      <c r="B26" s="24">
        <v>1.10907140606945E-2</v>
      </c>
      <c r="C26" s="24">
        <v>5.3503482747185296E-3</v>
      </c>
      <c r="D26" s="24">
        <v>-1.8682470102593599E-3</v>
      </c>
      <c r="E26" s="24">
        <v>4.3173133497162099E-2</v>
      </c>
      <c r="F26" s="24">
        <v>3.7076244993408999E-3</v>
      </c>
      <c r="H26" s="8" t="s">
        <v>156</v>
      </c>
      <c r="I26" s="24">
        <v>1.10907140606945E-2</v>
      </c>
      <c r="J26" s="24">
        <v>5.3503482747185296E-3</v>
      </c>
      <c r="K26" s="24">
        <v>4.3173133497162099E-2</v>
      </c>
    </row>
    <row r="27" spans="1:11">
      <c r="A27" s="8" t="s">
        <v>162</v>
      </c>
      <c r="B27" s="24">
        <v>-3.8476763948467499E-3</v>
      </c>
      <c r="C27" s="24">
        <v>-3.3121798544718098E-2</v>
      </c>
      <c r="D27" s="24">
        <v>-8.3600164879409106E-2</v>
      </c>
      <c r="E27" s="24">
        <v>-0.18295040778913399</v>
      </c>
      <c r="F27" s="24">
        <v>-0.15105994358397101</v>
      </c>
      <c r="H27" s="8" t="s">
        <v>162</v>
      </c>
      <c r="I27" s="24">
        <v>-3.8476763948467499E-3</v>
      </c>
      <c r="J27" s="24">
        <v>-3.3121798544718098E-2</v>
      </c>
      <c r="K27" s="24">
        <v>-0.18295040778913399</v>
      </c>
    </row>
    <row r="28" spans="1:11">
      <c r="A28" s="8" t="s">
        <v>168</v>
      </c>
      <c r="B28" s="24">
        <v>1.3059652891118399E-2</v>
      </c>
      <c r="C28" s="24">
        <v>1.4537216568537001E-2</v>
      </c>
      <c r="D28" s="24">
        <v>4.3611506309452097E-2</v>
      </c>
      <c r="E28" s="24">
        <v>0.102067271690661</v>
      </c>
      <c r="F28" s="24">
        <v>4.2155842193769E-2</v>
      </c>
      <c r="H28" s="8" t="s">
        <v>168</v>
      </c>
      <c r="I28" s="24">
        <v>1.3059652891118399E-2</v>
      </c>
      <c r="J28" s="24">
        <v>1.4537216568537001E-2</v>
      </c>
      <c r="K28" s="24">
        <v>0.102067271690661</v>
      </c>
    </row>
    <row r="29" spans="1:11">
      <c r="A29" s="8" t="s">
        <v>174</v>
      </c>
      <c r="B29" s="24">
        <v>1.41407174697652E-2</v>
      </c>
      <c r="C29" s="24">
        <v>1.7522169745950601E-2</v>
      </c>
      <c r="D29" s="24">
        <v>3.2337592715184799E-2</v>
      </c>
      <c r="E29" s="24">
        <v>0.122857376172902</v>
      </c>
      <c r="F29" s="24">
        <v>3.5233439864358798E-2</v>
      </c>
      <c r="H29" s="8" t="s">
        <v>174</v>
      </c>
      <c r="I29" s="24">
        <v>1.41407174697652E-2</v>
      </c>
      <c r="J29" s="24">
        <v>1.7522169745950601E-2</v>
      </c>
      <c r="K29" s="24">
        <v>0.122857376172902</v>
      </c>
    </row>
    <row r="30" spans="1:11">
      <c r="A30" s="8" t="s">
        <v>180</v>
      </c>
      <c r="B30" s="24">
        <v>1.25076257914474E-2</v>
      </c>
      <c r="C30" s="24">
        <v>4.0355686230122097E-2</v>
      </c>
      <c r="D30" s="24">
        <v>6.4474136220200207E-2</v>
      </c>
      <c r="E30" s="24">
        <v>7.5065375204455595E-2</v>
      </c>
      <c r="F30" s="24">
        <v>2.04498676390918E-2</v>
      </c>
      <c r="H30" s="8" t="s">
        <v>180</v>
      </c>
      <c r="I30" s="24">
        <v>1.25076257914474E-2</v>
      </c>
      <c r="J30" s="24">
        <v>4.0355686230122097E-2</v>
      </c>
      <c r="K30" s="24">
        <v>7.5065375204455595E-2</v>
      </c>
    </row>
    <row r="31" spans="1:11">
      <c r="A31" s="8" t="s">
        <v>186</v>
      </c>
      <c r="B31" s="24">
        <v>8.98264903631249E-3</v>
      </c>
      <c r="C31" s="24">
        <v>-5.9207542205622502E-3</v>
      </c>
      <c r="D31" s="24">
        <v>-7.4892565420371397E-3</v>
      </c>
      <c r="E31" s="24">
        <v>6.0033471777251997E-2</v>
      </c>
      <c r="F31" s="24">
        <v>8.5449514574063405E-3</v>
      </c>
      <c r="H31" s="8" t="s">
        <v>186</v>
      </c>
      <c r="I31" s="24">
        <v>8.98264903631249E-3</v>
      </c>
      <c r="J31" s="24">
        <v>-5.9207542205622502E-3</v>
      </c>
      <c r="K31" s="24">
        <v>6.0033471777251997E-2</v>
      </c>
    </row>
    <row r="32" spans="1:11">
      <c r="A32" s="8" t="s">
        <v>192</v>
      </c>
      <c r="B32" s="24">
        <v>-8.3032494659377801E-3</v>
      </c>
      <c r="C32" s="24">
        <v>3.3553244360424298E-3</v>
      </c>
      <c r="D32" s="24">
        <v>1.39281175625245E-4</v>
      </c>
      <c r="E32" s="24">
        <v>-2.4665954218407202E-3</v>
      </c>
      <c r="F32" s="24">
        <v>-6.8898857115208701E-3</v>
      </c>
      <c r="H32" s="8" t="s">
        <v>192</v>
      </c>
      <c r="I32" s="24">
        <v>-8.3032494659377801E-3</v>
      </c>
      <c r="J32" s="24">
        <v>3.3553244360424298E-3</v>
      </c>
      <c r="K32" s="24">
        <v>-2.4665954218407202E-3</v>
      </c>
    </row>
    <row r="33" spans="1:11">
      <c r="A33" s="8" t="s">
        <v>198</v>
      </c>
      <c r="B33" s="24">
        <v>5.1959180939817997E-3</v>
      </c>
      <c r="C33" s="24">
        <v>2.35019099316402E-2</v>
      </c>
      <c r="D33" s="24">
        <v>3.6735012835745602E-2</v>
      </c>
      <c r="E33" s="24">
        <v>0.126616981351453</v>
      </c>
      <c r="F33" s="24">
        <v>1.9187510301605301E-2</v>
      </c>
      <c r="H33" s="8" t="s">
        <v>198</v>
      </c>
      <c r="I33" s="24">
        <v>5.1959180939817997E-3</v>
      </c>
      <c r="J33" s="24">
        <v>2.35019099316402E-2</v>
      </c>
      <c r="K33" s="24">
        <v>0.126616981351453</v>
      </c>
    </row>
    <row r="34" spans="1:11">
      <c r="A34" s="8" t="s">
        <v>204</v>
      </c>
      <c r="B34" s="24">
        <v>8.2283078338105196E-3</v>
      </c>
      <c r="C34" s="24">
        <v>2.0673595135514498E-2</v>
      </c>
      <c r="D34" s="24">
        <v>2.80159525074203E-2</v>
      </c>
      <c r="E34" s="24">
        <v>5.5559412984777103E-2</v>
      </c>
      <c r="F34" s="24">
        <v>4.8662334792675998E-3</v>
      </c>
      <c r="H34" s="8" t="s">
        <v>204</v>
      </c>
      <c r="I34" s="24">
        <v>8.2283078338105196E-3</v>
      </c>
      <c r="J34" s="24">
        <v>2.0673595135514498E-2</v>
      </c>
      <c r="K34" s="24">
        <v>5.5559412984777103E-2</v>
      </c>
    </row>
    <row r="35" spans="1:11">
      <c r="A35" s="8" t="s">
        <v>210</v>
      </c>
      <c r="B35" s="24">
        <v>1.11766817612451E-3</v>
      </c>
      <c r="C35" s="24">
        <v>-6.8961694949807403E-2</v>
      </c>
      <c r="D35" s="24">
        <v>-5.9316295395925901E-2</v>
      </c>
      <c r="E35" s="24">
        <v>-5.3412842954754097E-3</v>
      </c>
      <c r="F35" s="24">
        <v>9.7302157867140502E-3</v>
      </c>
      <c r="H35" s="8" t="s">
        <v>210</v>
      </c>
      <c r="I35" s="24">
        <v>1.11766817612451E-3</v>
      </c>
      <c r="J35" s="24">
        <v>-6.8961694949807403E-2</v>
      </c>
      <c r="K35" s="24">
        <v>-5.3412842954754097E-3</v>
      </c>
    </row>
    <row r="36" spans="1:11">
      <c r="A36" s="8" t="s">
        <v>216</v>
      </c>
      <c r="B36" s="24">
        <v>1.06037673673862E-2</v>
      </c>
      <c r="C36" s="24">
        <v>1.6182536598632401E-2</v>
      </c>
      <c r="D36" s="24">
        <v>2.5710014259578601E-2</v>
      </c>
      <c r="E36" s="24">
        <v>4.1451380697444799E-2</v>
      </c>
      <c r="F36" s="24">
        <v>2.1644783485859401E-3</v>
      </c>
      <c r="H36" s="8" t="s">
        <v>216</v>
      </c>
      <c r="I36" s="24">
        <v>1.06037673673862E-2</v>
      </c>
      <c r="J36" s="24">
        <v>1.6182536598632401E-2</v>
      </c>
      <c r="K36" s="24">
        <v>4.1451380697444799E-2</v>
      </c>
    </row>
    <row r="37" spans="1:11">
      <c r="A37" s="8" t="s">
        <v>222</v>
      </c>
      <c r="B37" s="24">
        <v>1.36633839969549E-3</v>
      </c>
      <c r="C37" s="24">
        <v>-1.0081571114461001E-2</v>
      </c>
      <c r="D37" s="24">
        <v>-1.1521258919195001E-2</v>
      </c>
      <c r="E37" s="24">
        <v>1.52500444967648E-2</v>
      </c>
      <c r="F37" s="24">
        <v>7.62010914620304E-3</v>
      </c>
      <c r="H37" s="8" t="s">
        <v>222</v>
      </c>
      <c r="I37" s="24">
        <v>1.36633839969549E-3</v>
      </c>
      <c r="J37" s="24">
        <v>-1.0081571114461001E-2</v>
      </c>
      <c r="K37" s="24">
        <v>1.52500444967648E-2</v>
      </c>
    </row>
    <row r="38" spans="1:11">
      <c r="A38" s="8" t="s">
        <v>228</v>
      </c>
      <c r="B38" s="24">
        <v>1.6926810965733299E-2</v>
      </c>
      <c r="C38" s="24">
        <v>1.25623719312409E-2</v>
      </c>
      <c r="D38" s="24">
        <v>1.19933363067454E-2</v>
      </c>
      <c r="E38" s="24">
        <v>-1.1923528239079301E-2</v>
      </c>
      <c r="F38" s="24">
        <v>-8.9667425027907897E-3</v>
      </c>
      <c r="H38" s="8" t="s">
        <v>228</v>
      </c>
      <c r="I38" s="24">
        <v>1.6926810965733299E-2</v>
      </c>
      <c r="J38" s="24">
        <v>1.25623719312409E-2</v>
      </c>
      <c r="K38" s="24">
        <v>-1.1923528239079301E-2</v>
      </c>
    </row>
    <row r="39" spans="1:11">
      <c r="A39" s="8" t="s">
        <v>234</v>
      </c>
      <c r="B39" s="24">
        <v>-6.2076492409683303E-3</v>
      </c>
      <c r="C39" s="24">
        <v>-5.0463340068826797E-3</v>
      </c>
      <c r="D39" s="24">
        <v>-8.8432811994723099E-3</v>
      </c>
      <c r="E39" s="24">
        <v>1.6749720085933398E-2</v>
      </c>
      <c r="F39" s="24">
        <v>6.7743031687807296E-4</v>
      </c>
      <c r="H39" s="8" t="s">
        <v>234</v>
      </c>
      <c r="I39" s="24">
        <v>-6.2076492409683303E-3</v>
      </c>
      <c r="J39" s="24">
        <v>-5.0463340068826797E-3</v>
      </c>
      <c r="K39" s="24">
        <v>1.6749720085933398E-2</v>
      </c>
    </row>
    <row r="40" spans="1:11">
      <c r="A40" s="8" t="s">
        <v>240</v>
      </c>
      <c r="B40" s="24">
        <v>-1.2760594046053401E-2</v>
      </c>
      <c r="C40" s="24">
        <v>-3.0570493607001498E-2</v>
      </c>
      <c r="D40" s="24">
        <v>-2.9511452822646E-2</v>
      </c>
      <c r="E40" s="24">
        <v>-2.2622416592767699E-2</v>
      </c>
      <c r="F40" s="24">
        <v>3.6125796571338099E-3</v>
      </c>
      <c r="H40" s="8" t="s">
        <v>240</v>
      </c>
      <c r="I40" s="24">
        <v>-1.2760594046053401E-2</v>
      </c>
      <c r="J40" s="24">
        <v>-3.0570493607001498E-2</v>
      </c>
      <c r="K40" s="24">
        <v>-2.2622416592767699E-2</v>
      </c>
    </row>
    <row r="42" spans="1:11">
      <c r="A42" t="s">
        <v>246</v>
      </c>
      <c r="B42" s="24">
        <f>AVERAGE(B2:B40)</f>
        <v>1.5601648489944869E-3</v>
      </c>
      <c r="C42" s="24">
        <f>AVERAGE(C2:C40)</f>
        <v>-1.7312401744076981E-4</v>
      </c>
      <c r="D42" s="24">
        <f>AVERAGE(D2:D40)</f>
        <v>1.4341470734448576E-3</v>
      </c>
      <c r="E42" s="24">
        <f>AVERAGE(E2:E40)</f>
        <v>1.5697084900715291E-2</v>
      </c>
      <c r="F42" s="24">
        <f>AVERAGE(F2:F40)</f>
        <v>-6.376227632083378E-4</v>
      </c>
      <c r="H42" t="s">
        <v>246</v>
      </c>
      <c r="I42" s="24">
        <v>1.5601648489944899E-3</v>
      </c>
      <c r="J42" s="24">
        <v>-1.7312401744077E-4</v>
      </c>
      <c r="K42" s="24">
        <v>1.5697084900715301E-2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2"/>
  <sheetViews>
    <sheetView workbookViewId="0">
      <selection activeCell="J19" sqref="J19"/>
    </sheetView>
  </sheetViews>
  <sheetFormatPr defaultColWidth="9" defaultRowHeight="15"/>
  <cols>
    <col min="2" max="2" width="16.140625" customWidth="1"/>
    <col min="3" max="6" width="19.5703125" customWidth="1"/>
  </cols>
  <sheetData>
    <row r="1" spans="1:6" ht="18.75">
      <c r="A1" s="35" t="s">
        <v>247</v>
      </c>
      <c r="B1" s="35"/>
      <c r="C1" s="35"/>
      <c r="D1" s="35"/>
      <c r="E1" s="35"/>
      <c r="F1" s="35"/>
    </row>
    <row r="2" spans="1:6">
      <c r="B2" s="7" t="s">
        <v>1</v>
      </c>
      <c r="C2" s="8" t="s">
        <v>2</v>
      </c>
      <c r="D2" s="8" t="s">
        <v>3</v>
      </c>
      <c r="E2" s="8" t="s">
        <v>4</v>
      </c>
      <c r="F2" s="8" t="s">
        <v>5</v>
      </c>
    </row>
    <row r="3" spans="1:6">
      <c r="A3" t="str">
        <f t="array" ref="A3:A7">TRANSPOSE(B2:F2)</f>
        <v>TIPX</v>
      </c>
      <c r="B3" s="31">
        <f t="array" ref="B3:F7">VarCovar(Return!B2:F40)</f>
        <v>8.3936775564160708E-5</v>
      </c>
      <c r="C3" s="31">
        <v>1.1218851445380293E-4</v>
      </c>
      <c r="D3" s="31">
        <v>1.2852582428756566E-4</v>
      </c>
      <c r="E3" s="31">
        <v>2.427200493246336E-4</v>
      </c>
      <c r="F3" s="31">
        <v>6.0894801576352376E-5</v>
      </c>
    </row>
    <row r="4" spans="1:6">
      <c r="A4" t="str">
        <v>BWX</v>
      </c>
      <c r="B4" s="31">
        <v>1.1218851445380293E-4</v>
      </c>
      <c r="C4" s="31">
        <v>7.5165424367929846E-4</v>
      </c>
      <c r="D4" s="31">
        <v>8.1731595810484578E-4</v>
      </c>
      <c r="E4" s="31">
        <v>6.2668057768523928E-4</v>
      </c>
      <c r="F4" s="31">
        <v>1.6031350460318097E-4</v>
      </c>
    </row>
    <row r="5" spans="1:6">
      <c r="A5" t="str">
        <v>IBND</v>
      </c>
      <c r="B5" s="31">
        <v>1.2852582428756566E-4</v>
      </c>
      <c r="C5" s="31">
        <v>8.1731595810484578E-4</v>
      </c>
      <c r="D5" s="31">
        <v>1.0922949627975905E-3</v>
      </c>
      <c r="E5" s="31">
        <v>1.1505381180858594E-3</v>
      </c>
      <c r="F5" s="31">
        <v>4.5822991811900497E-4</v>
      </c>
    </row>
    <row r="6" spans="1:6">
      <c r="A6" t="str">
        <v>CWB</v>
      </c>
      <c r="B6" s="31">
        <v>2.427200493246336E-4</v>
      </c>
      <c r="C6" s="31">
        <v>6.2668057768523928E-4</v>
      </c>
      <c r="D6" s="31">
        <v>1.1505381180858594E-3</v>
      </c>
      <c r="E6" s="31">
        <v>2.9306596637049924E-3</v>
      </c>
      <c r="F6" s="31">
        <v>1.16935674565076E-3</v>
      </c>
    </row>
    <row r="7" spans="1:6">
      <c r="A7" t="str">
        <v>SRLN</v>
      </c>
      <c r="B7" s="31">
        <v>6.0894801576352376E-5</v>
      </c>
      <c r="C7" s="31">
        <v>1.6031350460318097E-4</v>
      </c>
      <c r="D7" s="31">
        <v>4.5822991811900497E-4</v>
      </c>
      <c r="E7" s="31">
        <v>1.16935674565076E-3</v>
      </c>
      <c r="F7" s="31">
        <v>7.4213647516739741E-4</v>
      </c>
    </row>
    <row r="9" spans="1:6" ht="18.75">
      <c r="A9" s="35" t="s">
        <v>248</v>
      </c>
      <c r="B9" s="35"/>
      <c r="C9" s="35"/>
      <c r="D9" s="35"/>
      <c r="E9" s="35"/>
      <c r="F9" s="35"/>
    </row>
    <row r="10" spans="1:6">
      <c r="B10" s="7" t="s">
        <v>1</v>
      </c>
      <c r="C10" s="8" t="s">
        <v>2</v>
      </c>
      <c r="D10" s="8" t="s">
        <v>3</v>
      </c>
      <c r="E10" s="8" t="s">
        <v>4</v>
      </c>
      <c r="F10" s="8" t="s">
        <v>5</v>
      </c>
    </row>
    <row r="11" spans="1:6">
      <c r="A11" t="str">
        <f t="array" ref="A11:A15">TRANSPOSE(B10:F10)</f>
        <v>TIPX</v>
      </c>
      <c r="B11">
        <f t="array" ref="B11:F15">CorrMatrixTriangular(Return!B2:F40)</f>
        <v>1.0000000000000002</v>
      </c>
      <c r="C11">
        <v>0.44664574354800435</v>
      </c>
      <c r="D11">
        <v>0.42446735154166754</v>
      </c>
      <c r="E11">
        <v>0.48938067694237325</v>
      </c>
      <c r="F11">
        <v>0.24398447366312873</v>
      </c>
    </row>
    <row r="12" spans="1:6">
      <c r="A12" s="32" t="str">
        <v>BWX</v>
      </c>
      <c r="B12" t="str">
        <v/>
      </c>
      <c r="C12">
        <v>0.99999999999999989</v>
      </c>
      <c r="D12" s="23">
        <v>0.90200917750501264</v>
      </c>
      <c r="E12">
        <v>0.42223524758844816</v>
      </c>
      <c r="F12">
        <v>0.21464420253713681</v>
      </c>
    </row>
    <row r="13" spans="1:6">
      <c r="A13" s="33" t="str">
        <v>IBND</v>
      </c>
      <c r="B13" t="str">
        <v/>
      </c>
      <c r="C13" t="str">
        <v/>
      </c>
      <c r="D13">
        <v>1</v>
      </c>
      <c r="E13" s="23">
        <v>0.64305534561851596</v>
      </c>
      <c r="F13">
        <v>0.50894586133474018</v>
      </c>
    </row>
    <row r="14" spans="1:6">
      <c r="A14" s="34" t="str">
        <v>CWB</v>
      </c>
      <c r="B14" t="str">
        <v/>
      </c>
      <c r="C14" t="str">
        <v/>
      </c>
      <c r="D14" t="str">
        <v/>
      </c>
      <c r="E14">
        <v>0.99999999999999989</v>
      </c>
      <c r="F14" s="23">
        <v>0.79290734926899253</v>
      </c>
    </row>
    <row r="15" spans="1:6">
      <c r="A15" s="33" t="str">
        <v>SRLN</v>
      </c>
      <c r="B15" t="str">
        <v/>
      </c>
      <c r="C15" t="str">
        <v/>
      </c>
      <c r="D15" t="str">
        <v/>
      </c>
      <c r="E15" t="str">
        <v/>
      </c>
      <c r="F15">
        <v>0.99999999999999989</v>
      </c>
    </row>
    <row r="16" spans="1:6">
      <c r="A16" s="34"/>
    </row>
    <row r="17" spans="1:4">
      <c r="B17" s="7" t="s">
        <v>1</v>
      </c>
      <c r="C17" s="8" t="s">
        <v>2</v>
      </c>
      <c r="D17" s="8" t="s">
        <v>4</v>
      </c>
    </row>
    <row r="18" spans="1:4">
      <c r="A18" t="str">
        <f t="array" ref="A18:A20">TRANSPOSE(B17:D17)</f>
        <v>TIPX</v>
      </c>
      <c r="B18">
        <f t="array" ref="B18:D20">CorrMatrixTriangular(Return!I2:K40)</f>
        <v>1.0000000000000002</v>
      </c>
      <c r="C18">
        <v>0.44664574354800435</v>
      </c>
      <c r="D18">
        <v>0.48938067694237325</v>
      </c>
    </row>
    <row r="19" spans="1:4">
      <c r="A19" t="str">
        <v>BWX</v>
      </c>
      <c r="B19" t="str">
        <v/>
      </c>
      <c r="C19">
        <v>0.99999999999999989</v>
      </c>
      <c r="D19">
        <v>0.42223524758844816</v>
      </c>
    </row>
    <row r="20" spans="1:4">
      <c r="A20" t="str">
        <v>CWB</v>
      </c>
      <c r="B20" t="str">
        <v/>
      </c>
      <c r="C20" t="str">
        <v/>
      </c>
      <c r="D20">
        <v>0.99999999999999989</v>
      </c>
    </row>
    <row r="22" spans="1:4">
      <c r="A22" s="22" t="s">
        <v>249</v>
      </c>
      <c r="B22">
        <f>AVERAGEIF(B11:F15,"&lt;1")</f>
        <v>0.50882754295480204</v>
      </c>
    </row>
  </sheetData>
  <mergeCells count="2">
    <mergeCell ref="A1:F1"/>
    <mergeCell ref="A9:F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1"/>
  <sheetViews>
    <sheetView zoomScale="80" zoomScaleNormal="80" workbookViewId="0">
      <selection activeCell="G13" sqref="G13"/>
    </sheetView>
  </sheetViews>
  <sheetFormatPr defaultColWidth="9" defaultRowHeight="15"/>
  <cols>
    <col min="1" max="1" width="21.7109375" customWidth="1"/>
    <col min="2" max="2" width="11.5703125" customWidth="1"/>
    <col min="3" max="4" width="9.28515625" customWidth="1"/>
    <col min="7" max="7" width="9.85546875" customWidth="1"/>
  </cols>
  <sheetData>
    <row r="1" spans="1:12" ht="36" customHeight="1">
      <c r="A1" s="35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12">
      <c r="B2" s="7" t="s">
        <v>1</v>
      </c>
      <c r="C2" s="8" t="s">
        <v>2</v>
      </c>
      <c r="D2" s="8" t="s">
        <v>4</v>
      </c>
    </row>
    <row r="3" spans="1:12">
      <c r="A3" t="str">
        <f t="array" ref="A3:A5">TRANSPOSE(B2:D2)</f>
        <v>TIPX</v>
      </c>
      <c r="B3">
        <f t="array" ref="B3:D5">VarCovar(Return!I2:K40)</f>
        <v>8.3936775564160708E-5</v>
      </c>
      <c r="C3">
        <v>1.1218851445380293E-4</v>
      </c>
      <c r="D3">
        <v>2.427200493246336E-4</v>
      </c>
    </row>
    <row r="4" spans="1:12">
      <c r="A4" t="str">
        <v>BWX</v>
      </c>
      <c r="B4">
        <v>1.1218851445380293E-4</v>
      </c>
      <c r="C4">
        <v>7.5165424367929846E-4</v>
      </c>
      <c r="D4">
        <v>6.2668057768523928E-4</v>
      </c>
    </row>
    <row r="5" spans="1:12">
      <c r="A5" t="str">
        <v>CWB</v>
      </c>
      <c r="B5">
        <v>2.427200493246336E-4</v>
      </c>
      <c r="C5">
        <v>6.2668057768523928E-4</v>
      </c>
      <c r="D5">
        <v>2.9306596637049924E-3</v>
      </c>
    </row>
    <row r="8" spans="1:12">
      <c r="B8" s="7" t="s">
        <v>1</v>
      </c>
      <c r="C8" s="8" t="s">
        <v>2</v>
      </c>
      <c r="D8" s="8" t="s">
        <v>4</v>
      </c>
    </row>
    <row r="9" spans="1:12">
      <c r="A9" t="str">
        <f t="array" ref="A9:A11">TRANSPOSE(B8:D8)</f>
        <v>TIPX</v>
      </c>
      <c r="B9">
        <f t="array" ref="B9:D11">B3:D5*IF(A9:A11=B8:D8,1,0)</f>
        <v>8.3936775564160708E-5</v>
      </c>
      <c r="C9">
        <v>0</v>
      </c>
      <c r="D9">
        <v>0</v>
      </c>
    </row>
    <row r="10" spans="1:12">
      <c r="A10" t="str">
        <v>BWX</v>
      </c>
      <c r="B10">
        <v>0</v>
      </c>
      <c r="C10">
        <v>7.5165424367929846E-4</v>
      </c>
      <c r="D10">
        <v>0</v>
      </c>
    </row>
    <row r="11" spans="1:12">
      <c r="A11" t="str">
        <v>CWB</v>
      </c>
      <c r="B11">
        <v>0</v>
      </c>
      <c r="C11">
        <v>0</v>
      </c>
      <c r="D11">
        <v>2.9306596637049924E-3</v>
      </c>
    </row>
    <row r="14" spans="1:12">
      <c r="A14" s="20" t="s">
        <v>251</v>
      </c>
      <c r="B14" s="21">
        <v>0.5</v>
      </c>
    </row>
    <row r="15" spans="1:12">
      <c r="B15" s="7" t="s">
        <v>1</v>
      </c>
      <c r="C15" s="8" t="s">
        <v>2</v>
      </c>
      <c r="D15" s="8" t="s">
        <v>4</v>
      </c>
      <c r="F15" s="22" t="s">
        <v>252</v>
      </c>
      <c r="G15" s="22" t="s">
        <v>253</v>
      </c>
    </row>
    <row r="16" spans="1:12">
      <c r="A16" t="str">
        <f t="array" ref="A16:A18">TRANSPOSE(B15:D15)</f>
        <v>TIPX</v>
      </c>
      <c r="B16" s="23">
        <f t="array" ref="B16:D18">B14*B3:D5+(1-B14)*B9:D11</f>
        <v>8.3936775564160708E-5</v>
      </c>
      <c r="C16" s="23">
        <v>5.6094257226901463E-5</v>
      </c>
      <c r="D16" s="23">
        <v>1.213600246623168E-4</v>
      </c>
      <c r="F16" s="24">
        <f t="array" ref="F16:F18">TRANSPOSE(Return!I42:K42)</f>
        <v>1.5601648489944899E-3</v>
      </c>
      <c r="G16" s="24">
        <f>F16-$B$21</f>
        <v>1.3601648489944898E-3</v>
      </c>
    </row>
    <row r="17" spans="1:8">
      <c r="A17" t="str">
        <v>BWX</v>
      </c>
      <c r="B17" s="23">
        <v>5.6094257226901463E-5</v>
      </c>
      <c r="C17" s="23">
        <v>7.5165424367929846E-4</v>
      </c>
      <c r="D17" s="23">
        <v>3.1334028884261964E-4</v>
      </c>
      <c r="F17" s="24">
        <v>-1.7312401744077E-4</v>
      </c>
      <c r="G17" s="24">
        <f t="shared" ref="G17:G18" si="0">F17-$B$21</f>
        <v>-3.7312401744077003E-4</v>
      </c>
    </row>
    <row r="18" spans="1:8">
      <c r="A18" t="str">
        <v>CWB</v>
      </c>
      <c r="B18" s="23">
        <v>1.213600246623168E-4</v>
      </c>
      <c r="C18" s="23">
        <v>3.1334028884261964E-4</v>
      </c>
      <c r="D18" s="23">
        <v>2.9306596637049924E-3</v>
      </c>
      <c r="F18" s="24">
        <v>1.5697084900715301E-2</v>
      </c>
      <c r="G18" s="24">
        <f t="shared" si="0"/>
        <v>1.54970849007153E-2</v>
      </c>
    </row>
    <row r="21" spans="1:8">
      <c r="A21" s="22" t="s">
        <v>254</v>
      </c>
      <c r="B21" s="25">
        <v>2.0000000000000001E-4</v>
      </c>
    </row>
    <row r="22" spans="1:8">
      <c r="A22" s="36" t="s">
        <v>255</v>
      </c>
      <c r="B22" s="36"/>
      <c r="D22" s="22" t="s">
        <v>256</v>
      </c>
      <c r="F22" s="22" t="s">
        <v>257</v>
      </c>
    </row>
    <row r="23" spans="1:8">
      <c r="A23" t="s">
        <v>1</v>
      </c>
      <c r="B23">
        <f t="array" ref="B23:B25">MMULT(MINVERSE(B16:D18),G16:G18)</f>
        <v>11.010006804095376</v>
      </c>
      <c r="D23" s="26">
        <v>0.649598707009581</v>
      </c>
      <c r="F23" t="s">
        <v>1</v>
      </c>
      <c r="G23" s="24">
        <v>0.10109961521256799</v>
      </c>
      <c r="H23" s="27"/>
    </row>
    <row r="24" spans="1:8">
      <c r="A24" t="s">
        <v>2</v>
      </c>
      <c r="B24">
        <v>-3.487808472067667</v>
      </c>
      <c r="D24" s="26">
        <v>0</v>
      </c>
      <c r="F24" t="s">
        <v>2</v>
      </c>
      <c r="G24" s="24">
        <v>0.108815393277681</v>
      </c>
      <c r="H24" s="27"/>
    </row>
    <row r="25" spans="1:8">
      <c r="A25" t="s">
        <v>4</v>
      </c>
      <c r="B25">
        <v>5.204896804093357</v>
      </c>
      <c r="D25" s="26">
        <v>0.35040129298467898</v>
      </c>
      <c r="F25" t="s">
        <v>4</v>
      </c>
      <c r="G25" s="24">
        <v>0.79008499150975098</v>
      </c>
      <c r="H25" s="27"/>
    </row>
    <row r="26" spans="1:8">
      <c r="A26" s="22"/>
      <c r="D26" s="28">
        <f>SUM(D23:D25)</f>
        <v>0.99999999999425992</v>
      </c>
    </row>
    <row r="27" spans="1:8">
      <c r="B27" s="22" t="s">
        <v>258</v>
      </c>
      <c r="C27" s="22" t="s">
        <v>259</v>
      </c>
    </row>
    <row r="28" spans="1:8">
      <c r="A28" s="22" t="s">
        <v>260</v>
      </c>
      <c r="B28" s="29">
        <f t="array" ref="B28">MMULT(TRANSPOSE(D23:D25),F16:F18)</f>
        <v>6.5137599139295415E-3</v>
      </c>
      <c r="C28" s="24">
        <f t="array" ref="C28">MMULT(TRANSPOSE(G23:G25),F16:F18)</f>
        <v>1.2540924698367376E-2</v>
      </c>
    </row>
    <row r="29" spans="1:8">
      <c r="A29" s="22" t="s">
        <v>261</v>
      </c>
      <c r="B29" s="29">
        <f t="array" ref="B29">MMULT(MMULT(TRANSPOSE(D23:D25),B16:D18),D23:D25)</f>
        <v>4.504970236314423E-4</v>
      </c>
      <c r="C29" s="24">
        <f t="array" ref="C29">MMULT(MMULT(TRANSPOSE(G23:G25),B16:D18),G23:G25)</f>
        <v>1.9136762671140301E-3</v>
      </c>
    </row>
    <row r="30" spans="1:8">
      <c r="A30" s="22" t="s">
        <v>262</v>
      </c>
      <c r="B30">
        <f>SQRT(B29)</f>
        <v>2.122491516193745E-2</v>
      </c>
      <c r="C30" s="24">
        <f>SQRT(C29)</f>
        <v>4.3745585687175688E-2</v>
      </c>
    </row>
    <row r="31" spans="1:8">
      <c r="A31" s="22" t="s">
        <v>263</v>
      </c>
      <c r="B31" s="30">
        <f>(B28-B21)/B30</f>
        <v>0.29746926504808746</v>
      </c>
      <c r="C31" s="24">
        <f>(C28-B21)/C30</f>
        <v>0.28210674298927491</v>
      </c>
    </row>
  </sheetData>
  <mergeCells count="2">
    <mergeCell ref="A1:L1"/>
    <mergeCell ref="A22:B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8"/>
  <sheetViews>
    <sheetView tabSelected="1" workbookViewId="0">
      <selection activeCell="B3" sqref="B3"/>
    </sheetView>
  </sheetViews>
  <sheetFormatPr defaultColWidth="9" defaultRowHeight="15"/>
  <cols>
    <col min="1" max="1" width="27" customWidth="1"/>
  </cols>
  <sheetData>
    <row r="1" spans="1:13" ht="18">
      <c r="A1" s="37" t="s">
        <v>264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</row>
    <row r="2" spans="1:13">
      <c r="A2" s="1" t="s">
        <v>265</v>
      </c>
      <c r="B2" s="2">
        <f>11%/12</f>
        <v>9.1666666666666667E-3</v>
      </c>
      <c r="C2" s="3" t="str">
        <f ca="1">getformula(B2)</f>
        <v>&lt;--  =11%/12</v>
      </c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>
      <c r="A3" s="3" t="s">
        <v>266</v>
      </c>
      <c r="B3" s="4">
        <v>2.0000000000000001E-4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>
      <c r="A4" s="1" t="s">
        <v>267</v>
      </c>
      <c r="B4" s="5">
        <f t="array" ref="B4">(B2-B3)/MMULT(MMULT(B8:D8,B12:D14),TRANSPOSE(B8:D8))</f>
        <v>4.685571337616623</v>
      </c>
      <c r="C4" s="3" t="str">
        <f ca="1">getformula(B4)</f>
        <v>&lt;--  {=(B2-B3)/MMULT(MMULT(B8:D8,B12:D14),TRANSPOSE(B8:D8))}</v>
      </c>
      <c r="D4" s="3"/>
      <c r="E4" s="3"/>
      <c r="F4" s="3"/>
      <c r="G4" s="3"/>
      <c r="H4" s="3"/>
      <c r="I4" s="3"/>
      <c r="J4" s="3"/>
      <c r="K4" s="3"/>
      <c r="L4" s="3"/>
      <c r="M4" s="3"/>
    </row>
    <row r="6" spans="1:13">
      <c r="A6" s="6"/>
      <c r="B6" s="7" t="s">
        <v>1</v>
      </c>
      <c r="C6" s="8" t="s">
        <v>2</v>
      </c>
      <c r="D6" s="8" t="s">
        <v>4</v>
      </c>
      <c r="E6" s="9"/>
      <c r="F6" s="9"/>
      <c r="G6" s="9"/>
      <c r="H6" s="9"/>
      <c r="I6" s="9"/>
      <c r="J6" s="9"/>
      <c r="K6" s="19"/>
      <c r="L6" s="6"/>
      <c r="M6" s="6"/>
    </row>
    <row r="7" spans="1:13">
      <c r="A7" s="3" t="s">
        <v>268</v>
      </c>
      <c r="B7">
        <v>908.56</v>
      </c>
      <c r="C7" s="3">
        <v>977.9</v>
      </c>
      <c r="D7" s="3">
        <v>7100.32</v>
      </c>
      <c r="E7" s="3"/>
      <c r="F7" s="3"/>
      <c r="G7" s="3"/>
      <c r="H7" s="3"/>
      <c r="I7" s="3"/>
      <c r="J7" s="3"/>
      <c r="K7" s="3"/>
      <c r="L7" s="3"/>
      <c r="M7" s="3"/>
    </row>
    <row r="8" spans="1:13">
      <c r="A8" s="3" t="s">
        <v>269</v>
      </c>
      <c r="B8" s="10">
        <f>B7/SUM($B$7:$D$7)</f>
        <v>0.1010996152125678</v>
      </c>
      <c r="C8" s="10">
        <f t="shared" ref="C8:D8" si="0">C7/SUM($B$7:$D$7)</f>
        <v>0.10881539327768122</v>
      </c>
      <c r="D8" s="10">
        <f t="shared" si="0"/>
        <v>0.79008499150975109</v>
      </c>
    </row>
    <row r="10" spans="1:13">
      <c r="A10" s="11" t="s">
        <v>270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ht="38.25">
      <c r="A11" s="3"/>
      <c r="B11" s="6" t="s">
        <v>1</v>
      </c>
      <c r="C11" s="6" t="s">
        <v>2</v>
      </c>
      <c r="D11" s="6" t="s">
        <v>4</v>
      </c>
      <c r="E11" s="6"/>
      <c r="F11" s="12" t="s">
        <v>271</v>
      </c>
      <c r="G11" s="6"/>
      <c r="H11" s="6"/>
      <c r="I11" s="6"/>
      <c r="J11" s="6"/>
      <c r="K11" s="6"/>
      <c r="L11" s="3"/>
    </row>
    <row r="12" spans="1:13">
      <c r="A12" s="6" t="s">
        <v>1</v>
      </c>
      <c r="B12" s="13">
        <v>8.3936775564160695E-5</v>
      </c>
      <c r="C12" s="13">
        <v>5.6094257226901497E-5</v>
      </c>
      <c r="D12" s="13">
        <v>1.2136002466231701E-4</v>
      </c>
      <c r="E12" s="13"/>
      <c r="F12" s="14">
        <f t="array" ref="F12:F14">(MMULT(B12:D14,TRANSPOSE(B8:D8))*B4)+B3</f>
        <v>7.1763675249343563E-4</v>
      </c>
      <c r="G12" s="13" t="str">
        <f ca="1">getformula(F12)</f>
        <v>&lt;--  {=(MMULT(B12:D14,TRANSPOSE(B8:D8))*B4)+B3}</v>
      </c>
      <c r="H12" s="13"/>
      <c r="I12" s="13"/>
      <c r="J12" s="13"/>
      <c r="K12" s="13"/>
      <c r="L12" s="3"/>
    </row>
    <row r="13" spans="1:13">
      <c r="A13" s="6" t="s">
        <v>2</v>
      </c>
      <c r="B13" s="13">
        <v>5.6094257226901497E-5</v>
      </c>
      <c r="C13" s="13">
        <v>7.5165424367929802E-4</v>
      </c>
      <c r="D13" s="13">
        <v>3.1334028884262002E-4</v>
      </c>
      <c r="E13" s="13"/>
      <c r="F13" s="14">
        <v>1.7697981535841646E-3</v>
      </c>
      <c r="G13" s="13"/>
      <c r="H13" s="38" t="s">
        <v>272</v>
      </c>
      <c r="I13" s="39"/>
      <c r="J13" s="39"/>
      <c r="K13" s="39"/>
      <c r="L13" s="39"/>
    </row>
    <row r="14" spans="1:13">
      <c r="A14" s="6" t="s">
        <v>4</v>
      </c>
      <c r="B14" s="13">
        <v>1.2136002466231701E-4</v>
      </c>
      <c r="C14" s="13">
        <v>3.1334028884262002E-4</v>
      </c>
      <c r="D14" s="13">
        <v>2.9306596637049898E-3</v>
      </c>
      <c r="E14" s="13"/>
      <c r="F14" s="14">
        <v>1.1266550663129447E-2</v>
      </c>
      <c r="G14" s="13"/>
      <c r="H14" s="39"/>
      <c r="I14" s="39"/>
      <c r="J14" s="39"/>
      <c r="K14" s="39"/>
      <c r="L14" s="39"/>
    </row>
    <row r="15" spans="1:13">
      <c r="A15" s="6"/>
      <c r="B15" s="13"/>
      <c r="C15" s="13"/>
      <c r="D15" s="13"/>
      <c r="E15" s="13"/>
      <c r="F15" s="13"/>
      <c r="G15" s="13"/>
      <c r="H15" s="39"/>
      <c r="I15" s="39"/>
      <c r="J15" s="39"/>
      <c r="K15" s="39"/>
      <c r="L15" s="39"/>
    </row>
    <row r="16" spans="1:13" ht="25.5">
      <c r="A16" s="15" t="s">
        <v>273</v>
      </c>
      <c r="B16" s="2">
        <f t="array" ref="B16">MMULT(B8:D8,F12:F14)</f>
        <v>9.1666666666666684E-3</v>
      </c>
      <c r="C16" s="13" t="str">
        <f ca="1">getformula(B16)</f>
        <v>&lt;--  {=MMULT(B8:D8,F12:F14)}</v>
      </c>
      <c r="D16" s="13"/>
      <c r="E16" s="13"/>
      <c r="F16" s="13"/>
      <c r="G16" s="13"/>
      <c r="H16" s="13"/>
      <c r="I16" s="13"/>
      <c r="J16" s="13"/>
      <c r="K16" s="13"/>
      <c r="L16" s="3"/>
    </row>
    <row r="17" spans="1:13">
      <c r="A17" s="6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3"/>
    </row>
    <row r="18" spans="1:13" ht="15" customHeight="1">
      <c r="A18" s="16" t="s">
        <v>274</v>
      </c>
      <c r="B18" s="16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>
      <c r="A19" s="6" t="s">
        <v>1</v>
      </c>
      <c r="B19" s="17">
        <f t="array" ref="B19:B21">MMULT(MINVERSE(B12:D14),F12:F14-B3)/SUM(MMULT(MINVERSE(B12:D14),F12:F14-B3))</f>
        <v>0.10109961521256823</v>
      </c>
      <c r="C19" s="3" t="s">
        <v>275</v>
      </c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>
      <c r="A20" s="6" t="s">
        <v>2</v>
      </c>
      <c r="B20" s="17">
        <v>0.10881539327768112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>
      <c r="A21" s="6" t="s">
        <v>4</v>
      </c>
      <c r="B21" s="17">
        <v>0.79008499150975064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>
      <c r="A22" s="3" t="s">
        <v>276</v>
      </c>
      <c r="B22" s="18">
        <f>SUM(B19:B21)</f>
        <v>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3">
      <c r="A24" s="3"/>
    </row>
    <row r="25" spans="1:13">
      <c r="A25" s="3"/>
    </row>
    <row r="26" spans="1:13">
      <c r="A26" s="3"/>
    </row>
    <row r="27" spans="1:13">
      <c r="A27" s="3"/>
    </row>
    <row r="28" spans="1:13">
      <c r="A28" s="3"/>
    </row>
  </sheetData>
  <mergeCells count="2">
    <mergeCell ref="A1:M1"/>
    <mergeCell ref="H13:L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NAV</vt:lpstr>
      <vt:lpstr>Return</vt:lpstr>
      <vt:lpstr>VAR-COV</vt:lpstr>
      <vt:lpstr>results</vt:lpstr>
      <vt:lpstr>Black Litterman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1</cp:lastModifiedBy>
  <dcterms:created xsi:type="dcterms:W3CDTF">2021-10-02T22:23:00Z</dcterms:created>
  <dcterms:modified xsi:type="dcterms:W3CDTF">2021-10-08T13:50:38Z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FC28E494DDD641AEAB5DC21C06C7FE86</vt:lpwstr>
  </property>
  <property fmtid="{D5CDD505-2E9C-101B-9397-08002B2CF9AE}" pid="3" name="KSOProductBuildVer">
    <vt:lpwstr>2052-11.1.0.10938</vt:lpwstr>
  </property>
</Properties>
</file>